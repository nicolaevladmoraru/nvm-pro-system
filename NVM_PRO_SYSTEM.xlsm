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esktop\NVM SOFT 2026\"/>
    </mc:Choice>
  </mc:AlternateContent>
  <xr:revisionPtr revIDLastSave="0" documentId="8_{D7324026-7383-4FF8-8981-52C32D79C312}" xr6:coauthVersionLast="47" xr6:coauthVersionMax="47" xr10:uidLastSave="{00000000-0000-0000-0000-000000000000}"/>
  <workbookProtection workbookAlgorithmName="SHA-512" workbookHashValue="ZBSzUsk2PMVz5StdfG+2knjmjcmTGKaeR0kijMlf0z3F7xPHjHWDuLtXn3fsoW7P9HfmTE9HG7vuOKqQ+nTBGw==" workbookSaltValue="ykeoDF2qC2WpuEK1ahIq+A==" workbookSpinCount="100000" lockStructure="1"/>
  <bookViews>
    <workbookView xWindow="-120" yWindow="-120" windowWidth="29040" windowHeight="15720" tabRatio="908" firstSheet="2" activeTab="2" xr2:uid="{00000000-000D-0000-FFFF-FFFF00000000}"/>
  </bookViews>
  <sheets>
    <sheet name="Control" sheetId="2" state="veryHidden" r:id="rId1"/>
    <sheet name="Account Settings" sheetId="19" state="veryHidden" r:id="rId2"/>
    <sheet name="Prematch" sheetId="3" r:id="rId3"/>
    <sheet name="_ScoreCache" sheetId="18" state="veryHidden" r:id="rId4"/>
    <sheet name="Slip Generator" sheetId="11" r:id="rId5"/>
    <sheet name="Fixtures_Prematch_Today" sheetId="4" state="veryHidden" r:id="rId6"/>
    <sheet name="Fixtures_Prematch_Tomorrow" sheetId="5" state="veryHidden" r:id="rId7"/>
    <sheet name="Fixtures_Prematch_DayAfter" sheetId="6" state="veryHidden" r:id="rId8"/>
    <sheet name="Game_Standings_ByFixtureID" sheetId="7" state="veryHidden" r:id="rId9"/>
    <sheet name="Last10Home_Stats_All" sheetId="8" state="veryHidden" r:id="rId10"/>
    <sheet name="Last10Away_Stats_All" sheetId="9" state="veryHidden" r:id="rId11"/>
    <sheet name="H2H_Last5_Stats_All" sheetId="10" state="veryHidden" r:id="rId12"/>
    <sheet name="TG_SentLog" sheetId="21" state="veryHidden" r:id="rId13"/>
  </sheets>
  <functionGroups builtInGroupCount="19"/>
  <definedNames>
    <definedName name="ApiKey">Control!$B$1</definedName>
    <definedName name="ExternalData_1" localSheetId="7" hidden="1">Fixtures_Prematch_DayAfter!$A$1:$H$1237</definedName>
    <definedName name="ExternalData_1" localSheetId="5" hidden="1">Fixtures_Prematch_Today!$A$1:$H$1685</definedName>
    <definedName name="ExternalData_1" localSheetId="8" hidden="1">Game_Standings_ByFixtureID!$A$1:$K$25</definedName>
    <definedName name="ExternalData_1" localSheetId="11" hidden="1">H2H_Last5_Stats_All!$A$1:$AZ$6</definedName>
    <definedName name="ExternalData_1" localSheetId="9" hidden="1">Last10Home_Stats_All!$A$1:$AZ$11</definedName>
    <definedName name="ExternalData_2" localSheetId="6" hidden="1">Fixtures_Prematch_Tomorrow!$A$1:$H$1700</definedName>
    <definedName name="ExternalData_2" localSheetId="10" hidden="1">Last10Away_Stats_All!$A$1:$AZ$11</definedName>
    <definedName name="FixtureID">Control!$B$10</definedName>
    <definedName name="ListBox">Control!$B$8</definedName>
    <definedName name="LIVE_ENABLED">Control!$B$40</definedName>
    <definedName name="SelectedDate">Control!$E$4</definedName>
    <definedName name="SlipNumbers">OFFSET('Slip Generator'!$Z$5,0,0,'Slip Generator'!$Z$2,1)</definedName>
    <definedName name="TG_CHATID">Control!$B$30</definedName>
    <definedName name="TG_ENABLED">Control!$B$35</definedName>
    <definedName name="TG_TOKEN">Control!$A$30</definedName>
    <definedName name="TZ">Control!$B$2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" i="11" l="1"/>
  <c r="R31" i="2"/>
  <c r="T35" i="3" s="1"/>
  <c r="S31" i="2"/>
  <c r="T31" i="2"/>
  <c r="U35" i="3" s="1"/>
  <c r="U31" i="2"/>
  <c r="V31" i="2"/>
  <c r="W35" i="3" s="1"/>
  <c r="W31" i="2"/>
  <c r="X31" i="2"/>
  <c r="AA35" i="3" s="1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R32" i="2"/>
  <c r="T36" i="3" s="1"/>
  <c r="S32" i="2"/>
  <c r="T32" i="2"/>
  <c r="U36" i="3" s="1"/>
  <c r="U32" i="2"/>
  <c r="V32" i="2"/>
  <c r="W36" i="3" s="1"/>
  <c r="W32" i="2"/>
  <c r="X32" i="2"/>
  <c r="AA36" i="3" s="1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R33" i="2"/>
  <c r="T37" i="3" s="1"/>
  <c r="S33" i="2"/>
  <c r="T33" i="2"/>
  <c r="U37" i="3" s="1"/>
  <c r="U33" i="2"/>
  <c r="V33" i="2"/>
  <c r="W37" i="3" s="1"/>
  <c r="W33" i="2"/>
  <c r="X33" i="2"/>
  <c r="AA37" i="3" s="1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R34" i="2"/>
  <c r="T38" i="3" s="1"/>
  <c r="S34" i="2"/>
  <c r="T34" i="2"/>
  <c r="U38" i="3" s="1"/>
  <c r="U34" i="2"/>
  <c r="V34" i="2"/>
  <c r="W38" i="3" s="1"/>
  <c r="W34" i="2"/>
  <c r="X34" i="2"/>
  <c r="AA38" i="3" s="1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R35" i="2"/>
  <c r="T39" i="3" s="1"/>
  <c r="S35" i="2"/>
  <c r="T35" i="2"/>
  <c r="U39" i="3" s="1"/>
  <c r="U35" i="2"/>
  <c r="V35" i="2"/>
  <c r="W39" i="3" s="1"/>
  <c r="W35" i="2"/>
  <c r="X35" i="2"/>
  <c r="AA39" i="3" s="1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Q32" i="2"/>
  <c r="Q33" i="2"/>
  <c r="Q34" i="2"/>
  <c r="Q35" i="2"/>
  <c r="Q31" i="2"/>
  <c r="R16" i="2"/>
  <c r="T20" i="3" s="1"/>
  <c r="S16" i="2"/>
  <c r="T16" i="2"/>
  <c r="U20" i="3" s="1"/>
  <c r="U16" i="2"/>
  <c r="V16" i="2"/>
  <c r="W20" i="3" s="1"/>
  <c r="W16" i="2"/>
  <c r="X16" i="2"/>
  <c r="AA20" i="3" s="1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R17" i="2"/>
  <c r="T21" i="3" s="1"/>
  <c r="S17" i="2"/>
  <c r="T17" i="2"/>
  <c r="U21" i="3" s="1"/>
  <c r="U17" i="2"/>
  <c r="V17" i="2"/>
  <c r="W21" i="3" s="1"/>
  <c r="W17" i="2"/>
  <c r="X17" i="2"/>
  <c r="AA21" i="3" s="1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R18" i="2"/>
  <c r="T22" i="3" s="1"/>
  <c r="S18" i="2"/>
  <c r="T18" i="2"/>
  <c r="U22" i="3" s="1"/>
  <c r="U18" i="2"/>
  <c r="V18" i="2"/>
  <c r="W22" i="3" s="1"/>
  <c r="W18" i="2"/>
  <c r="X18" i="2"/>
  <c r="AA22" i="3" s="1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R19" i="2"/>
  <c r="T23" i="3" s="1"/>
  <c r="S19" i="2"/>
  <c r="T19" i="2"/>
  <c r="U23" i="3" s="1"/>
  <c r="U19" i="2"/>
  <c r="V19" i="2"/>
  <c r="W23" i="3" s="1"/>
  <c r="W19" i="2"/>
  <c r="X19" i="2"/>
  <c r="AA23" i="3" s="1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R20" i="2"/>
  <c r="T24" i="3" s="1"/>
  <c r="S20" i="2"/>
  <c r="T20" i="2"/>
  <c r="U24" i="3" s="1"/>
  <c r="U20" i="2"/>
  <c r="V20" i="2"/>
  <c r="W24" i="3" s="1"/>
  <c r="W20" i="2"/>
  <c r="X20" i="2"/>
  <c r="AA24" i="3" s="1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R21" i="2"/>
  <c r="T25" i="3" s="1"/>
  <c r="S21" i="2"/>
  <c r="T21" i="2"/>
  <c r="U25" i="3" s="1"/>
  <c r="U21" i="2"/>
  <c r="V21" i="2"/>
  <c r="W25" i="3" s="1"/>
  <c r="W21" i="2"/>
  <c r="X21" i="2"/>
  <c r="AA25" i="3" s="1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R22" i="2"/>
  <c r="T26" i="3" s="1"/>
  <c r="S22" i="2"/>
  <c r="T22" i="2"/>
  <c r="U26" i="3" s="1"/>
  <c r="U22" i="2"/>
  <c r="V22" i="2"/>
  <c r="W26" i="3" s="1"/>
  <c r="W22" i="2"/>
  <c r="X22" i="2"/>
  <c r="AA26" i="3" s="1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R23" i="2"/>
  <c r="T27" i="3" s="1"/>
  <c r="S23" i="2"/>
  <c r="T23" i="2"/>
  <c r="U27" i="3" s="1"/>
  <c r="U23" i="2"/>
  <c r="V23" i="2"/>
  <c r="W27" i="3" s="1"/>
  <c r="W23" i="2"/>
  <c r="X23" i="2"/>
  <c r="AA27" i="3" s="1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R24" i="2"/>
  <c r="T28" i="3" s="1"/>
  <c r="S24" i="2"/>
  <c r="T24" i="2"/>
  <c r="U28" i="3" s="1"/>
  <c r="U24" i="2"/>
  <c r="V24" i="2"/>
  <c r="W28" i="3" s="1"/>
  <c r="W24" i="2"/>
  <c r="X24" i="2"/>
  <c r="AA28" i="3" s="1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R25" i="2"/>
  <c r="T29" i="3" s="1"/>
  <c r="S25" i="2"/>
  <c r="T25" i="2"/>
  <c r="U29" i="3" s="1"/>
  <c r="U25" i="2"/>
  <c r="V25" i="2"/>
  <c r="W29" i="3" s="1"/>
  <c r="W25" i="2"/>
  <c r="X25" i="2"/>
  <c r="AA29" i="3" s="1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Q17" i="2"/>
  <c r="Q18" i="2"/>
  <c r="Q19" i="2"/>
  <c r="Q20" i="2"/>
  <c r="Q21" i="2"/>
  <c r="Q22" i="2"/>
  <c r="Q23" i="2"/>
  <c r="Q24" i="2"/>
  <c r="Q25" i="2"/>
  <c r="Q16" i="2"/>
  <c r="R2" i="2"/>
  <c r="T5" i="3" s="1"/>
  <c r="S2" i="2"/>
  <c r="T2" i="2"/>
  <c r="U5" i="3" s="1"/>
  <c r="U2" i="2"/>
  <c r="V2" i="2"/>
  <c r="W5" i="3" s="1"/>
  <c r="W2" i="2"/>
  <c r="X2" i="2"/>
  <c r="AA5" i="3" s="1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R3" i="2"/>
  <c r="T6" i="3" s="1"/>
  <c r="S3" i="2"/>
  <c r="T3" i="2"/>
  <c r="U6" i="3" s="1"/>
  <c r="U3" i="2"/>
  <c r="V3" i="2"/>
  <c r="W6" i="3" s="1"/>
  <c r="W3" i="2"/>
  <c r="X3" i="2"/>
  <c r="AA6" i="3" s="1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R4" i="2"/>
  <c r="T7" i="3" s="1"/>
  <c r="S4" i="2"/>
  <c r="T4" i="2"/>
  <c r="U7" i="3" s="1"/>
  <c r="U4" i="2"/>
  <c r="V4" i="2"/>
  <c r="W7" i="3" s="1"/>
  <c r="W4" i="2"/>
  <c r="X4" i="2"/>
  <c r="AA7" i="3" s="1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R5" i="2"/>
  <c r="T8" i="3" s="1"/>
  <c r="S5" i="2"/>
  <c r="T5" i="2"/>
  <c r="U8" i="3" s="1"/>
  <c r="U5" i="2"/>
  <c r="V5" i="2"/>
  <c r="W8" i="3" s="1"/>
  <c r="W5" i="2"/>
  <c r="X5" i="2"/>
  <c r="AA8" i="3" s="1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R6" i="2"/>
  <c r="T9" i="3" s="1"/>
  <c r="S6" i="2"/>
  <c r="T6" i="2"/>
  <c r="U9" i="3" s="1"/>
  <c r="U6" i="2"/>
  <c r="V6" i="2"/>
  <c r="W9" i="3" s="1"/>
  <c r="W6" i="2"/>
  <c r="X6" i="2"/>
  <c r="AA9" i="3" s="1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R7" i="2"/>
  <c r="T10" i="3" s="1"/>
  <c r="S7" i="2"/>
  <c r="T7" i="2"/>
  <c r="U10" i="3" s="1"/>
  <c r="U7" i="2"/>
  <c r="V7" i="2"/>
  <c r="W10" i="3" s="1"/>
  <c r="W7" i="2"/>
  <c r="X7" i="2"/>
  <c r="AA10" i="3" s="1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R8" i="2"/>
  <c r="T11" i="3" s="1"/>
  <c r="S8" i="2"/>
  <c r="T8" i="2"/>
  <c r="U11" i="3" s="1"/>
  <c r="U8" i="2"/>
  <c r="V8" i="2"/>
  <c r="W11" i="3" s="1"/>
  <c r="W8" i="2"/>
  <c r="X8" i="2"/>
  <c r="AA11" i="3" s="1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R9" i="2"/>
  <c r="T12" i="3" s="1"/>
  <c r="S9" i="2"/>
  <c r="T9" i="2"/>
  <c r="U12" i="3" s="1"/>
  <c r="U9" i="2"/>
  <c r="V9" i="2"/>
  <c r="W12" i="3" s="1"/>
  <c r="W9" i="2"/>
  <c r="X9" i="2"/>
  <c r="AA12" i="3" s="1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R10" i="2"/>
  <c r="T13" i="3" s="1"/>
  <c r="S10" i="2"/>
  <c r="T10" i="2"/>
  <c r="U13" i="3" s="1"/>
  <c r="U10" i="2"/>
  <c r="V10" i="2"/>
  <c r="W13" i="3" s="1"/>
  <c r="W10" i="2"/>
  <c r="X10" i="2"/>
  <c r="AA13" i="3" s="1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R11" i="2"/>
  <c r="T14" i="3" s="1"/>
  <c r="S11" i="2"/>
  <c r="T11" i="2"/>
  <c r="U14" i="3" s="1"/>
  <c r="U11" i="2"/>
  <c r="V11" i="2"/>
  <c r="W14" i="3" s="1"/>
  <c r="W11" i="2"/>
  <c r="X11" i="2"/>
  <c r="AA14" i="3" s="1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Q4" i="2"/>
  <c r="Q5" i="2"/>
  <c r="Q6" i="2"/>
  <c r="Q7" i="2"/>
  <c r="Q8" i="2"/>
  <c r="Q9" i="2"/>
  <c r="Q10" i="2"/>
  <c r="Q11" i="2"/>
  <c r="Q3" i="2"/>
  <c r="Q2" i="2"/>
  <c r="BV36" i="2"/>
  <c r="AH39" i="3" s="1"/>
  <c r="BW36" i="2"/>
  <c r="AI39" i="3" s="1"/>
  <c r="BX36" i="2"/>
  <c r="AJ39" i="3" s="1"/>
  <c r="BY36" i="2"/>
  <c r="AK39" i="3" s="1"/>
  <c r="BZ36" i="2"/>
  <c r="AL39" i="3" s="1"/>
  <c r="CA36" i="2"/>
  <c r="AM39" i="3" s="1"/>
  <c r="CB36" i="2"/>
  <c r="AN39" i="3" s="1"/>
  <c r="CC36" i="2"/>
  <c r="AO39" i="3" s="1"/>
  <c r="CD36" i="2"/>
  <c r="AP39" i="3" s="1"/>
  <c r="CE36" i="2"/>
  <c r="AQ39" i="3" s="1"/>
  <c r="CF36" i="2"/>
  <c r="CG36" i="2" s="1"/>
  <c r="AR39" i="3" s="1"/>
  <c r="BV37" i="2"/>
  <c r="AH40" i="3" s="1"/>
  <c r="BW37" i="2"/>
  <c r="AI40" i="3" s="1"/>
  <c r="BX37" i="2"/>
  <c r="AJ40" i="3" s="1"/>
  <c r="BY37" i="2"/>
  <c r="AK40" i="3" s="1"/>
  <c r="BZ37" i="2"/>
  <c r="AL40" i="3" s="1"/>
  <c r="CA37" i="2"/>
  <c r="AM40" i="3" s="1"/>
  <c r="CB37" i="2"/>
  <c r="AN40" i="3" s="1"/>
  <c r="CC37" i="2"/>
  <c r="AO40" i="3" s="1"/>
  <c r="CD37" i="2"/>
  <c r="AP40" i="3" s="1"/>
  <c r="CE37" i="2"/>
  <c r="AQ40" i="3" s="1"/>
  <c r="CF37" i="2"/>
  <c r="CJ37" i="2" s="1"/>
  <c r="AU40" i="3" s="1"/>
  <c r="BV38" i="2"/>
  <c r="AH41" i="3" s="1"/>
  <c r="BW38" i="2"/>
  <c r="AI41" i="3" s="1"/>
  <c r="BX38" i="2"/>
  <c r="AJ41" i="3" s="1"/>
  <c r="BY38" i="2"/>
  <c r="AK41" i="3" s="1"/>
  <c r="BZ38" i="2"/>
  <c r="AL41" i="3" s="1"/>
  <c r="CA38" i="2"/>
  <c r="AM41" i="3" s="1"/>
  <c r="CB38" i="2"/>
  <c r="AN41" i="3" s="1"/>
  <c r="CC38" i="2"/>
  <c r="AO41" i="3" s="1"/>
  <c r="CD38" i="2"/>
  <c r="AP41" i="3" s="1"/>
  <c r="CE38" i="2"/>
  <c r="AQ41" i="3" s="1"/>
  <c r="CF38" i="2"/>
  <c r="CG38" i="2" s="1"/>
  <c r="AR41" i="3" s="1"/>
  <c r="BV39" i="2"/>
  <c r="AH42" i="3" s="1"/>
  <c r="BW39" i="2"/>
  <c r="AI42" i="3" s="1"/>
  <c r="BX39" i="2"/>
  <c r="AJ42" i="3" s="1"/>
  <c r="BY39" i="2"/>
  <c r="AK42" i="3" s="1"/>
  <c r="BZ39" i="2"/>
  <c r="AL42" i="3" s="1"/>
  <c r="CA39" i="2"/>
  <c r="AM42" i="3" s="1"/>
  <c r="CB39" i="2"/>
  <c r="AN42" i="3" s="1"/>
  <c r="CC39" i="2"/>
  <c r="AO42" i="3" s="1"/>
  <c r="CD39" i="2"/>
  <c r="AP42" i="3" s="1"/>
  <c r="CE39" i="2"/>
  <c r="AQ42" i="3" s="1"/>
  <c r="CF39" i="2"/>
  <c r="CH39" i="2" s="1"/>
  <c r="AS42" i="3" s="1"/>
  <c r="BV40" i="2"/>
  <c r="AH43" i="3" s="1"/>
  <c r="BW40" i="2"/>
  <c r="AI43" i="3" s="1"/>
  <c r="BX40" i="2"/>
  <c r="AJ43" i="3" s="1"/>
  <c r="BY40" i="2"/>
  <c r="AK43" i="3" s="1"/>
  <c r="BZ40" i="2"/>
  <c r="AL43" i="3" s="1"/>
  <c r="CA40" i="2"/>
  <c r="AM43" i="3" s="1"/>
  <c r="CB40" i="2"/>
  <c r="AN43" i="3" s="1"/>
  <c r="CC40" i="2"/>
  <c r="AO43" i="3" s="1"/>
  <c r="CD40" i="2"/>
  <c r="AP43" i="3" s="1"/>
  <c r="CE40" i="2"/>
  <c r="AQ43" i="3" s="1"/>
  <c r="CF40" i="2"/>
  <c r="CG40" i="2" s="1"/>
  <c r="AR43" i="3" s="1"/>
  <c r="BV41" i="2"/>
  <c r="AH44" i="3" s="1"/>
  <c r="BW41" i="2"/>
  <c r="AI44" i="3" s="1"/>
  <c r="BX41" i="2"/>
  <c r="AJ44" i="3" s="1"/>
  <c r="BY41" i="2"/>
  <c r="AK44" i="3" s="1"/>
  <c r="BZ41" i="2"/>
  <c r="AL44" i="3" s="1"/>
  <c r="CA41" i="2"/>
  <c r="AM44" i="3" s="1"/>
  <c r="CB41" i="2"/>
  <c r="AN44" i="3" s="1"/>
  <c r="CC41" i="2"/>
  <c r="AO44" i="3" s="1"/>
  <c r="CD41" i="2"/>
  <c r="AP44" i="3" s="1"/>
  <c r="CE41" i="2"/>
  <c r="AQ44" i="3" s="1"/>
  <c r="CF41" i="2"/>
  <c r="CH41" i="2" s="1"/>
  <c r="AS44" i="3" s="1"/>
  <c r="BV42" i="2"/>
  <c r="AH45" i="3" s="1"/>
  <c r="BW42" i="2"/>
  <c r="AI45" i="3" s="1"/>
  <c r="BX42" i="2"/>
  <c r="AJ45" i="3" s="1"/>
  <c r="BY42" i="2"/>
  <c r="AK45" i="3" s="1"/>
  <c r="BZ42" i="2"/>
  <c r="AL45" i="3" s="1"/>
  <c r="CA42" i="2"/>
  <c r="AM45" i="3" s="1"/>
  <c r="CB42" i="2"/>
  <c r="AN45" i="3" s="1"/>
  <c r="CC42" i="2"/>
  <c r="AO45" i="3" s="1"/>
  <c r="CD42" i="2"/>
  <c r="AP45" i="3" s="1"/>
  <c r="CE42" i="2"/>
  <c r="AQ45" i="3" s="1"/>
  <c r="CF42" i="2"/>
  <c r="CG42" i="2" s="1"/>
  <c r="AR45" i="3" s="1"/>
  <c r="BV43" i="2"/>
  <c r="AH46" i="3" s="1"/>
  <c r="BW43" i="2"/>
  <c r="AI46" i="3" s="1"/>
  <c r="BX43" i="2"/>
  <c r="AJ46" i="3" s="1"/>
  <c r="BY43" i="2"/>
  <c r="AK46" i="3" s="1"/>
  <c r="BZ43" i="2"/>
  <c r="AL46" i="3" s="1"/>
  <c r="CA43" i="2"/>
  <c r="AM46" i="3" s="1"/>
  <c r="CB43" i="2"/>
  <c r="AN46" i="3" s="1"/>
  <c r="CC43" i="2"/>
  <c r="AO46" i="3" s="1"/>
  <c r="CD43" i="2"/>
  <c r="AP46" i="3" s="1"/>
  <c r="CE43" i="2"/>
  <c r="AQ46" i="3" s="1"/>
  <c r="CF43" i="2"/>
  <c r="CJ43" i="2" s="1"/>
  <c r="AU46" i="3" s="1"/>
  <c r="BV44" i="2"/>
  <c r="AH47" i="3" s="1"/>
  <c r="BW44" i="2"/>
  <c r="AI47" i="3" s="1"/>
  <c r="BX44" i="2"/>
  <c r="AJ47" i="3" s="1"/>
  <c r="BY44" i="2"/>
  <c r="AK47" i="3" s="1"/>
  <c r="BZ44" i="2"/>
  <c r="AL47" i="3" s="1"/>
  <c r="CA44" i="2"/>
  <c r="AM47" i="3" s="1"/>
  <c r="CB44" i="2"/>
  <c r="AN47" i="3" s="1"/>
  <c r="CC44" i="2"/>
  <c r="AO47" i="3" s="1"/>
  <c r="CD44" i="2"/>
  <c r="AP47" i="3" s="1"/>
  <c r="CE44" i="2"/>
  <c r="AQ47" i="3" s="1"/>
  <c r="CF44" i="2"/>
  <c r="CK44" i="2" s="1"/>
  <c r="AV47" i="3" s="1"/>
  <c r="BV45" i="2"/>
  <c r="AH48" i="3" s="1"/>
  <c r="BW45" i="2"/>
  <c r="AI48" i="3" s="1"/>
  <c r="BX45" i="2"/>
  <c r="AJ48" i="3" s="1"/>
  <c r="BY45" i="2"/>
  <c r="AK48" i="3" s="1"/>
  <c r="BZ45" i="2"/>
  <c r="AL48" i="3" s="1"/>
  <c r="CA45" i="2"/>
  <c r="AM48" i="3" s="1"/>
  <c r="CB45" i="2"/>
  <c r="AN48" i="3" s="1"/>
  <c r="CC45" i="2"/>
  <c r="AO48" i="3" s="1"/>
  <c r="CD45" i="2"/>
  <c r="AP48" i="3" s="1"/>
  <c r="CE45" i="2"/>
  <c r="AQ48" i="3" s="1"/>
  <c r="CF45" i="2"/>
  <c r="BV46" i="2"/>
  <c r="AH49" i="3" s="1"/>
  <c r="BW46" i="2"/>
  <c r="AI49" i="3" s="1"/>
  <c r="BX46" i="2"/>
  <c r="AJ49" i="3" s="1"/>
  <c r="BY46" i="2"/>
  <c r="AK49" i="3" s="1"/>
  <c r="BZ46" i="2"/>
  <c r="AL49" i="3" s="1"/>
  <c r="CA46" i="2"/>
  <c r="AM49" i="3" s="1"/>
  <c r="CB46" i="2"/>
  <c r="AN49" i="3" s="1"/>
  <c r="CC46" i="2"/>
  <c r="AO49" i="3" s="1"/>
  <c r="CD46" i="2"/>
  <c r="AP49" i="3" s="1"/>
  <c r="CE46" i="2"/>
  <c r="AQ49" i="3" s="1"/>
  <c r="CF46" i="2"/>
  <c r="BV47" i="2"/>
  <c r="AH50" i="3" s="1"/>
  <c r="BW47" i="2"/>
  <c r="AI50" i="3" s="1"/>
  <c r="BX47" i="2"/>
  <c r="AJ50" i="3" s="1"/>
  <c r="BY47" i="2"/>
  <c r="AK50" i="3" s="1"/>
  <c r="BZ47" i="2"/>
  <c r="AL50" i="3" s="1"/>
  <c r="CA47" i="2"/>
  <c r="AM50" i="3" s="1"/>
  <c r="CB47" i="2"/>
  <c r="AN50" i="3" s="1"/>
  <c r="CC47" i="2"/>
  <c r="AO50" i="3" s="1"/>
  <c r="CD47" i="2"/>
  <c r="AP50" i="3" s="1"/>
  <c r="CE47" i="2"/>
  <c r="AQ50" i="3" s="1"/>
  <c r="CF47" i="2"/>
  <c r="CH47" i="2" s="1"/>
  <c r="AS50" i="3" s="1"/>
  <c r="BV48" i="2"/>
  <c r="BW48" i="2"/>
  <c r="BX48" i="2"/>
  <c r="BY48" i="2"/>
  <c r="BZ48" i="2"/>
  <c r="CA48" i="2"/>
  <c r="CB48" i="2"/>
  <c r="CC48" i="2"/>
  <c r="CD48" i="2"/>
  <c r="CE48" i="2"/>
  <c r="CF48" i="2"/>
  <c r="CI48" i="2" s="1"/>
  <c r="BV49" i="2"/>
  <c r="BW49" i="2"/>
  <c r="BX49" i="2"/>
  <c r="BY49" i="2"/>
  <c r="BZ49" i="2"/>
  <c r="CA49" i="2"/>
  <c r="CB49" i="2"/>
  <c r="CC49" i="2"/>
  <c r="CD49" i="2"/>
  <c r="CE49" i="2"/>
  <c r="CF49" i="2"/>
  <c r="CH49" i="2" s="1"/>
  <c r="BV50" i="2"/>
  <c r="BW50" i="2"/>
  <c r="BX50" i="2"/>
  <c r="BY50" i="2"/>
  <c r="BZ50" i="2"/>
  <c r="CA50" i="2"/>
  <c r="CB50" i="2"/>
  <c r="CC50" i="2"/>
  <c r="CD50" i="2"/>
  <c r="CE50" i="2"/>
  <c r="CF50" i="2"/>
  <c r="CG50" i="2" s="1"/>
  <c r="BV2" i="2"/>
  <c r="AH5" i="3" s="1"/>
  <c r="BW2" i="2"/>
  <c r="AI5" i="3" s="1"/>
  <c r="BX2" i="2"/>
  <c r="AJ5" i="3" s="1"/>
  <c r="BY2" i="2"/>
  <c r="AK5" i="3" s="1"/>
  <c r="BZ2" i="2"/>
  <c r="AL5" i="3" s="1"/>
  <c r="CA2" i="2"/>
  <c r="AM5" i="3" s="1"/>
  <c r="CB2" i="2"/>
  <c r="AN5" i="3" s="1"/>
  <c r="CC2" i="2"/>
  <c r="AO5" i="3" s="1"/>
  <c r="CD2" i="2"/>
  <c r="AP5" i="3" s="1"/>
  <c r="CE2" i="2"/>
  <c r="AQ5" i="3" s="1"/>
  <c r="CF2" i="2"/>
  <c r="CH2" i="2" s="1"/>
  <c r="AS5" i="3" s="1"/>
  <c r="BV3" i="2"/>
  <c r="AH6" i="3" s="1"/>
  <c r="BW3" i="2"/>
  <c r="AI6" i="3" s="1"/>
  <c r="BX3" i="2"/>
  <c r="AJ6" i="3" s="1"/>
  <c r="BY3" i="2"/>
  <c r="AK6" i="3" s="1"/>
  <c r="BZ3" i="2"/>
  <c r="AL6" i="3" s="1"/>
  <c r="CA3" i="2"/>
  <c r="AM6" i="3" s="1"/>
  <c r="CB3" i="2"/>
  <c r="AN6" i="3" s="1"/>
  <c r="CC3" i="2"/>
  <c r="AO6" i="3" s="1"/>
  <c r="CD3" i="2"/>
  <c r="AP6" i="3" s="1"/>
  <c r="CE3" i="2"/>
  <c r="AQ6" i="3" s="1"/>
  <c r="CF3" i="2"/>
  <c r="CH3" i="2" s="1"/>
  <c r="AS6" i="3" s="1"/>
  <c r="BV4" i="2"/>
  <c r="AH7" i="3" s="1"/>
  <c r="BW4" i="2"/>
  <c r="AI7" i="3" s="1"/>
  <c r="BX4" i="2"/>
  <c r="AJ7" i="3" s="1"/>
  <c r="BY4" i="2"/>
  <c r="AK7" i="3" s="1"/>
  <c r="BZ4" i="2"/>
  <c r="AL7" i="3" s="1"/>
  <c r="CA4" i="2"/>
  <c r="AM7" i="3" s="1"/>
  <c r="CB4" i="2"/>
  <c r="AN7" i="3" s="1"/>
  <c r="CC4" i="2"/>
  <c r="AO7" i="3" s="1"/>
  <c r="CD4" i="2"/>
  <c r="AP7" i="3" s="1"/>
  <c r="CE4" i="2"/>
  <c r="AQ7" i="3" s="1"/>
  <c r="CF4" i="2"/>
  <c r="CG4" i="2" s="1"/>
  <c r="AR7" i="3" s="1"/>
  <c r="BV5" i="2"/>
  <c r="AH8" i="3" s="1"/>
  <c r="BW5" i="2"/>
  <c r="AI8" i="3" s="1"/>
  <c r="BX5" i="2"/>
  <c r="AJ8" i="3" s="1"/>
  <c r="BY5" i="2"/>
  <c r="AK8" i="3" s="1"/>
  <c r="BZ5" i="2"/>
  <c r="AL8" i="3" s="1"/>
  <c r="CA5" i="2"/>
  <c r="AM8" i="3" s="1"/>
  <c r="CB5" i="2"/>
  <c r="AN8" i="3" s="1"/>
  <c r="CC5" i="2"/>
  <c r="AO8" i="3" s="1"/>
  <c r="CD5" i="2"/>
  <c r="AP8" i="3" s="1"/>
  <c r="CE5" i="2"/>
  <c r="AQ8" i="3" s="1"/>
  <c r="CF5" i="2"/>
  <c r="CH5" i="2" s="1"/>
  <c r="AS8" i="3" s="1"/>
  <c r="BV6" i="2"/>
  <c r="AH9" i="3" s="1"/>
  <c r="BW6" i="2"/>
  <c r="AI9" i="3" s="1"/>
  <c r="BX6" i="2"/>
  <c r="AJ9" i="3" s="1"/>
  <c r="BY6" i="2"/>
  <c r="AK9" i="3" s="1"/>
  <c r="BZ6" i="2"/>
  <c r="AL9" i="3" s="1"/>
  <c r="CA6" i="2"/>
  <c r="AM9" i="3" s="1"/>
  <c r="CB6" i="2"/>
  <c r="AN9" i="3" s="1"/>
  <c r="CC6" i="2"/>
  <c r="AO9" i="3" s="1"/>
  <c r="CD6" i="2"/>
  <c r="AP9" i="3" s="1"/>
  <c r="CE6" i="2"/>
  <c r="AQ9" i="3" s="1"/>
  <c r="CF6" i="2"/>
  <c r="BV7" i="2"/>
  <c r="AH10" i="3" s="1"/>
  <c r="BW7" i="2"/>
  <c r="AI10" i="3" s="1"/>
  <c r="BX7" i="2"/>
  <c r="AJ10" i="3" s="1"/>
  <c r="BY7" i="2"/>
  <c r="AK10" i="3" s="1"/>
  <c r="BZ7" i="2"/>
  <c r="AL10" i="3" s="1"/>
  <c r="CA7" i="2"/>
  <c r="AM10" i="3" s="1"/>
  <c r="CB7" i="2"/>
  <c r="AN10" i="3" s="1"/>
  <c r="CC7" i="2"/>
  <c r="AO10" i="3" s="1"/>
  <c r="CD7" i="2"/>
  <c r="AP10" i="3" s="1"/>
  <c r="CE7" i="2"/>
  <c r="AQ10" i="3" s="1"/>
  <c r="CF7" i="2"/>
  <c r="BV8" i="2"/>
  <c r="AH11" i="3" s="1"/>
  <c r="BW8" i="2"/>
  <c r="AI11" i="3" s="1"/>
  <c r="BX8" i="2"/>
  <c r="AJ11" i="3" s="1"/>
  <c r="BY8" i="2"/>
  <c r="AK11" i="3" s="1"/>
  <c r="BZ8" i="2"/>
  <c r="AL11" i="3" s="1"/>
  <c r="CA8" i="2"/>
  <c r="AM11" i="3" s="1"/>
  <c r="CB8" i="2"/>
  <c r="AN11" i="3" s="1"/>
  <c r="CC8" i="2"/>
  <c r="AO11" i="3" s="1"/>
  <c r="CD8" i="2"/>
  <c r="AP11" i="3" s="1"/>
  <c r="CE8" i="2"/>
  <c r="AQ11" i="3" s="1"/>
  <c r="CF8" i="2"/>
  <c r="CJ8" i="2" s="1"/>
  <c r="AU11" i="3" s="1"/>
  <c r="BV9" i="2"/>
  <c r="AH12" i="3" s="1"/>
  <c r="BW9" i="2"/>
  <c r="AI12" i="3" s="1"/>
  <c r="BX9" i="2"/>
  <c r="AJ12" i="3" s="1"/>
  <c r="BY9" i="2"/>
  <c r="AK12" i="3" s="1"/>
  <c r="BZ9" i="2"/>
  <c r="AL12" i="3" s="1"/>
  <c r="CA9" i="2"/>
  <c r="AM12" i="3" s="1"/>
  <c r="CB9" i="2"/>
  <c r="AN12" i="3" s="1"/>
  <c r="CC9" i="2"/>
  <c r="AO12" i="3" s="1"/>
  <c r="CD9" i="2"/>
  <c r="AP12" i="3" s="1"/>
  <c r="CE9" i="2"/>
  <c r="AQ12" i="3" s="1"/>
  <c r="CF9" i="2"/>
  <c r="CG9" i="2" s="1"/>
  <c r="AR12" i="3" s="1"/>
  <c r="BV10" i="2"/>
  <c r="AH13" i="3" s="1"/>
  <c r="BW10" i="2"/>
  <c r="AI13" i="3" s="1"/>
  <c r="BX10" i="2"/>
  <c r="AJ13" i="3" s="1"/>
  <c r="BY10" i="2"/>
  <c r="AK13" i="3" s="1"/>
  <c r="BZ10" i="2"/>
  <c r="AL13" i="3" s="1"/>
  <c r="CA10" i="2"/>
  <c r="AM13" i="3" s="1"/>
  <c r="CB10" i="2"/>
  <c r="AN13" i="3" s="1"/>
  <c r="CC10" i="2"/>
  <c r="AO13" i="3" s="1"/>
  <c r="CD10" i="2"/>
  <c r="AP13" i="3" s="1"/>
  <c r="CE10" i="2"/>
  <c r="AQ13" i="3" s="1"/>
  <c r="CF10" i="2"/>
  <c r="BV11" i="2"/>
  <c r="AH14" i="3" s="1"/>
  <c r="BW11" i="2"/>
  <c r="AI14" i="3" s="1"/>
  <c r="BX11" i="2"/>
  <c r="AJ14" i="3" s="1"/>
  <c r="BY11" i="2"/>
  <c r="AK14" i="3" s="1"/>
  <c r="BZ11" i="2"/>
  <c r="AL14" i="3" s="1"/>
  <c r="CA11" i="2"/>
  <c r="AM14" i="3" s="1"/>
  <c r="CB11" i="2"/>
  <c r="AN14" i="3" s="1"/>
  <c r="CC11" i="2"/>
  <c r="AO14" i="3" s="1"/>
  <c r="CD11" i="2"/>
  <c r="AP14" i="3" s="1"/>
  <c r="CE11" i="2"/>
  <c r="AQ14" i="3" s="1"/>
  <c r="CF11" i="2"/>
  <c r="CG11" i="2" s="1"/>
  <c r="AR14" i="3" s="1"/>
  <c r="BV12" i="2"/>
  <c r="AH15" i="3" s="1"/>
  <c r="BW12" i="2"/>
  <c r="AI15" i="3" s="1"/>
  <c r="BX12" i="2"/>
  <c r="AJ15" i="3" s="1"/>
  <c r="BY12" i="2"/>
  <c r="AK15" i="3" s="1"/>
  <c r="BZ12" i="2"/>
  <c r="AL15" i="3" s="1"/>
  <c r="CA12" i="2"/>
  <c r="AM15" i="3" s="1"/>
  <c r="CB12" i="2"/>
  <c r="AN15" i="3" s="1"/>
  <c r="CC12" i="2"/>
  <c r="AO15" i="3" s="1"/>
  <c r="CD12" i="2"/>
  <c r="AP15" i="3" s="1"/>
  <c r="CE12" i="2"/>
  <c r="AQ15" i="3" s="1"/>
  <c r="CF12" i="2"/>
  <c r="CK12" i="2" s="1"/>
  <c r="AV15" i="3" s="1"/>
  <c r="BV13" i="2"/>
  <c r="AH16" i="3" s="1"/>
  <c r="BW13" i="2"/>
  <c r="AI16" i="3" s="1"/>
  <c r="BX13" i="2"/>
  <c r="AJ16" i="3" s="1"/>
  <c r="BY13" i="2"/>
  <c r="AK16" i="3" s="1"/>
  <c r="BZ13" i="2"/>
  <c r="AL16" i="3" s="1"/>
  <c r="CA13" i="2"/>
  <c r="AM16" i="3" s="1"/>
  <c r="CB13" i="2"/>
  <c r="AN16" i="3" s="1"/>
  <c r="CC13" i="2"/>
  <c r="AO16" i="3" s="1"/>
  <c r="CD13" i="2"/>
  <c r="AP16" i="3" s="1"/>
  <c r="CE13" i="2"/>
  <c r="AQ16" i="3" s="1"/>
  <c r="CF13" i="2"/>
  <c r="CH13" i="2" s="1"/>
  <c r="AS16" i="3" s="1"/>
  <c r="BV14" i="2"/>
  <c r="AH17" i="3" s="1"/>
  <c r="BW14" i="2"/>
  <c r="AI17" i="3" s="1"/>
  <c r="BX14" i="2"/>
  <c r="AJ17" i="3" s="1"/>
  <c r="BY14" i="2"/>
  <c r="AK17" i="3" s="1"/>
  <c r="BZ14" i="2"/>
  <c r="AL17" i="3" s="1"/>
  <c r="CA14" i="2"/>
  <c r="AM17" i="3" s="1"/>
  <c r="CB14" i="2"/>
  <c r="AN17" i="3" s="1"/>
  <c r="CC14" i="2"/>
  <c r="AO17" i="3" s="1"/>
  <c r="CD14" i="2"/>
  <c r="AP17" i="3" s="1"/>
  <c r="CE14" i="2"/>
  <c r="AQ17" i="3" s="1"/>
  <c r="CF14" i="2"/>
  <c r="CG14" i="2" s="1"/>
  <c r="AR17" i="3" s="1"/>
  <c r="BV15" i="2"/>
  <c r="AH18" i="3" s="1"/>
  <c r="BW15" i="2"/>
  <c r="AI18" i="3" s="1"/>
  <c r="BX15" i="2"/>
  <c r="AJ18" i="3" s="1"/>
  <c r="BY15" i="2"/>
  <c r="AK18" i="3" s="1"/>
  <c r="BZ15" i="2"/>
  <c r="AL18" i="3" s="1"/>
  <c r="CA15" i="2"/>
  <c r="AM18" i="3" s="1"/>
  <c r="CB15" i="2"/>
  <c r="AN18" i="3" s="1"/>
  <c r="CC15" i="2"/>
  <c r="AO18" i="3" s="1"/>
  <c r="CD15" i="2"/>
  <c r="AP18" i="3" s="1"/>
  <c r="CE15" i="2"/>
  <c r="AQ18" i="3" s="1"/>
  <c r="CF15" i="2"/>
  <c r="CG15" i="2" s="1"/>
  <c r="AR18" i="3" s="1"/>
  <c r="BV16" i="2"/>
  <c r="AH19" i="3" s="1"/>
  <c r="BW16" i="2"/>
  <c r="AI19" i="3" s="1"/>
  <c r="BX16" i="2"/>
  <c r="AJ19" i="3" s="1"/>
  <c r="BY16" i="2"/>
  <c r="AK19" i="3" s="1"/>
  <c r="BZ16" i="2"/>
  <c r="AL19" i="3" s="1"/>
  <c r="CA16" i="2"/>
  <c r="AM19" i="3" s="1"/>
  <c r="CB16" i="2"/>
  <c r="AN19" i="3" s="1"/>
  <c r="CC16" i="2"/>
  <c r="AO19" i="3" s="1"/>
  <c r="CD16" i="2"/>
  <c r="AP19" i="3" s="1"/>
  <c r="CE16" i="2"/>
  <c r="AQ19" i="3" s="1"/>
  <c r="CF16" i="2"/>
  <c r="CG16" i="2" s="1"/>
  <c r="AR19" i="3" s="1"/>
  <c r="BV17" i="2"/>
  <c r="AH20" i="3" s="1"/>
  <c r="BW17" i="2"/>
  <c r="AI20" i="3" s="1"/>
  <c r="BX17" i="2"/>
  <c r="AJ20" i="3" s="1"/>
  <c r="BY17" i="2"/>
  <c r="AK20" i="3" s="1"/>
  <c r="BZ17" i="2"/>
  <c r="AL20" i="3" s="1"/>
  <c r="CA17" i="2"/>
  <c r="AM20" i="3" s="1"/>
  <c r="CB17" i="2"/>
  <c r="AN20" i="3" s="1"/>
  <c r="CC17" i="2"/>
  <c r="AO20" i="3" s="1"/>
  <c r="CD17" i="2"/>
  <c r="AP20" i="3" s="1"/>
  <c r="CE17" i="2"/>
  <c r="AQ20" i="3" s="1"/>
  <c r="CF17" i="2"/>
  <c r="CJ17" i="2" s="1"/>
  <c r="AU20" i="3" s="1"/>
  <c r="BV18" i="2"/>
  <c r="AH21" i="3" s="1"/>
  <c r="BW18" i="2"/>
  <c r="AI21" i="3" s="1"/>
  <c r="BX18" i="2"/>
  <c r="AJ21" i="3" s="1"/>
  <c r="BY18" i="2"/>
  <c r="AK21" i="3" s="1"/>
  <c r="BZ18" i="2"/>
  <c r="AL21" i="3" s="1"/>
  <c r="CA18" i="2"/>
  <c r="AM21" i="3" s="1"/>
  <c r="CB18" i="2"/>
  <c r="AN21" i="3" s="1"/>
  <c r="CC18" i="2"/>
  <c r="AO21" i="3" s="1"/>
  <c r="CD18" i="2"/>
  <c r="AP21" i="3" s="1"/>
  <c r="CE18" i="2"/>
  <c r="AQ21" i="3" s="1"/>
  <c r="CF18" i="2"/>
  <c r="CJ18" i="2" s="1"/>
  <c r="AU21" i="3" s="1"/>
  <c r="BV19" i="2"/>
  <c r="AH22" i="3" s="1"/>
  <c r="BW19" i="2"/>
  <c r="AI22" i="3" s="1"/>
  <c r="BX19" i="2"/>
  <c r="AJ22" i="3" s="1"/>
  <c r="BY19" i="2"/>
  <c r="AK22" i="3" s="1"/>
  <c r="BZ19" i="2"/>
  <c r="AL22" i="3" s="1"/>
  <c r="CA19" i="2"/>
  <c r="AM22" i="3" s="1"/>
  <c r="CB19" i="2"/>
  <c r="AN22" i="3" s="1"/>
  <c r="CC19" i="2"/>
  <c r="AO22" i="3" s="1"/>
  <c r="CD19" i="2"/>
  <c r="AP22" i="3" s="1"/>
  <c r="CE19" i="2"/>
  <c r="AQ22" i="3" s="1"/>
  <c r="CF19" i="2"/>
  <c r="CH19" i="2" s="1"/>
  <c r="AS22" i="3" s="1"/>
  <c r="BV20" i="2"/>
  <c r="AH23" i="3" s="1"/>
  <c r="BW20" i="2"/>
  <c r="AI23" i="3" s="1"/>
  <c r="BX20" i="2"/>
  <c r="AJ23" i="3" s="1"/>
  <c r="BY20" i="2"/>
  <c r="AK23" i="3" s="1"/>
  <c r="BZ20" i="2"/>
  <c r="AL23" i="3" s="1"/>
  <c r="CA20" i="2"/>
  <c r="AM23" i="3" s="1"/>
  <c r="CB20" i="2"/>
  <c r="AN23" i="3" s="1"/>
  <c r="CC20" i="2"/>
  <c r="AO23" i="3" s="1"/>
  <c r="CD20" i="2"/>
  <c r="AP23" i="3" s="1"/>
  <c r="CE20" i="2"/>
  <c r="AQ23" i="3" s="1"/>
  <c r="CF20" i="2"/>
  <c r="CG20" i="2" s="1"/>
  <c r="AR23" i="3" s="1"/>
  <c r="BV21" i="2"/>
  <c r="AH24" i="3" s="1"/>
  <c r="BW21" i="2"/>
  <c r="AI24" i="3" s="1"/>
  <c r="BX21" i="2"/>
  <c r="AJ24" i="3" s="1"/>
  <c r="BY21" i="2"/>
  <c r="AK24" i="3" s="1"/>
  <c r="BZ21" i="2"/>
  <c r="AL24" i="3" s="1"/>
  <c r="CA21" i="2"/>
  <c r="AM24" i="3" s="1"/>
  <c r="CB21" i="2"/>
  <c r="AN24" i="3" s="1"/>
  <c r="CC21" i="2"/>
  <c r="AO24" i="3" s="1"/>
  <c r="CD21" i="2"/>
  <c r="AP24" i="3" s="1"/>
  <c r="CE21" i="2"/>
  <c r="AQ24" i="3" s="1"/>
  <c r="CF21" i="2"/>
  <c r="CK21" i="2" s="1"/>
  <c r="AV24" i="3" s="1"/>
  <c r="BV22" i="2"/>
  <c r="AH25" i="3" s="1"/>
  <c r="BW22" i="2"/>
  <c r="AI25" i="3" s="1"/>
  <c r="BX22" i="2"/>
  <c r="AJ25" i="3" s="1"/>
  <c r="BY22" i="2"/>
  <c r="AK25" i="3" s="1"/>
  <c r="BZ22" i="2"/>
  <c r="AL25" i="3" s="1"/>
  <c r="CA22" i="2"/>
  <c r="AM25" i="3" s="1"/>
  <c r="CB22" i="2"/>
  <c r="AN25" i="3" s="1"/>
  <c r="CC22" i="2"/>
  <c r="AO25" i="3" s="1"/>
  <c r="CD22" i="2"/>
  <c r="AP25" i="3" s="1"/>
  <c r="CE22" i="2"/>
  <c r="AQ25" i="3" s="1"/>
  <c r="CF22" i="2"/>
  <c r="BV23" i="2"/>
  <c r="AH26" i="3" s="1"/>
  <c r="BW23" i="2"/>
  <c r="AI26" i="3" s="1"/>
  <c r="BX23" i="2"/>
  <c r="AJ26" i="3" s="1"/>
  <c r="BY23" i="2"/>
  <c r="AK26" i="3" s="1"/>
  <c r="BZ23" i="2"/>
  <c r="AL26" i="3" s="1"/>
  <c r="CA23" i="2"/>
  <c r="AM26" i="3" s="1"/>
  <c r="CB23" i="2"/>
  <c r="AN26" i="3" s="1"/>
  <c r="CC23" i="2"/>
  <c r="AO26" i="3" s="1"/>
  <c r="CD23" i="2"/>
  <c r="AP26" i="3" s="1"/>
  <c r="CE23" i="2"/>
  <c r="AQ26" i="3" s="1"/>
  <c r="CF23" i="2"/>
  <c r="BV24" i="2"/>
  <c r="AH27" i="3" s="1"/>
  <c r="BW24" i="2"/>
  <c r="AI27" i="3" s="1"/>
  <c r="BX24" i="2"/>
  <c r="AJ27" i="3" s="1"/>
  <c r="BY24" i="2"/>
  <c r="AK27" i="3" s="1"/>
  <c r="BZ24" i="2"/>
  <c r="AL27" i="3" s="1"/>
  <c r="CA24" i="2"/>
  <c r="AM27" i="3" s="1"/>
  <c r="CB24" i="2"/>
  <c r="AN27" i="3" s="1"/>
  <c r="CC24" i="2"/>
  <c r="AO27" i="3" s="1"/>
  <c r="CD24" i="2"/>
  <c r="AP27" i="3" s="1"/>
  <c r="CE24" i="2"/>
  <c r="AQ27" i="3" s="1"/>
  <c r="CF24" i="2"/>
  <c r="CH24" i="2" s="1"/>
  <c r="AS27" i="3" s="1"/>
  <c r="BV25" i="2"/>
  <c r="AH28" i="3" s="1"/>
  <c r="BW25" i="2"/>
  <c r="AI28" i="3" s="1"/>
  <c r="BX25" i="2"/>
  <c r="AJ28" i="3" s="1"/>
  <c r="BY25" i="2"/>
  <c r="AK28" i="3" s="1"/>
  <c r="BZ25" i="2"/>
  <c r="AL28" i="3" s="1"/>
  <c r="CA25" i="2"/>
  <c r="AM28" i="3" s="1"/>
  <c r="CB25" i="2"/>
  <c r="AN28" i="3" s="1"/>
  <c r="CC25" i="2"/>
  <c r="AO28" i="3" s="1"/>
  <c r="CD25" i="2"/>
  <c r="AP28" i="3" s="1"/>
  <c r="CE25" i="2"/>
  <c r="AQ28" i="3" s="1"/>
  <c r="CF25" i="2"/>
  <c r="CG25" i="2" s="1"/>
  <c r="AR28" i="3" s="1"/>
  <c r="BV26" i="2"/>
  <c r="AH29" i="3" s="1"/>
  <c r="BW26" i="2"/>
  <c r="AI29" i="3" s="1"/>
  <c r="BX26" i="2"/>
  <c r="AJ29" i="3" s="1"/>
  <c r="BY26" i="2"/>
  <c r="AK29" i="3" s="1"/>
  <c r="BZ26" i="2"/>
  <c r="AL29" i="3" s="1"/>
  <c r="CA26" i="2"/>
  <c r="AM29" i="3" s="1"/>
  <c r="CB26" i="2"/>
  <c r="AN29" i="3" s="1"/>
  <c r="CC26" i="2"/>
  <c r="AO29" i="3" s="1"/>
  <c r="CD26" i="2"/>
  <c r="AP29" i="3" s="1"/>
  <c r="CE26" i="2"/>
  <c r="AQ29" i="3" s="1"/>
  <c r="CF26" i="2"/>
  <c r="CG26" i="2" s="1"/>
  <c r="AR29" i="3" s="1"/>
  <c r="BV27" i="2"/>
  <c r="AH30" i="3" s="1"/>
  <c r="BW27" i="2"/>
  <c r="AI30" i="3" s="1"/>
  <c r="BX27" i="2"/>
  <c r="AJ30" i="3" s="1"/>
  <c r="BY27" i="2"/>
  <c r="AK30" i="3" s="1"/>
  <c r="BZ27" i="2"/>
  <c r="AL30" i="3" s="1"/>
  <c r="CA27" i="2"/>
  <c r="AM30" i="3" s="1"/>
  <c r="CB27" i="2"/>
  <c r="AN30" i="3" s="1"/>
  <c r="CC27" i="2"/>
  <c r="AO30" i="3" s="1"/>
  <c r="CD27" i="2"/>
  <c r="AP30" i="3" s="1"/>
  <c r="CE27" i="2"/>
  <c r="AQ30" i="3" s="1"/>
  <c r="CF27" i="2"/>
  <c r="CJ27" i="2" s="1"/>
  <c r="AU30" i="3" s="1"/>
  <c r="BV28" i="2"/>
  <c r="AH31" i="3" s="1"/>
  <c r="BW28" i="2"/>
  <c r="AI31" i="3" s="1"/>
  <c r="BX28" i="2"/>
  <c r="AJ31" i="3" s="1"/>
  <c r="BY28" i="2"/>
  <c r="AK31" i="3" s="1"/>
  <c r="BZ28" i="2"/>
  <c r="AL31" i="3" s="1"/>
  <c r="CA28" i="2"/>
  <c r="AM31" i="3" s="1"/>
  <c r="CB28" i="2"/>
  <c r="AN31" i="3" s="1"/>
  <c r="CC28" i="2"/>
  <c r="AO31" i="3" s="1"/>
  <c r="CD28" i="2"/>
  <c r="AP31" i="3" s="1"/>
  <c r="CE28" i="2"/>
  <c r="AQ31" i="3" s="1"/>
  <c r="CF28" i="2"/>
  <c r="CK28" i="2" s="1"/>
  <c r="AV31" i="3" s="1"/>
  <c r="BV29" i="2"/>
  <c r="AH32" i="3" s="1"/>
  <c r="BW29" i="2"/>
  <c r="AI32" i="3" s="1"/>
  <c r="BX29" i="2"/>
  <c r="AJ32" i="3" s="1"/>
  <c r="BY29" i="2"/>
  <c r="AK32" i="3" s="1"/>
  <c r="BZ29" i="2"/>
  <c r="AL32" i="3" s="1"/>
  <c r="CA29" i="2"/>
  <c r="AM32" i="3" s="1"/>
  <c r="CB29" i="2"/>
  <c r="AN32" i="3" s="1"/>
  <c r="CC29" i="2"/>
  <c r="AO32" i="3" s="1"/>
  <c r="CD29" i="2"/>
  <c r="AP32" i="3" s="1"/>
  <c r="CE29" i="2"/>
  <c r="AQ32" i="3" s="1"/>
  <c r="CF29" i="2"/>
  <c r="BV30" i="2"/>
  <c r="AH33" i="3" s="1"/>
  <c r="BW30" i="2"/>
  <c r="AI33" i="3" s="1"/>
  <c r="BX30" i="2"/>
  <c r="AJ33" i="3" s="1"/>
  <c r="BY30" i="2"/>
  <c r="AK33" i="3" s="1"/>
  <c r="BZ30" i="2"/>
  <c r="AL33" i="3" s="1"/>
  <c r="CA30" i="2"/>
  <c r="AM33" i="3" s="1"/>
  <c r="CB30" i="2"/>
  <c r="AN33" i="3" s="1"/>
  <c r="CC30" i="2"/>
  <c r="AO33" i="3" s="1"/>
  <c r="CD30" i="2"/>
  <c r="AP33" i="3" s="1"/>
  <c r="CE30" i="2"/>
  <c r="AQ33" i="3" s="1"/>
  <c r="CF30" i="2"/>
  <c r="CG30" i="2" s="1"/>
  <c r="AR33" i="3" s="1"/>
  <c r="BV31" i="2"/>
  <c r="AH34" i="3" s="1"/>
  <c r="BW31" i="2"/>
  <c r="AI34" i="3" s="1"/>
  <c r="BX31" i="2"/>
  <c r="AJ34" i="3" s="1"/>
  <c r="BY31" i="2"/>
  <c r="AK34" i="3" s="1"/>
  <c r="BZ31" i="2"/>
  <c r="AL34" i="3" s="1"/>
  <c r="CA31" i="2"/>
  <c r="AM34" i="3" s="1"/>
  <c r="CB31" i="2"/>
  <c r="AN34" i="3" s="1"/>
  <c r="CC31" i="2"/>
  <c r="AO34" i="3" s="1"/>
  <c r="CD31" i="2"/>
  <c r="AP34" i="3" s="1"/>
  <c r="CE31" i="2"/>
  <c r="AQ34" i="3" s="1"/>
  <c r="CF31" i="2"/>
  <c r="CK31" i="2" s="1"/>
  <c r="AV34" i="3" s="1"/>
  <c r="BV32" i="2"/>
  <c r="AH35" i="3" s="1"/>
  <c r="BW32" i="2"/>
  <c r="AI35" i="3" s="1"/>
  <c r="BX32" i="2"/>
  <c r="AJ35" i="3" s="1"/>
  <c r="BY32" i="2"/>
  <c r="AK35" i="3" s="1"/>
  <c r="BZ32" i="2"/>
  <c r="AL35" i="3" s="1"/>
  <c r="CA32" i="2"/>
  <c r="AM35" i="3" s="1"/>
  <c r="CB32" i="2"/>
  <c r="AN35" i="3" s="1"/>
  <c r="CC32" i="2"/>
  <c r="AO35" i="3" s="1"/>
  <c r="CD32" i="2"/>
  <c r="AP35" i="3" s="1"/>
  <c r="CE32" i="2"/>
  <c r="AQ35" i="3" s="1"/>
  <c r="CF32" i="2"/>
  <c r="CG32" i="2" s="1"/>
  <c r="AR35" i="3" s="1"/>
  <c r="BV33" i="2"/>
  <c r="AH36" i="3" s="1"/>
  <c r="BW33" i="2"/>
  <c r="AI36" i="3" s="1"/>
  <c r="BX33" i="2"/>
  <c r="AJ36" i="3" s="1"/>
  <c r="BY33" i="2"/>
  <c r="AK36" i="3" s="1"/>
  <c r="BZ33" i="2"/>
  <c r="AL36" i="3" s="1"/>
  <c r="CA33" i="2"/>
  <c r="AM36" i="3" s="1"/>
  <c r="CB33" i="2"/>
  <c r="AN36" i="3" s="1"/>
  <c r="CC33" i="2"/>
  <c r="AO36" i="3" s="1"/>
  <c r="CD33" i="2"/>
  <c r="AP36" i="3" s="1"/>
  <c r="CE33" i="2"/>
  <c r="AQ36" i="3" s="1"/>
  <c r="CF33" i="2"/>
  <c r="CI33" i="2" s="1"/>
  <c r="AT36" i="3" s="1"/>
  <c r="BV34" i="2"/>
  <c r="AH37" i="3" s="1"/>
  <c r="BW34" i="2"/>
  <c r="AI37" i="3" s="1"/>
  <c r="BX34" i="2"/>
  <c r="AJ37" i="3" s="1"/>
  <c r="BY34" i="2"/>
  <c r="AK37" i="3" s="1"/>
  <c r="BZ34" i="2"/>
  <c r="AL37" i="3" s="1"/>
  <c r="CA34" i="2"/>
  <c r="AM37" i="3" s="1"/>
  <c r="CB34" i="2"/>
  <c r="AN37" i="3" s="1"/>
  <c r="CC34" i="2"/>
  <c r="AO37" i="3" s="1"/>
  <c r="CD34" i="2"/>
  <c r="AP37" i="3" s="1"/>
  <c r="CE34" i="2"/>
  <c r="AQ37" i="3" s="1"/>
  <c r="CF34" i="2"/>
  <c r="CG34" i="2" s="1"/>
  <c r="AR37" i="3" s="1"/>
  <c r="BV35" i="2"/>
  <c r="AH38" i="3" s="1"/>
  <c r="BW35" i="2"/>
  <c r="AI38" i="3" s="1"/>
  <c r="BX35" i="2"/>
  <c r="AJ38" i="3" s="1"/>
  <c r="BY35" i="2"/>
  <c r="AK38" i="3" s="1"/>
  <c r="BZ35" i="2"/>
  <c r="AL38" i="3" s="1"/>
  <c r="CA35" i="2"/>
  <c r="AM38" i="3" s="1"/>
  <c r="CB35" i="2"/>
  <c r="AN38" i="3" s="1"/>
  <c r="CC35" i="2"/>
  <c r="AO38" i="3" s="1"/>
  <c r="CD35" i="2"/>
  <c r="AP38" i="3" s="1"/>
  <c r="CE35" i="2"/>
  <c r="AQ38" i="3" s="1"/>
  <c r="CF35" i="2"/>
  <c r="CH35" i="2" s="1"/>
  <c r="AS38" i="3" s="1"/>
  <c r="CF1" i="2"/>
  <c r="BW1" i="2"/>
  <c r="BX1" i="2"/>
  <c r="BY1" i="2"/>
  <c r="BZ1" i="2"/>
  <c r="CA1" i="2"/>
  <c r="CB1" i="2"/>
  <c r="CC1" i="2"/>
  <c r="CD1" i="2"/>
  <c r="CE1" i="2"/>
  <c r="BV1" i="2"/>
  <c r="BT12" i="2"/>
  <c r="BT13" i="2"/>
  <c r="BT14" i="2"/>
  <c r="BT26" i="2"/>
  <c r="BT27" i="2"/>
  <c r="BT28" i="2"/>
  <c r="BT29" i="2"/>
  <c r="BS12" i="2"/>
  <c r="BS13" i="2"/>
  <c r="BS14" i="2"/>
  <c r="BS26" i="2"/>
  <c r="BS27" i="2"/>
  <c r="BS28" i="2"/>
  <c r="BS29" i="2"/>
  <c r="BR12" i="2"/>
  <c r="BR13" i="2"/>
  <c r="BR14" i="2"/>
  <c r="BR26" i="2"/>
  <c r="BR27" i="2"/>
  <c r="BR28" i="2"/>
  <c r="BR29" i="2"/>
  <c r="B22" i="2"/>
  <c r="O3" i="3" s="1"/>
  <c r="B20" i="2"/>
  <c r="C20" i="2" s="1"/>
  <c r="J3" i="3" s="1"/>
  <c r="B18" i="2"/>
  <c r="P2" i="3" s="1"/>
  <c r="B16" i="2"/>
  <c r="M2" i="3" s="1"/>
  <c r="B14" i="2"/>
  <c r="J2" i="3" s="1"/>
  <c r="B12" i="2"/>
  <c r="J1" i="3" s="1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R30" i="2"/>
  <c r="S30" i="2"/>
  <c r="T30" i="2"/>
  <c r="U30" i="2"/>
  <c r="Q30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AA15" i="2"/>
  <c r="AB15" i="2"/>
  <c r="AC15" i="2"/>
  <c r="AD15" i="2"/>
  <c r="AE15" i="2"/>
  <c r="AF15" i="2"/>
  <c r="AG15" i="2"/>
  <c r="AH15" i="2"/>
  <c r="AI15" i="2"/>
  <c r="AJ15" i="2"/>
  <c r="AK15" i="2"/>
  <c r="Z15" i="2"/>
  <c r="U15" i="2"/>
  <c r="V15" i="2"/>
  <c r="W15" i="2"/>
  <c r="X15" i="2"/>
  <c r="Y15" i="2"/>
  <c r="S15" i="2"/>
  <c r="T15" i="2"/>
  <c r="R15" i="2"/>
  <c r="Q15" i="2"/>
  <c r="BG1" i="2"/>
  <c r="BH1" i="2"/>
  <c r="BI1" i="2"/>
  <c r="BJ1" i="2"/>
  <c r="BK1" i="2"/>
  <c r="BL1" i="2"/>
  <c r="BM1" i="2"/>
  <c r="BN1" i="2"/>
  <c r="BO1" i="2"/>
  <c r="BP1" i="2"/>
  <c r="AY1" i="2"/>
  <c r="AZ1" i="2"/>
  <c r="BA1" i="2"/>
  <c r="BB1" i="2"/>
  <c r="BC1" i="2"/>
  <c r="BD1" i="2"/>
  <c r="BE1" i="2"/>
  <c r="BF1" i="2"/>
  <c r="AS1" i="2"/>
  <c r="AT1" i="2"/>
  <c r="AU1" i="2"/>
  <c r="AV1" i="2"/>
  <c r="AW1" i="2"/>
  <c r="AX1" i="2"/>
  <c r="AL1" i="2"/>
  <c r="AM1" i="2"/>
  <c r="AN1" i="2"/>
  <c r="AO1" i="2"/>
  <c r="AP1" i="2"/>
  <c r="AQ1" i="2"/>
  <c r="AR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Q1" i="2"/>
  <c r="B6" i="2"/>
  <c r="C6" i="2" s="1"/>
  <c r="B5" i="2"/>
  <c r="C5" i="2" s="1"/>
  <c r="B4" i="2"/>
  <c r="CN11" i="2" l="1"/>
  <c r="L22" i="3" s="1"/>
  <c r="CM5" i="2"/>
  <c r="L11" i="3" s="1"/>
  <c r="CM2" i="2"/>
  <c r="L9" i="3" s="1"/>
  <c r="CN8" i="2"/>
  <c r="L20" i="3" s="1"/>
  <c r="CN5" i="2"/>
  <c r="L18" i="3" s="1"/>
  <c r="CN2" i="2"/>
  <c r="L16" i="3" s="1"/>
  <c r="CR2" i="2"/>
  <c r="L27" i="3" s="1"/>
  <c r="CR5" i="2"/>
  <c r="L29" i="3" s="1"/>
  <c r="CR8" i="2"/>
  <c r="L31" i="3" s="1"/>
  <c r="BR34" i="2"/>
  <c r="AD38" i="3" s="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6" i="11"/>
  <c r="Z5" i="11"/>
  <c r="CX4" i="2"/>
  <c r="DD2" i="2"/>
  <c r="Q16" i="3" s="1"/>
  <c r="DD4" i="2"/>
  <c r="Q18" i="3" s="1"/>
  <c r="DD8" i="2"/>
  <c r="Q22" i="3" s="1"/>
  <c r="CX2" i="2"/>
  <c r="CX6" i="2"/>
  <c r="R38" i="3" s="1"/>
  <c r="DD6" i="2"/>
  <c r="Q20" i="3" s="1"/>
  <c r="DB6" i="2"/>
  <c r="M39" i="3" s="1"/>
  <c r="DB2" i="2"/>
  <c r="M37" i="3" s="1"/>
  <c r="DB4" i="2"/>
  <c r="M38" i="3" s="1"/>
  <c r="CZ2" i="2"/>
  <c r="K37" i="3" s="1"/>
  <c r="CZ4" i="2"/>
  <c r="K38" i="3" s="1"/>
  <c r="CZ6" i="2"/>
  <c r="K39" i="3" s="1"/>
  <c r="K3" i="3"/>
  <c r="C22" i="2"/>
  <c r="R3" i="3" s="1"/>
  <c r="CT3" i="2"/>
  <c r="Q27" i="3" s="1"/>
  <c r="CT5" i="2"/>
  <c r="Q29" i="3" s="1"/>
  <c r="CT7" i="2"/>
  <c r="Q31" i="3" s="1"/>
  <c r="BS10" i="2"/>
  <c r="AE13" i="3" s="1"/>
  <c r="BR33" i="2"/>
  <c r="AD37" i="3" s="1"/>
  <c r="CP5" i="2"/>
  <c r="CP11" i="2"/>
  <c r="Q11" i="3" s="1"/>
  <c r="BT34" i="2"/>
  <c r="AF38" i="3" s="1"/>
  <c r="BS34" i="2"/>
  <c r="AE38" i="3" s="1"/>
  <c r="BT33" i="2"/>
  <c r="AF37" i="3" s="1"/>
  <c r="CP8" i="2"/>
  <c r="Q9" i="3" s="1"/>
  <c r="CP2" i="2"/>
  <c r="BT4" i="2"/>
  <c r="AF7" i="3" s="1"/>
  <c r="B24" i="2"/>
  <c r="BS33" i="2"/>
  <c r="AE37" i="3" s="1"/>
  <c r="BR20" i="2"/>
  <c r="AD24" i="3" s="1"/>
  <c r="BT24" i="2"/>
  <c r="AF28" i="3" s="1"/>
  <c r="BR22" i="2"/>
  <c r="AD26" i="3" s="1"/>
  <c r="CG49" i="2"/>
  <c r="CI19" i="2"/>
  <c r="AT22" i="3" s="1"/>
  <c r="CG19" i="2"/>
  <c r="AR22" i="3" s="1"/>
  <c r="CI18" i="2"/>
  <c r="AT21" i="3" s="1"/>
  <c r="CJ48" i="2"/>
  <c r="CJ31" i="2"/>
  <c r="AU34" i="3" s="1"/>
  <c r="CG18" i="2"/>
  <c r="AR21" i="3" s="1"/>
  <c r="CH18" i="2"/>
  <c r="AS21" i="3" s="1"/>
  <c r="CG3" i="2"/>
  <c r="AR6" i="3" s="1"/>
  <c r="BR31" i="2"/>
  <c r="AD35" i="3" s="1"/>
  <c r="BR23" i="2"/>
  <c r="AD27" i="3" s="1"/>
  <c r="BR6" i="2"/>
  <c r="AD9" i="3" s="1"/>
  <c r="BT9" i="2"/>
  <c r="AF12" i="3" s="1"/>
  <c r="BR10" i="2"/>
  <c r="AD13" i="3" s="1"/>
  <c r="BT10" i="2"/>
  <c r="AF13" i="3" s="1"/>
  <c r="BR5" i="2"/>
  <c r="AD8" i="3" s="1"/>
  <c r="BT5" i="2"/>
  <c r="AF8" i="3" s="1"/>
  <c r="CJ36" i="2"/>
  <c r="AU39" i="3" s="1"/>
  <c r="CJ35" i="2"/>
  <c r="AU38" i="3" s="1"/>
  <c r="CI13" i="2"/>
  <c r="AT16" i="3" s="1"/>
  <c r="CI35" i="2"/>
  <c r="AT38" i="3" s="1"/>
  <c r="CG35" i="2"/>
  <c r="AR38" i="3" s="1"/>
  <c r="CH9" i="2"/>
  <c r="AS12" i="3" s="1"/>
  <c r="CI32" i="2"/>
  <c r="AT35" i="3" s="1"/>
  <c r="CK2" i="2"/>
  <c r="AV5" i="3" s="1"/>
  <c r="CH32" i="2"/>
  <c r="AS35" i="3" s="1"/>
  <c r="CJ5" i="2"/>
  <c r="AU8" i="3" s="1"/>
  <c r="CH42" i="2"/>
  <c r="AS45" i="3" s="1"/>
  <c r="CK35" i="2"/>
  <c r="AV38" i="3" s="1"/>
  <c r="CI36" i="2"/>
  <c r="AT39" i="3" s="1"/>
  <c r="CJ16" i="2"/>
  <c r="AU19" i="3" s="1"/>
  <c r="CI16" i="2"/>
  <c r="AT19" i="3" s="1"/>
  <c r="CK49" i="2"/>
  <c r="CG5" i="2"/>
  <c r="AR8" i="3" s="1"/>
  <c r="CJ49" i="2"/>
  <c r="CI25" i="2"/>
  <c r="AT28" i="3" s="1"/>
  <c r="CK3" i="2"/>
  <c r="AV6" i="3" s="1"/>
  <c r="CI49" i="2"/>
  <c r="CK19" i="2"/>
  <c r="AV22" i="3" s="1"/>
  <c r="CJ3" i="2"/>
  <c r="AU6" i="3" s="1"/>
  <c r="CJ19" i="2"/>
  <c r="AU22" i="3" s="1"/>
  <c r="CI3" i="2"/>
  <c r="AT6" i="3" s="1"/>
  <c r="CG44" i="2"/>
  <c r="AR47" i="3" s="1"/>
  <c r="CI31" i="2"/>
  <c r="AT34" i="3" s="1"/>
  <c r="CH14" i="2"/>
  <c r="AS17" i="3" s="1"/>
  <c r="CH31" i="2"/>
  <c r="AS34" i="3" s="1"/>
  <c r="CK39" i="2"/>
  <c r="AV42" i="3" s="1"/>
  <c r="CG31" i="2"/>
  <c r="AR34" i="3" s="1"/>
  <c r="CG39" i="2"/>
  <c r="AR42" i="3" s="1"/>
  <c r="CJ12" i="2"/>
  <c r="AU15" i="3" s="1"/>
  <c r="CI37" i="2"/>
  <c r="AT40" i="3" s="1"/>
  <c r="CH25" i="2"/>
  <c r="AS28" i="3" s="1"/>
  <c r="CG2" i="2"/>
  <c r="AR5" i="3" s="1"/>
  <c r="CH37" i="2"/>
  <c r="AS40" i="3" s="1"/>
  <c r="CH12" i="2"/>
  <c r="AS15" i="3" s="1"/>
  <c r="CI12" i="2"/>
  <c r="AT15" i="3" s="1"/>
  <c r="CK36" i="2"/>
  <c r="AV39" i="3" s="1"/>
  <c r="CK24" i="2"/>
  <c r="AV27" i="3" s="1"/>
  <c r="CG12" i="2"/>
  <c r="AR15" i="3" s="1"/>
  <c r="BT31" i="2"/>
  <c r="AF35" i="3" s="1"/>
  <c r="BS31" i="2"/>
  <c r="AE35" i="3" s="1"/>
  <c r="BT32" i="2"/>
  <c r="AF36" i="3" s="1"/>
  <c r="BT35" i="2"/>
  <c r="AF39" i="3" s="1"/>
  <c r="BS35" i="2"/>
  <c r="AE39" i="3" s="1"/>
  <c r="BS32" i="2"/>
  <c r="AE36" i="3" s="1"/>
  <c r="BR25" i="2"/>
  <c r="AD29" i="3" s="1"/>
  <c r="BT19" i="2"/>
  <c r="AF23" i="3" s="1"/>
  <c r="BR24" i="2"/>
  <c r="AD28" i="3" s="1"/>
  <c r="BT18" i="2"/>
  <c r="AF22" i="3" s="1"/>
  <c r="BS17" i="2"/>
  <c r="AE21" i="3" s="1"/>
  <c r="BS24" i="2"/>
  <c r="AE28" i="3" s="1"/>
  <c r="BS18" i="2"/>
  <c r="AE22" i="3" s="1"/>
  <c r="BS23" i="2"/>
  <c r="AE27" i="3" s="1"/>
  <c r="BS22" i="2"/>
  <c r="AE26" i="3" s="1"/>
  <c r="BR21" i="2"/>
  <c r="AD25" i="3" s="1"/>
  <c r="BS19" i="2"/>
  <c r="AE23" i="3" s="1"/>
  <c r="BT23" i="2"/>
  <c r="AF27" i="3" s="1"/>
  <c r="BR18" i="2"/>
  <c r="AD22" i="3" s="1"/>
  <c r="BT25" i="2"/>
  <c r="AF29" i="3" s="1"/>
  <c r="BS25" i="2"/>
  <c r="AE29" i="3" s="1"/>
  <c r="BS2" i="2"/>
  <c r="AE5" i="3" s="1"/>
  <c r="BS7" i="2"/>
  <c r="AE10" i="3" s="1"/>
  <c r="BT2" i="2"/>
  <c r="AF5" i="3" s="1"/>
  <c r="BR3" i="2"/>
  <c r="AD6" i="3" s="1"/>
  <c r="BR8" i="2"/>
  <c r="AD11" i="3" s="1"/>
  <c r="BS9" i="2"/>
  <c r="AE12" i="3" s="1"/>
  <c r="BR4" i="2"/>
  <c r="AD7" i="3" s="1"/>
  <c r="BS5" i="2"/>
  <c r="AE8" i="3" s="1"/>
  <c r="BS6" i="2"/>
  <c r="AE9" i="3" s="1"/>
  <c r="BT11" i="2"/>
  <c r="AF14" i="3" s="1"/>
  <c r="BS4" i="2"/>
  <c r="AE7" i="3" s="1"/>
  <c r="CK43" i="2"/>
  <c r="AV46" i="3" s="1"/>
  <c r="CG24" i="2"/>
  <c r="AR27" i="3" s="1"/>
  <c r="CK47" i="2"/>
  <c r="AV50" i="3" s="1"/>
  <c r="CK34" i="2"/>
  <c r="AV37" i="3" s="1"/>
  <c r="CI21" i="2"/>
  <c r="AT24" i="3" s="1"/>
  <c r="CK38" i="2"/>
  <c r="AV41" i="3" s="1"/>
  <c r="CJ34" i="2"/>
  <c r="AU37" i="3" s="1"/>
  <c r="CH28" i="2"/>
  <c r="AS31" i="3" s="1"/>
  <c r="CH21" i="2"/>
  <c r="AS24" i="3" s="1"/>
  <c r="CI47" i="2"/>
  <c r="AT50" i="3" s="1"/>
  <c r="CH38" i="2"/>
  <c r="AS41" i="3" s="1"/>
  <c r="CI34" i="2"/>
  <c r="AT37" i="3" s="1"/>
  <c r="CG28" i="2"/>
  <c r="AR31" i="3" s="1"/>
  <c r="CG21" i="2"/>
  <c r="AR24" i="3" s="1"/>
  <c r="CH16" i="2"/>
  <c r="AS19" i="3" s="1"/>
  <c r="CI8" i="2"/>
  <c r="AT11" i="3" s="1"/>
  <c r="CK4" i="2"/>
  <c r="AV7" i="3" s="1"/>
  <c r="CJ4" i="2"/>
  <c r="AU7" i="3" s="1"/>
  <c r="CI4" i="2"/>
  <c r="AT7" i="3" s="1"/>
  <c r="CI40" i="2"/>
  <c r="AT43" i="3" s="1"/>
  <c r="CJ24" i="2"/>
  <c r="AU27" i="3" s="1"/>
  <c r="CH40" i="2"/>
  <c r="AS43" i="3" s="1"/>
  <c r="CK11" i="2"/>
  <c r="AV14" i="3" s="1"/>
  <c r="CJ28" i="2"/>
  <c r="AU31" i="3" s="1"/>
  <c r="CK8" i="2"/>
  <c r="AV11" i="3" s="1"/>
  <c r="CJ44" i="2"/>
  <c r="AU47" i="3" s="1"/>
  <c r="CH34" i="2"/>
  <c r="AS37" i="3" s="1"/>
  <c r="CI27" i="2"/>
  <c r="AT30" i="3" s="1"/>
  <c r="CK20" i="2"/>
  <c r="AV23" i="3" s="1"/>
  <c r="CK15" i="2"/>
  <c r="AV18" i="3" s="1"/>
  <c r="CH8" i="2"/>
  <c r="AS11" i="3" s="1"/>
  <c r="CG37" i="2"/>
  <c r="AR40" i="3" s="1"/>
  <c r="CH30" i="2"/>
  <c r="AS33" i="3" s="1"/>
  <c r="CJ21" i="2"/>
  <c r="AU24" i="3" s="1"/>
  <c r="CI17" i="2"/>
  <c r="AT20" i="3" s="1"/>
  <c r="CI44" i="2"/>
  <c r="AT47" i="3" s="1"/>
  <c r="CK37" i="2"/>
  <c r="AV40" i="3" s="1"/>
  <c r="CH27" i="2"/>
  <c r="AS30" i="3" s="1"/>
  <c r="CJ20" i="2"/>
  <c r="AU23" i="3" s="1"/>
  <c r="CH15" i="2"/>
  <c r="AS18" i="3" s="1"/>
  <c r="CG8" i="2"/>
  <c r="AR11" i="3" s="1"/>
  <c r="CH26" i="2"/>
  <c r="AS29" i="3" s="1"/>
  <c r="CK30" i="2"/>
  <c r="AV33" i="3" s="1"/>
  <c r="CJ30" i="2"/>
  <c r="AU33" i="3" s="1"/>
  <c r="CK17" i="2"/>
  <c r="AV20" i="3" s="1"/>
  <c r="CI30" i="2"/>
  <c r="AT33" i="3" s="1"/>
  <c r="CJ47" i="2"/>
  <c r="AU50" i="3" s="1"/>
  <c r="CH44" i="2"/>
  <c r="AS47" i="3" s="1"/>
  <c r="CJ32" i="2"/>
  <c r="AU35" i="3" s="1"/>
  <c r="CG27" i="2"/>
  <c r="AR30" i="3" s="1"/>
  <c r="CI20" i="2"/>
  <c r="AT23" i="3" s="1"/>
  <c r="CI14" i="2"/>
  <c r="AT17" i="3" s="1"/>
  <c r="CK5" i="2"/>
  <c r="AV8" i="3" s="1"/>
  <c r="CI22" i="2"/>
  <c r="AT25" i="3" s="1"/>
  <c r="CJ22" i="2"/>
  <c r="AU25" i="3" s="1"/>
  <c r="CK22" i="2"/>
  <c r="AV25" i="3" s="1"/>
  <c r="CI6" i="2"/>
  <c r="AT9" i="3" s="1"/>
  <c r="CJ6" i="2"/>
  <c r="AU9" i="3" s="1"/>
  <c r="CG6" i="2"/>
  <c r="AR9" i="3" s="1"/>
  <c r="CH6" i="2"/>
  <c r="AS9" i="3" s="1"/>
  <c r="CK6" i="2"/>
  <c r="AV9" i="3" s="1"/>
  <c r="CH22" i="2"/>
  <c r="AS25" i="3" s="1"/>
  <c r="CG22" i="2"/>
  <c r="AR25" i="3" s="1"/>
  <c r="CG29" i="2"/>
  <c r="AR32" i="3" s="1"/>
  <c r="CJ29" i="2"/>
  <c r="AU32" i="3" s="1"/>
  <c r="CK29" i="2"/>
  <c r="AV32" i="3" s="1"/>
  <c r="CI29" i="2"/>
  <c r="AT32" i="3" s="1"/>
  <c r="CH29" i="2"/>
  <c r="AS32" i="3" s="1"/>
  <c r="CG13" i="2"/>
  <c r="AR16" i="3" s="1"/>
  <c r="CJ13" i="2"/>
  <c r="AU16" i="3" s="1"/>
  <c r="CK13" i="2"/>
  <c r="AV16" i="3" s="1"/>
  <c r="CG46" i="2"/>
  <c r="AR49" i="3" s="1"/>
  <c r="CI46" i="2"/>
  <c r="AT49" i="3" s="1"/>
  <c r="CH46" i="2"/>
  <c r="AS49" i="3" s="1"/>
  <c r="CJ46" i="2"/>
  <c r="AU49" i="3" s="1"/>
  <c r="CK46" i="2"/>
  <c r="AV49" i="3" s="1"/>
  <c r="CI26" i="2"/>
  <c r="AT29" i="3" s="1"/>
  <c r="CJ26" i="2"/>
  <c r="AU29" i="3" s="1"/>
  <c r="CK26" i="2"/>
  <c r="AV29" i="3" s="1"/>
  <c r="CI10" i="2"/>
  <c r="AT13" i="3" s="1"/>
  <c r="CJ10" i="2"/>
  <c r="AU13" i="3" s="1"/>
  <c r="CK10" i="2"/>
  <c r="AV13" i="3" s="1"/>
  <c r="CG10" i="2"/>
  <c r="AR13" i="3" s="1"/>
  <c r="CH10" i="2"/>
  <c r="AS13" i="3" s="1"/>
  <c r="CG43" i="2"/>
  <c r="AR46" i="3" s="1"/>
  <c r="CH43" i="2"/>
  <c r="AS46" i="3" s="1"/>
  <c r="CI43" i="2"/>
  <c r="AT46" i="3" s="1"/>
  <c r="CH23" i="2"/>
  <c r="AS26" i="3" s="1"/>
  <c r="CI23" i="2"/>
  <c r="AT26" i="3" s="1"/>
  <c r="CJ23" i="2"/>
  <c r="AU26" i="3" s="1"/>
  <c r="CG23" i="2"/>
  <c r="AR26" i="3" s="1"/>
  <c r="CK23" i="2"/>
  <c r="AV26" i="3" s="1"/>
  <c r="CH7" i="2"/>
  <c r="AS10" i="3" s="1"/>
  <c r="CI7" i="2"/>
  <c r="AT10" i="3" s="1"/>
  <c r="CJ7" i="2"/>
  <c r="AU10" i="3" s="1"/>
  <c r="CK7" i="2"/>
  <c r="AV10" i="3" s="1"/>
  <c r="CG7" i="2"/>
  <c r="AR10" i="3" s="1"/>
  <c r="CJ40" i="2"/>
  <c r="AU43" i="3" s="1"/>
  <c r="CK40" i="2"/>
  <c r="AV43" i="3" s="1"/>
  <c r="CG17" i="2"/>
  <c r="AR20" i="3" s="1"/>
  <c r="CH17" i="2"/>
  <c r="AS20" i="3" s="1"/>
  <c r="CK50" i="2"/>
  <c r="CG47" i="2"/>
  <c r="AR50" i="3" s="1"/>
  <c r="CK33" i="2"/>
  <c r="AV36" i="3" s="1"/>
  <c r="CJ11" i="2"/>
  <c r="AU14" i="3" s="1"/>
  <c r="CJ41" i="2"/>
  <c r="AU44" i="3" s="1"/>
  <c r="CK41" i="2"/>
  <c r="AV44" i="3" s="1"/>
  <c r="CJ50" i="2"/>
  <c r="CJ33" i="2"/>
  <c r="AU36" i="3" s="1"/>
  <c r="CI24" i="2"/>
  <c r="AT27" i="3" s="1"/>
  <c r="CJ15" i="2"/>
  <c r="AU18" i="3" s="1"/>
  <c r="CI11" i="2"/>
  <c r="AT14" i="3" s="1"/>
  <c r="CI38" i="2"/>
  <c r="AT41" i="3" s="1"/>
  <c r="CJ38" i="2"/>
  <c r="AU41" i="3" s="1"/>
  <c r="CI50" i="2"/>
  <c r="CI41" i="2"/>
  <c r="AT44" i="3" s="1"/>
  <c r="CI28" i="2"/>
  <c r="AT31" i="3" s="1"/>
  <c r="CI15" i="2"/>
  <c r="AT18" i="3" s="1"/>
  <c r="CH11" i="2"/>
  <c r="AS14" i="3" s="1"/>
  <c r="CH50" i="2"/>
  <c r="CG48" i="2"/>
  <c r="CH48" i="2"/>
  <c r="CK48" i="2"/>
  <c r="CG41" i="2"/>
  <c r="AR44" i="3" s="1"/>
  <c r="CG45" i="2"/>
  <c r="AR48" i="3" s="1"/>
  <c r="CJ45" i="2"/>
  <c r="AU48" i="3" s="1"/>
  <c r="CK45" i="2"/>
  <c r="AV48" i="3" s="1"/>
  <c r="CI45" i="2"/>
  <c r="AT48" i="3" s="1"/>
  <c r="CK27" i="2"/>
  <c r="AV30" i="3" s="1"/>
  <c r="CK18" i="2"/>
  <c r="AV21" i="3" s="1"/>
  <c r="CK14" i="2"/>
  <c r="AV17" i="3" s="1"/>
  <c r="CI5" i="2"/>
  <c r="AT8" i="3" s="1"/>
  <c r="CH33" i="2"/>
  <c r="AS36" i="3" s="1"/>
  <c r="CG33" i="2"/>
  <c r="AR36" i="3" s="1"/>
  <c r="CJ2" i="2"/>
  <c r="AU5" i="3" s="1"/>
  <c r="CI2" i="2"/>
  <c r="AT5" i="3" s="1"/>
  <c r="CJ25" i="2"/>
  <c r="AU28" i="3" s="1"/>
  <c r="CK25" i="2"/>
  <c r="AV28" i="3" s="1"/>
  <c r="CJ9" i="2"/>
  <c r="AU12" i="3" s="1"/>
  <c r="CK9" i="2"/>
  <c r="AV12" i="3" s="1"/>
  <c r="CI42" i="2"/>
  <c r="AT45" i="3" s="1"/>
  <c r="CK42" i="2"/>
  <c r="AV45" i="3" s="1"/>
  <c r="CJ42" i="2"/>
  <c r="AU45" i="3" s="1"/>
  <c r="CH45" i="2"/>
  <c r="AS48" i="3" s="1"/>
  <c r="CJ14" i="2"/>
  <c r="AU17" i="3" s="1"/>
  <c r="CI9" i="2"/>
  <c r="AT12" i="3" s="1"/>
  <c r="CI39" i="2"/>
  <c r="AT42" i="3" s="1"/>
  <c r="CH36" i="2"/>
  <c r="AS39" i="3" s="1"/>
  <c r="CH20" i="2"/>
  <c r="AS23" i="3" s="1"/>
  <c r="CH4" i="2"/>
  <c r="AS7" i="3" s="1"/>
  <c r="CJ39" i="2"/>
  <c r="AU42" i="3" s="1"/>
  <c r="CK32" i="2"/>
  <c r="AV35" i="3" s="1"/>
  <c r="CK16" i="2"/>
  <c r="AV19" i="3" s="1"/>
  <c r="BT16" i="2"/>
  <c r="AF20" i="3" s="1"/>
  <c r="BT21" i="2"/>
  <c r="AF25" i="3" s="1"/>
  <c r="BS21" i="2"/>
  <c r="AE25" i="3" s="1"/>
  <c r="BS16" i="2"/>
  <c r="AE20" i="3" s="1"/>
  <c r="BR16" i="2"/>
  <c r="AD20" i="3" s="1"/>
  <c r="BT22" i="2"/>
  <c r="AF26" i="3" s="1"/>
  <c r="BT20" i="2"/>
  <c r="AF24" i="3" s="1"/>
  <c r="BT17" i="2"/>
  <c r="AF21" i="3" s="1"/>
  <c r="BS20" i="2"/>
  <c r="AE24" i="3" s="1"/>
  <c r="BR17" i="2"/>
  <c r="AD21" i="3" s="1"/>
  <c r="BR19" i="2"/>
  <c r="AD23" i="3" s="1"/>
  <c r="BT7" i="2"/>
  <c r="AF10" i="3" s="1"/>
  <c r="BR2" i="2"/>
  <c r="AD5" i="3" s="1"/>
  <c r="BT6" i="2"/>
  <c r="AF9" i="3" s="1"/>
  <c r="BR11" i="2"/>
  <c r="AD14" i="3" s="1"/>
  <c r="BR7" i="2"/>
  <c r="AD10" i="3" s="1"/>
  <c r="BR9" i="2"/>
  <c r="AD12" i="3" s="1"/>
  <c r="BT3" i="2"/>
  <c r="AF6" i="3" s="1"/>
  <c r="BS3" i="2"/>
  <c r="AE6" i="3" s="1"/>
  <c r="BT8" i="2"/>
  <c r="AF11" i="3" s="1"/>
  <c r="BS8" i="2"/>
  <c r="AE11" i="3" s="1"/>
  <c r="BS11" i="2"/>
  <c r="AE14" i="3" s="1"/>
  <c r="BR35" i="2"/>
  <c r="AD39" i="3" s="1"/>
  <c r="BR32" i="2"/>
  <c r="AD36" i="3" s="1"/>
  <c r="C4" i="2"/>
  <c r="F4" i="2" s="1"/>
  <c r="E4" i="2"/>
  <c r="R37" i="3" l="1"/>
  <c r="CV4" i="2"/>
  <c r="P37" i="3" s="1"/>
  <c r="CV2" i="2"/>
  <c r="P36" i="3" s="1"/>
  <c r="R36" i="3"/>
  <c r="CV6" i="2"/>
  <c r="P38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F9506E-3094-4B92-A9F0-2650A177B990}" keepAlive="1" name="Query - Q_Fixtures_Prematch_DayAfter" description="Connection to the 'Q_Fixtures_Prematch_DayAfter' query in the workbook." type="5" refreshedVersion="8" saveData="1">
    <dbPr connection="Provider=Microsoft.Mashup.OleDb.1;Data Source=$Workbook$;Location=Q_Fixtures_Prematch_DayAfter;Extended Properties=&quot;&quot;" command="SELECT * FROM [Q_Fixtures_Prematch_DayAfter]"/>
  </connection>
  <connection id="2" xr16:uid="{8CB66A17-C526-4FA1-AECA-CE1575FC6999}" keepAlive="1" name="Query - Q_Fixtures_Prematch_Today" description="Connection to the 'Q_Fixtures_Prematch_Today' query in the workbook." type="5" refreshedVersion="8" saveData="1">
    <dbPr connection="Provider=Microsoft.Mashup.OleDb.1;Data Source=$Workbook$;Location=Q_Fixtures_Prematch_Today;Extended Properties=&quot;&quot;" command="SELECT * FROM [Q_Fixtures_Prematch_Today]"/>
  </connection>
  <connection id="3" xr16:uid="{48896661-56B8-4F8F-A119-1659B2FF8678}" keepAlive="1" name="Query - Q_Fixtures_Prematch_Tomorrow" description="Connection to the 'Q_Fixtures_Prematch_Tomorrow' query in the workbook." type="5" refreshedVersion="8" saveData="1">
    <dbPr connection="Provider=Microsoft.Mashup.OleDb.1;Data Source=$Workbook$;Location=Q_Fixtures_Prematch_Tomorrow;Extended Properties=&quot;&quot;" command="SELECT * FROM [Q_Fixtures_Prematch_Tomorrow]"/>
  </connection>
  <connection id="4" xr16:uid="{810E18E0-362B-4095-B471-25D7659575B3}" keepAlive="1" name="Query - Q_Game_Standings_ByFixtureID" description="Connection to the 'Q_Game_Standings_ByFixtureID' query in the workbook." type="5" refreshedVersion="8" saveData="1">
    <dbPr connection="Provider=Microsoft.Mashup.OleDb.1;Data Source=$Workbook$;Location=Q_Game_Standings_ByFixtureID;Extended Properties=&quot;&quot;" command="SELECT * FROM [Q_Game_Standings_ByFixtureID]"/>
  </connection>
  <connection id="5" xr16:uid="{630FADB6-81D9-46C0-B129-D8431BDFDE80}" keepAlive="1" name="Query - Q_H2H_Last5_Stats_All" description="Connection to the 'Q_H2H_Last5_Stats_All' query in the workbook." type="5" refreshedVersion="8" saveData="1">
    <dbPr connection="Provider=Microsoft.Mashup.OleDb.1;Data Source=$Workbook$;Location=Q_H2H_Last5_Stats_All;Extended Properties=&quot;&quot;" command="SELECT * FROM [Q_H2H_Last5_Stats_All]"/>
  </connection>
  <connection id="6" xr16:uid="{0BB787DD-93B0-45A9-A854-9CDAFCCD9902}" keepAlive="1" name="Query - Q_Last10Away_Stats_All" description="Connection to the 'Q_Last10Away_Stats_All' query in the workbook." type="5" refreshedVersion="8" saveData="1">
    <dbPr connection="Provider=Microsoft.Mashup.OleDb.1;Data Source=$Workbook$;Location=Q_Last10Away_Stats_All;Extended Properties=&quot;&quot;" command="SELECT * FROM [Q_Last10Away_Stats_All]"/>
  </connection>
  <connection id="7" xr16:uid="{E101AA91-CC88-42E3-9833-D2D09B6BAB09}" keepAlive="1" name="Query - Q_Last10Home_Stats_All" description="Connection to the 'Q_Last10Home_Stats_All' query in the workbook." type="5" refreshedVersion="8" saveData="1">
    <dbPr connection="Provider=Microsoft.Mashup.OleDb.1;Data Source=$Workbook$;Location=Q_Last10Home_Stats_All;Extended Properties=&quot;&quot;" command="SELECT * FROM [Q_Last10Home_Stats_All]"/>
  </connection>
</connections>
</file>

<file path=xl/sharedStrings.xml><?xml version="1.0" encoding="utf-8"?>
<sst xmlns="http://schemas.openxmlformats.org/spreadsheetml/2006/main" count="43168" uniqueCount="12447">
  <si>
    <t>ApiKey</t>
  </si>
  <si>
    <t>TimeZone</t>
  </si>
  <si>
    <t>Europe/London</t>
  </si>
  <si>
    <t>Today</t>
  </si>
  <si>
    <t>Tomorrow</t>
  </si>
  <si>
    <t>DayAfter</t>
  </si>
  <si>
    <t>ListBox</t>
  </si>
  <si>
    <t>FixtureID</t>
  </si>
  <si>
    <t>5935dcd3467582af7f3823ec91a24917</t>
  </si>
  <si>
    <t>fixture_id</t>
  </si>
  <si>
    <t>fixture_date</t>
  </si>
  <si>
    <t>status_long</t>
  </si>
  <si>
    <t>league_country</t>
  </si>
  <si>
    <t>league_name</t>
  </si>
  <si>
    <t>home_name</t>
  </si>
  <si>
    <t>away_name</t>
  </si>
  <si>
    <t>Display</t>
  </si>
  <si>
    <t>Match Finished</t>
  </si>
  <si>
    <t>Mexico</t>
  </si>
  <si>
    <t>Liga Premier Serie A</t>
  </si>
  <si>
    <t>Brazil</t>
  </si>
  <si>
    <t>World</t>
  </si>
  <si>
    <t>Friendlies Clubs</t>
  </si>
  <si>
    <t>Nicaragua</t>
  </si>
  <si>
    <t>Primera Division</t>
  </si>
  <si>
    <t>Premier Division</t>
  </si>
  <si>
    <t>Liga Nacional</t>
  </si>
  <si>
    <t>Primera División</t>
  </si>
  <si>
    <t>Argentina</t>
  </si>
  <si>
    <t>Colombia</t>
  </si>
  <si>
    <t>Primera A</t>
  </si>
  <si>
    <t>Costa-Rica</t>
  </si>
  <si>
    <t>Not Started</t>
  </si>
  <si>
    <t>Japan</t>
  </si>
  <si>
    <t>Match Postponed</t>
  </si>
  <si>
    <t>Australia</t>
  </si>
  <si>
    <t>A-League</t>
  </si>
  <si>
    <t>South-Africa</t>
  </si>
  <si>
    <t>Indonesia</t>
  </si>
  <si>
    <t>Liga 1</t>
  </si>
  <si>
    <t>Spain</t>
  </si>
  <si>
    <t>Italy</t>
  </si>
  <si>
    <t>Turkey</t>
  </si>
  <si>
    <t>Germany</t>
  </si>
  <si>
    <t>Bulgaria</t>
  </si>
  <si>
    <t>First League</t>
  </si>
  <si>
    <t>Congo-DR</t>
  </si>
  <si>
    <t>Ligue 1</t>
  </si>
  <si>
    <t>Malta</t>
  </si>
  <si>
    <t>Premier League</t>
  </si>
  <si>
    <t>1. Lig</t>
  </si>
  <si>
    <t>Poland</t>
  </si>
  <si>
    <t>I Liga</t>
  </si>
  <si>
    <t>Portugal</t>
  </si>
  <si>
    <t>Liga Revelação U23</t>
  </si>
  <si>
    <t>Cup</t>
  </si>
  <si>
    <t>Malaysia</t>
  </si>
  <si>
    <t>Ekstraklasa</t>
  </si>
  <si>
    <t>Netherlands</t>
  </si>
  <si>
    <t>Eredivisie</t>
  </si>
  <si>
    <t>Serie A</t>
  </si>
  <si>
    <t>Süper Lig</t>
  </si>
  <si>
    <t>Greece</t>
  </si>
  <si>
    <t>Serbia</t>
  </si>
  <si>
    <t>Bosnia</t>
  </si>
  <si>
    <t>England</t>
  </si>
  <si>
    <t>Azerbaijan</t>
  </si>
  <si>
    <t>Kenya</t>
  </si>
  <si>
    <t>Tunisia</t>
  </si>
  <si>
    <t>Superliga</t>
  </si>
  <si>
    <t>Championship</t>
  </si>
  <si>
    <t>Belgium</t>
  </si>
  <si>
    <t>Uruguay</t>
  </si>
  <si>
    <t>Primera División - Apertura</t>
  </si>
  <si>
    <t>La Liga</t>
  </si>
  <si>
    <t>Segunda División</t>
  </si>
  <si>
    <t>Regionalliga - Nordost</t>
  </si>
  <si>
    <t>Premier League 2 Division One</t>
  </si>
  <si>
    <t>Denmark</t>
  </si>
  <si>
    <t>Police</t>
  </si>
  <si>
    <t>Switzerland</t>
  </si>
  <si>
    <t>Super League</t>
  </si>
  <si>
    <t>Saudi-Arabia</t>
  </si>
  <si>
    <t>Division 1</t>
  </si>
  <si>
    <t>League</t>
  </si>
  <si>
    <t>Norway</t>
  </si>
  <si>
    <t>Cameroon</t>
  </si>
  <si>
    <t>United-Arab-Emirates</t>
  </si>
  <si>
    <t>Eerste Divisie</t>
  </si>
  <si>
    <t>France</t>
  </si>
  <si>
    <t>Iceland</t>
  </si>
  <si>
    <t>League Cup</t>
  </si>
  <si>
    <t>Scotland</t>
  </si>
  <si>
    <t>Morocco</t>
  </si>
  <si>
    <t>Second Half</t>
  </si>
  <si>
    <t>Romania</t>
  </si>
  <si>
    <t>Liga I</t>
  </si>
  <si>
    <t>Botola Pro</t>
  </si>
  <si>
    <t>Ghana</t>
  </si>
  <si>
    <t>Primeira Liga</t>
  </si>
  <si>
    <t>First Half</t>
  </si>
  <si>
    <t>Guaporé</t>
  </si>
  <si>
    <t>Primera B</t>
  </si>
  <si>
    <t>Jalapa</t>
  </si>
  <si>
    <t>National League</t>
  </si>
  <si>
    <t>Thailand</t>
  </si>
  <si>
    <t>Thai League 2</t>
  </si>
  <si>
    <t>Israel</t>
  </si>
  <si>
    <t>Macedonia</t>
  </si>
  <si>
    <t>Roraimense</t>
  </si>
  <si>
    <t>rank</t>
  </si>
  <si>
    <t>team_name</t>
  </si>
  <si>
    <t>form</t>
  </si>
  <si>
    <t>points</t>
  </si>
  <si>
    <t>all_played</t>
  </si>
  <si>
    <t>all_win</t>
  </si>
  <si>
    <t>all_draw</t>
  </si>
  <si>
    <t>all_lose</t>
  </si>
  <si>
    <t>all_gf</t>
  </si>
  <si>
    <t>all_ga</t>
  </si>
  <si>
    <t>goalsDiff</t>
  </si>
  <si>
    <t>kickoff</t>
  </si>
  <si>
    <t>home_logo</t>
  </si>
  <si>
    <t>away_logo</t>
  </si>
  <si>
    <t>opponent</t>
  </si>
  <si>
    <t>league_logo</t>
  </si>
  <si>
    <t>league_flag</t>
  </si>
  <si>
    <t>home_goals</t>
  </si>
  <si>
    <t>away_goals</t>
  </si>
  <si>
    <t>ht_home</t>
  </si>
  <si>
    <t>ht_away</t>
  </si>
  <si>
    <t>ft_home</t>
  </si>
  <si>
    <t>ft_away</t>
  </si>
  <si>
    <t>Home_ShotsOnGoal</t>
  </si>
  <si>
    <t>Away_ShotsOnGoal</t>
  </si>
  <si>
    <t>Home_ShotsOffGoal</t>
  </si>
  <si>
    <t>Away_ShotsOffGoal</t>
  </si>
  <si>
    <t>Home_TotalShots</t>
  </si>
  <si>
    <t>Away_TotalShots</t>
  </si>
  <si>
    <t>Home_BlockedShots</t>
  </si>
  <si>
    <t>Away_BlockedShots</t>
  </si>
  <si>
    <t>Home_ShotsInsideBox</t>
  </si>
  <si>
    <t>Away_ShotsInsideBox</t>
  </si>
  <si>
    <t>Home_ShotsOutsideBox</t>
  </si>
  <si>
    <t>Away_ShotsOutsideBox</t>
  </si>
  <si>
    <t>Home_Fouls</t>
  </si>
  <si>
    <t>Away_Fouls</t>
  </si>
  <si>
    <t>Home_CornerKicks</t>
  </si>
  <si>
    <t>Away_CornerKicks</t>
  </si>
  <si>
    <t>Home_Offsides</t>
  </si>
  <si>
    <t>Away_Offsides</t>
  </si>
  <si>
    <t>Home_BallPossession</t>
  </si>
  <si>
    <t>Away_BallPossession</t>
  </si>
  <si>
    <t>Home_YellowCards</t>
  </si>
  <si>
    <t>Away_YellowCards</t>
  </si>
  <si>
    <t>Home_RedCards</t>
  </si>
  <si>
    <t>Away_RedCards</t>
  </si>
  <si>
    <t>Home_GoalkeeperSaves</t>
  </si>
  <si>
    <t>Away_GoalkeeperSaves</t>
  </si>
  <si>
    <t>Home_TotalPasses</t>
  </si>
  <si>
    <t>Away_TotalPasses</t>
  </si>
  <si>
    <t>Home_PassesAccurate</t>
  </si>
  <si>
    <t>Away_PassesAccurate</t>
  </si>
  <si>
    <t>Home_PassesPct</t>
  </si>
  <si>
    <t>Away_PassesPct</t>
  </si>
  <si>
    <t>Home_ExpectedGoals</t>
  </si>
  <si>
    <t>Away_ExpectedGoals</t>
  </si>
  <si>
    <t>Home_GoalsPrevented</t>
  </si>
  <si>
    <t>Away_GoalsPrevented</t>
  </si>
  <si>
    <t>HOME TEAM</t>
  </si>
  <si>
    <t>AWAY TEAM</t>
  </si>
  <si>
    <t>HALF TIME GOALS</t>
  </si>
  <si>
    <t>OVER O.5</t>
  </si>
  <si>
    <t>OVER 1.5</t>
  </si>
  <si>
    <t>FULL TIME GOALS</t>
  </si>
  <si>
    <t>OVER 2.5</t>
  </si>
  <si>
    <t>OVER 3.5</t>
  </si>
  <si>
    <t>BTTS</t>
  </si>
  <si>
    <t>FULL TIME CORNERS</t>
  </si>
  <si>
    <t>OVER 7.5</t>
  </si>
  <si>
    <t>OVER 8.5</t>
  </si>
  <si>
    <t>OVER 9.5</t>
  </si>
  <si>
    <t>FT HOME</t>
  </si>
  <si>
    <t>FT AWAY</t>
  </si>
  <si>
    <t>W</t>
  </si>
  <si>
    <t>D</t>
  </si>
  <si>
    <t>L</t>
  </si>
  <si>
    <t>Avg. H+A TEAMS</t>
  </si>
  <si>
    <t>HOME TEAM - LAST 10 GAMES</t>
  </si>
  <si>
    <t>vs</t>
  </si>
  <si>
    <t>AWAY TEAM - LAST 10 GAMES</t>
  </si>
  <si>
    <t>KICK OFF</t>
  </si>
  <si>
    <t>LEAGUE</t>
  </si>
  <si>
    <t>GOALS HT</t>
  </si>
  <si>
    <t>GOALS FT</t>
  </si>
  <si>
    <t>CORNERS FT</t>
  </si>
  <si>
    <t>HEAD TO HEAD (H2H) - LAST 5 GAMES</t>
  </si>
  <si>
    <t>STANDING</t>
  </si>
  <si>
    <t>FORM</t>
  </si>
  <si>
    <t>Rank</t>
  </si>
  <si>
    <t>Team name</t>
  </si>
  <si>
    <t>MP</t>
  </si>
  <si>
    <t>GD</t>
  </si>
  <si>
    <t>PTS</t>
  </si>
  <si>
    <t>FixtureDate</t>
  </si>
  <si>
    <t>StatusLong</t>
  </si>
  <si>
    <t>HomeTeam</t>
  </si>
  <si>
    <t>AwayTeam</t>
  </si>
  <si>
    <t>LeagueCountry</t>
  </si>
  <si>
    <t>LeagueName</t>
  </si>
  <si>
    <t>League Country</t>
  </si>
  <si>
    <t>League Name</t>
  </si>
  <si>
    <t>Home + Away</t>
  </si>
  <si>
    <t>ht goals</t>
  </si>
  <si>
    <t>ft goals</t>
  </si>
  <si>
    <t>corners</t>
  </si>
  <si>
    <t>GF</t>
  </si>
  <si>
    <t>GA</t>
  </si>
  <si>
    <t>HT Over 0.5 Goals</t>
  </si>
  <si>
    <t>Egypt</t>
  </si>
  <si>
    <t>Amapaense</t>
  </si>
  <si>
    <t>FT Over 1.5 Goals</t>
  </si>
  <si>
    <t>HT Over 1.5 Goals</t>
  </si>
  <si>
    <t>FT Over 2.5 Goals</t>
  </si>
  <si>
    <t>FT Over 3.5 Goals</t>
  </si>
  <si>
    <t>HT Home</t>
  </si>
  <si>
    <t xml:space="preserve">HT Away </t>
  </si>
  <si>
    <t xml:space="preserve">FT Home </t>
  </si>
  <si>
    <t>FT Away</t>
  </si>
  <si>
    <t>FT Corners Over 7.5</t>
  </si>
  <si>
    <t>FT Corners Over 8.5</t>
  </si>
  <si>
    <t>FT Corners Over 9.5</t>
  </si>
  <si>
    <t>Second League</t>
  </si>
  <si>
    <t>Average Yellow Cards per game</t>
  </si>
  <si>
    <t>Victoria NPL 2</t>
  </si>
  <si>
    <t>Ligat Ha'al</t>
  </si>
  <si>
    <t>Ligue 2</t>
  </si>
  <si>
    <t>Division One League</t>
  </si>
  <si>
    <t>Premier Soccer League</t>
  </si>
  <si>
    <t>Aurora</t>
  </si>
  <si>
    <t>Wales</t>
  </si>
  <si>
    <t>FAW Championship</t>
  </si>
  <si>
    <t>Primera Nacional</t>
  </si>
  <si>
    <t>LAST 5 GAMES H2H</t>
  </si>
  <si>
    <t>X</t>
  </si>
  <si>
    <t>Average Goals Last 5 Games H2H</t>
  </si>
  <si>
    <t>Average Goals per game</t>
  </si>
  <si>
    <t>HT GOAL HOME</t>
  </si>
  <si>
    <t>HT GOAL AWAY</t>
  </si>
  <si>
    <t>FT GOAL HOME</t>
  </si>
  <si>
    <t>FT GOAL AWAY</t>
  </si>
  <si>
    <t>HOME</t>
  </si>
  <si>
    <t>AWAY</t>
  </si>
  <si>
    <t>LAST 10 GAMES</t>
  </si>
  <si>
    <t xml:space="preserve">home team </t>
  </si>
  <si>
    <t>away team</t>
  </si>
  <si>
    <t>ht goal home</t>
  </si>
  <si>
    <t>ht goal away</t>
  </si>
  <si>
    <t>ft goal home</t>
  </si>
  <si>
    <t>ft goal away</t>
  </si>
  <si>
    <t>India</t>
  </si>
  <si>
    <t>Indian Super League</t>
  </si>
  <si>
    <t>Campionato Primavera - 1</t>
  </si>
  <si>
    <t>2. Lig</t>
  </si>
  <si>
    <t>Segunda Liga</t>
  </si>
  <si>
    <t>Super Liga</t>
  </si>
  <si>
    <t>League One</t>
  </si>
  <si>
    <t>Slovenia</t>
  </si>
  <si>
    <t>Slovakia</t>
  </si>
  <si>
    <t>Premijer Liga</t>
  </si>
  <si>
    <t>Shabab Al Ahli Dubai</t>
  </si>
  <si>
    <t>Inter</t>
  </si>
  <si>
    <t>Guatemala</t>
  </si>
  <si>
    <t>LAST 5 GAMES HEAD TO HEAD (H2H)</t>
  </si>
  <si>
    <t>DATE TIME</t>
  </si>
  <si>
    <t>Sweden</t>
  </si>
  <si>
    <t>Nigeria</t>
  </si>
  <si>
    <t>NPFL</t>
  </si>
  <si>
    <t>Mauritania</t>
  </si>
  <si>
    <t>Antigua-And-Barbuda</t>
  </si>
  <si>
    <t>Barbados</t>
  </si>
  <si>
    <t>Platense</t>
  </si>
  <si>
    <t>Jamaica</t>
  </si>
  <si>
    <t>Mount Pleasant Academy</t>
  </si>
  <si>
    <t>Harbour View</t>
  </si>
  <si>
    <t>SELECT GAMES ON A SLIP</t>
  </si>
  <si>
    <t>OVER O.5 HT</t>
  </si>
  <si>
    <t>OVER 1.5 HT</t>
  </si>
  <si>
    <t>OVER 1.5 FT</t>
  </si>
  <si>
    <t>OVER 2.5 FT</t>
  </si>
  <si>
    <t>OVER 3.5 FT</t>
  </si>
  <si>
    <t>BTTS FT</t>
  </si>
  <si>
    <t>OVER 7.5 CORNERS</t>
  </si>
  <si>
    <t>OVER 8.5 CORNERS</t>
  </si>
  <si>
    <t>OVER 9.5 CORNERS</t>
  </si>
  <si>
    <t xml:space="preserve">AWAY TEAM </t>
  </si>
  <si>
    <t>%</t>
  </si>
  <si>
    <t>PREDICTION</t>
  </si>
  <si>
    <t>Rio Ave</t>
  </si>
  <si>
    <t>Brazil - Carioca - 1</t>
  </si>
  <si>
    <t>Persib Bandung</t>
  </si>
  <si>
    <t>Piauiense</t>
  </si>
  <si>
    <t>Bolivia</t>
  </si>
  <si>
    <t>Argentina - Liga Profesional Argentina</t>
  </si>
  <si>
    <t>Sampaio Corrêa RJ</t>
  </si>
  <si>
    <t>Auto-Generated Match Slip</t>
  </si>
  <si>
    <t>Telegram Token</t>
  </si>
  <si>
    <t>Telegram Chat ID</t>
  </si>
  <si>
    <t>8206600177:AAHVPjC98ZXHLcvOdSpl6pphdTxpV0fhHE4</t>
  </si>
  <si>
    <t>Mictlán</t>
  </si>
  <si>
    <t>Amazonense</t>
  </si>
  <si>
    <t>Nacional AM</t>
  </si>
  <si>
    <t>Asiagoal</t>
  </si>
  <si>
    <t>New South Wales NPL</t>
  </si>
  <si>
    <t>Victoria NPL</t>
  </si>
  <si>
    <t>Bulleen Lions</t>
  </si>
  <si>
    <t>New South Wales NPL 2</t>
  </si>
  <si>
    <t>Northern NSW NPL</t>
  </si>
  <si>
    <t>Queensland NPL</t>
  </si>
  <si>
    <t>Ukraine</t>
  </si>
  <si>
    <t>U19 League</t>
  </si>
  <si>
    <t>Thai League 1</t>
  </si>
  <si>
    <t>Racing</t>
  </si>
  <si>
    <t>Singapore</t>
  </si>
  <si>
    <t>Burundi</t>
  </si>
  <si>
    <t>Ligue A</t>
  </si>
  <si>
    <t>Croatia</t>
  </si>
  <si>
    <t>First NL</t>
  </si>
  <si>
    <t>Sandefjord</t>
  </si>
  <si>
    <t>Angola</t>
  </si>
  <si>
    <t>Girabola</t>
  </si>
  <si>
    <t>HNL</t>
  </si>
  <si>
    <t>Austria</t>
  </si>
  <si>
    <t>2. Liga</t>
  </si>
  <si>
    <t>Cyprus</t>
  </si>
  <si>
    <t>1. Division</t>
  </si>
  <si>
    <t>Botswana</t>
  </si>
  <si>
    <t>2. Bundesliga</t>
  </si>
  <si>
    <t>Pro League</t>
  </si>
  <si>
    <t>3. Liga</t>
  </si>
  <si>
    <t>Primera División RFEF - Group 1</t>
  </si>
  <si>
    <t>Oberliga - Hamburg</t>
  </si>
  <si>
    <t>Challenge League</t>
  </si>
  <si>
    <t>Jordan</t>
  </si>
  <si>
    <t>Challenger Pro League</t>
  </si>
  <si>
    <t>Oberliga - Nordost-Nord</t>
  </si>
  <si>
    <t>First Amateur Division</t>
  </si>
  <si>
    <t>Bundesliga</t>
  </si>
  <si>
    <t>Serie B</t>
  </si>
  <si>
    <t>Primera División RFEF - Group 2</t>
  </si>
  <si>
    <t>Jupiler Pro League</t>
  </si>
  <si>
    <t>Ireland</t>
  </si>
  <si>
    <t>Gibraltar</t>
  </si>
  <si>
    <t>Tondela</t>
  </si>
  <si>
    <t>Chile</t>
  </si>
  <si>
    <t>Paraguay</t>
  </si>
  <si>
    <t>Division Profesional - Apertura</t>
  </si>
  <si>
    <t>Rubio NU</t>
  </si>
  <si>
    <t>Trinidad-And-Tobago</t>
  </si>
  <si>
    <t>Trem</t>
  </si>
  <si>
    <t>Portuguesa RJ</t>
  </si>
  <si>
    <t>World Cup - Women - Qualification Concacaf</t>
  </si>
  <si>
    <t>USA</t>
  </si>
  <si>
    <t>MLS Next Pro</t>
  </si>
  <si>
    <t>Aruba</t>
  </si>
  <si>
    <t>Division di Honor</t>
  </si>
  <si>
    <t>Ecuador</t>
  </si>
  <si>
    <t>Liga Pro</t>
  </si>
  <si>
    <t>Liga MX</t>
  </si>
  <si>
    <t>Liga de Expansión MX</t>
  </si>
  <si>
    <t>Peru</t>
  </si>
  <si>
    <t>Panama</t>
  </si>
  <si>
    <t>Liga Panameña de Fútbol</t>
  </si>
  <si>
    <t>J1 League</t>
  </si>
  <si>
    <t>South-Korea</t>
  </si>
  <si>
    <t>K League 1</t>
  </si>
  <si>
    <t>K League 2</t>
  </si>
  <si>
    <t>Russia</t>
  </si>
  <si>
    <t>Liga II</t>
  </si>
  <si>
    <t>Vietnam</t>
  </si>
  <si>
    <t>V.League 2</t>
  </si>
  <si>
    <t>Czech-Republic</t>
  </si>
  <si>
    <t>Campionato Primavera - 2</t>
  </si>
  <si>
    <t>Central Youth League</t>
  </si>
  <si>
    <t>Srpska Liga - Belgrade</t>
  </si>
  <si>
    <t>II Liga - East</t>
  </si>
  <si>
    <t>III Liga - Group 2</t>
  </si>
  <si>
    <t>V.League 1</t>
  </si>
  <si>
    <t>Third League - Northeast</t>
  </si>
  <si>
    <t>Belarus</t>
  </si>
  <si>
    <t>Hungary</t>
  </si>
  <si>
    <t>NB II</t>
  </si>
  <si>
    <t>2. liga</t>
  </si>
  <si>
    <t>Oberliga - Baden-Württemberg</t>
  </si>
  <si>
    <t>Oberliga - Hessen</t>
  </si>
  <si>
    <t>Regionalliga - SudWest</t>
  </si>
  <si>
    <t>Regionalliga - West</t>
  </si>
  <si>
    <t>FNL</t>
  </si>
  <si>
    <t>Third League - Southeast</t>
  </si>
  <si>
    <t>I-League</t>
  </si>
  <si>
    <t>NB I</t>
  </si>
  <si>
    <t>Czech Liga</t>
  </si>
  <si>
    <t>2. SNL</t>
  </si>
  <si>
    <t>San-Marino</t>
  </si>
  <si>
    <t>Campionato</t>
  </si>
  <si>
    <t>Luxembourg</t>
  </si>
  <si>
    <t>National Division</t>
  </si>
  <si>
    <t>Ivory-Coast</t>
  </si>
  <si>
    <t>Georgia</t>
  </si>
  <si>
    <t>Erovnuli Liga</t>
  </si>
  <si>
    <t>Second Amateur Division - VFV A</t>
  </si>
  <si>
    <t>Paranaense U20</t>
  </si>
  <si>
    <t>Liga de Ascenso</t>
  </si>
  <si>
    <t>Major League Soccer</t>
  </si>
  <si>
    <t>Primera C</t>
  </si>
  <si>
    <t>Venezuela</t>
  </si>
  <si>
    <t>Benfica</t>
  </si>
  <si>
    <t>GIL Vicente</t>
  </si>
  <si>
    <t>Santa Clara</t>
  </si>
  <si>
    <t>China</t>
  </si>
  <si>
    <t>Honduras</t>
  </si>
  <si>
    <t>Asian Cup Women</t>
  </si>
  <si>
    <t>Kyrgyzstan</t>
  </si>
  <si>
    <t>Falkenbergs FF</t>
  </si>
  <si>
    <t>Spartak Moscow</t>
  </si>
  <si>
    <t>Oberliga - Niederrhein</t>
  </si>
  <si>
    <t>Fafe</t>
  </si>
  <si>
    <t>Sporting Gijon</t>
  </si>
  <si>
    <t>Leganes</t>
  </si>
  <si>
    <t>Macara</t>
  </si>
  <si>
    <t>Copa Alagoas</t>
  </si>
  <si>
    <t>Deportivo Saprissa</t>
  </si>
  <si>
    <t>Municipal Liberia</t>
  </si>
  <si>
    <t>Dakota</t>
  </si>
  <si>
    <t>RCA</t>
  </si>
  <si>
    <t>Xelajú</t>
  </si>
  <si>
    <t>Portmore United</t>
  </si>
  <si>
    <t>Houston Dynamo FC II</t>
  </si>
  <si>
    <t>Colorado Rapids II</t>
  </si>
  <si>
    <t>World Cup - Women - Qualification Europe</t>
  </si>
  <si>
    <t>CS Cartagines</t>
  </si>
  <si>
    <t>Atlanta United II</t>
  </si>
  <si>
    <t>Real Estelí</t>
  </si>
  <si>
    <t>San Diego</t>
  </si>
  <si>
    <t>St. Louis City</t>
  </si>
  <si>
    <t>Papua New Guinea W</t>
  </si>
  <si>
    <t>Fiji W</t>
  </si>
  <si>
    <t>FC Anyang</t>
  </si>
  <si>
    <t>Busan I Park</t>
  </si>
  <si>
    <t>Seongnam FC</t>
  </si>
  <si>
    <t>South Korea W</t>
  </si>
  <si>
    <t>Kudrivka</t>
  </si>
  <si>
    <t>Armenia</t>
  </si>
  <si>
    <t>Cherno more II</t>
  </si>
  <si>
    <t>Shkendija</t>
  </si>
  <si>
    <t>CSKA Sofia II</t>
  </si>
  <si>
    <t>Abdish-Ata</t>
  </si>
  <si>
    <t>Barau FC</t>
  </si>
  <si>
    <t>Plateau United</t>
  </si>
  <si>
    <t>Police National</t>
  </si>
  <si>
    <t>Skyy</t>
  </si>
  <si>
    <t>Guinea</t>
  </si>
  <si>
    <t>Shinnik Yaroslavl</t>
  </si>
  <si>
    <t>Polonia Warszawa</t>
  </si>
  <si>
    <t>Bologna</t>
  </si>
  <si>
    <t>Unirea Slobozia</t>
  </si>
  <si>
    <t>Wisla Plock</t>
  </si>
  <si>
    <t>Feirense</t>
  </si>
  <si>
    <t>Al-Ahli Jeddah</t>
  </si>
  <si>
    <t>Bekescsaba 1912</t>
  </si>
  <si>
    <t>Fehérvár FC</t>
  </si>
  <si>
    <t>Cordoba</t>
  </si>
  <si>
    <t>FC Andorra</t>
  </si>
  <si>
    <t>Middlesbrough</t>
  </si>
  <si>
    <t>Zrinjski</t>
  </si>
  <si>
    <t>Getafe</t>
  </si>
  <si>
    <t>Leones de Rosario</t>
  </si>
  <si>
    <t>Lobos Upnfm</t>
  </si>
  <si>
    <t>Molynes United</t>
  </si>
  <si>
    <t>Juventud</t>
  </si>
  <si>
    <t>Club Sp. San Lorenzo</t>
  </si>
  <si>
    <t>San Luis</t>
  </si>
  <si>
    <t>Chemal</t>
  </si>
  <si>
    <t>Patronato</t>
  </si>
  <si>
    <t>Orlando City II</t>
  </si>
  <si>
    <t>Flamengo</t>
  </si>
  <si>
    <t>Waterhouse</t>
  </si>
  <si>
    <t>Spanish Town Police</t>
  </si>
  <si>
    <t>San Francisco FC</t>
  </si>
  <si>
    <t>Pitbulls Santa Barbara FC</t>
  </si>
  <si>
    <t>Fethiyespor</t>
  </si>
  <si>
    <t>Fatih Karagümrük</t>
  </si>
  <si>
    <t>Monza U20</t>
  </si>
  <si>
    <t>Moldova</t>
  </si>
  <si>
    <t>Boluspor</t>
  </si>
  <si>
    <t>Bashkimi Kumanovo</t>
  </si>
  <si>
    <t>Shkëndija Haraçinë</t>
  </si>
  <si>
    <t>Golemo Konjari</t>
  </si>
  <si>
    <t>Bishkek City</t>
  </si>
  <si>
    <t>Zira</t>
  </si>
  <si>
    <t>Liga MX U21</t>
  </si>
  <si>
    <t>Toluca U21</t>
  </si>
  <si>
    <t>Dynamo Kyiv</t>
  </si>
  <si>
    <t>Slavia Praha</t>
  </si>
  <si>
    <t>Zenit</t>
  </si>
  <si>
    <t>Santos Laguna U21</t>
  </si>
  <si>
    <t>Podbrezová</t>
  </si>
  <si>
    <t>TS Galaxy</t>
  </si>
  <si>
    <t>Alanyaspor</t>
  </si>
  <si>
    <t>Trabzonspor</t>
  </si>
  <si>
    <t>Verl</t>
  </si>
  <si>
    <t>FC Carl Zeiss Jena</t>
  </si>
  <si>
    <t>Sparta Praha</t>
  </si>
  <si>
    <t>NEC Nijmegen</t>
  </si>
  <si>
    <t>Kecskeméti TE</t>
  </si>
  <si>
    <t>Brentford</t>
  </si>
  <si>
    <t>Leeds</t>
  </si>
  <si>
    <t>Sunderland</t>
  </si>
  <si>
    <t>ST Mirren</t>
  </si>
  <si>
    <t>Exeter City</t>
  </si>
  <si>
    <t>Mansfield Town</t>
  </si>
  <si>
    <t>Wycombe</t>
  </si>
  <si>
    <t>GKS Katowice</t>
  </si>
  <si>
    <t>Port Vale</t>
  </si>
  <si>
    <t>Reims</t>
  </si>
  <si>
    <t>Stockport County</t>
  </si>
  <si>
    <t>FC Porto</t>
  </si>
  <si>
    <t>Algeria</t>
  </si>
  <si>
    <t>Atletico Torque</t>
  </si>
  <si>
    <t>Defensor Sporting</t>
  </si>
  <si>
    <t>Bagatelle</t>
  </si>
  <si>
    <t>Key</t>
  </si>
  <si>
    <t>SentAt</t>
  </si>
  <si>
    <t>1379249|LAST MINUTE GOAL</t>
  </si>
  <si>
    <t>Cienciano</t>
  </si>
  <si>
    <t>Sousa</t>
  </si>
  <si>
    <t>Iskra</t>
  </si>
  <si>
    <t>Tajikistan</t>
  </si>
  <si>
    <t>Vysshaya Liga</t>
  </si>
  <si>
    <t>III Liga - Group 3</t>
  </si>
  <si>
    <t>Liga III - Serie 4</t>
  </si>
  <si>
    <t>Zimbabwe</t>
  </si>
  <si>
    <t>Guelson FC</t>
  </si>
  <si>
    <t>Liga Premier Serie B</t>
  </si>
  <si>
    <t>Latvia</t>
  </si>
  <si>
    <t>Virsliga</t>
  </si>
  <si>
    <t>Estonia</t>
  </si>
  <si>
    <t>Esiliiga A</t>
  </si>
  <si>
    <t>3. liga - MSFL</t>
  </si>
  <si>
    <t>2. Division</t>
  </si>
  <si>
    <t>4. liga - Divizie A</t>
  </si>
  <si>
    <t>Oberliga - Rheinland-Pfalz / Saar</t>
  </si>
  <si>
    <t>National 2 - Group B</t>
  </si>
  <si>
    <t>Kuwait</t>
  </si>
  <si>
    <t>Roda</t>
  </si>
  <si>
    <t>Sporting Charleroi II</t>
  </si>
  <si>
    <t>Shelbourne</t>
  </si>
  <si>
    <t>Patriotas</t>
  </si>
  <si>
    <t>Guimaraes</t>
  </si>
  <si>
    <t>Estrela</t>
  </si>
  <si>
    <t>USL Championship</t>
  </si>
  <si>
    <t>Durango</t>
  </si>
  <si>
    <t>Tasmania NPL</t>
  </si>
  <si>
    <t>K3 League</t>
  </si>
  <si>
    <t>Hong-Kong</t>
  </si>
  <si>
    <t>Diski Challenge</t>
  </si>
  <si>
    <t>Philippines</t>
  </si>
  <si>
    <t>PFL</t>
  </si>
  <si>
    <t>3. liga - CFL A</t>
  </si>
  <si>
    <t>Kazakhstan</t>
  </si>
  <si>
    <t>Lesotho</t>
  </si>
  <si>
    <t>4. liga - Divizie D</t>
  </si>
  <si>
    <t>4. liga - Divizie F</t>
  </si>
  <si>
    <t>3. liga - CFL B</t>
  </si>
  <si>
    <t>4. liga - Divizie C</t>
  </si>
  <si>
    <t>4. liga - Divizie B</t>
  </si>
  <si>
    <t>U19 Bundesliga</t>
  </si>
  <si>
    <t>3. Lig - Group 1</t>
  </si>
  <si>
    <t>3. Lig - Group 2</t>
  </si>
  <si>
    <t>3. Lig - Group 3</t>
  </si>
  <si>
    <t>Meistriliiga</t>
  </si>
  <si>
    <t>III Liga - Group 4</t>
  </si>
  <si>
    <t>Premyer Liqa</t>
  </si>
  <si>
    <t>3. Lig - Group 4</t>
  </si>
  <si>
    <t>Tercera División RFEF - Group 12</t>
  </si>
  <si>
    <t>Lithuania</t>
  </si>
  <si>
    <t>A Lyga</t>
  </si>
  <si>
    <t>Cambodia</t>
  </si>
  <si>
    <t>C-League</t>
  </si>
  <si>
    <t>Sorrento</t>
  </si>
  <si>
    <t>Altay</t>
  </si>
  <si>
    <t>Regionalliga - Nord</t>
  </si>
  <si>
    <t>Oberliga - Bremen</t>
  </si>
  <si>
    <t>Zambia</t>
  </si>
  <si>
    <t>Denmark Series - Group 3</t>
  </si>
  <si>
    <t>Eswatini</t>
  </si>
  <si>
    <t>Kosovo</t>
  </si>
  <si>
    <t>Arsenal</t>
  </si>
  <si>
    <t>Portsmouth</t>
  </si>
  <si>
    <t>Lincoln</t>
  </si>
  <si>
    <t>Oberliga - Schleswig-Holstein</t>
  </si>
  <si>
    <t>3. liga - Center</t>
  </si>
  <si>
    <t>Goiano U20</t>
  </si>
  <si>
    <t>Welsh Cup</t>
  </si>
  <si>
    <t>Prva Liga</t>
  </si>
  <si>
    <t>Oberliga - Nordost-Süd</t>
  </si>
  <si>
    <t>Oberliga - Niedersachsen</t>
  </si>
  <si>
    <t>1. Liga Classic - Group 2</t>
  </si>
  <si>
    <t>Montenegro</t>
  </si>
  <si>
    <t>Paulista - A3</t>
  </si>
  <si>
    <t>Faroe-Islands</t>
  </si>
  <si>
    <t>1. Deild</t>
  </si>
  <si>
    <t>Rwanda</t>
  </si>
  <si>
    <t>National Soccer League</t>
  </si>
  <si>
    <t>Highlanders</t>
  </si>
  <si>
    <t>Super League 2</t>
  </si>
  <si>
    <t>Albania</t>
  </si>
  <si>
    <t>1st Division</t>
  </si>
  <si>
    <t>Copa Rio U20</t>
  </si>
  <si>
    <t>3. liga - East</t>
  </si>
  <si>
    <t>3. liga - West</t>
  </si>
  <si>
    <t>Derde Divisie - Saturday</t>
  </si>
  <si>
    <t>Derde Divisie - Sunday</t>
  </si>
  <si>
    <t>Srpska Liga - West</t>
  </si>
  <si>
    <t>4. liga - Divizie E</t>
  </si>
  <si>
    <t>Srpska Liga - Vojvodina</t>
  </si>
  <si>
    <t>1. Liga Promotion</t>
  </si>
  <si>
    <t>Oberliga - Mittelrhein</t>
  </si>
  <si>
    <t>1. Liga Classic - Group 1</t>
  </si>
  <si>
    <t>1. Liga Classic - Group 3</t>
  </si>
  <si>
    <t>Wiliete</t>
  </si>
  <si>
    <t>Recreativo do Libolo</t>
  </si>
  <si>
    <t>3. SNL - East</t>
  </si>
  <si>
    <t>Third NL - Jug</t>
  </si>
  <si>
    <t>Nasjonal U19 Champions League</t>
  </si>
  <si>
    <t>Srpska Liga - East</t>
  </si>
  <si>
    <t>Kabuscorp</t>
  </si>
  <si>
    <t>1º de Agosto</t>
  </si>
  <si>
    <t>Esiliiga B</t>
  </si>
  <si>
    <t>Tercera División RFEF - Group 4</t>
  </si>
  <si>
    <t>Bolton</t>
  </si>
  <si>
    <t>Bradford</t>
  </si>
  <si>
    <t>Peterborough</t>
  </si>
  <si>
    <t>Campeonato de Portugal Prio - Group C</t>
  </si>
  <si>
    <t>National 3 - Group F</t>
  </si>
  <si>
    <t>Segunda División RFEF - Group 2</t>
  </si>
  <si>
    <t>Tercera División RFEF - Group 6</t>
  </si>
  <si>
    <t>Tercera División RFEF - Group 8</t>
  </si>
  <si>
    <t>Tercera División RFEF - Group 11</t>
  </si>
  <si>
    <t>Tercera División RFEF - Group 13</t>
  </si>
  <si>
    <t>Tercera División RFEF - Group 15</t>
  </si>
  <si>
    <t>Tercera División RFEF - Group 17</t>
  </si>
  <si>
    <t>Tercera División RFEF - Group 18</t>
  </si>
  <si>
    <t>São Salvador</t>
  </si>
  <si>
    <t>Liga 3</t>
  </si>
  <si>
    <t>Elite Two</t>
  </si>
  <si>
    <t>Benin</t>
  </si>
  <si>
    <t>Championnat National</t>
  </si>
  <si>
    <t>Tercera División RFEF - Group 3</t>
  </si>
  <si>
    <t>1. SNL</t>
  </si>
  <si>
    <t>Segunda División RFEF - Group 1</t>
  </si>
  <si>
    <t>Segunda División RFEF - Group 5</t>
  </si>
  <si>
    <t>Tercera División RFEF - Group 1</t>
  </si>
  <si>
    <t>Tercera División RFEF - Group 2</t>
  </si>
  <si>
    <t>Tercera División RFEF - Group 10</t>
  </si>
  <si>
    <t>Senegal</t>
  </si>
  <si>
    <t>Tercera División RFEF - Group 5</t>
  </si>
  <si>
    <t>Tercera División RFEF - Group 16</t>
  </si>
  <si>
    <t>Meistaradeildin</t>
  </si>
  <si>
    <t>Rudar</t>
  </si>
  <si>
    <t>National 3 - Group G</t>
  </si>
  <si>
    <t>National 3 - Group A</t>
  </si>
  <si>
    <t>National 3 - Group B</t>
  </si>
  <si>
    <t>National 3 - Group H</t>
  </si>
  <si>
    <t>National 3 - Group D</t>
  </si>
  <si>
    <t>National 3 - Group E</t>
  </si>
  <si>
    <t>Second Amateur Division - VFV B</t>
  </si>
  <si>
    <t>Chelsea</t>
  </si>
  <si>
    <t>Tercera División RFEF - Group 9</t>
  </si>
  <si>
    <t>Al Arabi</t>
  </si>
  <si>
    <t>Linense</t>
  </si>
  <si>
    <t>Paulista - A4</t>
  </si>
  <si>
    <t>Andorra</t>
  </si>
  <si>
    <t>1a Divisió</t>
  </si>
  <si>
    <t>Second Amateur Division - ACFF</t>
  </si>
  <si>
    <t>Paranaense - 2</t>
  </si>
  <si>
    <t>Toledo</t>
  </si>
  <si>
    <t>USL Super League</t>
  </si>
  <si>
    <t>Capixaba</t>
  </si>
  <si>
    <t>Brasiliense</t>
  </si>
  <si>
    <t>Potiguar</t>
  </si>
  <si>
    <t>Rondoniense</t>
  </si>
  <si>
    <t>Paraibano</t>
  </si>
  <si>
    <t>Bolívar</t>
  </si>
  <si>
    <t>Dominican-Republic</t>
  </si>
  <si>
    <t>Liga Mayor</t>
  </si>
  <si>
    <t>Suriname</t>
  </si>
  <si>
    <t>Comunicaciones</t>
  </si>
  <si>
    <t>El Porvenir</t>
  </si>
  <si>
    <t>Paysandu</t>
  </si>
  <si>
    <t>Tigres de Alica</t>
  </si>
  <si>
    <t>Guerreros</t>
  </si>
  <si>
    <t>Ath­let­ic Club</t>
  </si>
  <si>
    <t>Guadalupe FC</t>
  </si>
  <si>
    <t>USL League One</t>
  </si>
  <si>
    <t>Naples</t>
  </si>
  <si>
    <t>Fort Wayne</t>
  </si>
  <si>
    <t>One Knoxville</t>
  </si>
  <si>
    <t>El-Salvador</t>
  </si>
  <si>
    <t>Zacatecoluca</t>
  </si>
  <si>
    <t>GAS</t>
  </si>
  <si>
    <t>Cusco</t>
  </si>
  <si>
    <t>Libertad</t>
  </si>
  <si>
    <t>LDU de Quito</t>
  </si>
  <si>
    <t>Flamengo U20</t>
  </si>
  <si>
    <t>Columbus Crew</t>
  </si>
  <si>
    <t>Chicago Fire</t>
  </si>
  <si>
    <t>Philadelphia Union</t>
  </si>
  <si>
    <t>San Jose Earthquakes</t>
  </si>
  <si>
    <t>Atlanta United FC</t>
  </si>
  <si>
    <t>Charlotte</t>
  </si>
  <si>
    <t>Austin</t>
  </si>
  <si>
    <t>Sarasota Paradise</t>
  </si>
  <si>
    <t>Boise</t>
  </si>
  <si>
    <t>Sporting JAX</t>
  </si>
  <si>
    <t>Hartford Athletic</t>
  </si>
  <si>
    <t>Puerto Cabello</t>
  </si>
  <si>
    <t>Reboceros La Piedad</t>
  </si>
  <si>
    <t>Acatlan</t>
  </si>
  <si>
    <t>Calor de San Pedro</t>
  </si>
  <si>
    <t>Zacatepec 1948</t>
  </si>
  <si>
    <t>AD Carmelita</t>
  </si>
  <si>
    <t>Escorpiones Belén</t>
  </si>
  <si>
    <t>Birmingham Legion</t>
  </si>
  <si>
    <t>Tampa Bay Rowdies</t>
  </si>
  <si>
    <t>Irapuato</t>
  </si>
  <si>
    <t>Alebrijes de Oaxaca</t>
  </si>
  <si>
    <t>Alianza</t>
  </si>
  <si>
    <t>Fuerte San Francisco</t>
  </si>
  <si>
    <t>Firpo</t>
  </si>
  <si>
    <t>Águila</t>
  </si>
  <si>
    <t>Isidro Metapán</t>
  </si>
  <si>
    <t>Hércules</t>
  </si>
  <si>
    <t>Diriangén</t>
  </si>
  <si>
    <t>Atlas</t>
  </si>
  <si>
    <t>Guadalajara Chivas</t>
  </si>
  <si>
    <t>Pachuca</t>
  </si>
  <si>
    <t>Puebla</t>
  </si>
  <si>
    <t>Nashville SC</t>
  </si>
  <si>
    <t>Minnesota United FC</t>
  </si>
  <si>
    <t>Sporting Kansas City</t>
  </si>
  <si>
    <t>San Antonio</t>
  </si>
  <si>
    <t>Phoenix Rising</t>
  </si>
  <si>
    <t>Plaza Amador</t>
  </si>
  <si>
    <t>North Texas</t>
  </si>
  <si>
    <t>Atlético Choloma</t>
  </si>
  <si>
    <t>Auckland</t>
  </si>
  <si>
    <t>Perth Glory</t>
  </si>
  <si>
    <t>LD Alajuelense</t>
  </si>
  <si>
    <t>El Paso Locomotive</t>
  </si>
  <si>
    <t>Marquense</t>
  </si>
  <si>
    <t>Malacateco</t>
  </si>
  <si>
    <t>Colorado Rapids</t>
  </si>
  <si>
    <t>Los Angeles Galaxy</t>
  </si>
  <si>
    <t>Los Cabos United</t>
  </si>
  <si>
    <t>Mineros de Fresnillo</t>
  </si>
  <si>
    <t>Monterey Bay</t>
  </si>
  <si>
    <t>Oakland Roots</t>
  </si>
  <si>
    <t>Sacramento Republic</t>
  </si>
  <si>
    <t>FC Tulsa</t>
  </si>
  <si>
    <t>Tigres UANL</t>
  </si>
  <si>
    <t>Monterrey</t>
  </si>
  <si>
    <t>Orange County SC</t>
  </si>
  <si>
    <t>Las Vegas Lights</t>
  </si>
  <si>
    <t>CA La Paz</t>
  </si>
  <si>
    <t>Tlaxcala</t>
  </si>
  <si>
    <t>South East Utd.</t>
  </si>
  <si>
    <t>Clarence Zebras</t>
  </si>
  <si>
    <t>Los Angeles FC</t>
  </si>
  <si>
    <t>FC Dallas</t>
  </si>
  <si>
    <t>Portland Timbers</t>
  </si>
  <si>
    <t>Vancouver Whitecaps</t>
  </si>
  <si>
    <t>Alta</t>
  </si>
  <si>
    <t>Richmond Kickers</t>
  </si>
  <si>
    <t>Fagiano Okayama</t>
  </si>
  <si>
    <t>Kyoto Sanga</t>
  </si>
  <si>
    <t>Vanraure Hachinohe</t>
  </si>
  <si>
    <t>Yokohama FC</t>
  </si>
  <si>
    <t>Wollongong Wolves</t>
  </si>
  <si>
    <t>Sydney FC U23</t>
  </si>
  <si>
    <t>Central Coast II</t>
  </si>
  <si>
    <t>Bankstown City Lions</t>
  </si>
  <si>
    <t>Preston Lions</t>
  </si>
  <si>
    <t>Heidelberg United</t>
  </si>
  <si>
    <t>Melbourne City II</t>
  </si>
  <si>
    <t>Oakleigh Cannons</t>
  </si>
  <si>
    <t>Brisbane Roar II</t>
  </si>
  <si>
    <t>Gold Coast United</t>
  </si>
  <si>
    <t>Gimcheon Sangmu FC</t>
  </si>
  <si>
    <t>Jeonbuk Motors</t>
  </si>
  <si>
    <t>Ansan Greeners</t>
  </si>
  <si>
    <t>Cheongju</t>
  </si>
  <si>
    <t>Montedio Yamagata</t>
  </si>
  <si>
    <t>Blaublitz Akita</t>
  </si>
  <si>
    <t>Sagamihara</t>
  </si>
  <si>
    <t>Tochigi SC</t>
  </si>
  <si>
    <t>Tochigi City</t>
  </si>
  <si>
    <t>Thespakusatsu Gunma</t>
  </si>
  <si>
    <t>FC Gifu</t>
  </si>
  <si>
    <t>Ventforet Kofu</t>
  </si>
  <si>
    <t>Fukushima United</t>
  </si>
  <si>
    <t>Parceiro Nagano</t>
  </si>
  <si>
    <t>Kataller Toyama</t>
  </si>
  <si>
    <t>Ehime FC</t>
  </si>
  <si>
    <t>Kanazawa</t>
  </si>
  <si>
    <t>Tokushima Vortis</t>
  </si>
  <si>
    <t>Kamatamare Sanuki</t>
  </si>
  <si>
    <t>Imabari</t>
  </si>
  <si>
    <t>Oita Trinita</t>
  </si>
  <si>
    <t>Kagoshima United</t>
  </si>
  <si>
    <t>Biwako Shiga</t>
  </si>
  <si>
    <t>Roasso Kumamoto</t>
  </si>
  <si>
    <t>Gainare Tottori</t>
  </si>
  <si>
    <t>FC Ryukyu</t>
  </si>
  <si>
    <t>Hills Brumbies</t>
  </si>
  <si>
    <t>Changwon City</t>
  </si>
  <si>
    <t>Dangjin Citizen</t>
  </si>
  <si>
    <t>Daejeon Korail</t>
  </si>
  <si>
    <t>Chuncheon</t>
  </si>
  <si>
    <t>Mokpo City</t>
  </si>
  <si>
    <t>Yangpyeong</t>
  </si>
  <si>
    <t>Magic United</t>
  </si>
  <si>
    <t>Gamba Osaka</t>
  </si>
  <si>
    <t>V-varen Nagasaki</t>
  </si>
  <si>
    <t>Siheung Citizen</t>
  </si>
  <si>
    <t>Yeoju Sejong</t>
  </si>
  <si>
    <t>Hamilton Olympic</t>
  </si>
  <si>
    <t>Adamstown Rosebuds</t>
  </si>
  <si>
    <t>BC Rangers</t>
  </si>
  <si>
    <t>Warriors</t>
  </si>
  <si>
    <t>Chinese-Taipei</t>
  </si>
  <si>
    <t>Taiwan Football Premier League</t>
  </si>
  <si>
    <t>Tainan City</t>
  </si>
  <si>
    <t>Taichung Futuro</t>
  </si>
  <si>
    <t>Tatung</t>
  </si>
  <si>
    <t>Taipower</t>
  </si>
  <si>
    <t>Jeju United FC</t>
  </si>
  <si>
    <t>Cheonan City</t>
  </si>
  <si>
    <t>Gimpo Citizen</t>
  </si>
  <si>
    <t>Hwaseong</t>
  </si>
  <si>
    <t>Gimhae City</t>
  </si>
  <si>
    <t>Qingdao Youth Island</t>
  </si>
  <si>
    <t>Polokwane City U23</t>
  </si>
  <si>
    <t>Marumo Gallants U23</t>
  </si>
  <si>
    <t>Kaizer Chiefs U23</t>
  </si>
  <si>
    <t>Maritzburg United U23</t>
  </si>
  <si>
    <t>Siwelele U23</t>
  </si>
  <si>
    <t>Orbit College U23</t>
  </si>
  <si>
    <t>Enisey</t>
  </si>
  <si>
    <t>KAMAZ</t>
  </si>
  <si>
    <t>Tuloy</t>
  </si>
  <si>
    <t>Davao Aguilas</t>
  </si>
  <si>
    <t>FC Orenburg</t>
  </si>
  <si>
    <t>Metalul Buzău</t>
  </si>
  <si>
    <t>Gloria Bistriţa</t>
  </si>
  <si>
    <t>Yeclano II</t>
  </si>
  <si>
    <t>Dong Thap</t>
  </si>
  <si>
    <t>Bắc Ninh</t>
  </si>
  <si>
    <t>Teplice II</t>
  </si>
  <si>
    <t>Varnsdorf</t>
  </si>
  <si>
    <t>Second League A - Division A Gold</t>
  </si>
  <si>
    <t>Torpedo Miass</t>
  </si>
  <si>
    <t>Irtysh Omsk</t>
  </si>
  <si>
    <t>Australia W</t>
  </si>
  <si>
    <t>Dordoi Bishkek</t>
  </si>
  <si>
    <t>Kyzyl-Zhar</t>
  </si>
  <si>
    <t>Kaspiy</t>
  </si>
  <si>
    <t>Zbrojovka Brno II</t>
  </si>
  <si>
    <t>Vrchovina</t>
  </si>
  <si>
    <t>Karviná II</t>
  </si>
  <si>
    <t>Uničov</t>
  </si>
  <si>
    <t>Sigma Olomouc II</t>
  </si>
  <si>
    <t>Vsetín</t>
  </si>
  <si>
    <t>Slovácko II</t>
  </si>
  <si>
    <t>Hodonín</t>
  </si>
  <si>
    <t>Strání</t>
  </si>
  <si>
    <t>Havířov</t>
  </si>
  <si>
    <t>Frýdlant</t>
  </si>
  <si>
    <t>Bohemians 1905 II</t>
  </si>
  <si>
    <t>Dukla Praha II</t>
  </si>
  <si>
    <t>Kladno</t>
  </si>
  <si>
    <t>Chlumec nad Cidlinou</t>
  </si>
  <si>
    <t>Hlinsko</t>
  </si>
  <si>
    <t>Štětí</t>
  </si>
  <si>
    <t>Baník Sokolov</t>
  </si>
  <si>
    <t>Admira Wacker</t>
  </si>
  <si>
    <t>Petržalka</t>
  </si>
  <si>
    <t>Lokomotíva Zvolen</t>
  </si>
  <si>
    <t>Banská Byst II</t>
  </si>
  <si>
    <t>Jednota Bánová</t>
  </si>
  <si>
    <t>Ružomberok II</t>
  </si>
  <si>
    <t>Fiľakovo</t>
  </si>
  <si>
    <t>Ústí nad Labem</t>
  </si>
  <si>
    <t>Zlín II</t>
  </si>
  <si>
    <t>Vítkovice</t>
  </si>
  <si>
    <t>Znojmo</t>
  </si>
  <si>
    <t>Humpolec</t>
  </si>
  <si>
    <t>Viktoria Plzeň II</t>
  </si>
  <si>
    <t>Petřín Plzeň</t>
  </si>
  <si>
    <t>Jiskra Domažlice II</t>
  </si>
  <si>
    <t>Slavoj Český Krumlov</t>
  </si>
  <si>
    <t>HEBC</t>
  </si>
  <si>
    <t>Türkiye</t>
  </si>
  <si>
    <t>Slávia TU Košice</t>
  </si>
  <si>
    <t>Stará Ľubovňa</t>
  </si>
  <si>
    <t>Frosinone U20</t>
  </si>
  <si>
    <t>Roma U20</t>
  </si>
  <si>
    <t>Parma U20</t>
  </si>
  <si>
    <t>Geestemünde</t>
  </si>
  <si>
    <t>Blumenthaler SV</t>
  </si>
  <si>
    <t>NB III - Southwest</t>
  </si>
  <si>
    <t>Ferencváros II</t>
  </si>
  <si>
    <t>Érdi VSE</t>
  </si>
  <si>
    <t>NB III - Southeast</t>
  </si>
  <si>
    <t>Tiszaföldvár</t>
  </si>
  <si>
    <t>Monori Se</t>
  </si>
  <si>
    <t>Honvéd II</t>
  </si>
  <si>
    <t>Dunaharaszti MTK</t>
  </si>
  <si>
    <t>NB III - Northwest</t>
  </si>
  <si>
    <t>Gyori ETO II</t>
  </si>
  <si>
    <t>Haladás VSE</t>
  </si>
  <si>
    <t>MTE 1904</t>
  </si>
  <si>
    <t>Veszprém</t>
  </si>
  <si>
    <t>CSM Reşiţa</t>
  </si>
  <si>
    <t>Corvinul Hunedoara</t>
  </si>
  <si>
    <t>Košice II</t>
  </si>
  <si>
    <t>MSK Tesla Stropkov</t>
  </si>
  <si>
    <t>Beyoğlu Yeni Çarşı</t>
  </si>
  <si>
    <t>Isparta 32 Spor</t>
  </si>
  <si>
    <t>Ştefăneşti</t>
  </si>
  <si>
    <t>Voința Crevedia</t>
  </si>
  <si>
    <t>Sanna Khanh Hoa</t>
  </si>
  <si>
    <t>Kisumu All Stars</t>
  </si>
  <si>
    <t>Nzoia Sugar</t>
  </si>
  <si>
    <t>Soy United</t>
  </si>
  <si>
    <t>Talanta</t>
  </si>
  <si>
    <t>Hallescher FC U19</t>
  </si>
  <si>
    <t>Hansa Rostock U19</t>
  </si>
  <si>
    <t>Wolfsburg U19</t>
  </si>
  <si>
    <t>Schalke 04 U19</t>
  </si>
  <si>
    <t>RB Leipzig U19</t>
  </si>
  <si>
    <t>Bayern München U19</t>
  </si>
  <si>
    <t>BAK 07 U19</t>
  </si>
  <si>
    <t>Kaiserslautern U19</t>
  </si>
  <si>
    <t>Bochum U19</t>
  </si>
  <si>
    <t>Ulm U19</t>
  </si>
  <si>
    <t>Kickers Offenbach U19</t>
  </si>
  <si>
    <t>Erzgebirge Aue U19</t>
  </si>
  <si>
    <t>Osnabrück U19</t>
  </si>
  <si>
    <t>Darmstadt 98 U19</t>
  </si>
  <si>
    <t>Wacker Burghausen U19</t>
  </si>
  <si>
    <t>Unterhaching U19</t>
  </si>
  <si>
    <t>1860 München U19</t>
  </si>
  <si>
    <t>SGV Freiberg Fussball U19</t>
  </si>
  <si>
    <t>Jahn Regensburg U19</t>
  </si>
  <si>
    <t>Fortuna Köln U19</t>
  </si>
  <si>
    <t>Atyrau</t>
  </si>
  <si>
    <t>Ulytau</t>
  </si>
  <si>
    <t>Omladinac NB</t>
  </si>
  <si>
    <t>OFK Bačka</t>
  </si>
  <si>
    <t>Getafe II</t>
  </si>
  <si>
    <t>CD Coria</t>
  </si>
  <si>
    <t>Hang Yuen</t>
  </si>
  <si>
    <t>AC Taipei</t>
  </si>
  <si>
    <t>Taichung Rock FC</t>
  </si>
  <si>
    <t>Ming Chuan University</t>
  </si>
  <si>
    <t>Bursaspor</t>
  </si>
  <si>
    <t>68 Aksaray Belediyespor</t>
  </si>
  <si>
    <t xml:space="preserve"> Kahramanmaraş İstiklal Spor</t>
  </si>
  <si>
    <t>Kilis Belediyespor</t>
  </si>
  <si>
    <t>Silifke Belediyespor</t>
  </si>
  <si>
    <t>Kapadokyaspor</t>
  </si>
  <si>
    <t>Kahramanmaraşspor</t>
  </si>
  <si>
    <t>Karaköprü Belediyespor</t>
  </si>
  <si>
    <t>Osmaniyespor</t>
  </si>
  <si>
    <t>Yozgat Bld Bozokspor</t>
  </si>
  <si>
    <t>Çayelispor</t>
  </si>
  <si>
    <t>Artvin Hopaspor</t>
  </si>
  <si>
    <t>Tokat Bld Plevnespor</t>
  </si>
  <si>
    <t>Karadeniz Ereğli BSK</t>
  </si>
  <si>
    <t>Düzcespor</t>
  </si>
  <si>
    <t>Fatsa Belediyespor</t>
  </si>
  <si>
    <t>Yeni Orduspor</t>
  </si>
  <si>
    <t>1926 Bulancak</t>
  </si>
  <si>
    <t>Amasyaspor 1968</t>
  </si>
  <si>
    <t>Sebat Gençlikspor</t>
  </si>
  <si>
    <t>Zonguldak Kömürspor</t>
  </si>
  <si>
    <t>Segunda División RFEF - Group 3</t>
  </si>
  <si>
    <t>Atlètic Lleida</t>
  </si>
  <si>
    <t>Poblense</t>
  </si>
  <si>
    <t>Levante II</t>
  </si>
  <si>
    <t>Jove Español</t>
  </si>
  <si>
    <t>Torrellano</t>
  </si>
  <si>
    <t>Castellonense</t>
  </si>
  <si>
    <t>Utiel</t>
  </si>
  <si>
    <t>Tercera División RFEF - Group 7</t>
  </si>
  <si>
    <t>Villaverde-Boetticher</t>
  </si>
  <si>
    <t>Trival Valderas</t>
  </si>
  <si>
    <t>Santomera</t>
  </si>
  <si>
    <t>El Palmar</t>
  </si>
  <si>
    <t>FC Levadia Tallinn</t>
  </si>
  <si>
    <t>Kuressaare</t>
  </si>
  <si>
    <t>Diamond Harbour</t>
  </si>
  <si>
    <t>Dempo</t>
  </si>
  <si>
    <t>Hong Kong FC</t>
  </si>
  <si>
    <t>North District</t>
  </si>
  <si>
    <t>Móstoles</t>
  </si>
  <si>
    <t>Tres Cantos</t>
  </si>
  <si>
    <t>Constància</t>
  </si>
  <si>
    <t>Alcúdia</t>
  </si>
  <si>
    <t>Znicz Pruszków</t>
  </si>
  <si>
    <t>Odra Opole</t>
  </si>
  <si>
    <t>Zorya Luhansk</t>
  </si>
  <si>
    <t>Kalisz</t>
  </si>
  <si>
    <t>Vizela</t>
  </si>
  <si>
    <t>Makkabi</t>
  </si>
  <si>
    <t>Tennis Borussia</t>
  </si>
  <si>
    <t>Górnik Polkowice</t>
  </si>
  <si>
    <t>Benfica Castelo Branco</t>
  </si>
  <si>
    <t>Lusitânia</t>
  </si>
  <si>
    <t>Veres Rivne U19</t>
  </si>
  <si>
    <t>LNZ Cherkasy U19</t>
  </si>
  <si>
    <t>Teruel</t>
  </si>
  <si>
    <t>Villarreal II</t>
  </si>
  <si>
    <t>Juventud Torremolinos</t>
  </si>
  <si>
    <t>Alcorcon</t>
  </si>
  <si>
    <t>Real Avilés</t>
  </si>
  <si>
    <t>Zamora</t>
  </si>
  <si>
    <t>Deportivo Alavés II</t>
  </si>
  <si>
    <t>Utebo</t>
  </si>
  <si>
    <t>Ejea</t>
  </si>
  <si>
    <t>Náxara</t>
  </si>
  <si>
    <t>Gernika</t>
  </si>
  <si>
    <t>UD Logroñés</t>
  </si>
  <si>
    <t>Real Zaragoza II</t>
  </si>
  <si>
    <t>Basconia</t>
  </si>
  <si>
    <t>Segunda División RFEF - Group 4</t>
  </si>
  <si>
    <t>Almería II</t>
  </si>
  <si>
    <t>Extremadura 1924</t>
  </si>
  <si>
    <t>Estepona</t>
  </si>
  <si>
    <t>La Unión Atlético</t>
  </si>
  <si>
    <t>Deportiva Minera</t>
  </si>
  <si>
    <t>Málaga II</t>
  </si>
  <si>
    <t>Linares Deportivo</t>
  </si>
  <si>
    <t>Real Jaén</t>
  </si>
  <si>
    <t>Melilla</t>
  </si>
  <si>
    <t>Antoniano</t>
  </si>
  <si>
    <t>Intercity</t>
  </si>
  <si>
    <t>Conquense</t>
  </si>
  <si>
    <t>Colonia Moscardó</t>
  </si>
  <si>
    <t>Rayo Vallecano II</t>
  </si>
  <si>
    <t>Las Palmas II</t>
  </si>
  <si>
    <t>Quintanar del Rey</t>
  </si>
  <si>
    <t>Real Madrid III</t>
  </si>
  <si>
    <t>Tenerife II</t>
  </si>
  <si>
    <t>Socuéllamos</t>
  </si>
  <si>
    <t>Navalcarnero</t>
  </si>
  <si>
    <t>Kırklarelispor</t>
  </si>
  <si>
    <t>Barcelona B</t>
  </si>
  <si>
    <t>Atlético Baleares</t>
  </si>
  <si>
    <t>Andratx</t>
  </si>
  <si>
    <t>Castellón II</t>
  </si>
  <si>
    <t>Ibiza Islas Pitiusas</t>
  </si>
  <si>
    <t>Barbastro</t>
  </si>
  <si>
    <t>Torrent</t>
  </si>
  <si>
    <t>Porreres</t>
  </si>
  <si>
    <t>Celtiga</t>
  </si>
  <si>
    <t>Cambados</t>
  </si>
  <si>
    <t>Alondras</t>
  </si>
  <si>
    <t>Estradense</t>
  </si>
  <si>
    <t>Colunga</t>
  </si>
  <si>
    <t>Sporting Gijón II</t>
  </si>
  <si>
    <t>Gijón Industrial</t>
  </si>
  <si>
    <t>San Martín</t>
  </si>
  <si>
    <t>Praviano</t>
  </si>
  <si>
    <t>Lenense</t>
  </si>
  <si>
    <t>Navarro</t>
  </si>
  <si>
    <t>Covadonga</t>
  </si>
  <si>
    <t>Vic</t>
  </si>
  <si>
    <t>Tona</t>
  </si>
  <si>
    <t>Manresa</t>
  </si>
  <si>
    <t>Europa II</t>
  </si>
  <si>
    <t>Montañesa</t>
  </si>
  <si>
    <t>L'Escala</t>
  </si>
  <si>
    <t>Can Vidalet</t>
  </si>
  <si>
    <t>San Cristóbal</t>
  </si>
  <si>
    <t>Cerdanyola del Vallès</t>
  </si>
  <si>
    <t>Vilanova</t>
  </si>
  <si>
    <t>Unión Adarve</t>
  </si>
  <si>
    <t>Torrejón</t>
  </si>
  <si>
    <t>Las Rozas</t>
  </si>
  <si>
    <t>AD Parla</t>
  </si>
  <si>
    <t>Unionistas II</t>
  </si>
  <si>
    <t>Palencia CF</t>
  </si>
  <si>
    <t>Torre del Mar</t>
  </si>
  <si>
    <t>Huétor Tájar</t>
  </si>
  <si>
    <t>UD San Pedro</t>
  </si>
  <si>
    <t>Granada II</t>
  </si>
  <si>
    <t>Tomares</t>
  </si>
  <si>
    <t>Conil</t>
  </si>
  <si>
    <t>Recreativo Huelva</t>
  </si>
  <si>
    <t>Cádiz II</t>
  </si>
  <si>
    <t>Coria CF</t>
  </si>
  <si>
    <t>Atlético Central</t>
  </si>
  <si>
    <t>Chiclana</t>
  </si>
  <si>
    <t>Utrera</t>
  </si>
  <si>
    <t>Córdoba II</t>
  </si>
  <si>
    <t>Mallorca II</t>
  </si>
  <si>
    <t>Son Cladera</t>
  </si>
  <si>
    <t>Mercadal</t>
  </si>
  <si>
    <t>Binissalem</t>
  </si>
  <si>
    <t>Lanzarote</t>
  </si>
  <si>
    <t>Unión Sur Yaiza</t>
  </si>
  <si>
    <t>UCAM Murcia II</t>
  </si>
  <si>
    <t>UD Caravaca</t>
  </si>
  <si>
    <t>Mazarrón FC</t>
  </si>
  <si>
    <t>Tercera División RFEF - Group 14</t>
  </si>
  <si>
    <t>Calamonte</t>
  </si>
  <si>
    <t>Azuaga</t>
  </si>
  <si>
    <t>Badajoz</t>
  </si>
  <si>
    <t>Atlético Pueblonuevo</t>
  </si>
  <si>
    <t>Villanovense</t>
  </si>
  <si>
    <t>Diocesano</t>
  </si>
  <si>
    <t>Calahorra</t>
  </si>
  <si>
    <t>Berceo</t>
  </si>
  <si>
    <t>Villegas</t>
  </si>
  <si>
    <t>UD Logroñés II</t>
  </si>
  <si>
    <t>Comillas</t>
  </si>
  <si>
    <t>Autol</t>
  </si>
  <si>
    <t>Cazalegas</t>
  </si>
  <si>
    <t>La Solana</t>
  </si>
  <si>
    <t>Pedroñeras</t>
  </si>
  <si>
    <t>Calvo Sotelo</t>
  </si>
  <si>
    <t>Binh Dinh</t>
  </si>
  <si>
    <t>Girona II</t>
  </si>
  <si>
    <t>Valencia II</t>
  </si>
  <si>
    <t>Lechia Gdańsk U19</t>
  </si>
  <si>
    <t>Zagłębie Lubin U19</t>
  </si>
  <si>
    <t>Nakhon Si Thammarat</t>
  </si>
  <si>
    <t>Meshakhte</t>
  </si>
  <si>
    <t>Leningradets</t>
  </si>
  <si>
    <t>Rodina Moskva II</t>
  </si>
  <si>
    <t>Tekstilshchik</t>
  </si>
  <si>
    <t>Novosibirsk</t>
  </si>
  <si>
    <t>Veles</t>
  </si>
  <si>
    <t>Kaluga</t>
  </si>
  <si>
    <t>Mafra</t>
  </si>
  <si>
    <t>Guimaraes B</t>
  </si>
  <si>
    <t>Binh Duong</t>
  </si>
  <si>
    <t>Viettel</t>
  </si>
  <si>
    <t>Pho Hien</t>
  </si>
  <si>
    <t>Nam Dinh</t>
  </si>
  <si>
    <t>ML Vitebsk</t>
  </si>
  <si>
    <t>Wuhan Three Towns</t>
  </si>
  <si>
    <t>Beijing Guoan</t>
  </si>
  <si>
    <t>Kaya</t>
  </si>
  <si>
    <t>Stallion</t>
  </si>
  <si>
    <t>Boeung Ket</t>
  </si>
  <si>
    <t>Angkor Tiger</t>
  </si>
  <si>
    <t>NagaWorld</t>
  </si>
  <si>
    <t>Svay Rieng</t>
  </si>
  <si>
    <t>Phnom Penh Crown</t>
  </si>
  <si>
    <t>Kompong Dewa</t>
  </si>
  <si>
    <t>Parvoz</t>
  </si>
  <si>
    <t>Istaravshan</t>
  </si>
  <si>
    <t>Kaisar</t>
  </si>
  <si>
    <t>Zhenys</t>
  </si>
  <si>
    <t>Limkokwing University</t>
  </si>
  <si>
    <t>Members</t>
  </si>
  <si>
    <t>Radnički Obrenovac</t>
  </si>
  <si>
    <t>Motor Lublin</t>
  </si>
  <si>
    <t>Gornik Zabrze</t>
  </si>
  <si>
    <t>Sparta Rotterdam</t>
  </si>
  <si>
    <t>PEC Zwolle</t>
  </si>
  <si>
    <t>De Graafschap</t>
  </si>
  <si>
    <t>Vitesse</t>
  </si>
  <si>
    <t>HNK Cibalia</t>
  </si>
  <si>
    <t>Alhaurino</t>
  </si>
  <si>
    <t>Ciudad de Torredonjimeno</t>
  </si>
  <si>
    <t>Formentera</t>
  </si>
  <si>
    <t>Collerense</t>
  </si>
  <si>
    <t>Binéfar</t>
  </si>
  <si>
    <t>Illueca</t>
  </si>
  <si>
    <t>Lecce</t>
  </si>
  <si>
    <t>Cremonese</t>
  </si>
  <si>
    <t>Krylia Sovetov</t>
  </si>
  <si>
    <t>Dinamo Makhachkala</t>
  </si>
  <si>
    <t>Halstenbek-Rellingen</t>
  </si>
  <si>
    <t>Serie C - Girone B</t>
  </si>
  <si>
    <t>Juventus U23</t>
  </si>
  <si>
    <t>Vis Pesaro</t>
  </si>
  <si>
    <t>Forli</t>
  </si>
  <si>
    <t>Livorno</t>
  </si>
  <si>
    <t>Terrassa</t>
  </si>
  <si>
    <t>Olot</t>
  </si>
  <si>
    <t>Silva</t>
  </si>
  <si>
    <t>Boiro</t>
  </si>
  <si>
    <t>Cornellà</t>
  </si>
  <si>
    <t>Mollerussa</t>
  </si>
  <si>
    <t>Churriana Vega</t>
  </si>
  <si>
    <t>Mijas Las Lagunas</t>
  </si>
  <si>
    <t>El Palo</t>
  </si>
  <si>
    <t>Huétor Vega</t>
  </si>
  <si>
    <t>Sevilla III</t>
  </si>
  <si>
    <t>Pozoblanco</t>
  </si>
  <si>
    <t>Jerez</t>
  </si>
  <si>
    <t>Gévora</t>
  </si>
  <si>
    <t>Cabeza Buey</t>
  </si>
  <si>
    <t>Moralo</t>
  </si>
  <si>
    <t>Kasetsart FC</t>
  </si>
  <si>
    <t>Stuttgart U19</t>
  </si>
  <si>
    <t>Köln U19</t>
  </si>
  <si>
    <t>Baník Ostrava</t>
  </si>
  <si>
    <t>Zlin</t>
  </si>
  <si>
    <t>AFC Wimbledon</t>
  </si>
  <si>
    <t>Northampton</t>
  </si>
  <si>
    <t>Triglav</t>
  </si>
  <si>
    <t>Brinje-Grosuplje</t>
  </si>
  <si>
    <t>Śląsk Wrocław II</t>
  </si>
  <si>
    <t>Olimpia Grudziądz</t>
  </si>
  <si>
    <t>Internazionale U20</t>
  </si>
  <si>
    <t>Fiorentina U20</t>
  </si>
  <si>
    <t>Backnang</t>
  </si>
  <si>
    <t>Reutlingen</t>
  </si>
  <si>
    <t>Eintracht Mahlsdorf</t>
  </si>
  <si>
    <t>Hansa Rostock II</t>
  </si>
  <si>
    <t>Siedenbollentin</t>
  </si>
  <si>
    <t>Croatia Berlin</t>
  </si>
  <si>
    <t>Lajense</t>
  </si>
  <si>
    <t>UD da Serra</t>
  </si>
  <si>
    <t>Csep-Gól</t>
  </si>
  <si>
    <t>Békéscsaba II</t>
  </si>
  <si>
    <t>Szegedi VSE</t>
  </si>
  <si>
    <t>NB III - Northeast</t>
  </si>
  <si>
    <t>Sényő Carnifex</t>
  </si>
  <si>
    <t>Tarpa</t>
  </si>
  <si>
    <t>Silkeborg KFUM</t>
  </si>
  <si>
    <t>Adanaspor</t>
  </si>
  <si>
    <t>Ankara Demirspor</t>
  </si>
  <si>
    <t>Etimesgut SK</t>
  </si>
  <si>
    <t>İnegöl Kafkas Gençlik</t>
  </si>
  <si>
    <t>SS Reyes II</t>
  </si>
  <si>
    <t>Alcobendas Sport</t>
  </si>
  <si>
    <t>Numancia II</t>
  </si>
  <si>
    <t>UD Santa Marta</t>
  </si>
  <si>
    <t>Atlético Porcuna</t>
  </si>
  <si>
    <t>UD Melilla II</t>
  </si>
  <si>
    <t>Panadería Pulido</t>
  </si>
  <si>
    <t>Telde</t>
  </si>
  <si>
    <t>Atlético Paso</t>
  </si>
  <si>
    <t>Arucas</t>
  </si>
  <si>
    <t>Tenisca</t>
  </si>
  <si>
    <t>UD San Fernando</t>
  </si>
  <si>
    <t>Chonburi FC</t>
  </si>
  <si>
    <t>Santos AP</t>
  </si>
  <si>
    <t>Ustrem Donchevo</t>
  </si>
  <si>
    <t>Vihiga United FC</t>
  </si>
  <si>
    <t>Migori Youth</t>
  </si>
  <si>
    <t>MCF</t>
  </si>
  <si>
    <t>Foncha ST</t>
  </si>
  <si>
    <t>Sable</t>
  </si>
  <si>
    <t>FS Jelgava</t>
  </si>
  <si>
    <t>Hoffenheim U19</t>
  </si>
  <si>
    <t>Nürnberg U19</t>
  </si>
  <si>
    <t>Rot-Weiss Essen U19</t>
  </si>
  <si>
    <t>Alemannia Aachen U19</t>
  </si>
  <si>
    <t>Babelsberg U19</t>
  </si>
  <si>
    <t>Lübeck U19</t>
  </si>
  <si>
    <t>Djurgardens IF</t>
  </si>
  <si>
    <t>IF Elfsborg</t>
  </si>
  <si>
    <t>Helsingborg</t>
  </si>
  <si>
    <t>Fulham</t>
  </si>
  <si>
    <t>Southampton</t>
  </si>
  <si>
    <t>Club Africain</t>
  </si>
  <si>
    <t>CA Bizertin</t>
  </si>
  <si>
    <t>Stade Tunisien</t>
  </si>
  <si>
    <t>ES Sahel</t>
  </si>
  <si>
    <t>Drenica Skënderaj</t>
  </si>
  <si>
    <t>Liga E Pare</t>
  </si>
  <si>
    <t>FC Besa Peja</t>
  </si>
  <si>
    <t>Trepça Mitrovicë</t>
  </si>
  <si>
    <t>Dinamo Ferizaj</t>
  </si>
  <si>
    <t>2 Korriku</t>
  </si>
  <si>
    <t>Kika</t>
  </si>
  <si>
    <t>Prizreni</t>
  </si>
  <si>
    <t>Liria Prizren</t>
  </si>
  <si>
    <t>Vushtrria</t>
  </si>
  <si>
    <t>Rilindja 1974</t>
  </si>
  <si>
    <t>Feronikeli</t>
  </si>
  <si>
    <t>Suhareka</t>
  </si>
  <si>
    <t>Istogu</t>
  </si>
  <si>
    <t>Tefik Canga</t>
  </si>
  <si>
    <t>KEK-u</t>
  </si>
  <si>
    <t>Vëllaznimi</t>
  </si>
  <si>
    <t>Ramiz Sadiku</t>
  </si>
  <si>
    <t>Vjosa</t>
  </si>
  <si>
    <t>Trepça'89</t>
  </si>
  <si>
    <t>FC Santa Coloma</t>
  </si>
  <si>
    <t>Inter Club d'Escaldes</t>
  </si>
  <si>
    <t>Ha Noi</t>
  </si>
  <si>
    <t>Công An Nhân Dân</t>
  </si>
  <si>
    <t>Banga</t>
  </si>
  <si>
    <t>MTK Budapest</t>
  </si>
  <si>
    <t>Diosgyori VTK</t>
  </si>
  <si>
    <t>Club Brugge KV</t>
  </si>
  <si>
    <t>Anderlecht</t>
  </si>
  <si>
    <t>Oţelul</t>
  </si>
  <si>
    <t>Hannover 96</t>
  </si>
  <si>
    <t>SpVgg Greuther Fürth</t>
  </si>
  <si>
    <t>Dynamo Dresden</t>
  </si>
  <si>
    <t>Preußen Münster</t>
  </si>
  <si>
    <t>Hertha BSC</t>
  </si>
  <si>
    <t>Lokeren-Temse</t>
  </si>
  <si>
    <t>SK Beveren</t>
  </si>
  <si>
    <t>Waldhof Mannheim</t>
  </si>
  <si>
    <t>Havelse</t>
  </si>
  <si>
    <t>HSC Hannover</t>
  </si>
  <si>
    <t>Eiche Horn</t>
  </si>
  <si>
    <t>Woltmershausen</t>
  </si>
  <si>
    <t>Tampines Rovers</t>
  </si>
  <si>
    <t>Arnavutköy Belediyespor</t>
  </si>
  <si>
    <t>Somaspor</t>
  </si>
  <si>
    <t>Nilüfer Belediye</t>
  </si>
  <si>
    <t>Çankaya FK</t>
  </si>
  <si>
    <t>Silivrispor</t>
  </si>
  <si>
    <t>Edirnespor</t>
  </si>
  <si>
    <t>1926 Polatlı Belediye</t>
  </si>
  <si>
    <t>Bursa Yıldırımspor</t>
  </si>
  <si>
    <t>Denizli İYG</t>
  </si>
  <si>
    <t>Söke 1970</t>
  </si>
  <si>
    <t>Nazilli Spor</t>
  </si>
  <si>
    <t>Balıkesirspor</t>
  </si>
  <si>
    <t>Eskişehirspor</t>
  </si>
  <si>
    <t>Bornova 1877</t>
  </si>
  <si>
    <t>İzmir Çoruhlu FK</t>
  </si>
  <si>
    <t>Alanya 1221 FK</t>
  </si>
  <si>
    <t>Afjet Afyonspor</t>
  </si>
  <si>
    <t>Anadolu Üniversitesi</t>
  </si>
  <si>
    <t>Kütahyaspor</t>
  </si>
  <si>
    <t>Sparta KW</t>
  </si>
  <si>
    <t>Avia Świdnik</t>
  </si>
  <si>
    <t>Phrae United</t>
  </si>
  <si>
    <t>Tammeka</t>
  </si>
  <si>
    <t>Kalju Nomme</t>
  </si>
  <si>
    <t>Atlético GO U20</t>
  </si>
  <si>
    <t>Racing Montevideo</t>
  </si>
  <si>
    <t>Cerro</t>
  </si>
  <si>
    <t>Radnicki NIS</t>
  </si>
  <si>
    <t>Villarreal</t>
  </si>
  <si>
    <t>Elche</t>
  </si>
  <si>
    <t>Las Palmas</t>
  </si>
  <si>
    <t>AD Ceuta FC</t>
  </si>
  <si>
    <t>Budafoki LC</t>
  </si>
  <si>
    <t>BVSC</t>
  </si>
  <si>
    <t>Tiszakecske FC</t>
  </si>
  <si>
    <t>Szentlőrinc SE</t>
  </si>
  <si>
    <t>Soroksar</t>
  </si>
  <si>
    <t>Konyaspor</t>
  </si>
  <si>
    <t>Kasımpaşa</t>
  </si>
  <si>
    <t>Iğdır FK</t>
  </si>
  <si>
    <t>Sparta Lichtenberg</t>
  </si>
  <si>
    <t>Lichtenberg</t>
  </si>
  <si>
    <t>Budissa Bautzen</t>
  </si>
  <si>
    <t>Empor Glauchau</t>
  </si>
  <si>
    <t>Einheit Rudolstadt</t>
  </si>
  <si>
    <t>Union Sandersdorf</t>
  </si>
  <si>
    <t>VfL Halle</t>
  </si>
  <si>
    <t>FC Lok Stendal</t>
  </si>
  <si>
    <t>ZFC Meuselwitz</t>
  </si>
  <si>
    <t>Hertha Zehlendorf</t>
  </si>
  <si>
    <t>Luckenwalde</t>
  </si>
  <si>
    <t>FC Rot-Weiß Erfurt</t>
  </si>
  <si>
    <t>BSG Chemie Leipzig</t>
  </si>
  <si>
    <t>Lokomotive Leipzig</t>
  </si>
  <si>
    <t>Bremer SV</t>
  </si>
  <si>
    <t>Schöningen</t>
  </si>
  <si>
    <t>Eintracht Norderstedt</t>
  </si>
  <si>
    <t>St. Pauli II</t>
  </si>
  <si>
    <t>FC 08 Homburg</t>
  </si>
  <si>
    <t>Kickers Offenbach</t>
  </si>
  <si>
    <t>SV Eichede</t>
  </si>
  <si>
    <t>Hohenwestedt</t>
  </si>
  <si>
    <t>Todesfelde</t>
  </si>
  <si>
    <t>Holstein Kiel II</t>
  </si>
  <si>
    <t>Wiedenbrück</t>
  </si>
  <si>
    <t>Elana Toruń</t>
  </si>
  <si>
    <t>Polonia Środa</t>
  </si>
  <si>
    <t>Eintracht Braunschw. II</t>
  </si>
  <si>
    <t>Wetschen</t>
  </si>
  <si>
    <t>Vatan Sport</t>
  </si>
  <si>
    <t>Sebaldsbrück</t>
  </si>
  <si>
    <t>Majosi</t>
  </si>
  <si>
    <t>Nagykanizsai ULE</t>
  </si>
  <si>
    <t>Kaposvar</t>
  </si>
  <si>
    <t>Balatonlelle SE</t>
  </si>
  <si>
    <t>Szekszárd</t>
  </si>
  <si>
    <t>Iváncsa</t>
  </si>
  <si>
    <t>Pénzügyőr</t>
  </si>
  <si>
    <t>Paksi SE II</t>
  </si>
  <si>
    <t>MTK Budapest II</t>
  </si>
  <si>
    <t>Siofok</t>
  </si>
  <si>
    <t>BKV Előre</t>
  </si>
  <si>
    <t>Vasas II</t>
  </si>
  <si>
    <t>Hódmezővásárhely</t>
  </si>
  <si>
    <t>Dabas</t>
  </si>
  <si>
    <t>Gyulai Termál</t>
  </si>
  <si>
    <t>ESMTK</t>
  </si>
  <si>
    <t>Szeged-Csanád II</t>
  </si>
  <si>
    <t>Tatabánya</t>
  </si>
  <si>
    <t>Budaörs</t>
  </si>
  <si>
    <t>Balatonfüredi</t>
  </si>
  <si>
    <t>Puskás II</t>
  </si>
  <si>
    <t>Komárom</t>
  </si>
  <si>
    <t>SC Sopron</t>
  </si>
  <si>
    <t>Cigand SE</t>
  </si>
  <si>
    <t>Diósgyőr II</t>
  </si>
  <si>
    <t>DEAC</t>
  </si>
  <si>
    <t>FC Hatvan</t>
  </si>
  <si>
    <t>Tiszafuredi VSE</t>
  </si>
  <si>
    <t>Debrecen II</t>
  </si>
  <si>
    <t>Eger</t>
  </si>
  <si>
    <t>Tiszaújváros</t>
  </si>
  <si>
    <t>Gödöllő</t>
  </si>
  <si>
    <t>Putnok VSE</t>
  </si>
  <si>
    <t>Füzesabony</t>
  </si>
  <si>
    <t>Nyiregyhaza II</t>
  </si>
  <si>
    <t>Ózd Sajóvölgye</t>
  </si>
  <si>
    <t>Kisvárda II</t>
  </si>
  <si>
    <t>Nkwazi</t>
  </si>
  <si>
    <t>Mutondo Stars</t>
  </si>
  <si>
    <t>NAPSA Stars</t>
  </si>
  <si>
    <t>Green Buffaloes</t>
  </si>
  <si>
    <t>ZESCO United</t>
  </si>
  <si>
    <t>Power Dynamos</t>
  </si>
  <si>
    <t>Makedonija GjP</t>
  </si>
  <si>
    <t>Blois</t>
  </si>
  <si>
    <t>Bastia-Borgo</t>
  </si>
  <si>
    <t>Servette II</t>
  </si>
  <si>
    <t>Martigny Sports</t>
  </si>
  <si>
    <t>Widnau</t>
  </si>
  <si>
    <t>Wettswil-Bonstetten</t>
  </si>
  <si>
    <t>ADO '20</t>
  </si>
  <si>
    <t>Hsc 21</t>
  </si>
  <si>
    <t>Tromsdalen Uil</t>
  </si>
  <si>
    <t>Brann</t>
  </si>
  <si>
    <t>Śląsk Wrocław U19</t>
  </si>
  <si>
    <t>Escola Varsovia U19</t>
  </si>
  <si>
    <t>Kroměříž II</t>
  </si>
  <si>
    <t>Tatran Všechovice</t>
  </si>
  <si>
    <t>Petrocub</t>
  </si>
  <si>
    <t>Dacia-Buiucani</t>
  </si>
  <si>
    <t>FC ST. Gallen</t>
  </si>
  <si>
    <t>FC Basel 1893</t>
  </si>
  <si>
    <t>Spartak Plovdiv</t>
  </si>
  <si>
    <t>Dimitrovgrad</t>
  </si>
  <si>
    <t>CAPS United</t>
  </si>
  <si>
    <t>Agama</t>
  </si>
  <si>
    <t>Hardrock</t>
  </si>
  <si>
    <t>Scotland Mabvuku</t>
  </si>
  <si>
    <t>Bulawayo Chiefs</t>
  </si>
  <si>
    <t>Manica Diamonds</t>
  </si>
  <si>
    <t>Simba Bhora</t>
  </si>
  <si>
    <t>Berane</t>
  </si>
  <si>
    <t>Aigle Noir</t>
  </si>
  <si>
    <t>Flambeau du Centre</t>
  </si>
  <si>
    <t>Kayanza United</t>
  </si>
  <si>
    <t>Vital'O</t>
  </si>
  <si>
    <t>Muzinga</t>
  </si>
  <si>
    <t>Bumamuru</t>
  </si>
  <si>
    <t>Itapirense</t>
  </si>
  <si>
    <t>EC São Bernardo</t>
  </si>
  <si>
    <t>Portuguesa Santista</t>
  </si>
  <si>
    <t>Francana</t>
  </si>
  <si>
    <t>Rio Claro</t>
  </si>
  <si>
    <t>Bandeirante SP</t>
  </si>
  <si>
    <t>Hamrun Spartans</t>
  </si>
  <si>
    <t>Birkirkara</t>
  </si>
  <si>
    <t>Gorilla</t>
  </si>
  <si>
    <t>Muhanga</t>
  </si>
  <si>
    <t>Etincelles</t>
  </si>
  <si>
    <t>Ludogorets III</t>
  </si>
  <si>
    <t>Chernomorets Balchik</t>
  </si>
  <si>
    <t>Volgar Astrakhan</t>
  </si>
  <si>
    <t>Mashuk-KMV</t>
  </si>
  <si>
    <t>Malanti Chiefs</t>
  </si>
  <si>
    <t>Ubombo Sugar</t>
  </si>
  <si>
    <t>Mbabane Swallows</t>
  </si>
  <si>
    <t>Nsingizini Hotspurs</t>
  </si>
  <si>
    <t>Sandnes Ulf U19</t>
  </si>
  <si>
    <t>Eding Sport</t>
  </si>
  <si>
    <t>Les Astres</t>
  </si>
  <si>
    <t>RW Oberhausen U19</t>
  </si>
  <si>
    <t>FSV Frankfurt U19</t>
  </si>
  <si>
    <t>Schott Mainz U19</t>
  </si>
  <si>
    <t>BKMA</t>
  </si>
  <si>
    <t>Rangers</t>
  </si>
  <si>
    <t>Celtic</t>
  </si>
  <si>
    <t>Slavia Mozyr</t>
  </si>
  <si>
    <t>Torpedo Moskva</t>
  </si>
  <si>
    <t>Marsa</t>
  </si>
  <si>
    <t>Gudja United</t>
  </si>
  <si>
    <t>Real Kashmir</t>
  </si>
  <si>
    <t>Khatlon</t>
  </si>
  <si>
    <t>FC Astana</t>
  </si>
  <si>
    <t>Zhetysu</t>
  </si>
  <si>
    <t>LCS</t>
  </si>
  <si>
    <t>LMPS</t>
  </si>
  <si>
    <t>Manonyane</t>
  </si>
  <si>
    <t>LDF</t>
  </si>
  <si>
    <t>CSKA 1948</t>
  </si>
  <si>
    <t>GO Ahead Eagles</t>
  </si>
  <si>
    <t>Twente</t>
  </si>
  <si>
    <t>Fortuna Sittard</t>
  </si>
  <si>
    <t>Telstar</t>
  </si>
  <si>
    <t>Polonia Bytom</t>
  </si>
  <si>
    <t>Ruch Chorzów</t>
  </si>
  <si>
    <t>Willem II</t>
  </si>
  <si>
    <t>Den Bosch</t>
  </si>
  <si>
    <t>Karpaty</t>
  </si>
  <si>
    <t>TuBa Pohlheim</t>
  </si>
  <si>
    <t>Baunatal</t>
  </si>
  <si>
    <t>Nikola Tesla</t>
  </si>
  <si>
    <t>Niendorfer TSV</t>
  </si>
  <si>
    <t>Oberliga - Westfalen</t>
  </si>
  <si>
    <t>Gievenbeck</t>
  </si>
  <si>
    <t>Lippstadt 08</t>
  </si>
  <si>
    <t>Spišské Podhradie</t>
  </si>
  <si>
    <t>Poprad</t>
  </si>
  <si>
    <t>Veľké Ludince</t>
  </si>
  <si>
    <t>Trenčín II</t>
  </si>
  <si>
    <t>Beluša</t>
  </si>
  <si>
    <t>DAC II</t>
  </si>
  <si>
    <t>Stade Payerne</t>
  </si>
  <si>
    <t>Echallens</t>
  </si>
  <si>
    <t>La Sarraz-Eclépens</t>
  </si>
  <si>
    <t>Prishtina Bern</t>
  </si>
  <si>
    <t>Esbjerg II</t>
  </si>
  <si>
    <t>Tarup-Paarup</t>
  </si>
  <si>
    <t>Groene Ster</t>
  </si>
  <si>
    <t>UNA</t>
  </si>
  <si>
    <t>Pianese</t>
  </si>
  <si>
    <t>Pineto</t>
  </si>
  <si>
    <t>Athletic Carpi</t>
  </si>
  <si>
    <t>Torres</t>
  </si>
  <si>
    <t>Serie C - Girone C</t>
  </si>
  <si>
    <t>Team Altamura</t>
  </si>
  <si>
    <t>Siracusa</t>
  </si>
  <si>
    <t>Giugliano</t>
  </si>
  <si>
    <t>Salernitana</t>
  </si>
  <si>
    <t>Latina</t>
  </si>
  <si>
    <t>Trapani 1905</t>
  </si>
  <si>
    <t>FK Polimlje Prijepolje</t>
  </si>
  <si>
    <t>Real Podunavci</t>
  </si>
  <si>
    <t>Venda FC</t>
  </si>
  <si>
    <t>Baroka FC</t>
  </si>
  <si>
    <t>The Bees</t>
  </si>
  <si>
    <t>Highbury</t>
  </si>
  <si>
    <t>Berg en Dal</t>
  </si>
  <si>
    <t>Rupel Boom</t>
  </si>
  <si>
    <t>Sevlievo</t>
  </si>
  <si>
    <t>Catanzaro U19</t>
  </si>
  <si>
    <t>Empoli U19</t>
  </si>
  <si>
    <t>Start Brno</t>
  </si>
  <si>
    <t>Blansko</t>
  </si>
  <si>
    <t>Pelhřimov</t>
  </si>
  <si>
    <t>Sparta Brno</t>
  </si>
  <si>
    <t>Velká Bíteš</t>
  </si>
  <si>
    <t>Tatran Bohunice</t>
  </si>
  <si>
    <t>Kozlovice</t>
  </si>
  <si>
    <t>Nové Sady</t>
  </si>
  <si>
    <t>Sokol Lanžhot</t>
  </si>
  <si>
    <t>Šternberk</t>
  </si>
  <si>
    <t>Pustá Polom</t>
  </si>
  <si>
    <t>Zabreh</t>
  </si>
  <si>
    <t>Šumperk</t>
  </si>
  <si>
    <t>Stonava</t>
  </si>
  <si>
    <t>Sokol Brozany</t>
  </si>
  <si>
    <t>Arsenal Česká Lípa</t>
  </si>
  <si>
    <t>Kolín</t>
  </si>
  <si>
    <t>Velké Hamry</t>
  </si>
  <si>
    <t>Sokol Zápy</t>
  </si>
  <si>
    <t>Hradec Králové II</t>
  </si>
  <si>
    <t>Milevsko</t>
  </si>
  <si>
    <t>Rokycany</t>
  </si>
  <si>
    <t>Čáslav</t>
  </si>
  <si>
    <t>Slovan Hrádek nad Nisou</t>
  </si>
  <si>
    <t>Spartak Police n/Metují</t>
  </si>
  <si>
    <t>Trutnov</t>
  </si>
  <si>
    <t>Turnov</t>
  </si>
  <si>
    <t>Náchod</t>
  </si>
  <si>
    <t>ASIL Lysi</t>
  </si>
  <si>
    <t>PAEEK</t>
  </si>
  <si>
    <t>Rhyl</t>
  </si>
  <si>
    <t>Caernarfon Town</t>
  </si>
  <si>
    <t>Machokha</t>
  </si>
  <si>
    <t>Maroala</t>
  </si>
  <si>
    <t>FK Mladost Omoljica</t>
  </si>
  <si>
    <t>Mladost Bački Jarak</t>
  </si>
  <si>
    <t>Radomiak Radom</t>
  </si>
  <si>
    <t>Táborsko</t>
  </si>
  <si>
    <t>Zbrojovka Brno</t>
  </si>
  <si>
    <t>Hellas Verona</t>
  </si>
  <si>
    <t>Parma</t>
  </si>
  <si>
    <t>HNK Hajduk Split</t>
  </si>
  <si>
    <t>Dinamo Zagreb</t>
  </si>
  <si>
    <t>Olimpija Ljubljana</t>
  </si>
  <si>
    <t>Maribor</t>
  </si>
  <si>
    <t>Krško</t>
  </si>
  <si>
    <t>Dekani</t>
  </si>
  <si>
    <t>Ajka</t>
  </si>
  <si>
    <t>Csakvar</t>
  </si>
  <si>
    <t>Karcag SE</t>
  </si>
  <si>
    <t>Szeged 2011</t>
  </si>
  <si>
    <t>Mezokovesd-zsory</t>
  </si>
  <si>
    <t>Vasas</t>
  </si>
  <si>
    <t>Kozarmisleny FC</t>
  </si>
  <si>
    <t>Leixoes</t>
  </si>
  <si>
    <t>União de Leiria</t>
  </si>
  <si>
    <t>Rubin</t>
  </si>
  <si>
    <t>FC Krasnodar</t>
  </si>
  <si>
    <t>Selangor</t>
  </si>
  <si>
    <t>Imigresen</t>
  </si>
  <si>
    <t>Cagliari U20</t>
  </si>
  <si>
    <t>KFC Uerdingen 05</t>
  </si>
  <si>
    <t>SC St. Tönis</t>
  </si>
  <si>
    <t>Schonnebeck</t>
  </si>
  <si>
    <t>BW Dingden</t>
  </si>
  <si>
    <t>Kleve</t>
  </si>
  <si>
    <t>Sonsbeck</t>
  </si>
  <si>
    <t>Holzheimer SG</t>
  </si>
  <si>
    <t>Meerbusch</t>
  </si>
  <si>
    <t>Hilden</t>
  </si>
  <si>
    <t>SF Baumberg</t>
  </si>
  <si>
    <t>Union Frintrop</t>
  </si>
  <si>
    <t>Cosmos Koblenz</t>
  </si>
  <si>
    <t>Kaiserslautern II</t>
  </si>
  <si>
    <t>Gau-Odernheim</t>
  </si>
  <si>
    <t>Eisbachtal</t>
  </si>
  <si>
    <t>Darmstadt 98 II</t>
  </si>
  <si>
    <t>FC Gießen</t>
  </si>
  <si>
    <t>Eddersheim</t>
  </si>
  <si>
    <t>Eintracht Stadtallendorf</t>
  </si>
  <si>
    <t>Kassel</t>
  </si>
  <si>
    <t>Rot-Weiß Walldorf</t>
  </si>
  <si>
    <t>SV Meppen</t>
  </si>
  <si>
    <t>Hannover 96 II</t>
  </si>
  <si>
    <t>Kickers Emden</t>
  </si>
  <si>
    <t>Hiltrup</t>
  </si>
  <si>
    <t>Türkspor Dortmund</t>
  </si>
  <si>
    <t>Westfalia Rhynern</t>
  </si>
  <si>
    <t>Rot Weiss Ahlen</t>
  </si>
  <si>
    <t>Victoria Clarholz</t>
  </si>
  <si>
    <t>Sprockhovel</t>
  </si>
  <si>
    <t>Erkenschwick</t>
  </si>
  <si>
    <t>Heeslinger SC</t>
  </si>
  <si>
    <t>Meppen II</t>
  </si>
  <si>
    <t>Lupo-Martini</t>
  </si>
  <si>
    <t>Bersenbrück</t>
  </si>
  <si>
    <t>Atlas Delmenhorst</t>
  </si>
  <si>
    <t>Borussia Hildesheim</t>
  </si>
  <si>
    <t>Germania Egestorf</t>
  </si>
  <si>
    <t>Tirana</t>
  </si>
  <si>
    <t>Bylis</t>
  </si>
  <si>
    <t>Vora</t>
  </si>
  <si>
    <t>Aris</t>
  </si>
  <si>
    <t>Spouwen-Mopertingen</t>
  </si>
  <si>
    <t>Knokke</t>
  </si>
  <si>
    <t>Cercle Brugge II</t>
  </si>
  <si>
    <t>Lyra-Lierse Berlaar</t>
  </si>
  <si>
    <t>Diegem Sport</t>
  </si>
  <si>
    <t>Hoogstraten</t>
  </si>
  <si>
    <t>Tienen</t>
  </si>
  <si>
    <t>Merelbeke</t>
  </si>
  <si>
    <t>Zelzate</t>
  </si>
  <si>
    <t>Houtvenne</t>
  </si>
  <si>
    <t>Domagnano</t>
  </si>
  <si>
    <t>Tre Penne</t>
  </si>
  <si>
    <t>Folgore</t>
  </si>
  <si>
    <t>La Fiorita</t>
  </si>
  <si>
    <t>Tre Fiori</t>
  </si>
  <si>
    <t>Cailungo</t>
  </si>
  <si>
    <t>Virtus</t>
  </si>
  <si>
    <t>Juvenes / Dogana</t>
  </si>
  <si>
    <t>Biel-Bienne</t>
  </si>
  <si>
    <t>Brühl</t>
  </si>
  <si>
    <t>Sampdoria</t>
  </si>
  <si>
    <t>Catanzaro</t>
  </si>
  <si>
    <t>Empoli</t>
  </si>
  <si>
    <t>Mantova</t>
  </si>
  <si>
    <t>Juve Stabia</t>
  </si>
  <si>
    <t>Baník Kalinovo</t>
  </si>
  <si>
    <t>Dolný Kubín</t>
  </si>
  <si>
    <t>Düren Merzenich</t>
  </si>
  <si>
    <t>VfL Vichttal</t>
  </si>
  <si>
    <t>Saran Municipal</t>
  </si>
  <si>
    <t>Hauts Lyonnais</t>
  </si>
  <si>
    <t>Toulouse II</t>
  </si>
  <si>
    <t>Agde</t>
  </si>
  <si>
    <t>Nantes II</t>
  </si>
  <si>
    <t>St-Philbert Gd Lieu</t>
  </si>
  <si>
    <t>Strasbourg II</t>
  </si>
  <si>
    <t>Ivry</t>
  </si>
  <si>
    <t>Sochaux II</t>
  </si>
  <si>
    <t>Belfort</t>
  </si>
  <si>
    <t>Montpellier II</t>
  </si>
  <si>
    <t>Cannet Rocheville</t>
  </si>
  <si>
    <t>Havre Caucriauville</t>
  </si>
  <si>
    <t>Racing Colombes 92</t>
  </si>
  <si>
    <t>Versailles II</t>
  </si>
  <si>
    <t>Dives-Cabourg</t>
  </si>
  <si>
    <t>Metz II</t>
  </si>
  <si>
    <t>Pays de Cassel</t>
  </si>
  <si>
    <t>Amiens SC II</t>
  </si>
  <si>
    <t>Drancy</t>
  </si>
  <si>
    <t>Langenthal</t>
  </si>
  <si>
    <t>RUS Binche</t>
  </si>
  <si>
    <t>Acren-Lessines</t>
  </si>
  <si>
    <t>Flénu</t>
  </si>
  <si>
    <t>Aywaille</t>
  </si>
  <si>
    <t>Raeren-Eynatten</t>
  </si>
  <si>
    <t>Huy</t>
  </si>
  <si>
    <t>Jette</t>
  </si>
  <si>
    <t>Richelle United</t>
  </si>
  <si>
    <t>Sparta Petegem</t>
  </si>
  <si>
    <t>Oostkamp</t>
  </si>
  <si>
    <t>Westhoek</t>
  </si>
  <si>
    <t>FC Lebbeke</t>
  </si>
  <si>
    <t>Landesliga - Niederosterreich</t>
  </si>
  <si>
    <t>Admira II</t>
  </si>
  <si>
    <t>St. Peter</t>
  </si>
  <si>
    <t>Stockerau</t>
  </si>
  <si>
    <t>Ardagger</t>
  </si>
  <si>
    <t>St. Pölten II</t>
  </si>
  <si>
    <t>Langenrohr</t>
  </si>
  <si>
    <t>SC Wiener Neustadt</t>
  </si>
  <si>
    <t>Zwettl</t>
  </si>
  <si>
    <t>Kilb</t>
  </si>
  <si>
    <t>Wieselburg</t>
  </si>
  <si>
    <t>Ortmann</t>
  </si>
  <si>
    <t>Scheiblingkirchen</t>
  </si>
  <si>
    <t>Schrems</t>
  </si>
  <si>
    <t>Ybbs</t>
  </si>
  <si>
    <t>Ebreichsdorf</t>
  </si>
  <si>
    <t>Korneuburg</t>
  </si>
  <si>
    <t>CD Lunda-Sul</t>
  </si>
  <si>
    <t>Šmartno</t>
  </si>
  <si>
    <t>Brežice</t>
  </si>
  <si>
    <t>TAFIC</t>
  </si>
  <si>
    <t>Morupule Wanderers</t>
  </si>
  <si>
    <t>Neretvanac Opuzen</t>
  </si>
  <si>
    <t>Sloga Mravince</t>
  </si>
  <si>
    <t>Petřvald na Moravě</t>
  </si>
  <si>
    <t>Opava II</t>
  </si>
  <si>
    <t>Spartak Soběslav</t>
  </si>
  <si>
    <t>Povltava FA</t>
  </si>
  <si>
    <t>Igalo</t>
  </si>
  <si>
    <t>Grbalj</t>
  </si>
  <si>
    <t>Åsane U19</t>
  </si>
  <si>
    <t>Bryne U19</t>
  </si>
  <si>
    <t>Olympique Akbou</t>
  </si>
  <si>
    <t>JS Saoura</t>
  </si>
  <si>
    <t>Atlantic</t>
  </si>
  <si>
    <t>Union Douala</t>
  </si>
  <si>
    <t>Bafmeng United</t>
  </si>
  <si>
    <t>Bamboutos</t>
  </si>
  <si>
    <t>Kumba</t>
  </si>
  <si>
    <t>Avion Academy</t>
  </si>
  <si>
    <t>Auda</t>
  </si>
  <si>
    <t>IFK Goteborg</t>
  </si>
  <si>
    <t>Degerfors IF</t>
  </si>
  <si>
    <t>Ostersunds FK</t>
  </si>
  <si>
    <t>trelleborgs FF</t>
  </si>
  <si>
    <t>Crossing Schaerbeek</t>
  </si>
  <si>
    <t>Stockay-Warfusée</t>
  </si>
  <si>
    <t>Standard Liège II</t>
  </si>
  <si>
    <t>Alay</t>
  </si>
  <si>
    <t>Radnicki Pirot</t>
  </si>
  <si>
    <t>Morava Ćuprija</t>
  </si>
  <si>
    <t>Brzi Brod</t>
  </si>
  <si>
    <t>OFK Bor 1919</t>
  </si>
  <si>
    <t>FK Rudar 2016 Aleksinački Rudnik</t>
  </si>
  <si>
    <t>Homberg</t>
  </si>
  <si>
    <t>Hradec Králové</t>
  </si>
  <si>
    <t>Plzen</t>
  </si>
  <si>
    <t>Karviná</t>
  </si>
  <si>
    <t>Pardubice</t>
  </si>
  <si>
    <t>Krka</t>
  </si>
  <si>
    <t>Nafta</t>
  </si>
  <si>
    <t>FC St. Pauli</t>
  </si>
  <si>
    <t>Eintracht Frankfurt</t>
  </si>
  <si>
    <t>Büderich</t>
  </si>
  <si>
    <t>SW Essen</t>
  </si>
  <si>
    <t>Finnentrop / Bamenohl</t>
  </si>
  <si>
    <t>SG Wattenscheid 09</t>
  </si>
  <si>
    <t>Ennepetal</t>
  </si>
  <si>
    <t>Vreden</t>
  </si>
  <si>
    <t>Hemelingen</t>
  </si>
  <si>
    <t>OSC Bremerhaven</t>
  </si>
  <si>
    <t>Hennef 05</t>
  </si>
  <si>
    <t>Teutonia Weiden</t>
  </si>
  <si>
    <t>Porz</t>
  </si>
  <si>
    <t>Eintracht Hohkeppel</t>
  </si>
  <si>
    <t>SSV Merten</t>
  </si>
  <si>
    <t>Siegburger SV</t>
  </si>
  <si>
    <t>Katsina United</t>
  </si>
  <si>
    <t>Kwara United</t>
  </si>
  <si>
    <t>Kano Pillars</t>
  </si>
  <si>
    <t>Lovćen</t>
  </si>
  <si>
    <t>Otrant-Olympic</t>
  </si>
  <si>
    <t>Tonnerre</t>
  </si>
  <si>
    <t>Pietà Hotspurs</t>
  </si>
  <si>
    <t>Melita</t>
  </si>
  <si>
    <t>Komárno</t>
  </si>
  <si>
    <t>Ružomberok</t>
  </si>
  <si>
    <t>Pesch</t>
  </si>
  <si>
    <t>SF Düren</t>
  </si>
  <si>
    <t>Gent</t>
  </si>
  <si>
    <t>KV Mechelen</t>
  </si>
  <si>
    <t>FK Crvena Zvezda</t>
  </si>
  <si>
    <t>Napredak</t>
  </si>
  <si>
    <t>Arges Pitesti</t>
  </si>
  <si>
    <t>Francs Borains</t>
  </si>
  <si>
    <t>Rodange 91</t>
  </si>
  <si>
    <t>F91 Dudelange</t>
  </si>
  <si>
    <t>FC Differdange 03</t>
  </si>
  <si>
    <t>US Hostert</t>
  </si>
  <si>
    <t>Swift Hesperange</t>
  </si>
  <si>
    <t>Mamer</t>
  </si>
  <si>
    <t>AS Jeunesse Esch</t>
  </si>
  <si>
    <t>Jeunesse Canach</t>
  </si>
  <si>
    <t>US Mondorf-les-bains</t>
  </si>
  <si>
    <t>Racing FC Union Luxembourg</t>
  </si>
  <si>
    <t>UNA Strassen</t>
  </si>
  <si>
    <t>Progres Niederkorn</t>
  </si>
  <si>
    <t>Union Titus Petange</t>
  </si>
  <si>
    <t>UN Kaerjeng 97</t>
  </si>
  <si>
    <t>Victoria Rosport</t>
  </si>
  <si>
    <t>Atert Bissen</t>
  </si>
  <si>
    <t>Carroi</t>
  </si>
  <si>
    <t>Inter Türkspor Kiel</t>
  </si>
  <si>
    <t>Phönix L. II</t>
  </si>
  <si>
    <t>Verl II</t>
  </si>
  <si>
    <t>Schermbeck</t>
  </si>
  <si>
    <t>Campeonato de Portugal Prio - Group A</t>
  </si>
  <si>
    <t>Mirandela</t>
  </si>
  <si>
    <t>Os Limianos</t>
  </si>
  <si>
    <t>Camacha</t>
  </si>
  <si>
    <t>AR São Martinho</t>
  </si>
  <si>
    <t>Bragança</t>
  </si>
  <si>
    <t>Monção</t>
  </si>
  <si>
    <t>Vilaverdense</t>
  </si>
  <si>
    <t>Vianense</t>
  </si>
  <si>
    <t>Machico</t>
  </si>
  <si>
    <t>Brito</t>
  </si>
  <si>
    <t>Ribeira Brava</t>
  </si>
  <si>
    <t>Chaves II</t>
  </si>
  <si>
    <t>Celoricense</t>
  </si>
  <si>
    <t>Tirsense</t>
  </si>
  <si>
    <t>Campeonato de Portugal Prio - Group B</t>
  </si>
  <si>
    <t>Beira-Mar</t>
  </si>
  <si>
    <t>Leça</t>
  </si>
  <si>
    <t>Vila Meã</t>
  </si>
  <si>
    <t>Aparecida</t>
  </si>
  <si>
    <t>Anadia</t>
  </si>
  <si>
    <t>Florgrade</t>
  </si>
  <si>
    <t>Gouveia</t>
  </si>
  <si>
    <t>Cinfães</t>
  </si>
  <si>
    <t>Salgueiros</t>
  </si>
  <si>
    <t>Vila Real</t>
  </si>
  <si>
    <t>União Lamas</t>
  </si>
  <si>
    <t>Alpendorada</t>
  </si>
  <si>
    <t>Resende</t>
  </si>
  <si>
    <t>Rebordosa</t>
  </si>
  <si>
    <t>Naval 1893</t>
  </si>
  <si>
    <t>Samora Correir</t>
  </si>
  <si>
    <t>Eléctrico</t>
  </si>
  <si>
    <t>Marinhense</t>
  </si>
  <si>
    <t>Vitória de Sernache</t>
  </si>
  <si>
    <t>Oliveira Hospital</t>
  </si>
  <si>
    <t>Mortágua</t>
  </si>
  <si>
    <t>Fátima</t>
  </si>
  <si>
    <t>Campeonato de Portugal Prio - Group D</t>
  </si>
  <si>
    <t>FC Alverca II</t>
  </si>
  <si>
    <t>O Elvas</t>
  </si>
  <si>
    <t>Moncarapachense</t>
  </si>
  <si>
    <t>Atlético Malveira</t>
  </si>
  <si>
    <t>Alcochetense</t>
  </si>
  <si>
    <t>Louletano</t>
  </si>
  <si>
    <t>FC Serpa</t>
  </si>
  <si>
    <t>Sintrense</t>
  </si>
  <si>
    <t>Oriental Lisboa</t>
  </si>
  <si>
    <t>Juventude Évora</t>
  </si>
  <si>
    <t>Comércio Indústria</t>
  </si>
  <si>
    <t>Portimonense B</t>
  </si>
  <si>
    <t>Lagoa</t>
  </si>
  <si>
    <t>Vasco da Gama Vidigueira</t>
  </si>
  <si>
    <t>Dunaújváros-Pálhalma</t>
  </si>
  <si>
    <t>Dombóvári</t>
  </si>
  <si>
    <t>Bicskei</t>
  </si>
  <si>
    <t>Pápai Perutz</t>
  </si>
  <si>
    <t>Anorthosis</t>
  </si>
  <si>
    <t>TuS BW Königsdorf</t>
  </si>
  <si>
    <t>Frechen</t>
  </si>
  <si>
    <t>Tarazona</t>
  </si>
  <si>
    <t>FC Cartagena</t>
  </si>
  <si>
    <t>Arenas Getxo</t>
  </si>
  <si>
    <t>Guadalajara</t>
  </si>
  <si>
    <t>Celta de Vigo II</t>
  </si>
  <si>
    <t>Pontevedra</t>
  </si>
  <si>
    <t>Unionistas de Salamanca</t>
  </si>
  <si>
    <t>Lealtad</t>
  </si>
  <si>
    <t>Gimnástica Segoviana</t>
  </si>
  <si>
    <t>1461 Trabzon FK</t>
  </si>
  <si>
    <t>Yeni Malatyaspor</t>
  </si>
  <si>
    <t>Aliağa FAŞ</t>
  </si>
  <si>
    <t>Kun Khalifat FC</t>
  </si>
  <si>
    <t>Bayelsa United</t>
  </si>
  <si>
    <t>Niger Tornadoes</t>
  </si>
  <si>
    <t>Warri Wolves</t>
  </si>
  <si>
    <t>Enyimba</t>
  </si>
  <si>
    <t>Abia Warriors</t>
  </si>
  <si>
    <t>Shooting Stars</t>
  </si>
  <si>
    <t>Enugu Rangers</t>
  </si>
  <si>
    <t>Remo Stars</t>
  </si>
  <si>
    <t>Nasarawa United</t>
  </si>
  <si>
    <t>Ikorodu City</t>
  </si>
  <si>
    <t>Rivers United</t>
  </si>
  <si>
    <t>Bendel Insurance</t>
  </si>
  <si>
    <t>Cardassar</t>
  </si>
  <si>
    <t>Peña Deportiva</t>
  </si>
  <si>
    <t>Yagüe</t>
  </si>
  <si>
    <t>Anguiano</t>
  </si>
  <si>
    <t>Landesliga - Wien</t>
  </si>
  <si>
    <t>Mauerwerk</t>
  </si>
  <si>
    <t>Simmeringer SC</t>
  </si>
  <si>
    <t>Slovan HAC</t>
  </si>
  <si>
    <t>Austria XIII</t>
  </si>
  <si>
    <t>FAC Wien</t>
  </si>
  <si>
    <t>Stadlau</t>
  </si>
  <si>
    <t>Red Star Penzing</t>
  </si>
  <si>
    <t>Gerasdorf Stammersdorf</t>
  </si>
  <si>
    <t>First Vienna II</t>
  </si>
  <si>
    <t>Hellas Kagran</t>
  </si>
  <si>
    <t>Vorwärts Brigittenau</t>
  </si>
  <si>
    <t>1980 Wien</t>
  </si>
  <si>
    <t>Dinamo Helfort</t>
  </si>
  <si>
    <t>LAC-Inter</t>
  </si>
  <si>
    <t>Wienerberg</t>
  </si>
  <si>
    <t>Schwechat</t>
  </si>
  <si>
    <t>Medeama</t>
  </si>
  <si>
    <t>Hohoe United</t>
  </si>
  <si>
    <t>Eleven Wonders</t>
  </si>
  <si>
    <t>Karela</t>
  </si>
  <si>
    <t>Asante Kotoko</t>
  </si>
  <si>
    <t>Young Apostles</t>
  </si>
  <si>
    <t>Hearts of Oak</t>
  </si>
  <si>
    <t>Basake Holy Stars</t>
  </si>
  <si>
    <t>Heart of Lions</t>
  </si>
  <si>
    <t>Swedru All Blacks</t>
  </si>
  <si>
    <t>1º de Maio</t>
  </si>
  <si>
    <t>Bryne</t>
  </si>
  <si>
    <t>Rosenborg</t>
  </si>
  <si>
    <t>Ashanti Gold</t>
  </si>
  <si>
    <t>Ebony FC</t>
  </si>
  <si>
    <t>Bolga AllStars</t>
  </si>
  <si>
    <t>Sankara Nationals</t>
  </si>
  <si>
    <t>Dormaa</t>
  </si>
  <si>
    <t>Mighty Royals</t>
  </si>
  <si>
    <t>Great Olympics</t>
  </si>
  <si>
    <t>WAFA</t>
  </si>
  <si>
    <t>Hakla SC</t>
  </si>
  <si>
    <t>Na God</t>
  </si>
  <si>
    <t>Home Stars</t>
  </si>
  <si>
    <t>Koforidua</t>
  </si>
  <si>
    <t>KAC Soccer</t>
  </si>
  <si>
    <t>Berekum Arsenal</t>
  </si>
  <si>
    <t>Nsuopun Fidelity</t>
  </si>
  <si>
    <t>Okwawu</t>
  </si>
  <si>
    <t>Nania</t>
  </si>
  <si>
    <t>PAC Academy</t>
  </si>
  <si>
    <t>Eleven Wise</t>
  </si>
  <si>
    <t>Sefwi All Stars</t>
  </si>
  <si>
    <t>Soccer Intellectuals</t>
  </si>
  <si>
    <t>Ebusua Dwarfs</t>
  </si>
  <si>
    <t>TF Exponential</t>
  </si>
  <si>
    <t>Tamale City</t>
  </si>
  <si>
    <t>UCC Youngsters</t>
  </si>
  <si>
    <t>Future Stars</t>
  </si>
  <si>
    <t>Chotebor</t>
  </si>
  <si>
    <t>Žďár nad Sázavou</t>
  </si>
  <si>
    <t>Queretaro U21</t>
  </si>
  <si>
    <t>Club America U21</t>
  </si>
  <si>
    <t>Start</t>
  </si>
  <si>
    <t>07 Vestur</t>
  </si>
  <si>
    <t>KI Klaksvik</t>
  </si>
  <si>
    <t>B36 Torshavn</t>
  </si>
  <si>
    <t>EB / Streymur</t>
  </si>
  <si>
    <t>NSI Runavik</t>
  </si>
  <si>
    <t>Vikingur Gota</t>
  </si>
  <si>
    <t>Valletta FC</t>
  </si>
  <si>
    <t>Tarxien Rainbows</t>
  </si>
  <si>
    <t>Vestri</t>
  </si>
  <si>
    <t>Stjarnan</t>
  </si>
  <si>
    <t>Amarante</t>
  </si>
  <si>
    <t>Trofense</t>
  </si>
  <si>
    <t>Paredes</t>
  </si>
  <si>
    <t>Sanjoanense</t>
  </si>
  <si>
    <t>AD Marco 09</t>
  </si>
  <si>
    <t>São João Ver</t>
  </si>
  <si>
    <t>SC Braga B</t>
  </si>
  <si>
    <t>FAP</t>
  </si>
  <si>
    <t>APEJES Academy</t>
  </si>
  <si>
    <t>Nõmme United II</t>
  </si>
  <si>
    <t>Maardu</t>
  </si>
  <si>
    <t>Parnu JK Vaprus U21</t>
  </si>
  <si>
    <t>Tartu Kalev</t>
  </si>
  <si>
    <t>Bani Gansè</t>
  </si>
  <si>
    <t>Damissa</t>
  </si>
  <si>
    <t>Cavaliers</t>
  </si>
  <si>
    <t>Kraké</t>
  </si>
  <si>
    <t>AS Cotonou</t>
  </si>
  <si>
    <t>Real Betis</t>
  </si>
  <si>
    <t>Qarabag</t>
  </si>
  <si>
    <t>Araz</t>
  </si>
  <si>
    <t>Selaya</t>
  </si>
  <si>
    <t>Escobedo</t>
  </si>
  <si>
    <t>MSV Duisburg</t>
  </si>
  <si>
    <t>FC Saarbrücken</t>
  </si>
  <si>
    <t>Maritimo</t>
  </si>
  <si>
    <t>FC Porto B</t>
  </si>
  <si>
    <t>Brinkumer SV</t>
  </si>
  <si>
    <t>Lynx</t>
  </si>
  <si>
    <t>Compostela</t>
  </si>
  <si>
    <t>Celta de Vigo III</t>
  </si>
  <si>
    <t>Barco</t>
  </si>
  <si>
    <t>Peralada</t>
  </si>
  <si>
    <t>Lleida Esportiu</t>
  </si>
  <si>
    <t>Galapagar</t>
  </si>
  <si>
    <t>Carabanchel</t>
  </si>
  <si>
    <t>Cirbonero</t>
  </si>
  <si>
    <t>Atlético Artajonés</t>
  </si>
  <si>
    <t>Belchite 97</t>
  </si>
  <si>
    <t>Almudévar</t>
  </si>
  <si>
    <t>Andorra CF</t>
  </si>
  <si>
    <t>Atlético Monzón</t>
  </si>
  <si>
    <t>Zuera</t>
  </si>
  <si>
    <t>Huesca II</t>
  </si>
  <si>
    <t>Grasshoppers</t>
  </si>
  <si>
    <t>Lausanne</t>
  </si>
  <si>
    <t>BSC Young Boys</t>
  </si>
  <si>
    <t>FC Thun</t>
  </si>
  <si>
    <t>Marsaxlokk</t>
  </si>
  <si>
    <t>Naxxar Lions</t>
  </si>
  <si>
    <t>Vittoriosa Stars</t>
  </si>
  <si>
    <t>Santa Lucía</t>
  </si>
  <si>
    <t>NAC Breda</t>
  </si>
  <si>
    <t>Feyenoord</t>
  </si>
  <si>
    <t>Lokomotiv Sofia</t>
  </si>
  <si>
    <t>Wolfsberger AC</t>
  </si>
  <si>
    <t>Rapid Vienna</t>
  </si>
  <si>
    <t>TSV Hartberg</t>
  </si>
  <si>
    <t>FC BW Linz</t>
  </si>
  <si>
    <t>WSG Wattens</t>
  </si>
  <si>
    <t>Grazer AK</t>
  </si>
  <si>
    <t>Ried</t>
  </si>
  <si>
    <t>Austria Vienna</t>
  </si>
  <si>
    <t>Sturm Graz</t>
  </si>
  <si>
    <t>SCR Altach</t>
  </si>
  <si>
    <t>Pécsi MFC</t>
  </si>
  <si>
    <t>PTE-PEAC</t>
  </si>
  <si>
    <t>Gyirmot SE</t>
  </si>
  <si>
    <t>Újpest II</t>
  </si>
  <si>
    <t>Dorogi FC</t>
  </si>
  <si>
    <t>Zsámbéki SK</t>
  </si>
  <si>
    <t>Coruxo</t>
  </si>
  <si>
    <t>Langreo</t>
  </si>
  <si>
    <t>Salamanca UDS</t>
  </si>
  <si>
    <t>Sámano</t>
  </si>
  <si>
    <t>UD Ourense</t>
  </si>
  <si>
    <t>Real Oviedo II</t>
  </si>
  <si>
    <t>Burgos Promesas</t>
  </si>
  <si>
    <t>Bergantiños</t>
  </si>
  <si>
    <t>Alfaro</t>
  </si>
  <si>
    <t>Amorebieta</t>
  </si>
  <si>
    <t>Real Unión</t>
  </si>
  <si>
    <t>Beasain</t>
  </si>
  <si>
    <t>SD Logroñés</t>
  </si>
  <si>
    <t>Mutilvera</t>
  </si>
  <si>
    <t>Tudelano</t>
  </si>
  <si>
    <t>Ebro</t>
  </si>
  <si>
    <t>Reddis</t>
  </si>
  <si>
    <t>Alcoyano</t>
  </si>
  <si>
    <t>Barbadás</t>
  </si>
  <si>
    <t>Somozas</t>
  </si>
  <si>
    <t>Tuilla</t>
  </si>
  <si>
    <t>L'Entregu</t>
  </si>
  <si>
    <t>Barquereño</t>
  </si>
  <si>
    <t>Noja</t>
  </si>
  <si>
    <t>Badalona</t>
  </si>
  <si>
    <t>Vilassar Mar</t>
  </si>
  <si>
    <t>Saguntino</t>
  </si>
  <si>
    <t>RC Catarroja</t>
  </si>
  <si>
    <t>Ontinyent 1931</t>
  </si>
  <si>
    <t>Buñol</t>
  </si>
  <si>
    <t>Villanueva Pardillo</t>
  </si>
  <si>
    <t>Pozuelo Alarcón</t>
  </si>
  <si>
    <t>Atlético Tordesillas</t>
  </si>
  <si>
    <t>La Virgen del Camino</t>
  </si>
  <si>
    <t>Bollullos</t>
  </si>
  <si>
    <t>San Roque Lepe</t>
  </si>
  <si>
    <t>Olímpico Totana</t>
  </si>
  <si>
    <t>Atlético Pulpileño</t>
  </si>
  <si>
    <t>Bala Azul</t>
  </si>
  <si>
    <t>Águilas II</t>
  </si>
  <si>
    <t>Llerenense</t>
  </si>
  <si>
    <t>Montijo</t>
  </si>
  <si>
    <t>Jaraíz</t>
  </si>
  <si>
    <t>Don Benito</t>
  </si>
  <si>
    <t>Arnedo</t>
  </si>
  <si>
    <t>Varea</t>
  </si>
  <si>
    <t>Vianés</t>
  </si>
  <si>
    <t>Peña Balsamaiso</t>
  </si>
  <si>
    <t>Haro Deportivo</t>
  </si>
  <si>
    <t>Pradejón</t>
  </si>
  <si>
    <t>Utrillas</t>
  </si>
  <si>
    <t>CDJ Tamarite</t>
  </si>
  <si>
    <t>La Almunia</t>
  </si>
  <si>
    <t>Calamocha</t>
  </si>
  <si>
    <t>Épila</t>
  </si>
  <si>
    <t>Cariñena</t>
  </si>
  <si>
    <t>Sonseca</t>
  </si>
  <si>
    <t>Burkina-Faso</t>
  </si>
  <si>
    <t>RC Bobo-Dioulasso</t>
  </si>
  <si>
    <t>ASFA-Yennenga</t>
  </si>
  <si>
    <t>Líšeň II</t>
  </si>
  <si>
    <t>FS Třebíč</t>
  </si>
  <si>
    <t>CSF Bălți</t>
  </si>
  <si>
    <t>Sheriff Tiraspol</t>
  </si>
  <si>
    <t>Deportivo Cuenca</t>
  </si>
  <si>
    <t>Malmo FF</t>
  </si>
  <si>
    <t>Halmstad</t>
  </si>
  <si>
    <t>Varbergs BoIS FC</t>
  </si>
  <si>
    <t>IF Karlstad</t>
  </si>
  <si>
    <t>Golden Arrows</t>
  </si>
  <si>
    <t>Durban City</t>
  </si>
  <si>
    <t>Hafia</t>
  </si>
  <si>
    <t>Korhogo</t>
  </si>
  <si>
    <t>Bouaké</t>
  </si>
  <si>
    <t>US Tchologo</t>
  </si>
  <si>
    <t>Stade Brestois 29</t>
  </si>
  <si>
    <t>Le Havre</t>
  </si>
  <si>
    <t>Lille</t>
  </si>
  <si>
    <t>Lorient</t>
  </si>
  <si>
    <t>Nice</t>
  </si>
  <si>
    <t>Rennes</t>
  </si>
  <si>
    <t>Carrarese</t>
  </si>
  <si>
    <t>Palermo</t>
  </si>
  <si>
    <t>Huracán Balazote</t>
  </si>
  <si>
    <t>Albacete II</t>
  </si>
  <si>
    <t>Raków Częstochowa</t>
  </si>
  <si>
    <t>Pogon Szczecin</t>
  </si>
  <si>
    <t>Aluminij</t>
  </si>
  <si>
    <t>Koper</t>
  </si>
  <si>
    <t>QPR</t>
  </si>
  <si>
    <t>Union Berlin</t>
  </si>
  <si>
    <t>Werder Bremen</t>
  </si>
  <si>
    <t>CSKA Moscow</t>
  </si>
  <si>
    <t>Yeclano</t>
  </si>
  <si>
    <t>Ucam Murcia</t>
  </si>
  <si>
    <t>Guidonia Montecelio 1937</t>
  </si>
  <si>
    <t>Foggia</t>
  </si>
  <si>
    <t>Potenza</t>
  </si>
  <si>
    <t>Noia</t>
  </si>
  <si>
    <t>Arosa</t>
  </si>
  <si>
    <t>Mosconia</t>
  </si>
  <si>
    <t>Llanes</t>
  </si>
  <si>
    <t>Siero</t>
  </si>
  <si>
    <t>Avilés Stadium</t>
  </si>
  <si>
    <t>Caudal</t>
  </si>
  <si>
    <t>Llanera</t>
  </si>
  <si>
    <t>Derio</t>
  </si>
  <si>
    <t>Zamudio</t>
  </si>
  <si>
    <t>Montehermoso</t>
  </si>
  <si>
    <t>Villafranca</t>
  </si>
  <si>
    <t>Norwich</t>
  </si>
  <si>
    <t>AJEL</t>
  </si>
  <si>
    <t>Jaraaf</t>
  </si>
  <si>
    <t>HLM</t>
  </si>
  <si>
    <t>AS Camberene</t>
  </si>
  <si>
    <t>La Linguère</t>
  </si>
  <si>
    <t>Guédiawaye</t>
  </si>
  <si>
    <t>Ouakam</t>
  </si>
  <si>
    <t>Casa Sport</t>
  </si>
  <si>
    <t>Sonacos</t>
  </si>
  <si>
    <t>Stade de Mbour</t>
  </si>
  <si>
    <t>Kazincbarcikai</t>
  </si>
  <si>
    <t>Vukovar</t>
  </si>
  <si>
    <t>HNK Rijeka</t>
  </si>
  <si>
    <t>Genoa</t>
  </si>
  <si>
    <t>Vojvodina</t>
  </si>
  <si>
    <t>FK Partizan</t>
  </si>
  <si>
    <t>Fenerbahçe</t>
  </si>
  <si>
    <t>Bodrum FK</t>
  </si>
  <si>
    <t>Flamurtari</t>
  </si>
  <si>
    <t>Vllaznia Shkodër</t>
  </si>
  <si>
    <t>Lorca Deportiva</t>
  </si>
  <si>
    <t>Xerez Deportivo</t>
  </si>
  <si>
    <t>Xerez</t>
  </si>
  <si>
    <t>Lexington W</t>
  </si>
  <si>
    <t>Dallas Trinity W</t>
  </si>
  <si>
    <t>Espanyol II</t>
  </si>
  <si>
    <t>Sant Andreu</t>
  </si>
  <si>
    <t>Deportivo Alavés III</t>
  </si>
  <si>
    <t>Motril</t>
  </si>
  <si>
    <t>Mancha Real</t>
  </si>
  <si>
    <t>Torreperogil</t>
  </si>
  <si>
    <t>Martos</t>
  </si>
  <si>
    <t>Ciudad de Lucena</t>
  </si>
  <si>
    <t>Castilleja</t>
  </si>
  <si>
    <t>San Marcial</t>
  </si>
  <si>
    <t>La Calzada</t>
  </si>
  <si>
    <t>Fredrikstad</t>
  </si>
  <si>
    <t>Sarpsborg 08 FF</t>
  </si>
  <si>
    <t>Puntarenas FC</t>
  </si>
  <si>
    <t>FC Midtjylland</t>
  </si>
  <si>
    <t>Swieqi United</t>
  </si>
  <si>
    <t>Birzebbuga</t>
  </si>
  <si>
    <t>Dunajska Streda</t>
  </si>
  <si>
    <t>Atlético Madrid II</t>
  </si>
  <si>
    <t>Skála</t>
  </si>
  <si>
    <t>HB Torshavn</t>
  </si>
  <si>
    <t>Nyiregyhaza</t>
  </si>
  <si>
    <t>Zulte Waregem</t>
  </si>
  <si>
    <t>Standard Liege</t>
  </si>
  <si>
    <t>Sevilla</t>
  </si>
  <si>
    <t>Rayo Vallecano</t>
  </si>
  <si>
    <t>Racing Santander</t>
  </si>
  <si>
    <t>Eibar</t>
  </si>
  <si>
    <t>Barakaldo</t>
  </si>
  <si>
    <t>Ourense CF</t>
  </si>
  <si>
    <t>Águilas</t>
  </si>
  <si>
    <t>Puente Genil</t>
  </si>
  <si>
    <t>Orihuela</t>
  </si>
  <si>
    <t>Rayo Majadahonda</t>
  </si>
  <si>
    <t>Puebla Calzada</t>
  </si>
  <si>
    <t>Santa Amalia</t>
  </si>
  <si>
    <t>Oberena</t>
  </si>
  <si>
    <t>Ardoi</t>
  </si>
  <si>
    <t>B36 II</t>
  </si>
  <si>
    <t>EB / Streymur II</t>
  </si>
  <si>
    <t>Radnik Bijeljina</t>
  </si>
  <si>
    <t>UE Santa Coloma</t>
  </si>
  <si>
    <t>Atlètic Club d'Escaldes</t>
  </si>
  <si>
    <t>Lusitânia Lourosa</t>
  </si>
  <si>
    <t>Sporting CP B</t>
  </si>
  <si>
    <t>La Nucía</t>
  </si>
  <si>
    <t>Crevillente</t>
  </si>
  <si>
    <t>A Madrid III</t>
  </si>
  <si>
    <t>Leganés II</t>
  </si>
  <si>
    <t>Dubai City</t>
  </si>
  <si>
    <t>Masfut</t>
  </si>
  <si>
    <t>ECUS</t>
  </si>
  <si>
    <t>Jabaquara</t>
  </si>
  <si>
    <t>Miguelense</t>
  </si>
  <si>
    <t>Zumbi</t>
  </si>
  <si>
    <t>Stella</t>
  </si>
  <si>
    <t>St. Truiden</t>
  </si>
  <si>
    <t>Cercle Brugge</t>
  </si>
  <si>
    <t>Hapoel Katamon</t>
  </si>
  <si>
    <t>Beitar Jerusalem</t>
  </si>
  <si>
    <t>Juan Pablo II College</t>
  </si>
  <si>
    <t>FC Ingolstadt 04</t>
  </si>
  <si>
    <t>Unia Skierniewice</t>
  </si>
  <si>
    <t>Stal Stalowa Wola</t>
  </si>
  <si>
    <t>Pescara</t>
  </si>
  <si>
    <t>Bari</t>
  </si>
  <si>
    <t>Lions Gibraltar</t>
  </si>
  <si>
    <t>Villarreal III</t>
  </si>
  <si>
    <t>Soneja</t>
  </si>
  <si>
    <t>Tecnico Universitario</t>
  </si>
  <si>
    <t>Batel</t>
  </si>
  <si>
    <t>Rio Branco PR</t>
  </si>
  <si>
    <t>Laranja Mecânica</t>
  </si>
  <si>
    <t>Parana</t>
  </si>
  <si>
    <t>Royal U20</t>
  </si>
  <si>
    <t>Guanabara City U20</t>
  </si>
  <si>
    <t>FC Volendam</t>
  </si>
  <si>
    <t>Racing Madrid</t>
  </si>
  <si>
    <t>Alcorcón II</t>
  </si>
  <si>
    <t>Tormenta</t>
  </si>
  <si>
    <t>Spokane Velocity</t>
  </si>
  <si>
    <t>Brooklyn</t>
  </si>
  <si>
    <t>Indy Eleven</t>
  </si>
  <si>
    <t>Chattanooga</t>
  </si>
  <si>
    <t>Connecticut FC</t>
  </si>
  <si>
    <t>Columbus Crew II</t>
  </si>
  <si>
    <t>Philadelphia Union II</t>
  </si>
  <si>
    <t>FC Cincinnati II</t>
  </si>
  <si>
    <t>Nova Iguaçu</t>
  </si>
  <si>
    <t>CFRJ / Maricá</t>
  </si>
  <si>
    <t>Paranavaí</t>
  </si>
  <si>
    <t>ABECAT Ouvidorense</t>
  </si>
  <si>
    <t>Porto Vitória</t>
  </si>
  <si>
    <t>Vitória ES</t>
  </si>
  <si>
    <t>Ceilândia</t>
  </si>
  <si>
    <t>Gama</t>
  </si>
  <si>
    <t>Sul-Matogrossense</t>
  </si>
  <si>
    <t>Bataguassu</t>
  </si>
  <si>
    <t>Ivinhema</t>
  </si>
  <si>
    <t>ABC</t>
  </si>
  <si>
    <t>Legia Warszawa</t>
  </si>
  <si>
    <t>Cracovia Krakow</t>
  </si>
  <si>
    <t>Deportivo Upala</t>
  </si>
  <si>
    <t>AD Cofutpa</t>
  </si>
  <si>
    <t>Racing Ferrol</t>
  </si>
  <si>
    <t>Ternana</t>
  </si>
  <si>
    <t>Gubbio</t>
  </si>
  <si>
    <t>Rayo Zuliano</t>
  </si>
  <si>
    <t>UCV</t>
  </si>
  <si>
    <t>Partick</t>
  </si>
  <si>
    <t>Zebbug Rangers</t>
  </si>
  <si>
    <t>Mgarr United</t>
  </si>
  <si>
    <t>Puerto Cabello II</t>
  </si>
  <si>
    <t>Club Atletico Barinas</t>
  </si>
  <si>
    <t>Zamora FC B</t>
  </si>
  <si>
    <t>Urena SC</t>
  </si>
  <si>
    <t>AC Milan</t>
  </si>
  <si>
    <t>Lyon</t>
  </si>
  <si>
    <t>Valencia</t>
  </si>
  <si>
    <t>Alaves</t>
  </si>
  <si>
    <t>Deportivo La Coruna</t>
  </si>
  <si>
    <t>Granada CF</t>
  </si>
  <si>
    <t>Almirante Brown</t>
  </si>
  <si>
    <t>Atletico Mitre</t>
  </si>
  <si>
    <t>Chacarita Juniors</t>
  </si>
  <si>
    <t>Tristan Suarez</t>
  </si>
  <si>
    <t>Ciudad de Bolívar</t>
  </si>
  <si>
    <t>CA Estudiantes</t>
  </si>
  <si>
    <t>Club Atlético Güemes</t>
  </si>
  <si>
    <t>Gimnasia Jujuy</t>
  </si>
  <si>
    <t>Deportivo Madryn</t>
  </si>
  <si>
    <t>Los Andes</t>
  </si>
  <si>
    <t>San Telmo</t>
  </si>
  <si>
    <t>Racing Cordoba</t>
  </si>
  <si>
    <t>União Santarém</t>
  </si>
  <si>
    <t>CF Os Belenenses</t>
  </si>
  <si>
    <t>Club Nacional</t>
  </si>
  <si>
    <t>Atletico Avila FC</t>
  </si>
  <si>
    <t>Petare FC</t>
  </si>
  <si>
    <t>Always Ready</t>
  </si>
  <si>
    <t>AO Itabaiana</t>
  </si>
  <si>
    <t>Universidad O&amp;M</t>
  </si>
  <si>
    <t>Cibao</t>
  </si>
  <si>
    <t>Britannia</t>
  </si>
  <si>
    <t>Aston Villa</t>
  </si>
  <si>
    <t>New York Red Bulls</t>
  </si>
  <si>
    <t>CF Montreal</t>
  </si>
  <si>
    <t>Treasure Beach</t>
  </si>
  <si>
    <t>Tivoli Gardens</t>
  </si>
  <si>
    <t>Dunbeholden</t>
  </si>
  <si>
    <t>Club Deportivo Los Chankas</t>
  </si>
  <si>
    <t>Universitario</t>
  </si>
  <si>
    <t>Limón Black Star</t>
  </si>
  <si>
    <t>Turrialba Fc</t>
  </si>
  <si>
    <t>ADR Jicaral</t>
  </si>
  <si>
    <t>Central Norte</t>
  </si>
  <si>
    <t>Godoy Cruz</t>
  </si>
  <si>
    <t>Municipal</t>
  </si>
  <si>
    <t>Cacahuatique</t>
  </si>
  <si>
    <t>Municipal Limeño</t>
  </si>
  <si>
    <t>D. Puerto Montt</t>
  </si>
  <si>
    <t>Recoleta</t>
  </si>
  <si>
    <t>Toronto II</t>
  </si>
  <si>
    <t>St. Louis City II</t>
  </si>
  <si>
    <t>USM Alger</t>
  </si>
  <si>
    <t>Universidad Catolica</t>
  </si>
  <si>
    <t>Leones del Norte</t>
  </si>
  <si>
    <t>H&amp;H Export</t>
  </si>
  <si>
    <t>Ceara</t>
  </si>
  <si>
    <t>Fortaleza EC</t>
  </si>
  <si>
    <t>Nautico Recife</t>
  </si>
  <si>
    <t>Sport Recife</t>
  </si>
  <si>
    <t>Chapecoense-sc</t>
  </si>
  <si>
    <t>Barra</t>
  </si>
  <si>
    <t>Internacional</t>
  </si>
  <si>
    <t>Gremio</t>
  </si>
  <si>
    <t>Luverdense</t>
  </si>
  <si>
    <t>Mixto</t>
  </si>
  <si>
    <t>Cruzeiro</t>
  </si>
  <si>
    <t>Atletico-MG</t>
  </si>
  <si>
    <t>Fluminense</t>
  </si>
  <si>
    <t>Olimpia</t>
  </si>
  <si>
    <t>Metropolitanos FC</t>
  </si>
  <si>
    <t>Portuguesa FC</t>
  </si>
  <si>
    <t>Neza</t>
  </si>
  <si>
    <t>Pioneros de Cancún</t>
  </si>
  <si>
    <t>Ferro Carril Oeste</t>
  </si>
  <si>
    <t>Deportivo Moron</t>
  </si>
  <si>
    <t>Renaissance Berkane</t>
  </si>
  <si>
    <t>Wydad AC</t>
  </si>
  <si>
    <t>Nouakchott King's</t>
  </si>
  <si>
    <t>La Fama</t>
  </si>
  <si>
    <t>CS Herediano</t>
  </si>
  <si>
    <t>FC Cincinnati</t>
  </si>
  <si>
    <t>Toronto FC</t>
  </si>
  <si>
    <t>FC Juarez</t>
  </si>
  <si>
    <t>CDS Tampico Madero</t>
  </si>
  <si>
    <t>Dorados</t>
  </si>
  <si>
    <t>Tepatitlán</t>
  </si>
  <si>
    <t>Deportivo Maipu</t>
  </si>
  <si>
    <t>Gimnasia Y Tiro</t>
  </si>
  <si>
    <t>San Martin S.J.</t>
  </si>
  <si>
    <t>Agropecuario</t>
  </si>
  <si>
    <t>FAS</t>
  </si>
  <si>
    <t>Carolina Core</t>
  </si>
  <si>
    <t>Central Espanol</t>
  </si>
  <si>
    <t>Leo Victor</t>
  </si>
  <si>
    <t>Inter Moengotapoe</t>
  </si>
  <si>
    <t>Manauara</t>
  </si>
  <si>
    <t>Independiente de La Chorrera</t>
  </si>
  <si>
    <t>Palestino</t>
  </si>
  <si>
    <t>Cobresal</t>
  </si>
  <si>
    <t>Monagas SC</t>
  </si>
  <si>
    <t>Trujillanos FC</t>
  </si>
  <si>
    <t>Rangers de Talca</t>
  </si>
  <si>
    <t>Novorizontino</t>
  </si>
  <si>
    <t>Palmeiras</t>
  </si>
  <si>
    <t>Antigua GFC</t>
  </si>
  <si>
    <t>Cobán Imperial</t>
  </si>
  <si>
    <t>Arnett Gardens</t>
  </si>
  <si>
    <t>Inter Miami II</t>
  </si>
  <si>
    <t>Sporting KC II</t>
  </si>
  <si>
    <t>Ellerton</t>
  </si>
  <si>
    <t>Bubali</t>
  </si>
  <si>
    <t>Sporting</t>
  </si>
  <si>
    <t>Montego Bay United</t>
  </si>
  <si>
    <t>Rancho Santana</t>
  </si>
  <si>
    <t>Achuapa</t>
  </si>
  <si>
    <t>Club Tijuana</t>
  </si>
  <si>
    <t>Santos Laguna</t>
  </si>
  <si>
    <t>Melbourne Victory II</t>
  </si>
  <si>
    <t>Lecce U20</t>
  </si>
  <si>
    <t>Pyunik Yerevan</t>
  </si>
  <si>
    <t>Shirak</t>
  </si>
  <si>
    <t>Rotor Volgograd</t>
  </si>
  <si>
    <t>Ural</t>
  </si>
  <si>
    <t>Cremonese U20</t>
  </si>
  <si>
    <t>FC UFA</t>
  </si>
  <si>
    <t>Ferizaj</t>
  </si>
  <si>
    <t>Gjilani</t>
  </si>
  <si>
    <t>Llapi</t>
  </si>
  <si>
    <t>Ballkani</t>
  </si>
  <si>
    <t>Malisheva</t>
  </si>
  <si>
    <t>Prishtina</t>
  </si>
  <si>
    <t>Hougang United</t>
  </si>
  <si>
    <t>Kocaelispor</t>
  </si>
  <si>
    <t>Dubočica</t>
  </si>
  <si>
    <t>Sileks</t>
  </si>
  <si>
    <t>Vardar Skopje</t>
  </si>
  <si>
    <t>Mladost Lješkopolje</t>
  </si>
  <si>
    <t>Parana Clube U20</t>
  </si>
  <si>
    <t>Cascavel U20</t>
  </si>
  <si>
    <t>Ruh Lviv</t>
  </si>
  <si>
    <t>Metalist 1925 Kharkiv</t>
  </si>
  <si>
    <t>Lokomotiv</t>
  </si>
  <si>
    <t>Akhmat</t>
  </si>
  <si>
    <t>Persik Kediri</t>
  </si>
  <si>
    <t>PSBS Biak Numfor</t>
  </si>
  <si>
    <t>Semen Padang</t>
  </si>
  <si>
    <t>Pirin Blagoevgrad</t>
  </si>
  <si>
    <t>Cesena U20</t>
  </si>
  <si>
    <t>Milan U20</t>
  </si>
  <si>
    <t>Minerva Punjab</t>
  </si>
  <si>
    <t>Arsenal Tula</t>
  </si>
  <si>
    <t>Volga Ulyanovsk</t>
  </si>
  <si>
    <t>ASA Targu Mures</t>
  </si>
  <si>
    <t>Veres Rivne</t>
  </si>
  <si>
    <t>LNZ Cherkasy</t>
  </si>
  <si>
    <t>Macva</t>
  </si>
  <si>
    <t>Levski Sofia</t>
  </si>
  <si>
    <t>Majestic</t>
  </si>
  <si>
    <t>AJEB</t>
  </si>
  <si>
    <t>SONABEL</t>
  </si>
  <si>
    <t>Rahimo</t>
  </si>
  <si>
    <t>Réal du Faso</t>
  </si>
  <si>
    <t>USFA</t>
  </si>
  <si>
    <t>CFFEB</t>
  </si>
  <si>
    <t>Salitas</t>
  </si>
  <si>
    <t>ASFB</t>
  </si>
  <si>
    <t>SOL</t>
  </si>
  <si>
    <t>SOA</t>
  </si>
  <si>
    <t>Radomlje</t>
  </si>
  <si>
    <t>Bravo</t>
  </si>
  <si>
    <t>Neftchi Baku</t>
  </si>
  <si>
    <t>Turan</t>
  </si>
  <si>
    <t>ŁKS Łódź</t>
  </si>
  <si>
    <t>Mladost Lucani</t>
  </si>
  <si>
    <t>Novi Pazar</t>
  </si>
  <si>
    <t>Gençlerbirliği S.K.</t>
  </si>
  <si>
    <t>Kayserispor</t>
  </si>
  <si>
    <t>AC Horsens</t>
  </si>
  <si>
    <t>Lyngby</t>
  </si>
  <si>
    <t>Arka Gdynia</t>
  </si>
  <si>
    <t>CFR 1907 Cluj</t>
  </si>
  <si>
    <t>Dinamo Bucuresti</t>
  </si>
  <si>
    <t>Benfica B</t>
  </si>
  <si>
    <t>Egnatia Rrogozhinë</t>
  </si>
  <si>
    <t>Teuta Durrës</t>
  </si>
  <si>
    <t>Dinamo Tirana</t>
  </si>
  <si>
    <t>Partizani</t>
  </si>
  <si>
    <t>Egersund</t>
  </si>
  <si>
    <t>Aalesund</t>
  </si>
  <si>
    <t>BK Hacken</t>
  </si>
  <si>
    <t>Vasteras SK FK</t>
  </si>
  <si>
    <t>Oddevold</t>
  </si>
  <si>
    <t>América RJ U20</t>
  </si>
  <si>
    <t>Sampaio Corrêa U20</t>
  </si>
  <si>
    <t>Maccabi Tel Aviv</t>
  </si>
  <si>
    <t>Hapoel Beer Sheva</t>
  </si>
  <si>
    <t>Budapest Honved</t>
  </si>
  <si>
    <t>Stoke City U21</t>
  </si>
  <si>
    <t>Burnley U21</t>
  </si>
  <si>
    <t>Almeria</t>
  </si>
  <si>
    <t>Cultural Leonesa</t>
  </si>
  <si>
    <t>Al Ahly</t>
  </si>
  <si>
    <t>National Bank of Egypt</t>
  </si>
  <si>
    <t>Pyramids FC</t>
  </si>
  <si>
    <t>Campobasso FC</t>
  </si>
  <si>
    <t>Arezzo</t>
  </si>
  <si>
    <t>Perugia</t>
  </si>
  <si>
    <t>Pontedera</t>
  </si>
  <si>
    <t>Ascoli</t>
  </si>
  <si>
    <t>Ravenna</t>
  </si>
  <si>
    <t>SS Monopoli</t>
  </si>
  <si>
    <t>Casarano</t>
  </si>
  <si>
    <t>Casertana</t>
  </si>
  <si>
    <t>Atalanta II</t>
  </si>
  <si>
    <t>Audace Cerignola</t>
  </si>
  <si>
    <t>Sassuolo</t>
  </si>
  <si>
    <t>Dunkerque</t>
  </si>
  <si>
    <t>Espanyol</t>
  </si>
  <si>
    <t>Oviedo</t>
  </si>
  <si>
    <t>Liga Femenina</t>
  </si>
  <si>
    <t>Real Santander W</t>
  </si>
  <si>
    <t>Deportivo Pasto W</t>
  </si>
  <si>
    <t>Atlético Bucaramanga W</t>
  </si>
  <si>
    <t>Racing United</t>
  </si>
  <si>
    <t>Santiago Wanderers</t>
  </si>
  <si>
    <t>Deportes Santa Cruz</t>
  </si>
  <si>
    <t>Nacional Asuncion</t>
  </si>
  <si>
    <t>Cerro Largo</t>
  </si>
  <si>
    <t>Piauí</t>
  </si>
  <si>
    <t>Fluminense PI</t>
  </si>
  <si>
    <t>Universidad de Chile</t>
  </si>
  <si>
    <t>Llaneros</t>
  </si>
  <si>
    <t>Millonarios</t>
  </si>
  <si>
    <t>Deportivo Recoleta</t>
  </si>
  <si>
    <t>Deportes Copiapo</t>
  </si>
  <si>
    <t>Deportes Temuco</t>
  </si>
  <si>
    <t>Product</t>
  </si>
  <si>
    <t>Version</t>
  </si>
  <si>
    <t>Email</t>
  </si>
  <si>
    <t>Plan</t>
  </si>
  <si>
    <t>Status</t>
  </si>
  <si>
    <t>Expiry Date</t>
  </si>
  <si>
    <t>License Key</t>
  </si>
  <si>
    <t>Last Validation</t>
  </si>
  <si>
    <t>NVM PRO SYSTEM</t>
  </si>
  <si>
    <t>Client Name</t>
  </si>
  <si>
    <t>Brighton</t>
  </si>
  <si>
    <t>Youth Viareggio Cup</t>
  </si>
  <si>
    <t>Fiorentina U19</t>
  </si>
  <si>
    <t>Sassuolo U18</t>
  </si>
  <si>
    <t>One Touch U18</t>
  </si>
  <si>
    <t>21/03/2026 00:00</t>
  </si>
  <si>
    <t>San Juan Jabloteh</t>
  </si>
  <si>
    <t>21/03/2026 00:00 | Trinidad-And-Tobago | Pro League | Ath­let­ic Club vs San Juan Jabloteh</t>
  </si>
  <si>
    <t>21/03/2026 00:00 | Costa-Rica | Primera División | Puntarenas FC vs Municipal Liberia</t>
  </si>
  <si>
    <t>Liga Profesional Argentina</t>
  </si>
  <si>
    <t>Atletico Tucuman</t>
  </si>
  <si>
    <t>Gimnasia L.P.</t>
  </si>
  <si>
    <t>21/03/2026 00:00 | Argentina | Liga Profesional Argentina | Atletico Tucuman vs Gimnasia L.P.</t>
  </si>
  <si>
    <t>Banfield</t>
  </si>
  <si>
    <t>Tigre</t>
  </si>
  <si>
    <t>21/03/2026 00:00 | Argentina | Liga Profesional Argentina | Banfield vs Tigre</t>
  </si>
  <si>
    <t>Liga MX Femenil</t>
  </si>
  <si>
    <t>Toluca W</t>
  </si>
  <si>
    <t>Necaxa W</t>
  </si>
  <si>
    <t>21/03/2026 00:00 | Mexico | Liga MX Femenil | Toluca W vs Necaxa W</t>
  </si>
  <si>
    <t>NWSL Women</t>
  </si>
  <si>
    <t>Orlando Pride W</t>
  </si>
  <si>
    <t>Denver Summit W</t>
  </si>
  <si>
    <t>21/03/2026 00:00 | USA | NWSL Women | Orlando Pride W vs Denver Summit W</t>
  </si>
  <si>
    <t>Racing Louisville W</t>
  </si>
  <si>
    <t>Washington Spirit W</t>
  </si>
  <si>
    <t>21/03/2026 00:00 | USA | NWSL Women | Racing Louisville W vs Washington Spirit W</t>
  </si>
  <si>
    <t>Leones FC</t>
  </si>
  <si>
    <t>Internacional Palmira</t>
  </si>
  <si>
    <t>21/03/2026 00:00 | Colombia | Primera B | Leones FC vs Internacional Palmira</t>
  </si>
  <si>
    <t>Brasileiro Women</t>
  </si>
  <si>
    <t>Flamengo W</t>
  </si>
  <si>
    <t>Cruzeiro W</t>
  </si>
  <si>
    <t>21/03/2026 00:00 | Brazil | Brasileiro Women | Flamengo W vs Cruzeiro W</t>
  </si>
  <si>
    <t>Liga Pro Serie B</t>
  </si>
  <si>
    <t>El Nacional</t>
  </si>
  <si>
    <t>Ind. Juniors</t>
  </si>
  <si>
    <t>21/03/2026 00:00 | Ecuador | Liga Pro Serie B | El Nacional vs Ind. Juniors</t>
  </si>
  <si>
    <t>21/03/2026 00:00 | Honduras | Liga Nacional | Lobos Upnfm vs Atlético Choloma</t>
  </si>
  <si>
    <t>Torneo Federal A</t>
  </si>
  <si>
    <t>Atenas</t>
  </si>
  <si>
    <t>Cipolletti</t>
  </si>
  <si>
    <t>21/03/2026 00:00 | Argentina | Torneo Federal A | Atenas vs Cipolletti</t>
  </si>
  <si>
    <t>Sarmiento Resistencia</t>
  </si>
  <si>
    <t>Juventud Antoniana</t>
  </si>
  <si>
    <t>21/03/2026 00:00 | Argentina | Torneo Federal A | Sarmiento Resistencia vs Juventud Antoniana</t>
  </si>
  <si>
    <t>Sportivo Belgrano</t>
  </si>
  <si>
    <t>9 de Julio Rafaela</t>
  </si>
  <si>
    <t>21/03/2026 00:00 | Argentina | Torneo Federal A | Sportivo Belgrano vs 9 de Julio Rafaela</t>
  </si>
  <si>
    <t>21/03/2026 00:15</t>
  </si>
  <si>
    <t>Copa Argentina</t>
  </si>
  <si>
    <t>San Lorenzo</t>
  </si>
  <si>
    <t>Deportivo Rincon</t>
  </si>
  <si>
    <t>21/03/2026 00:15 | Argentina | Copa Argentina | San Lorenzo vs Deportivo Rincon</t>
  </si>
  <si>
    <t>21/03/2026 00:30</t>
  </si>
  <si>
    <t>San Martin Tucuman</t>
  </si>
  <si>
    <t>21/03/2026 00:30 | Argentina | Primera Nacional | San Martin S.J. vs San Martin Tucuman</t>
  </si>
  <si>
    <t>FC Cajamarca</t>
  </si>
  <si>
    <t>21/03/2026 00:30 | Peru | Primera División | Cienciano vs FC Cajamarca</t>
  </si>
  <si>
    <t>San Martín Mendoza</t>
  </si>
  <si>
    <t>Juventud Unida Univ.</t>
  </si>
  <si>
    <t>21/03/2026 00:30 | Argentina | Torneo Federal A | San Martín Mendoza vs Juventud Unida Univ.</t>
  </si>
  <si>
    <t>21/03/2026 00:30 | Aruba | Division di Honor | Dakota vs Bubali</t>
  </si>
  <si>
    <t>21/03/2026 00:30 | Uruguay | Primera División - Apertura | Defensor Sporting vs Club Nacional</t>
  </si>
  <si>
    <t>21/03/2026 01:00</t>
  </si>
  <si>
    <t>Necaxa</t>
  </si>
  <si>
    <t>21/03/2026 01:00 | Mexico | Liga MX | Necaxa vs Club Tijuana</t>
  </si>
  <si>
    <t>Venados FC</t>
  </si>
  <si>
    <t>21/03/2026 01:00 | Mexico | Liga de Expansión MX | Tepatitlán vs Venados FC</t>
  </si>
  <si>
    <t>21/03/2026 01:30</t>
  </si>
  <si>
    <t>Tauro FC</t>
  </si>
  <si>
    <t>21/03/2026 01:30 | Panama | Liga Panameña de Fútbol | San Francisco FC vs Tauro FC</t>
  </si>
  <si>
    <t>21/03/2026 02:00</t>
  </si>
  <si>
    <t>Ensenada</t>
  </si>
  <si>
    <t>21/03/2026 02:00 | Mexico | Liga Premier Serie A | Durango vs Ensenada</t>
  </si>
  <si>
    <t>Macarthur</t>
  </si>
  <si>
    <t>21/03/2026 02:00 | Australia | A-League | Auckland vs Macarthur</t>
  </si>
  <si>
    <t>Sporting San Jose</t>
  </si>
  <si>
    <t>21/03/2026 02:00 | Costa-Rica | Primera División | Guadalupe FC vs Sporting San Jose</t>
  </si>
  <si>
    <t>Monterrey W</t>
  </si>
  <si>
    <t>Guadalajara W</t>
  </si>
  <si>
    <t>21/03/2026 02:00 | Mexico | Liga MX Femenil | Monterrey W vs Guadalajara W</t>
  </si>
  <si>
    <t>Portland Thorns W</t>
  </si>
  <si>
    <t>Seattle Reign FC</t>
  </si>
  <si>
    <t>21/03/2026 02:00 | USA | NWSL Women | Portland Thorns W vs Seattle Reign FC</t>
  </si>
  <si>
    <t>21/03/2026 02:15</t>
  </si>
  <si>
    <t>South Hobart</t>
  </si>
  <si>
    <t>Kingborough Lions</t>
  </si>
  <si>
    <t>21/03/2026 02:15 | Australia | Tasmania NPL | South Hobart vs Kingborough Lions</t>
  </si>
  <si>
    <t>21/03/2026 03:00</t>
  </si>
  <si>
    <t>21/03/2026 03:00 | Mexico | Liga de Expansión MX | CA La Paz vs Alebrijes de Oaxaca</t>
  </si>
  <si>
    <t>21/03/2026 03:06</t>
  </si>
  <si>
    <t>Mazatlán</t>
  </si>
  <si>
    <t>Cruz Azul</t>
  </si>
  <si>
    <t>21/03/2026 03:06 | Mexico | Liga MX | Mazatlán vs Cruz Azul</t>
  </si>
  <si>
    <t>21/03/2026 03:30</t>
  </si>
  <si>
    <t>Devonport City</t>
  </si>
  <si>
    <t>21/03/2026 03:30 | Australia | Tasmania NPL | Clarence Zebras vs Devonport City</t>
  </si>
  <si>
    <t>Tasmania Southern Championship</t>
  </si>
  <si>
    <t>Clarence Zebras II</t>
  </si>
  <si>
    <t>University of Tasmania</t>
  </si>
  <si>
    <t>21/03/2026 03:30 | Australia | Tasmania Southern Championship | Clarence Zebras II vs University of Tasmania</t>
  </si>
  <si>
    <t>Taroona</t>
  </si>
  <si>
    <t>Hobart City</t>
  </si>
  <si>
    <t>21/03/2026 03:30 | Australia | Tasmania Southern Championship | Taroona vs Hobart City</t>
  </si>
  <si>
    <t>Tasmania Northern Championship</t>
  </si>
  <si>
    <t>Ulverstone</t>
  </si>
  <si>
    <t>Launceston United U21</t>
  </si>
  <si>
    <t>21/03/2026 03:30 | Australia | Tasmania Northern Championship | Ulverstone vs Launceston United U21</t>
  </si>
  <si>
    <t>Launceston U21</t>
  </si>
  <si>
    <t>Riverside Olympic U21</t>
  </si>
  <si>
    <t>21/03/2026 03:30 | Australia | Tasmania Northern Championship | Launceston U21 vs Riverside Olympic U21</t>
  </si>
  <si>
    <t>Somerset</t>
  </si>
  <si>
    <t>Burnie Utd.</t>
  </si>
  <si>
    <t>21/03/2026 03:30 | Australia | Tasmania Northern Championship | Somerset vs Burnie Utd.</t>
  </si>
  <si>
    <t>21/03/2026 04:00</t>
  </si>
  <si>
    <t>Brisbane Roar</t>
  </si>
  <si>
    <t>Wellington Phoenix</t>
  </si>
  <si>
    <t>21/03/2026 04:00 | Australia | A-League | Brisbane Roar vs Wellington Phoenix</t>
  </si>
  <si>
    <t>Port Melbourne</t>
  </si>
  <si>
    <t>North Geelong Warriors</t>
  </si>
  <si>
    <t>21/03/2026 04:00 | Australia | Victoria NPL 2 | Port Melbourne vs North Geelong Warriors</t>
  </si>
  <si>
    <t>South Australia NPL</t>
  </si>
  <si>
    <t>Croydon Kings</t>
  </si>
  <si>
    <t>West Adelaide</t>
  </si>
  <si>
    <t>21/03/2026 04:00 | Australia | South Australia NPL | Croydon Kings vs West Adelaide</t>
  </si>
  <si>
    <t>NNSW League 1</t>
  </si>
  <si>
    <t>South Cardiff</t>
  </si>
  <si>
    <t>Cessnock City Hornets</t>
  </si>
  <si>
    <t>21/03/2026 04:00 | Australia | NNSW League 1 | South Cardiff vs Cessnock City Hornets</t>
  </si>
  <si>
    <t>21/03/2026 04:15</t>
  </si>
  <si>
    <t>Manningham United Blues</t>
  </si>
  <si>
    <t>North Sunshine Eagles</t>
  </si>
  <si>
    <t>21/03/2026 04:15 | Australia | Victoria NPL 2 | Manningham United Blues vs North Sunshine Eagles</t>
  </si>
  <si>
    <t>21/03/2026 04:30</t>
  </si>
  <si>
    <t>Campbelltown City</t>
  </si>
  <si>
    <t>Playford City Patriots</t>
  </si>
  <si>
    <t>21/03/2026 04:30 | Australia | South Australia NPL | Campbelltown City vs Playford City Patriots</t>
  </si>
  <si>
    <t>Para Hills Knights</t>
  </si>
  <si>
    <t>Sturt Lions</t>
  </si>
  <si>
    <t>21/03/2026 04:30 | Australia | South Australia NPL | Para Hills Knights vs Sturt Lions</t>
  </si>
  <si>
    <t>South Australia State League 1</t>
  </si>
  <si>
    <t>South Adelaide Panthers</t>
  </si>
  <si>
    <t>Cumberland United</t>
  </si>
  <si>
    <t>21/03/2026 04:30 | Australia | South Australia State League 1 | South Adelaide Panthers vs Cumberland United</t>
  </si>
  <si>
    <t>Salisbury United</t>
  </si>
  <si>
    <t>Fulham United</t>
  </si>
  <si>
    <t>21/03/2026 04:30 | Australia | South Australia State League 1 | Salisbury United vs Fulham United</t>
  </si>
  <si>
    <t>21/03/2026 05:00</t>
  </si>
  <si>
    <t>21/03/2026 05:00 | Japan | J1 League | Fagiano Okayama vs V-varen Nagasaki</t>
  </si>
  <si>
    <t>Daejeon Citizen</t>
  </si>
  <si>
    <t>21/03/2026 05:00 | South-Korea | K League 1 | Daejeon Citizen vs Jeonbuk Motors</t>
  </si>
  <si>
    <t>Suwon Bluewings</t>
  </si>
  <si>
    <t>21/03/2026 05:00 | South-Korea | K League 2 | Gimhae City vs Suwon Bluewings</t>
  </si>
  <si>
    <t>Paju Citizen</t>
  </si>
  <si>
    <t>Jeonnam Dragons</t>
  </si>
  <si>
    <t>21/03/2026 05:00 | South-Korea | K League 2 | Paju Citizen vs Jeonnam Dragons</t>
  </si>
  <si>
    <t>Asan Mugunghwa</t>
  </si>
  <si>
    <t>21/03/2026 05:00 | South-Korea | K League 2 | Seongnam FC vs Asan Mugunghwa</t>
  </si>
  <si>
    <t>J2/J3 League</t>
  </si>
  <si>
    <t>21/03/2026 05:00 | Japan | J2/J3 League | Sagamihara vs Yokohama FC</t>
  </si>
  <si>
    <t>21/03/2026 05:00 | Japan | J2/J3 League | Blaublitz Akita vs Vanraure Hachinohe</t>
  </si>
  <si>
    <t>Jubilo Iwata</t>
  </si>
  <si>
    <t>Omiya Ardija</t>
  </si>
  <si>
    <t>21/03/2026 05:00 | Japan | J2/J3 League | Jubilo Iwata vs Omiya Ardija</t>
  </si>
  <si>
    <t>Consadole Sapporo</t>
  </si>
  <si>
    <t>21/03/2026 05:00 | Japan | J2/J3 League | Consadole Sapporo vs Ventforet Kofu</t>
  </si>
  <si>
    <t>Iwaki</t>
  </si>
  <si>
    <t>21/03/2026 05:00 | Japan | J2/J3 League | Parceiro Nagano vs Iwaki</t>
  </si>
  <si>
    <t>Matsumoto Yamaga</t>
  </si>
  <si>
    <t>21/03/2026 05:00 | Japan | J2/J3 League | Matsumoto Yamaga vs FC Gifu</t>
  </si>
  <si>
    <t>Fujieda MYFC</t>
  </si>
  <si>
    <t>21/03/2026 05:00 | Japan | J2/J3 League | Fukushima United vs Fujieda MYFC</t>
  </si>
  <si>
    <t>21/03/2026 05:00 | Japan | J2/J3 League | Oita Trinita vs FC Ryukyu</t>
  </si>
  <si>
    <t>Tegevajaro Miyazaki</t>
  </si>
  <si>
    <t>21/03/2026 05:00 | Japan | J2/J3 League | Tegevajaro Miyazaki vs Roasso Kumamoto</t>
  </si>
  <si>
    <t>Busan Transportation</t>
  </si>
  <si>
    <t>21/03/2026 05:00 | South-Korea | K3 League | Busan Transportation vs Daejeon Korail</t>
  </si>
  <si>
    <t>21/03/2026 05:00 | South-Korea | K3 League | Changwon City vs Yeoju Sejong</t>
  </si>
  <si>
    <t>Jeonbuk Motors II</t>
  </si>
  <si>
    <t>21/03/2026 05:00 | South-Korea | K3 League | Jeonbuk Motors II vs Siheung Citizen</t>
  </si>
  <si>
    <t>Ulsan Citizen</t>
  </si>
  <si>
    <t>21/03/2026 05:00 | South-Korea | K3 League | Mokpo City vs Ulsan Citizen</t>
  </si>
  <si>
    <t>21/03/2026 05:00 | South-Korea | K3 League | Yangpyeong vs Chuncheon</t>
  </si>
  <si>
    <t>21/03/2026 05:30</t>
  </si>
  <si>
    <t>Avispa Fukuoka</t>
  </si>
  <si>
    <t>21/03/2026 05:30 | Japan | J1 League | Avispa Fukuoka vs Gamba Osaka</t>
  </si>
  <si>
    <t>21/03/2026 05:45</t>
  </si>
  <si>
    <t>Glenorchy Knights</t>
  </si>
  <si>
    <t>21/03/2026 05:45 | Australia | Tasmania NPL | Glenorchy Knights vs South East Utd.</t>
  </si>
  <si>
    <t>21/03/2026 06:00</t>
  </si>
  <si>
    <t>A-League Women</t>
  </si>
  <si>
    <t>Perth Glory FC W</t>
  </si>
  <si>
    <t>Central Coast Mariners W</t>
  </si>
  <si>
    <t>21/03/2026 06:00 | Australia | A-League Women | Perth Glory FC W vs Central Coast Mariners W</t>
  </si>
  <si>
    <t>Sydney Olympic</t>
  </si>
  <si>
    <t>Western Sydney Wanderers U23</t>
  </si>
  <si>
    <t>21/03/2026 06:00 | Australia | New South Wales NPL | Sydney Olympic vs Western Sydney Wanderers U23</t>
  </si>
  <si>
    <t>SD Raiders</t>
  </si>
  <si>
    <t>Manly United</t>
  </si>
  <si>
    <t>21/03/2026 06:00 | Australia | New South Wales NPL | SD Raiders vs Manly United</t>
  </si>
  <si>
    <t>Newcastle Jets II</t>
  </si>
  <si>
    <t>Blacktown Spartans</t>
  </si>
  <si>
    <t>21/03/2026 06:00 | Australia | New South Wales NPL 2 | Newcastle Jets II vs Blacktown Spartans</t>
  </si>
  <si>
    <t>Broadmeadow Magic</t>
  </si>
  <si>
    <t>Belmont Swansea</t>
  </si>
  <si>
    <t>21/03/2026 06:00 | Australia | Northern NSW NPL | Broadmeadow Magic vs Belmont Swansea</t>
  </si>
  <si>
    <t>Weston Bears</t>
  </si>
  <si>
    <t>Cooks Hill United</t>
  </si>
  <si>
    <t>21/03/2026 06:00 | Australia | Northern NSW NPL | Weston Bears vs Cooks Hill United</t>
  </si>
  <si>
    <t>Queensland Premier League</t>
  </si>
  <si>
    <t>Ipswich</t>
  </si>
  <si>
    <t>Brisbane Strikers</t>
  </si>
  <si>
    <t>21/03/2026 06:00 | Australia | Queensland Premier League | Ipswich vs Brisbane Strikers</t>
  </si>
  <si>
    <t>Robina City</t>
  </si>
  <si>
    <t>SC Wanderers</t>
  </si>
  <si>
    <t>21/03/2026 06:00 | Australia | Queensland Premier League | Robina City vs SC Wanderers</t>
  </si>
  <si>
    <t>Supreme Division Women</t>
  </si>
  <si>
    <t>Yenisey W</t>
  </si>
  <si>
    <t>Rubin Kazan W</t>
  </si>
  <si>
    <t>21/03/2026 06:00 | Russia | Supreme Division Women | Yenisey W vs Rubin Kazan W</t>
  </si>
  <si>
    <t>New Lambton</t>
  </si>
  <si>
    <t>Singleton Strikers</t>
  </si>
  <si>
    <t>21/03/2026 06:00 | Australia | NNSW League 1 | New Lambton vs Singleton Strikers</t>
  </si>
  <si>
    <t>Macao</t>
  </si>
  <si>
    <t>Primeira Divisão</t>
  </si>
  <si>
    <t>Gorilla of the Universe</t>
  </si>
  <si>
    <t>Jia Hua</t>
  </si>
  <si>
    <t>21/03/2026 06:00 | Macao | Primeira Divisão | Gorilla of the Universe vs Jia Hua</t>
  </si>
  <si>
    <t>21/03/2026 06:10</t>
  </si>
  <si>
    <t>Melbourne Victory</t>
  </si>
  <si>
    <t>Central Coast Mariners</t>
  </si>
  <si>
    <t>21/03/2026 06:10 | Australia | A-League | Melbourne Victory vs Central Coast Mariners</t>
  </si>
  <si>
    <t>21/03/2026 06:30</t>
  </si>
  <si>
    <t>NWS Spirit</t>
  </si>
  <si>
    <t>Rockdale City Suns</t>
  </si>
  <si>
    <t>21/03/2026 06:30 | Australia | New South Wales NPL | NWS Spirit vs Rockdale City Suns</t>
  </si>
  <si>
    <t>The Cove</t>
  </si>
  <si>
    <t>Adelaide Olympic</t>
  </si>
  <si>
    <t>21/03/2026 06:30 | Australia | South Australia State League 1 | The Cove vs Adelaide Olympic</t>
  </si>
  <si>
    <t>21/03/2026 06:45</t>
  </si>
  <si>
    <t>APIA Leichhardt Tigers</t>
  </si>
  <si>
    <t>Sutherland Sharks</t>
  </si>
  <si>
    <t>21/03/2026 06:45 | Australia | New South Wales NPL | APIA Leichhardt Tigers vs Sutherland Sharks</t>
  </si>
  <si>
    <t>21/03/2026 07:00</t>
  </si>
  <si>
    <t>Kitchee</t>
  </si>
  <si>
    <t>Eastern</t>
  </si>
  <si>
    <t>21/03/2026 07:00 | Hong-Kong | Premier League | Kitchee vs Eastern</t>
  </si>
  <si>
    <t>Western Australia NPL</t>
  </si>
  <si>
    <t>Perth RedStar</t>
  </si>
  <si>
    <t>Perth Glory II</t>
  </si>
  <si>
    <t>21/03/2026 07:00 | Australia | Western Australia NPL | Perth RedStar vs Perth Glory II</t>
  </si>
  <si>
    <t>Garelli United</t>
  </si>
  <si>
    <t>Manila Digger</t>
  </si>
  <si>
    <t>21/03/2026 07:00 | Philippines | PFL | Garelli United vs Manila Digger</t>
  </si>
  <si>
    <t>League Two</t>
  </si>
  <si>
    <t>Dalian Kewei</t>
  </si>
  <si>
    <t>Xi'an Ronghai</t>
  </si>
  <si>
    <t>21/03/2026 07:00 | China | League Two | Dalian Kewei vs Xi'an Ronghai</t>
  </si>
  <si>
    <t>Western Australia State League 1</t>
  </si>
  <si>
    <t>Inglewood United</t>
  </si>
  <si>
    <t>Kingsley Westside</t>
  </si>
  <si>
    <t>21/03/2026 07:00 | Australia | Western Australia State League 1 | Inglewood United vs Kingsley Westside</t>
  </si>
  <si>
    <t>Gwelup Croatia</t>
  </si>
  <si>
    <t>Joondalup City</t>
  </si>
  <si>
    <t>21/03/2026 07:00 | Australia | Western Australia State League 1 | Gwelup Croatia vs Joondalup City</t>
  </si>
  <si>
    <t>Subiaco</t>
  </si>
  <si>
    <t>Mandurah City</t>
  </si>
  <si>
    <t>21/03/2026 07:00 | Australia | Western Australia State League 1 | Subiaco vs Mandurah City</t>
  </si>
  <si>
    <t>Cockburn City</t>
  </si>
  <si>
    <t>Murdoch Melville</t>
  </si>
  <si>
    <t>21/03/2026 07:00 | Australia | Western Australia State League 1 | Cockburn City vs Murdoch Melville</t>
  </si>
  <si>
    <t>21/03/2026 07:15</t>
  </si>
  <si>
    <t>Perth</t>
  </si>
  <si>
    <t>Balcatta</t>
  </si>
  <si>
    <t>21/03/2026 07:15 | Australia | Western Australia NPL | Perth vs Balcatta</t>
  </si>
  <si>
    <t>21/03/2026 07:30</t>
  </si>
  <si>
    <t>Seoul E-Land FC</t>
  </si>
  <si>
    <t>21/03/2026 07:30 | South-Korea | K League 2 | Cheonan City vs Seoul E-Land FC</t>
  </si>
  <si>
    <t>21/03/2026 07:30 | South-Korea | K League 2 | Cheongju vs Ansan Greeners</t>
  </si>
  <si>
    <t>St. George Saints</t>
  </si>
  <si>
    <t>Marconi Stallions</t>
  </si>
  <si>
    <t>21/03/2026 07:30 | Australia | New South Wales NPL | St. George Saints vs Marconi Stallions</t>
  </si>
  <si>
    <t>Northern Tigers</t>
  </si>
  <si>
    <t>21/03/2026 07:30 | Australia | New South Wales NPL 2 | Northern Tigers vs Hills Brumbies</t>
  </si>
  <si>
    <t>Melbourne Srbija</t>
  </si>
  <si>
    <t>Northcote City</t>
  </si>
  <si>
    <t>21/03/2026 07:30 | Australia | Victoria NPL 2 | Melbourne Srbija vs Northcote City</t>
  </si>
  <si>
    <t>Melbourne Knights</t>
  </si>
  <si>
    <t>21/03/2026 07:30 | Australia | Victoria NPL 2 | Bulleen Lions vs Melbourne Knights</t>
  </si>
  <si>
    <t>Shanghai Shenhua</t>
  </si>
  <si>
    <t>21/03/2026 07:30 | China | Super League | Beijing Guoan vs Shanghai Shenhua</t>
  </si>
  <si>
    <t>Shenyang Urban</t>
  </si>
  <si>
    <t>Tianjin Teda</t>
  </si>
  <si>
    <t>21/03/2026 07:30 | China | Super League | Shenyang Urban vs Tianjin Teda</t>
  </si>
  <si>
    <t>Guangdong Mingtu</t>
  </si>
  <si>
    <t>Shangyu Pterosaur</t>
  </si>
  <si>
    <t>21/03/2026 07:30 | China | League Two | Guangdong Mingtu vs Shangyu Pterosaur</t>
  </si>
  <si>
    <t>Shandong Taishan II</t>
  </si>
  <si>
    <t>Tai'an Tiankuang</t>
  </si>
  <si>
    <t>21/03/2026 07:30 | China | League Two | Shandong Taishan II vs Tai'an Tiankuang</t>
  </si>
  <si>
    <t>21/03/2026 08:00</t>
  </si>
  <si>
    <t>Mamelodi Sundowns U23</t>
  </si>
  <si>
    <t>21/03/2026 08:00 | South-Africa | Diski Challenge | Mamelodi Sundowns U23 vs Marumo Gallants U23</t>
  </si>
  <si>
    <t>21/03/2026 08:00 | South-Africa | Diski Challenge | Maritzburg United U23 vs Siwelele U23</t>
  </si>
  <si>
    <t>Mt Druitt Town</t>
  </si>
  <si>
    <t>Bulls Academy</t>
  </si>
  <si>
    <t>21/03/2026 08:00 | Australia | New South Wales NPL 2 | Mt Druitt Town vs Bulls Academy</t>
  </si>
  <si>
    <t>Inter Lions</t>
  </si>
  <si>
    <t>Macarthur Rams</t>
  </si>
  <si>
    <t>21/03/2026 08:00 | Australia | New South Wales NPL 2 | Inter Lions vs Macarthur Rams</t>
  </si>
  <si>
    <t>Dulwich Hill</t>
  </si>
  <si>
    <t>21/03/2026 08:00 | Australia | New South Wales NPL 2 | Dulwich Hill vs Bankstown City Lions</t>
  </si>
  <si>
    <t>Canterbury Bankstown</t>
  </si>
  <si>
    <t>Hurstville FC</t>
  </si>
  <si>
    <t>21/03/2026 08:00 | Australia | New South Wales NPL 2 | Canterbury Bankstown vs Hurstville FC</t>
  </si>
  <si>
    <t>Dandenong Thunder</t>
  </si>
  <si>
    <t>South Melbourne</t>
  </si>
  <si>
    <t>21/03/2026 08:00 | Australia | Victoria NPL | Dandenong Thunder vs South Melbourne</t>
  </si>
  <si>
    <t>Maitland</t>
  </si>
  <si>
    <t>21/03/2026 08:00 | Australia | Northern NSW NPL | Hamilton Olympic vs Maitland</t>
  </si>
  <si>
    <t>Brisbane City</t>
  </si>
  <si>
    <t>Olympic</t>
  </si>
  <si>
    <t>21/03/2026 08:00 | Australia | Queensland NPL | Brisbane City vs Olympic</t>
  </si>
  <si>
    <t>Zvezda Perm W</t>
  </si>
  <si>
    <t>Rostov W</t>
  </si>
  <si>
    <t>21/03/2026 08:00 | Russia | Supreme Division Women | Zvezda Perm W vs Rostov W</t>
  </si>
  <si>
    <t>Xiamen Feilu</t>
  </si>
  <si>
    <t>Guizhou Zhucheng</t>
  </si>
  <si>
    <t>21/03/2026 08:00 | China | League Two | Xiamen Feilu vs Guizhou Zhucheng</t>
  </si>
  <si>
    <t>Match Cancelled</t>
  </si>
  <si>
    <t>Glenorchy Knights FC 2</t>
  </si>
  <si>
    <t>21/03/2026 08:00 | Australia | Tasmania Southern Championship | Glenorchy Knights FC 2 vs South East Utd.</t>
  </si>
  <si>
    <t>CPK</t>
  </si>
  <si>
    <t>21/03/2026 08:00 | Macao | Primeira Divisão | Benfica vs CPK</t>
  </si>
  <si>
    <t>21/03/2026 08:15</t>
  </si>
  <si>
    <t>St George City FA</t>
  </si>
  <si>
    <t>21/03/2026 08:15 | Australia | New South Wales NPL | St George City FA vs Wollongong Wolves</t>
  </si>
  <si>
    <t>21/03/2026 08:30</t>
  </si>
  <si>
    <t>MetroStars</t>
  </si>
  <si>
    <t>Adelaide City</t>
  </si>
  <si>
    <t>21/03/2026 08:30 | Australia | South Australia NPL | MetroStars vs Adelaide City</t>
  </si>
  <si>
    <t>Hubei Chufeng Heli</t>
  </si>
  <si>
    <t>Guangzhou Dandelion</t>
  </si>
  <si>
    <t>21/03/2026 08:30 | China | League Two | Hubei Chufeng Heli vs Guangzhou Dandelion</t>
  </si>
  <si>
    <t>21/03/2026 08:45</t>
  </si>
  <si>
    <t>Kirivong Sok Sen Chey</t>
  </si>
  <si>
    <t>Visakha</t>
  </si>
  <si>
    <t>21/03/2026 08:45 | Cambodia | C-League | Kirivong Sok Sen Chey vs Visakha</t>
  </si>
  <si>
    <t>21/03/2026 09:00</t>
  </si>
  <si>
    <t>Persha Liga</t>
  </si>
  <si>
    <t>Chernihiv</t>
  </si>
  <si>
    <t>Yarud Mariupol'</t>
  </si>
  <si>
    <t>21/03/2026 09:00 | Ukraine | Persha Liga | Chernihiv vs Yarud Mariupol'</t>
  </si>
  <si>
    <t>Zorya Luhansk U19</t>
  </si>
  <si>
    <t>Shakhtar Donetsk U19</t>
  </si>
  <si>
    <t>21/03/2026 09:00 | Ukraine | U19 League | Zorya Luhansk U19 vs Shakhtar Donetsk U19</t>
  </si>
  <si>
    <t>Third League - Southwest</t>
  </si>
  <si>
    <t>Slavia Sofia II</t>
  </si>
  <si>
    <t>Pirin Razlog</t>
  </si>
  <si>
    <t>21/03/2026 09:00 | Bulgaria | Third League - Southwest | Slavia Sofia II vs Pirin Razlog</t>
  </si>
  <si>
    <t>Příbram II</t>
  </si>
  <si>
    <t>Admira Praha</t>
  </si>
  <si>
    <t>21/03/2026 09:00 | Czech-Republic | 3. liga - CFL A | Příbram II vs Admira Praha</t>
  </si>
  <si>
    <t>Moreton City Excelsior</t>
  </si>
  <si>
    <t>Rochedale Rovers</t>
  </si>
  <si>
    <t>21/03/2026 09:00 | Australia | Queensland NPL | Moreton City Excelsior vs Rochedale Rovers</t>
  </si>
  <si>
    <t>Caboolture</t>
  </si>
  <si>
    <t>Logan Lightning</t>
  </si>
  <si>
    <t>21/03/2026 09:00 | Australia | Queensland Premier League | Caboolture vs Logan Lightning</t>
  </si>
  <si>
    <t>Second League A - Division A Silver</t>
  </si>
  <si>
    <t>Tyumen</t>
  </si>
  <si>
    <t>Dinamo Stavropol</t>
  </si>
  <si>
    <t>21/03/2026 09:00 | Russia | Second League A - Division A Silver | Tyumen vs Dinamo Stavropol</t>
  </si>
  <si>
    <t>Dianella White Eagle</t>
  </si>
  <si>
    <t>Fremantle City</t>
  </si>
  <si>
    <t>21/03/2026 09:00 | Australia | Western Australia NPL | Dianella White Eagle vs Fremantle City</t>
  </si>
  <si>
    <t>Okzhetpes</t>
  </si>
  <si>
    <t>21/03/2026 09:00 | Kazakhstan | Premier League | Okzhetpes vs Ulytau</t>
  </si>
  <si>
    <t>CS Afumati</t>
  </si>
  <si>
    <t>Viitorul Şelimbăr</t>
  </si>
  <si>
    <t>21/03/2026 09:00 | Romania | Liga II | CS Afumati vs Viitorul Şelimbăr</t>
  </si>
  <si>
    <t>Concordia</t>
  </si>
  <si>
    <t>Dumbrăviţa</t>
  </si>
  <si>
    <t>21/03/2026 09:00 | Romania | Liga II | Concordia vs Dumbrăviţa</t>
  </si>
  <si>
    <t>CSM Satu Mare</t>
  </si>
  <si>
    <t>21/03/2026 09:00 | Romania | Liga II | CSM Reşiţa vs CSM Satu Mare</t>
  </si>
  <si>
    <t>Muscelul Câmpulung Elite</t>
  </si>
  <si>
    <t>21/03/2026 09:00 | Romania | Liga II | ASA Targu Mures vs Muscelul Câmpulung Elite</t>
  </si>
  <si>
    <t>FC Bacau</t>
  </si>
  <si>
    <t>Tunari</t>
  </si>
  <si>
    <t>21/03/2026 09:00 | Romania | Liga II | FC Bacau vs Tunari</t>
  </si>
  <si>
    <t>Slatina</t>
  </si>
  <si>
    <t>21/03/2026 09:00 | Romania | Liga II | Gloria Bistriţa vs Slatina</t>
  </si>
  <si>
    <t>CS Dinamo București</t>
  </si>
  <si>
    <t>21/03/2026 09:00 | Romania | Liga II | Metalul Buzău vs CS Dinamo București</t>
  </si>
  <si>
    <t>Politehnica Iasi</t>
  </si>
  <si>
    <t>Ceahlăul Piatra Neamţ</t>
  </si>
  <si>
    <t>21/03/2026 09:00 | Romania | Liga II | Politehnica Iasi vs Ceahlăul Piatra Neamţ</t>
  </si>
  <si>
    <t>Japan W</t>
  </si>
  <si>
    <t>21/03/2026 09:00 | World | Asian Cup Women | Japan W vs Australia W</t>
  </si>
  <si>
    <t>Curtin University</t>
  </si>
  <si>
    <t>Quinns FC</t>
  </si>
  <si>
    <t>21/03/2026 09:00 | Australia | Western Australia State League 1 | Curtin University vs Quinns FC</t>
  </si>
  <si>
    <t>21/03/2026 09:15</t>
  </si>
  <si>
    <t>Chrudim</t>
  </si>
  <si>
    <t>Baník Ostrava II</t>
  </si>
  <si>
    <t>21/03/2026 09:15 | Czech-Republic | FNL | Chrudim vs Baník Ostrava II</t>
  </si>
  <si>
    <t>Kuřim</t>
  </si>
  <si>
    <t>21/03/2026 09:15 | Czech-Republic | 4. liga - Divizie D | Kuřim vs Tatran Bohunice</t>
  </si>
  <si>
    <t>Cesky Tesin</t>
  </si>
  <si>
    <t>21/03/2026 09:15 | Czech-Republic | 4. liga - Divizie F | Cesky Tesin vs Zabreh</t>
  </si>
  <si>
    <t>Neratovice-Byškovice</t>
  </si>
  <si>
    <t>21/03/2026 09:15 | Czech-Republic | 3. liga - CFL B | Neratovice-Byškovice vs Hradec Králové II</t>
  </si>
  <si>
    <t>Aritma Praha</t>
  </si>
  <si>
    <t>Motorlet Praha</t>
  </si>
  <si>
    <t>21/03/2026 09:15 | Czech-Republic | 3. liga - CFL A | Aritma Praha vs Motorlet Praha</t>
  </si>
  <si>
    <t>Sokol Hostouň</t>
  </si>
  <si>
    <t>Jiskra Domažlice</t>
  </si>
  <si>
    <t>21/03/2026 09:15 | Czech-Republic | 3. liga - CFL A | Sokol Hostouň vs Jiskra Domažlice</t>
  </si>
  <si>
    <t>Brandýs nad Labem</t>
  </si>
  <si>
    <t>21/03/2026 09:15 | Czech-Republic | 4. liga - Divizie C | Brandýs nad Labem vs Trutnov</t>
  </si>
  <si>
    <t>Horní Ředice</t>
  </si>
  <si>
    <t>21/03/2026 09:15 | Czech-Republic | 4. liga - Divizie C | Horní Ředice vs Náchod</t>
  </si>
  <si>
    <t>Spoje Praha</t>
  </si>
  <si>
    <t>21/03/2026 09:15 | Czech-Republic | 4. liga - Divizie B | Spoje Praha vs Baník Sokolov</t>
  </si>
  <si>
    <t>Karlovy Vary</t>
  </si>
  <si>
    <t>21/03/2026 09:15 | Czech-Republic | 4. liga - Divizie B | Štětí vs Karlovy Vary</t>
  </si>
  <si>
    <t>Újezd Praha 4</t>
  </si>
  <si>
    <t>Olympie Březová</t>
  </si>
  <si>
    <t>21/03/2026 09:15 | Czech-Republic | 4. liga - Divizie B | Újezd Praha 4 vs Olympie Březová</t>
  </si>
  <si>
    <t>21/03/2026 09:30</t>
  </si>
  <si>
    <t>Třinec</t>
  </si>
  <si>
    <t>21/03/2026 09:30 | Czech-Republic | 3. liga - MSFL | Zlín II vs Třinec</t>
  </si>
  <si>
    <t>Ždírec nad Doubravou</t>
  </si>
  <si>
    <t>21/03/2026 09:30 | Czech-Republic | 4. liga - Divizie D | Sparta Brno vs Ždírec nad Doubravou</t>
  </si>
  <si>
    <t>České Budějovice II</t>
  </si>
  <si>
    <t>Písek</t>
  </si>
  <si>
    <t>21/03/2026 09:30 | Czech-Republic | 3. liga - CFL A | České Budějovice II vs Písek</t>
  </si>
  <si>
    <t>Milin</t>
  </si>
  <si>
    <t>Komárov</t>
  </si>
  <si>
    <t>21/03/2026 09:30 | Czech-Republic | 4. liga - Divizie A | Milin vs Komárov</t>
  </si>
  <si>
    <t>Kosmonosy</t>
  </si>
  <si>
    <t>21/03/2026 09:30 | Czech-Republic | 4. liga - Divizie C | Hlinsko vs Kosmonosy</t>
  </si>
  <si>
    <t>Ústí nad Labem II</t>
  </si>
  <si>
    <t>Ostrov</t>
  </si>
  <si>
    <t>21/03/2026 09:30 | Czech-Republic | 4. liga - Divizie B | Ústí nad Labem II vs Ostrov</t>
  </si>
  <si>
    <t>21/03/2026 09:30 | Germany | U19 Bundesliga | Hansa Rostock U19 vs Babelsberg U19</t>
  </si>
  <si>
    <t>21/03/2026 09:45</t>
  </si>
  <si>
    <t>Mendiola</t>
  </si>
  <si>
    <t>Taguig</t>
  </si>
  <si>
    <t>21/03/2026 09:45 | Philippines | PFL | Mendiola vs Taguig</t>
  </si>
  <si>
    <t>21/03/2026 10:00</t>
  </si>
  <si>
    <t>Bologna U20</t>
  </si>
  <si>
    <t>21/03/2026 10:00 | Italy | Campionato Primavera - 1 | Bologna U20 vs Frosinone U20</t>
  </si>
  <si>
    <t>Napoli U20</t>
  </si>
  <si>
    <t>Genoa U20</t>
  </si>
  <si>
    <t>21/03/2026 10:00 | Italy | Campionato Primavera - 1 | Napoli U20 vs Genoa U20</t>
  </si>
  <si>
    <t>Druha Liga</t>
  </si>
  <si>
    <t>Penuel</t>
  </si>
  <si>
    <t>Dinaz Vyshhorod</t>
  </si>
  <si>
    <t>21/03/2026 10:00 | Ukraine | Druha Liga | Penuel vs Dinaz Vyshhorod</t>
  </si>
  <si>
    <t>Kowloon City</t>
  </si>
  <si>
    <t>21/03/2026 10:00 | Hong-Kong | Premier League | Warriors vs Kowloon City</t>
  </si>
  <si>
    <t>Golden Arrows U23</t>
  </si>
  <si>
    <t>Sekhukhune United U23</t>
  </si>
  <si>
    <t>21/03/2026 10:00 | South-Africa | Diski Challenge | Golden Arrows U23 vs Sekhukhune United U23</t>
  </si>
  <si>
    <t>Ternana U19</t>
  </si>
  <si>
    <t>Pisa U19</t>
  </si>
  <si>
    <t>21/03/2026 10:00 | Italy | Campionato Primavera - 2 | Ternana U19 vs Pisa U19</t>
  </si>
  <si>
    <t>21/03/2026 10:00 | Ghana | Division One League | Na God vs Okwawu</t>
  </si>
  <si>
    <t>Darajani Gogo</t>
  </si>
  <si>
    <t>3K</t>
  </si>
  <si>
    <t>21/03/2026 10:00 | Kenya | Super League | Darajani Gogo vs 3K</t>
  </si>
  <si>
    <t>Bayer Leverkusen U19</t>
  </si>
  <si>
    <t>Mainz 05 U19</t>
  </si>
  <si>
    <t>21/03/2026 10:00 | Germany | U19 Bundesliga | Bayer Leverkusen U19 vs Mainz 05 U19</t>
  </si>
  <si>
    <t>Hannover 96 U19</t>
  </si>
  <si>
    <t>21/03/2026 10:00 | Germany | U19 Bundesliga | Hannover 96 U19 vs Bayern München U19</t>
  </si>
  <si>
    <t>Arminia Bielefeld U19</t>
  </si>
  <si>
    <t>21/03/2026 10:00 | Germany | U19 Bundesliga | Lübeck U19 vs Arminia Bielefeld U19</t>
  </si>
  <si>
    <t>DFB Junioren Pokal</t>
  </si>
  <si>
    <t>21/03/2026 10:00 | Germany | DFB Junioren Pokal | Bochum U19 vs Stuttgart U19</t>
  </si>
  <si>
    <t>Urozhay</t>
  </si>
  <si>
    <t>Dinamo Moskva II</t>
  </si>
  <si>
    <t>21/03/2026 10:00 | Russia | Second League A - Division A Silver | Urozhay vs Dinamo Moskva II</t>
  </si>
  <si>
    <t>Zenit 2</t>
  </si>
  <si>
    <t>Dinamo Kirov</t>
  </si>
  <si>
    <t>21/03/2026 10:00 | Russia | Second League A - Division A Silver | Zenit 2 vs Dinamo Kirov</t>
  </si>
  <si>
    <t>Stirling Lions</t>
  </si>
  <si>
    <t>Olympic Kingsway</t>
  </si>
  <si>
    <t>21/03/2026 10:00 | Australia | Western Australia NPL | Stirling Lions vs Olympic Kingsway</t>
  </si>
  <si>
    <t>Kairat Almaty</t>
  </si>
  <si>
    <t>21/03/2026 10:00 | Kazakhstan | Premier League | Zhetysu vs Kairat Almaty</t>
  </si>
  <si>
    <t>Dinamo Moskva W</t>
  </si>
  <si>
    <t>Zenit W</t>
  </si>
  <si>
    <t>21/03/2026 10:00 | Russia | Supreme Division Women | Dinamo Moskva W vs Zenit W</t>
  </si>
  <si>
    <t>Teleoptik</t>
  </si>
  <si>
    <t>Torlak</t>
  </si>
  <si>
    <t>21/03/2026 10:00 | Serbia | Srpska Liga - Belgrade | Teleoptik vs Torlak</t>
  </si>
  <si>
    <t>Prva Iskra</t>
  </si>
  <si>
    <t>Jedinstvo Su</t>
  </si>
  <si>
    <t>21/03/2026 10:00 | Serbia | Srpska Liga - Belgrade | Prva Iskra vs Jedinstvo Su</t>
  </si>
  <si>
    <t>21/03/2026 10:30</t>
  </si>
  <si>
    <t>Bandırmaspor</t>
  </si>
  <si>
    <t>21/03/2026 10:30 | Turkey | 1. Lig | Boluspor vs Bandırmaspor</t>
  </si>
  <si>
    <t>Serik Spor</t>
  </si>
  <si>
    <t>Sakaryaspor</t>
  </si>
  <si>
    <t>21/03/2026 10:30 | Turkey | 1. Lig | Serik Spor vs Sakaryaspor</t>
  </si>
  <si>
    <t>Septemvri Sofia</t>
  </si>
  <si>
    <t>Arda Kardzhali</t>
  </si>
  <si>
    <t>21/03/2026 10:30 | Bulgaria | First League | Septemvri Sofia vs Arda Kardzhali</t>
  </si>
  <si>
    <t>Pescara U19</t>
  </si>
  <si>
    <t>Salernitana U19</t>
  </si>
  <si>
    <t>21/03/2026 10:30 | Italy | Campionato Primavera - 2 | Pescara U19 vs Salernitana U19</t>
  </si>
  <si>
    <t>Ascoli U19</t>
  </si>
  <si>
    <t>Monopoli U19</t>
  </si>
  <si>
    <t>21/03/2026 10:30 | Italy | Campionato Primavera - 2 | Ascoli U19 vs Monopoli U19</t>
  </si>
  <si>
    <t>Sampdoria U19</t>
  </si>
  <si>
    <t>Como U19</t>
  </si>
  <si>
    <t>21/03/2026 10:30 | Italy | Campionato Primavera - 2 | Sampdoria U19 vs Como U19</t>
  </si>
  <si>
    <t>Padova U19</t>
  </si>
  <si>
    <t>Brescia U19</t>
  </si>
  <si>
    <t>21/03/2026 10:30 | Italy | Campionato Primavera - 2 | Padova U19 vs Brescia U19</t>
  </si>
  <si>
    <t>Levski Sofia II</t>
  </si>
  <si>
    <t>Botev Ihtiman</t>
  </si>
  <si>
    <t>21/03/2026 10:30 | Bulgaria | Third League - Southwest | Levski Sofia II vs Botev Ihtiman</t>
  </si>
  <si>
    <t>21/03/2026 10:30 | Estonia | Meistriliiga | Kalju Nomme vs Kuressaare</t>
  </si>
  <si>
    <t>Nõmme United</t>
  </si>
  <si>
    <t>21/03/2026 10:30 | Estonia | Meistriliiga | Nõmme United vs Tammeka</t>
  </si>
  <si>
    <t>Elva</t>
  </si>
  <si>
    <t>FCI Levadia II</t>
  </si>
  <si>
    <t>21/03/2026 10:30 | Estonia | Esiliiga A | Elva vs FCI Levadia II</t>
  </si>
  <si>
    <t>CSA Steaua Bucureşti</t>
  </si>
  <si>
    <t>21/03/2026 10:30 | Romania | Liga II | Corvinul Hunedoara vs CSA Steaua Bucureşti</t>
  </si>
  <si>
    <t>21/03/2026 10:45</t>
  </si>
  <si>
    <t>FC Rostov</t>
  </si>
  <si>
    <t>21/03/2026 10:45 | Russia | Premier League | Akhmat vs FC Rostov</t>
  </si>
  <si>
    <t>Hirnyk-Sport</t>
  </si>
  <si>
    <t>Chayka</t>
  </si>
  <si>
    <t>21/03/2026 10:45 | Ukraine | Druha Liga | Hirnyk-Sport vs Chayka</t>
  </si>
  <si>
    <t>Karlskrona</t>
  </si>
  <si>
    <t>Osters IF</t>
  </si>
  <si>
    <t>21/03/2026 10:45 | World | Friendlies Clubs | Karlskrona vs Osters IF</t>
  </si>
  <si>
    <t>21/03/2026 11:00</t>
  </si>
  <si>
    <t>Kryvbas KR</t>
  </si>
  <si>
    <t>Epitsentr Dunayivtsi</t>
  </si>
  <si>
    <t>21/03/2026 11:00 | Ukraine | Premier League | Kryvbas KR vs Epitsentr Dunayivtsi</t>
  </si>
  <si>
    <t>Primera División Femenina</t>
  </si>
  <si>
    <t>Levante W</t>
  </si>
  <si>
    <t>Real Sociedad W</t>
  </si>
  <si>
    <t>21/03/2026 11:00 | Spain | Primera División Femenina | Levante W vs Real Sociedad W</t>
  </si>
  <si>
    <t>Madrid CFF W</t>
  </si>
  <si>
    <t>Espanyol W</t>
  </si>
  <si>
    <t>21/03/2026 11:00 | Spain | Primera División Femenina | Madrid CFF W vs Espanyol W</t>
  </si>
  <si>
    <t>Ekstraliga Women</t>
  </si>
  <si>
    <t>UKS Łódź</t>
  </si>
  <si>
    <t>Pogon Tczew W</t>
  </si>
  <si>
    <t>21/03/2026 11:00 | Poland | Ekstraliga Women | UKS Łódź vs Pogon Tczew W</t>
  </si>
  <si>
    <t>Pogon Szczecin W</t>
  </si>
  <si>
    <t>Stomilanki Olsztyn W</t>
  </si>
  <si>
    <t>21/03/2026 11:00 | Poland | Ekstraliga Women | Pogon Szczecin W vs Stomilanki Olsztyn W</t>
  </si>
  <si>
    <t>Academico Viseu</t>
  </si>
  <si>
    <t>21/03/2026 11:00 | Portugal | Segunda Liga | Lusitânia Lourosa vs Academico Viseu</t>
  </si>
  <si>
    <t>Frauen Bundesliga</t>
  </si>
  <si>
    <t>Eintracht Frankfurt W</t>
  </si>
  <si>
    <t>Hamburger SV W</t>
  </si>
  <si>
    <t>21/03/2026 11:00 | Germany | Frauen Bundesliga | Eintracht Frankfurt W vs Hamburger SV W</t>
  </si>
  <si>
    <t>III Liga - Group 1</t>
  </si>
  <si>
    <t>Wisła Płock II</t>
  </si>
  <si>
    <t>Wigry Suwałki</t>
  </si>
  <si>
    <t>21/03/2026 11:00 | Poland | III Liga - Group 1 | Wisła Płock II vs Wigry Suwałki</t>
  </si>
  <si>
    <t>Lech Poznań II</t>
  </si>
  <si>
    <t>21/03/2026 11:00 | Poland | III Liga - Group 2 | Lech Poznań II vs Polonia Środa</t>
  </si>
  <si>
    <t>Sparta Katowice</t>
  </si>
  <si>
    <t>Ślęza Wrocław</t>
  </si>
  <si>
    <t>21/03/2026 11:00 | Poland | III Liga - Group 3 | Sparta Katowice vs Ślęza Wrocław</t>
  </si>
  <si>
    <t>Świdniczanka Świdnik</t>
  </si>
  <si>
    <t>Wiślanie Jaśkowice</t>
  </si>
  <si>
    <t>21/03/2026 11:00 | Poland | III Liga - Group 4 | Świdniczanka Świdnik vs Wiślanie Jaśkowice</t>
  </si>
  <si>
    <t>Wisła Kraków II</t>
  </si>
  <si>
    <t>Star Starachowice</t>
  </si>
  <si>
    <t>21/03/2026 11:00 | Poland | III Liga - Group 4 | Wisła Kraków II vs Star Starachowice</t>
  </si>
  <si>
    <t>Kolos Kovalivka U19</t>
  </si>
  <si>
    <t>21/03/2026 11:00 | Ukraine | U19 League | Veres Rivne U19 vs Kolos Kovalivka U19</t>
  </si>
  <si>
    <t>Karpaty Lviv U19</t>
  </si>
  <si>
    <t>Obolon' Kyiv U19</t>
  </si>
  <si>
    <t>21/03/2026 11:00 | Ukraine | U19 League | Karpaty Lviv U19 vs Obolon' Kyiv U19</t>
  </si>
  <si>
    <t>Denmark Series - Group 1</t>
  </si>
  <si>
    <t>Såby</t>
  </si>
  <si>
    <t>Espergærde</t>
  </si>
  <si>
    <t>21/03/2026 11:00 | Denmark | Denmark Series - Group 1 | Såby vs Espergærde</t>
  </si>
  <si>
    <t>LSF</t>
  </si>
  <si>
    <t>Avarta</t>
  </si>
  <si>
    <t>21/03/2026 11:00 | Denmark | Denmark Series - Group 1 | LSF vs Avarta</t>
  </si>
  <si>
    <t>Denmark Series - Group 2</t>
  </si>
  <si>
    <t>GVI</t>
  </si>
  <si>
    <t>Allerød</t>
  </si>
  <si>
    <t>21/03/2026 11:00 | Denmark | Denmark Series - Group 2 | GVI vs Allerød</t>
  </si>
  <si>
    <t>U18 Premier League - North</t>
  </si>
  <si>
    <t>Manchester United U18</t>
  </si>
  <si>
    <t>Blackburn Rovers U18</t>
  </si>
  <si>
    <t>21/03/2026 11:00 | England | U18 Premier League - North | Manchester United U18 vs Blackburn Rovers U18</t>
  </si>
  <si>
    <t>Burnley U18</t>
  </si>
  <si>
    <t>Manchester City U18</t>
  </si>
  <si>
    <t>21/03/2026 11:00 | England | U18 Premier League - North | Burnley U18 vs Manchester City U18</t>
  </si>
  <si>
    <t>Sunderland U18</t>
  </si>
  <si>
    <t>Liverpool U18</t>
  </si>
  <si>
    <t>21/03/2026 11:00 | England | U18 Premier League - North | Sunderland U18 vs Liverpool U18</t>
  </si>
  <si>
    <t>Middlesbrough U18</t>
  </si>
  <si>
    <t>Leeds United U18</t>
  </si>
  <si>
    <t>21/03/2026 11:00 | England | U18 Premier League - North | Middlesbrough U18 vs Leeds United U18</t>
  </si>
  <si>
    <t>U18 Premier League - South</t>
  </si>
  <si>
    <t>Arsenal U18</t>
  </si>
  <si>
    <t>Fulham U18</t>
  </si>
  <si>
    <t>21/03/2026 11:00 | England | U18 Premier League - South | Arsenal U18 vs Fulham U18</t>
  </si>
  <si>
    <t>Crystal Palace U18</t>
  </si>
  <si>
    <t>Brighton U18</t>
  </si>
  <si>
    <t>21/03/2026 11:00 | England | U18 Premier League - South | Crystal Palace U18 vs Brighton U18</t>
  </si>
  <si>
    <t>Norwich City U18</t>
  </si>
  <si>
    <t>West Bromwich Albion U18</t>
  </si>
  <si>
    <t>21/03/2026 11:00 | England | U18 Premier League - South | Norwich City U18 vs West Bromwich Albion U18</t>
  </si>
  <si>
    <t>Chelsea U18</t>
  </si>
  <si>
    <t>Reading U18</t>
  </si>
  <si>
    <t>21/03/2026 11:00 | England | U18 Premier League - South | Chelsea U18 vs Reading U18</t>
  </si>
  <si>
    <t>Real Unión de Tenerife</t>
  </si>
  <si>
    <t>Mensajero</t>
  </si>
  <si>
    <t>21/03/2026 11:00 | Spain | Tercera División RFEF - Group 12 | Real Unión de Tenerife vs Mensajero</t>
  </si>
  <si>
    <t>Modena U19</t>
  </si>
  <si>
    <t>Udinese U19</t>
  </si>
  <si>
    <t>21/03/2026 11:00 | Italy | Campionato Primavera - 2 | Modena U19 vs Udinese U19</t>
  </si>
  <si>
    <t>FKF Premier League</t>
  </si>
  <si>
    <t>Bidco United</t>
  </si>
  <si>
    <t>Sofapaka</t>
  </si>
  <si>
    <t>21/03/2026 11:00 | Kenya | FKF Premier League | Bidco United vs Sofapaka</t>
  </si>
  <si>
    <t>Mara Sugar</t>
  </si>
  <si>
    <t>APS Bomet</t>
  </si>
  <si>
    <t>21/03/2026 11:00 | Kenya | FKF Premier League | Mara Sugar vs APS Bomet</t>
  </si>
  <si>
    <t>Arkonia U19</t>
  </si>
  <si>
    <t>21/03/2026 11:00 | Poland | Central Youth League | Arkonia U19 vs Escola Varsovia U19</t>
  </si>
  <si>
    <t>Górnik Zabrze U19</t>
  </si>
  <si>
    <t>21/03/2026 11:00 | Poland | Central Youth League | Górnik Zabrze U19 vs Lechia Gdańsk U19</t>
  </si>
  <si>
    <t>Odra Opole U19</t>
  </si>
  <si>
    <t>Lech Poznań U19</t>
  </si>
  <si>
    <t>21/03/2026 11:00 | Poland | Central Youth League | Odra Opole U19 vs Lech Poznań U19</t>
  </si>
  <si>
    <t>Stal Rzeszów U19</t>
  </si>
  <si>
    <t>Miedź Legnica U19</t>
  </si>
  <si>
    <t>21/03/2026 11:00 | Poland | Central Youth League | Stal Rzeszów U19 vs Miedź Legnica U19</t>
  </si>
  <si>
    <t>Kostinbrod</t>
  </si>
  <si>
    <t>Balkan Botevgrad</t>
  </si>
  <si>
    <t>21/03/2026 11:00 | Bulgaria | Third League - Southwest | Kostinbrod vs Balkan Botevgrad</t>
  </si>
  <si>
    <t>Khon Kaen United</t>
  </si>
  <si>
    <t>Chiangmai United</t>
  </si>
  <si>
    <t>21/03/2026 11:00 | Thailand | Thai League 2 | Khon Kaen United vs Chiangmai United</t>
  </si>
  <si>
    <t>Ayutthaya FC</t>
  </si>
  <si>
    <t>Nakhon Ratchasima FC</t>
  </si>
  <si>
    <t>21/03/2026 11:00 | Thailand | Thai League 1 | Ayutthaya FC vs Nakhon Ratchasima FC</t>
  </si>
  <si>
    <t>Liga 1 Feminin</t>
  </si>
  <si>
    <t>Csikszereda MC W</t>
  </si>
  <si>
    <t>Olimpia Cluj W</t>
  </si>
  <si>
    <t>21/03/2026 11:00 | Romania | Liga 1 Feminin | Csikszereda MC W vs Olimpia Cluj W</t>
  </si>
  <si>
    <t>Benfica U23</t>
  </si>
  <si>
    <t>Academico Viseu U23</t>
  </si>
  <si>
    <t>21/03/2026 11:00 | Portugal | Liga Revelação U23 | Benfica U23 vs Academico Viseu U23</t>
  </si>
  <si>
    <t>Utsikten</t>
  </si>
  <si>
    <t>21/03/2026 11:00 | World | Friendlies Clubs | Oddevold vs Utsikten</t>
  </si>
  <si>
    <t>IK brage</t>
  </si>
  <si>
    <t>Gefle IF</t>
  </si>
  <si>
    <t>21/03/2026 11:00 | World | Friendlies Clubs | IK brage vs Gefle IF</t>
  </si>
  <si>
    <t>MOFA</t>
  </si>
  <si>
    <t>21/03/2026 11:00 | Kenya | Super League | MOFA vs Vihiga United FC</t>
  </si>
  <si>
    <t>Phu Dong</t>
  </si>
  <si>
    <t>21/03/2026 11:00 | Vietnam | Cup | Phu Dong vs Pho Hien</t>
  </si>
  <si>
    <t>Meppen U19</t>
  </si>
  <si>
    <t>21/03/2026 11:00 | Germany | U19 Bundesliga | Meppen U19 vs Rot-Weiss Essen U19</t>
  </si>
  <si>
    <t>Union Berlin U19</t>
  </si>
  <si>
    <t>21/03/2026 11:00 | Germany | U19 Bundesliga | Hoffenheim U19 vs Union Berlin U19</t>
  </si>
  <si>
    <t>Viktoria Berlin U19</t>
  </si>
  <si>
    <t>SC Borea Dresden U19</t>
  </si>
  <si>
    <t>21/03/2026 11:00 | Germany | U19 Bundesliga | Viktoria Berlin U19 vs SC Borea Dresden U19</t>
  </si>
  <si>
    <t>Henan Jianye</t>
  </si>
  <si>
    <t>21/03/2026 11:00 | China | Super League | Henan Jianye vs Wuhan Three Towns</t>
  </si>
  <si>
    <t>Neman</t>
  </si>
  <si>
    <t>Bate Borisov</t>
  </si>
  <si>
    <t>21/03/2026 11:00 | Belarus | Premier League | Neman vs Bate Borisov</t>
  </si>
  <si>
    <t>St. Pauli U19</t>
  </si>
  <si>
    <t>Rot-Weiß Erfurt U19</t>
  </si>
  <si>
    <t>21/03/2026 11:00 | Germany | U19 Bundesliga | St. Pauli U19 vs Rot-Weiß Erfurt U19</t>
  </si>
  <si>
    <t>National Defense</t>
  </si>
  <si>
    <t>Dangkor Senchey</t>
  </si>
  <si>
    <t>21/03/2026 11:00 | Cambodia | C-League | National Defense vs Dangkor Senchey</t>
  </si>
  <si>
    <t>Alaniya Vladikavkaz</t>
  </si>
  <si>
    <t>Dinamo Vladivostok</t>
  </si>
  <si>
    <t>21/03/2026 11:00 | Russia | Second League A - Division A Silver | Alaniya Vladikavkaz vs Dinamo Vladivostok</t>
  </si>
  <si>
    <t>Armadale</t>
  </si>
  <si>
    <t>21/03/2026 11:00 | Australia | Western Australia NPL | Armadale vs Sorrento</t>
  </si>
  <si>
    <t>Lokomotiv Moskva W</t>
  </si>
  <si>
    <t>Krylya Sovetov W</t>
  </si>
  <si>
    <t>21/03/2026 11:00 | Russia | Supreme Division Women | Lokomotiv Moskva W vs Krylya Sovetov W</t>
  </si>
  <si>
    <t>AC Oulu</t>
  </si>
  <si>
    <t>SJK Akatemia</t>
  </si>
  <si>
    <t>21/03/2026 11:00 | World | Friendlies Clubs | AC Oulu vs SJK Akatemia</t>
  </si>
  <si>
    <t>HJK Helsinki</t>
  </si>
  <si>
    <t>SJK</t>
  </si>
  <si>
    <t>21/03/2026 11:00 | World | Friendlies Clubs | HJK Helsinki vs SJK</t>
  </si>
  <si>
    <t>21/03/2026 11:30</t>
  </si>
  <si>
    <t>Real Pharm</t>
  </si>
  <si>
    <t>Polissya II</t>
  </si>
  <si>
    <t>21/03/2026 11:30 | Ukraine | Druha Liga | Real Pharm vs Polissya II</t>
  </si>
  <si>
    <t>Leicester City U18</t>
  </si>
  <si>
    <t>Tottenham Hotspur U18</t>
  </si>
  <si>
    <t>21/03/2026 11:30 | England | U18 Premier League - South | Leicester City U18 vs Tottenham Hotspur U18</t>
  </si>
  <si>
    <t>21/03/2026 11:30 | Spain | Tercera División RFEF - Group 9 | Churriana Vega vs UD Melilla II</t>
  </si>
  <si>
    <t>Serie A Women</t>
  </si>
  <si>
    <t>Genoa W</t>
  </si>
  <si>
    <t>Juventus W</t>
  </si>
  <si>
    <t>21/03/2026 11:30 | Italy | Serie A Women | Genoa W vs Juventus W</t>
  </si>
  <si>
    <t>Rasi Salai United</t>
  </si>
  <si>
    <t>21/03/2026 11:30 | Thailand | Thai League 2 | Rasi Salai United vs Phrae United</t>
  </si>
  <si>
    <t>Sukhothai FC</t>
  </si>
  <si>
    <t>21/03/2026 11:30 | Thailand | Thai League 1 | Chonburi FC vs Sukhothai FC</t>
  </si>
  <si>
    <t>Asane</t>
  </si>
  <si>
    <t>hodd</t>
  </si>
  <si>
    <t>21/03/2026 11:30 | World | Friendlies Clubs | Asane vs hodd</t>
  </si>
  <si>
    <t>U21 Divisie 1</t>
  </si>
  <si>
    <t>Twente / Heracles U21</t>
  </si>
  <si>
    <t>Willem II U21</t>
  </si>
  <si>
    <t>21/03/2026 11:30 | Netherlands | U21 Divisie 1 | Twente / Heracles U21 vs Willem II U21</t>
  </si>
  <si>
    <t>Heilongjiang Lava Spring</t>
  </si>
  <si>
    <t>Nantong Zhiyun</t>
  </si>
  <si>
    <t>21/03/2026 11:30 | China | League One | Heilongjiang Lava Spring vs Nantong Zhiyun</t>
  </si>
  <si>
    <t>Dongguan United</t>
  </si>
  <si>
    <t>Guangzhou E-Power</t>
  </si>
  <si>
    <t>21/03/2026 11:30 | China | League One | Dongguan United vs Guangzhou E-Power</t>
  </si>
  <si>
    <t>Meizhou Kejia</t>
  </si>
  <si>
    <t>Suzhou Dongwu</t>
  </si>
  <si>
    <t>21/03/2026 11:30 | China | League One | Meizhou Kejia vs Suzhou Dongwu</t>
  </si>
  <si>
    <t>Nanjing City</t>
  </si>
  <si>
    <t>Yanbian Longding</t>
  </si>
  <si>
    <t>21/03/2026 11:30 | China | League One | Nanjing City vs Yanbian Longding</t>
  </si>
  <si>
    <t>Hebei Kungfu</t>
  </si>
  <si>
    <t>Changchun Yatai</t>
  </si>
  <si>
    <t>21/03/2026 11:30 | China | League One | Hebei Kungfu vs Changchun Yatai</t>
  </si>
  <si>
    <t>Alashkert</t>
  </si>
  <si>
    <t>21/03/2026 11:30 | Armenia | Premier League | Alashkert vs Pyunik Yerevan</t>
  </si>
  <si>
    <t>Nantong Haimen Codion</t>
  </si>
  <si>
    <t>Dalian Yingbo B</t>
  </si>
  <si>
    <t>21/03/2026 11:30 | China | League Two | Nantong Haimen Codion vs Dalian Yingbo B</t>
  </si>
  <si>
    <t>21/03/2026 11:35</t>
  </si>
  <si>
    <t>Chongqing Tongliang Long</t>
  </si>
  <si>
    <t>Chengdu Better City</t>
  </si>
  <si>
    <t>21/03/2026 11:35 | China | Super League | Chongqing Tongliang Long vs Chengdu Better City</t>
  </si>
  <si>
    <t>Sichuan Jiuniu</t>
  </si>
  <si>
    <t>21/03/2026 11:35 | China | Super League | Qingdao Youth Island vs Sichuan Jiuniu</t>
  </si>
  <si>
    <t>21/03/2026 11:45</t>
  </si>
  <si>
    <t>Rudes</t>
  </si>
  <si>
    <t>Bsk Bijelo Brdo</t>
  </si>
  <si>
    <t>21/03/2026 11:45 | Croatia | First NL | Rudes vs Bsk Bijelo Brdo</t>
  </si>
  <si>
    <t>21/03/2026 12:00</t>
  </si>
  <si>
    <t>Aalborg</t>
  </si>
  <si>
    <t>Esbjerg</t>
  </si>
  <si>
    <t>21/03/2026 12:00 | Denmark | 1. Division | Aalborg vs Esbjerg</t>
  </si>
  <si>
    <t>Hillerød</t>
  </si>
  <si>
    <t>Aarhus Fremad</t>
  </si>
  <si>
    <t>21/03/2026 12:00 | Denmark | 1. Division | Hillerød vs Aarhus Fremad</t>
  </si>
  <si>
    <t>Hvidovre</t>
  </si>
  <si>
    <t>21/03/2026 12:00 | Denmark | 1. Division | AC Horsens vs Hvidovre</t>
  </si>
  <si>
    <t>HB Koge</t>
  </si>
  <si>
    <t>21/03/2026 12:00 | Denmark | 1. Division | HB Koge vs Lyngby</t>
  </si>
  <si>
    <t>Kolding IF</t>
  </si>
  <si>
    <t>B 93</t>
  </si>
  <si>
    <t>21/03/2026 12:00 | Denmark | 1. Division | Kolding IF vs B 93</t>
  </si>
  <si>
    <t>Middelfart</t>
  </si>
  <si>
    <t>Hobro</t>
  </si>
  <si>
    <t>21/03/2026 12:00 | Denmark | 1. Division | Middelfart vs Hobro</t>
  </si>
  <si>
    <t>SV Elversberg</t>
  </si>
  <si>
    <t>Arminia Bielefeld</t>
  </si>
  <si>
    <t>21/03/2026 12:00 | Germany | 2. Bundesliga | SV Elversberg vs Arminia Bielefeld</t>
  </si>
  <si>
    <t>1. FC Nürnberg</t>
  </si>
  <si>
    <t>1. FC Kaiserslautern</t>
  </si>
  <si>
    <t>21/03/2026 12:00 | Germany | 2. Bundesliga | 1. FC Nürnberg vs 1. FC Kaiserslautern</t>
  </si>
  <si>
    <t>SC Paderborn 07</t>
  </si>
  <si>
    <t>21/03/2026 12:00 | Germany | 2. Bundesliga | SC Paderborn 07 vs Dynamo Dresden</t>
  </si>
  <si>
    <t>3. Division</t>
  </si>
  <si>
    <t>Holbæk B&amp;I</t>
  </si>
  <si>
    <t>Sundby</t>
  </si>
  <si>
    <t>21/03/2026 12:00 | Denmark | 3. Division | Holbæk B&amp;I vs Sundby</t>
  </si>
  <si>
    <t>Hørsholm-Usserød</t>
  </si>
  <si>
    <t>Lyseng</t>
  </si>
  <si>
    <t>21/03/2026 12:00 | Denmark | 3. Division | Hørsholm-Usserød vs Lyseng</t>
  </si>
  <si>
    <t>Odder</t>
  </si>
  <si>
    <t>Nykobing FC</t>
  </si>
  <si>
    <t>21/03/2026 12:00 | Denmark | 3. Division | Odder vs Nykobing FC</t>
  </si>
  <si>
    <t>Vejgaard B</t>
  </si>
  <si>
    <t>Næsby</t>
  </si>
  <si>
    <t>21/03/2026 12:00 | Denmark | 3. Division | Vejgaard B vs Næsby</t>
  </si>
  <si>
    <t>1. Liga Women</t>
  </si>
  <si>
    <t>Baník Ostrava W</t>
  </si>
  <si>
    <t>Slovan Liberec W</t>
  </si>
  <si>
    <t>21/03/2026 12:00 | Czech-Republic | 1. Liga Women | Baník Ostrava W vs Slovan Liberec W</t>
  </si>
  <si>
    <t>Czarni Sosnowiec W</t>
  </si>
  <si>
    <t>UJ Krakow W</t>
  </si>
  <si>
    <t>21/03/2026 12:00 | Poland | Ekstraliga Women | Czarni Sosnowiec W vs UJ Krakow W</t>
  </si>
  <si>
    <t>GKS Katowice W</t>
  </si>
  <si>
    <t>Lech Poznan W</t>
  </si>
  <si>
    <t>21/03/2026 12:00 | Poland | Ekstraliga Women | GKS Katowice W vs Lech Poznan W</t>
  </si>
  <si>
    <t>Juventus U20</t>
  </si>
  <si>
    <t>21/03/2026 12:00 | Italy | Campionato Primavera - 1 | Juventus U20 vs Milan U20</t>
  </si>
  <si>
    <t>Union Klosterfelde</t>
  </si>
  <si>
    <t>21/03/2026 12:00 | Germany | Oberliga - Nordost-Nord | Siedenbollentin vs Union Klosterfelde</t>
  </si>
  <si>
    <t>Optik Rathenow</t>
  </si>
  <si>
    <t>21/03/2026 12:00 | Germany | Oberliga - Nordost-Nord | Optik Rathenow vs Croatia Berlin</t>
  </si>
  <si>
    <t>Anker Wismar</t>
  </si>
  <si>
    <t>21/03/2026 12:00 | Germany | Oberliga - Nordost-Nord | Anker Wismar vs Tennis Borussia</t>
  </si>
  <si>
    <t>Tus Dassendorf</t>
  </si>
  <si>
    <t>21/03/2026 12:00 | Germany | Oberliga - Hamburg | Tus Dassendorf vs Niendorfer TSV</t>
  </si>
  <si>
    <t>Unia Swarzędz</t>
  </si>
  <si>
    <t>Tłuchowia</t>
  </si>
  <si>
    <t>21/03/2026 12:00 | Poland | III Liga - Group 2 | Unia Swarzędz vs Tłuchowia</t>
  </si>
  <si>
    <t>Luzino</t>
  </si>
  <si>
    <t>Noteć Czarnków</t>
  </si>
  <si>
    <t>21/03/2026 12:00 | Poland | III Liga - Group 2 | Luzino vs Noteć Czarnków</t>
  </si>
  <si>
    <t>Pawłowice Śląskie</t>
  </si>
  <si>
    <t>Starowice Dolne</t>
  </si>
  <si>
    <t>21/03/2026 12:00 | Poland | III Liga - Group 3 | Pawłowice Śląskie vs Starowice Dolne</t>
  </si>
  <si>
    <t>Miedź Legnica II</t>
  </si>
  <si>
    <t>Carina Gubin</t>
  </si>
  <si>
    <t>21/03/2026 12:00 | Poland | III Liga - Group 3 | Miedź Legnica II vs Carina Gubin</t>
  </si>
  <si>
    <t>Union Bremen</t>
  </si>
  <si>
    <t>21/03/2026 12:00 | Germany | Oberliga - Bremen | Union Bremen vs Blumenthaler SV</t>
  </si>
  <si>
    <t>FA WSL</t>
  </si>
  <si>
    <t>Arsenal W</t>
  </si>
  <si>
    <t>West Ham W</t>
  </si>
  <si>
    <t>21/03/2026 12:00 | England | FA WSL | Arsenal W vs West Ham W</t>
  </si>
  <si>
    <t>Manchester United W</t>
  </si>
  <si>
    <t>Everton W</t>
  </si>
  <si>
    <t>21/03/2026 12:00 | England | FA WSL | Manchester United W vs Everton W</t>
  </si>
  <si>
    <t>London City Lionesses</t>
  </si>
  <si>
    <t>Chelsea W</t>
  </si>
  <si>
    <t>21/03/2026 12:00 | England | FA WSL | London City Lionesses vs Chelsea W</t>
  </si>
  <si>
    <t>Manchester City W</t>
  </si>
  <si>
    <t>Tottenham Hotspur W</t>
  </si>
  <si>
    <t>21/03/2026 12:00 | England | FA WSL | Manchester City W vs Tottenham Hotspur W</t>
  </si>
  <si>
    <t>Fredensborg BI</t>
  </si>
  <si>
    <t>Skovshoved</t>
  </si>
  <si>
    <t>21/03/2026 12:00 | Denmark | Denmark Series - Group 2 | Fredensborg BI vs Skovshoved</t>
  </si>
  <si>
    <t>Ringsted</t>
  </si>
  <si>
    <t>Skjold Sæby</t>
  </si>
  <si>
    <t>21/03/2026 12:00 | Denmark | Denmark Series - Group 2 | Ringsted vs Skjold Sæby</t>
  </si>
  <si>
    <t>OKS</t>
  </si>
  <si>
    <t>21/03/2026 12:00 | Denmark | Denmark Series - Group 3 | OKS vs Tarup-Paarup</t>
  </si>
  <si>
    <t>Hedensted</t>
  </si>
  <si>
    <t>Horsens II</t>
  </si>
  <si>
    <t>21/03/2026 12:00 | Denmark | Denmark Series - Group 3 | Hedensted vs Horsens II</t>
  </si>
  <si>
    <t>Denmark Series - Group 4</t>
  </si>
  <si>
    <t>Vorup</t>
  </si>
  <si>
    <t>Viby</t>
  </si>
  <si>
    <t>21/03/2026 12:00 | Denmark | Denmark Series - Group 4 | Vorup vs Viby</t>
  </si>
  <si>
    <t>Holstebro</t>
  </si>
  <si>
    <t>Aalborg Freja</t>
  </si>
  <si>
    <t>21/03/2026 12:00 | Denmark | Denmark Series - Group 4 | Holstebro vs Aalborg Freja</t>
  </si>
  <si>
    <t>ASA Aarhus</t>
  </si>
  <si>
    <t>Nørresundby</t>
  </si>
  <si>
    <t>21/03/2026 12:00 | Denmark | Denmark Series - Group 4 | ASA Aarhus vs Nørresundby</t>
  </si>
  <si>
    <t>Southampton U18</t>
  </si>
  <si>
    <t>Aston Villa U18</t>
  </si>
  <si>
    <t>21/03/2026 12:00 | England | U18 Premier League - South | Southampton U18 vs Aston Villa U18</t>
  </si>
  <si>
    <t>Qabala</t>
  </si>
  <si>
    <t>21/03/2026 12:00 | Azerbaijan | Premyer Liqa | Turan vs Qabala</t>
  </si>
  <si>
    <t>1st League - RS</t>
  </si>
  <si>
    <t>BSK Banja Luka</t>
  </si>
  <si>
    <t>Kozara Gradiška</t>
  </si>
  <si>
    <t>21/03/2026 12:00 | Bosnia | 1st League - RS | BSK Banja Luka vs Kozara Gradiška</t>
  </si>
  <si>
    <t>Benevento U19</t>
  </si>
  <si>
    <t>21/03/2026 12:00 | Italy | Campionato Primavera - 2 | Empoli U19 vs Benevento U19</t>
  </si>
  <si>
    <t>Aarhus Fremad II</t>
  </si>
  <si>
    <t>Fuglebakken KFUM</t>
  </si>
  <si>
    <t>21/03/2026 12:00 | Denmark | Denmark Series - Group 4 | Aarhus Fremad II vs Fuglebakken KFUM</t>
  </si>
  <si>
    <t>KCB</t>
  </si>
  <si>
    <t>21/03/2026 12:00 | Kenya | FKF Premier League | Police vs KCB</t>
  </si>
  <si>
    <t>Korotan Prevalje</t>
  </si>
  <si>
    <t>21/03/2026 12:00 | Slovenia | 3. SNL - East | Korotan Prevalje vs Šmartno</t>
  </si>
  <si>
    <t>Esan Pattaya</t>
  </si>
  <si>
    <t>21/03/2026 12:00 | Thailand | Thai League 2 | Esan Pattaya vs Kasetsart FC</t>
  </si>
  <si>
    <t>Uthai Thani</t>
  </si>
  <si>
    <t>Lamphun Warrior</t>
  </si>
  <si>
    <t>21/03/2026 12:00 | Thailand | Thai League 1 | Uthai Thani vs Lamphun Warrior</t>
  </si>
  <si>
    <t>21/03/2026 12:00 | World | Friendlies Clubs | Helsingborg vs trelleborgs FF</t>
  </si>
  <si>
    <t>IFK Trelleborg</t>
  </si>
  <si>
    <t>Rosengård</t>
  </si>
  <si>
    <t>21/03/2026 12:00 | World | Friendlies Clubs | IFK Trelleborg vs Rosengård</t>
  </si>
  <si>
    <t>Laholm</t>
  </si>
  <si>
    <t>Torns</t>
  </si>
  <si>
    <t>21/03/2026 12:00 | World | Friendlies Clubs | Laholm vs Torns</t>
  </si>
  <si>
    <t>Lindome</t>
  </si>
  <si>
    <t>21/03/2026 12:00 | World | Friendlies Clubs | Olympic vs Lindome</t>
  </si>
  <si>
    <t>Sogndal</t>
  </si>
  <si>
    <t>Raufoss</t>
  </si>
  <si>
    <t>21/03/2026 12:00 | World | Friendlies Clubs | Sogndal vs Raufoss</t>
  </si>
  <si>
    <t>Tvååker</t>
  </si>
  <si>
    <t>Torslanda</t>
  </si>
  <si>
    <t>21/03/2026 12:00 | World | Friendlies Clubs | Tvååker vs Torslanda</t>
  </si>
  <si>
    <t>Jonkopings Sodra</t>
  </si>
  <si>
    <t>21/03/2026 12:00 | World | Friendlies Clubs | Varbergs BoIS FC vs Jonkopings Sodra</t>
  </si>
  <si>
    <t>Ariana</t>
  </si>
  <si>
    <t>Åstorp</t>
  </si>
  <si>
    <t>21/03/2026 12:00 | World | Friendlies Clubs | Ariana vs Åstorp</t>
  </si>
  <si>
    <t>Kooteepee</t>
  </si>
  <si>
    <t>JJK</t>
  </si>
  <si>
    <t>21/03/2026 12:00 | World | Friendlies Clubs | Kooteepee vs JJK</t>
  </si>
  <si>
    <t>Mjallby AIF</t>
  </si>
  <si>
    <t>21/03/2026 12:00 | World | Friendlies Clubs | IF Elfsborg vs Mjallby AIF</t>
  </si>
  <si>
    <t>Eskilsminne</t>
  </si>
  <si>
    <t>Kristianstad</t>
  </si>
  <si>
    <t>21/03/2026 12:00 | World | Friendlies Clubs | Eskilsminne vs Kristianstad</t>
  </si>
  <si>
    <t>Skövde AIK</t>
  </si>
  <si>
    <t>21/03/2026 12:00 | World | Friendlies Clubs | IF Karlstad vs Skövde AIK</t>
  </si>
  <si>
    <t>Lund</t>
  </si>
  <si>
    <t>Angelholms FF</t>
  </si>
  <si>
    <t>21/03/2026 12:00 | World | Friendlies Clubs | Lund vs Angelholms FF</t>
  </si>
  <si>
    <t>Kibera Black Stars</t>
  </si>
  <si>
    <t>21/03/2026 12:00 | Kenya | Super League | Kibera Black Stars vs Kisumu All Stars</t>
  </si>
  <si>
    <t>Naivas</t>
  </si>
  <si>
    <t>21/03/2026 12:00 | Kenya | Super League | MCF vs Naivas</t>
  </si>
  <si>
    <t>Mwatate United</t>
  </si>
  <si>
    <t>21/03/2026 12:00 | Kenya | Super League | Nzoia Sugar vs Mwatate United</t>
  </si>
  <si>
    <t>Sogndal U19</t>
  </si>
  <si>
    <t>21/03/2026 12:00 | Norway | Nasjonal U19 Champions League | Sogndal U19 vs Bryne U19</t>
  </si>
  <si>
    <t>Havelse U19</t>
  </si>
  <si>
    <t>Chemnitzer FC U19</t>
  </si>
  <si>
    <t>21/03/2026 12:00 | Germany | U19 Bundesliga | Havelse U19 vs Chemnitzer FC U19</t>
  </si>
  <si>
    <t>Yunnan Yukun</t>
  </si>
  <si>
    <t>Shandong Luneng</t>
  </si>
  <si>
    <t>21/03/2026 12:00 | China | Super League | Yunnan Yukun vs Shandong Luneng</t>
  </si>
  <si>
    <t>Aktobe</t>
  </si>
  <si>
    <t>Yelimay Semey</t>
  </si>
  <si>
    <t>21/03/2026 12:00 | Kazakhstan | Premier League | Aktobe vs Yelimay Semey</t>
  </si>
  <si>
    <t>21/03/2026 12:00 | Russia | First League | FC UFA vs Volga Ulyanovsk</t>
  </si>
  <si>
    <t>1 Lyga</t>
  </si>
  <si>
    <t>Garliava</t>
  </si>
  <si>
    <t>Hegelmann II</t>
  </si>
  <si>
    <t>21/03/2026 12:00 | Lithuania | 1 Lyga | Garliava vs Hegelmann II</t>
  </si>
  <si>
    <t>Transinvest 2</t>
  </si>
  <si>
    <t>BFA</t>
  </si>
  <si>
    <t>21/03/2026 12:00 | Lithuania | 1 Lyga | Transinvest 2 vs BFA</t>
  </si>
  <si>
    <t>Baiano U20</t>
  </si>
  <si>
    <t>Bahia U20</t>
  </si>
  <si>
    <t>Feirense U20</t>
  </si>
  <si>
    <t>21/03/2026 12:00 | Brazil | Baiano U20 | Bahia U20 vs Feirense U20</t>
  </si>
  <si>
    <t>SSA U20</t>
  </si>
  <si>
    <t>Camaçariense U20</t>
  </si>
  <si>
    <t>21/03/2026 12:00 | Brazil | Baiano U20 | SSA U20 vs Camaçariense U20</t>
  </si>
  <si>
    <t>Vitória U20</t>
  </si>
  <si>
    <t>Bahia de Feira U20</t>
  </si>
  <si>
    <t>21/03/2026 12:00 | Brazil | Baiano U20 | Vitória U20 vs Bahia de Feira U20</t>
  </si>
  <si>
    <t>21/03/2026 12:00 | Kosovo | Superliga | Ferizaj vs Drenica Skënderaj</t>
  </si>
  <si>
    <t>21/03/2026 12:00 | Kosovo | Superliga | Prishtina vs Ballkani</t>
  </si>
  <si>
    <t>Gnistan</t>
  </si>
  <si>
    <t>PK-35</t>
  </si>
  <si>
    <t>21/03/2026 12:00 | World | Friendlies Clubs | Gnistan vs PK-35</t>
  </si>
  <si>
    <t>KuPS</t>
  </si>
  <si>
    <t>JIPPO</t>
  </si>
  <si>
    <t>21/03/2026 12:00 | World | Friendlies Clubs | KuPS vs JIPPO</t>
  </si>
  <si>
    <t>Sinđelić</t>
  </si>
  <si>
    <t>21/03/2026 12:00 | Serbia | Srpska Liga - East | OFK Bor 1919 vs Sinđelić</t>
  </si>
  <si>
    <t>1. Division Women</t>
  </si>
  <si>
    <t>Arna-Bjørnar W</t>
  </si>
  <si>
    <t>Odd</t>
  </si>
  <si>
    <t>21/03/2026 12:00 | Norway | 1. Division Women | Arna-Bjørnar W vs Odd</t>
  </si>
  <si>
    <t>21/03/2026 12:15</t>
  </si>
  <si>
    <t>Prykarpattia</t>
  </si>
  <si>
    <t>Livyi Bereh</t>
  </si>
  <si>
    <t>21/03/2026 12:15 | Ukraine | Persha Liga | Prykarpattia vs Livyi Bereh</t>
  </si>
  <si>
    <t>Legia Warszawa U19</t>
  </si>
  <si>
    <t>Resovia U19</t>
  </si>
  <si>
    <t>21/03/2026 12:15 | Poland | Central Youth League | Legia Warszawa U19 vs Resovia U19</t>
  </si>
  <si>
    <t>PEPO</t>
  </si>
  <si>
    <t>Reipas</t>
  </si>
  <si>
    <t>21/03/2026 12:15 | World | Friendlies Clubs | PEPO vs Reipas</t>
  </si>
  <si>
    <t>21/03/2026 12:15 | Vietnam | Cup | Viettel vs Bắc Ninh</t>
  </si>
  <si>
    <t>Kauno Žalgiris</t>
  </si>
  <si>
    <t>Suduva Marijampole</t>
  </si>
  <si>
    <t>21/03/2026 12:15 | Lithuania | A Lyga | Kauno Žalgiris vs Suduva Marijampole</t>
  </si>
  <si>
    <t>21/03/2026 12:30</t>
  </si>
  <si>
    <t>Liverpool</t>
  </si>
  <si>
    <t>21/03/2026 12:30 | England | Premier League | Brighton vs Liverpool</t>
  </si>
  <si>
    <t>Cambridge United</t>
  </si>
  <si>
    <t>Salford City</t>
  </si>
  <si>
    <t>21/03/2026 12:30 | England | League Two | Cambridge United vs Salford City</t>
  </si>
  <si>
    <t>Milton Keynes Dons</t>
  </si>
  <si>
    <t>Barnet</t>
  </si>
  <si>
    <t>21/03/2026 12:30 | England | League Two | Milton Keynes Dons vs Barnet</t>
  </si>
  <si>
    <t>Millwall</t>
  </si>
  <si>
    <t>21/03/2026 12:30 | England | Championship | Ipswich vs Millwall</t>
  </si>
  <si>
    <t>Derby</t>
  </si>
  <si>
    <t>Birmingham</t>
  </si>
  <si>
    <t>21/03/2026 12:30 | England | Championship | Derby vs Birmingham</t>
  </si>
  <si>
    <t>Blackburn</t>
  </si>
  <si>
    <t>21/03/2026 12:30 | England | Championship | Blackburn vs Middlesbrough</t>
  </si>
  <si>
    <t>Luton</t>
  </si>
  <si>
    <t>21/03/2026 12:30 | England | League One | Luton vs Stockport County</t>
  </si>
  <si>
    <t>Cardiff</t>
  </si>
  <si>
    <t>Blackpool</t>
  </si>
  <si>
    <t>21/03/2026 12:30 | England | League One | Cardiff vs Blackpool</t>
  </si>
  <si>
    <t>Woking</t>
  </si>
  <si>
    <t>Aldershot Town</t>
  </si>
  <si>
    <t>21/03/2026 12:30 | England | National League | Woking vs Aldershot Town</t>
  </si>
  <si>
    <t>Weiche Flensburg</t>
  </si>
  <si>
    <t>21/03/2026 12:30 | Germany | Regionalliga - Nord | Weiche Flensburg vs St. Pauli II</t>
  </si>
  <si>
    <t>Preußen Reinfeld</t>
  </si>
  <si>
    <t>Kilia Kiel</t>
  </si>
  <si>
    <t>21/03/2026 12:30 | Germany | Oberliga - Schleswig-Holstein | Preußen Reinfeld vs Kilia Kiel</t>
  </si>
  <si>
    <t>Super League Women</t>
  </si>
  <si>
    <t>Westerlo W</t>
  </si>
  <si>
    <t>Gent W</t>
  </si>
  <si>
    <t>21/03/2026 12:30 | Belgium | Super League Women | Westerlo W vs Gent W</t>
  </si>
  <si>
    <t>Club Brugge W</t>
  </si>
  <si>
    <t>Standard Liege W</t>
  </si>
  <si>
    <t>21/03/2026 12:30 | Belgium | Super League Women | Club Brugge W vs Standard Liege W</t>
  </si>
  <si>
    <t>Zulte-Waregem W</t>
  </si>
  <si>
    <t>Genk W</t>
  </si>
  <si>
    <t>21/03/2026 12:30 | Belgium | Super League Women | Zulte-Waregem W vs Genk W</t>
  </si>
  <si>
    <t>Anderlecht W</t>
  </si>
  <si>
    <t>OH Leuven W</t>
  </si>
  <si>
    <t>21/03/2026 12:30 | Belgium | Super League Women | Anderlecht W vs OH Leuven W</t>
  </si>
  <si>
    <t>Marienlyst</t>
  </si>
  <si>
    <t>21/03/2026 12:30 | Denmark | Denmark Series - Group 3 | Marienlyst vs Esbjerg II</t>
  </si>
  <si>
    <t>Tamaraceite</t>
  </si>
  <si>
    <t>Marino</t>
  </si>
  <si>
    <t>21/03/2026 12:30 | Spain | Tercera División RFEF - Group 12 | Tamaraceite vs Marino</t>
  </si>
  <si>
    <t>Chanthaburi</t>
  </si>
  <si>
    <t>21/03/2026 12:30 | Thailand | Thai League 2 | Nakhon Si Thammarat vs Chanthaburi</t>
  </si>
  <si>
    <t>Rayong FC</t>
  </si>
  <si>
    <t>Kanchanaburi</t>
  </si>
  <si>
    <t>21/03/2026 12:30 | Thailand | Thai League 1 | Rayong FC vs Kanchanaburi</t>
  </si>
  <si>
    <t>Stockholm Internazionale</t>
  </si>
  <si>
    <t>Sollentuna</t>
  </si>
  <si>
    <t>21/03/2026 12:30 | World | Friendlies Clubs | Stockholm Internazionale vs Sollentuna</t>
  </si>
  <si>
    <t>21/03/2026 12:30 | World | Friendlies Clubs | IFK Goteborg vs Degerfors IF</t>
  </si>
  <si>
    <t>Trans Narva</t>
  </si>
  <si>
    <t>Vaprus</t>
  </si>
  <si>
    <t>21/03/2026 12:30 | Estonia | Meistriliiga | Trans Narva vs Vaprus</t>
  </si>
  <si>
    <t>Sotra</t>
  </si>
  <si>
    <t>21/03/2026 12:30 | World | Friendlies Clubs | Sotra vs Brann</t>
  </si>
  <si>
    <t>Amkar</t>
  </si>
  <si>
    <t>Dinamo Bryansk</t>
  </si>
  <si>
    <t>21/03/2026 12:30 | Russia | Second League A - Division A Silver | Amkar vs Dinamo Bryansk</t>
  </si>
  <si>
    <t>Aparecidense U20</t>
  </si>
  <si>
    <t>Trindade U20</t>
  </si>
  <si>
    <t>21/03/2026 12:30 | Brazil | Goiano U20 | Aparecidense U20 vs Trindade U20</t>
  </si>
  <si>
    <t>Goiás U20</t>
  </si>
  <si>
    <t>Goiania U20</t>
  </si>
  <si>
    <t>21/03/2026 12:30 | Brazil | Goiano U20 | Goiás U20 vs Goiania U20</t>
  </si>
  <si>
    <t>Vila Nova U20</t>
  </si>
  <si>
    <t>Inhumas U20</t>
  </si>
  <si>
    <t>21/03/2026 12:30 | Brazil | Goiano U20 | Vila Nova U20 vs Inhumas U20</t>
  </si>
  <si>
    <t>21/03/2026 12:30 | Philippines | PFL | Stallion vs Tuloy</t>
  </si>
  <si>
    <t>21/03/2026 13:00</t>
  </si>
  <si>
    <t>21/03/2026 13:00 | Hungary | NB I | Nyiregyhaza vs Diosgyori VTK</t>
  </si>
  <si>
    <t>Halftime</t>
  </si>
  <si>
    <t>Wisla Krakow</t>
  </si>
  <si>
    <t>21/03/2026 13:00 | Poland | I Liga | Odra Opole vs Wisla Krakow</t>
  </si>
  <si>
    <t>Javor</t>
  </si>
  <si>
    <t>21/03/2026 13:00 | Serbia | Super Liga | Javor vs Novi Pazar</t>
  </si>
  <si>
    <t>Jesenice</t>
  </si>
  <si>
    <t>Tabor Sežana</t>
  </si>
  <si>
    <t>21/03/2026 13:00 | Slovenia | 2. SNL | Jesenice vs Tabor Sežana</t>
  </si>
  <si>
    <t>Guingamp</t>
  </si>
  <si>
    <t>21/03/2026 13:00 | France | Ligue 2 | Guingamp vs Reims</t>
  </si>
  <si>
    <t>Estac Troyes</t>
  </si>
  <si>
    <t>21/03/2026 13:00 | France | Ligue 2 | Estac Troyes vs Dunkerque</t>
  </si>
  <si>
    <t>Mallorca</t>
  </si>
  <si>
    <t>21/03/2026 13:00 | Spain | La Liga | Elche vs Mallorca</t>
  </si>
  <si>
    <t>21/03/2026 13:00 | Spain | Segunda División | Leganes vs AD Ceuta FC</t>
  </si>
  <si>
    <t>Frem</t>
  </si>
  <si>
    <t>Vanløse</t>
  </si>
  <si>
    <t>21/03/2026 13:00 | Denmark | 3. Division | Frem vs Vanløse</t>
  </si>
  <si>
    <t>FA 2000</t>
  </si>
  <si>
    <t>Brønshøj</t>
  </si>
  <si>
    <t>21/03/2026 13:00 | Denmark | 3. Division | FA 2000 vs Brønshøj</t>
  </si>
  <si>
    <t>Fremad Amager</t>
  </si>
  <si>
    <t>Brabrand</t>
  </si>
  <si>
    <t>21/03/2026 13:00 | Denmark | 2. Division | Fremad Amager vs Brabrand</t>
  </si>
  <si>
    <t>Skive</t>
  </si>
  <si>
    <t>Naestved</t>
  </si>
  <si>
    <t>21/03/2026 13:00 | Denmark | 2. Division | Skive vs Naestved</t>
  </si>
  <si>
    <t>VSK Århus</t>
  </si>
  <si>
    <t>HIK</t>
  </si>
  <si>
    <t>21/03/2026 13:00 | Denmark | 2. Division | VSK Århus vs HIK</t>
  </si>
  <si>
    <t>Slavia Praha W</t>
  </si>
  <si>
    <t>Sparta Praha W</t>
  </si>
  <si>
    <t>21/03/2026 13:00 | Czech-Republic | 1. Liga Women | Slavia Praha W vs Sparta Praha W</t>
  </si>
  <si>
    <t>Energie Cottbus</t>
  </si>
  <si>
    <t>SSV Ulm 1846</t>
  </si>
  <si>
    <t>21/03/2026 13:00 | Germany | 3. Liga | Energie Cottbus vs SSV Ulm 1846</t>
  </si>
  <si>
    <t>Alemannia Aachen</t>
  </si>
  <si>
    <t>21/03/2026 13:00 | Germany | 3. Liga | FC Ingolstadt 04 vs Alemannia Aachen</t>
  </si>
  <si>
    <t>Erzgebirge Aue</t>
  </si>
  <si>
    <t>21/03/2026 13:00 | Germany | 3. Liga | Waldhof Mannheim vs Erzgebirge Aue</t>
  </si>
  <si>
    <t>SSV Jahn Regensburg</t>
  </si>
  <si>
    <t>21/03/2026 13:00 | Germany | 3. Liga | SSV Jahn Regensburg vs Havelse</t>
  </si>
  <si>
    <t>FC Schweinfurt 05</t>
  </si>
  <si>
    <t>Stuttgart II</t>
  </si>
  <si>
    <t>21/03/2026 13:00 | Germany | 3. Liga | FC Schweinfurt 05 vs Stuttgart II</t>
  </si>
  <si>
    <t>Borac Cacak</t>
  </si>
  <si>
    <t>Dinamo Jug</t>
  </si>
  <si>
    <t>21/03/2026 13:00 | Serbia | Prva Liga | Borac Cacak vs Dinamo Jug</t>
  </si>
  <si>
    <t>Jastrzębie</t>
  </si>
  <si>
    <t>Hutnik Kraków</t>
  </si>
  <si>
    <t>21/03/2026 13:00 | Poland | II Liga - East | Jastrzębie vs Hutnik Kraków</t>
  </si>
  <si>
    <t>Górnik Łęczna W</t>
  </si>
  <si>
    <t>Rekord Bielsko-Biala W</t>
  </si>
  <si>
    <t>21/03/2026 13:00 | Poland | Ekstraliga Women | Górnik Łęczna W vs Rekord Bielsko-Biala W</t>
  </si>
  <si>
    <t>Keçiörengücü</t>
  </si>
  <si>
    <t>Adana Demirspor</t>
  </si>
  <si>
    <t>21/03/2026 13:00 | Turkey | 1. Lig | Keçiörengücü vs Adana Demirspor</t>
  </si>
  <si>
    <t>Manisa F.K.</t>
  </si>
  <si>
    <t>Sivasspor</t>
  </si>
  <si>
    <t>21/03/2026 13:00 | Turkey | 1. Lig | Manisa F.K. vs Sivasspor</t>
  </si>
  <si>
    <t>Wals-Grünau</t>
  </si>
  <si>
    <t>Pinzgau Saalfelden</t>
  </si>
  <si>
    <t>21/03/2026 13:00 | Austria | Regionalliga - West | Wals-Grünau vs Pinzgau Saalfelden</t>
  </si>
  <si>
    <t>Lustenau</t>
  </si>
  <si>
    <t>Seekirchen</t>
  </si>
  <si>
    <t>21/03/2026 13:00 | Austria | Regionalliga - West | Lustenau vs Seekirchen</t>
  </si>
  <si>
    <t>21/03/2026 13:00 | Russia | Premier League | CSKA Moscow vs Dinamo Makhachkala</t>
  </si>
  <si>
    <t>1899 Hoffenheim W</t>
  </si>
  <si>
    <t>VfL Wolfsburg W</t>
  </si>
  <si>
    <t>21/03/2026 13:00 | Germany | Frauen Bundesliga | 1899 Hoffenheim W vs VfL Wolfsburg W</t>
  </si>
  <si>
    <t>Türkspor Neckarsulm</t>
  </si>
  <si>
    <t>21/03/2026 13:00 | Germany | Oberliga - Baden-Württemberg | Backnang vs Türkspor Neckarsulm</t>
  </si>
  <si>
    <t>Denzlingen</t>
  </si>
  <si>
    <t>FC 08 Villingen</t>
  </si>
  <si>
    <t>21/03/2026 13:00 | Germany | Oberliga - Baden-Württemberg | Denzlingen vs FC 08 Villingen</t>
  </si>
  <si>
    <t>Göppinger SV</t>
  </si>
  <si>
    <t>VfR Mannheim</t>
  </si>
  <si>
    <t>21/03/2026 13:00 | Germany | Oberliga - Baden-Württemberg | Göppinger SV vs VfR Mannheim</t>
  </si>
  <si>
    <t>FC Grimma</t>
  </si>
  <si>
    <t>Heiligenstadt</t>
  </si>
  <si>
    <t>21/03/2026 13:00 | Germany | Oberliga - Nordost-Süd | FC Grimma vs Heiligenstadt</t>
  </si>
  <si>
    <t>Auerbach</t>
  </si>
  <si>
    <t>21/03/2026 13:00 | Germany | Oberliga - Nordost-Süd | Auerbach vs FC Lok Stendal</t>
  </si>
  <si>
    <t>SC Freital</t>
  </si>
  <si>
    <t>Krieschow</t>
  </si>
  <si>
    <t>21/03/2026 13:00 | Germany | Oberliga - Nordost-Süd | SC Freital vs Krieschow</t>
  </si>
  <si>
    <t>RSV Eintracht</t>
  </si>
  <si>
    <t>Bischofswerdaer FV</t>
  </si>
  <si>
    <t>21/03/2026 13:00 | Germany | Oberliga - Nordost-Süd | RSV Eintracht vs Bischofswerdaer FV</t>
  </si>
  <si>
    <t>Eintracht Frankfurt II</t>
  </si>
  <si>
    <t>21/03/2026 13:00 | Germany | Oberliga - Hessen | Eintracht Frankfurt II vs Eintracht Stadtallendorf</t>
  </si>
  <si>
    <t>Greifswalder FC</t>
  </si>
  <si>
    <t>21/03/2026 13:00 | Germany | Regionalliga - Nordost | Greifswalder FC vs ZFC Meuselwitz</t>
  </si>
  <si>
    <t>SV Babelsberg 03</t>
  </si>
  <si>
    <t>21/03/2026 13:00 | Germany | Regionalliga - Nordost | SV Babelsberg 03 vs Lokomotive Leipzig</t>
  </si>
  <si>
    <t>Phönix Lübeck</t>
  </si>
  <si>
    <t>21/03/2026 13:00 | Germany | Regionalliga - Nord | Phönix Lübeck vs SV Meppen</t>
  </si>
  <si>
    <t>Werder Bremen II</t>
  </si>
  <si>
    <t>SV Drochtersen/Assel</t>
  </si>
  <si>
    <t>21/03/2026 13:00 | Germany | Regionalliga - Nord | Werder Bremen II vs SV Drochtersen/Assel</t>
  </si>
  <si>
    <t>Regionalliga - Bayern</t>
  </si>
  <si>
    <t>Bayreuth</t>
  </si>
  <si>
    <t>Schwaben Augsburg</t>
  </si>
  <si>
    <t>21/03/2026 13:00 | Germany | Regionalliga - Bayern | Bayreuth vs Schwaben Augsburg</t>
  </si>
  <si>
    <t>Memmingen</t>
  </si>
  <si>
    <t>Hankofen-Hailing</t>
  </si>
  <si>
    <t>21/03/2026 13:00 | Germany | Regionalliga - Bayern | Memmingen vs Hankofen-Hailing</t>
  </si>
  <si>
    <t>Ansbach</t>
  </si>
  <si>
    <t>Illertissen</t>
  </si>
  <si>
    <t>21/03/2026 13:00 | Germany | Regionalliga - Bayern | Ansbach vs Illertissen</t>
  </si>
  <si>
    <t>Vilzing</t>
  </si>
  <si>
    <t>Nürnberg II</t>
  </si>
  <si>
    <t>21/03/2026 13:00 | Germany | Regionalliga - Bayern | Vilzing vs Nürnberg II</t>
  </si>
  <si>
    <t>Greuther Fürth II</t>
  </si>
  <si>
    <t>Bayern München II</t>
  </si>
  <si>
    <t>21/03/2026 13:00 | Germany | Regionalliga - Bayern | Greuther Fürth II vs Bayern München II</t>
  </si>
  <si>
    <t>Augsburg II</t>
  </si>
  <si>
    <t>Aubstadt</t>
  </si>
  <si>
    <t>21/03/2026 13:00 | Germany | Regionalliga - Bayern | Augsburg II vs Aubstadt</t>
  </si>
  <si>
    <t>Barockstadt Fulda-Lehn.</t>
  </si>
  <si>
    <t>Freiburg II</t>
  </si>
  <si>
    <t>21/03/2026 13:00 | Germany | Regionalliga - SudWest | Barockstadt Fulda-Lehn. vs Freiburg II</t>
  </si>
  <si>
    <t>SV Sandhausen</t>
  </si>
  <si>
    <t>Eintracht Trier</t>
  </si>
  <si>
    <t>21/03/2026 13:00 | Germany | Regionalliga - SudWest | SV Sandhausen vs Eintracht Trier</t>
  </si>
  <si>
    <t>Schott Mainz</t>
  </si>
  <si>
    <t>FC Astoria Walldorf</t>
  </si>
  <si>
    <t>21/03/2026 13:00 | Germany | Regionalliga - SudWest | Schott Mainz vs FC Astoria Walldorf</t>
  </si>
  <si>
    <t>Stuttgarter Kickers</t>
  </si>
  <si>
    <t>Hessen Kassel</t>
  </si>
  <si>
    <t>21/03/2026 13:00 | Germany | Regionalliga - SudWest | Stuttgarter Kickers vs Hessen Kassel</t>
  </si>
  <si>
    <t>Bayern Alzenau</t>
  </si>
  <si>
    <t>Balingen</t>
  </si>
  <si>
    <t>21/03/2026 13:00 | Germany | Regionalliga - SudWest | Bayern Alzenau vs Balingen</t>
  </si>
  <si>
    <t>SGV Freiberg</t>
  </si>
  <si>
    <t>21/03/2026 13:00 | Germany | Regionalliga - SudWest | SGV Freiberg vs Kickers Offenbach</t>
  </si>
  <si>
    <t>FSV Frankfurt</t>
  </si>
  <si>
    <t>Bahlinger SC</t>
  </si>
  <si>
    <t>21/03/2026 13:00 | Germany | Regionalliga - SudWest | FSV Frankfurt vs Bahlinger SC</t>
  </si>
  <si>
    <t>Oberliga - Bayern Süd</t>
  </si>
  <si>
    <t>Schalding-Heining</t>
  </si>
  <si>
    <t>Heimstetten</t>
  </si>
  <si>
    <t>21/03/2026 13:00 | Germany | Oberliga - Bayern Süd | Schalding-Heining vs Heimstetten</t>
  </si>
  <si>
    <t>Deisenhofen</t>
  </si>
  <si>
    <t>Ismaning</t>
  </si>
  <si>
    <t>21/03/2026 13:00 | Germany | Oberliga - Bayern Süd | Deisenhofen vs Ismaning</t>
  </si>
  <si>
    <t>Kottern</t>
  </si>
  <si>
    <t>Kirchanschöring</t>
  </si>
  <si>
    <t>21/03/2026 13:00 | Germany | Oberliga - Bayern Süd | Kottern vs Kirchanschöring</t>
  </si>
  <si>
    <t>Kaltenkirchen</t>
  </si>
  <si>
    <t>21/03/2026 13:00 | Germany | Oberliga - Schleswig-Holstein | Kaltenkirchen vs Holstein Kiel II</t>
  </si>
  <si>
    <t>Oberliga - Bayern Nord</t>
  </si>
  <si>
    <t>Eintracht Bamberg</t>
  </si>
  <si>
    <t>Stadeln</t>
  </si>
  <si>
    <t>21/03/2026 13:00 | Germany | Oberliga - Bayern Nord | Eintracht Bamberg vs Stadeln</t>
  </si>
  <si>
    <t>Coburg</t>
  </si>
  <si>
    <t>Würzburger FV</t>
  </si>
  <si>
    <t>21/03/2026 13:00 | Germany | Oberliga - Bayern Nord | Coburg vs Würzburger FV</t>
  </si>
  <si>
    <t>Borussia M'gladbach II</t>
  </si>
  <si>
    <t>Paderborn II</t>
  </si>
  <si>
    <t>21/03/2026 13:00 | Germany | Regionalliga - West | Borussia M'gladbach II vs Paderborn II</t>
  </si>
  <si>
    <t>Fortuna Düsseldorf II</t>
  </si>
  <si>
    <t>Schalke 04 II</t>
  </si>
  <si>
    <t>21/03/2026 13:00 | Germany | Regionalliga - West | Fortuna Düsseldorf II vs Schalke 04 II</t>
  </si>
  <si>
    <t>Wuppertaler SV</t>
  </si>
  <si>
    <t>Sportfreunde Lotte</t>
  </si>
  <si>
    <t>21/03/2026 13:00 | Germany | Regionalliga - West | Wuppertaler SV vs Sportfreunde Lotte</t>
  </si>
  <si>
    <t>FC Bocholt</t>
  </si>
  <si>
    <t>SSVg Velbert</t>
  </si>
  <si>
    <t>21/03/2026 13:00 | Germany | Regionalliga - West | FC Bocholt vs SSVg Velbert</t>
  </si>
  <si>
    <t>Rot-weiss Oberhausen</t>
  </si>
  <si>
    <t>21/03/2026 13:00 | Germany | Regionalliga - West | Rot-weiss Oberhausen vs Wiedenbrück</t>
  </si>
  <si>
    <t>Fortuna Köln</t>
  </si>
  <si>
    <t>SV Rodinghausen</t>
  </si>
  <si>
    <t>21/03/2026 13:00 | Germany | Regionalliga - West | Fortuna Köln vs SV Rodinghausen</t>
  </si>
  <si>
    <t>FC Gutersloh</t>
  </si>
  <si>
    <t>Köln II</t>
  </si>
  <si>
    <t>21/03/2026 13:00 | Germany | Regionalliga - West | FC Gutersloh vs Köln II</t>
  </si>
  <si>
    <t>Bonner SC</t>
  </si>
  <si>
    <t>Borussia Dortmund II</t>
  </si>
  <si>
    <t>21/03/2026 13:00 | Germany | Regionalliga - West | Bonner SC vs Borussia Dortmund II</t>
  </si>
  <si>
    <t>Swit</t>
  </si>
  <si>
    <t>Mławianka Mława</t>
  </si>
  <si>
    <t>21/03/2026 13:00 | Poland | III Liga - Group 1 | Swit vs Mławianka Mława</t>
  </si>
  <si>
    <t>Wasilków</t>
  </si>
  <si>
    <t>Olimpia Elbląg</t>
  </si>
  <si>
    <t>21/03/2026 13:00 | Poland | III Liga - Group 1 | Wasilków vs Olimpia Elbląg</t>
  </si>
  <si>
    <t>Pogoń Nowe Skalmierzyce</t>
  </si>
  <si>
    <t>Victoria Września</t>
  </si>
  <si>
    <t>21/03/2026 13:00 | Poland | III Liga - Group 2 | Pogoń Nowe Skalmierzyce vs Victoria Września</t>
  </si>
  <si>
    <t>Kluczevia Stargard</t>
  </si>
  <si>
    <t>Zawisza Bydgoszcz</t>
  </si>
  <si>
    <t>21/03/2026 13:00 | Poland | III Liga - Group 2 | Kluczevia Stargard vs Zawisza Bydgoszcz</t>
  </si>
  <si>
    <t>Cartusia Kartuzy</t>
  </si>
  <si>
    <t>Wda Świecie</t>
  </si>
  <si>
    <t>21/03/2026 13:00 | Poland | III Liga - Group 2 | Cartusia Kartuzy vs Wda Świecie</t>
  </si>
  <si>
    <t>Czarni Połaniec</t>
  </si>
  <si>
    <t>Podlasie Biała Podlaska</t>
  </si>
  <si>
    <t>21/03/2026 13:00 | Poland | III Liga - Group 4 | Czarni Połaniec vs Podlasie Biała Podlaska</t>
  </si>
  <si>
    <t>Pogoń-Sokół Lubaczów</t>
  </si>
  <si>
    <t>Stal Kraśnik</t>
  </si>
  <si>
    <t>21/03/2026 13:00 | Poland | III Liga - Group 4 | Pogoń-Sokół Lubaczów vs Stal Kraśnik</t>
  </si>
  <si>
    <t>Heider SV</t>
  </si>
  <si>
    <t>Rotenhof</t>
  </si>
  <si>
    <t>21/03/2026 13:00 | Germany | Oberliga - Schleswig-Holstein | Heider SV vs Rotenhof</t>
  </si>
  <si>
    <t>Lipno Stęszew</t>
  </si>
  <si>
    <t>Flota Świnoujście</t>
  </si>
  <si>
    <t>21/03/2026 13:00 | Poland | III Liga - Group 2 | Lipno Stęszew vs Flota Świnoujście</t>
  </si>
  <si>
    <t>Oberneuland</t>
  </si>
  <si>
    <t>21/03/2026 13:00 | Germany | Oberliga - Bremen | Brinkumer SV vs Oberneuland</t>
  </si>
  <si>
    <t>Aumund-Vegesack</t>
  </si>
  <si>
    <t>BTS Neustadt</t>
  </si>
  <si>
    <t>21/03/2026 13:00 | Germany | Oberliga - Bremen | Aumund-Vegesack vs BTS Neustadt</t>
  </si>
  <si>
    <t>Real Madrid II</t>
  </si>
  <si>
    <t>21/03/2026 13:00 | Spain | Primera División RFEF - Group 1 | Real Madrid II vs Zamora</t>
  </si>
  <si>
    <t>AB Tårnby</t>
  </si>
  <si>
    <t>Frederikssund</t>
  </si>
  <si>
    <t>21/03/2026 13:00 | Denmark | Denmark Series - Group 1 | AB Tårnby vs Frederikssund</t>
  </si>
  <si>
    <t>Herlev</t>
  </si>
  <si>
    <t>Glostrup</t>
  </si>
  <si>
    <t>21/03/2026 13:00 | Denmark | Denmark Series - Group 1 | Herlev vs Glostrup</t>
  </si>
  <si>
    <t>SfB-Oure</t>
  </si>
  <si>
    <t>21/03/2026 13:00 | Denmark | Denmark Series - Group 3 | Silkeborg KFUM vs SfB-Oure</t>
  </si>
  <si>
    <t>Hobro II</t>
  </si>
  <si>
    <t>VRI</t>
  </si>
  <si>
    <t>21/03/2026 13:00 | Denmark | Denmark Series - Group 4 | Hobro II vs VRI</t>
  </si>
  <si>
    <t>Birmingham City U18</t>
  </si>
  <si>
    <t>Ipswich Town U18</t>
  </si>
  <si>
    <t>21/03/2026 13:00 | England | U18 Premier League - South | Birmingham City U18 vs Ipswich Town U18</t>
  </si>
  <si>
    <t>21/03/2026 13:00 | Bulgaria | First League | CSKA 1948 vs Lokomotiv Sofia</t>
  </si>
  <si>
    <t>Liga Alef</t>
  </si>
  <si>
    <t>Hapoel Ironi Arraba</t>
  </si>
  <si>
    <t>Hapoel Umm al-Fahm</t>
  </si>
  <si>
    <t>21/03/2026 13:00 | Israel | Liga Alef | Hapoel Ironi Arraba vs Hapoel Umm al-Fahm</t>
  </si>
  <si>
    <t>Maccabi Kiryat Gat</t>
  </si>
  <si>
    <t>Hapoel Marmorek</t>
  </si>
  <si>
    <t>21/03/2026 13:00 | Israel | Liga Alef | Maccabi Kiryat Gat vs Hapoel Marmorek</t>
  </si>
  <si>
    <t>Tanzania</t>
  </si>
  <si>
    <t>Ligi kuu Bara</t>
  </si>
  <si>
    <t>Mtibwa Sugar</t>
  </si>
  <si>
    <t>Young Africans</t>
  </si>
  <si>
    <t>21/03/2026 13:00 | Tanzania | Ligi kuu Bara | Mtibwa Sugar vs Young Africans</t>
  </si>
  <si>
    <t>Virtus Entella U19</t>
  </si>
  <si>
    <t>Renate U19</t>
  </si>
  <si>
    <t>21/03/2026 13:00 | Italy | Campionato Primavera - 2 | Virtus Entella U19 vs Renate U19</t>
  </si>
  <si>
    <t>Venezia U19</t>
  </si>
  <si>
    <t>Pro Vercelli U19</t>
  </si>
  <si>
    <t>21/03/2026 13:00 | Italy | Campionato Primavera - 2 | Venezia U19 vs Pro Vercelli U19</t>
  </si>
  <si>
    <t>GOR Mahia</t>
  </si>
  <si>
    <t>Shabana</t>
  </si>
  <si>
    <t>21/03/2026 13:00 | Kenya | FKF Premier League | GOR Mahia vs Shabana</t>
  </si>
  <si>
    <t>Liga III - Serie 1</t>
  </si>
  <si>
    <t>Viitorul Onesti</t>
  </si>
  <si>
    <t>USV Iaşi</t>
  </si>
  <si>
    <t>21/03/2026 13:00 | Romania | Liga III - Serie 1 | Viitorul Onesti vs USV Iaşi</t>
  </si>
  <si>
    <t>Gheorgheni</t>
  </si>
  <si>
    <t>Aerostar Bacau</t>
  </si>
  <si>
    <t>21/03/2026 13:00 | Romania | Liga III - Serie 1 | Gheorgheni vs Aerostar Bacau</t>
  </si>
  <si>
    <t>Cetatea Suceava</t>
  </si>
  <si>
    <t>CSM Adjud</t>
  </si>
  <si>
    <t>21/03/2026 13:00 | Romania | Liga III - Serie 1 | Cetatea Suceava vs CSM Adjud</t>
  </si>
  <si>
    <t>CSM FC Vaslui</t>
  </si>
  <si>
    <t>Soimii Gura Humorului</t>
  </si>
  <si>
    <t>21/03/2026 13:00 | Romania | Liga III - Serie 1 | CSM FC Vaslui vs Soimii Gura Humorului</t>
  </si>
  <si>
    <t>Liga III - Serie 2</t>
  </si>
  <si>
    <t>Păuleşti</t>
  </si>
  <si>
    <t>Unirea Braniştea</t>
  </si>
  <si>
    <t>21/03/2026 13:00 | Romania | Liga III - Serie 2 | Păuleşti vs Unirea Braniştea</t>
  </si>
  <si>
    <t>Victoria Traian</t>
  </si>
  <si>
    <t>Sporting Lieşti</t>
  </si>
  <si>
    <t>21/03/2026 13:00 | Romania | Liga III - Serie 2 | Victoria Traian vs Sporting Lieşti</t>
  </si>
  <si>
    <t>Liga III - Serie 3</t>
  </si>
  <si>
    <t>Gloria Băneasa</t>
  </si>
  <si>
    <t>Agigea</t>
  </si>
  <si>
    <t>21/03/2026 13:00 | Romania | Liga III - Serie 3 | Gloria Băneasa vs Agigea</t>
  </si>
  <si>
    <t>Axiopolis</t>
  </si>
  <si>
    <t>Popești-Leordeni</t>
  </si>
  <si>
    <t>21/03/2026 13:00 | Romania | Liga III - Serie 3 | Axiopolis vs Popești-Leordeni</t>
  </si>
  <si>
    <t>Dunarea Calarasi</t>
  </si>
  <si>
    <t>Dinamo Bucureşti II</t>
  </si>
  <si>
    <t>21/03/2026 13:00 | Romania | Liga III - Serie 3 | Dunarea Calarasi vs Dinamo Bucureşti II</t>
  </si>
  <si>
    <t>Recolta Gheorghe Doja</t>
  </si>
  <si>
    <t>Progresul Fundulea</t>
  </si>
  <si>
    <t>21/03/2026 13:00 | Romania | Liga III - Serie 3 | Recolta Gheorghe Doja vs Progresul Fundulea</t>
  </si>
  <si>
    <t>Flacăra Moreni</t>
  </si>
  <si>
    <t>Olimpic Zărneşti</t>
  </si>
  <si>
    <t>21/03/2026 13:00 | Romania | Liga III - Serie 4 | Flacăra Moreni vs Olimpic Zărneşti</t>
  </si>
  <si>
    <t>Baicoi</t>
  </si>
  <si>
    <t>21/03/2026 13:00 | Romania | Liga III - Serie 4 | Baicoi vs Ştefăneşti</t>
  </si>
  <si>
    <t>Urban Titu</t>
  </si>
  <si>
    <t>Pucioasa</t>
  </si>
  <si>
    <t>21/03/2026 13:00 | Romania | Liga III - Serie 4 | Urban Titu vs Pucioasa</t>
  </si>
  <si>
    <t>Săcele</t>
  </si>
  <si>
    <t>Progresul Mogosoaia</t>
  </si>
  <si>
    <t>21/03/2026 13:00 | Romania | Liga III - Serie 4 | Săcele vs Progresul Mogosoaia</t>
  </si>
  <si>
    <t>Valenii de Munte</t>
  </si>
  <si>
    <t>21/03/2026 13:00 | Romania | Liga III - Serie 4 | Valenii de Munte vs Voința Crevedia</t>
  </si>
  <si>
    <t>Liga III - Serie 5</t>
  </si>
  <si>
    <t>Progresul Spartac</t>
  </si>
  <si>
    <t>Filiaşi</t>
  </si>
  <si>
    <t>21/03/2026 13:00 | Romania | Liga III - Serie 5 | Progresul Spartac vs Filiaşi</t>
  </si>
  <si>
    <t>Oltul Curtişoara</t>
  </si>
  <si>
    <t>Academica Balș</t>
  </si>
  <si>
    <t>21/03/2026 13:00 | Romania | Liga III - Serie 5 | Oltul Curtişoara vs Academica Balș</t>
  </si>
  <si>
    <t>CS U Craiova II</t>
  </si>
  <si>
    <t>Axi Adunații-Copăceni</t>
  </si>
  <si>
    <t>21/03/2026 13:00 | Romania | Liga III - Serie 5 | CS U Craiova II vs Axi Adunații-Copăceni</t>
  </si>
  <si>
    <t>Liga III - Serie 6</t>
  </si>
  <si>
    <t>Vulturii Fărcăşeşti</t>
  </si>
  <si>
    <t>ACS Mediaş 2022</t>
  </si>
  <si>
    <t>21/03/2026 13:00 | Romania | Liga III - Serie 6 | Vulturii Fărcăşeşti vs ACS Mediaş 2022</t>
  </si>
  <si>
    <t>Viitorul Dăești</t>
  </si>
  <si>
    <t>Păușești</t>
  </si>
  <si>
    <t>21/03/2026 13:00 | Romania | Liga III - Serie 6 | Viitorul Dăești vs Păușești</t>
  </si>
  <si>
    <t>Gilortul</t>
  </si>
  <si>
    <t>ARO Muscelul Câmpulung</t>
  </si>
  <si>
    <t>21/03/2026 13:00 | Romania | Liga III - Serie 6 | Gilortul vs ARO Muscelul Câmpulung</t>
  </si>
  <si>
    <t>Minerul Lupeni</t>
  </si>
  <si>
    <t>CSM Targu Jiu</t>
  </si>
  <si>
    <t>21/03/2026 13:00 | Romania | Liga III - Serie 6 | Minerul Lupeni vs CSM Targu Jiu</t>
  </si>
  <si>
    <t>Liga III - Serie 7</t>
  </si>
  <si>
    <t>FC Politehnica Timisoara</t>
  </si>
  <si>
    <t>Unirea Alba Iulia</t>
  </si>
  <si>
    <t>21/03/2026 13:00 | Romania | Liga III - Serie 7 | FC Politehnica Timisoara vs Unirea Alba Iulia</t>
  </si>
  <si>
    <t>Unirea Sântana</t>
  </si>
  <si>
    <t>Hidro Mecanica Sugag</t>
  </si>
  <si>
    <t>21/03/2026 13:00 | Romania | Liga III - Serie 7 | Unirea Sântana vs Hidro Mecanica Sugag</t>
  </si>
  <si>
    <t>Liga III - Serie 8</t>
  </si>
  <si>
    <t>Unirea Tășnad</t>
  </si>
  <si>
    <t>SCM Zalău</t>
  </si>
  <si>
    <t>21/03/2026 13:00 | Romania | Liga III - Serie 8 | Unirea Tășnad vs SCM Zalău</t>
  </si>
  <si>
    <t>Bihorul Beiuş</t>
  </si>
  <si>
    <t>Arieşul Turda</t>
  </si>
  <si>
    <t>21/03/2026 13:00 | Romania | Liga III - Serie 8 | Bihorul Beiuş vs Arieşul Turda</t>
  </si>
  <si>
    <t>Crişul Sântandrei</t>
  </si>
  <si>
    <t>Sănătatea Cluj</t>
  </si>
  <si>
    <t>21/03/2026 13:00 | Romania | Liga III - Serie 8 | Crişul Sântandrei vs Sănătatea Cluj</t>
  </si>
  <si>
    <t>Sighetu Marmaţiei</t>
  </si>
  <si>
    <t>Sânmartin</t>
  </si>
  <si>
    <t>21/03/2026 13:00 | Romania | Liga III - Serie 8 | Sighetu Marmaţiei vs Sânmartin</t>
  </si>
  <si>
    <t>Polanka nad Odrou</t>
  </si>
  <si>
    <t>21/03/2026 13:00 | Czech-Republic | 3. liga - MSFL | Vsetín vs Polanka nad Odrou</t>
  </si>
  <si>
    <t>Kyustendil</t>
  </si>
  <si>
    <t>Germaneya</t>
  </si>
  <si>
    <t>21/03/2026 13:00 | Bulgaria | Third League - Southwest | Kyustendil vs Germaneya</t>
  </si>
  <si>
    <t>Oborishte</t>
  </si>
  <si>
    <t>CSKA Sofia III</t>
  </si>
  <si>
    <t>21/03/2026 13:00 | Bulgaria | Third League - Southwest | Oborishte vs CSKA Sofia III</t>
  </si>
  <si>
    <t>Septemvri Simitli</t>
  </si>
  <si>
    <t>Pirin Gotse Delchev</t>
  </si>
  <si>
    <t>21/03/2026 13:00 | Bulgaria | Third League - Southwest | Septemvri Simitli vs Pirin Gotse Delchev</t>
  </si>
  <si>
    <t>Slivnishki geroy</t>
  </si>
  <si>
    <t>Bansko</t>
  </si>
  <si>
    <t>21/03/2026 13:00 | Bulgaria | Third League - Southwest | Slivnishki geroy vs Bansko</t>
  </si>
  <si>
    <t>Vitosha Bistritsa</t>
  </si>
  <si>
    <t>Rilski Sportist</t>
  </si>
  <si>
    <t>21/03/2026 13:00 | Bulgaria | Third League - Southwest | Vitosha Bistritsa vs Rilski Sportist</t>
  </si>
  <si>
    <t>Jablonec II</t>
  </si>
  <si>
    <t>21/03/2026 13:00 | Czech-Republic | 3. liga - CFL B | Velké Hamry vs Jablonec II</t>
  </si>
  <si>
    <t>Asenovets</t>
  </si>
  <si>
    <t>21/03/2026 13:00 | Bulgaria | Third League - Southeast | Asenovets vs Dimitrovgrad</t>
  </si>
  <si>
    <t>Atletik Kuklen</t>
  </si>
  <si>
    <t>Sozopol</t>
  </si>
  <si>
    <t>21/03/2026 13:00 | Bulgaria | Third League - Southeast | Atletik Kuklen vs Sozopol</t>
  </si>
  <si>
    <t>Gigant Saedinenie</t>
  </si>
  <si>
    <t>Rodopa Smolyan</t>
  </si>
  <si>
    <t>21/03/2026 13:00 | Bulgaria | Third League - Southeast | Gigant Saedinenie vs Rodopa Smolyan</t>
  </si>
  <si>
    <t>Maritsa Milevo</t>
  </si>
  <si>
    <t>Levski Karlovo</t>
  </si>
  <si>
    <t>21/03/2026 13:00 | Bulgaria | Third League - Southeast | Maritsa Milevo vs Levski Karlovo</t>
  </si>
  <si>
    <t>Maritsa Plovdiv</t>
  </si>
  <si>
    <t>Sayana Haskovo</t>
  </si>
  <si>
    <t>21/03/2026 13:00 | Bulgaria | Third League - Southeast | Maritsa Plovdiv vs Sayana Haskovo</t>
  </si>
  <si>
    <t>Nesebar</t>
  </si>
  <si>
    <t>Sekirovo Rakovski</t>
  </si>
  <si>
    <t>21/03/2026 13:00 | Bulgaria | Third League - Southeast | Nesebar vs Sekirovo Rakovski</t>
  </si>
  <si>
    <t>Rozova dolina</t>
  </si>
  <si>
    <t>Rakovski 2011</t>
  </si>
  <si>
    <t>21/03/2026 13:00 | Bulgaria | Third League - Southeast | Rozova dolina vs Rakovski 2011</t>
  </si>
  <si>
    <t>Lokomotiv Plovdiv II</t>
  </si>
  <si>
    <t>21/03/2026 13:00 | Bulgaria | Third League - Southeast | Spartak Plovdiv vs Lokomotiv Plovdiv II</t>
  </si>
  <si>
    <t>Zagorets</t>
  </si>
  <si>
    <t>Neftochimic Burgas</t>
  </si>
  <si>
    <t>21/03/2026 13:00 | Bulgaria | Third League - Southeast | Zagorets vs Neftochimic Burgas</t>
  </si>
  <si>
    <t>21/03/2026 13:00 | Zimbabwe | Premier Soccer League | CAPS United vs Hardrock</t>
  </si>
  <si>
    <t>Chicken Inn</t>
  </si>
  <si>
    <t>Ngezi Platinum</t>
  </si>
  <si>
    <t>21/03/2026 13:00 | Zimbabwe | Premier Soccer League | Chicken Inn vs Ngezi Platinum</t>
  </si>
  <si>
    <t>Platinum</t>
  </si>
  <si>
    <t>TelOne</t>
  </si>
  <si>
    <t>21/03/2026 13:00 | Zimbabwe | Premier Soccer League | Platinum vs TelOne</t>
  </si>
  <si>
    <t>21/03/2026 13:00 | Zimbabwe | Premier Soccer League | Simba Bhora vs Highlanders</t>
  </si>
  <si>
    <t>Toppserien</t>
  </si>
  <si>
    <t>LSK Kvinner W</t>
  </si>
  <si>
    <t>Røa W</t>
  </si>
  <si>
    <t>21/03/2026 13:00 | Norway | Toppserien | LSK Kvinner W vs Røa W</t>
  </si>
  <si>
    <t>Rosenborg W</t>
  </si>
  <si>
    <t>Haugesund W</t>
  </si>
  <si>
    <t>21/03/2026 13:00 | Norway | Toppserien | Rosenborg W vs Haugesund W</t>
  </si>
  <si>
    <t>Stabæk W</t>
  </si>
  <si>
    <t>Lyn W</t>
  </si>
  <si>
    <t>21/03/2026 13:00 | Norway | Toppserien | Stabæk W vs Lyn W</t>
  </si>
  <si>
    <t>Vålerenga W</t>
  </si>
  <si>
    <t>Fortuna Ålesund W</t>
  </si>
  <si>
    <t>21/03/2026 13:00 | Norway | Toppserien | Vålerenga W vs Fortuna Ålesund W</t>
  </si>
  <si>
    <t>Bokelj</t>
  </si>
  <si>
    <t>Buducnost Podgorica</t>
  </si>
  <si>
    <t>21/03/2026 13:00 | Montenegro | First League | Bokelj vs Buducnost Podgorica</t>
  </si>
  <si>
    <t>Sutjeska</t>
  </si>
  <si>
    <t>Mladost DG</t>
  </si>
  <si>
    <t>21/03/2026 13:00 | Montenegro | First League | Sutjeska vs Mladost DG</t>
  </si>
  <si>
    <t>Garage Express</t>
  </si>
  <si>
    <t>21/03/2026 13:00 | Burundi | Ligue A | Flambeau du Centre vs Garage Express</t>
  </si>
  <si>
    <t>Musongati</t>
  </si>
  <si>
    <t>21/03/2026 13:00 | Burundi | Ligue A | Vital'O vs Musongati</t>
  </si>
  <si>
    <t>Lyn</t>
  </si>
  <si>
    <t>Moss</t>
  </si>
  <si>
    <t>21/03/2026 13:00 | World | Friendlies Clubs | Lyn vs Moss</t>
  </si>
  <si>
    <t>Landskrona BoIS</t>
  </si>
  <si>
    <t>21/03/2026 13:00 | World | Friendlies Clubs | Falkenbergs FF vs Landskrona BoIS</t>
  </si>
  <si>
    <t>FBK Karlstad</t>
  </si>
  <si>
    <t>Franke</t>
  </si>
  <si>
    <t>21/03/2026 13:00 | World | Friendlies Clubs | FBK Karlstad vs Franke</t>
  </si>
  <si>
    <t>21/03/2026 13:00 | World | Friendlies Clubs | BK Hacken vs Halmstad</t>
  </si>
  <si>
    <t>Lyn II</t>
  </si>
  <si>
    <t>21/03/2026 13:00 | World | Friendlies Clubs | Moss vs Lyn II</t>
  </si>
  <si>
    <t>Sandviken</t>
  </si>
  <si>
    <t>Mariehamn</t>
  </si>
  <si>
    <t>21/03/2026 13:00 | World | Friendlies Clubs | Sandviken vs Mariehamn</t>
  </si>
  <si>
    <t>Arendal</t>
  </si>
  <si>
    <t>Notodden</t>
  </si>
  <si>
    <t>21/03/2026 13:00 | World | Friendlies Clubs | Arendal vs Notodden</t>
  </si>
  <si>
    <t>Mjondalen</t>
  </si>
  <si>
    <t>Skeid</t>
  </si>
  <si>
    <t>21/03/2026 13:00 | World | Friendlies Clubs | Mjondalen vs Skeid</t>
  </si>
  <si>
    <t>Levanger</t>
  </si>
  <si>
    <t>Trygg/Lade</t>
  </si>
  <si>
    <t>21/03/2026 13:00 | World | Friendlies Clubs | Levanger vs Trygg/Lade</t>
  </si>
  <si>
    <t>Kjelsås</t>
  </si>
  <si>
    <t>21/03/2026 13:00 | World | Friendlies Clubs | Kjelsås vs Tromsdalen Uil</t>
  </si>
  <si>
    <t>Suduroy</t>
  </si>
  <si>
    <t>Víkingur II</t>
  </si>
  <si>
    <t>21/03/2026 13:00 | Faroe-Islands | 1. Deild | Suduroy vs Víkingur II</t>
  </si>
  <si>
    <t>HB II</t>
  </si>
  <si>
    <t>NSÍ II</t>
  </si>
  <si>
    <t>21/03/2026 13:00 | Faroe-Islands | 1. Deild | HB II vs NSÍ II</t>
  </si>
  <si>
    <t>Gicumbi</t>
  </si>
  <si>
    <t>21/03/2026 13:00 | Rwanda | National Soccer League | Gicumbi vs Gorilla</t>
  </si>
  <si>
    <t>Marines</t>
  </si>
  <si>
    <t>Mukura</t>
  </si>
  <si>
    <t>21/03/2026 13:00 | Rwanda | National Soccer League | Marines vs Mukura</t>
  </si>
  <si>
    <t>Musanze</t>
  </si>
  <si>
    <t>21/03/2026 13:00 | Rwanda | National Soccer League | Muhanga vs Musanze</t>
  </si>
  <si>
    <t>21/03/2026 13:00 | Rwanda | National Soccer League | Police vs Etincelles</t>
  </si>
  <si>
    <t>Aksakovo</t>
  </si>
  <si>
    <t>Botev Novi Pazar</t>
  </si>
  <si>
    <t>21/03/2026 13:00 | Bulgaria | Third League - Northeast | Aksakovo vs Botev Novi Pazar</t>
  </si>
  <si>
    <t>Chernolomets 1919</t>
  </si>
  <si>
    <t>Riltzi</t>
  </si>
  <si>
    <t>21/03/2026 13:00 | Bulgaria | Third League - Northeast | Chernolomets 1919 vs Riltzi</t>
  </si>
  <si>
    <t>Dorostol</t>
  </si>
  <si>
    <t>21/03/2026 13:00 | Bulgaria | Third League - Northeast | Dorostol vs Cherno more II</t>
  </si>
  <si>
    <t>Svetkavitsa Targovishte</t>
  </si>
  <si>
    <t>Fratria II</t>
  </si>
  <si>
    <t>21/03/2026 13:00 | Bulgaria | Third League - Northeast | Svetkavitsa Targovishte vs Fratria II</t>
  </si>
  <si>
    <t>Septemvri Tervel</t>
  </si>
  <si>
    <t>21/03/2026 13:00 | Bulgaria | Third League - Northeast | Ustrem Donchevo vs Septemvri Tervel</t>
  </si>
  <si>
    <t>Volov Shumen</t>
  </si>
  <si>
    <t>Svetkavitsa 14</t>
  </si>
  <si>
    <t>21/03/2026 13:00 | Bulgaria | Third League - Northeast | Volov Shumen vs Svetkavitsa 14</t>
  </si>
  <si>
    <t>Făleşti</t>
  </si>
  <si>
    <t>Univer Comrat</t>
  </si>
  <si>
    <t>21/03/2026 13:00 | Moldova | Liga 1 | Făleşti vs Univer Comrat</t>
  </si>
  <si>
    <t>Oguzsport</t>
  </si>
  <si>
    <t>FCM Ungheni</t>
  </si>
  <si>
    <t>21/03/2026 13:00 | Moldova | Liga 1 | Oguzsport vs FCM Ungheni</t>
  </si>
  <si>
    <t>Sheriff II</t>
  </si>
  <si>
    <t>Victoria Bardar</t>
  </si>
  <si>
    <t>21/03/2026 13:00 | Moldova | Liga 1 | Sheriff II vs Victoria Bardar</t>
  </si>
  <si>
    <t>Third League - Northwest</t>
  </si>
  <si>
    <t>Lokomotiv Mezdra</t>
  </si>
  <si>
    <t>Juventus Malchika</t>
  </si>
  <si>
    <t>21/03/2026 13:00 | Bulgaria | Third League - Northwest | Lokomotiv Mezdra vs Juventus Malchika</t>
  </si>
  <si>
    <t>OFK Levski</t>
  </si>
  <si>
    <t>Akademik Svishtov</t>
  </si>
  <si>
    <t>21/03/2026 13:00 | Bulgaria | Third League - Northwest | OFK Levski vs Akademik Svishtov</t>
  </si>
  <si>
    <t>Technical loss</t>
  </si>
  <si>
    <t>Pavlikeni</t>
  </si>
  <si>
    <t>Litex</t>
  </si>
  <si>
    <t>21/03/2026 13:00 | Bulgaria | Third League - Northwest | Pavlikeni vs Litex</t>
  </si>
  <si>
    <t>Troyan 2025</t>
  </si>
  <si>
    <t>Partizan</t>
  </si>
  <si>
    <t>21/03/2026 13:00 | Bulgaria | Third League - Northwest | Troyan 2025 vs Partizan</t>
  </si>
  <si>
    <t>Kallithea</t>
  </si>
  <si>
    <t>Egaleo</t>
  </si>
  <si>
    <t>21/03/2026 13:00 | Greece | Super League 2 | Kallithea vs Egaleo</t>
  </si>
  <si>
    <t>Ellas Syros</t>
  </si>
  <si>
    <t>Kissamikos</t>
  </si>
  <si>
    <t>21/03/2026 13:00 | Greece | Super League 2 | Ellas Syros vs Kissamikos</t>
  </si>
  <si>
    <t>Panargiakos</t>
  </si>
  <si>
    <t>Ilioupoli</t>
  </si>
  <si>
    <t>21/03/2026 13:00 | Greece | Super League 2 | Panargiakos vs Ilioupoli</t>
  </si>
  <si>
    <t>Marko</t>
  </si>
  <si>
    <t>Kalamata</t>
  </si>
  <si>
    <t>21/03/2026 13:00 | Greece | Super League 2 | Marko vs Kalamata</t>
  </si>
  <si>
    <t>Panionios</t>
  </si>
  <si>
    <t>Olympiakos Piraeus II</t>
  </si>
  <si>
    <t>21/03/2026 13:00 | Greece | Super League 2 | Panionios vs Olympiakos Piraeus II</t>
  </si>
  <si>
    <t>21/03/2026 13:00 | Germany | U19 Bundesliga | BAK 07 U19 vs RB Leipzig U19</t>
  </si>
  <si>
    <t>21/03/2026 13:00 | Germany | U19 Bundesliga | Fortuna Köln U19 vs Darmstadt 98 U19</t>
  </si>
  <si>
    <t>Spartak Moskva W</t>
  </si>
  <si>
    <t>Ryazan W</t>
  </si>
  <si>
    <t>21/03/2026 13:00 | Russia | Supreme Division Women | Spartak Moskva W vs Ryazan W</t>
  </si>
  <si>
    <t>Madureira U20</t>
  </si>
  <si>
    <t>21/03/2026 13:00 | Brazil | Copa Rio U20 | Madureira U20 vs Flamengo U20</t>
  </si>
  <si>
    <t>Nova Iguaçu U20</t>
  </si>
  <si>
    <t>Vasco da Gama U20</t>
  </si>
  <si>
    <t>21/03/2026 13:00 | Brazil | Copa Rio U20 | Nova Iguaçu U20 vs Vasco da Gama U20</t>
  </si>
  <si>
    <t>WS Al Hamma</t>
  </si>
  <si>
    <t>ES Tunis</t>
  </si>
  <si>
    <t>21/03/2026 13:00 | Tunisia | Cup | WS Al Hamma vs ES Tunis</t>
  </si>
  <si>
    <t>Metaloglobus</t>
  </si>
  <si>
    <t>Petrolul Ploiesti</t>
  </si>
  <si>
    <t>21/03/2026 13:00 | Romania | Liga I | Metaloglobus vs Petrolul Ploiesti</t>
  </si>
  <si>
    <t>Walkover</t>
  </si>
  <si>
    <t>KFR</t>
  </si>
  <si>
    <t>ÍH</t>
  </si>
  <si>
    <t>21/03/2026 13:00 | Iceland | Cup | KFR vs ÍH</t>
  </si>
  <si>
    <t>Reynir Hellissandur</t>
  </si>
  <si>
    <t>Ellidi</t>
  </si>
  <si>
    <t>21/03/2026 13:00 | Iceland | Cup | Reynir Hellissandur vs Ellidi</t>
  </si>
  <si>
    <t>Liverpool Montevideo</t>
  </si>
  <si>
    <t>21/03/2026 13:00 | Uruguay | Primera División - Apertura | Racing Montevideo vs Liverpool Montevideo</t>
  </si>
  <si>
    <t>Kvindeliga</t>
  </si>
  <si>
    <t>Brøndby</t>
  </si>
  <si>
    <t>Køge</t>
  </si>
  <si>
    <t>21/03/2026 13:00 | Denmark | Kvindeliga | Brøndby vs Køge</t>
  </si>
  <si>
    <t>FC Copenhagen W</t>
  </si>
  <si>
    <t>ASA Aarhus W</t>
  </si>
  <si>
    <t>21/03/2026 13:00 | Denmark | Kvindeliga | FC Copenhagen W vs ASA Aarhus W</t>
  </si>
  <si>
    <t>Midtjylland W</t>
  </si>
  <si>
    <t>Osterbro W</t>
  </si>
  <si>
    <t>21/03/2026 13:00 | Denmark | Kvindeliga | Midtjylland W vs Osterbro W</t>
  </si>
  <si>
    <t>Thy ThistedQ</t>
  </si>
  <si>
    <t>Odense Q</t>
  </si>
  <si>
    <t>21/03/2026 13:00 | Denmark | Kvindeliga | Thy ThistedQ vs Odense Q</t>
  </si>
  <si>
    <t>Bryne W</t>
  </si>
  <si>
    <t>Viking FK</t>
  </si>
  <si>
    <t>21/03/2026 13:00 | Norway | 1. Division Women | Bryne W vs Viking FK</t>
  </si>
  <si>
    <t>21/03/2026 13:10</t>
  </si>
  <si>
    <t>Dinamo Minsk</t>
  </si>
  <si>
    <t>21/03/2026 13:10 | Belarus | Premier League | Slavia Mozyr vs Dinamo Minsk</t>
  </si>
  <si>
    <t>21/03/2026 13:30</t>
  </si>
  <si>
    <t>21/03/2026 13:30 | Poland | I Liga | ŁKS Łódź vs Ruch Chorzów</t>
  </si>
  <si>
    <t>21/03/2026 13:30 | Ukraine | Premier League | Ruh Lviv vs LNZ Cherkasy</t>
  </si>
  <si>
    <t>Austria Vienna (Am)</t>
  </si>
  <si>
    <t>Sturm Graz II</t>
  </si>
  <si>
    <t>21/03/2026 13:30 | Austria | 2. Liga | Austria Vienna (Am) vs Sturm Graz II</t>
  </si>
  <si>
    <t>Regionalliga - Mitte</t>
  </si>
  <si>
    <t>Treibach</t>
  </si>
  <si>
    <t>St. Anna</t>
  </si>
  <si>
    <t>21/03/2026 13:30 | Austria | Regionalliga - Mitte | Treibach vs St. Anna</t>
  </si>
  <si>
    <t>Tweede Divisie</t>
  </si>
  <si>
    <t>Excelsior Maassluis</t>
  </si>
  <si>
    <t>GVVV Veenendaal</t>
  </si>
  <si>
    <t>21/03/2026 13:30 | Netherlands | Tweede Divisie | Excelsior Maassluis vs GVVV Veenendaal</t>
  </si>
  <si>
    <t>Hoek</t>
  </si>
  <si>
    <t>Quick Boys</t>
  </si>
  <si>
    <t>21/03/2026 13:30 | Netherlands | Tweede Divisie | Hoek vs Quick Boys</t>
  </si>
  <si>
    <t>RKAV Volendam</t>
  </si>
  <si>
    <t>HHC</t>
  </si>
  <si>
    <t>21/03/2026 13:30 | Netherlands | Tweede Divisie | RKAV Volendam vs HHC</t>
  </si>
  <si>
    <t>Rijnsburgse Boys</t>
  </si>
  <si>
    <t>ACV</t>
  </si>
  <si>
    <t>21/03/2026 13:30 | Netherlands | Tweede Divisie | Rijnsburgse Boys vs ACV</t>
  </si>
  <si>
    <t>Koninklijke HFC</t>
  </si>
  <si>
    <t>AFC Amsterdam</t>
  </si>
  <si>
    <t>21/03/2026 13:30 | Netherlands | Tweede Divisie | Koninklijke HFC vs AFC Amsterdam</t>
  </si>
  <si>
    <t>Bissingen</t>
  </si>
  <si>
    <t>Karlsruhe II</t>
  </si>
  <si>
    <t>21/03/2026 13:30 | Germany | Oberliga - Baden-Württemberg | Bissingen vs Karlsruhe II</t>
  </si>
  <si>
    <t>Oberachern</t>
  </si>
  <si>
    <t>CFR Pforzheim</t>
  </si>
  <si>
    <t>21/03/2026 13:30 | Germany | Oberliga - Baden-Württemberg | Oberachern vs CFR Pforzheim</t>
  </si>
  <si>
    <t>Regionalliga - Ost</t>
  </si>
  <si>
    <t>Fach-Donaufeld</t>
  </si>
  <si>
    <t>Gloggnitz</t>
  </si>
  <si>
    <t>21/03/2026 13:30 | Austria | Regionalliga - Ost | Fach-Donaufeld vs Gloggnitz</t>
  </si>
  <si>
    <t>Stellenbosch</t>
  </si>
  <si>
    <t>Chippa United</t>
  </si>
  <si>
    <t>21/03/2026 13:30 | South-Africa | Premier Soccer League | Stellenbosch vs Chippa United</t>
  </si>
  <si>
    <t>Polokwane City</t>
  </si>
  <si>
    <t>Amazulu</t>
  </si>
  <si>
    <t>21/03/2026 13:30 | South-Africa | Premier Soccer League | Polokwane City vs Amazulu</t>
  </si>
  <si>
    <t>Dovo</t>
  </si>
  <si>
    <t>Sportlust '46</t>
  </si>
  <si>
    <t>21/03/2026 13:30 | Netherlands | Derde Divisie - Saturday | Dovo vs Sportlust '46</t>
  </si>
  <si>
    <t>Eemdijk</t>
  </si>
  <si>
    <t>TEC</t>
  </si>
  <si>
    <t>21/03/2026 13:30 | Netherlands | Derde Divisie - Saturday | Eemdijk vs TEC</t>
  </si>
  <si>
    <t>Huizen</t>
  </si>
  <si>
    <t>Harkemase Boys</t>
  </si>
  <si>
    <t>21/03/2026 13:30 | Netherlands | Derde Divisie - Saturday | Huizen vs Harkemase Boys</t>
  </si>
  <si>
    <t>SC Genemuiden</t>
  </si>
  <si>
    <t>Hercules</t>
  </si>
  <si>
    <t>21/03/2026 13:30 | Netherlands | Derde Divisie - Saturday | SC Genemuiden vs Hercules</t>
  </si>
  <si>
    <t>Zwaluwen</t>
  </si>
  <si>
    <t>Gemert</t>
  </si>
  <si>
    <t>21/03/2026 13:30 | Netherlands | Derde Divisie - Sunday | Zwaluwen vs Gemert</t>
  </si>
  <si>
    <t>FC Lisse</t>
  </si>
  <si>
    <t>UDI '19</t>
  </si>
  <si>
    <t>21/03/2026 13:30 | Netherlands | Derde Divisie - Sunday | FC Lisse vs UDI '19</t>
  </si>
  <si>
    <t>SteDoCo</t>
  </si>
  <si>
    <t>21/03/2026 13:30 | Netherlands | Derde Divisie - Sunday | SteDoCo vs UNA</t>
  </si>
  <si>
    <t>Noordwijk</t>
  </si>
  <si>
    <t>Roosendaal</t>
  </si>
  <si>
    <t>21/03/2026 13:30 | Netherlands | Derde Divisie - Sunday | Noordwijk vs Roosendaal</t>
  </si>
  <si>
    <t>Serie C - Girone A</t>
  </si>
  <si>
    <t>Giana Erminio</t>
  </si>
  <si>
    <t>Pergolettese</t>
  </si>
  <si>
    <t>21/03/2026 13:30 | Italy | Serie C - Girone A | Giana Erminio vs Pergolettese</t>
  </si>
  <si>
    <t>Union Brescia</t>
  </si>
  <si>
    <t>Ospitaletto</t>
  </si>
  <si>
    <t>21/03/2026 13:30 | Italy | Serie C - Girone A | Union Brescia vs Ospitaletto</t>
  </si>
  <si>
    <t>21/03/2026 13:30 | Italy | Serie C - Girone B | Guidonia Montecelio 1937 vs Vis Pesaro</t>
  </si>
  <si>
    <t>21/03/2026 13:30 | Italy | Serie C - Girone B | Pianese vs Pontedera</t>
  </si>
  <si>
    <t>21/03/2026 13:30 | Italy | Serie C - Girone B | Juventus U23 vs Gubbio</t>
  </si>
  <si>
    <t>21/03/2026 13:30 | Italy | Serie C - Girone C | Atalanta II vs Casertana</t>
  </si>
  <si>
    <t>Detonit Plachkovica</t>
  </si>
  <si>
    <t>Osogovo</t>
  </si>
  <si>
    <t>21/03/2026 13:30 | Macedonia | Second League | Detonit Plachkovica vs Osogovo</t>
  </si>
  <si>
    <t>Skopje</t>
  </si>
  <si>
    <t>Kozuv Gevgelija</t>
  </si>
  <si>
    <t>21/03/2026 13:30 | Macedonia | Second League | Skopje vs Kozuv Gevgelija</t>
  </si>
  <si>
    <t>Ohrid</t>
  </si>
  <si>
    <t>Vardar Negotino</t>
  </si>
  <si>
    <t>21/03/2026 13:30 | Macedonia | Second League | Ohrid vs Vardar Negotino</t>
  </si>
  <si>
    <t>Sasa</t>
  </si>
  <si>
    <t>Novaci</t>
  </si>
  <si>
    <t>21/03/2026 13:30 | Macedonia | Second League | Sasa vs Novaci</t>
  </si>
  <si>
    <t>Sloga Vinica</t>
  </si>
  <si>
    <t>21/03/2026 13:30 | Macedonia | Second League | Sloga Vinica vs Shkëndija Haraçinë</t>
  </si>
  <si>
    <t>Sloboda Uzice</t>
  </si>
  <si>
    <t>Železničar Lajkovac</t>
  </si>
  <si>
    <t>21/03/2026 13:30 | Serbia | Srpska Liga - West | Sloboda Uzice vs Železničar Lajkovac</t>
  </si>
  <si>
    <t>Metalac GM</t>
  </si>
  <si>
    <t>21/03/2026 13:30 | Serbia | Srpska Liga - West | FK Polimlje Prijepolje vs Metalac GM</t>
  </si>
  <si>
    <t>Sloga Požega</t>
  </si>
  <si>
    <t>FK Zlatibor</t>
  </si>
  <si>
    <t>21/03/2026 13:30 | Serbia | Srpska Liga - West | Sloga Požega vs FK Zlatibor</t>
  </si>
  <si>
    <t>Jedinstvo Putevi</t>
  </si>
  <si>
    <t>21/03/2026 13:30 | Serbia | Srpska Liga - West | Jedinstvo Putevi vs Real Podunavci</t>
  </si>
  <si>
    <t>Omladinac Zablaće</t>
  </si>
  <si>
    <t>Budučnost Krušik</t>
  </si>
  <si>
    <t>21/03/2026 13:30 | Serbia | Srpska Liga - West | Omladinac Zablaće vs Budučnost Krušik</t>
  </si>
  <si>
    <t>Takovo</t>
  </si>
  <si>
    <t>Jošanica</t>
  </si>
  <si>
    <t>21/03/2026 13:30 | Serbia | Srpska Liga - West | Takovo vs Jošanica</t>
  </si>
  <si>
    <t>FK Prespa Resen</t>
  </si>
  <si>
    <t>Bregalnica Štip</t>
  </si>
  <si>
    <t>21/03/2026 13:30 | Macedonia | Second League | FK Prespa Resen vs Bregalnica Štip</t>
  </si>
  <si>
    <t>Belasica</t>
  </si>
  <si>
    <t>Teteks</t>
  </si>
  <si>
    <t>21/03/2026 13:30 | Macedonia | Second League | Belasica vs Teteks</t>
  </si>
  <si>
    <t>Milford FC</t>
  </si>
  <si>
    <t>21/03/2026 13:30 | South-Africa | 1st Division | Milford FC vs Baroka FC</t>
  </si>
  <si>
    <t>Cape Town City</t>
  </si>
  <si>
    <t>21/03/2026 13:30 | South-Africa | 1st Division | Venda FC vs Cape Town City</t>
  </si>
  <si>
    <t>Leicesterfield</t>
  </si>
  <si>
    <t>Gomora United FC</t>
  </si>
  <si>
    <t>21/03/2026 13:30 | South-Africa | 1st Division | Leicesterfield vs Gomora United FC</t>
  </si>
  <si>
    <t>Laktaši</t>
  </si>
  <si>
    <t>Leotar</t>
  </si>
  <si>
    <t>21/03/2026 13:30 | Bosnia | 1st League - RS | Laktaši vs Leotar</t>
  </si>
  <si>
    <t>Famos Vojkovići</t>
  </si>
  <si>
    <t>Zvijezda 09</t>
  </si>
  <si>
    <t>21/03/2026 13:30 | Bosnia | 1st League - RS | Famos Vojkovići vs Zvijezda 09</t>
  </si>
  <si>
    <t>FK Romanija Pale</t>
  </si>
  <si>
    <t>Slavija</t>
  </si>
  <si>
    <t>21/03/2026 13:30 | Bosnia | 1st League - RS | FK Romanija Pale vs Slavija</t>
  </si>
  <si>
    <t>FK Vlasenica</t>
  </si>
  <si>
    <t>Omarska</t>
  </si>
  <si>
    <t>21/03/2026 13:30 | Bosnia | 1st League - RS | FK Vlasenica vs Omarska</t>
  </si>
  <si>
    <t>Dunav Ruse</t>
  </si>
  <si>
    <t>21/03/2026 13:30 | Bulgaria | Second League | Dunav Ruse vs Pirin Blagoevgrad</t>
  </si>
  <si>
    <t>FK Minyor Pernik</t>
  </si>
  <si>
    <t>21/03/2026 13:30 | Bulgaria | Second League | FK Minyor Pernik vs Sevlievo</t>
  </si>
  <si>
    <t>Vihren</t>
  </si>
  <si>
    <t>Chernomorets 1919 Burgas</t>
  </si>
  <si>
    <t>21/03/2026 13:30 | Bulgaria | Second League | Vihren vs Chernomorets 1919 Burgas</t>
  </si>
  <si>
    <t>Lokomotiv G. Oryahovitsa</t>
  </si>
  <si>
    <t>Marek</t>
  </si>
  <si>
    <t>21/03/2026 13:30 | Bulgaria | Second League | Lokomotiv G. Oryahovitsa vs Marek</t>
  </si>
  <si>
    <t>Belasitsa</t>
  </si>
  <si>
    <t>Ludogorets II</t>
  </si>
  <si>
    <t>21/03/2026 13:30 | Bulgaria | Second League | Belasitsa vs Ludogorets II</t>
  </si>
  <si>
    <t>Hebar 1918</t>
  </si>
  <si>
    <t>21/03/2026 13:30 | Bulgaria | Second League | CSKA Sofia II vs Hebar 1918</t>
  </si>
  <si>
    <t>Spartak Pleven</t>
  </si>
  <si>
    <t>Etar Veliko Tarnovo</t>
  </si>
  <si>
    <t>21/03/2026 13:30 | Bulgaria | Second League | Spartak Pleven vs Etar Veliko Tarnovo</t>
  </si>
  <si>
    <t>Serie D - Girone B</t>
  </si>
  <si>
    <t>Chievo</t>
  </si>
  <si>
    <t>Villa Valle</t>
  </si>
  <si>
    <t>21/03/2026 13:30 | Italy | Serie D - Girone B | Chievo vs Villa Valle</t>
  </si>
  <si>
    <t>Serie D - Girone I</t>
  </si>
  <si>
    <t>Reggina</t>
  </si>
  <si>
    <t>Acireale</t>
  </si>
  <si>
    <t>21/03/2026 13:30 | Italy | Serie D - Girone I | Reggina vs Acireale</t>
  </si>
  <si>
    <t>Sudtirol U19</t>
  </si>
  <si>
    <t>Cittadella U19</t>
  </si>
  <si>
    <t>21/03/2026 13:30 | Italy | Campionato Primavera - 2 | Sudtirol U19 vs Cittadella U19</t>
  </si>
  <si>
    <t>Vicenza U19</t>
  </si>
  <si>
    <t>AlbinoLeffe U19</t>
  </si>
  <si>
    <t>21/03/2026 13:30 | Italy | Campionato Primavera - 2 | Vicenza U19 vs AlbinoLeffe U19</t>
  </si>
  <si>
    <t>Bari U19</t>
  </si>
  <si>
    <t>Palermo U19</t>
  </si>
  <si>
    <t>21/03/2026 13:30 | Italy | Campionato Primavera - 2 | Bari U19 vs Palermo U19</t>
  </si>
  <si>
    <t>Spezia U19</t>
  </si>
  <si>
    <t>Crotone U19</t>
  </si>
  <si>
    <t>21/03/2026 13:30 | Italy | Campionato Primavera - 2 | Spezia U19 vs Crotone U19</t>
  </si>
  <si>
    <t>Cosenza U19</t>
  </si>
  <si>
    <t>Perugia U19</t>
  </si>
  <si>
    <t>21/03/2026 13:30 | Italy | Campionato Primavera - 2 | Cosenza U19 vs Perugia U19</t>
  </si>
  <si>
    <t>Avellino U19</t>
  </si>
  <si>
    <t>21/03/2026 13:30 | Italy | Campionato Primavera - 2 | Avellino U19 vs Catanzaro U19</t>
  </si>
  <si>
    <t>FK Radnički Valjevo</t>
  </si>
  <si>
    <t>Napredak Markovac</t>
  </si>
  <si>
    <t>21/03/2026 13:30 | Serbia | Srpska Liga - West | FK Radnički Valjevo vs Napredak Markovac</t>
  </si>
  <si>
    <t>FK Mladi Radnik 1940 Radinac</t>
  </si>
  <si>
    <t>FK Šumadija 1903 Kragujevac</t>
  </si>
  <si>
    <t>21/03/2026 13:30 | Serbia | Srpska Liga - West | FK Mladi Radnik 1940 Radinac vs FK Šumadija 1903 Kragujevac</t>
  </si>
  <si>
    <t>Arsenal Tivat</t>
  </si>
  <si>
    <t>Dečić</t>
  </si>
  <si>
    <t>21/03/2026 13:30 | Montenegro | First League | Arsenal Tivat vs Dečić</t>
  </si>
  <si>
    <t>Jezero</t>
  </si>
  <si>
    <t>Jedinstvo</t>
  </si>
  <si>
    <t>21/03/2026 13:30 | Montenegro | First League | Jezero vs Jedinstvo</t>
  </si>
  <si>
    <t>Hoyvík</t>
  </si>
  <si>
    <t>TB</t>
  </si>
  <si>
    <t>21/03/2026 13:30 | Faroe-Islands | 1. Deild | Hoyvík vs TB</t>
  </si>
  <si>
    <t>U19 Divisie 1</t>
  </si>
  <si>
    <t>Ajax U19</t>
  </si>
  <si>
    <t>ADO Den Haag U19</t>
  </si>
  <si>
    <t>21/03/2026 13:30 | Netherlands | U19 Divisie 1 | Ajax U19 vs ADO Den Haag U19</t>
  </si>
  <si>
    <t>Ayia Napa</t>
  </si>
  <si>
    <t>21/03/2026 13:30 | Cyprus | 2. Division | Ayia Napa vs ASIL Lysi</t>
  </si>
  <si>
    <t>Doxa</t>
  </si>
  <si>
    <t>21/03/2026 13:30 | Cyprus | 2. Division | Doxa vs PAEEK</t>
  </si>
  <si>
    <t>Karmiotissa</t>
  </si>
  <si>
    <t>MEAP Nisou</t>
  </si>
  <si>
    <t>21/03/2026 13:30 | Cyprus | 2. Division | Karmiotissa vs MEAP Nisou</t>
  </si>
  <si>
    <t>Ethnikos Latsion</t>
  </si>
  <si>
    <t>Ahironas / Onisilos</t>
  </si>
  <si>
    <t>21/03/2026 13:30 | Cyprus | 2. Division | Ethnikos Latsion vs Ahironas / Onisilos</t>
  </si>
  <si>
    <t>Halkanoras</t>
  </si>
  <si>
    <t>APEA</t>
  </si>
  <si>
    <t>21/03/2026 13:30 | Cyprus | 2. Division | Halkanoras vs APEA</t>
  </si>
  <si>
    <t>Iraklis Yerolakkou</t>
  </si>
  <si>
    <t>AE Zakakiou</t>
  </si>
  <si>
    <t>21/03/2026 13:30 | Cyprus | 2. Division | Iraklis Yerolakkou vs AE Zakakiou</t>
  </si>
  <si>
    <t>Spartakos Kitiou</t>
  </si>
  <si>
    <t>Digenis Morphou</t>
  </si>
  <si>
    <t>21/03/2026 13:30 | Cyprus | 2. Division | Spartakos Kitiou vs Digenis Morphou</t>
  </si>
  <si>
    <t>Groningen U21</t>
  </si>
  <si>
    <t>Sittard U21</t>
  </si>
  <si>
    <t>21/03/2026 13:30 | Netherlands | U21 Divisie 1 | Groningen U21 vs Sittard U21</t>
  </si>
  <si>
    <t>Anagennisi Deryneia</t>
  </si>
  <si>
    <t>Ermis</t>
  </si>
  <si>
    <t>21/03/2026 13:30 | Cyprus | 3. Division | Anagennisi Deryneia vs Ermis</t>
  </si>
  <si>
    <t>Anorthosis Mouttagiakas</t>
  </si>
  <si>
    <t>Ethnikos Assias</t>
  </si>
  <si>
    <t>21/03/2026 13:30 | Cyprus | 3. Division | Anorthosis Mouttagiakas vs Ethnikos Assias</t>
  </si>
  <si>
    <t>ASPIS</t>
  </si>
  <si>
    <t>AEP Polemidion</t>
  </si>
  <si>
    <t>21/03/2026 13:30 | Cyprus | 3. Division | ASPIS vs AEP Polemidion</t>
  </si>
  <si>
    <t>AEN</t>
  </si>
  <si>
    <t>Kedros Agia Marina</t>
  </si>
  <si>
    <t>21/03/2026 13:30 | Cyprus | 3. Division | AEN vs Kedros Agia Marina</t>
  </si>
  <si>
    <t>APONA Anagias</t>
  </si>
  <si>
    <t>Othellos</t>
  </si>
  <si>
    <t>21/03/2026 13:30 | Cyprus | 3. Division | APONA Anagias vs Othellos</t>
  </si>
  <si>
    <t>Kouris Erimi</t>
  </si>
  <si>
    <t>EN THOI Lakatamia</t>
  </si>
  <si>
    <t>21/03/2026 13:30 | Cyprus | 3. Division | Kouris Erimi vs EN THOI Lakatamia</t>
  </si>
  <si>
    <t>Omonia Psevda</t>
  </si>
  <si>
    <t>Atlas Aglantzi</t>
  </si>
  <si>
    <t>21/03/2026 13:30 | Cyprus | 3. Division | Omonia Psevda vs Atlas Aglantzi</t>
  </si>
  <si>
    <t>Ormideia</t>
  </si>
  <si>
    <t>Leivadia</t>
  </si>
  <si>
    <t>21/03/2026 13:30 | Cyprus | 3. Division | Ormideia vs Leivadia</t>
  </si>
  <si>
    <t>Aresimi</t>
  </si>
  <si>
    <t>21/03/2026 13:30 | Macedonia | First League | Aresimi vs Vardar Skopje</t>
  </si>
  <si>
    <t>21/03/2026 13:30 | Macedonia | First League | Makedonija GjP vs Shkendija</t>
  </si>
  <si>
    <t>Schwarz-Weiß Bregenz</t>
  </si>
  <si>
    <t>Hard</t>
  </si>
  <si>
    <t>21/03/2026 13:30 | World | Friendlies Clubs | Schwarz-Weiß Bregenz vs Hard</t>
  </si>
  <si>
    <t>21/03/2026 13:30 | World | Youth Viareggio Cup | Fiorentina U19 vs One Touch U18</t>
  </si>
  <si>
    <t>HNK Rijeka U18</t>
  </si>
  <si>
    <t>21/03/2026 13:30 | World | Youth Viareggio Cup | Sassuolo U18 vs HNK Rijeka U18</t>
  </si>
  <si>
    <t>Estadual Junior U20</t>
  </si>
  <si>
    <t>Grêmio U20</t>
  </si>
  <si>
    <t>Juventude U20</t>
  </si>
  <si>
    <t>21/03/2026 13:30 | Brazil | Estadual Junior U20 | Grêmio U20 vs Juventude U20</t>
  </si>
  <si>
    <t>21/03/2026 13:45</t>
  </si>
  <si>
    <t>21/03/2026 13:45 | Poland | Ekstraklasa | Cracovia Krakow vs GKS Katowice</t>
  </si>
  <si>
    <t>NEC Nijmegen U19</t>
  </si>
  <si>
    <t>Feyenoord U19</t>
  </si>
  <si>
    <t>21/03/2026 13:45 | Netherlands | U19 Divisie 1 | NEC Nijmegen U19 vs Feyenoord U19</t>
  </si>
  <si>
    <t>21/03/2026 14:00</t>
  </si>
  <si>
    <t>21/03/2026 14:00 | Italy | Serie A | Parma vs Cremonese</t>
  </si>
  <si>
    <t>Football League - Highland League</t>
  </si>
  <si>
    <t>Wick Academy</t>
  </si>
  <si>
    <t>Brechin</t>
  </si>
  <si>
    <t>21/03/2026 14:00 | Scotland | Football League - Highland League | Wick Academy vs Brechin</t>
  </si>
  <si>
    <t>21/03/2026 14:00 | Croatia | HNL | Vukovar vs HNK Hajduk Split</t>
  </si>
  <si>
    <t>Hanácká</t>
  </si>
  <si>
    <t>21/03/2026 14:00 | Czech-Republic | FNL | Táborsko vs Hanácká</t>
  </si>
  <si>
    <t>Gorica</t>
  </si>
  <si>
    <t>21/03/2026 14:00 | Slovenia | 2. SNL | Gorica vs Nafta</t>
  </si>
  <si>
    <t>Inter Bratislava</t>
  </si>
  <si>
    <t>21/03/2026 14:00 | Slovakia | 2. liga | Inter Bratislava vs Lokomotíva Zvolen</t>
  </si>
  <si>
    <t>Baník Lehota p.Vtáčnikom</t>
  </si>
  <si>
    <t>Žilina II</t>
  </si>
  <si>
    <t>21/03/2026 14:00 | Slovakia | 2. liga | Baník Lehota p.Vtáčnikom vs Žilina II</t>
  </si>
  <si>
    <t>Liptovský Mikuláš</t>
  </si>
  <si>
    <t>Považská Bystrica</t>
  </si>
  <si>
    <t>21/03/2026 14:00 | Slovakia | 2. liga | Liptovský Mikuláš vs Považská Bystrica</t>
  </si>
  <si>
    <t>Púchov</t>
  </si>
  <si>
    <t>21/03/2026 14:00 | Slovakia | 2. liga | Púchov vs Stará Ľubovňa</t>
  </si>
  <si>
    <t>Cardiff Draconians</t>
  </si>
  <si>
    <t>Trefelin</t>
  </si>
  <si>
    <t>21/03/2026 14:00 | Wales | FAW Championship | Cardiff Draconians vs Trefelin</t>
  </si>
  <si>
    <t>Caersws</t>
  </si>
  <si>
    <t>21/03/2026 14:00 | Wales | FAW Championship | Caersws vs Rhyl</t>
  </si>
  <si>
    <t>Flint Mountain</t>
  </si>
  <si>
    <t>Penrhyncoch</t>
  </si>
  <si>
    <t>21/03/2026 14:00 | Wales | FAW Championship | Flint Mountain vs Penrhyncoch</t>
  </si>
  <si>
    <t>Guilsfield</t>
  </si>
  <si>
    <t>Holywell</t>
  </si>
  <si>
    <t>21/03/2026 14:00 | Wales | FAW Championship | Guilsfield vs Holywell</t>
  </si>
  <si>
    <t>Holyhead Hotspur</t>
  </si>
  <si>
    <t>Mold Alexandra</t>
  </si>
  <si>
    <t>21/03/2026 14:00 | Wales | FAW Championship | Holyhead Hotspur vs Mold Alexandra</t>
  </si>
  <si>
    <t>Caerau (Ely)</t>
  </si>
  <si>
    <t>Cwmbran Celtic</t>
  </si>
  <si>
    <t>21/03/2026 14:00 | Wales | FAW Championship | Caerau (Ely) vs Cwmbran Celtic</t>
  </si>
  <si>
    <t>Cambrian &amp; Clydach</t>
  </si>
  <si>
    <t>Aberystwyth Town</t>
  </si>
  <si>
    <t>21/03/2026 14:00 | Wales | FAW Championship | Cambrian &amp; Clydach vs Aberystwyth Town</t>
  </si>
  <si>
    <t>Carmarthen Town</t>
  </si>
  <si>
    <t>Ynyshir Albions</t>
  </si>
  <si>
    <t>21/03/2026 14:00 | Wales | FAW Championship | Carmarthen Town vs Ynyshir Albions</t>
  </si>
  <si>
    <t>Świt Skolwin</t>
  </si>
  <si>
    <t>21/03/2026 14:00 | Poland | II Liga - East | Świt Skolwin vs Stal Stalowa Wola</t>
  </si>
  <si>
    <t>Penafiel</t>
  </si>
  <si>
    <t>21/03/2026 14:00 | Portugal | Segunda Liga | Penafiel vs Vizela</t>
  </si>
  <si>
    <t>Bischofshofen</t>
  </si>
  <si>
    <t>TSV St. Johann</t>
  </si>
  <si>
    <t>21/03/2026 14:00 | Austria | Regionalliga - West | Bischofshofen vs TSV St. Johann</t>
  </si>
  <si>
    <t>Kitzbühel</t>
  </si>
  <si>
    <t>Dornbirn</t>
  </si>
  <si>
    <t>21/03/2026 14:00 | Austria | Regionalliga - West | Kitzbühel vs Dornbirn</t>
  </si>
  <si>
    <t>Lauterach</t>
  </si>
  <si>
    <t>Rheindorf Altach II</t>
  </si>
  <si>
    <t>21/03/2026 14:00 | Austria | Regionalliga - West | Lauterach vs Rheindorf Altach II</t>
  </si>
  <si>
    <t>Schwaz</t>
  </si>
  <si>
    <t>Hohenems</t>
  </si>
  <si>
    <t>21/03/2026 14:00 | Austria | Regionalliga - West | Schwaz vs Hohenems</t>
  </si>
  <si>
    <t>Imst</t>
  </si>
  <si>
    <t>Kufstein</t>
  </si>
  <si>
    <t>21/03/2026 14:00 | Austria | Regionalliga - West | Imst vs Kufstein</t>
  </si>
  <si>
    <t>Sparta Rotterdam II</t>
  </si>
  <si>
    <t>Ijsselmeervogels</t>
  </si>
  <si>
    <t>21/03/2026 14:00 | Netherlands | Tweede Divisie | Sparta Rotterdam II vs Ijsselmeervogels</t>
  </si>
  <si>
    <t>Spakenburg</t>
  </si>
  <si>
    <t>Kozakken Boys</t>
  </si>
  <si>
    <t>21/03/2026 14:00 | Netherlands | Tweede Divisie | Spakenburg vs Kozakken Boys</t>
  </si>
  <si>
    <t>Chornomorets</t>
  </si>
  <si>
    <t>UCSA</t>
  </si>
  <si>
    <t>21/03/2026 14:00 | Ukraine | Persha Liga | Chornomorets vs UCSA</t>
  </si>
  <si>
    <t>21/03/2026 14:00 | Italy | Campionato Primavera - 1 | Roma U20 vs Monza U20</t>
  </si>
  <si>
    <t>Sassuolo U20</t>
  </si>
  <si>
    <t>21/03/2026 14:00 | Italy | Campionato Primavera - 1 | Cremonese U20 vs Sassuolo U20</t>
  </si>
  <si>
    <t>FV Ravensburg</t>
  </si>
  <si>
    <t>21/03/2026 14:00 | Germany | Oberliga - Baden-Württemberg | Reutlingen vs FV Ravensburg</t>
  </si>
  <si>
    <t>Normannia Gmünd</t>
  </si>
  <si>
    <t>Hollenbach</t>
  </si>
  <si>
    <t>21/03/2026 14:00 | Germany | Oberliga - Baden-Württemberg | Normannia Gmünd vs Hollenbach</t>
  </si>
  <si>
    <t>FC Nöttingen</t>
  </si>
  <si>
    <t>TSV Singen</t>
  </si>
  <si>
    <t>21/03/2026 14:00 | Germany | Oberliga - Baden-Württemberg | FC Nöttingen vs TSV Singen</t>
  </si>
  <si>
    <t>VfR Aalen</t>
  </si>
  <si>
    <t>Essingen</t>
  </si>
  <si>
    <t>21/03/2026 14:00 | Germany | Oberliga - Baden-Württemberg | VfR Aalen vs Essingen</t>
  </si>
  <si>
    <t>SC Idar-Oberstein</t>
  </si>
  <si>
    <t>TuS RW Koblenz</t>
  </si>
  <si>
    <t>21/03/2026 14:00 | Germany | Oberliga - Rheinland-Pfalz / Saar | SC Idar-Oberstein vs TuS RW Koblenz</t>
  </si>
  <si>
    <t>Waldgirmes</t>
  </si>
  <si>
    <t>21/03/2026 14:00 | Germany | Oberliga - Hessen | Darmstadt 98 II vs Waldgirmes</t>
  </si>
  <si>
    <t>Hanau 93</t>
  </si>
  <si>
    <t>Fernwald</t>
  </si>
  <si>
    <t>21/03/2026 14:00 | Germany | Oberliga - Hessen | Hanau 93 vs Fernwald</t>
  </si>
  <si>
    <t>Hummetroth</t>
  </si>
  <si>
    <t>21/03/2026 14:00 | Germany | Oberliga - Hessen | Hummetroth vs Baunatal</t>
  </si>
  <si>
    <t>Friedberg</t>
  </si>
  <si>
    <t>Weidenhausen</t>
  </si>
  <si>
    <t>21/03/2026 14:00 | Germany | Oberliga - Hessen | Friedberg vs Weidenhausen</t>
  </si>
  <si>
    <t>Curslack-Neuengamme</t>
  </si>
  <si>
    <t>21/03/2026 14:00 | Germany | Oberliga - Hamburg | Curslack-Neuengamme vs Türkiye</t>
  </si>
  <si>
    <t>Türkgücü-Ataspor</t>
  </si>
  <si>
    <t>1860 München II</t>
  </si>
  <si>
    <t>21/03/2026 14:00 | Germany | Oberliga - Bayern Süd | Türkgücü-Ataspor vs 1860 München II</t>
  </si>
  <si>
    <t>Fortuna Regensburg</t>
  </si>
  <si>
    <t>ATSV Erlangen</t>
  </si>
  <si>
    <t>21/03/2026 14:00 | Germany | Oberliga - Bayern Nord | Fortuna Regensburg vs ATSV Erlangen</t>
  </si>
  <si>
    <t>Bełchatów</t>
  </si>
  <si>
    <t>Lechia T. Mazowiecki</t>
  </si>
  <si>
    <t>21/03/2026 14:00 | Poland | III Liga - Group 1 | Bełchatów vs Lechia T. Mazowiecki</t>
  </si>
  <si>
    <t>Troszyn</t>
  </si>
  <si>
    <t>Ząbkovia Ząbki</t>
  </si>
  <si>
    <t>21/03/2026 14:00 | Poland | III Liga - Group 1 | Troszyn vs Ząbkovia Ząbki</t>
  </si>
  <si>
    <t>Słowianin</t>
  </si>
  <si>
    <t>21/03/2026 14:00 | Poland | III Liga - Group 3 | Słowianin vs Górnik Polkowice</t>
  </si>
  <si>
    <t>Warta Gorzów</t>
  </si>
  <si>
    <t>Karkonosze Jelenia Góra</t>
  </si>
  <si>
    <t>21/03/2026 14:00 | Poland | III Liga - Group 3 | Warta Gorzów vs Karkonosze Jelenia Góra</t>
  </si>
  <si>
    <t>Siarka Tarnobrzeg</t>
  </si>
  <si>
    <t>Chełmianka Chełm</t>
  </si>
  <si>
    <t>21/03/2026 14:00 | Poland | III Liga - Group 4 | Siarka Tarnobrzeg vs Chełmianka Chełm</t>
  </si>
  <si>
    <t>21/03/2026 14:00 | Albania | Superliga | Bylis vs Flamurtari</t>
  </si>
  <si>
    <t>Cosmos</t>
  </si>
  <si>
    <t>21/03/2026 14:00 | San-Marino | Campionato | Cosmos vs Cailungo</t>
  </si>
  <si>
    <t>Fiorentino</t>
  </si>
  <si>
    <t>Libertas</t>
  </si>
  <si>
    <t>21/03/2026 14:00 | San-Marino | Campionato | Fiorentino vs Libertas</t>
  </si>
  <si>
    <t>San Giovanni</t>
  </si>
  <si>
    <t>Faetano</t>
  </si>
  <si>
    <t>21/03/2026 14:00 | San-Marino | Campionato | San Giovanni vs Faetano</t>
  </si>
  <si>
    <t>Paradiso</t>
  </si>
  <si>
    <t>Grand-Saconnex</t>
  </si>
  <si>
    <t>21/03/2026 14:00 | Switzerland | 1. Liga Promotion | Paradiso vs Grand-Saconnex</t>
  </si>
  <si>
    <t>Breitenrain</t>
  </si>
  <si>
    <t>Kreuzlingen</t>
  </si>
  <si>
    <t>21/03/2026 14:00 | Switzerland | 1. Liga Promotion | Breitenrain vs Kreuzlingen</t>
  </si>
  <si>
    <t>Padova</t>
  </si>
  <si>
    <t>21/03/2026 14:00 | Italy | Serie B | Padova vs Palermo</t>
  </si>
  <si>
    <t>Cesena</t>
  </si>
  <si>
    <t>21/03/2026 14:00 | Italy | Serie B | Cesena vs Catanzaro</t>
  </si>
  <si>
    <t>Spezia</t>
  </si>
  <si>
    <t>21/03/2026 14:00 | Italy | Serie B | Juve Stabia vs Spezia</t>
  </si>
  <si>
    <t>Feminine Division 1</t>
  </si>
  <si>
    <t>Saint-Étienne W</t>
  </si>
  <si>
    <t>Paris FC W</t>
  </si>
  <si>
    <t>21/03/2026 14:00 | France | Feminine Division 1 | Saint-Étienne W vs Paris FC W</t>
  </si>
  <si>
    <t>Kysucké Nové Mesto</t>
  </si>
  <si>
    <t>Rimavská Sobota</t>
  </si>
  <si>
    <t>21/03/2026 14:00 | Slovakia | 3. liga - Center | Kysucké Nové Mesto vs Rimavská Sobota</t>
  </si>
  <si>
    <t>Novohrad Lučenec</t>
  </si>
  <si>
    <t>21/03/2026 14:00 | Slovakia | 3. liga - Center | Novohrad Lučenec vs Banská Byst II</t>
  </si>
  <si>
    <t>MFK Bytča</t>
  </si>
  <si>
    <t>Námestovo</t>
  </si>
  <si>
    <t>21/03/2026 14:00 | Slovakia | 3. liga - Center | MFK Bytča vs Námestovo</t>
  </si>
  <si>
    <t>Oravské Veselé</t>
  </si>
  <si>
    <t>Fomat Martin</t>
  </si>
  <si>
    <t>21/03/2026 14:00 | Slovakia | 3. liga - Center | Oravské Veselé vs Fomat Martin</t>
  </si>
  <si>
    <t>Kežmarok</t>
  </si>
  <si>
    <t>21/03/2026 14:00 | Slovakia | 3. liga - East | Kežmarok vs MSK Tesla Stropkov</t>
  </si>
  <si>
    <t>Spartak Medzev</t>
  </si>
  <si>
    <t>21/03/2026 14:00 | Slovakia | 3. liga - East | Spartak Medzev vs Poprad</t>
  </si>
  <si>
    <t>Raslavice</t>
  </si>
  <si>
    <t>Snina</t>
  </si>
  <si>
    <t>21/03/2026 14:00 | Slovakia | 3. liga - East | Raslavice vs Snina</t>
  </si>
  <si>
    <t>Humenné</t>
  </si>
  <si>
    <t>Vranov nad Topľou</t>
  </si>
  <si>
    <t>21/03/2026 14:00 | Slovakia | 3. liga - East | Humenné vs Vranov nad Topľou</t>
  </si>
  <si>
    <t>Nové Zámky</t>
  </si>
  <si>
    <t>Baník Prievidza</t>
  </si>
  <si>
    <t>21/03/2026 14:00 | Slovakia | 3. liga - West | Nové Zámky vs Baník Prievidza</t>
  </si>
  <si>
    <t>Slovan Duslo Šaľa</t>
  </si>
  <si>
    <t>Malacky</t>
  </si>
  <si>
    <t>21/03/2026 14:00 | Slovakia | 3. liga - West | Slovan Duslo Šaľa vs Malacky</t>
  </si>
  <si>
    <t>Galanta</t>
  </si>
  <si>
    <t>Petržalka II</t>
  </si>
  <si>
    <t>21/03/2026 14:00 | Slovakia | 3. liga - West | Galanta vs Petržalka II</t>
  </si>
  <si>
    <t>Častkovce</t>
  </si>
  <si>
    <t>Komárno II</t>
  </si>
  <si>
    <t>21/03/2026 14:00 | Slovakia | 3. liga - West | Častkovce vs Komárno II</t>
  </si>
  <si>
    <t>Coffrane</t>
  </si>
  <si>
    <t>21/03/2026 14:00 | Switzerland | 1. Liga Classic - Group 1 | La Sarraz-Eclépens vs Coffrane</t>
  </si>
  <si>
    <t>Mendrisio</t>
  </si>
  <si>
    <t>SV Schaffhausen</t>
  </si>
  <si>
    <t>21/03/2026 14:00 | Switzerland | 1. Liga Classic - Group 3 | Mendrisio vs SV Schaffhausen</t>
  </si>
  <si>
    <t>Eschen / Mauren</t>
  </si>
  <si>
    <t>Baden</t>
  </si>
  <si>
    <t>21/03/2026 14:00 | Switzerland | 1. Liga Classic - Group 3 | Eschen / Mauren vs Baden</t>
  </si>
  <si>
    <t>Nottingham Forest U18</t>
  </si>
  <si>
    <t>Wolves U18</t>
  </si>
  <si>
    <t>21/03/2026 14:00 | England | U18 Premier League - North | Nottingham Forest U18 vs Wolves U18</t>
  </si>
  <si>
    <t>Sparta Nijkerk</t>
  </si>
  <si>
    <t>Staphorst</t>
  </si>
  <si>
    <t>21/03/2026 14:00 | Netherlands | Derde Divisie - Saturday | Sparta Nijkerk vs Staphorst</t>
  </si>
  <si>
    <t>DVS 33 Ermelo</t>
  </si>
  <si>
    <t>URK</t>
  </si>
  <si>
    <t>21/03/2026 14:00 | Netherlands | Derde Divisie - Saturday | DVS 33 Ermelo vs URK</t>
  </si>
  <si>
    <t>ASWH</t>
  </si>
  <si>
    <t>Vvsb</t>
  </si>
  <si>
    <t>21/03/2026 14:00 | Netherlands | Derde Divisie - Sunday | ASWH vs Vvsb</t>
  </si>
  <si>
    <t>Kloetinge</t>
  </si>
  <si>
    <t>Rijnvogels</t>
  </si>
  <si>
    <t>21/03/2026 14:00 | Netherlands | Derde Divisie - Sunday | Kloetinge vs Rijnvogels</t>
  </si>
  <si>
    <t>TOGB</t>
  </si>
  <si>
    <t>GOES</t>
  </si>
  <si>
    <t>21/03/2026 14:00 | Netherlands | Derde Divisie - Sunday | TOGB vs GOES</t>
  </si>
  <si>
    <t>Serie D - Girone C</t>
  </si>
  <si>
    <t>San Luigi</t>
  </si>
  <si>
    <t>Brian Lignano</t>
  </si>
  <si>
    <t>21/03/2026 14:00 | Italy | Serie D - Girone C | San Luigi vs Brian Lignano</t>
  </si>
  <si>
    <t>Serie D - Girone D</t>
  </si>
  <si>
    <t>Pistoiese</t>
  </si>
  <si>
    <t>Trevigliese</t>
  </si>
  <si>
    <t>21/03/2026 14:00 | Italy | Serie D - Girone D | Pistoiese vs Trevigliese</t>
  </si>
  <si>
    <t>Landesliga - Salzburg</t>
  </si>
  <si>
    <t>Bramberg</t>
  </si>
  <si>
    <t>Straßwalchen</t>
  </si>
  <si>
    <t>21/03/2026 14:00 | Austria | Landesliga - Salzburg | Bramberg vs Straßwalchen</t>
  </si>
  <si>
    <t>Thalgau</t>
  </si>
  <si>
    <t>Siezenheim</t>
  </si>
  <si>
    <t>21/03/2026 14:00 | Austria | Landesliga - Salzburg | Thalgau vs Siezenheim</t>
  </si>
  <si>
    <t>UFC Hallein</t>
  </si>
  <si>
    <t>Bürmoos</t>
  </si>
  <si>
    <t>21/03/2026 14:00 | Austria | Landesliga - Salzburg | UFC Hallein vs Bürmoos</t>
  </si>
  <si>
    <t>Union Henndorf</t>
  </si>
  <si>
    <t>Neumarkt</t>
  </si>
  <si>
    <t>21/03/2026 14:00 | Austria | Landesliga - Salzburg | Union Henndorf vs Neumarkt</t>
  </si>
  <si>
    <t>Anthering</t>
  </si>
  <si>
    <t>Puch</t>
  </si>
  <si>
    <t>21/03/2026 14:00 | Austria | Landesliga - Salzburg | Anthering vs Puch</t>
  </si>
  <si>
    <t>Salzburger AK</t>
  </si>
  <si>
    <t>Grödig</t>
  </si>
  <si>
    <t>21/03/2026 14:00 | Austria | Landesliga - Salzburg | Salzburger AK vs Grödig</t>
  </si>
  <si>
    <t>Hallwang</t>
  </si>
  <si>
    <t>SV Schwarzach</t>
  </si>
  <si>
    <t>21/03/2026 14:00 | Austria | Landesliga - Salzburg | Hallwang vs SV Schwarzach</t>
  </si>
  <si>
    <t>Anif</t>
  </si>
  <si>
    <t>Eugendorf</t>
  </si>
  <si>
    <t>21/03/2026 14:00 | Austria | Landesliga - Salzburg | Anif vs Eugendorf</t>
  </si>
  <si>
    <t>Landesliga - Steiermark</t>
  </si>
  <si>
    <t>FSC Hochegger Dächer</t>
  </si>
  <si>
    <t>Fürstenfeld</t>
  </si>
  <si>
    <t>21/03/2026 14:00 | Austria | Landesliga - Steiermark | FSC Hochegger Dächer vs Fürstenfeld</t>
  </si>
  <si>
    <t>Bravos do Maquis FC</t>
  </si>
  <si>
    <t>Sagrada Esperança</t>
  </si>
  <si>
    <t>21/03/2026 14:00 | Angola | Girabola | Bravos do Maquis FC vs Sagrada Esperança</t>
  </si>
  <si>
    <t>21/03/2026 14:00 | Angola | Girabola | São Salvador vs 1º de Maio</t>
  </si>
  <si>
    <t>21/03/2026 14:00 | Angola | Girabola | Bravos do Maquis FC vs 1º de Agosto</t>
  </si>
  <si>
    <t>21/03/2026 14:00 | Angola | Girabola | Sagrada Esperança vs São Salvador</t>
  </si>
  <si>
    <t>21/03/2026 14:00 | Angola | Girabola | Recreativo do Libolo vs Guelson FC</t>
  </si>
  <si>
    <t>3. SNL - West</t>
  </si>
  <si>
    <t>Šobec Lesce</t>
  </si>
  <si>
    <t>Žiri</t>
  </si>
  <si>
    <t>21/03/2026 14:00 | Slovenia | 3. SNL - West | Šobec Lesce vs Žiri</t>
  </si>
  <si>
    <t>Izola</t>
  </si>
  <si>
    <t>Vipava</t>
  </si>
  <si>
    <t>21/03/2026 14:00 | Slovenia | 3. SNL - West | Izola vs Vipava</t>
  </si>
  <si>
    <t>Dob</t>
  </si>
  <si>
    <t>Škofja Loka</t>
  </si>
  <si>
    <t>21/03/2026 14:00 | Slovenia | 3. SNL - West | Dob vs Škofja Loka</t>
  </si>
  <si>
    <t>Svoboda</t>
  </si>
  <si>
    <t>Bistrc</t>
  </si>
  <si>
    <t>21/03/2026 14:00 | Slovenia | 3. SNL - West | Svoboda vs Bistrc</t>
  </si>
  <si>
    <t>Rogaška</t>
  </si>
  <si>
    <t>Podvinci</t>
  </si>
  <si>
    <t>21/03/2026 14:00 | Slovenia | 3. SNL - East | Rogaška vs Podvinci</t>
  </si>
  <si>
    <t>Ljutomer</t>
  </si>
  <si>
    <t>Zavrč</t>
  </si>
  <si>
    <t>21/03/2026 14:00 | Slovenia | 3. SNL - East | Ljutomer vs Zavrč</t>
  </si>
  <si>
    <t>Hajdina</t>
  </si>
  <si>
    <t>21/03/2026 14:00 | Slovenia | 3. SNL - East | Hajdina vs Brežice</t>
  </si>
  <si>
    <t>Junak</t>
  </si>
  <si>
    <t>Jadran KS</t>
  </si>
  <si>
    <t>21/03/2026 14:00 | Croatia | Third NL - Jug | Junak vs Jadran KS</t>
  </si>
  <si>
    <t>Neretva Metković</t>
  </si>
  <si>
    <t>Zagora</t>
  </si>
  <si>
    <t>21/03/2026 14:00 | Croatia | Third NL - Jug | Neretva Metković vs Zagora</t>
  </si>
  <si>
    <t>Val Kaštel Stari</t>
  </si>
  <si>
    <t>Vodice</t>
  </si>
  <si>
    <t>21/03/2026 14:00 | Croatia | Third NL - Jug | Val Kaštel Stari vs Vodice</t>
  </si>
  <si>
    <t>Omiš</t>
  </si>
  <si>
    <t>21/03/2026 14:00 | Croatia | Third NL - Jug | Omiš vs Sloga Mravince</t>
  </si>
  <si>
    <t>Primorac Biograd</t>
  </si>
  <si>
    <t>Hrvatski vitez</t>
  </si>
  <si>
    <t>21/03/2026 14:00 | Croatia | Third NL - Jug | Primorac Biograd vs Hrvatski vitez</t>
  </si>
  <si>
    <t>GOŠK Dubrovnik</t>
  </si>
  <si>
    <t>Sibenik</t>
  </si>
  <si>
    <t>21/03/2026 14:00 | Croatia | Third NL - Jug | GOŠK Dubrovnik vs Sibenik</t>
  </si>
  <si>
    <t>HNK Zadar</t>
  </si>
  <si>
    <t>Kamen Ivanbegovina</t>
  </si>
  <si>
    <t>21/03/2026 14:00 | Croatia | Third NL - Jug | HNK Zadar vs Kamen Ivanbegovina</t>
  </si>
  <si>
    <t>Rudar Trbovlje</t>
  </si>
  <si>
    <t>Zidgrad Idrija</t>
  </si>
  <si>
    <t>21/03/2026 14:00 | Slovenia | 3. SNL - West | Rudar Trbovlje vs Zidgrad Idrija</t>
  </si>
  <si>
    <t>Unie Hlubina</t>
  </si>
  <si>
    <t>21/03/2026 14:00 | Czech-Republic | 3. liga - MSFL | Unie Hlubina vs Slovácko II</t>
  </si>
  <si>
    <t>21/03/2026 14:00 | Czech-Republic | 3. liga - MSFL | Start Brno vs Hodonín</t>
  </si>
  <si>
    <t>Dálnice Speřice</t>
  </si>
  <si>
    <t>21/03/2026 14:00 | Czech-Republic | 4. liga - Divizie D | Velká Bíteš vs Dálnice Speřice</t>
  </si>
  <si>
    <t>Holešov</t>
  </si>
  <si>
    <t>21/03/2026 14:00 | Czech-Republic | 4. liga - Divizie E | Holešov vs Kroměříž II</t>
  </si>
  <si>
    <t>Skaštice</t>
  </si>
  <si>
    <t>21/03/2026 14:00 | Czech-Republic | 4. liga - Divizie E | Skaštice vs Strání</t>
  </si>
  <si>
    <t>Uherský Brod</t>
  </si>
  <si>
    <t>Brumov</t>
  </si>
  <si>
    <t>21/03/2026 14:00 | Czech-Republic | 4. liga - Divizie E | Uherský Brod vs Brumov</t>
  </si>
  <si>
    <t>Nový Jičín</t>
  </si>
  <si>
    <t>21/03/2026 14:00 | Czech-Republic | 4. liga - Divizie F | Nový Jičín vs Stonava</t>
  </si>
  <si>
    <t>Břidličná</t>
  </si>
  <si>
    <t>21/03/2026 14:00 | Czech-Republic | 4. liga - Divizie F | Petřvald na Moravě vs Břidličná</t>
  </si>
  <si>
    <t>Jiskra Rýmařov</t>
  </si>
  <si>
    <t>Bospor Bohumín</t>
  </si>
  <si>
    <t>21/03/2026 14:00 | Czech-Republic | 4. liga - Divizie F | Jiskra Rýmařov vs Bospor Bohumín</t>
  </si>
  <si>
    <t>Valašské Meziříčí</t>
  </si>
  <si>
    <t>21/03/2026 14:00 | Czech-Republic | 4. liga - Divizie F | Valašské Meziříčí vs Frýdlant</t>
  </si>
  <si>
    <t>Benátky nad Jizerou</t>
  </si>
  <si>
    <t>Mladá Boleslav II</t>
  </si>
  <si>
    <t>21/03/2026 14:00 | Czech-Republic | 3. liga - CFL B | Benátky nad Jizerou vs Mladá Boleslav II</t>
  </si>
  <si>
    <t>Ústí nad Orlicí</t>
  </si>
  <si>
    <t>21/03/2026 14:00 | Czech-Republic | 3. liga - CFL B | Ústí nad Orlicí vs Teplice II</t>
  </si>
  <si>
    <t>Králův Dvůr</t>
  </si>
  <si>
    <t>21/03/2026 14:00 | Czech-Republic | 3. liga - CFL A | Králův Dvůr vs Petřín Plzeň</t>
  </si>
  <si>
    <t>Petřín Plzeň II</t>
  </si>
  <si>
    <t>21/03/2026 14:00 | Czech-Republic | 4. liga - Divizie A | Jiskra Domažlice II vs Petřín Plzeň II</t>
  </si>
  <si>
    <t>Doubravka</t>
  </si>
  <si>
    <t>21/03/2026 14:00 | Czech-Republic | 4. liga - Divizie A | Doubravka vs Povltava FA</t>
  </si>
  <si>
    <t>Hořovicko</t>
  </si>
  <si>
    <t>21/03/2026 14:00 | Czech-Republic | 4. liga - Divizie A | Spartak Soběslav vs Hořovicko</t>
  </si>
  <si>
    <t>Tachov</t>
  </si>
  <si>
    <t>TJ Přeštice</t>
  </si>
  <si>
    <t>21/03/2026 14:00 | Czech-Republic | 4. liga - Divizie A | Tachov vs TJ Přeštice</t>
  </si>
  <si>
    <t>Chrudim II</t>
  </si>
  <si>
    <t>Přepeře</t>
  </si>
  <si>
    <t>21/03/2026 14:00 | Czech-Republic | 4. liga - Divizie C | Chrudim II vs Přepeře</t>
  </si>
  <si>
    <t>Vysoké Mýto</t>
  </si>
  <si>
    <t>21/03/2026 14:00 | Czech-Republic | 4. liga - Divizie C | Slovan Hrádek nad Nisou vs Vysoké Mýto</t>
  </si>
  <si>
    <t>Přední Kopanina</t>
  </si>
  <si>
    <t>Mariánské Lázně</t>
  </si>
  <si>
    <t>21/03/2026 14:00 | Czech-Republic | 4. liga - Divizie B | Přední Kopanina vs Mariánské Lázně</t>
  </si>
  <si>
    <t>Rapid Psáry</t>
  </si>
  <si>
    <t>Slaný</t>
  </si>
  <si>
    <t>21/03/2026 14:00 | Czech-Republic | 4. liga - Divizie B | Rapid Psáry vs Slaný</t>
  </si>
  <si>
    <t>Zimbru</t>
  </si>
  <si>
    <t>21/03/2026 14:00 | Moldova | Super Liga | CSF Bălți vs Zimbru</t>
  </si>
  <si>
    <t>Petrovac</t>
  </si>
  <si>
    <t>Mornar</t>
  </si>
  <si>
    <t>21/03/2026 14:00 | Montenegro | First League | Petrovac vs Mornar</t>
  </si>
  <si>
    <t>ODD Ballklubb</t>
  </si>
  <si>
    <t>Strommen</t>
  </si>
  <si>
    <t>21/03/2026 14:00 | World | Friendlies Clubs | ODD Ballklubb vs Strommen</t>
  </si>
  <si>
    <t>IFK Varnamo</t>
  </si>
  <si>
    <t>Orebro SK</t>
  </si>
  <si>
    <t>21/03/2026 14:00 | World | Friendlies Clubs | IFK Varnamo vs Orebro SK</t>
  </si>
  <si>
    <t>UEFA U17 Championship - Qualification</t>
  </si>
  <si>
    <t>Northern Ireland U17</t>
  </si>
  <si>
    <t>Scotland U17</t>
  </si>
  <si>
    <t>21/03/2026 14:00 | World | UEFA U17 Championship - Qualification | Northern Ireland U17 vs Scotland U17</t>
  </si>
  <si>
    <t>Turkey U17</t>
  </si>
  <si>
    <t>Spain U17</t>
  </si>
  <si>
    <t>21/03/2026 14:00 | World | UEFA U17 Championship - Qualification | Turkey U17 vs Spain U17</t>
  </si>
  <si>
    <t>Stjørdals-Blink</t>
  </si>
  <si>
    <t>Brattvåg</t>
  </si>
  <si>
    <t>21/03/2026 14:00 | World | Friendlies Clubs | Stjørdals-Blink vs Brattvåg</t>
  </si>
  <si>
    <t>Second NL</t>
  </si>
  <si>
    <t>Bjelovar</t>
  </si>
  <si>
    <t>Segesta Sisak</t>
  </si>
  <si>
    <t>21/03/2026 14:00 | Croatia | Second NL | Bjelovar vs Segesta Sisak</t>
  </si>
  <si>
    <t>Dugo Selo</t>
  </si>
  <si>
    <t>Varteks Varaždin</t>
  </si>
  <si>
    <t>21/03/2026 14:00 | Croatia | Second NL | Dugo Selo vs Varteks Varaždin</t>
  </si>
  <si>
    <t>Grobničan Čavle</t>
  </si>
  <si>
    <t>Jadran LP</t>
  </si>
  <si>
    <t>21/03/2026 14:00 | Croatia | Second NL | Grobničan Čavle vs Jadran LP</t>
  </si>
  <si>
    <t>Lucko</t>
  </si>
  <si>
    <t>Mladost Ždralovi</t>
  </si>
  <si>
    <t>21/03/2026 14:00 | Croatia | Second NL | Lucko vs Mladost Ždralovi</t>
  </si>
  <si>
    <t>Trnje</t>
  </si>
  <si>
    <t>Hrvatski Dragovoljac</t>
  </si>
  <si>
    <t>21/03/2026 14:00 | Croatia | Second NL | Trnje vs Hrvatski Dragovoljac</t>
  </si>
  <si>
    <t>Uljanik</t>
  </si>
  <si>
    <t>Solin</t>
  </si>
  <si>
    <t>21/03/2026 14:00 | Croatia | Second NL | Uljanik vs Solin</t>
  </si>
  <si>
    <t>Uskok Klis</t>
  </si>
  <si>
    <t>Križevci</t>
  </si>
  <si>
    <t>21/03/2026 14:00 | Croatia | Second NL | Uskok Klis vs Križevci</t>
  </si>
  <si>
    <t>AZ U19</t>
  </si>
  <si>
    <t>Sparta Rotterdam U19</t>
  </si>
  <si>
    <t>21/03/2026 14:00 | Netherlands | U19 Divisie 1 | AZ U19 vs Sparta Rotterdam U19</t>
  </si>
  <si>
    <t>FC Volendam U19</t>
  </si>
  <si>
    <t>PSV U19</t>
  </si>
  <si>
    <t>21/03/2026 14:00 | Netherlands | U19 Divisie 1 | FC Volendam U19 vs PSV U19</t>
  </si>
  <si>
    <t>Feyenoord U21</t>
  </si>
  <si>
    <t>De Graafschap U21</t>
  </si>
  <si>
    <t>21/03/2026 14:00 | Netherlands | U21 Divisie 1 | Feyenoord U21 vs De Graafschap U21</t>
  </si>
  <si>
    <t>Yantra Polski Trambesh</t>
  </si>
  <si>
    <t>Bdin</t>
  </si>
  <si>
    <t>21/03/2026 14:00 | Bulgaria | Third League - Northwest | Yantra Polski Trambesh vs Bdin</t>
  </si>
  <si>
    <t>Molde U19</t>
  </si>
  <si>
    <t>Rosenborg U19</t>
  </si>
  <si>
    <t>21/03/2026 14:00 | Norway | Nasjonal U19 Champions League | Molde U19 vs Rosenborg U19</t>
  </si>
  <si>
    <t>21/03/2026 14:00 | Norway | Nasjonal U19 Champions League | Sandnes Ulf U19 vs Åsane U19</t>
  </si>
  <si>
    <t>Rīgas FS</t>
  </si>
  <si>
    <t>BFC Daugavpils</t>
  </si>
  <si>
    <t>21/03/2026 14:00 | Latvia | Virsliga | Rīgas FS vs BFC Daugavpils</t>
  </si>
  <si>
    <t>Djerv</t>
  </si>
  <si>
    <t>21/03/2026 14:00 | World | Friendlies Clubs | Sandviken vs Djerv</t>
  </si>
  <si>
    <t>21/03/2026 14:00 | Germany | U19 Bundesliga | Erzgebirge Aue U19 vs Wacker Burghausen U19</t>
  </si>
  <si>
    <t>Hombrucher SV U19</t>
  </si>
  <si>
    <t>Werder Bremen U19</t>
  </si>
  <si>
    <t>21/03/2026 14:00 | Germany | U19 Bundesliga | Hombrucher SV U19 vs Werder Bremen U19</t>
  </si>
  <si>
    <t>Kerala Blasters</t>
  </si>
  <si>
    <t>21/03/2026 14:00 | India | Indian Super League | Kerala Blasters vs Minerva Punjab</t>
  </si>
  <si>
    <t>Apolonia Fier</t>
  </si>
  <si>
    <t>Lushnja</t>
  </si>
  <si>
    <t>21/03/2026 14:00 | Albania | 1st Division | Apolonia Fier vs Lushnja</t>
  </si>
  <si>
    <t>Chernomorets</t>
  </si>
  <si>
    <t>21/03/2026 14:00 | Russia | First League | KAMAZ vs Chernomorets</t>
  </si>
  <si>
    <t>1. Liga</t>
  </si>
  <si>
    <t>JFK Ventspils</t>
  </si>
  <si>
    <t>Riga Mariners</t>
  </si>
  <si>
    <t>21/03/2026 14:00 | Latvia | 1. Liga | JFK Ventspils vs Riga Mariners</t>
  </si>
  <si>
    <t>Tukums II</t>
  </si>
  <si>
    <t>Metta / LU</t>
  </si>
  <si>
    <t>21/03/2026 14:00 | Latvia | 1. Liga | Tukums II vs Metta / LU</t>
  </si>
  <si>
    <t>Indjija</t>
  </si>
  <si>
    <t>21/03/2026 14:00 | Serbia | Srpska Liga - Vojvodina | Indjija vs Mladost Bački Jarak</t>
  </si>
  <si>
    <t>Naftagas</t>
  </si>
  <si>
    <t>21/03/2026 14:00 | Serbia | Srpska Liga - Vojvodina | Naftagas vs OFK Bačka</t>
  </si>
  <si>
    <t>Sloboda DT</t>
  </si>
  <si>
    <t>Zeleznicar Inđija</t>
  </si>
  <si>
    <t>21/03/2026 14:00 | Serbia | Srpska Liga - Vojvodina | Sloboda DT vs Zeleznicar Inđija</t>
  </si>
  <si>
    <t>OFK Vrbas</t>
  </si>
  <si>
    <t>Hajduk Divoš</t>
  </si>
  <si>
    <t>21/03/2026 14:00 | Serbia | Srpska Liga - Vojvodina | OFK Vrbas vs Hajduk Divoš</t>
  </si>
  <si>
    <t>Sloga Čonoplja</t>
  </si>
  <si>
    <t>Dinamo Pančevo</t>
  </si>
  <si>
    <t>21/03/2026 14:00 | Serbia | Srpska Liga - Vojvodina | Sloga Čonoplja vs Dinamo Pančevo</t>
  </si>
  <si>
    <t>Jedinstvo Stara Pazova</t>
  </si>
  <si>
    <t>FK Veternik</t>
  </si>
  <si>
    <t>21/03/2026 14:00 | Serbia | Srpska Liga - Vojvodina | Jedinstvo Stara Pazova vs FK Veternik</t>
  </si>
  <si>
    <t>CSKA Moskva W</t>
  </si>
  <si>
    <t>Chertanovo W</t>
  </si>
  <si>
    <t>21/03/2026 14:00 | Russia | Supreme Division Women | CSKA Moskva W vs Chertanovo W</t>
  </si>
  <si>
    <t>Maricá U20</t>
  </si>
  <si>
    <t>21/03/2026 14:00 | Brazil | Copa Rio U20 | Sampaio Corrêa U20 vs Maricá U20</t>
  </si>
  <si>
    <t>KFS</t>
  </si>
  <si>
    <t>Thorlákur</t>
  </si>
  <si>
    <t>21/03/2026 14:00 | Iceland | Cup | KFS vs Thorlákur</t>
  </si>
  <si>
    <t>Spyrnir</t>
  </si>
  <si>
    <t>Sindri</t>
  </si>
  <si>
    <t>21/03/2026 14:00 | Iceland | Cup | Spyrnir vs Sindri</t>
  </si>
  <si>
    <t>Einherji</t>
  </si>
  <si>
    <t>Neisti D.</t>
  </si>
  <si>
    <t>21/03/2026 14:00 | Iceland | Cup | Einherji vs Neisti D.</t>
  </si>
  <si>
    <t>Blix</t>
  </si>
  <si>
    <t>Skallagrímur</t>
  </si>
  <si>
    <t>21/03/2026 14:00 | Iceland | Cup | Blix vs Skallagrímur</t>
  </si>
  <si>
    <t>Fylkir</t>
  </si>
  <si>
    <t>KR Reykjavik</t>
  </si>
  <si>
    <t>21/03/2026 14:00 | Iceland | League Cup | Fylkir vs KR Reykjavik</t>
  </si>
  <si>
    <t>Djerdap Kladovo</t>
  </si>
  <si>
    <t>Timok Zaječar</t>
  </si>
  <si>
    <t>21/03/2026 14:00 | Serbia | Srpska Liga - East | Djerdap Kladovo vs Timok Zaječar</t>
  </si>
  <si>
    <t>Sloga Leskovac</t>
  </si>
  <si>
    <t>21/03/2026 14:00 | Serbia | Srpska Liga - East | Sloga Leskovac vs FK Rudar 2016 Aleksinački Rudnik</t>
  </si>
  <si>
    <t>Jedinstvo Paraćin</t>
  </si>
  <si>
    <t>Trstenik PPT</t>
  </si>
  <si>
    <t>21/03/2026 14:00 | Serbia | Srpska Liga - East | Jedinstvo Paraćin vs Trstenik PPT</t>
  </si>
  <si>
    <t>Dunav Prahovo</t>
  </si>
  <si>
    <t>21/03/2026 14:00 | Serbia | Srpska Liga - East | Dunav Prahovo vs Morava Ćuprija</t>
  </si>
  <si>
    <t>TIL 2020 W</t>
  </si>
  <si>
    <t>Frigg Oslo FK W</t>
  </si>
  <si>
    <t>21/03/2026 14:00 | Norway | 1. Division Women | TIL 2020 W vs Frigg Oslo FK W</t>
  </si>
  <si>
    <t>SERC Brasil U20</t>
  </si>
  <si>
    <t>Sao Luiz U20</t>
  </si>
  <si>
    <t>21/03/2026 14:00 | Brazil | Estadual Junior U20 | SERC Brasil U20 vs Sao Luiz U20</t>
  </si>
  <si>
    <t>Non League Div One - Southern Central</t>
  </si>
  <si>
    <t>Ware</t>
  </si>
  <si>
    <t>Biggleswade Town</t>
  </si>
  <si>
    <t>21/03/2026 14:00 | England | Non League Div One - Southern Central | Ware vs Biggleswade Town</t>
  </si>
  <si>
    <t>Thame United</t>
  </si>
  <si>
    <t>Rayners Lane</t>
  </si>
  <si>
    <t>21/03/2026 14:00 | England | Non League Div One - Southern Central | Thame United vs Rayners Lane</t>
  </si>
  <si>
    <t>21/03/2026 14:10</t>
  </si>
  <si>
    <t>Al Fahaheel</t>
  </si>
  <si>
    <t>Al Kuwait</t>
  </si>
  <si>
    <t>21/03/2026 14:10 | Kuwait | Premier League | Al Fahaheel vs Al Kuwait</t>
  </si>
  <si>
    <t>21/03/2026 14:30</t>
  </si>
  <si>
    <t>Dravinja</t>
  </si>
  <si>
    <t>Bilje</t>
  </si>
  <si>
    <t>21/03/2026 14:30 | Slovenia | 2. SNL | Dravinja vs Bilje</t>
  </si>
  <si>
    <t>Bistrica</t>
  </si>
  <si>
    <t>21/03/2026 14:30 | Slovenia | 2. SNL | Krško vs Bistrica</t>
  </si>
  <si>
    <t>Bayern München</t>
  </si>
  <si>
    <t>21/03/2026 14:30 | Germany | Bundesliga | Bayern München vs Union Berlin</t>
  </si>
  <si>
    <t>1. FC Köln</t>
  </si>
  <si>
    <t>Borussia Mönchengladbach</t>
  </si>
  <si>
    <t>21/03/2026 14:30 | Germany | Bundesliga | 1. FC Köln vs Borussia Mönchengladbach</t>
  </si>
  <si>
    <t>1. FC Heidenheim</t>
  </si>
  <si>
    <t>Bayer Leverkusen</t>
  </si>
  <si>
    <t>21/03/2026 14:30 | Germany | Bundesliga | 1. FC Heidenheim vs Bayer Leverkusen</t>
  </si>
  <si>
    <t>VfL Wolfsburg</t>
  </si>
  <si>
    <t>21/03/2026 14:30 | Germany | Bundesliga | VfL Wolfsburg vs Werder Bremen</t>
  </si>
  <si>
    <t>Katwijk</t>
  </si>
  <si>
    <t>Almere City II</t>
  </si>
  <si>
    <t>21/03/2026 14:30 | Netherlands | Tweede Divisie | Katwijk vs Almere City II</t>
  </si>
  <si>
    <t>Diefflen</t>
  </si>
  <si>
    <t>21/03/2026 14:30 | Germany | Oberliga - Rheinland-Pfalz / Saar | Diefflen vs Kaiserslautern II</t>
  </si>
  <si>
    <t>FC Emmelshausen-Karbach</t>
  </si>
  <si>
    <t>Arminia Ludwigshafen</t>
  </si>
  <si>
    <t>21/03/2026 14:30 | Germany | Oberliga - Rheinland-Pfalz / Saar | FC Emmelshausen-Karbach vs Arminia Ludwigshafen</t>
  </si>
  <si>
    <t>Auersmacher</t>
  </si>
  <si>
    <t>Wormatia Worms</t>
  </si>
  <si>
    <t>21/03/2026 14:30 | Germany | Oberliga - Rheinland-Pfalz / Saar | Auersmacher vs Wormatia Worms</t>
  </si>
  <si>
    <t>Dudenhofen</t>
  </si>
  <si>
    <t>21/03/2026 14:30 | Germany | Oberliga - Rheinland-Pfalz / Saar | Dudenhofen vs Eisbachtal</t>
  </si>
  <si>
    <t>Nordlingen</t>
  </si>
  <si>
    <t>Türkspor Augsburg</t>
  </si>
  <si>
    <t>21/03/2026 14:30 | Germany | Oberliga - Bayern Süd | Nordlingen vs Türkspor Augsburg</t>
  </si>
  <si>
    <t>Basel II</t>
  </si>
  <si>
    <t>Young Boys II</t>
  </si>
  <si>
    <t>21/03/2026 14:30 | Switzerland | 1. Liga Promotion | Basel II vs Young Boys II</t>
  </si>
  <si>
    <t>Valle Egüés</t>
  </si>
  <si>
    <t>Beti Kozkor</t>
  </si>
  <si>
    <t>21/03/2026 14:30 | Spain | Tercera División RFEF - Group 15 | Valle Egüés vs Beti Kozkor</t>
  </si>
  <si>
    <t>Landesliga - Burgenland</t>
  </si>
  <si>
    <t>Eberau</t>
  </si>
  <si>
    <t>St. Margarethen / Bur</t>
  </si>
  <si>
    <t>21/03/2026 14:30 | Austria | Landesliga - Burgenland | Eberau vs St. Margarethen / Bur</t>
  </si>
  <si>
    <t>Horitschon</t>
  </si>
  <si>
    <t>Mattersburg 2020</t>
  </si>
  <si>
    <t>21/03/2026 14:30 | Austria | Landesliga - Burgenland | Horitschon vs Mattersburg 2020</t>
  </si>
  <si>
    <t>Edelserpentin</t>
  </si>
  <si>
    <t>Neudorf / Parn</t>
  </si>
  <si>
    <t>21/03/2026 14:30 | Austria | Landesliga - Burgenland | Edelserpentin vs Neudorf / Parn</t>
  </si>
  <si>
    <t>Deutschkreutz</t>
  </si>
  <si>
    <t>Siegendorf</t>
  </si>
  <si>
    <t>21/03/2026 14:30 | Austria | Landesliga - Burgenland | Deutschkreutz vs Siegendorf</t>
  </si>
  <si>
    <t>Halbturn</t>
  </si>
  <si>
    <t>Jennersdorf</t>
  </si>
  <si>
    <t>21/03/2026 14:30 | Austria | Landesliga - Burgenland | Halbturn vs Jennersdorf</t>
  </si>
  <si>
    <t>Bad Sauerbrunn</t>
  </si>
  <si>
    <t>Klingenbach</t>
  </si>
  <si>
    <t>21/03/2026 14:30 | Austria | Landesliga - Burgenland | Bad Sauerbrunn vs Klingenbach</t>
  </si>
  <si>
    <t>SK Pama</t>
  </si>
  <si>
    <t>Kohfidisch</t>
  </si>
  <si>
    <t>21/03/2026 14:30 | Austria | Landesliga - Burgenland | SK Pama vs Kohfidisch</t>
  </si>
  <si>
    <t>Leithaprodersdorf</t>
  </si>
  <si>
    <t>Oberpullendorf</t>
  </si>
  <si>
    <t>21/03/2026 14:30 | Austria | Landesliga - Burgenland | Leithaprodersdorf vs Oberpullendorf</t>
  </si>
  <si>
    <t>Desportivo Huíla</t>
  </si>
  <si>
    <t>21/03/2026 14:30 | Angola | Girabola | Desportivo Huíla vs Recreativo do Libolo</t>
  </si>
  <si>
    <t>Haugesund</t>
  </si>
  <si>
    <t>21/03/2026 14:30 | World | Friendlies Clubs | Haugesund vs Egersund</t>
  </si>
  <si>
    <t>Barry Town</t>
  </si>
  <si>
    <t>21/03/2026 14:30 | Wales | Premier League | Barry Town vs Caernarfon Town</t>
  </si>
  <si>
    <t>GAP Connah S Quay FC</t>
  </si>
  <si>
    <t>Penybont</t>
  </si>
  <si>
    <t>21/03/2026 14:30 | Wales | Premier League | GAP Connah S Quay FC vs Penybont</t>
  </si>
  <si>
    <t>Briton Ferry</t>
  </si>
  <si>
    <t>Flint Town United</t>
  </si>
  <si>
    <t>21/03/2026 14:30 | Wales | Premier League | Briton Ferry vs Flint Town United</t>
  </si>
  <si>
    <t>Olympic Varna</t>
  </si>
  <si>
    <t>21/03/2026 14:30 | Bulgaria | Third League - Northeast | Olympic Varna vs Chernomorets Balchik</t>
  </si>
  <si>
    <t>Panevėžys</t>
  </si>
  <si>
    <t>21/03/2026 14:30 | Lithuania | A Lyga | Banga vs Panevėžys</t>
  </si>
  <si>
    <t>AS Trencin</t>
  </si>
  <si>
    <t>21/03/2026 14:30 | Slovakia | Super Liga | AS Trencin vs Ružomberok</t>
  </si>
  <si>
    <t>Zemplín Michalovce</t>
  </si>
  <si>
    <t>Spartak Trnava</t>
  </si>
  <si>
    <t>21/03/2026 14:30 | Slovakia | Super Liga | Zemplín Michalovce vs Spartak Trnava</t>
  </si>
  <si>
    <t>Žilina</t>
  </si>
  <si>
    <t>21/03/2026 14:30 | Slovakia | Super Liga | Žilina vs Dunajska Streda</t>
  </si>
  <si>
    <t>Gabon</t>
  </si>
  <si>
    <t>Championnat D1</t>
  </si>
  <si>
    <t>Mangasport</t>
  </si>
  <si>
    <t>Dikaki</t>
  </si>
  <si>
    <t>21/03/2026 14:30 | Gabon | Championnat D1 | Mangasport vs Dikaki</t>
  </si>
  <si>
    <t>Cercle Mbéri</t>
  </si>
  <si>
    <t>Vautour Club</t>
  </si>
  <si>
    <t>21/03/2026 14:30 | Gabon | Championnat D1 | Cercle Mbéri vs Vautour Club</t>
  </si>
  <si>
    <t>Pélican</t>
  </si>
  <si>
    <t>Lozo</t>
  </si>
  <si>
    <t>21/03/2026 14:30 | Gabon | Championnat D1 | Pélican vs Lozo</t>
  </si>
  <si>
    <t>FC 105</t>
  </si>
  <si>
    <t>Stade Migoveen</t>
  </si>
  <si>
    <t>21/03/2026 14:30 | Gabon | Championnat D1 | FC 105 vs Stade Migoveen</t>
  </si>
  <si>
    <t>Bouenguidi</t>
  </si>
  <si>
    <t>Ogooue FC</t>
  </si>
  <si>
    <t>21/03/2026 14:30 | Gabon | Championnat D1 | Bouenguidi vs Ogooue FC</t>
  </si>
  <si>
    <t>US Oyem</t>
  </si>
  <si>
    <t>Stade Mandji</t>
  </si>
  <si>
    <t>21/03/2026 14:30 | Gabon | Championnat D1 | US Oyem vs Stade Mandji</t>
  </si>
  <si>
    <t>Opatija</t>
  </si>
  <si>
    <t>21/03/2026 14:30 | Croatia | First NL | HNK Cibalia vs Opatija</t>
  </si>
  <si>
    <t>Dubrava Zagreb</t>
  </si>
  <si>
    <t>Croatia Zmijavci</t>
  </si>
  <si>
    <t>21/03/2026 14:30 | Croatia | First NL | Dubrava Zagreb vs Croatia Zmijavci</t>
  </si>
  <si>
    <t>Buducnost Dobanovci</t>
  </si>
  <si>
    <t>21/03/2026 14:30 | Serbia | Srpska Liga - Belgrade | Buducnost Dobanovci vs Radnički Obrenovac</t>
  </si>
  <si>
    <t>Zvezdara</t>
  </si>
  <si>
    <t>Kolubara</t>
  </si>
  <si>
    <t>21/03/2026 14:30 | Serbia | Srpska Liga - Belgrade | Zvezdara vs Kolubara</t>
  </si>
  <si>
    <t>21/03/2026 14:55</t>
  </si>
  <si>
    <t>Presidents Cup</t>
  </si>
  <si>
    <t>Al-Jazira</t>
  </si>
  <si>
    <t>21/03/2026 14:55 | United-Arab-Emirates | Presidents Cup | Al-Jazira vs Shabab Al Ahli Dubai</t>
  </si>
  <si>
    <t>21/03/2026 15:00</t>
  </si>
  <si>
    <t>Burnley</t>
  </si>
  <si>
    <t>21/03/2026 15:00 | England | Premier League | Fulham vs Burnley</t>
  </si>
  <si>
    <t>Manchester City</t>
  </si>
  <si>
    <t>Crystal Palace</t>
  </si>
  <si>
    <t>21/03/2026 15:00 | England | Premier League | Manchester City vs Crystal Palace</t>
  </si>
  <si>
    <t>Buckie Thistle</t>
  </si>
  <si>
    <t>Fraserburgh</t>
  </si>
  <si>
    <t>21/03/2026 15:00 | Scotland | Football League - Highland League | Buckie Thistle vs Fraserburgh</t>
  </si>
  <si>
    <t>Clachnacuddin</t>
  </si>
  <si>
    <t>Brora Rangers</t>
  </si>
  <si>
    <t>21/03/2026 15:00 | Scotland | Football League - Highland League | Clachnacuddin vs Brora Rangers</t>
  </si>
  <si>
    <t>Deveronvale</t>
  </si>
  <si>
    <t>Forres Mechanics</t>
  </si>
  <si>
    <t>21/03/2026 15:00 | Scotland | Football League - Highland League | Deveronvale vs Forres Mechanics</t>
  </si>
  <si>
    <t>Formartine United</t>
  </si>
  <si>
    <t>Huntly</t>
  </si>
  <si>
    <t>21/03/2026 15:00 | Scotland | Football League - Highland League | Formartine United vs Huntly</t>
  </si>
  <si>
    <t>Inverurie Loco Works</t>
  </si>
  <si>
    <t>Banks O' Dee</t>
  </si>
  <si>
    <t>21/03/2026 15:00 | Scotland | Football League - Highland League | Inverurie Loco Works vs Banks O' Dee</t>
  </si>
  <si>
    <t>Nairn County</t>
  </si>
  <si>
    <t>Strathspey Thistle</t>
  </si>
  <si>
    <t>21/03/2026 15:00 | Scotland | Football League - Highland League | Nairn County vs Strathspey Thistle</t>
  </si>
  <si>
    <t>Rothes</t>
  </si>
  <si>
    <t>Lossiemouth</t>
  </si>
  <si>
    <t>21/03/2026 15:00 | Scotland | Football League - Highland League | Rothes vs Lossiemouth</t>
  </si>
  <si>
    <t>Turriff United</t>
  </si>
  <si>
    <t>Keith</t>
  </si>
  <si>
    <t>21/03/2026 15:00 | Scotland | Football League - Highland League | Turriff United vs Keith</t>
  </si>
  <si>
    <t>Premiership</t>
  </si>
  <si>
    <t>Falkirk</t>
  </si>
  <si>
    <t>21/03/2026 15:00 | Scotland | Premiership | Falkirk vs ST Mirren</t>
  </si>
  <si>
    <t>Heart Of Midlothian</t>
  </si>
  <si>
    <t>Dundee</t>
  </si>
  <si>
    <t>21/03/2026 15:00 | Scotland | Premiership | Heart Of Midlothian vs Dundee</t>
  </si>
  <si>
    <t>Kilmarnock</t>
  </si>
  <si>
    <t>Livingston</t>
  </si>
  <si>
    <t>21/03/2026 15:00 | Scotland | Premiership | Kilmarnock vs Livingston</t>
  </si>
  <si>
    <t>Motherwell</t>
  </si>
  <si>
    <t>Hibernian</t>
  </si>
  <si>
    <t>21/03/2026 15:00 | Scotland | Premiership | Motherwell vs Hibernian</t>
  </si>
  <si>
    <t>Arbroath</t>
  </si>
  <si>
    <t>Queen's Park</t>
  </si>
  <si>
    <t>21/03/2026 15:00 | Scotland | Championship | Arbroath vs Queen's Park</t>
  </si>
  <si>
    <t>Ayr Utd</t>
  </si>
  <si>
    <t>Morton</t>
  </si>
  <si>
    <t>21/03/2026 15:00 | Scotland | Championship | Ayr Utd vs Morton</t>
  </si>
  <si>
    <t>Raith Rovers</t>
  </si>
  <si>
    <t>Airdrie United</t>
  </si>
  <si>
    <t>21/03/2026 15:00 | Scotland | Championship | Raith Rovers vs Airdrie United</t>
  </si>
  <si>
    <t>Ross County</t>
  </si>
  <si>
    <t>Dunfermline</t>
  </si>
  <si>
    <t>21/03/2026 15:00 | Scotland | Championship | Ross County vs Dunfermline</t>
  </si>
  <si>
    <t>Alloa Athletic</t>
  </si>
  <si>
    <t>Inverness CT</t>
  </si>
  <si>
    <t>21/03/2026 15:00 | Scotland | League One | Alloa Athletic vs Inverness CT</t>
  </si>
  <si>
    <t>Cove Rangers</t>
  </si>
  <si>
    <t>Hamilton Academical</t>
  </si>
  <si>
    <t>21/03/2026 15:00 | Scotland | League One | Cove Rangers vs Hamilton Academical</t>
  </si>
  <si>
    <t>Peterhead</t>
  </si>
  <si>
    <t>Montrose</t>
  </si>
  <si>
    <t>21/03/2026 15:00 | Scotland | League One | Peterhead vs Montrose</t>
  </si>
  <si>
    <t>Queen of the South</t>
  </si>
  <si>
    <t>East Fife</t>
  </si>
  <si>
    <t>21/03/2026 15:00 | Scotland | League One | Queen of the South vs East Fife</t>
  </si>
  <si>
    <t>Stenhousemuir</t>
  </si>
  <si>
    <t>Kelty Hearts</t>
  </si>
  <si>
    <t>21/03/2026 15:00 | Scotland | League One | Stenhousemuir vs Kelty Hearts</t>
  </si>
  <si>
    <t>Clyde</t>
  </si>
  <si>
    <t>Stranraer</t>
  </si>
  <si>
    <t>21/03/2026 15:00 | Scotland | League Two | Clyde vs Stranraer</t>
  </si>
  <si>
    <t>Dumbarton</t>
  </si>
  <si>
    <t>Annan Athletic</t>
  </si>
  <si>
    <t>21/03/2026 15:00 | Scotland | League Two | Dumbarton vs Annan Athletic</t>
  </si>
  <si>
    <t>East Kilbride</t>
  </si>
  <si>
    <t>Stirling Albion</t>
  </si>
  <si>
    <t>21/03/2026 15:00 | Scotland | League Two | East Kilbride vs Stirling Albion</t>
  </si>
  <si>
    <t>Edinburgh City</t>
  </si>
  <si>
    <t>Elgin City</t>
  </si>
  <si>
    <t>21/03/2026 15:00 | Scotland | League Two | Edinburgh City vs Elgin City</t>
  </si>
  <si>
    <t>Forfar Athletic</t>
  </si>
  <si>
    <t>Spartans</t>
  </si>
  <si>
    <t>21/03/2026 15:00 | Scotland | League Two | Forfar Athletic vs Spartans</t>
  </si>
  <si>
    <t>21/03/2026 15:00 | Serbia | Super Liga | FK Crvena Zvezda vs Radnicki NIS</t>
  </si>
  <si>
    <t>Northern-Ireland</t>
  </si>
  <si>
    <t>Dungannon Swifts</t>
  </si>
  <si>
    <t>Bangor</t>
  </si>
  <si>
    <t>21/03/2026 15:00 | Northern-Ireland | Premiership | Dungannon Swifts vs Bangor</t>
  </si>
  <si>
    <t>Glentoran</t>
  </si>
  <si>
    <t>Coleraine FC</t>
  </si>
  <si>
    <t>21/03/2026 15:00 | Northern-Ireland | Premiership | Glentoran vs Coleraine FC</t>
  </si>
  <si>
    <t>Portadown</t>
  </si>
  <si>
    <t>Crusaders FC</t>
  </si>
  <si>
    <t>21/03/2026 15:00 | Northern-Ireland | Premiership | Portadown vs Crusaders FC</t>
  </si>
  <si>
    <t>Annagh United</t>
  </si>
  <si>
    <t>Dundela</t>
  </si>
  <si>
    <t>21/03/2026 15:00 | Northern-Ireland | Championship | Annagh United vs Dundela</t>
  </si>
  <si>
    <t>Ards</t>
  </si>
  <si>
    <t>Warrenpoint Town</t>
  </si>
  <si>
    <t>21/03/2026 15:00 | Northern-Ireland | Championship | Ards vs Warrenpoint Town</t>
  </si>
  <si>
    <t>H&amp;W Welders</t>
  </si>
  <si>
    <t>Limavady United</t>
  </si>
  <si>
    <t>21/03/2026 15:00 | Northern-Ireland | Championship | H&amp;W Welders vs Limavady United</t>
  </si>
  <si>
    <t>Newington Youth</t>
  </si>
  <si>
    <t>Ballinamallard United</t>
  </si>
  <si>
    <t>21/03/2026 15:00 | Northern-Ireland | Championship | Newington Youth vs Ballinamallard United</t>
  </si>
  <si>
    <t>Queen's University</t>
  </si>
  <si>
    <t>Armagh City</t>
  </si>
  <si>
    <t>21/03/2026 15:00 | Northern-Ireland | Championship | Queen's University vs Armagh City</t>
  </si>
  <si>
    <t>Accrington ST</t>
  </si>
  <si>
    <t>Chesterfield</t>
  </si>
  <si>
    <t>21/03/2026 15:00 | England | League Two | Accrington ST vs Chesterfield</t>
  </si>
  <si>
    <t>Bromley</t>
  </si>
  <si>
    <t>Colchester</t>
  </si>
  <si>
    <t>21/03/2026 15:00 | England | League Two | Bromley vs Colchester</t>
  </si>
  <si>
    <t>Fleetwood Town</t>
  </si>
  <si>
    <t>Crawley Town</t>
  </si>
  <si>
    <t>21/03/2026 15:00 | England | League Two | Fleetwood Town vs Crawley Town</t>
  </si>
  <si>
    <t>Gillingham</t>
  </si>
  <si>
    <t>Bristol Rovers</t>
  </si>
  <si>
    <t>21/03/2026 15:00 | England | League Two | Gillingham vs Bristol Rovers</t>
  </si>
  <si>
    <t>Grimsby</t>
  </si>
  <si>
    <t>Barrow</t>
  </si>
  <si>
    <t>21/03/2026 15:00 | England | League Two | Grimsby vs Barrow</t>
  </si>
  <si>
    <t>Notts County</t>
  </si>
  <si>
    <t>Cheltenham</t>
  </si>
  <si>
    <t>21/03/2026 15:00 | England | League Two | Notts County vs Cheltenham</t>
  </si>
  <si>
    <t>Oldham</t>
  </si>
  <si>
    <t>Harrogate Town</t>
  </si>
  <si>
    <t>21/03/2026 15:00 | England | League Two | Oldham vs Harrogate Town</t>
  </si>
  <si>
    <t>Shrewsbury</t>
  </si>
  <si>
    <t>Crewe</t>
  </si>
  <si>
    <t>21/03/2026 15:00 | England | League Two | Shrewsbury vs Crewe</t>
  </si>
  <si>
    <t>Tranmere</t>
  </si>
  <si>
    <t>Swindon Town</t>
  </si>
  <si>
    <t>21/03/2026 15:00 | England | League Two | Tranmere vs Swindon Town</t>
  </si>
  <si>
    <t>Walsall</t>
  </si>
  <si>
    <t>Newport County</t>
  </si>
  <si>
    <t>21/03/2026 15:00 | England | League Two | Walsall vs Newport County</t>
  </si>
  <si>
    <t>Charlton</t>
  </si>
  <si>
    <t>21/03/2026 15:00 | England | Championship | Charlton vs Norwich</t>
  </si>
  <si>
    <t>Oxford United</t>
  </si>
  <si>
    <t>21/03/2026 15:00 | England | Championship | Southampton vs Oxford United</t>
  </si>
  <si>
    <t>Watford</t>
  </si>
  <si>
    <t>Leicester</t>
  </si>
  <si>
    <t>21/03/2026 15:00 | England | Championship | Watford vs Leicester</t>
  </si>
  <si>
    <t>Hull City</t>
  </si>
  <si>
    <t>Sheffield Wednesday</t>
  </si>
  <si>
    <t>21/03/2026 15:00 | England | Championship | Hull City vs Sheffield Wednesday</t>
  </si>
  <si>
    <t>21/03/2026 15:00 | England | Championship | QPR vs Portsmouth</t>
  </si>
  <si>
    <t>Sheffield Utd</t>
  </si>
  <si>
    <t>Wrexham</t>
  </si>
  <si>
    <t>21/03/2026 15:00 | England | Championship | Sheffield Utd vs Wrexham</t>
  </si>
  <si>
    <t>Bristol City</t>
  </si>
  <si>
    <t>West Brom</t>
  </si>
  <si>
    <t>21/03/2026 15:00 | England | Championship | Bristol City vs West Brom</t>
  </si>
  <si>
    <t>21/03/2026 15:00 | England | League One | AFC Wimbledon vs Peterborough</t>
  </si>
  <si>
    <t>Barnsley</t>
  </si>
  <si>
    <t>Doncaster</t>
  </si>
  <si>
    <t>21/03/2026 15:00 | England | League One | Barnsley vs Doncaster</t>
  </si>
  <si>
    <t>Burton Albion</t>
  </si>
  <si>
    <t>21/03/2026 15:00 | England | League One | Burton Albion vs Bradford</t>
  </si>
  <si>
    <t>Leyton Orient</t>
  </si>
  <si>
    <t>21/03/2026 15:00 | England | League One | Leyton Orient vs Wycombe</t>
  </si>
  <si>
    <t>Rotherham</t>
  </si>
  <si>
    <t>21/03/2026 15:00 | England | League One | Lincoln vs Rotherham</t>
  </si>
  <si>
    <t>21/03/2026 15:00 | England | League One | Mansfield Town vs Northampton</t>
  </si>
  <si>
    <t>Plymouth</t>
  </si>
  <si>
    <t>Huddersfield</t>
  </si>
  <si>
    <t>21/03/2026 15:00 | England | League One | Plymouth vs Huddersfield</t>
  </si>
  <si>
    <t>21/03/2026 15:00 | England | League One | Port Vale vs Bolton</t>
  </si>
  <si>
    <t>Stevenage</t>
  </si>
  <si>
    <t>Reading</t>
  </si>
  <si>
    <t>21/03/2026 15:00 | England | League One | Stevenage vs Reading</t>
  </si>
  <si>
    <t>Wigan</t>
  </si>
  <si>
    <t>21/03/2026 15:00 | England | League One | Wigan vs Exeter City</t>
  </si>
  <si>
    <t>Sloga Doboj</t>
  </si>
  <si>
    <t>Posušje</t>
  </si>
  <si>
    <t>21/03/2026 15:00 | Bosnia | Premijer Liga | Sloga Doboj vs Posušje</t>
  </si>
  <si>
    <t>Premier Intermediate League</t>
  </si>
  <si>
    <t>Knockbreda</t>
  </si>
  <si>
    <t>Dergview</t>
  </si>
  <si>
    <t>21/03/2026 15:00 | Northern-Ireland | Premier Intermediate League | Knockbreda vs Dergview</t>
  </si>
  <si>
    <t>Moyola Park</t>
  </si>
  <si>
    <t>Coagh United</t>
  </si>
  <si>
    <t>21/03/2026 15:00 | Northern-Ireland | Premier Intermediate League | Moyola Park vs Coagh United</t>
  </si>
  <si>
    <t>Rathfriland</t>
  </si>
  <si>
    <t>Portstewart</t>
  </si>
  <si>
    <t>21/03/2026 15:00 | Northern-Ireland | Premier Intermediate League | Rathfriland vs Portstewart</t>
  </si>
  <si>
    <t>Ballymacash Rangers</t>
  </si>
  <si>
    <t>Banbridge Town</t>
  </si>
  <si>
    <t>21/03/2026 15:00 | Northern-Ireland | Premier Intermediate League | Ballymacash Rangers vs Banbridge Town</t>
  </si>
  <si>
    <t>Oxford Sunnyside</t>
  </si>
  <si>
    <t>Newry City AFC</t>
  </si>
  <si>
    <t>21/03/2026 15:00 | Northern-Ireland | Premier Intermediate League | Oxford Sunnyside vs Newry City AFC</t>
  </si>
  <si>
    <t>Lisburn Distillery</t>
  </si>
  <si>
    <t>Strabane Athletic</t>
  </si>
  <si>
    <t>21/03/2026 15:00 | Northern-Ireland | Premier Intermediate League | Lisburn Distillery vs Strabane Athletic</t>
  </si>
  <si>
    <t>Ballyclare Comrades</t>
  </si>
  <si>
    <t>Dollingstown</t>
  </si>
  <si>
    <t>21/03/2026 15:00 | Northern-Ireland | Premier Intermediate League | Ballyclare Comrades vs Dollingstown</t>
  </si>
  <si>
    <t>KAA Gent II</t>
  </si>
  <si>
    <t>Club Brugge II</t>
  </si>
  <si>
    <t>21/03/2026 15:00 | Belgium | Challenger Pro League | KAA Gent II vs Club Brugge II</t>
  </si>
  <si>
    <t>Kortrijk</t>
  </si>
  <si>
    <t>21/03/2026 15:00 | Belgium | Challenger Pro League | Francs Borains vs Kortrijk</t>
  </si>
  <si>
    <t>Altrincham</t>
  </si>
  <si>
    <t>Southend</t>
  </si>
  <si>
    <t>21/03/2026 15:00 | England | National League | Altrincham vs Southend</t>
  </si>
  <si>
    <t>Boreham Wood</t>
  </si>
  <si>
    <t>Gateshead</t>
  </si>
  <si>
    <t>21/03/2026 15:00 | England | National League | Boreham Wood vs Gateshead</t>
  </si>
  <si>
    <t>Braintree</t>
  </si>
  <si>
    <t>Scunthorpe</t>
  </si>
  <si>
    <t>21/03/2026 15:00 | England | National League | Braintree vs Scunthorpe</t>
  </si>
  <si>
    <t>Carlisle</t>
  </si>
  <si>
    <t>Boston United</t>
  </si>
  <si>
    <t>21/03/2026 15:00 | England | National League | Carlisle vs Boston United</t>
  </si>
  <si>
    <t>Forest Green</t>
  </si>
  <si>
    <t>Wealdstone</t>
  </si>
  <si>
    <t>21/03/2026 15:00 | England | National League | Forest Green vs Wealdstone</t>
  </si>
  <si>
    <t>Hartlepool</t>
  </si>
  <si>
    <t>Eastleigh</t>
  </si>
  <si>
    <t>21/03/2026 15:00 | England | National League | Hartlepool vs Eastleigh</t>
  </si>
  <si>
    <t>Rochdale</t>
  </si>
  <si>
    <t>Tamworth</t>
  </si>
  <si>
    <t>21/03/2026 15:00 | England | National League | Rochdale vs Tamworth</t>
  </si>
  <si>
    <t>Sutton Utd</t>
  </si>
  <si>
    <t>Truro City</t>
  </si>
  <si>
    <t>21/03/2026 15:00 | England | National League | Sutton Utd vs Truro City</t>
  </si>
  <si>
    <t>Yeovil Town</t>
  </si>
  <si>
    <t>Morecambe</t>
  </si>
  <si>
    <t>21/03/2026 15:00 | England | National League | Yeovil Town vs Morecambe</t>
  </si>
  <si>
    <t>York</t>
  </si>
  <si>
    <t>Brackley Town</t>
  </si>
  <si>
    <t>21/03/2026 15:00 | England | National League | York vs Brackley Town</t>
  </si>
  <si>
    <t>National League - South</t>
  </si>
  <si>
    <t>AFC Totton</t>
  </si>
  <si>
    <t>Worthing</t>
  </si>
  <si>
    <t>21/03/2026 15:00 | England | National League - South | AFC Totton vs Worthing</t>
  </si>
  <si>
    <t>Chelmsford City</t>
  </si>
  <si>
    <t>Dover</t>
  </si>
  <si>
    <t>21/03/2026 15:00 | England | National League - South | Chelmsford City vs Dover</t>
  </si>
  <si>
    <t>Chesham United</t>
  </si>
  <si>
    <t>Maidstone Utd</t>
  </si>
  <si>
    <t>21/03/2026 15:00 | England | National League - South | Chesham United vs Maidstone Utd</t>
  </si>
  <si>
    <t>Chippenham Town</t>
  </si>
  <si>
    <t>Eastbourne Borough</t>
  </si>
  <si>
    <t>21/03/2026 15:00 | England | National League - South | Chippenham Town vs Eastbourne Borough</t>
  </si>
  <si>
    <t>Dagenham &amp; Redbridge</t>
  </si>
  <si>
    <t>Torquay</t>
  </si>
  <si>
    <t>21/03/2026 15:00 | England | National League - South | Dagenham &amp; Redbridge vs Torquay</t>
  </si>
  <si>
    <t>Ebbsfleet United</t>
  </si>
  <si>
    <t>Weston-super-Mare</t>
  </si>
  <si>
    <t>21/03/2026 15:00 | England | National League - South | Ebbsfleet United vs Weston-super-Mare</t>
  </si>
  <si>
    <t>Farnborough</t>
  </si>
  <si>
    <t>Slough Town</t>
  </si>
  <si>
    <t>21/03/2026 15:00 | England | National League - South | Farnborough vs Slough Town</t>
  </si>
  <si>
    <t>Hampton &amp; Richmond</t>
  </si>
  <si>
    <t>Horsham</t>
  </si>
  <si>
    <t>21/03/2026 15:00 | England | National League - South | Hampton &amp; Richmond vs Horsham</t>
  </si>
  <si>
    <t>AFC Hornchurch</t>
  </si>
  <si>
    <t>Hemel Hempstead Town</t>
  </si>
  <si>
    <t>21/03/2026 15:00 | England | National League - South | AFC Hornchurch vs Hemel Hempstead Town</t>
  </si>
  <si>
    <t>Maidenhead</t>
  </si>
  <si>
    <t>Dorking Wanderers</t>
  </si>
  <si>
    <t>21/03/2026 15:00 | England | National League - South | Maidenhead vs Dorking Wanderers</t>
  </si>
  <si>
    <t>Salisbury</t>
  </si>
  <si>
    <t>Enfield Town</t>
  </si>
  <si>
    <t>21/03/2026 15:00 | England | National League - South | Salisbury vs Enfield Town</t>
  </si>
  <si>
    <t>Tonbridge Angels</t>
  </si>
  <si>
    <t>Bath City</t>
  </si>
  <si>
    <t>21/03/2026 15:00 | England | National League - South | Tonbridge Angels vs Bath City</t>
  </si>
  <si>
    <t>National League - North</t>
  </si>
  <si>
    <t>AFC Telford United</t>
  </si>
  <si>
    <t>Marine</t>
  </si>
  <si>
    <t>21/03/2026 15:00 | England | National League - North | AFC Telford United vs Marine</t>
  </si>
  <si>
    <t>Buxton</t>
  </si>
  <si>
    <t>Bedford Town</t>
  </si>
  <si>
    <t>21/03/2026 15:00 | England | National League - North | Buxton vs Bedford Town</t>
  </si>
  <si>
    <t>Chester</t>
  </si>
  <si>
    <t>Southport</t>
  </si>
  <si>
    <t>21/03/2026 15:00 | England | National League - North | Chester vs Southport</t>
  </si>
  <si>
    <t>King's Lynn Town</t>
  </si>
  <si>
    <t>Curzon Ashton</t>
  </si>
  <si>
    <t>21/03/2026 15:00 | England | National League - North | King's Lynn Town vs Curzon Ashton</t>
  </si>
  <si>
    <t>Leamington</t>
  </si>
  <si>
    <t>Scarborough Athletic</t>
  </si>
  <si>
    <t>21/03/2026 15:00 | England | National League - North | Leamington vs Scarborough Athletic</t>
  </si>
  <si>
    <t>Macclesfield</t>
  </si>
  <si>
    <t>Hereford</t>
  </si>
  <si>
    <t>21/03/2026 15:00 | England | National League - North | Macclesfield vs Hereford</t>
  </si>
  <si>
    <t>Oxford City</t>
  </si>
  <si>
    <t>Chorley</t>
  </si>
  <si>
    <t>21/03/2026 15:00 | England | National League - North | Oxford City vs Chorley</t>
  </si>
  <si>
    <t>Peterborough Sports</t>
  </si>
  <si>
    <t>Darlington 1883</t>
  </si>
  <si>
    <t>21/03/2026 15:00 | England | National League - North | Peterborough Sports vs Darlington 1883</t>
  </si>
  <si>
    <t>Radcliffe</t>
  </si>
  <si>
    <t>Kidderminster Harriers</t>
  </si>
  <si>
    <t>21/03/2026 15:00 | England | National League - North | Radcliffe vs Kidderminster Harriers</t>
  </si>
  <si>
    <t>South Shields</t>
  </si>
  <si>
    <t>Merthyr Town</t>
  </si>
  <si>
    <t>21/03/2026 15:00 | England | National League - North | South Shields vs Merthyr Town</t>
  </si>
  <si>
    <t>Spennymoor Town</t>
  </si>
  <si>
    <t>Alfreton Town</t>
  </si>
  <si>
    <t>21/03/2026 15:00 | England | National League - North | Spennymoor Town vs Alfreton Town</t>
  </si>
  <si>
    <t>Worksop Town</t>
  </si>
  <si>
    <t>AFC Fylde</t>
  </si>
  <si>
    <t>21/03/2026 15:00 | England | National League - North | Worksop Town vs AFC Fylde</t>
  </si>
  <si>
    <t>Football League - Lowland League</t>
  </si>
  <si>
    <t>Stirling University</t>
  </si>
  <si>
    <t>Tranent Juniors</t>
  </si>
  <si>
    <t>21/03/2026 15:00 | Scotland | Football League - Lowland League | Stirling University vs Tranent Juniors</t>
  </si>
  <si>
    <t>Gretna 2008</t>
  </si>
  <si>
    <t>East Stirlingshire</t>
  </si>
  <si>
    <t>21/03/2026 15:00 | Scotland | Football League - Lowland League | Gretna 2008 vs East Stirlingshire</t>
  </si>
  <si>
    <t>Bo'ness United</t>
  </si>
  <si>
    <t>Cowdenbeath</t>
  </si>
  <si>
    <t>21/03/2026 15:00 | Scotland | Football League - Lowland League | Bo'ness United vs Cowdenbeath</t>
  </si>
  <si>
    <t>Linlithgow Rose</t>
  </si>
  <si>
    <t>Berwick Rangers</t>
  </si>
  <si>
    <t>21/03/2026 15:00 | Scotland | Football League - Lowland League | Linlithgow Rose vs Berwick Rangers</t>
  </si>
  <si>
    <t>Caledonian Braves</t>
  </si>
  <si>
    <t>Albion Rovers</t>
  </si>
  <si>
    <t>21/03/2026 15:00 | Scotland | Football League - Lowland League | Caledonian Braves vs Albion Rovers</t>
  </si>
  <si>
    <t>Celtic II</t>
  </si>
  <si>
    <t>Bonnyrigg Rose Athletic</t>
  </si>
  <si>
    <t>21/03/2026 15:00 | Scotland | Football League - Lowland League | Celtic II vs Bonnyrigg Rose Athletic</t>
  </si>
  <si>
    <t>21/03/2026 15:00 | Germany | Oberliga - Niederrhein | SF Baumberg vs Hilden</t>
  </si>
  <si>
    <t>Lisne</t>
  </si>
  <si>
    <t>Kulykiv</t>
  </si>
  <si>
    <t>21/03/2026 15:00 | Ukraine | Druha Liga | Lisne vs Kulykiv</t>
  </si>
  <si>
    <t>Lüneburger SK Hansa</t>
  </si>
  <si>
    <t>21/03/2026 15:00 | Germany | Oberliga - Niedersachsen | Lüneburger SK Hansa vs Bersenbrück</t>
  </si>
  <si>
    <t>21/03/2026 15:00 | Portugal | Campeonato de Portugal Prio - Group C | Vitória de Sernache vs Samora Correir</t>
  </si>
  <si>
    <t>21/03/2026 15:00 | Portugal | Campeonato de Portugal Prio - Group C | Benfica Castelo Branco vs Oliveira Hospital</t>
  </si>
  <si>
    <t>FC Schaffhausen</t>
  </si>
  <si>
    <t>21/03/2026 15:00 | Switzerland | 1. Liga Promotion | Brühl vs FC Schaffhausen</t>
  </si>
  <si>
    <t>AXA Women’s Super League</t>
  </si>
  <si>
    <t>Young Boys W</t>
  </si>
  <si>
    <t>Basel W</t>
  </si>
  <si>
    <t>21/03/2026 15:00 | Switzerland | AXA Women’s Super League | Young Boys W vs Basel W</t>
  </si>
  <si>
    <t>Non League Premier - Isthmian</t>
  </si>
  <si>
    <t>Canvey Island</t>
  </si>
  <si>
    <t>Hashtag United</t>
  </si>
  <si>
    <t>21/03/2026 15:00 | England | Non League Premier - Isthmian | Canvey Island vs Hashtag United</t>
  </si>
  <si>
    <t>Dartford</t>
  </si>
  <si>
    <t>Lewes</t>
  </si>
  <si>
    <t>21/03/2026 15:00 | England | Non League Premier - Isthmian | Dartford vs Lewes</t>
  </si>
  <si>
    <t>Dulwich Hamlet</t>
  </si>
  <si>
    <t>Billericay Town</t>
  </si>
  <si>
    <t>21/03/2026 15:00 | England | Non League Premier - Isthmian | Dulwich Hamlet vs Billericay Town</t>
  </si>
  <si>
    <t>Aveley</t>
  </si>
  <si>
    <t>Cheshunt</t>
  </si>
  <si>
    <t>21/03/2026 15:00 | England | Non League Premier - Isthmian | Aveley vs Cheshunt</t>
  </si>
  <si>
    <t>Cray Wanderers</t>
  </si>
  <si>
    <t>Potters Bar Town</t>
  </si>
  <si>
    <t>21/03/2026 15:00 | England | Non League Premier - Isthmian | Cray Wanderers vs Potters Bar Town</t>
  </si>
  <si>
    <t>St Albans City</t>
  </si>
  <si>
    <t>Ramsgate</t>
  </si>
  <si>
    <t>21/03/2026 15:00 | England | Non League Premier - Isthmian | St Albans City vs Ramsgate</t>
  </si>
  <si>
    <t>Welling United</t>
  </si>
  <si>
    <t>Whitehawk</t>
  </si>
  <si>
    <t>21/03/2026 15:00 | England | Non League Premier - Isthmian | Welling United vs Whitehawk</t>
  </si>
  <si>
    <t>Carshalton Athletic</t>
  </si>
  <si>
    <t>Wingate &amp; Finchley</t>
  </si>
  <si>
    <t>21/03/2026 15:00 | England | Non League Premier - Isthmian | Carshalton Athletic vs Wingate &amp; Finchley</t>
  </si>
  <si>
    <t>Burgess Hill Town</t>
  </si>
  <si>
    <t>Chatham Town</t>
  </si>
  <si>
    <t>21/03/2026 15:00 | England | Non League Premier - Isthmian | Burgess Hill Town vs Chatham Town</t>
  </si>
  <si>
    <t>Cray Valley PM</t>
  </si>
  <si>
    <t>Chichester City</t>
  </si>
  <si>
    <t>21/03/2026 15:00 | England | Non League Premier - Isthmian | Cray Valley PM vs Chichester City</t>
  </si>
  <si>
    <t>Brentwood Town</t>
  </si>
  <si>
    <t>Folkestone Invicta</t>
  </si>
  <si>
    <t>21/03/2026 15:00 | England | Non League Premier - Isthmian | Brentwood Town vs Folkestone Invicta</t>
  </si>
  <si>
    <t>Chantilly</t>
  </si>
  <si>
    <t>Haguenau</t>
  </si>
  <si>
    <t>21/03/2026 15:00 | France | National 2 - Group B | Chantilly vs Haguenau</t>
  </si>
  <si>
    <t>Pontarlier</t>
  </si>
  <si>
    <t>21/03/2026 15:00 | France | National 3 - Group F | Pontarlier vs Sochaux II</t>
  </si>
  <si>
    <t>Non League Premier - Southern Central</t>
  </si>
  <si>
    <t>Alvechurch</t>
  </si>
  <si>
    <t>Harborough Town</t>
  </si>
  <si>
    <t>21/03/2026 15:00 | England | Non League Premier - Southern Central | Alvechurch vs Harborough Town</t>
  </si>
  <si>
    <t>Kettering Town</t>
  </si>
  <si>
    <t>Quorn</t>
  </si>
  <si>
    <t>21/03/2026 15:00 | England | Non League Premier - Southern Central | Kettering Town vs Quorn</t>
  </si>
  <si>
    <t>Redditch United</t>
  </si>
  <si>
    <t>Needham Market</t>
  </si>
  <si>
    <t>21/03/2026 15:00 | England | Non League Premier - Southern Central | Redditch United vs Needham Market</t>
  </si>
  <si>
    <t>Banbury United</t>
  </si>
  <si>
    <t>Bishop's Stortford</t>
  </si>
  <si>
    <t>21/03/2026 15:00 | England | Non League Premier - Southern Central | Banbury United vs Bishop's Stortford</t>
  </si>
  <si>
    <t>Stourbridge</t>
  </si>
  <si>
    <t>Stratford Town</t>
  </si>
  <si>
    <t>21/03/2026 15:00 | England | Non League Premier - Southern Central | Stourbridge vs Stratford Town</t>
  </si>
  <si>
    <t>Barwell</t>
  </si>
  <si>
    <t>AFC Sudbury</t>
  </si>
  <si>
    <t>21/03/2026 15:00 | England | Non League Premier - Southern Central | Barwell vs AFC Sudbury</t>
  </si>
  <si>
    <t>Royston Town</t>
  </si>
  <si>
    <t>Bromsgrove Sporting</t>
  </si>
  <si>
    <t>21/03/2026 15:00 | England | Non League Premier - Southern Central | Royston Town vs Bromsgrove Sporting</t>
  </si>
  <si>
    <t>Leiston</t>
  </si>
  <si>
    <t>Worcester City</t>
  </si>
  <si>
    <t>21/03/2026 15:00 | England | Non League Premier - Southern Central | Leiston vs Worcester City</t>
  </si>
  <si>
    <t>St Ives Town</t>
  </si>
  <si>
    <t>Spalding United</t>
  </si>
  <si>
    <t>21/03/2026 15:00 | England | Non League Premier - Southern Central | St Ives Town vs Spalding United</t>
  </si>
  <si>
    <t>Real Bedford</t>
  </si>
  <si>
    <t>Stamford</t>
  </si>
  <si>
    <t>21/03/2026 15:00 | England | Non League Premier - Southern Central | Real Bedford vs Stamford</t>
  </si>
  <si>
    <t>Halesowen Town</t>
  </si>
  <si>
    <t>Bury Town</t>
  </si>
  <si>
    <t>21/03/2026 15:00 | England | Non League Premier - Southern Central | Halesowen Town vs Bury Town</t>
  </si>
  <si>
    <t>Non League Premier - Southern South</t>
  </si>
  <si>
    <t>Tiverton Town</t>
  </si>
  <si>
    <t>Walton &amp; Hersham</t>
  </si>
  <si>
    <t>21/03/2026 15:00 | England | Non League Premier - Southern South | Tiverton Town vs Walton &amp; Hersham</t>
  </si>
  <si>
    <t>Gosport Borough</t>
  </si>
  <si>
    <t>Poole Town</t>
  </si>
  <si>
    <t>21/03/2026 15:00 | England | Non League Premier - Southern South | Gosport Borough vs Poole Town</t>
  </si>
  <si>
    <t>Dorchester Town</t>
  </si>
  <si>
    <t>Bracknell Town</t>
  </si>
  <si>
    <t>21/03/2026 15:00 | England | Non League Premier - Southern South | Dorchester Town vs Bracknell Town</t>
  </si>
  <si>
    <t>Taunton Town</t>
  </si>
  <si>
    <t>Hanwell Town</t>
  </si>
  <si>
    <t>21/03/2026 15:00 | England | Non League Premier - Southern South | Taunton Town vs Hanwell Town</t>
  </si>
  <si>
    <t>Yate Town</t>
  </si>
  <si>
    <t>Weymouth</t>
  </si>
  <si>
    <t>21/03/2026 15:00 | England | Non League Premier - Southern South | Yate Town vs Weymouth</t>
  </si>
  <si>
    <t>Hungerford Town</t>
  </si>
  <si>
    <t>Sholing</t>
  </si>
  <si>
    <t>21/03/2026 15:00 | England | Non League Premier - Southern South | Hungerford Town vs Sholing</t>
  </si>
  <si>
    <t>Havant &amp; Wville</t>
  </si>
  <si>
    <t>Berkhamsted</t>
  </si>
  <si>
    <t>21/03/2026 15:00 | England | Non League Premier - Southern South | Havant &amp; Wville vs Berkhamsted</t>
  </si>
  <si>
    <t>Gloucester City</t>
  </si>
  <si>
    <t>Uxbridge</t>
  </si>
  <si>
    <t>21/03/2026 15:00 | England | Non League Premier - Southern South | Gloucester City vs Uxbridge</t>
  </si>
  <si>
    <t>Farnham Town</t>
  </si>
  <si>
    <t>Basingstoke Town</t>
  </si>
  <si>
    <t>21/03/2026 15:00 | England | Non League Premier - Southern South | Farnham Town vs Basingstoke Town</t>
  </si>
  <si>
    <t>Chertsey Town</t>
  </si>
  <si>
    <t>Wimborne Town</t>
  </si>
  <si>
    <t>21/03/2026 15:00 | England | Non League Premier - Southern South | Chertsey Town vs Wimborne Town</t>
  </si>
  <si>
    <t>Evesham United</t>
  </si>
  <si>
    <t>Plymouth Parkway</t>
  </si>
  <si>
    <t>21/03/2026 15:00 | England | Non League Premier - Southern South | Evesham United vs Plymouth Parkway</t>
  </si>
  <si>
    <t>Non League Premier - Northern</t>
  </si>
  <si>
    <t>Rylands</t>
  </si>
  <si>
    <t>United of Manchester</t>
  </si>
  <si>
    <t>21/03/2026 15:00 | England | Non League Premier - Northern | Rylands vs United of Manchester</t>
  </si>
  <si>
    <t>Stockton Town</t>
  </si>
  <si>
    <t>Warrington Town</t>
  </si>
  <si>
    <t>21/03/2026 15:00 | England | Non League Premier - Northern | Stockton Town vs Warrington Town</t>
  </si>
  <si>
    <t>Guiseley AFC</t>
  </si>
  <si>
    <t>Whitby Town</t>
  </si>
  <si>
    <t>21/03/2026 15:00 | England | Non League Premier - Northern | Guiseley AFC vs Whitby Town</t>
  </si>
  <si>
    <t>Rushall Olympic</t>
  </si>
  <si>
    <t>Gainsborough Trinity</t>
  </si>
  <si>
    <t>21/03/2026 15:00 | England | Non League Premier - Northern | Rushall Olympic vs Gainsborough Trinity</t>
  </si>
  <si>
    <t>Ashton United</t>
  </si>
  <si>
    <t>Ilkeston Town</t>
  </si>
  <si>
    <t>21/03/2026 15:00 | England | Non League Premier - Northern | Ashton United vs Ilkeston Town</t>
  </si>
  <si>
    <t>Bamber Bridge</t>
  </si>
  <si>
    <t>Morpeth Town</t>
  </si>
  <si>
    <t>21/03/2026 15:00 | England | Non League Premier - Northern | Bamber Bridge vs Morpeth Town</t>
  </si>
  <si>
    <t>Hyde United</t>
  </si>
  <si>
    <t>Workington</t>
  </si>
  <si>
    <t>21/03/2026 15:00 | England | Non League Premier - Northern | Hyde United vs Workington</t>
  </si>
  <si>
    <t>Lancaster City</t>
  </si>
  <si>
    <t>Cleethorpes Town</t>
  </si>
  <si>
    <t>21/03/2026 15:00 | England | Non League Premier - Northern | Lancaster City vs Cleethorpes Town</t>
  </si>
  <si>
    <t>Hebburn Town</t>
  </si>
  <si>
    <t>Prescot Cables</t>
  </si>
  <si>
    <t>21/03/2026 15:00 | England | Non League Premier - Northern | Hebburn Town vs Prescot Cables</t>
  </si>
  <si>
    <t>Stocksbridge Park Steels</t>
  </si>
  <si>
    <t>Hednesford Town</t>
  </si>
  <si>
    <t>21/03/2026 15:00 | England | Non League Premier - Northern | Stocksbridge Park Steels vs Hednesford Town</t>
  </si>
  <si>
    <t>Buochs</t>
  </si>
  <si>
    <t>Schötz</t>
  </si>
  <si>
    <t>21/03/2026 15:00 | Switzerland | 1. Liga Classic - Group 2 | Buochs vs Schötz</t>
  </si>
  <si>
    <t>Solothurn</t>
  </si>
  <si>
    <t>Concordia Basel</t>
  </si>
  <si>
    <t>21/03/2026 15:00 | Switzerland | 1. Liga Classic - Group 2 | Solothurn vs Concordia Basel</t>
  </si>
  <si>
    <t>Muttenz</t>
  </si>
  <si>
    <t>Zug</t>
  </si>
  <si>
    <t>21/03/2026 15:00 | Switzerland | 1. Liga Classic - Group 2 | Muttenz vs Zug</t>
  </si>
  <si>
    <t>La Chaux-de-Fonds</t>
  </si>
  <si>
    <t>21/03/2026 15:00 | Switzerland | 1. Liga Classic - Group 1 | La Chaux-de-Fonds vs Echallens</t>
  </si>
  <si>
    <t>Tuggen</t>
  </si>
  <si>
    <t>Kosova</t>
  </si>
  <si>
    <t>21/03/2026 15:00 | Switzerland | 1. Liga Classic - Group 3 | Tuggen vs Kosova</t>
  </si>
  <si>
    <t>YF Juventus</t>
  </si>
  <si>
    <t>21/03/2026 15:00 | Switzerland | 1. Liga Classic - Group 3 | YF Juventus vs Wettswil-Bonstetten</t>
  </si>
  <si>
    <t>Leverstock Green</t>
  </si>
  <si>
    <t>Flackwell Heath</t>
  </si>
  <si>
    <t>21/03/2026 15:00 | England | Non League Div One - Southern Central | Leverstock Green vs Flackwell Heath</t>
  </si>
  <si>
    <t>Non League Div One - Isthmian South Central</t>
  </si>
  <si>
    <t>Bognor Regis Town</t>
  </si>
  <si>
    <t>Metropolitan Police</t>
  </si>
  <si>
    <t>21/03/2026 15:00 | England | Non League Div One - Isthmian South Central | Bognor Regis Town vs Metropolitan Police</t>
  </si>
  <si>
    <t>Hayes &amp; Yeading United</t>
  </si>
  <si>
    <t>Ascot United</t>
  </si>
  <si>
    <t>21/03/2026 15:00 | England | Non League Div One - Isthmian South Central | Hayes &amp; Yeading United vs Ascot United</t>
  </si>
  <si>
    <t>Hendon</t>
  </si>
  <si>
    <t>Moneyfields</t>
  </si>
  <si>
    <t>21/03/2026 15:00 | England | Non League Div One - Isthmian South Central | Hendon vs Moneyfields</t>
  </si>
  <si>
    <t>Kingstonian</t>
  </si>
  <si>
    <t>Southall</t>
  </si>
  <si>
    <t>21/03/2026 15:00 | England | Non League Div One - Isthmian South Central | Kingstonian vs Southall</t>
  </si>
  <si>
    <t>Harrow Borough</t>
  </si>
  <si>
    <t>AFC Portchester</t>
  </si>
  <si>
    <t>21/03/2026 15:00 | England | Non League Div One - Isthmian South Central | Harrow Borough vs AFC Portchester</t>
  </si>
  <si>
    <t>Hartley Wintney</t>
  </si>
  <si>
    <t>Hanworth Villa</t>
  </si>
  <si>
    <t>21/03/2026 15:00 | England | Non League Div One - Isthmian South Central | Hartley Wintney vs Hanworth Villa</t>
  </si>
  <si>
    <t>Binfield</t>
  </si>
  <si>
    <t>Littlehampton Town</t>
  </si>
  <si>
    <t>21/03/2026 15:00 | England | Non League Div One - Isthmian South Central | Binfield vs Littlehampton Town</t>
  </si>
  <si>
    <t>Leatherhead</t>
  </si>
  <si>
    <t>Raynes Park Vale</t>
  </si>
  <si>
    <t>21/03/2026 15:00 | England | Non League Div One - Isthmian South Central | Leatherhead vs Raynes Park Vale</t>
  </si>
  <si>
    <t>Horndean</t>
  </si>
  <si>
    <t>South Park</t>
  </si>
  <si>
    <t>21/03/2026 15:00 | England | Non League Div One - Isthmian South Central | Horndean vs South Park</t>
  </si>
  <si>
    <t>Fareham Town</t>
  </si>
  <si>
    <t>Bedfont Sports</t>
  </si>
  <si>
    <t>21/03/2026 15:00 | England | Non League Div One - Isthmian South Central | Fareham Town vs Bedfont Sports</t>
  </si>
  <si>
    <t>Egham Town</t>
  </si>
  <si>
    <t>Westfield (Surrey)</t>
  </si>
  <si>
    <t>21/03/2026 15:00 | England | Non League Div One - Isthmian South Central | Egham Town vs Westfield (Surrey)</t>
  </si>
  <si>
    <t>Non League Div One - Isthmian North</t>
  </si>
  <si>
    <t>Brantham Athletic</t>
  </si>
  <si>
    <t>Lowestoft Town</t>
  </si>
  <si>
    <t>21/03/2026 15:00 | England | Non League Div One - Isthmian North | Brantham Athletic vs Lowestoft Town</t>
  </si>
  <si>
    <t>Witham Town</t>
  </si>
  <si>
    <t>Concord Rangers</t>
  </si>
  <si>
    <t>21/03/2026 15:00 | England | Non League Div One - Isthmian North | Witham Town vs Concord Rangers</t>
  </si>
  <si>
    <t>Maldon &amp; Tiptree</t>
  </si>
  <si>
    <t>Bowers &amp; Pitsea</t>
  </si>
  <si>
    <t>21/03/2026 15:00 | England | Non League Div One - Isthmian North | Maldon &amp; Tiptree vs Bowers &amp; Pitsea</t>
  </si>
  <si>
    <t>Felixstowe &amp; Walton Utd</t>
  </si>
  <si>
    <t>Redbridge</t>
  </si>
  <si>
    <t>21/03/2026 15:00 | England | Non League Div One - Isthmian North | Felixstowe &amp; Walton Utd vs Redbridge</t>
  </si>
  <si>
    <t>Tilbury</t>
  </si>
  <si>
    <t>Brightlingsea Regent</t>
  </si>
  <si>
    <t>21/03/2026 15:00 | England | Non League Div One - Isthmian North | Tilbury vs Brightlingsea Regent</t>
  </si>
  <si>
    <t>Gorleston</t>
  </si>
  <si>
    <t>Takeley</t>
  </si>
  <si>
    <t>21/03/2026 15:00 | England | Non League Div One - Isthmian North | Gorleston vs Takeley</t>
  </si>
  <si>
    <t>Cambridge City</t>
  </si>
  <si>
    <t>Stanway Rovers</t>
  </si>
  <si>
    <t>21/03/2026 15:00 | England | Non League Div One - Isthmian North | Cambridge City vs Stanway Rovers</t>
  </si>
  <si>
    <t>Newmarket Town</t>
  </si>
  <si>
    <t>Wroxham</t>
  </si>
  <si>
    <t>21/03/2026 15:00 | England | Non League Div One - Isthmian North | Newmarket Town vs Wroxham</t>
  </si>
  <si>
    <t>Downham Town</t>
  </si>
  <si>
    <t>Grays Athletic</t>
  </si>
  <si>
    <t>21/03/2026 15:00 | England | Non League Div One - Isthmian North | Downham Town vs Grays Athletic</t>
  </si>
  <si>
    <t>Walthamstow</t>
  </si>
  <si>
    <t>Heybridge Swifts</t>
  </si>
  <si>
    <t>21/03/2026 15:00 | England | Non League Div One - Isthmian North | Walthamstow vs Heybridge Swifts</t>
  </si>
  <si>
    <t>Waltham Abbey</t>
  </si>
  <si>
    <t>Mildenhall Town</t>
  </si>
  <si>
    <t>21/03/2026 15:00 | England | Non League Div One - Isthmian North | Waltham Abbey vs Mildenhall Town</t>
  </si>
  <si>
    <t>Non League Div One - Northern Midlands</t>
  </si>
  <si>
    <t>Mickleover Sports</t>
  </si>
  <si>
    <t>Racing Club Warwick</t>
  </si>
  <si>
    <t>21/03/2026 15:00 | England | Non League Div One - Northern Midlands | Mickleover Sports vs Racing Club Warwick</t>
  </si>
  <si>
    <t>Lichfield City</t>
  </si>
  <si>
    <t>Basford United</t>
  </si>
  <si>
    <t>21/03/2026 15:00 | England | Non League Div One - Northern Midlands | Lichfield City vs Basford United</t>
  </si>
  <si>
    <t>Corby Town</t>
  </si>
  <si>
    <t>Bedworth United</t>
  </si>
  <si>
    <t>21/03/2026 15:00 | England | Non League Div One - Northern Midlands | Corby Town vs Bedworth United</t>
  </si>
  <si>
    <t>Belper Town</t>
  </si>
  <si>
    <t>Sutton Coldfield Town</t>
  </si>
  <si>
    <t>21/03/2026 15:00 | England | Non League Div One - Northern Midlands | Belper Town vs Sutton Coldfield Town</t>
  </si>
  <si>
    <t>Wellingborough Town</t>
  </si>
  <si>
    <t>Long Eaton United</t>
  </si>
  <si>
    <t>21/03/2026 15:00 | England | Non League Div One - Northern Midlands | Wellingborough Town vs Long Eaton United</t>
  </si>
  <si>
    <t>Loughborough University</t>
  </si>
  <si>
    <t>AFC Rushden &amp; Diamonds</t>
  </si>
  <si>
    <t>21/03/2026 15:00 | England | Non League Div One - Northern Midlands | Loughborough University vs AFC Rushden &amp; Diamonds</t>
  </si>
  <si>
    <t>Coleshill Town</t>
  </si>
  <si>
    <t>Carlton Town</t>
  </si>
  <si>
    <t>21/03/2026 15:00 | England | Non League Div One - Northern Midlands | Coleshill Town vs Carlton Town</t>
  </si>
  <si>
    <t>Anstey Nomads</t>
  </si>
  <si>
    <t>Rugby Borough</t>
  </si>
  <si>
    <t>21/03/2026 15:00 | England | Non League Div One - Northern Midlands | Anstey Nomads vs Rugby Borough</t>
  </si>
  <si>
    <t>Coventry Sphinx</t>
  </si>
  <si>
    <t>Shepshed Dynamo</t>
  </si>
  <si>
    <t>21/03/2026 15:00 | England | Non League Div One - Northern Midlands | Coventry Sphinx vs Shepshed Dynamo</t>
  </si>
  <si>
    <t>Boldmere St. Michaels</t>
  </si>
  <si>
    <t>St Neots Town</t>
  </si>
  <si>
    <t>21/03/2026 15:00 | England | Non League Div One - Northern Midlands | Boldmere St. Michaels vs St Neots Town</t>
  </si>
  <si>
    <t>Non League Div One - Isthmian South East</t>
  </si>
  <si>
    <t>Sevenoaks Town</t>
  </si>
  <si>
    <t>Hastings United</t>
  </si>
  <si>
    <t>21/03/2026 15:00 | England | Non League Div One - Isthmian South East | Sevenoaks Town vs Hastings United</t>
  </si>
  <si>
    <t>Margate</t>
  </si>
  <si>
    <t>Three Bridges</t>
  </si>
  <si>
    <t>21/03/2026 15:00 | England | Non League Div One - Isthmian South East | Margate vs Three Bridges</t>
  </si>
  <si>
    <t>Sittingbourne</t>
  </si>
  <si>
    <t>Herne Bay</t>
  </si>
  <si>
    <t>21/03/2026 15:00 | England | Non League Div One - Isthmian South East | Sittingbourne vs Herne Bay</t>
  </si>
  <si>
    <t>Beckenham Town</t>
  </si>
  <si>
    <t>Ashford United</t>
  </si>
  <si>
    <t>21/03/2026 15:00 | England | Non League Div One - Isthmian South East | Beckenham Town vs Ashford United</t>
  </si>
  <si>
    <t>Jersey Bulls</t>
  </si>
  <si>
    <t>Eastbourne Town</t>
  </si>
  <si>
    <t>21/03/2026 15:00 | England | Non League Div One - Isthmian South East | Jersey Bulls vs Eastbourne Town</t>
  </si>
  <si>
    <t>Broadbridge Heath</t>
  </si>
  <si>
    <t>Merstham</t>
  </si>
  <si>
    <t>21/03/2026 15:00 | England | Non League Div One - Isthmian South East | Broadbridge Heath vs Merstham</t>
  </si>
  <si>
    <t>East Grinstead Town</t>
  </si>
  <si>
    <t>AFC Croydon Athletic</t>
  </si>
  <si>
    <t>21/03/2026 15:00 | England | Non League Div One - Isthmian South East | East Grinstead Town vs AFC Croydon Athletic</t>
  </si>
  <si>
    <t>Deal Town</t>
  </si>
  <si>
    <t>Erith Town</t>
  </si>
  <si>
    <t>21/03/2026 15:00 | England | Non League Div One - Isthmian South East | Deal Town vs Erith Town</t>
  </si>
  <si>
    <t>Faversham Town</t>
  </si>
  <si>
    <t>Crowborough Athletic</t>
  </si>
  <si>
    <t>21/03/2026 15:00 | England | Non League Div One - Isthmian South East | Faversham Town vs Crowborough Athletic</t>
  </si>
  <si>
    <t>Hassocks</t>
  </si>
  <si>
    <t>VCD Athletic</t>
  </si>
  <si>
    <t>21/03/2026 15:00 | England | Non League Div One - Isthmian South East | Hassocks vs VCD Athletic</t>
  </si>
  <si>
    <t>Sheppey United</t>
  </si>
  <si>
    <t>AFC Whyteleafe</t>
  </si>
  <si>
    <t>21/03/2026 15:00 | England | Non League Div One - Isthmian South East | Sheppey United vs AFC Whyteleafe</t>
  </si>
  <si>
    <t>Mirandés II</t>
  </si>
  <si>
    <t>21/03/2026 15:00 | Spain | Tercera División RFEF - Group 8 | Mirandés II vs La Virgen del Camino</t>
  </si>
  <si>
    <t>Colegios Diocesanos</t>
  </si>
  <si>
    <t>Almazán</t>
  </si>
  <si>
    <t>21/03/2026 15:00 | Spain | Tercera División RFEF - Group 8 | Colegios Diocesanos vs Almazán</t>
  </si>
  <si>
    <t>Manacor</t>
  </si>
  <si>
    <t>21/03/2026 15:00 | Spain | Tercera División RFEF - Group 11 | Manacor vs Mercadal</t>
  </si>
  <si>
    <t>21/03/2026 15:00 | Spain | Tercera División RFEF - Group 11 | Mallorca II vs Collerense</t>
  </si>
  <si>
    <t>Pamplona</t>
  </si>
  <si>
    <t>21/03/2026 15:00 | Spain | Tercera División RFEF - Group 15 | Pamplona vs Cirbonero</t>
  </si>
  <si>
    <t>Beti Onak</t>
  </si>
  <si>
    <t>21/03/2026 15:00 | Spain | Tercera División RFEF - Group 15 | Oberena vs Beti Onak</t>
  </si>
  <si>
    <t>Guadalajara II</t>
  </si>
  <si>
    <t>Illescas</t>
  </si>
  <si>
    <t>21/03/2026 15:00 | Spain | Tercera División RFEF - Group 18 | Guadalajara II vs Illescas</t>
  </si>
  <si>
    <t>Landesliga - Oberosterreich</t>
  </si>
  <si>
    <t>Bad Schallerbach</t>
  </si>
  <si>
    <t>Vortuna Bad Leonfelden</t>
  </si>
  <si>
    <t>21/03/2026 15:00 | Austria | Landesliga - Oberosterreich | Bad Schallerbach vs Vortuna Bad Leonfelden</t>
  </si>
  <si>
    <t>Union Edelweiß</t>
  </si>
  <si>
    <t>Friedburg / Pöndorf</t>
  </si>
  <si>
    <t>21/03/2026 15:00 | Austria | Landesliga - Oberosterreich | Union Edelweiß vs Friedburg / Pöndorf</t>
  </si>
  <si>
    <t>Pregarten</t>
  </si>
  <si>
    <t>Oedt</t>
  </si>
  <si>
    <t>21/03/2026 15:00 | Austria | Landesliga - Oberosterreich | Pregarten vs Oedt</t>
  </si>
  <si>
    <t>Weißkirchen / Allhaming</t>
  </si>
  <si>
    <t>Grün Weiß Micheldorf</t>
  </si>
  <si>
    <t>21/03/2026 15:00 | Austria | Landesliga - Oberosterreich | Weißkirchen / Allhaming vs Grün Weiß Micheldorf</t>
  </si>
  <si>
    <t>SK Vorwarts Steyr</t>
  </si>
  <si>
    <t>Ostermiething</t>
  </si>
  <si>
    <t>21/03/2026 15:00 | Austria | Landesliga - Oberosterreich | SK Vorwarts Steyr vs Ostermiething</t>
  </si>
  <si>
    <t>Union Vöcklamarkt</t>
  </si>
  <si>
    <t>St. Martin i.M.</t>
  </si>
  <si>
    <t>21/03/2026 15:00 | Austria | Landesliga - Oberosterreich | Union Vöcklamarkt vs St. Martin i.M.</t>
  </si>
  <si>
    <t>Bad Ischl</t>
  </si>
  <si>
    <t>Union Perg</t>
  </si>
  <si>
    <t>21/03/2026 15:00 | Austria | Landesliga - Oberosterreich | Bad Ischl vs Union Perg</t>
  </si>
  <si>
    <t>Gschwandt</t>
  </si>
  <si>
    <t>Mondsee</t>
  </si>
  <si>
    <t>21/03/2026 15:00 | Austria | Landesliga - Oberosterreich | Gschwandt vs Mondsee</t>
  </si>
  <si>
    <t>Landesliga - Tirol</t>
  </si>
  <si>
    <t>Kematen</t>
  </si>
  <si>
    <t>Völs</t>
  </si>
  <si>
    <t>21/03/2026 15:00 | Austria | Landesliga - Tirol | Kematen vs Völs</t>
  </si>
  <si>
    <t>Mils</t>
  </si>
  <si>
    <t>Innsbrucker AC</t>
  </si>
  <si>
    <t>21/03/2026 15:00 | Austria | Landesliga - Tirol | Mils vs Innsbrucker AC</t>
  </si>
  <si>
    <t>Ebbs</t>
  </si>
  <si>
    <t>St. Johann in Tirol</t>
  </si>
  <si>
    <t>21/03/2026 15:00 | Austria | Landesliga - Tirol | Ebbs vs St. Johann in Tirol</t>
  </si>
  <si>
    <t>Silz / Mötz</t>
  </si>
  <si>
    <t>Swarovski Tirol II</t>
  </si>
  <si>
    <t>21/03/2026 15:00 | Austria | Landesliga - Tirol | Silz / Mötz vs Swarovski Tirol II</t>
  </si>
  <si>
    <t>Telfs</t>
  </si>
  <si>
    <t>Wörgl</t>
  </si>
  <si>
    <t>21/03/2026 15:00 | Austria | Landesliga - Tirol | Telfs vs Wörgl</t>
  </si>
  <si>
    <t>Oberperfuss</t>
  </si>
  <si>
    <t>Kundl</t>
  </si>
  <si>
    <t>21/03/2026 15:00 | Austria | Landesliga - Tirol | Oberperfuss vs Kundl</t>
  </si>
  <si>
    <t>Fügen</t>
  </si>
  <si>
    <t>Volders</t>
  </si>
  <si>
    <t>21/03/2026 15:00 | Austria | Landesliga - Tirol | Fügen vs Volders</t>
  </si>
  <si>
    <t>Lecco U19</t>
  </si>
  <si>
    <t>Reggiana U19</t>
  </si>
  <si>
    <t>21/03/2026 15:00 | Italy | Campionato Primavera - 2 | Lecco U19 vs Reggiana U19</t>
  </si>
  <si>
    <t>Interclube</t>
  </si>
  <si>
    <t>21/03/2026 15:00 | Angola | Girabola | Interclube vs CD Lunda-Sul</t>
  </si>
  <si>
    <t>Petro de Luanda</t>
  </si>
  <si>
    <t>21/03/2026 15:00 | Angola | Girabola | 1º de Agosto vs Petro de Luanda</t>
  </si>
  <si>
    <t>21/03/2026 15:00 | Angola | Girabola | Wiliete vs Desportivo Huíla</t>
  </si>
  <si>
    <t>21/03/2026 15:00 | Angola | Girabola | Interclube vs Petro de Luanda</t>
  </si>
  <si>
    <t>21/03/2026 15:00 | Angola | Girabola | 1º de Maio vs Kabuscorp</t>
  </si>
  <si>
    <t>Non League Div One - Northern West</t>
  </si>
  <si>
    <t>Bury</t>
  </si>
  <si>
    <t>Bootle</t>
  </si>
  <si>
    <t>21/03/2026 15:00 | England | Non League Div One - Northern West | Bury vs Bootle</t>
  </si>
  <si>
    <t>Mossley</t>
  </si>
  <si>
    <t>Newcastle Town</t>
  </si>
  <si>
    <t>21/03/2026 15:00 | England | Non League Div One - Northern West | Mossley vs Newcastle Town</t>
  </si>
  <si>
    <t>Trafford</t>
  </si>
  <si>
    <t>Stafford Rangers</t>
  </si>
  <si>
    <t>21/03/2026 15:00 | England | Non League Div One - Northern West | Trafford vs Stafford Rangers</t>
  </si>
  <si>
    <t>Chasetown</t>
  </si>
  <si>
    <t>Avro</t>
  </si>
  <si>
    <t>21/03/2026 15:00 | England | Non League Div One - Northern West | Chasetown vs Avro</t>
  </si>
  <si>
    <t>Atherton Collieries</t>
  </si>
  <si>
    <t>Kidsgrove Athletic</t>
  </si>
  <si>
    <t>21/03/2026 15:00 | England | Non League Div One - Northern West | Atherton Collieries vs Kidsgrove Athletic</t>
  </si>
  <si>
    <t>Nantwich Town</t>
  </si>
  <si>
    <t>Darlaston Town</t>
  </si>
  <si>
    <t>21/03/2026 15:00 | England | Non League Div One - Northern West | Nantwich Town vs Darlaston Town</t>
  </si>
  <si>
    <t>Sporting Khalsa</t>
  </si>
  <si>
    <t>Vauxhall Motors</t>
  </si>
  <si>
    <t>21/03/2026 15:00 | England | Non League Div One - Northern West | Sporting Khalsa vs Vauxhall Motors</t>
  </si>
  <si>
    <t>Congleton Town</t>
  </si>
  <si>
    <t>Clitheroe</t>
  </si>
  <si>
    <t>21/03/2026 15:00 | England | Non League Div One - Northern West | Congleton Town vs Clitheroe</t>
  </si>
  <si>
    <t>Stalybridge Celtic</t>
  </si>
  <si>
    <t>Lower Breck</t>
  </si>
  <si>
    <t>21/03/2026 15:00 | England | Non League Div One - Northern West | Stalybridge Celtic vs Lower Breck</t>
  </si>
  <si>
    <t>Witton Albion</t>
  </si>
  <si>
    <t>Shifnal Town FC</t>
  </si>
  <si>
    <t>21/03/2026 15:00 | England | Non League Div One - Northern West | Witton Albion vs Shifnal Town FC</t>
  </si>
  <si>
    <t>Runcorn Linnets</t>
  </si>
  <si>
    <t>Wythenshawe Town</t>
  </si>
  <si>
    <t>21/03/2026 15:00 | England | Non League Div One - Northern West | Runcorn Linnets vs Wythenshawe Town</t>
  </si>
  <si>
    <t>Dren Vrhnika</t>
  </si>
  <si>
    <t>IB 1975 Ljubljana</t>
  </si>
  <si>
    <t>21/03/2026 15:00 | Slovenia | 3. SNL - West | Dren Vrhnika vs IB 1975 Ljubljana</t>
  </si>
  <si>
    <t>NŠ Drava</t>
  </si>
  <si>
    <t>Rače</t>
  </si>
  <si>
    <t>21/03/2026 15:00 | Slovenia | 3. SNL - East | NŠ Drava vs Rače</t>
  </si>
  <si>
    <t>Non League Div One - Northern East</t>
  </si>
  <si>
    <t>Bradford (Park Avenue)</t>
  </si>
  <si>
    <t>Redcar Athletic</t>
  </si>
  <si>
    <t>21/03/2026 15:00 | England | Non League Div One - Northern East | Bradford (Park Avenue) vs Redcar Athletic</t>
  </si>
  <si>
    <t>Heaton Stannington</t>
  </si>
  <si>
    <t>Matlock Town</t>
  </si>
  <si>
    <t>21/03/2026 15:00 | England | Non League Div One - Northern East | Heaton Stannington vs Matlock Town</t>
  </si>
  <si>
    <t>Bishop Auckland</t>
  </si>
  <si>
    <t>Hallam</t>
  </si>
  <si>
    <t>21/03/2026 15:00 | England | Non League Div One - Northern East | Bishop Auckland vs Hallam</t>
  </si>
  <si>
    <t>North Ferriby</t>
  </si>
  <si>
    <t>Consett</t>
  </si>
  <si>
    <t>21/03/2026 15:00 | England | Non League Div One - Northern East | North Ferriby vs Consett</t>
  </si>
  <si>
    <t>Ossett United</t>
  </si>
  <si>
    <t>Silsden</t>
  </si>
  <si>
    <t>21/03/2026 15:00 | England | Non League Div One - Northern East | Ossett United vs Silsden</t>
  </si>
  <si>
    <t>Bridlington Town</t>
  </si>
  <si>
    <t>AFC Emley</t>
  </si>
  <si>
    <t>21/03/2026 15:00 | England | Non League Div One - Northern East | Bridlington Town vs AFC Emley</t>
  </si>
  <si>
    <t>Blyth Town</t>
  </si>
  <si>
    <t>Grimsby Borough</t>
  </si>
  <si>
    <t>21/03/2026 15:00 | England | Non League Div One - Northern East | Blyth Town vs Grimsby Borough</t>
  </si>
  <si>
    <t>Lincoln United</t>
  </si>
  <si>
    <t>Newton Aycliffe</t>
  </si>
  <si>
    <t>21/03/2026 15:00 | England | Non League Div One - Northern East | Lincoln United vs Newton Aycliffe</t>
  </si>
  <si>
    <t>Brighouse Town</t>
  </si>
  <si>
    <t>Blyth Spartans</t>
  </si>
  <si>
    <t>21/03/2026 15:00 | England | Non League Div One - Northern East | Brighouse Town vs Blyth Spartans</t>
  </si>
  <si>
    <t>Dunston UTS</t>
  </si>
  <si>
    <t>Garforth Town</t>
  </si>
  <si>
    <t>21/03/2026 15:00 | England | Non League Div One - Northern East | Dunston UTS vs Garforth Town</t>
  </si>
  <si>
    <t>Ashington AFC</t>
  </si>
  <si>
    <t>Pontefract Collieries</t>
  </si>
  <si>
    <t>21/03/2026 15:00 | England | Non League Div One - Northern East | Ashington AFC vs Pontefract Collieries</t>
  </si>
  <si>
    <t>Opava</t>
  </si>
  <si>
    <t>Vysočina Jihlava</t>
  </si>
  <si>
    <t>21/03/2026 15:00 | Czech-Republic | FNL | Opava vs Vysočina Jihlava</t>
  </si>
  <si>
    <t>1a Divisão - Women</t>
  </si>
  <si>
    <t>Valadares Gaia W</t>
  </si>
  <si>
    <t>Racing Power W</t>
  </si>
  <si>
    <t>21/03/2026 15:00 | Portugal | 1a Divisão - Women | Valadares Gaia W vs Racing Power W</t>
  </si>
  <si>
    <t>Attram de Visser</t>
  </si>
  <si>
    <t>Inter Allies</t>
  </si>
  <si>
    <t>21/03/2026 15:00 | Ghana | Division One League | Attram de Visser vs Inter Allies</t>
  </si>
  <si>
    <t>21/03/2026 15:00 | Ghana | Division One League | Berekum Arsenal vs Dormaa</t>
  </si>
  <si>
    <t>21/03/2026 15:00 | Ghana | Division One League | Ebony FC vs Skyy</t>
  </si>
  <si>
    <t>Elmina Sharks</t>
  </si>
  <si>
    <t>21/03/2026 15:00 | Ghana | Division One League | Elmina Sharks vs UCC Youngsters</t>
  </si>
  <si>
    <t>Golden Kicks</t>
  </si>
  <si>
    <t>21/03/2026 15:00 | Ghana | Division One League | Nania vs Golden Kicks</t>
  </si>
  <si>
    <t>21/03/2026 15:00 | Ghana | Division One League | Police National vs PAC Academy</t>
  </si>
  <si>
    <t>Real Tamale</t>
  </si>
  <si>
    <t>21/03/2026 15:00 | Ghana | Division One League | Sankara Nationals vs Real Tamale</t>
  </si>
  <si>
    <t>21/03/2026 15:00 | Ghana | Division One League | Tamale City vs Bolga AllStars</t>
  </si>
  <si>
    <t>Eliteserien</t>
  </si>
  <si>
    <t>21/03/2026 15:00 | Norway | Eliteserien | Start vs Aalesund</t>
  </si>
  <si>
    <t>Sporting CP U23</t>
  </si>
  <si>
    <t>Famalicão U23</t>
  </si>
  <si>
    <t>21/03/2026 15:00 | Portugal | Liga Revelação U23 | Sporting CP U23 vs Famalicão U23</t>
  </si>
  <si>
    <t>Atlas U21</t>
  </si>
  <si>
    <t>21/03/2026 15:00 | Mexico | Liga MX U21 | Atlas U21 vs Queretaro U21</t>
  </si>
  <si>
    <t>Atl. San Luis U21</t>
  </si>
  <si>
    <t>Club Leon U21</t>
  </si>
  <si>
    <t>21/03/2026 15:00 | Mexico | Liga MX U21 | Atl. San Luis U21 vs Club Leon U21</t>
  </si>
  <si>
    <t>Monterrey U21</t>
  </si>
  <si>
    <t>Guadalajara Chivas U21</t>
  </si>
  <si>
    <t>21/03/2026 15:00 | Mexico | Liga MX U21 | Monterrey U21 vs Guadalajara Chivas U21</t>
  </si>
  <si>
    <t>UNAM Pumas U21</t>
  </si>
  <si>
    <t>21/03/2026 15:00 | Mexico | Liga MX U21 | UNAM Pumas U21 vs Club America U21</t>
  </si>
  <si>
    <t>Umeå FC</t>
  </si>
  <si>
    <t>21/03/2026 15:00 | World | Friendlies Clubs | Ostersunds FK vs Umeå FC</t>
  </si>
  <si>
    <t>B71</t>
  </si>
  <si>
    <t>21/03/2026 15:00 | Faroe-Islands | 1. Deild | B36 II vs B71</t>
  </si>
  <si>
    <t>Júniores U19</t>
  </si>
  <si>
    <t>Academico Viseu U19</t>
  </si>
  <si>
    <t>Belenenses U19</t>
  </si>
  <si>
    <t>21/03/2026 15:00 | Portugal | Júniores U19 | Academico Viseu U19 vs Belenenses U19</t>
  </si>
  <si>
    <t>Mafra U19</t>
  </si>
  <si>
    <t>Torreense U19</t>
  </si>
  <si>
    <t>21/03/2026 15:00 | Portugal | Júniores U19 | Mafra U19 vs Torreense U19</t>
  </si>
  <si>
    <t>AFC Eskilstuna</t>
  </si>
  <si>
    <t>21/03/2026 15:00 | World | Friendlies Clubs | AFC Eskilstuna vs Franke</t>
  </si>
  <si>
    <t>21/03/2026 15:00 | Portugal | Liga 3 | AD Marco 09 vs Sanjoanense</t>
  </si>
  <si>
    <t>21/03/2026 15:00 | Portugal | Liga 3 | SC Braga B vs São João Ver</t>
  </si>
  <si>
    <t>Tartu Welco</t>
  </si>
  <si>
    <t>21/03/2026 15:00 | Estonia | Esiliiga A | Tartu Welco vs Maardu</t>
  </si>
  <si>
    <t>Tallinna Kalev II</t>
  </si>
  <si>
    <t>Tulevik</t>
  </si>
  <si>
    <t>21/03/2026 15:00 | Estonia | Esiliiga B | Tallinna Kalev II vs Tulevik</t>
  </si>
  <si>
    <t>JK Tabasalu</t>
  </si>
  <si>
    <t>21/03/2026 15:00 | Estonia | Esiliiga B | Tartu Kalev vs JK Tabasalu</t>
  </si>
  <si>
    <t>Dragons</t>
  </si>
  <si>
    <t>21/03/2026 15:00 | Benin | Championnat National | AS Cotonou vs Dragons</t>
  </si>
  <si>
    <t>ASVO</t>
  </si>
  <si>
    <t>Loto Popo</t>
  </si>
  <si>
    <t>21/03/2026 15:00 | Benin | Championnat National | ASVO vs Loto Popo</t>
  </si>
  <si>
    <t>Espoir Savalou</t>
  </si>
  <si>
    <t>21/03/2026 15:00 | Benin | Championnat National | Bani Gansè vs Espoir Savalou</t>
  </si>
  <si>
    <t>AS Sobemap</t>
  </si>
  <si>
    <t>21/03/2026 15:00 | Benin | Championnat National | Cavaliers vs AS Sobemap</t>
  </si>
  <si>
    <t>21/03/2026 15:00 | Benin | Championnat National | Damissa vs Kraké</t>
  </si>
  <si>
    <t>Torpedo Zhodino</t>
  </si>
  <si>
    <t>21/03/2026 15:00 | Belarus | Premier League | Torpedo Zhodino vs ML Vitebsk</t>
  </si>
  <si>
    <t>Alga</t>
  </si>
  <si>
    <t>21/03/2026 15:00 | Kyrgyzstan | Premier League | Alga vs Alay</t>
  </si>
  <si>
    <t>Asia Talas</t>
  </si>
  <si>
    <t>Ozgon</t>
  </si>
  <si>
    <t>21/03/2026 15:00 | Kyrgyzstan | Premier League | Asia Talas vs Ozgon</t>
  </si>
  <si>
    <t>Muras United</t>
  </si>
  <si>
    <t>21/03/2026 15:00 | Kyrgyzstan | Premier League | Muras United vs Dordoi Bishkek</t>
  </si>
  <si>
    <t>Gandzasar</t>
  </si>
  <si>
    <t>Ararat</t>
  </si>
  <si>
    <t>21/03/2026 15:00 | Armenia | Premier League | Gandzasar vs Ararat</t>
  </si>
  <si>
    <t>FA Šiauliai II</t>
  </si>
  <si>
    <t>Atmosfera</t>
  </si>
  <si>
    <t>21/03/2026 15:00 | Lithuania | 1 Lyga | FA Šiauliai II vs Atmosfera</t>
  </si>
  <si>
    <t>EIF</t>
  </si>
  <si>
    <t>Turku PS</t>
  </si>
  <si>
    <t>21/03/2026 15:00 | World | Friendlies Clubs | EIF vs Turku PS</t>
  </si>
  <si>
    <t>Norrby IF</t>
  </si>
  <si>
    <t>IFK Norrkoping</t>
  </si>
  <si>
    <t>21/03/2026 15:00 | World | Friendlies Clubs | Norrby IF vs IFK Norrkoping</t>
  </si>
  <si>
    <t>El Mokawloon</t>
  </si>
  <si>
    <t>Petrojet</t>
  </si>
  <si>
    <t>21/03/2026 15:00 | Egypt | Premier League | El Mokawloon vs Petrojet</t>
  </si>
  <si>
    <t>Finland</t>
  </si>
  <si>
    <t>Inter Turku</t>
  </si>
  <si>
    <t>21/03/2026 15:00 | Finland | League Cup | Inter Turku vs AC Oulu</t>
  </si>
  <si>
    <t>Akritas</t>
  </si>
  <si>
    <t>21/03/2026 15:00 | Cyprus | 1. Division | Anorthosis vs Akritas</t>
  </si>
  <si>
    <t>Omonia Nicosia</t>
  </si>
  <si>
    <t>21/03/2026 15:00 | Cyprus | 1. Division | Aris vs Omonia Nicosia</t>
  </si>
  <si>
    <t>Nordsjælland</t>
  </si>
  <si>
    <t>KoldingQ</t>
  </si>
  <si>
    <t>21/03/2026 15:00 | Denmark | Kvindeliga | Nordsjælland vs KoldingQ</t>
  </si>
  <si>
    <t>Copa De La Liga</t>
  </si>
  <si>
    <t>Huachipato</t>
  </si>
  <si>
    <t>Concepción</t>
  </si>
  <si>
    <t>21/03/2026 15:00 | Chile | Copa De La Liga | Huachipato vs Concepción</t>
  </si>
  <si>
    <t>Grei W</t>
  </si>
  <si>
    <t>Åsane W</t>
  </si>
  <si>
    <t>21/03/2026 15:00 | Norway | 1. Division Women | Grei W vs Åsane W</t>
  </si>
  <si>
    <t>London Lions</t>
  </si>
  <si>
    <t>Stotfold</t>
  </si>
  <si>
    <t>21/03/2026 15:00 | England | Non League Div One - Southern Central | London Lions vs Stotfold</t>
  </si>
  <si>
    <t>Marlow</t>
  </si>
  <si>
    <t>Milton Keynes Irish</t>
  </si>
  <si>
    <t>21/03/2026 15:00 | England | Non League Div One - Southern Central | Marlow vs Milton Keynes Irish</t>
  </si>
  <si>
    <t>Non League Div One - Southern South</t>
  </si>
  <si>
    <t>Willand Rovers</t>
  </si>
  <si>
    <t>Swindon Supermarine</t>
  </si>
  <si>
    <t>21/03/2026 15:00 | England | Non League Div One - Southern South | Willand Rovers vs Swindon Supermarine</t>
  </si>
  <si>
    <t>Mousehole</t>
  </si>
  <si>
    <t>Frome Town</t>
  </si>
  <si>
    <t>21/03/2026 15:00 | England | Non League Div One - Southern South | Mousehole vs Frome Town</t>
  </si>
  <si>
    <t>Didcot Town</t>
  </si>
  <si>
    <t>Bristol Manor Farm</t>
  </si>
  <si>
    <t>21/03/2026 15:00 | England | Non League Div One - Southern South | Didcot Town vs Bristol Manor Farm</t>
  </si>
  <si>
    <t>Tavistock</t>
  </si>
  <si>
    <t>Bishop's Cleeve</t>
  </si>
  <si>
    <t>21/03/2026 15:00 | England | Non League Div One - Southern South | Tavistock vs Bishop's Cleeve</t>
  </si>
  <si>
    <t>Exmouth</t>
  </si>
  <si>
    <t>Melksham Town</t>
  </si>
  <si>
    <t>21/03/2026 15:00 | England | Non League Div One - Southern South | Exmouth vs Melksham Town</t>
  </si>
  <si>
    <t>Shaftesbury Town</t>
  </si>
  <si>
    <t>Malvern Town</t>
  </si>
  <si>
    <t>21/03/2026 15:00 | England | Non League Div One - Southern South | Shaftesbury Town vs Malvern Town</t>
  </si>
  <si>
    <t>Bashley</t>
  </si>
  <si>
    <t>Bideford</t>
  </si>
  <si>
    <t>21/03/2026 15:00 | England | Non League Div One - Southern South | Bashley vs Bideford</t>
  </si>
  <si>
    <t>Hartpury University</t>
  </si>
  <si>
    <t>Falmouth Town</t>
  </si>
  <si>
    <t>21/03/2026 15:00 | England | Non League Div One - Southern South | Hartpury University vs Falmouth Town</t>
  </si>
  <si>
    <t>Larkhall Athletic</t>
  </si>
  <si>
    <t>Brixham</t>
  </si>
  <si>
    <t>21/03/2026 15:00 | England | Non League Div One - Southern South | Larkhall Athletic vs Brixham</t>
  </si>
  <si>
    <t>Westbury United</t>
  </si>
  <si>
    <t>Portishead Town</t>
  </si>
  <si>
    <t>21/03/2026 15:00 | England | Non League Div One - Southern South | Westbury United vs Portishead Town</t>
  </si>
  <si>
    <t>Sporting Club Inkberrow</t>
  </si>
  <si>
    <t>Winchester City</t>
  </si>
  <si>
    <t>21/03/2026 15:00 | England | Non League Div One - Southern South | Sporting Club Inkberrow vs Winchester City</t>
  </si>
  <si>
    <t>Northwood</t>
  </si>
  <si>
    <t>Barton Rovers</t>
  </si>
  <si>
    <t>21/03/2026 15:00 | England | Non League Div One - Southern Central | Northwood vs Barton Rovers</t>
  </si>
  <si>
    <t>Hitchin Town</t>
  </si>
  <si>
    <t>Aylesbury United</t>
  </si>
  <si>
    <t>21/03/2026 15:00 | England | Non League Div One - Southern Central | Hitchin Town vs Aylesbury United</t>
  </si>
  <si>
    <t>Welwyn Garden City</t>
  </si>
  <si>
    <t>Hadley</t>
  </si>
  <si>
    <t>21/03/2026 15:00 | England | Non League Div One - Southern Central | Welwyn Garden City vs Hadley</t>
  </si>
  <si>
    <t>Biggleswade</t>
  </si>
  <si>
    <t>AFC Dunstable</t>
  </si>
  <si>
    <t>21/03/2026 15:00 | England | Non League Div One - Southern Central | Biggleswade vs AFC Dunstable</t>
  </si>
  <si>
    <t>Beaconsfield Town</t>
  </si>
  <si>
    <t>Hertford Town</t>
  </si>
  <si>
    <t>21/03/2026 15:00 | England | Non League Div One - Southern Central | Beaconsfield Town vs Hertford Town</t>
  </si>
  <si>
    <t>Enfield 1893</t>
  </si>
  <si>
    <t>Leighton Town</t>
  </si>
  <si>
    <t>21/03/2026 15:00 | England | Non League Div One - Southern Central | Enfield 1893 vs Leighton Town</t>
  </si>
  <si>
    <t>Rugby Town</t>
  </si>
  <si>
    <t>Bourne Town</t>
  </si>
  <si>
    <t>21/03/2026 15:00 | England | Non League Div One - Northern Midlands | Rugby Town vs Bourne Town</t>
  </si>
  <si>
    <t>21/03/2026 15:15</t>
  </si>
  <si>
    <t>21/03/2026 15:15 | Spain | La Liga | Espanyol vs Getafe</t>
  </si>
  <si>
    <t>Albacete</t>
  </si>
  <si>
    <t>21/03/2026 15:15 | Spain | Segunda División | Racing Santander vs Albacete</t>
  </si>
  <si>
    <t>21/03/2026 15:15 | Spain | Segunda División | FC Andorra vs Eibar</t>
  </si>
  <si>
    <t>Nizhny Novgorod</t>
  </si>
  <si>
    <t>21/03/2026 15:15 | Russia | Premier League | FC Krasnodar vs Nizhny Novgorod</t>
  </si>
  <si>
    <t>Sabadell</t>
  </si>
  <si>
    <t>Europa Fc</t>
  </si>
  <si>
    <t>21/03/2026 15:15 | Spain | Primera División RFEF - Group 2 | Sabadell vs Europa Fc</t>
  </si>
  <si>
    <t>21/03/2026 15:15 | Spain | Primera División RFEF - Group 1 | Pontevedra vs Ourense CF</t>
  </si>
  <si>
    <t>Inter Milano W</t>
  </si>
  <si>
    <t>Napoli W</t>
  </si>
  <si>
    <t>21/03/2026 15:15 | Italy | Serie A Women | Inter Milano W vs Napoli W</t>
  </si>
  <si>
    <t>21/03/2026 15:30</t>
  </si>
  <si>
    <t>Zalaegerszegi TE</t>
  </si>
  <si>
    <t>Ujpest</t>
  </si>
  <si>
    <t>21/03/2026 15:30 | Hungary | NB I | Zalaegerszegi TE vs Ujpest</t>
  </si>
  <si>
    <t>21/03/2026 15:30 | Netherlands | Eredivisie | Fortuna Sittard vs Twente</t>
  </si>
  <si>
    <t>21/03/2026 15:30 | Germany | 3. Liga | Verl vs FC Saarbrücken</t>
  </si>
  <si>
    <t>Famalicao</t>
  </si>
  <si>
    <t>Nacional</t>
  </si>
  <si>
    <t>21/03/2026 15:30 | Portugal | Primeira Liga | Famalicao vs Nacional</t>
  </si>
  <si>
    <t>Moreirense</t>
  </si>
  <si>
    <t>Arouca</t>
  </si>
  <si>
    <t>21/03/2026 15:30 | Portugal | Primeira Liga | Moreirense vs Arouca</t>
  </si>
  <si>
    <t>Oliveirense</t>
  </si>
  <si>
    <t>21/03/2026 15:30 | Portugal | Segunda Liga | Maritimo vs Oliveirense</t>
  </si>
  <si>
    <t>21/03/2026 15:30 | Spain | Segunda División RFEF - Group 4 | Recreativo Huelva vs Real Jaén</t>
  </si>
  <si>
    <t>I Liga - Women</t>
  </si>
  <si>
    <t>Žilina W</t>
  </si>
  <si>
    <t>Spartak Myjava W</t>
  </si>
  <si>
    <t>21/03/2026 15:30 | Slovakia | I Liga - Women | Žilina W vs Spartak Myjava W</t>
  </si>
  <si>
    <t>Cherno More Varna</t>
  </si>
  <si>
    <t>21/03/2026 15:30 | Bulgaria | First League | Levski Sofia vs Cherno More Varna</t>
  </si>
  <si>
    <t>Eredivisie Women</t>
  </si>
  <si>
    <t>Utrecht W</t>
  </si>
  <si>
    <t>Excelsior W</t>
  </si>
  <si>
    <t>21/03/2026 15:30 | Netherlands | Eredivisie Women | Utrecht W vs Excelsior W</t>
  </si>
  <si>
    <t>Bezana</t>
  </si>
  <si>
    <t>21/03/2026 15:30 | Spain | Tercera División RFEF - Group 3 | Bezana vs Noja</t>
  </si>
  <si>
    <t>Santanyí</t>
  </si>
  <si>
    <t>21/03/2026 15:30 | Spain | Tercera División RFEF - Group 11 | Alcúdia vs Santanyí</t>
  </si>
  <si>
    <t>Santa Cruz</t>
  </si>
  <si>
    <t>21/03/2026 15:30 | Spain | Tercera División RFEF - Group 13 | Santa Cruz vs Mazarrón FC</t>
  </si>
  <si>
    <t>Izarra</t>
  </si>
  <si>
    <t>San Juan</t>
  </si>
  <si>
    <t>21/03/2026 15:30 | Spain | Tercera División RFEF - Group 15 | Izarra vs San Juan</t>
  </si>
  <si>
    <t>Csikszereda</t>
  </si>
  <si>
    <t>Farul Constanta</t>
  </si>
  <si>
    <t>21/03/2026 15:30 | Romania | Liga I | Csikszereda vs Farul Constanta</t>
  </si>
  <si>
    <t>ISCA</t>
  </si>
  <si>
    <t>21/03/2026 15:30 | Ivory-Coast | Ligue 1 | SOA vs ISCA</t>
  </si>
  <si>
    <t>21/03/2026 15:35</t>
  </si>
  <si>
    <t>Al Qadsia</t>
  </si>
  <si>
    <t>Al Salmiyah</t>
  </si>
  <si>
    <t>21/03/2026 15:35 | Kuwait | Premier League | Al Qadsia vs Al Salmiyah</t>
  </si>
  <si>
    <t>21/03/2026 16:00</t>
  </si>
  <si>
    <t>NK Domzale</t>
  </si>
  <si>
    <t>21/03/2026 16:00 | Slovenia | 1. SNL | NK Domzale vs Koper</t>
  </si>
  <si>
    <t>21/03/2026 16:00 | Serbia | Super Liga | Vojvodina vs Napredak</t>
  </si>
  <si>
    <t>Toulouse</t>
  </si>
  <si>
    <t>21/03/2026 16:00 | France | Ligue 1 | Toulouse vs Lorient</t>
  </si>
  <si>
    <t>Shakhtar Donetsk</t>
  </si>
  <si>
    <t>21/03/2026 16:00 | Ukraine | Premier League | Zorya Luhansk vs Shakhtar Donetsk</t>
  </si>
  <si>
    <t>Frauenliga</t>
  </si>
  <si>
    <t>Sturm Graz W</t>
  </si>
  <si>
    <t>Kleinmünchen / BW Linz</t>
  </si>
  <si>
    <t>21/03/2026 16:00 | Austria | Frauenliga | Sturm Graz W vs Kleinmünchen / BW Linz</t>
  </si>
  <si>
    <t>Ümraniyespor</t>
  </si>
  <si>
    <t>Pendikspor</t>
  </si>
  <si>
    <t>21/03/2026 16:00 | Turkey | 1. Lig | Ümraniyespor vs Pendikspor</t>
  </si>
  <si>
    <t>Wolfenbuttel</t>
  </si>
  <si>
    <t>21/03/2026 16:00 | Germany | Oberliga - Niedersachsen | Wolfenbuttel vs Meppen II</t>
  </si>
  <si>
    <t>Wiener Viktoria</t>
  </si>
  <si>
    <t>Favoritner AC</t>
  </si>
  <si>
    <t>21/03/2026 16:00 | Austria | Regionalliga - Ost | Wiener Viktoria vs Favoritner AC</t>
  </si>
  <si>
    <t>Luzern II</t>
  </si>
  <si>
    <t>Lugano II</t>
  </si>
  <si>
    <t>21/03/2026 16:00 | Switzerland | 1. Liga Promotion | Luzern II vs Lugano II</t>
  </si>
  <si>
    <t>FC Wohlen</t>
  </si>
  <si>
    <t>Grasshopper II</t>
  </si>
  <si>
    <t>21/03/2026 16:00 | Switzerland | 1. Liga Classic - Group 2 | FC Wohlen vs Grasshopper II</t>
  </si>
  <si>
    <t>Kaizer Chiefs</t>
  </si>
  <si>
    <t>Magesi</t>
  </si>
  <si>
    <t>21/03/2026 16:00 | South-Africa | Premier Soccer League | Kaizer Chiefs vs Magesi</t>
  </si>
  <si>
    <t>Monthey</t>
  </si>
  <si>
    <t>Lancy</t>
  </si>
  <si>
    <t>21/03/2026 16:00 | Switzerland | 1. Liga Classic - Group 1 | Monthey vs Lancy</t>
  </si>
  <si>
    <t>Amical Saint-Prex</t>
  </si>
  <si>
    <t>21/03/2026 16:00 | Switzerland | 1. Liga Classic - Group 1 | Amical Saint-Prex vs Prishtina Bern</t>
  </si>
  <si>
    <t>Taverne</t>
  </si>
  <si>
    <t>Winterthur II</t>
  </si>
  <si>
    <t>21/03/2026 16:00 | Switzerland | 1. Liga Classic - Group 3 | Taverne vs Winterthur II</t>
  </si>
  <si>
    <t>Atlético Astorga</t>
  </si>
  <si>
    <t>21/03/2026 16:00 | Spain | Segunda División RFEF - Group 1 | Atlético Astorga vs Gimnástica Segoviana</t>
  </si>
  <si>
    <t>SS Reyes</t>
  </si>
  <si>
    <t>21/03/2026 16:00 | Spain | Segunda División RFEF - Group 5 | SS Reyes vs Conquense</t>
  </si>
  <si>
    <t>Leones Negros</t>
  </si>
  <si>
    <t>21/03/2026 16:00 | Mexico | Liga Premier Serie A | Leones Negros vs Guerreros</t>
  </si>
  <si>
    <t>21/03/2026 16:00 | Spain | Segunda División RFEF - Group 3 | Andratx vs Reddis</t>
  </si>
  <si>
    <t>Correcaminos UAT II</t>
  </si>
  <si>
    <t>FC Santiago</t>
  </si>
  <si>
    <t>21/03/2026 16:00 | Mexico | Liga Premier Serie A | Correcaminos UAT II vs FC Santiago</t>
  </si>
  <si>
    <t>Racing de Veracruz</t>
  </si>
  <si>
    <t>Jaguares de Chiapas</t>
  </si>
  <si>
    <t>21/03/2026 16:00 | Mexico | Liga Premier Serie A | Racing de Veracruz vs Jaguares de Chiapas</t>
  </si>
  <si>
    <t>Torina</t>
  </si>
  <si>
    <t>21/03/2026 16:00 | Spain | Tercera División RFEF - Group 3 | Torina vs Barquereño</t>
  </si>
  <si>
    <t>Aurrerá Vitoria</t>
  </si>
  <si>
    <t>Leioa</t>
  </si>
  <si>
    <t>21/03/2026 16:00 | Spain | Tercera División RFEF - Group 4 | Aurrerá Vitoria vs Leioa</t>
  </si>
  <si>
    <t>Arandina</t>
  </si>
  <si>
    <t>21/03/2026 16:00 | Spain | Tercera División RFEF - Group 8 | Numancia II vs Arandina</t>
  </si>
  <si>
    <t>Atlético Mansillés</t>
  </si>
  <si>
    <t>21/03/2026 16:00 | Spain | Tercera División RFEF - Group 8 | Atlético Mansillés vs UD Santa Marta</t>
  </si>
  <si>
    <t>Bembibre</t>
  </si>
  <si>
    <t>21/03/2026 16:00 | Spain | Tercera División RFEF - Group 8 | Atlético Tordesillas vs Bembibre</t>
  </si>
  <si>
    <t>Villaralbo</t>
  </si>
  <si>
    <t>21/03/2026 16:00 | Spain | Tercera División RFEF - Group 8 | Villaralbo vs Palencia CF</t>
  </si>
  <si>
    <t>21/03/2026 16:00 | Spain | Tercera División RFEF - Group 11 | Constància vs Son Cladera</t>
  </si>
  <si>
    <t>Txantrea</t>
  </si>
  <si>
    <t>21/03/2026 16:00 | Spain | Tercera División RFEF - Group 15 | Txantrea vs Atlético Artajonés</t>
  </si>
  <si>
    <t>21/03/2026 16:00 | Spain | Tercera División RFEF - Group 16 | Comillas vs Varea</t>
  </si>
  <si>
    <t>21/03/2026 16:00 | Spain | Tercera División RFEF - Group 17 | La Almunia vs Almudévar</t>
  </si>
  <si>
    <t>Tarancón</t>
  </si>
  <si>
    <t>21/03/2026 16:00 | Spain | Tercera División RFEF - Group 18 | Tarancón vs Pedroñeras</t>
  </si>
  <si>
    <t>Tillmitsch</t>
  </si>
  <si>
    <t>Gnas</t>
  </si>
  <si>
    <t>21/03/2026 16:00 | Austria | Landesliga - Steiermark | Tillmitsch vs Gnas</t>
  </si>
  <si>
    <t>21/03/2026 16:00 | Burkina-Faso | Ligue 1 | USFA vs Salitas</t>
  </si>
  <si>
    <t>21/03/2026 16:00 | Burkina-Faso | Ligue 1 | Majestic vs SONABEL</t>
  </si>
  <si>
    <t>Sporting Cascades</t>
  </si>
  <si>
    <t>21/03/2026 16:00 | Burkina-Faso | Ligue 1 | Sporting Cascades vs ASFB</t>
  </si>
  <si>
    <t>Etoile Filante</t>
  </si>
  <si>
    <t>21/03/2026 16:00 | Burkina-Faso | Ligue 1 | Etoile Filante vs Vitesse</t>
  </si>
  <si>
    <t>21/03/2026 16:00 | Burkina-Faso | Ligue 1 | RC Bobo-Dioulasso vs AJEB</t>
  </si>
  <si>
    <t>Chomutov</t>
  </si>
  <si>
    <t>Tempo Praha</t>
  </si>
  <si>
    <t>21/03/2026 16:00 | Czech-Republic | 4. liga - Divizie B | Chomutov vs Tempo Praha</t>
  </si>
  <si>
    <t>Lillestrom</t>
  </si>
  <si>
    <t>Kristiansund BK</t>
  </si>
  <si>
    <t>21/03/2026 16:00 | Norway | Eliteserien | Lillestrom vs Kristiansund BK</t>
  </si>
  <si>
    <t>Bodo/Glimt</t>
  </si>
  <si>
    <t>Ham-Kam</t>
  </si>
  <si>
    <t>21/03/2026 16:00 | Norway | Eliteserien | Bodo/Glimt vs Ham-Kam</t>
  </si>
  <si>
    <t>Milsami Orhei</t>
  </si>
  <si>
    <t>21/03/2026 16:00 | Moldova | Super Liga | Petrocub vs Milsami Orhei</t>
  </si>
  <si>
    <t>Gil Vicente U19</t>
  </si>
  <si>
    <t>União Leiria U19</t>
  </si>
  <si>
    <t>21/03/2026 16:00 | Portugal | Júniores U19 | Gil Vicente U19 vs União Leiria U19</t>
  </si>
  <si>
    <t>UCV Moquegua</t>
  </si>
  <si>
    <t>21/03/2026 16:00 | Peru | Primera División | UCV Moquegua vs Cusco</t>
  </si>
  <si>
    <t>Grobiņa</t>
  </si>
  <si>
    <t>21/03/2026 16:00 | Latvia | Virsliga | FS Jelgava vs Grobiņa</t>
  </si>
  <si>
    <t>CAF Champions League</t>
  </si>
  <si>
    <t>FAR Rabat</t>
  </si>
  <si>
    <t>21/03/2026 16:00 | World | CAF Champions League | Pyramids FC vs FAR Rabat</t>
  </si>
  <si>
    <t>Ekranas</t>
  </si>
  <si>
    <t>Jonava</t>
  </si>
  <si>
    <t>21/03/2026 16:00 | Lithuania | 1 Lyga | Ekranas vs Jonava</t>
  </si>
  <si>
    <t>Riga FC II</t>
  </si>
  <si>
    <t>Valmiera / BSS</t>
  </si>
  <si>
    <t>21/03/2026 16:00 | Latvia | 1. Liga | Riga FC II vs Valmiera / BSS</t>
  </si>
  <si>
    <t>21/03/2026 16:00 | Austria | Bundesliga | FC BW Linz vs Ried</t>
  </si>
  <si>
    <t>21/03/2026 16:00 | Austria | Bundesliga | WSG Wattens vs Grazer AK</t>
  </si>
  <si>
    <t>21/03/2026 16:00 | Austria | Bundesliga | Wolfsberger AC vs SCR Altach</t>
  </si>
  <si>
    <t>RB</t>
  </si>
  <si>
    <t>Reynir</t>
  </si>
  <si>
    <t>21/03/2026 16:00 | Iceland | Cup | RB vs Reynir</t>
  </si>
  <si>
    <t>21/03/2026 16:00 | Uruguay | Primera División - Apertura | Atletico Torque vs Central Espanol</t>
  </si>
  <si>
    <t>Stade d'Abidjan</t>
  </si>
  <si>
    <t>21/03/2026 16:00 | Ivory-Coast | Ligue 1 | Stade d'Abidjan vs SOL</t>
  </si>
  <si>
    <t>Liberia</t>
  </si>
  <si>
    <t>LFA First Division</t>
  </si>
  <si>
    <t>Borough</t>
  </si>
  <si>
    <t>Freeport</t>
  </si>
  <si>
    <t>21/03/2026 16:00 | Liberia | LFA First Division | Borough vs Freeport</t>
  </si>
  <si>
    <t>Gardnersville</t>
  </si>
  <si>
    <t>Jubilee</t>
  </si>
  <si>
    <t>21/03/2026 16:00 | Liberia | LFA First Division | Gardnersville vs Jubilee</t>
  </si>
  <si>
    <t>LPRC Oilers</t>
  </si>
  <si>
    <t>Discoveries</t>
  </si>
  <si>
    <t>21/03/2026 16:00 | Liberia | LFA First Division | LPRC Oilers vs Discoveries</t>
  </si>
  <si>
    <t>21/03/2026 16:15</t>
  </si>
  <si>
    <t>NK Lokomotiva Zagreb</t>
  </si>
  <si>
    <t>21/03/2026 16:15 | Croatia | HNL | NK Lokomotiva Zagreb vs Dinamo Zagreb</t>
  </si>
  <si>
    <t>Monza</t>
  </si>
  <si>
    <t>Venezia</t>
  </si>
  <si>
    <t>21/03/2026 16:15 | Italy | Serie B | Monza vs Venezia</t>
  </si>
  <si>
    <t>Racing Santander II</t>
  </si>
  <si>
    <t>21/03/2026 16:15 | Spain | Segunda División RFEF - Group 1 | Burgos Promesas vs Racing Santander II</t>
  </si>
  <si>
    <t>21/03/2026 16:30</t>
  </si>
  <si>
    <t>Lechia Gdansk</t>
  </si>
  <si>
    <t>21/03/2026 16:30 | Poland | Ekstraklasa | Lechia Gdansk vs Pogon Szczecin</t>
  </si>
  <si>
    <t>Mura</t>
  </si>
  <si>
    <t>21/03/2026 16:30 | Slovenia | 1. SNL | Mura vs Radomlje</t>
  </si>
  <si>
    <t>Vevey Sports</t>
  </si>
  <si>
    <t>Lausanne Sport II</t>
  </si>
  <si>
    <t>21/03/2026 16:30 | Switzerland | 1. Liga Promotion | Vevey Sports vs Lausanne Sport II</t>
  </si>
  <si>
    <t>SC Kriens</t>
  </si>
  <si>
    <t>Cham</t>
  </si>
  <si>
    <t>21/03/2026 16:30 | Switzerland | 1. Liga Promotion | SC Kriens vs Cham</t>
  </si>
  <si>
    <t>PRO Vercelli</t>
  </si>
  <si>
    <t>Lumezzane</t>
  </si>
  <si>
    <t>21/03/2026 16:30 | Italy | Serie C - Girone A | PRO Vercelli vs Lumezzane</t>
  </si>
  <si>
    <t>Renate</t>
  </si>
  <si>
    <t>Vicenza Virtus</t>
  </si>
  <si>
    <t>21/03/2026 16:30 | Italy | Serie C - Girone A | Renate vs Vicenza Virtus</t>
  </si>
  <si>
    <t>21/03/2026 16:30 | Italy | Serie C - Girone B | Campobasso FC vs Forli</t>
  </si>
  <si>
    <t>21/03/2026 16:30 | Italy | Serie C - Girone B | Athletic Carpi vs Pineto</t>
  </si>
  <si>
    <t>21/03/2026 16:30 | Italy | Serie C - Girone B | Ravenna vs Livorno</t>
  </si>
  <si>
    <t>Deusto</t>
  </si>
  <si>
    <t>Santurtzi</t>
  </si>
  <si>
    <t>21/03/2026 16:30 | Spain | Tercera División RFEF - Group 4 | Deusto vs Santurtzi</t>
  </si>
  <si>
    <t>21/03/2026 16:30 | Spain | Tercera División RFEF - Group 9 | Mancha Real vs Mijas Las Lagunas</t>
  </si>
  <si>
    <t>Agoncillo</t>
  </si>
  <si>
    <t>21/03/2026 16:30 | Spain | Tercera División RFEF - Group 16 | Agoncillo vs Berceo</t>
  </si>
  <si>
    <t>Villarrubia</t>
  </si>
  <si>
    <t>21/03/2026 16:30 | Spain | Tercera División RFEF - Group 18 | Villarrubia vs Calvo Sotelo</t>
  </si>
  <si>
    <t>Iraq</t>
  </si>
  <si>
    <t>Iraqi League</t>
  </si>
  <si>
    <t>Naft</t>
  </si>
  <si>
    <t>Al Shorta</t>
  </si>
  <si>
    <t>21/03/2026 16:30 | Iraq | Iraqi League | Naft vs Al Shorta</t>
  </si>
  <si>
    <t>Al Zawra'a</t>
  </si>
  <si>
    <t>Baghdad</t>
  </si>
  <si>
    <t>21/03/2026 16:30 | Iraq | Iraqi League | Al Zawra'a vs Baghdad</t>
  </si>
  <si>
    <t>9 de Octubre</t>
  </si>
  <si>
    <t>21/03/2026 16:30 | Ecuador | Liga Pro Serie B | 9 de Octubre vs San Antonio</t>
  </si>
  <si>
    <t>Lincoln Red Imps FC</t>
  </si>
  <si>
    <t>St Joseph S Fc</t>
  </si>
  <si>
    <t>21/03/2026 16:30 | Gibraltar | Premier Division | Lincoln Red Imps FC vs St Joseph S Fc</t>
  </si>
  <si>
    <t>21/03/2026 17:00</t>
  </si>
  <si>
    <t>Torino</t>
  </si>
  <si>
    <t>21/03/2026 17:00 | Italy | Serie A | AC Milan vs Torino</t>
  </si>
  <si>
    <t>Artis</t>
  </si>
  <si>
    <t>21/03/2026 17:00 | Czech-Republic | FNL | Artis vs Ústí nad Labem</t>
  </si>
  <si>
    <t>21/03/2026 17:00 | Slovenia | 2. SNL | Rudar vs Brinje-Grosuplje</t>
  </si>
  <si>
    <t>AB Copenhagen</t>
  </si>
  <si>
    <t>Ishøj</t>
  </si>
  <si>
    <t>21/03/2026 17:00 | Denmark | 2. Division | AB Copenhagen vs Ishøj</t>
  </si>
  <si>
    <t>21/03/2026 17:00 | Serbia | Prva Liga | Macva vs Dubočica</t>
  </si>
  <si>
    <t>Sandecja Nowy Sącz</t>
  </si>
  <si>
    <t>ŁKS Łódź II</t>
  </si>
  <si>
    <t>21/03/2026 17:00 | Poland | II Liga - East | Sandecja Nowy Sącz vs ŁKS Łódź II</t>
  </si>
  <si>
    <t>De Treffers</t>
  </si>
  <si>
    <t>Barendrecht</t>
  </si>
  <si>
    <t>21/03/2026 17:00 | Netherlands | Tweede Divisie | De Treffers vs Barendrecht</t>
  </si>
  <si>
    <t>Stal Jasień</t>
  </si>
  <si>
    <t>Goczałkowice Zdrój</t>
  </si>
  <si>
    <t>21/03/2026 17:00 | Poland | III Liga - Group 3 | Stal Jasień vs Goczałkowice Zdrój</t>
  </si>
  <si>
    <t>KSZO 1929</t>
  </si>
  <si>
    <t>21/03/2026 17:00 | Poland | III Liga - Group 4 | KSZO 1929 vs Avia Świdnik</t>
  </si>
  <si>
    <t>21/03/2026 17:00 | Albania | Superliga | Teuta Durrës vs Partizani</t>
  </si>
  <si>
    <t>21/03/2026 17:00 | Albania | Superliga | Vllaznia Shkodër vs Dinamo Tirana</t>
  </si>
  <si>
    <t>Zürich II</t>
  </si>
  <si>
    <t>21/03/2026 17:00 | Switzerland | 1. Liga Promotion | Zürich II vs Biel-Bienne</t>
  </si>
  <si>
    <t>Bulle</t>
  </si>
  <si>
    <t>Bavois</t>
  </si>
  <si>
    <t>21/03/2026 17:00 | Switzerland | 1. Liga Promotion | Bulle vs Bavois</t>
  </si>
  <si>
    <t>Rapperswil Jona</t>
  </si>
  <si>
    <t>Zürich W</t>
  </si>
  <si>
    <t>21/03/2026 17:00 | Switzerland | AXA Women’s Super League | Rapperswil Jona vs Zürich W</t>
  </si>
  <si>
    <t>National 1</t>
  </si>
  <si>
    <t>Caen</t>
  </si>
  <si>
    <t>Orleans</t>
  </si>
  <si>
    <t>21/03/2026 17:00 | France | National 1 | Caen vs Orleans</t>
  </si>
  <si>
    <t>National 2 - Group C</t>
  </si>
  <si>
    <t>Chasselay MDA</t>
  </si>
  <si>
    <t>Creteil</t>
  </si>
  <si>
    <t>21/03/2026 17:00 | France | National 2 - Group C | Chasselay MDA vs Creteil</t>
  </si>
  <si>
    <t>St Maur Lusitanos</t>
  </si>
  <si>
    <t>Bobigny</t>
  </si>
  <si>
    <t>21/03/2026 17:00 | France | National 2 - Group C | St Maur Lusitanos vs Bobigny</t>
  </si>
  <si>
    <t>Saint-Priest</t>
  </si>
  <si>
    <t>Nimes</t>
  </si>
  <si>
    <t>21/03/2026 17:00 | France | National 2 - Group C | Saint-Priest vs Nimes</t>
  </si>
  <si>
    <t>Cannes</t>
  </si>
  <si>
    <t>Fréjus St-Raphaël</t>
  </si>
  <si>
    <t>21/03/2026 17:00 | France | National 2 - Group C | Cannes vs Fréjus St-Raphaël</t>
  </si>
  <si>
    <t>Hyères</t>
  </si>
  <si>
    <t>Toulon</t>
  </si>
  <si>
    <t>21/03/2026 17:00 | France | National 2 - Group C | Hyères vs Toulon</t>
  </si>
  <si>
    <t>Rousset-Ste Victoire</t>
  </si>
  <si>
    <t>Grasse</t>
  </si>
  <si>
    <t>21/03/2026 17:00 | France | National 2 - Group C | Rousset-Ste Victoire vs Grasse</t>
  </si>
  <si>
    <t>Istres</t>
  </si>
  <si>
    <t>Limonest</t>
  </si>
  <si>
    <t>21/03/2026 17:00 | France | National 2 - Group C | Istres vs Limonest</t>
  </si>
  <si>
    <t>Dieppe</t>
  </si>
  <si>
    <t>Feignies-Aulnoye</t>
  </si>
  <si>
    <t>21/03/2026 17:00 | France | National 2 - Group B | Dieppe vs Feignies-Aulnoye</t>
  </si>
  <si>
    <t>Furiani-Agliani</t>
  </si>
  <si>
    <t>Thionville Lusitanos</t>
  </si>
  <si>
    <t>21/03/2026 17:00 | France | National 2 - Group B | Furiani-Agliani vs Thionville Lusitanos</t>
  </si>
  <si>
    <t>Wasquehal</t>
  </si>
  <si>
    <t>21/03/2026 17:00 | France | National 2 - Group B | Blois vs Wasquehal</t>
  </si>
  <si>
    <t>St-Pryvé St-Hilaire</t>
  </si>
  <si>
    <t>21/03/2026 17:00 | France | National 2 - Group B | St-Pryvé St-Hilaire vs Bastia-Borgo</t>
  </si>
  <si>
    <t>Biesheim</t>
  </si>
  <si>
    <t>Chambly Thelle FC</t>
  </si>
  <si>
    <t>21/03/2026 17:00 | France | National 2 - Group B | Biesheim vs Chambly Thelle FC</t>
  </si>
  <si>
    <t>Beauvais</t>
  </si>
  <si>
    <t>Colmar</t>
  </si>
  <si>
    <t>21/03/2026 17:00 | France | National 2 - Group B | Beauvais vs Colmar</t>
  </si>
  <si>
    <t>National 2 - Group A</t>
  </si>
  <si>
    <t>La Roche VF</t>
  </si>
  <si>
    <t>Bordeaux</t>
  </si>
  <si>
    <t>21/03/2026 17:00 | France | National 2 - Group A | La Roche VF vs Bordeaux</t>
  </si>
  <si>
    <t>Saint-Colomban Locminé</t>
  </si>
  <si>
    <t>Les Herbiers</t>
  </si>
  <si>
    <t>21/03/2026 17:00 | France | National 2 - Group A | Saint-Colomban Locminé vs Les Herbiers</t>
  </si>
  <si>
    <t>Chauray</t>
  </si>
  <si>
    <t>Avranches</t>
  </si>
  <si>
    <t>21/03/2026 17:00 | France | National 2 - Group A | Chauray vs Avranches</t>
  </si>
  <si>
    <t>Angoulême</t>
  </si>
  <si>
    <t>Saumur</t>
  </si>
  <si>
    <t>21/03/2026 17:00 | France | National 2 - Group A | Angoulême vs Saumur</t>
  </si>
  <si>
    <t>Romorantin</t>
  </si>
  <si>
    <t>Auxerre II</t>
  </si>
  <si>
    <t>21/03/2026 17:00 | France | National 3 - Group G | Romorantin vs Auxerre II</t>
  </si>
  <si>
    <t>Jura Sud Foot</t>
  </si>
  <si>
    <t>21/03/2026 17:00 | France | National 3 - Group G | Jura Sud Foot vs Hauts Lyonnais</t>
  </si>
  <si>
    <t>Dijon II</t>
  </si>
  <si>
    <t>Orléans II</t>
  </si>
  <si>
    <t>21/03/2026 17:00 | France | National 3 - Group G | Dijon II vs Orléans II</t>
  </si>
  <si>
    <t>Tarbes</t>
  </si>
  <si>
    <t>21/03/2026 17:00 | France | National 3 - Group A | Tarbes vs Toulouse II</t>
  </si>
  <si>
    <t>Anglet Genets</t>
  </si>
  <si>
    <t>Onet-le-Château</t>
  </si>
  <si>
    <t>21/03/2026 17:00 | France | National 3 - Group A | Anglet Genets vs Onet-le-Château</t>
  </si>
  <si>
    <t>Bassin d'Arcachon Sud</t>
  </si>
  <si>
    <t>Pau II</t>
  </si>
  <si>
    <t>21/03/2026 17:00 | France | National 3 - Group A | Bassin d'Arcachon Sud vs Pau II</t>
  </si>
  <si>
    <t>Blagnac</t>
  </si>
  <si>
    <t>Colomiers</t>
  </si>
  <si>
    <t>21/03/2026 17:00 | France | National 3 - Group A | Blagnac vs Colomiers</t>
  </si>
  <si>
    <t>USSA Vertou</t>
  </si>
  <si>
    <t>Angers SCO II</t>
  </si>
  <si>
    <t>21/03/2026 17:00 | France | National 3 - Group B | USSA Vertou vs Angers SCO II</t>
  </si>
  <si>
    <t>Le Poiré sur Vie</t>
  </si>
  <si>
    <t>Les Sables</t>
  </si>
  <si>
    <t>21/03/2026 17:00 | France | National 3 - Group B | Le Poiré sur Vie vs Les Sables</t>
  </si>
  <si>
    <t>Châteauroux II</t>
  </si>
  <si>
    <t>Châtellerault</t>
  </si>
  <si>
    <t>21/03/2026 17:00 | France | National 3 - Group B | Châteauroux II vs Châtellerault</t>
  </si>
  <si>
    <t>La Châtaigneraie</t>
  </si>
  <si>
    <t>Challans</t>
  </si>
  <si>
    <t>21/03/2026 17:00 | France | National 3 - Group B | La Châtaigneraie vs Challans</t>
  </si>
  <si>
    <t>UF Touraine</t>
  </si>
  <si>
    <t>21/03/2026 17:00 | France | National 3 - Group B | UF Touraine vs St-Philbert Gd Lieu</t>
  </si>
  <si>
    <t>National 3 - Group C</t>
  </si>
  <si>
    <t>Rennes II</t>
  </si>
  <si>
    <t>Vire</t>
  </si>
  <si>
    <t>21/03/2026 17:00 | France | National 3 - Group C | Rennes II vs Vire</t>
  </si>
  <si>
    <t>Laval II</t>
  </si>
  <si>
    <t>Vannes</t>
  </si>
  <si>
    <t>21/03/2026 17:00 | France | National 3 - Group C | Laval II vs Vannes</t>
  </si>
  <si>
    <t>Alençon</t>
  </si>
  <si>
    <t>Pontivy GSI</t>
  </si>
  <si>
    <t>21/03/2026 17:00 | France | National 3 - Group C | Alençon vs Pontivy GSI</t>
  </si>
  <si>
    <t>Guingamp II</t>
  </si>
  <si>
    <t>Vitré</t>
  </si>
  <si>
    <t>21/03/2026 17:00 | France | National 3 - Group C | Guingamp II vs Vitré</t>
  </si>
  <si>
    <t>Lannion</t>
  </si>
  <si>
    <t>Ergué-Gaberic</t>
  </si>
  <si>
    <t>21/03/2026 17:00 | France | National 3 - Group C | Lannion vs Ergué-Gaberic</t>
  </si>
  <si>
    <t>Cesson</t>
  </si>
  <si>
    <t>Saint-Pierre Milizac</t>
  </si>
  <si>
    <t>21/03/2026 17:00 | France | National 3 - Group C | Cesson vs Saint-Pierre Milizac</t>
  </si>
  <si>
    <t>Mulhouse</t>
  </si>
  <si>
    <t>Besançon</t>
  </si>
  <si>
    <t>21/03/2026 17:00 | France | National 3 - Group F | Mulhouse vs Besançon</t>
  </si>
  <si>
    <t>Torcy</t>
  </si>
  <si>
    <t>21/03/2026 17:00 | France | National 3 - Group F | Torcy vs Ivry</t>
  </si>
  <si>
    <t>Racing Besançon</t>
  </si>
  <si>
    <t>Troyes II</t>
  </si>
  <si>
    <t>21/03/2026 17:00 | France | National 3 - Group F | Racing Besançon vs Troyes II</t>
  </si>
  <si>
    <t>Jura Dolois</t>
  </si>
  <si>
    <t>21/03/2026 17:00 | France | National 3 - Group F | Jura Dolois vs Belfort</t>
  </si>
  <si>
    <t>Thonon Évian</t>
  </si>
  <si>
    <t>Chalon-sur-Saône</t>
  </si>
  <si>
    <t>21/03/2026 17:00 | France | National 3 - Group F | Thonon Évian vs Chalon-sur-Saône</t>
  </si>
  <si>
    <t>Olympique Lyonnais II</t>
  </si>
  <si>
    <t>ASPTT Dijon</t>
  </si>
  <si>
    <t>21/03/2026 17:00 | France | National 3 - Group H | Olympique Lyonnais II vs ASPTT Dijon</t>
  </si>
  <si>
    <t>Lyon Duchere</t>
  </si>
  <si>
    <t>21/03/2026 17:00 | France | National 3 - Group H | Lyon Duchere vs Cannet Rocheville</t>
  </si>
  <si>
    <t>Olympique Marseille II</t>
  </si>
  <si>
    <t>Fos</t>
  </si>
  <si>
    <t>21/03/2026 17:00 | France | National 3 - Group H | Olympique Marseille II vs Fos</t>
  </si>
  <si>
    <t>Bourgoin-Jallieu</t>
  </si>
  <si>
    <t>Gallia Lucciana</t>
  </si>
  <si>
    <t>21/03/2026 17:00 | France | National 3 - Group H | Bourgoin-Jallieu vs Gallia Lucciana</t>
  </si>
  <si>
    <t>Seyssinet-Pariset</t>
  </si>
  <si>
    <t>Villefranche SJB</t>
  </si>
  <si>
    <t>21/03/2026 17:00 | France | National 3 - Group H | Seyssinet-Pariset vs Villefranche SJB</t>
  </si>
  <si>
    <t>C' Chartres</t>
  </si>
  <si>
    <t>21/03/2026 17:00 | France | National 3 - Group D | C' Chartres vs Racing Colombes 92</t>
  </si>
  <si>
    <t>Sainte Geneviève</t>
  </si>
  <si>
    <t>Caen II</t>
  </si>
  <si>
    <t>21/03/2026 17:00 | France | National 3 - Group D | Sainte Geneviève vs Caen II</t>
  </si>
  <si>
    <t>St Ouen l'Aumône</t>
  </si>
  <si>
    <t>Brétigny Foot</t>
  </si>
  <si>
    <t>21/03/2026 17:00 | France | National 3 - Group D | St Ouen l'Aumône vs Brétigny Foot</t>
  </si>
  <si>
    <t>Trouville Deauville</t>
  </si>
  <si>
    <t>Oissel</t>
  </si>
  <si>
    <t>21/03/2026 17:00 | France | National 3 - Group D | Trouville Deauville vs Oissel</t>
  </si>
  <si>
    <t>Aubervilliers</t>
  </si>
  <si>
    <t>Linas-Montlhery</t>
  </si>
  <si>
    <t>21/03/2026 17:00 | France | National 3 - Group D | Aubervilliers vs Linas-Montlhery</t>
  </si>
  <si>
    <t>Olympique St Quentin</t>
  </si>
  <si>
    <t>OCPAM</t>
  </si>
  <si>
    <t>21/03/2026 17:00 | France | National 3 - Group E | Olympique St Quentin vs OCPAM</t>
  </si>
  <si>
    <t>Reims II</t>
  </si>
  <si>
    <t>Neuilly sur Marne</t>
  </si>
  <si>
    <t>21/03/2026 17:00 | France | National 3 - Group E | Reims II vs Neuilly sur Marne</t>
  </si>
  <si>
    <t>Croix Football IC</t>
  </si>
  <si>
    <t>Lille II</t>
  </si>
  <si>
    <t>21/03/2026 17:00 | France | National 3 - Group E | Croix Football IC vs Lille II</t>
  </si>
  <si>
    <t>Real Ávila</t>
  </si>
  <si>
    <t>Marino de Luanco</t>
  </si>
  <si>
    <t>21/03/2026 17:00 | Spain | Segunda División RFEF - Group 1 | Real Ávila vs Marino de Luanco</t>
  </si>
  <si>
    <t>Sarriana</t>
  </si>
  <si>
    <t>21/03/2026 17:00 | Spain | Segunda División RFEF - Group 1 | Sarriana vs Langreo</t>
  </si>
  <si>
    <t>Eibar II</t>
  </si>
  <si>
    <t>21/03/2026 17:00 | Spain | Segunda División RFEF - Group 2 | Eibar II vs Beasain</t>
  </si>
  <si>
    <t>21/03/2026 17:00 | Spain | Segunda División RFEF - Group 2 | Real Unión vs Ebro</t>
  </si>
  <si>
    <t>Excelsior '31</t>
  </si>
  <si>
    <t>21/03/2026 17:00 | Netherlands | Derde Divisie - Saturday | Hsc 21 vs Excelsior '31</t>
  </si>
  <si>
    <t>SVV Scheveningen</t>
  </si>
  <si>
    <t>21/03/2026 17:00 | Netherlands | Derde Divisie - Sunday | Groene Ster vs SVV Scheveningen</t>
  </si>
  <si>
    <t>Eibar III</t>
  </si>
  <si>
    <t>21/03/2026 17:00 | Spain | Tercera División RFEF - Group 4 | Deportivo Alavés III vs Eibar III</t>
  </si>
  <si>
    <t>21/03/2026 17:00 | Spain | Tercera División RFEF - Group 6 | Saguntino vs Roda</t>
  </si>
  <si>
    <t>Mojados</t>
  </si>
  <si>
    <t>21/03/2026 17:00 | Spain | Tercera División RFEF - Group 8 | Unionistas II vs Mojados</t>
  </si>
  <si>
    <t>Platges Calvià</t>
  </si>
  <si>
    <t>Rotlet Molinar</t>
  </si>
  <si>
    <t>21/03/2026 17:00 | Spain | Tercera División RFEF - Group 11 | Platges Calvià vs Rotlet Molinar</t>
  </si>
  <si>
    <t>San Miguel</t>
  </si>
  <si>
    <t>21/03/2026 17:00 | Spain | Tercera División RFEF - Group 12 | San Miguel vs UD San Fernando</t>
  </si>
  <si>
    <t>Las Palmas III</t>
  </si>
  <si>
    <t>21/03/2026 17:00 | Spain | Tercera División RFEF - Group 12 | Las Palmas III vs Panadería Pulido</t>
  </si>
  <si>
    <t>Herbania</t>
  </si>
  <si>
    <t>21/03/2026 17:00 | Spain | Tercera División RFEF - Group 12 | Herbania vs Telde</t>
  </si>
  <si>
    <t>21/03/2026 17:00 | Spain | Tercera División RFEF - Group 14 | Puebla Calzada vs Villafranca</t>
  </si>
  <si>
    <t>Marchamalo</t>
  </si>
  <si>
    <t>Villacañas</t>
  </si>
  <si>
    <t>21/03/2026 17:00 | Spain | Tercera División RFEF - Group 18 | Marchamalo vs Villacañas</t>
  </si>
  <si>
    <t>Dobrovce</t>
  </si>
  <si>
    <t>Fužinar</t>
  </si>
  <si>
    <t>21/03/2026 17:00 | Slovenia | 3. SNL - East | Dobrovce vs Fužinar</t>
  </si>
  <si>
    <t>Lazio W</t>
  </si>
  <si>
    <t>Roma W</t>
  </si>
  <si>
    <t>21/03/2026 17:00 | Italy | Serie A Women | Lazio W vs Roma W</t>
  </si>
  <si>
    <t>21/03/2026 17:00 | USA | Major League Soccer | Toronto FC vs Columbus Crew</t>
  </si>
  <si>
    <t>FC Aarau</t>
  </si>
  <si>
    <t>Neuchatel Xamax FC</t>
  </si>
  <si>
    <t>21/03/2026 17:00 | Switzerland | Challenge League | FC Aarau vs Neuchatel Xamax FC</t>
  </si>
  <si>
    <t>Servette FC</t>
  </si>
  <si>
    <t>21/03/2026 17:00 | Switzerland | Super League | Servette FC vs Grasshoppers</t>
  </si>
  <si>
    <t>FC Zurich</t>
  </si>
  <si>
    <t>21/03/2026 17:00 | Switzerland | Super League | FC Zurich vs FC Thun</t>
  </si>
  <si>
    <t>Viking</t>
  </si>
  <si>
    <t>Molde</t>
  </si>
  <si>
    <t>21/03/2026 17:00 | Norway | Eliteserien | Viking vs Molde</t>
  </si>
  <si>
    <t>Almagro</t>
  </si>
  <si>
    <t>Quilmes</t>
  </si>
  <si>
    <t>21/03/2026 17:00 | Argentina | Primera Nacional | Almagro vs Quilmes</t>
  </si>
  <si>
    <t>Primera B Metropolitana</t>
  </si>
  <si>
    <t>Brown DE Adrogue</t>
  </si>
  <si>
    <t>Arsenal Sarandi</t>
  </si>
  <si>
    <t>21/03/2026 17:00 | Argentina | Primera B Metropolitana | Brown DE Adrogue vs Arsenal Sarandi</t>
  </si>
  <si>
    <t>Defensores Unidos</t>
  </si>
  <si>
    <t>Real Pilar</t>
  </si>
  <si>
    <t>21/03/2026 17:00 | Argentina | Primera B Metropolitana | Defensores Unidos vs Real Pilar</t>
  </si>
  <si>
    <t>Flandria</t>
  </si>
  <si>
    <t>Villa Dalmine</t>
  </si>
  <si>
    <t>21/03/2026 17:00 | Argentina | Primera B Metropolitana | Flandria vs Villa Dalmine</t>
  </si>
  <si>
    <t>B68</t>
  </si>
  <si>
    <t>21/03/2026 17:00 | Faroe-Islands | Meistaradeildin | B36 Torshavn vs B68</t>
  </si>
  <si>
    <t>Cambuur U21</t>
  </si>
  <si>
    <t>ADO Den Haag II</t>
  </si>
  <si>
    <t>21/03/2026 17:00 | Netherlands | U21 Divisie 1 | Cambuur U21 vs ADO Den Haag II</t>
  </si>
  <si>
    <t>Varzim</t>
  </si>
  <si>
    <t>21/03/2026 17:00 | Portugal | Liga 3 | Varzim vs União Santarém</t>
  </si>
  <si>
    <t>1º Dezembro</t>
  </si>
  <si>
    <t>SC Covilha</t>
  </si>
  <si>
    <t>21/03/2026 17:00 | Portugal | Liga 3 | 1º Dezembro vs SC Covilha</t>
  </si>
  <si>
    <t>FK Košice</t>
  </si>
  <si>
    <t>Tatran Prešov</t>
  </si>
  <si>
    <t>21/03/2026 17:00 | Slovakia | Super Liga | FK Košice vs Tatran Prešov</t>
  </si>
  <si>
    <t>Krasava Ypsonas</t>
  </si>
  <si>
    <t>Olympiakos</t>
  </si>
  <si>
    <t>21/03/2026 17:00 | Cyprus | 1. Division | Krasava Ypsonas vs Olympiakos</t>
  </si>
  <si>
    <t>21/03/2026 17:15</t>
  </si>
  <si>
    <t>Swansea</t>
  </si>
  <si>
    <t>Coventry</t>
  </si>
  <si>
    <t>21/03/2026 17:15 | England | Championship | Swansea vs Coventry</t>
  </si>
  <si>
    <t>Pennarossa</t>
  </si>
  <si>
    <t>Murata</t>
  </si>
  <si>
    <t>21/03/2026 17:15 | San-Marino | Campionato | Pennarossa vs Murata</t>
  </si>
  <si>
    <t>Bala Town</t>
  </si>
  <si>
    <t>Haverfordwest County AFC</t>
  </si>
  <si>
    <t>21/03/2026 17:15 | Wales | Premier League | Bala Town vs Haverfordwest County AFC</t>
  </si>
  <si>
    <t>21/03/2026 17:30</t>
  </si>
  <si>
    <t>Everton</t>
  </si>
  <si>
    <t>21/03/2026 17:30 | England | Premier League | Everton vs Chelsea</t>
  </si>
  <si>
    <t>21/03/2026 17:30 | Serbia | Super Liga | Mladost Lucani vs FK Partizan</t>
  </si>
  <si>
    <t>Borussia Dortmund</t>
  </si>
  <si>
    <t>Hamburger SV</t>
  </si>
  <si>
    <t>21/03/2026 17:30 | Germany | Bundesliga | Borussia Dortmund vs Hamburger SV</t>
  </si>
  <si>
    <t>Borac Banja Luka</t>
  </si>
  <si>
    <t>21/03/2026 17:30 | Bosnia | Premijer Liga | Borac Banja Luka vs Radnik Bijeljina</t>
  </si>
  <si>
    <t>Levante</t>
  </si>
  <si>
    <t>21/03/2026 17:30 | Spain | La Liga | Levante vs Oviedo</t>
  </si>
  <si>
    <t>Osasuna</t>
  </si>
  <si>
    <t>Girona</t>
  </si>
  <si>
    <t>21/03/2026 17:30 | Spain | La Liga | Osasuna vs Girona</t>
  </si>
  <si>
    <t>Cadiz</t>
  </si>
  <si>
    <t>Malaga</t>
  </si>
  <si>
    <t>21/03/2026 17:30 | Spain | Segunda División | Cadiz vs Malaga</t>
  </si>
  <si>
    <t>Solihull Moors</t>
  </si>
  <si>
    <t>FC Halifax Town</t>
  </si>
  <si>
    <t>21/03/2026 17:30 | England | National League | Solihull Moors vs FC Halifax Town</t>
  </si>
  <si>
    <t>Baltika</t>
  </si>
  <si>
    <t>FC Sochi</t>
  </si>
  <si>
    <t>21/03/2026 17:30 | Russia | Premier League | Baltika vs FC Sochi</t>
  </si>
  <si>
    <t>Bourg-en-bresse 01</t>
  </si>
  <si>
    <t>Stade Briochin</t>
  </si>
  <si>
    <t>21/03/2026 17:30 | France | National 1 | Bourg-en-bresse 01 vs Stade Briochin</t>
  </si>
  <si>
    <t>Vierzon FC</t>
  </si>
  <si>
    <t>Feurs</t>
  </si>
  <si>
    <t>21/03/2026 17:30 | France | National 3 - Group G | Vierzon FC vs Feurs</t>
  </si>
  <si>
    <t>Moulins-Yzeure Foot 03</t>
  </si>
  <si>
    <t>Mâcon</t>
  </si>
  <si>
    <t>21/03/2026 17:30 | France | National 3 - Group G | Moulins-Yzeure Foot 03 vs Mâcon</t>
  </si>
  <si>
    <t>Castanet</t>
  </si>
  <si>
    <t>Alberes Argelès</t>
  </si>
  <si>
    <t>21/03/2026 17:30 | France | National 3 - Group A | Castanet vs Alberes Argelès</t>
  </si>
  <si>
    <t>Olympique d'Alès</t>
  </si>
  <si>
    <t>Stade Beaucairois</t>
  </si>
  <si>
    <t>21/03/2026 17:30 | France | National 3 - Group H | Olympique d'Alès vs Stade Beaucairois</t>
  </si>
  <si>
    <t>Gazelec FC Ajaccio</t>
  </si>
  <si>
    <t>21/03/2026 17:30 | France | National 3 - Group E | Gazelec FC Ajaccio vs Pays de Cassel</t>
  </si>
  <si>
    <t>Le Pays du Valois</t>
  </si>
  <si>
    <t>Vimy</t>
  </si>
  <si>
    <t>21/03/2026 17:30 | France | National 3 - Group E | Le Pays du Valois vs Vimy</t>
  </si>
  <si>
    <t>Antequera</t>
  </si>
  <si>
    <t>21/03/2026 17:30 | Spain | Primera División RFEF - Group 2 | Antequera vs Villarreal II</t>
  </si>
  <si>
    <t>21/03/2026 17:30 | Spain | Primera División RFEF - Group 2 | Atlético Madrid II vs FC Cartagena</t>
  </si>
  <si>
    <t>Sanluqueño</t>
  </si>
  <si>
    <t>21/03/2026 17:30 | Spain | Primera División RFEF - Group 2 | Juventud Torremolinos vs Sanluqueño</t>
  </si>
  <si>
    <t>21/03/2026 17:30 | Spain | Primera División RFEF - Group 2 | Teruel vs Alcorcon</t>
  </si>
  <si>
    <t>21/03/2026 17:30 | Spain | Segunda División RFEF - Group 2 | Gernika vs Náxara</t>
  </si>
  <si>
    <t>Royal Antwerp II</t>
  </si>
  <si>
    <t>Bocholt</t>
  </si>
  <si>
    <t>21/03/2026 17:30 | Belgium | Second Amateur Division - VFV B | Royal Antwerp II vs Bocholt</t>
  </si>
  <si>
    <t>Laredo</t>
  </si>
  <si>
    <t>Castro</t>
  </si>
  <si>
    <t>21/03/2026 17:30 | Spain | Tercera División RFEF - Group 3 | Laredo vs Castro</t>
  </si>
  <si>
    <t>Atlético Albericia</t>
  </si>
  <si>
    <t>Cartes</t>
  </si>
  <si>
    <t>21/03/2026 17:30 | Spain | Tercera División RFEF - Group 3 | Atlético Albericia vs Cartes</t>
  </si>
  <si>
    <t>Hércules II</t>
  </si>
  <si>
    <t>21/03/2026 17:30 | Spain | Tercera División RFEF - Group 6 | Hércules II vs Buñol</t>
  </si>
  <si>
    <t>21/03/2026 17:30 | Spain | Tercera División RFEF - Group 12 | Unión Sur Yaiza vs Arucas</t>
  </si>
  <si>
    <t>21/03/2026 17:45</t>
  </si>
  <si>
    <t>21/03/2026 17:45 | Netherlands | Eredivisie | Sparta Rotterdam vs FC Volendam</t>
  </si>
  <si>
    <t>Aberdeen</t>
  </si>
  <si>
    <t>21/03/2026 17:45 | Scotland | Premiership | Rangers vs Aberdeen</t>
  </si>
  <si>
    <t>21/03/2026 17:45 | Spain | Tercera División RFEF - Group 17 | Épila vs Atlético Monzón</t>
  </si>
  <si>
    <t>21/03/2026 18:00</t>
  </si>
  <si>
    <t>Auxerre</t>
  </si>
  <si>
    <t>21/03/2026 18:00 | France | Ligue 1 | Auxerre vs Stade Brestois 29</t>
  </si>
  <si>
    <t>21/03/2026 18:00 | Portugal | Primeira Liga | Benfica vs Guimaraes</t>
  </si>
  <si>
    <t>21/03/2026 18:00 | Portugal | Primeira Liga | Santa Clara vs GIL Vicente</t>
  </si>
  <si>
    <t>Barcelona W</t>
  </si>
  <si>
    <t>Athletic Club W</t>
  </si>
  <si>
    <t>21/03/2026 18:00 | Spain | Primera División Femenina | Barcelona W vs Athletic Club W</t>
  </si>
  <si>
    <t>Portimonense</t>
  </si>
  <si>
    <t>21/03/2026 18:00 | Portugal | Segunda Liga | Portimonense vs FC Porto B</t>
  </si>
  <si>
    <t>Chamalières</t>
  </si>
  <si>
    <t>Saint-Étienne II</t>
  </si>
  <si>
    <t>21/03/2026 18:00 | France | National 3 - Group G | Chamalières vs Saint-Étienne II</t>
  </si>
  <si>
    <t>Lège-Cap-Ferret</t>
  </si>
  <si>
    <t>21/03/2026 18:00 | France | National 3 - Group A | Lège-Cap-Ferret vs Agde</t>
  </si>
  <si>
    <t>Canet Roussillon</t>
  </si>
  <si>
    <t>SAG Cestas</t>
  </si>
  <si>
    <t>21/03/2026 18:00 | France | National 3 - Group A | Canet Roussillon vs SAG Cestas</t>
  </si>
  <si>
    <t>Brest II</t>
  </si>
  <si>
    <t>Drapeau Fougères</t>
  </si>
  <si>
    <t>21/03/2026 18:00 | France | National 3 - Group C | Brest II vs Drapeau Fougères</t>
  </si>
  <si>
    <t>Meyrin</t>
  </si>
  <si>
    <t>21/03/2026 18:00 | Switzerland | 1. Liga Classic - Group 1 | Meyrin vs Martigny Sports</t>
  </si>
  <si>
    <t>21/03/2026 18:00 | Spain | Segunda División RFEF - Group 2 | SD Logroñés vs Utebo</t>
  </si>
  <si>
    <t>21/03/2026 18:00 | Spain | Segunda División RFEF - Group 4 | Estepona vs Extremadura 1924</t>
  </si>
  <si>
    <t>21/03/2026 18:00 | Spain | Segunda División RFEF - Group 4 | Xerez vs La Unión Atlético</t>
  </si>
  <si>
    <t>Azuqueca</t>
  </si>
  <si>
    <t>San Clemente</t>
  </si>
  <si>
    <t>21/03/2026 18:00 | Spain | Tercera División RFEF - Group 18 | Azuqueca vs San Clemente</t>
  </si>
  <si>
    <t>Deportivo Armenio</t>
  </si>
  <si>
    <t>Excursionistas</t>
  </si>
  <si>
    <t>21/03/2026 18:00 | Argentina | Primera B Metropolitana | Deportivo Armenio vs Excursionistas</t>
  </si>
  <si>
    <t>Catanduva</t>
  </si>
  <si>
    <t>Paulista</t>
  </si>
  <si>
    <t>21/03/2026 18:00 | Brazil | Paulista - A3 | Catanduva vs Paulista</t>
  </si>
  <si>
    <t>Desportivo Brasil</t>
  </si>
  <si>
    <t>XV de Jau</t>
  </si>
  <si>
    <t>21/03/2026 18:00 | Brazil | Paulista - A3 | Desportivo Brasil vs XV de Jau</t>
  </si>
  <si>
    <t>Rio Preto</t>
  </si>
  <si>
    <t>21/03/2026 18:00 | Brazil | Paulista - A3 | Itapirense vs Rio Preto</t>
  </si>
  <si>
    <t>Marília</t>
  </si>
  <si>
    <t>21/03/2026 18:00 | Brazil | Paulista - A3 | Marília vs Francana</t>
  </si>
  <si>
    <t>Uniao Barbarense</t>
  </si>
  <si>
    <t>21/03/2026 18:00 | Brazil | Paulista - A3 | Portuguesa Santista vs Uniao Barbarense</t>
  </si>
  <si>
    <t>Rio Branco SP</t>
  </si>
  <si>
    <t>21/03/2026 18:00 | Brazil | Paulista - A3 | Rio Branco SP vs Bandeirante SP</t>
  </si>
  <si>
    <t>USAC</t>
  </si>
  <si>
    <t>21/03/2026 18:00 | Brazil | Paulista - A3 | Rio Claro vs USAC</t>
  </si>
  <si>
    <t>União São João</t>
  </si>
  <si>
    <t>21/03/2026 18:00 | Brazil | Paulista - A3 | União São João vs EC São Bernardo</t>
  </si>
  <si>
    <t>Joseense</t>
  </si>
  <si>
    <t>Comercial</t>
  </si>
  <si>
    <t>21/03/2026 18:00 | Brazil | Paulista - A4 | Joseense vs Comercial</t>
  </si>
  <si>
    <t>AEA</t>
  </si>
  <si>
    <t>21/03/2026 18:00 | Brazil | Paulista - A4 | ECUS vs AEA</t>
  </si>
  <si>
    <t>Taquaritinga</t>
  </si>
  <si>
    <t>21/03/2026 18:00 | Brazil | Paulista - A4 | Jabaquara vs Taquaritinga</t>
  </si>
  <si>
    <t>Nacional SP</t>
  </si>
  <si>
    <t>Colorado Caieiras</t>
  </si>
  <si>
    <t>21/03/2026 18:00 | Brazil | Paulista - A4 | Nacional SP vs Colorado Caieiras</t>
  </si>
  <si>
    <t>São Caetano</t>
  </si>
  <si>
    <t>Barretos</t>
  </si>
  <si>
    <t>21/03/2026 18:00 | Brazil | Paulista - A4 | São Caetano vs Barretos</t>
  </si>
  <si>
    <t>Stabaek</t>
  </si>
  <si>
    <t>Kongsvinger</t>
  </si>
  <si>
    <t>21/03/2026 18:00 | World | Friendlies Clubs | Stabaek vs Kongsvinger</t>
  </si>
  <si>
    <t>21/03/2026 18:00 | Faroe-Islands | Meistaradeildin | 07 Vestur vs Skála</t>
  </si>
  <si>
    <t>Atlético Mineiro W</t>
  </si>
  <si>
    <t>Internacional RS W</t>
  </si>
  <si>
    <t>21/03/2026 18:00 | Brazil | Brasileiro Women | Atlético Mineiro W vs Internacional RS W</t>
  </si>
  <si>
    <t>Cabofriense U20</t>
  </si>
  <si>
    <t>21/03/2026 18:00 | Brazil | Copa Rio U20 | América RJ U20 vs Cabofriense U20</t>
  </si>
  <si>
    <t>Boavista U20</t>
  </si>
  <si>
    <t>Portuguesa RJ U20</t>
  </si>
  <si>
    <t>21/03/2026 18:00 | Brazil | Copa Rio U20 | Boavista U20 vs Portuguesa RJ U20</t>
  </si>
  <si>
    <t>Olaria U20</t>
  </si>
  <si>
    <t>Fluminense U20</t>
  </si>
  <si>
    <t>21/03/2026 18:00 | Brazil | Copa Rio U20 | Olaria U20 vs Fluminense U20</t>
  </si>
  <si>
    <t>Volta Redonda U20</t>
  </si>
  <si>
    <t>Botafogo U20</t>
  </si>
  <si>
    <t>21/03/2026 18:00 | Brazil | Copa Rio U20 | Volta Redonda U20 vs Botafogo U20</t>
  </si>
  <si>
    <t>Jacobina U20</t>
  </si>
  <si>
    <t>Galícia U20</t>
  </si>
  <si>
    <t>21/03/2026 18:00 | Brazil | Baiano U20 | Jacobina U20 vs Galícia U20</t>
  </si>
  <si>
    <t>Jacuipense U20</t>
  </si>
  <si>
    <t>Estrela De Marco U20</t>
  </si>
  <si>
    <t>21/03/2026 18:00 | Brazil | Baiano U20 | Jacuipense U20 vs Estrela De Marco U20</t>
  </si>
  <si>
    <t>Leonico U20</t>
  </si>
  <si>
    <t>Atlético Alagoinhas U20</t>
  </si>
  <si>
    <t>21/03/2026 18:00 | Brazil | Baiano U20 | Leonico U20 vs Atlético Alagoinhas U20</t>
  </si>
  <si>
    <t>Porto BA U20</t>
  </si>
  <si>
    <t>Vitória da Conquista U20</t>
  </si>
  <si>
    <t>21/03/2026 18:00 | Brazil | Baiano U20 | Porto BA U20 vs Vitória da Conquista U20</t>
  </si>
  <si>
    <t>Fluminense de Feira U20</t>
  </si>
  <si>
    <t>Redencao U20</t>
  </si>
  <si>
    <t>21/03/2026 18:00 | Brazil | Baiano U20 | Fluminense de Feira U20 vs Redencao U20</t>
  </si>
  <si>
    <t>Jequie U20</t>
  </si>
  <si>
    <t>Serrano U20</t>
  </si>
  <si>
    <t>21/03/2026 18:00 | Brazil | Baiano U20 | Jequie U20 vs Serrano U20</t>
  </si>
  <si>
    <t>Juazeirense U20</t>
  </si>
  <si>
    <t>Camacari U20</t>
  </si>
  <si>
    <t>21/03/2026 18:00 | Brazil | Baiano U20 | Juazeirense U20 vs Camacari U20</t>
  </si>
  <si>
    <t>Cearense - 2</t>
  </si>
  <si>
    <t>Crateús</t>
  </si>
  <si>
    <t>Itapipoca</t>
  </si>
  <si>
    <t>21/03/2026 18:00 | Brazil | Cearense - 2 | Crateús vs Itapipoca</t>
  </si>
  <si>
    <t>Ghazl El Mehalla</t>
  </si>
  <si>
    <t>21/03/2026 18:00 | Egypt | Premier League | Ghazl El Mehalla vs National Bank of Egypt</t>
  </si>
  <si>
    <t>CSA</t>
  </si>
  <si>
    <t>CSE</t>
  </si>
  <si>
    <t>21/03/2026 18:00 | Brazil | Copa Alagoas | CSA vs CSE</t>
  </si>
  <si>
    <t>Ivoti U20</t>
  </si>
  <si>
    <t>Real SC U20</t>
  </si>
  <si>
    <t>21/03/2026 18:00 | Brazil | Estadual Junior U20 | Ivoti U20 vs Real SC U20</t>
  </si>
  <si>
    <t>21/03/2026 18:15</t>
  </si>
  <si>
    <t>Comerciantes Unidos</t>
  </si>
  <si>
    <t>21/03/2026 18:15 | Peru | Primera División | Comerciantes Unidos vs Universitario</t>
  </si>
  <si>
    <t>Jennings United</t>
  </si>
  <si>
    <t>Potters Tigers</t>
  </si>
  <si>
    <t>21/03/2026 18:15 | Antigua-And-Barbuda | Premier Division | Jennings United vs Potters Tigers</t>
  </si>
  <si>
    <t>21/03/2026 18:26</t>
  </si>
  <si>
    <t>Broń Radom</t>
  </si>
  <si>
    <t>Łomża</t>
  </si>
  <si>
    <t>21/03/2026 18:26 | Poland | III Liga - Group 1 | Broń Radom vs Łomża</t>
  </si>
  <si>
    <t>21/03/2026 18:30</t>
  </si>
  <si>
    <t>Tychy 71</t>
  </si>
  <si>
    <t>21/03/2026 18:30 | Poland | I Liga | Polonia Bytom vs Tychy 71</t>
  </si>
  <si>
    <t>Miedz Legnica</t>
  </si>
  <si>
    <t>21/03/2026 18:30 | Poland | I Liga | Polonia Warszawa vs Miedz Legnica</t>
  </si>
  <si>
    <t>Puszcza Niepołomice</t>
  </si>
  <si>
    <t>Slask Wroclaw</t>
  </si>
  <si>
    <t>21/03/2026 18:30 | Poland | I Liga | Puszcza Niepołomice vs Slask Wroclaw</t>
  </si>
  <si>
    <t>Penya Encarnada</t>
  </si>
  <si>
    <t>21/03/2026 18:30 | Andorra | 1a Divisió | Penya Encarnada vs FC Santa Coloma</t>
  </si>
  <si>
    <t>Dessel Sport</t>
  </si>
  <si>
    <t>21/03/2026 18:30 | Belgium | First Amateur Division | Dessel Sport vs Knokke</t>
  </si>
  <si>
    <t>Ninove</t>
  </si>
  <si>
    <t>21/03/2026 18:30 | Belgium | First Amateur Division | Ninove vs Houtvenne</t>
  </si>
  <si>
    <t>Thes Sport</t>
  </si>
  <si>
    <t>21/03/2026 18:30 | Belgium | First Amateur Division | Merelbeke vs Thes Sport</t>
  </si>
  <si>
    <t>Modena</t>
  </si>
  <si>
    <t>21/03/2026 18:30 | Italy | Serie B | Modena vs Mantova</t>
  </si>
  <si>
    <t>Epinal</t>
  </si>
  <si>
    <t>Bourges Foot 18</t>
  </si>
  <si>
    <t>21/03/2026 18:30 | France | National 2 - Group B | Epinal vs Bourges Foot 18</t>
  </si>
  <si>
    <t>Tournai</t>
  </si>
  <si>
    <t>21/03/2026 18:30 | Belgium | Second Amateur Division - ACFF | Huy vs Tournai</t>
  </si>
  <si>
    <t>Stade Verviers</t>
  </si>
  <si>
    <t>Braine</t>
  </si>
  <si>
    <t>21/03/2026 18:30 | Belgium | Second Amateur Division - ACFF | Stade Verviers vs Braine</t>
  </si>
  <si>
    <t>Ostiches</t>
  </si>
  <si>
    <t>21/03/2026 18:30 | Belgium | Second Amateur Division - ACFF | Ostiches vs Aywaille</t>
  </si>
  <si>
    <t>Oudenaarde</t>
  </si>
  <si>
    <t>21/03/2026 18:30 | Belgium | Second Amateur Division - VFV A | Oudenaarde vs Sparta Petegem</t>
  </si>
  <si>
    <t>Tongeren</t>
  </si>
  <si>
    <t>Wellen</t>
  </si>
  <si>
    <t>21/03/2026 18:30 | Belgium | Second Amateur Division - VFV B | Tongeren vs Wellen</t>
  </si>
  <si>
    <t>Hades</t>
  </si>
  <si>
    <t>21/03/2026 18:30 | Belgium | Second Amateur Division - VFV B | Hades vs Rupel Boom</t>
  </si>
  <si>
    <t>Imolese</t>
  </si>
  <si>
    <t>Crema</t>
  </si>
  <si>
    <t>21/03/2026 18:30 | Italy | Serie D - Girone D | Imolese vs Crema</t>
  </si>
  <si>
    <t>21/03/2026 18:30 | Spain | Tercera División RFEF - Group 16 | Arnedo vs San Marcial</t>
  </si>
  <si>
    <t>Velez Sarsfield</t>
  </si>
  <si>
    <t>Lanus</t>
  </si>
  <si>
    <t>21/03/2026 18:30 | Argentina | Liga Profesional Argentina | Velez Sarsfield vs Lanus</t>
  </si>
  <si>
    <t>Argentino Rosario</t>
  </si>
  <si>
    <t>Yupanqui</t>
  </si>
  <si>
    <t>21/03/2026 18:30 | Argentina | Primera C | Argentino Rosario vs Yupanqui</t>
  </si>
  <si>
    <t>Central Ballester</t>
  </si>
  <si>
    <t>Deportivo Paraguayo</t>
  </si>
  <si>
    <t>21/03/2026 18:30 | Argentina | Primera C | Central Ballester vs Deportivo Paraguayo</t>
  </si>
  <si>
    <t>Mercedes</t>
  </si>
  <si>
    <t>21/03/2026 18:30 | Argentina | Primera C | El Porvenir vs Mercedes</t>
  </si>
  <si>
    <t>Juventud Unida</t>
  </si>
  <si>
    <t>Claypole</t>
  </si>
  <si>
    <t>21/03/2026 18:30 | Argentina | Primera C | Juventud Unida vs Claypole</t>
  </si>
  <si>
    <t>Leandro N. Alem</t>
  </si>
  <si>
    <t>Canuelas</t>
  </si>
  <si>
    <t>21/03/2026 18:30 | Argentina | Primera C | Leandro N. Alem vs Canuelas</t>
  </si>
  <si>
    <t>Centro Español</t>
  </si>
  <si>
    <t>21/03/2026 18:30 | Argentina | Primera C | Leones de Rosario vs Centro Español</t>
  </si>
  <si>
    <t>AB</t>
  </si>
  <si>
    <t>21/03/2026 18:30 | Faroe-Islands | Meistaradeildin | NSI Runavik vs AB</t>
  </si>
  <si>
    <t>Union Saint-Gilloise II</t>
  </si>
  <si>
    <t>21/03/2026 18:30 | Belgium | First Amateur Division | Union Saint-Gilloise II vs Crossing Schaerbeek</t>
  </si>
  <si>
    <t>21/03/2026 18:30 | Brazil | Paranaense - 2 | Rio Branco PR vs Parana</t>
  </si>
  <si>
    <t>Nacional PR</t>
  </si>
  <si>
    <t>Araucária</t>
  </si>
  <si>
    <t>21/03/2026 18:30 | Brazil | Paranaense - 2 | Nacional PR vs Araucária</t>
  </si>
  <si>
    <t>Coritiba U20</t>
  </si>
  <si>
    <t>Athletico PR U20</t>
  </si>
  <si>
    <t>21/03/2026 18:30 | Brazil | Paranaense U20 | Coritiba U20 vs Athletico PR U20</t>
  </si>
  <si>
    <t>Hope Internacional U20</t>
  </si>
  <si>
    <t>21/03/2026 18:30 | Brazil | Paranaense U20 | Parana Clube U20 vs Hope Internacional U20</t>
  </si>
  <si>
    <t>Patriotas U20</t>
  </si>
  <si>
    <t>21/03/2026 18:30 | Brazil | Paranaense U20 | Cascavel U20 vs Patriotas U20</t>
  </si>
  <si>
    <t>Cianorte U20</t>
  </si>
  <si>
    <t>CE União U20</t>
  </si>
  <si>
    <t>21/03/2026 18:30 | Brazil | Paranaense U20 | Cianorte U20 vs CE União U20</t>
  </si>
  <si>
    <t>21/03/2026 18:30 | Brazil | Goiano U20 | Atlético GO U20 vs Guanabara City U20</t>
  </si>
  <si>
    <t>Cerrado EC U20</t>
  </si>
  <si>
    <t>21/03/2026 18:30 | Brazil | Goiano U20 | Royal U20 vs Cerrado EC U20</t>
  </si>
  <si>
    <t>Bangu U20</t>
  </si>
  <si>
    <t>Resende FC U20</t>
  </si>
  <si>
    <t>21/03/2026 18:30 | Brazil | Copa Rio U20 | Bangu U20 vs Resende FC U20</t>
  </si>
  <si>
    <t>Universitatea Cluj</t>
  </si>
  <si>
    <t>21/03/2026 18:30 | Romania | Liga I | Arges Pitesti vs Universitatea Cluj</t>
  </si>
  <si>
    <t>21/03/2026 19:00</t>
  </si>
  <si>
    <t>Waalwijk</t>
  </si>
  <si>
    <t>21/03/2026 19:00 | Netherlands | Eerste Divisie | Waalwijk vs Den Bosch</t>
  </si>
  <si>
    <t>Saint Etienne</t>
  </si>
  <si>
    <t>Annecy</t>
  </si>
  <si>
    <t>21/03/2026 19:00 | France | Ligue 2 | Saint Etienne vs Annecy</t>
  </si>
  <si>
    <t>RSC Anderlecht II</t>
  </si>
  <si>
    <t>21/03/2026 19:00 | Belgium | Challenger Pro League | Lokeren-Temse vs RSC Anderlecht II</t>
  </si>
  <si>
    <t>RWDM</t>
  </si>
  <si>
    <t>K. Lierse S.K.</t>
  </si>
  <si>
    <t>21/03/2026 19:00 | Belgium | Challenger Pro League | RWDM vs K. Lierse S.K.</t>
  </si>
  <si>
    <t>Liège</t>
  </si>
  <si>
    <t>21/03/2026 19:00 | Belgium | Challenger Pro League | SK Beveren vs Liège</t>
  </si>
  <si>
    <t>21/03/2026 19:00 | Belgium | First Amateur Division | Lyra-Lierse Berlaar vs Hoogstraten</t>
  </si>
  <si>
    <t>Onhaye</t>
  </si>
  <si>
    <t>21/03/2026 19:00 | Belgium | Second Amateur Division - ACFF | Onhaye vs Acren-Lessines</t>
  </si>
  <si>
    <t>Mandel United</t>
  </si>
  <si>
    <t>Zulte Waregem II</t>
  </si>
  <si>
    <t>21/03/2026 19:00 | Belgium | Second Amateur Division - VFV A | Mandel United vs Zulte Waregem II</t>
  </si>
  <si>
    <t>Diksmuide</t>
  </si>
  <si>
    <t>HO Kalken</t>
  </si>
  <si>
    <t>21/03/2026 19:00 | Belgium | Second Amateur Division - VFV A | Diksmuide vs HO Kalken</t>
  </si>
  <si>
    <t>Gullegem</t>
  </si>
  <si>
    <t>21/03/2026 19:00 | Belgium | Second Amateur Division - VFV A | Gullegem vs Oostkamp</t>
  </si>
  <si>
    <t>Nijlen</t>
  </si>
  <si>
    <t>Cappellen</t>
  </si>
  <si>
    <t>21/03/2026 19:00 | Belgium | Second Amateur Division - VFV B | Nijlen vs Cappellen</t>
  </si>
  <si>
    <t>AD Sarchí</t>
  </si>
  <si>
    <t>21/03/2026 19:00 | Costa-Rica | Liga de Ascenso | AD Sarchí vs Deportivo Upala</t>
  </si>
  <si>
    <t>Loudoun United</t>
  </si>
  <si>
    <t>Miami FC</t>
  </si>
  <si>
    <t>21/03/2026 19:00 | USA | USL Championship | Loudoun United vs Miami FC</t>
  </si>
  <si>
    <t>RB Bragantino</t>
  </si>
  <si>
    <t>Botafogo</t>
  </si>
  <si>
    <t>21/03/2026 19:00 | Brazil | Serie A | RB Bragantino vs Botafogo</t>
  </si>
  <si>
    <t>NY Cosmos</t>
  </si>
  <si>
    <t>21/03/2026 19:00 | USA | USL League One | Spokane Velocity vs NY Cosmos</t>
  </si>
  <si>
    <t>Acassuso</t>
  </si>
  <si>
    <t>21/03/2026 19:00 | Argentina | Primera Nacional | Acassuso vs Deportivo Moron</t>
  </si>
  <si>
    <t>Defensores De Belgrano</t>
  </si>
  <si>
    <t>21/03/2026 19:00 | Argentina | Primera Nacional | Defensores De Belgrano vs Atletico Mitre</t>
  </si>
  <si>
    <t>21/03/2026 19:00 | Argentina | Primera Nacional | San Miguel vs Racing Cordoba</t>
  </si>
  <si>
    <t>Inter de Bebedouro</t>
  </si>
  <si>
    <t>Tanabi</t>
  </si>
  <si>
    <t>21/03/2026 19:00 | Brazil | Paulista - A4 | Inter de Bebedouro vs Tanabi</t>
  </si>
  <si>
    <t>Popayan</t>
  </si>
  <si>
    <t>21/03/2026 19:00 | Colombia | Primera B | Patriotas vs Popayan</t>
  </si>
  <si>
    <t>21/03/2026 19:00 | USA | MLS Next Pro | Columbus Crew II vs FC Cincinnati II</t>
  </si>
  <si>
    <t>Delfin SC</t>
  </si>
  <si>
    <t>21/03/2026 19:00 | Ecuador | Liga Pro | Delfin SC vs Libertad</t>
  </si>
  <si>
    <t>Bahia W</t>
  </si>
  <si>
    <t>Santos W</t>
  </si>
  <si>
    <t>21/03/2026 19:00 | Brazil | Brasileiro Women | Bahia W vs Santos W</t>
  </si>
  <si>
    <t>21/03/2026 19:00 | World | CAF Champions League | Al Ahly vs ES Tunis</t>
  </si>
  <si>
    <t>CAF Confederation Cup</t>
  </si>
  <si>
    <t>CR Belouizdad</t>
  </si>
  <si>
    <t>AL Masry</t>
  </si>
  <si>
    <t>21/03/2026 19:00 | World | CAF Confederation Cup | CR Belouizdad vs AL Masry</t>
  </si>
  <si>
    <t>Albert Quévy-Mons</t>
  </si>
  <si>
    <t>Habay-la-Neuve</t>
  </si>
  <si>
    <t>21/03/2026 19:00 | Belgium | First Amateur Division | Albert Quévy-Mons vs Habay-la-Neuve</t>
  </si>
  <si>
    <t>Rochefort</t>
  </si>
  <si>
    <t>Meux</t>
  </si>
  <si>
    <t>21/03/2026 19:00 | Belgium | First Amateur Division | Rochefort vs Meux</t>
  </si>
  <si>
    <t>Excelsior Virton</t>
  </si>
  <si>
    <t>Tubize</t>
  </si>
  <si>
    <t>21/03/2026 19:00 | Belgium | First Amateur Division | Excelsior Virton vs Tubize</t>
  </si>
  <si>
    <t>Cerrito</t>
  </si>
  <si>
    <t>21/03/2026 19:00 | Uruguay | Segunda División | Cerrito vs Atenas</t>
  </si>
  <si>
    <t>Tocantinense</t>
  </si>
  <si>
    <t>Tocantinópolis</t>
  </si>
  <si>
    <t>Capital</t>
  </si>
  <si>
    <t>21/03/2026 19:00 | Brazil | Tocantinense | Tocantinópolis vs Capital</t>
  </si>
  <si>
    <t>União Carmolandense</t>
  </si>
  <si>
    <t>Gurupi</t>
  </si>
  <si>
    <t>21/03/2026 19:00 | Brazil | Tocantinense | União Carmolandense vs Gurupi</t>
  </si>
  <si>
    <t>Wanderers</t>
  </si>
  <si>
    <t>Danubio</t>
  </si>
  <si>
    <t>21/03/2026 19:00 | Uruguay | Primera División - Apertura | Wanderers vs Danubio</t>
  </si>
  <si>
    <t>Serra Talhada</t>
  </si>
  <si>
    <t>21/03/2026 19:00 | Brazil | Capixaba | Porto Vitória vs Serra Talhada</t>
  </si>
  <si>
    <t>Sobradinho EC</t>
  </si>
  <si>
    <t>21/03/2026 19:00 | Brazil | Brasiliense | Gama vs Sobradinho EC</t>
  </si>
  <si>
    <t>America-RN</t>
  </si>
  <si>
    <t>21/03/2026 19:00 | Brazil | Potiguar | ABC vs America-RN</t>
  </si>
  <si>
    <t>Oratório</t>
  </si>
  <si>
    <t>21/03/2026 19:00 | Brazil | Amapaense | Santos AP vs Oratório</t>
  </si>
  <si>
    <t>Tindastóll</t>
  </si>
  <si>
    <t>KF</t>
  </si>
  <si>
    <t>21/03/2026 19:00 | Iceland | Cup | Tindastóll vs KF</t>
  </si>
  <si>
    <t>21/03/2026 19:15</t>
  </si>
  <si>
    <t>Jagiellonia</t>
  </si>
  <si>
    <t>21/03/2026 19:15 | Poland | Ekstraklasa | Jagiellonia vs Wisla Plock</t>
  </si>
  <si>
    <t>21/03/2026 19:15 | Slovenia | 1. SNL | Olimpija Ljubljana vs Bravo</t>
  </si>
  <si>
    <t>Rotselaar</t>
  </si>
  <si>
    <t>Berchem Sport</t>
  </si>
  <si>
    <t>21/03/2026 19:15 | Belgium | Second Amateur Division - VFV B | Rotselaar vs Berchem Sport</t>
  </si>
  <si>
    <t>21/03/2026 19:30</t>
  </si>
  <si>
    <t>SV Darmstadt 98</t>
  </si>
  <si>
    <t>FC Schalke 04</t>
  </si>
  <si>
    <t>21/03/2026 19:30 | Germany | 2. Bundesliga | SV Darmstadt 98 vs FC Schalke 04</t>
  </si>
  <si>
    <t>Aarau</t>
  </si>
  <si>
    <t>Thun</t>
  </si>
  <si>
    <t>21/03/2026 19:30 | Switzerland | AXA Women’s Super League | Aarau vs Thun</t>
  </si>
  <si>
    <t>First Division</t>
  </si>
  <si>
    <t>Longford Town</t>
  </si>
  <si>
    <t>Wexford</t>
  </si>
  <si>
    <t>21/03/2026 19:30 | Ireland | First Division | Longford Town vs Wexford</t>
  </si>
  <si>
    <t>FC Sion</t>
  </si>
  <si>
    <t>21/03/2026 19:30 | Switzerland | Super League | FC Sion vs FC ST. Gallen</t>
  </si>
  <si>
    <t>Real Frontera</t>
  </si>
  <si>
    <t>Deportivo Lara</t>
  </si>
  <si>
    <t>21/03/2026 19:30 | Venezuela | Segunda División | Real Frontera vs Deportivo Lara</t>
  </si>
  <si>
    <t>Atletico el Vigia FC</t>
  </si>
  <si>
    <t>21/03/2026 19:30 | Venezuela | Segunda División | Zamora FC B vs Atletico el Vigia FC</t>
  </si>
  <si>
    <t>Amazonas</t>
  </si>
  <si>
    <t>21/03/2026 19:30 | Brazil | Amazonense | Nacional AM vs Amazonas</t>
  </si>
  <si>
    <t>21/03/2026 19:30 | Brazil | Rondoniense | Rondoniense vs Guaporé</t>
  </si>
  <si>
    <t>Operario Ferroviario</t>
  </si>
  <si>
    <t>21/03/2026 19:30 | Brazil | Sul-Matogrossense | Bataguassu vs Operario Ferroviario</t>
  </si>
  <si>
    <t>21/03/2026 19:45</t>
  </si>
  <si>
    <t>Juventus</t>
  </si>
  <si>
    <t>21/03/2026 19:45 | Italy | Serie A | Juventus vs Sassuolo</t>
  </si>
  <si>
    <t>Sligo Rovers</t>
  </si>
  <si>
    <t>21/03/2026 19:45 | Ireland | Premier Division | Sligo Rovers vs Shelbourne</t>
  </si>
  <si>
    <t>Botafogo PB</t>
  </si>
  <si>
    <t>21/03/2026 19:45 | Brazil | Paraibano | Botafogo PB vs Sousa</t>
  </si>
  <si>
    <t>21/03/2026 20:00</t>
  </si>
  <si>
    <t>21/03/2026 20:00 | England | Premier League | Leeds vs Brentford</t>
  </si>
  <si>
    <t>21/03/2026 20:00 | Netherlands | Eredivisie | PEC Zwolle vs NAC Breda</t>
  </si>
  <si>
    <t>Cliftonville FC</t>
  </si>
  <si>
    <t>Ballymena United</t>
  </si>
  <si>
    <t>21/03/2026 20:00 | Northern-Ireland | Premiership | Cliftonville FC vs Ballymena United</t>
  </si>
  <si>
    <t>21/03/2026 20:00 | Spain | La Liga | Sevilla vs Valencia</t>
  </si>
  <si>
    <t>Zaragoza</t>
  </si>
  <si>
    <t>21/03/2026 20:00 | Spain | Segunda División | Deportivo La Coruna vs Zaragoza</t>
  </si>
  <si>
    <t>FC Fleury 91 W</t>
  </si>
  <si>
    <t>Lyon W</t>
  </si>
  <si>
    <t>21/03/2026 20:00 | France | Feminine Division 1 | FC Fleury 91 W vs Lyon W</t>
  </si>
  <si>
    <t>Ponferradina</t>
  </si>
  <si>
    <t>21/03/2026 20:00 | Spain | Primera División RFEF - Group 1 | Ponferradina vs Unionistas de Salamanca</t>
  </si>
  <si>
    <t>Louisville City</t>
  </si>
  <si>
    <t>Rhode Island</t>
  </si>
  <si>
    <t>21/03/2026 20:00 | USA | USL Championship | Louisville City vs Rhode Island</t>
  </si>
  <si>
    <t>21/03/2026 20:00 | Argentina | Primera Nacional | Ciudad de Bolívar vs Almirante Brown</t>
  </si>
  <si>
    <t>Mixco</t>
  </si>
  <si>
    <t>21/03/2026 20:00 | Guatemala | Liga Nacional | Cobán Imperial vs Mixco</t>
  </si>
  <si>
    <t>Houston Dash W</t>
  </si>
  <si>
    <t>Boston Legacy W</t>
  </si>
  <si>
    <t>21/03/2026 20:00 | USA | NWSL Women | Houston Dash W vs Boston Legacy W</t>
  </si>
  <si>
    <t>Real Santander</t>
  </si>
  <si>
    <t>Tigres FC</t>
  </si>
  <si>
    <t>21/03/2026 20:00 | Colombia | Primera B | Real Santander vs Tigres FC</t>
  </si>
  <si>
    <t>Vila Nova</t>
  </si>
  <si>
    <t>CRB</t>
  </si>
  <si>
    <t>21/03/2026 20:00 | Brazil | Serie B | Vila Nova vs CRB</t>
  </si>
  <si>
    <t>Aragua FC</t>
  </si>
  <si>
    <t>Marítimo</t>
  </si>
  <si>
    <t>21/03/2026 20:00 | Venezuela | Segunda División | Aragua FC vs Marítimo</t>
  </si>
  <si>
    <t>Salcedo</t>
  </si>
  <si>
    <t>Moca</t>
  </si>
  <si>
    <t>21/03/2026 20:00 | Dominican-Republic | Liga Mayor | Salcedo vs Moca</t>
  </si>
  <si>
    <t>Cariri</t>
  </si>
  <si>
    <t>Icasa</t>
  </si>
  <si>
    <t>21/03/2026 20:00 | Brazil | Cearense - 2 | Cariri vs Icasa</t>
  </si>
  <si>
    <t>Atlético Piauiense</t>
  </si>
  <si>
    <t>21/03/2026 20:00 | Brazil | Piauiense | Atlético Piauiense vs Piauí</t>
  </si>
  <si>
    <t>ASA</t>
  </si>
  <si>
    <t>21/03/2026 20:00 | Brazil | Copa Alagoas | ASA vs CRB</t>
  </si>
  <si>
    <t>21/03/2026 20:05</t>
  </si>
  <si>
    <t>Paris Saint Germain</t>
  </si>
  <si>
    <t>21/03/2026 20:05 | France | Ligue 1 | Nice vs Paris Saint Germain</t>
  </si>
  <si>
    <t>21/03/2026 20:15</t>
  </si>
  <si>
    <t>Garden Stars</t>
  </si>
  <si>
    <t>All Saints United</t>
  </si>
  <si>
    <t>21/03/2026 20:15 | Antigua-And-Barbuda | Premier Division | Garden Stars vs All Saints United</t>
  </si>
  <si>
    <t>21/03/2026 20:30</t>
  </si>
  <si>
    <t>AVS</t>
  </si>
  <si>
    <t>21/03/2026 20:30 | Portugal | Primeira Liga | Tondela vs AVS</t>
  </si>
  <si>
    <t>21/03/2026 20:30 | USA | Major League Soccer | Philadelphia Union vs Chicago Fire</t>
  </si>
  <si>
    <t>Sporting Cristal</t>
  </si>
  <si>
    <t>21/03/2026 20:30 | Peru | Primera División | Club Deportivo Los Chankas vs Sporting Cristal</t>
  </si>
  <si>
    <t>22 de Julio</t>
  </si>
  <si>
    <t>LDU Portoviejo</t>
  </si>
  <si>
    <t>21/03/2026 20:30 | Ecuador | Liga Pro Serie B | 22 de Julio vs LDU Portoviejo</t>
  </si>
  <si>
    <t>Gualaceo SC</t>
  </si>
  <si>
    <t>Deportivo Cuenca Juniors</t>
  </si>
  <si>
    <t>21/03/2026 20:30 | Ecuador | Liga Pro Serie B | Gualaceo SC vs Deportivo Cuenca Juniors</t>
  </si>
  <si>
    <t>Broki</t>
  </si>
  <si>
    <t>21/03/2026 20:30 | Suriname | Eerste Divisie | Broki vs Inter Moengotapoe</t>
  </si>
  <si>
    <t>21/03/2026 20:45</t>
  </si>
  <si>
    <t>Defensa Y Justicia</t>
  </si>
  <si>
    <t>Union Santa Fe</t>
  </si>
  <si>
    <t>21/03/2026 20:45 | Argentina | Liga Profesional Argentina | Defensa Y Justicia vs Union Santa Fe</t>
  </si>
  <si>
    <t>Newells Old Boys</t>
  </si>
  <si>
    <t>Gimnasia M.</t>
  </si>
  <si>
    <t>21/03/2026 20:45 | Argentina | Liga Profesional Argentina | Newells Old Boys vs Gimnasia M.</t>
  </si>
  <si>
    <t>21/03/2026 21:00</t>
  </si>
  <si>
    <t>Fort Lauderdale United W</t>
  </si>
  <si>
    <t>21/03/2026 21:00 | USA | USL Super League | Lexington W vs Fort Lauderdale United W</t>
  </si>
  <si>
    <t>CS Uruguay</t>
  </si>
  <si>
    <t>21/03/2026 21:00 | Costa-Rica | Liga de Ascenso | CS Uruguay vs AD Carmelita</t>
  </si>
  <si>
    <t>Deportivo Merlo</t>
  </si>
  <si>
    <t>San Martín Burzaco</t>
  </si>
  <si>
    <t>21/03/2026 21:00 | Argentina | Primera B Metropolitana | Deportivo Merlo vs San Martín Burzaco</t>
  </si>
  <si>
    <t>21/03/2026 21:00 | El-Salvador | Primera Division | Cacahuatique vs Inter</t>
  </si>
  <si>
    <t>21/03/2026 21:00 | Chile | Primera B | Rangers de Talca vs Recoleta</t>
  </si>
  <si>
    <t>Real Soacha</t>
  </si>
  <si>
    <t>Barranquilla</t>
  </si>
  <si>
    <t>21/03/2026 21:00 | Colombia | Primera B | Real Soacha vs Barranquilla</t>
  </si>
  <si>
    <t>São Bernardo</t>
  </si>
  <si>
    <t>21/03/2026 21:00 | Brazil | Serie B | Ceara vs São Bernardo</t>
  </si>
  <si>
    <t>Ferroviaria W</t>
  </si>
  <si>
    <t>Gremio W</t>
  </si>
  <si>
    <t>21/03/2026 21:00 | Brazil | Brasileiro Women | Ferroviaria W vs Gremio W</t>
  </si>
  <si>
    <t>Botafogo W</t>
  </si>
  <si>
    <t>21/03/2026 21:00 | Brazil | Brasileiro Women | Mixto vs Botafogo W</t>
  </si>
  <si>
    <t>Municipal Salamanca</t>
  </si>
  <si>
    <t>Provincial Ovalle</t>
  </si>
  <si>
    <t>21/03/2026 21:00 | Chile | Segunda División | Municipal Salamanca vs Provincial Ovalle</t>
  </si>
  <si>
    <t>Concón National</t>
  </si>
  <si>
    <t>Trasandino</t>
  </si>
  <si>
    <t>21/03/2026 21:00 | Chile | Segunda División | Concón National vs Trasandino</t>
  </si>
  <si>
    <t>Colo Colo</t>
  </si>
  <si>
    <t>Coquimbo Unido</t>
  </si>
  <si>
    <t>21/03/2026 21:00 | Chile | Copa De La Liga | Colo Colo vs Coquimbo Unido</t>
  </si>
  <si>
    <t>21/03/2026 21:15</t>
  </si>
  <si>
    <t>Operario-PR</t>
  </si>
  <si>
    <t>Atletico Goianiense</t>
  </si>
  <si>
    <t>21/03/2026 21:15 | Brazil | Serie B | Operario-PR vs Atletico Goianiense</t>
  </si>
  <si>
    <t>21/03/2026 21:30</t>
  </si>
  <si>
    <t>Ciervos</t>
  </si>
  <si>
    <t>21/03/2026 21:30 | Mexico | Liga Premier Serie A | Ciervos vs Zacatepec 1948</t>
  </si>
  <si>
    <t>Sporting Canamy</t>
  </si>
  <si>
    <t>Gavilanes FC Matamoros</t>
  </si>
  <si>
    <t>21/03/2026 21:30 | Mexico | Liga Premier Serie A | Sporting Canamy vs Gavilanes FC Matamoros</t>
  </si>
  <si>
    <t>Deportiva Venados</t>
  </si>
  <si>
    <t>Cañoneros Marina</t>
  </si>
  <si>
    <t>21/03/2026 21:30 | Mexico | Liga Premier Serie A | Deportiva Venados vs Cañoneros Marina</t>
  </si>
  <si>
    <t>21/03/2026 21:30 | Brazil | Serie A | Fluminense vs Atletico-MG</t>
  </si>
  <si>
    <t>Club Guarani</t>
  </si>
  <si>
    <t>21/03/2026 21:30 | Paraguay | Division Profesional - Apertura | Club Guarani vs Olimpia</t>
  </si>
  <si>
    <t>21/03/2026 21:30 | Ecuador | Liga Pro | Deportivo Cuenca vs Macara</t>
  </si>
  <si>
    <t>21/03/2026 21:30 | Brazil | Paranaense - 2 | Laranja Mecânica vs Patriotas</t>
  </si>
  <si>
    <t>Fundación Lara Deportiva</t>
  </si>
  <si>
    <t>21/03/2026 21:30 | Venezuela | Segunda División | Fundación Lara Deportiva vs Club Atletico Barinas</t>
  </si>
  <si>
    <t>Sao Raimundo</t>
  </si>
  <si>
    <t>Baré</t>
  </si>
  <si>
    <t>21/03/2026 21:30 | Brazil | Roraimense | Sao Raimundo vs Baré</t>
  </si>
  <si>
    <t>21/03/2026 21:45</t>
  </si>
  <si>
    <t>Cruz Azul W</t>
  </si>
  <si>
    <t>Mazatlán W</t>
  </si>
  <si>
    <t>21/03/2026 21:45 | Mexico | Liga MX Femenil | Cruz Azul W vs Mazatlán W</t>
  </si>
  <si>
    <t>21/03/2026 22:00</t>
  </si>
  <si>
    <t>Colima</t>
  </si>
  <si>
    <t>21/03/2026 22:00 | Mexico | Liga Premier Serie A | Colima vs Mineros de Fresnillo</t>
  </si>
  <si>
    <t>Deportivo Zap</t>
  </si>
  <si>
    <t>Cordobés</t>
  </si>
  <si>
    <t>21/03/2026 22:00 | Mexico | Liga Premier Serie A | Deportivo Zap vs Cordobés</t>
  </si>
  <si>
    <t>Point Fortin</t>
  </si>
  <si>
    <t>La Horquetta Rangers</t>
  </si>
  <si>
    <t>21/03/2026 22:00 | Trinidad-And-Tobago | Pro League | Point Fortin vs La Horquetta Rangers</t>
  </si>
  <si>
    <t>21/03/2026 22:00 | USA | USL League One | Richmond Kickers vs Naples</t>
  </si>
  <si>
    <t>21/03/2026 22:00 | Argentina | Primera Nacional | Deportivo Madryn vs CA Estudiantes</t>
  </si>
  <si>
    <t>21/03/2026 22:00 | Argentina | Primera Nacional | Ferro Carril Oeste vs Los Andes</t>
  </si>
  <si>
    <t>21/03/2026 22:00 | Argentina | Primera Nacional | Tristan Suarez vs Gimnasia Jujuy</t>
  </si>
  <si>
    <t>21/03/2026 22:00 | Guatemala | Liga Nacional | Achuapa vs Mictlán</t>
  </si>
  <si>
    <t>Grêmio Sãocarlense</t>
  </si>
  <si>
    <t>Penapolense</t>
  </si>
  <si>
    <t>21/03/2026 22:00 | Brazil | Paulista - A4 | Grêmio Sãocarlense vs Penapolense</t>
  </si>
  <si>
    <t>Deportivo La Guaira</t>
  </si>
  <si>
    <t>21/03/2026 22:00 | Venezuela | Primera División | UCV vs Deportivo La Guaira</t>
  </si>
  <si>
    <t>Orsomarso</t>
  </si>
  <si>
    <t>Ind. Yumbo</t>
  </si>
  <si>
    <t>21/03/2026 22:00 | Colombia | Primera B | Orsomarso vs Ind. Yumbo</t>
  </si>
  <si>
    <t>21/03/2026 22:00 | USA | MLS Next Pro | Houston Dynamo FC II vs North Texas</t>
  </si>
  <si>
    <t>Atlético Nacional W</t>
  </si>
  <si>
    <t>21/03/2026 22:00 | Colombia | Liga Femenina | Atlético Nacional W vs Atlético Bucaramanga W</t>
  </si>
  <si>
    <t>Delfines Del Este</t>
  </si>
  <si>
    <t>21/03/2026 22:00 | Dominican-Republic | Liga Mayor | Cibao vs Delfines Del Este</t>
  </si>
  <si>
    <t>21/03/2026 22:15</t>
  </si>
  <si>
    <t>Orlando City SC</t>
  </si>
  <si>
    <t>21/03/2026 22:15 | USA | Major League Soccer | Nashville SC vs Orlando City SC</t>
  </si>
  <si>
    <t>Botafogo SP</t>
  </si>
  <si>
    <t>21/03/2026 22:15 | Brazil | Serie B | Botafogo SP vs Fortaleza EC</t>
  </si>
  <si>
    <t>21/03/2026 22:30</t>
  </si>
  <si>
    <t>Chapulineros</t>
  </si>
  <si>
    <t>Montañeses</t>
  </si>
  <si>
    <t>21/03/2026 22:30 | Mexico | Liga Premier Serie A | Chapulineros vs Montañeses</t>
  </si>
  <si>
    <t>21/03/2026 22:30 | USA | USL League One | Tormenta vs Sarasota Paradise</t>
  </si>
  <si>
    <t>Vocem</t>
  </si>
  <si>
    <t>EC Lemense</t>
  </si>
  <si>
    <t>21/03/2026 22:30 | Brazil | Paulista - A4 | Vocem vs EC Lemense</t>
  </si>
  <si>
    <t>NJ/NY Gotham FC W</t>
  </si>
  <si>
    <t>North Carolina Courage W</t>
  </si>
  <si>
    <t>21/03/2026 22:30 | USA | NWSL Women | NJ/NY Gotham FC W vs North Carolina Courage W</t>
  </si>
  <si>
    <t>21/03/2026 22:30 | Aruba | Division di Honor | Sporting vs RCA</t>
  </si>
  <si>
    <t>Penarol</t>
  </si>
  <si>
    <t>21/03/2026 22:30 | Uruguay | Primera División - Apertura | Penarol vs Cerro</t>
  </si>
  <si>
    <t>21/03/2026 22:45</t>
  </si>
  <si>
    <t>Acreano</t>
  </si>
  <si>
    <t>Galvez</t>
  </si>
  <si>
    <t>Humaitá</t>
  </si>
  <si>
    <t>21/03/2026 22:45 | Brazil | Acreano | Galvez vs Humaitá</t>
  </si>
  <si>
    <t>21/03/2026 23:00</t>
  </si>
  <si>
    <t>Tapachula</t>
  </si>
  <si>
    <t>21/03/2026 23:00 | Mexico | Liga Premier Serie A | Tapachula vs Pioneros de Cancún</t>
  </si>
  <si>
    <t>Detroit City</t>
  </si>
  <si>
    <t>21/03/2026 23:00 | USA | USL Championship | Indy Eleven vs Detroit City</t>
  </si>
  <si>
    <t>Independiente</t>
  </si>
  <si>
    <t>Talleres Cordoba</t>
  </si>
  <si>
    <t>21/03/2026 23:00 | Argentina | Liga Profesional Argentina | Independiente vs Talleres Cordoba</t>
  </si>
  <si>
    <t>Club Queretaro</t>
  </si>
  <si>
    <t>21/03/2026 23:00 | Mexico | Liga MX | Atlas vs Club Queretaro</t>
  </si>
  <si>
    <t>Juárez W</t>
  </si>
  <si>
    <t>Santos Laguna W</t>
  </si>
  <si>
    <t>21/03/2026 23:00 | Mexico | Liga MX Femenil | Juárez W vs Santos Laguna W</t>
  </si>
  <si>
    <t>21/03/2026 23:00 | USA | USL Championship | Brooklyn vs Hartford Athletic</t>
  </si>
  <si>
    <t>Charleston Battery</t>
  </si>
  <si>
    <t>21/03/2026 23:00 | USA | USL Championship | Charleston Battery vs Birmingham Legion</t>
  </si>
  <si>
    <t>Atlante FC</t>
  </si>
  <si>
    <t>21/03/2026 23:00 | Mexico | Liga de Expansión MX | Atlante FC vs Dorados</t>
  </si>
  <si>
    <t>Cancún</t>
  </si>
  <si>
    <t>21/03/2026 23:00 | Mexico | Liga de Expansión MX | Irapuato vs Cancún</t>
  </si>
  <si>
    <t>Costa Brava</t>
  </si>
  <si>
    <t>Fundacion Amigos</t>
  </si>
  <si>
    <t>21/03/2026 23:00 | Argentina | Torneo Federal A | Costa Brava vs Fundacion Amigos</t>
  </si>
  <si>
    <t>Transvaal</t>
  </si>
  <si>
    <t>Voorwaarts</t>
  </si>
  <si>
    <t>21/03/2026 23:00 | Suriname | Eerste Divisie | Transvaal vs Voorwaarts</t>
  </si>
  <si>
    <t>21/03/2026 23:15</t>
  </si>
  <si>
    <t>21/03/2026 23:15 | Panama | Liga Panameña de Fútbol | Independiente de La Chorrera vs Plaza Amador</t>
  </si>
  <si>
    <t>21/03/2026 23:20</t>
  </si>
  <si>
    <t>Once Caldas</t>
  </si>
  <si>
    <t>21/03/2026 23:20 | Colombia | Primera A | Once Caldas vs Millonarios</t>
  </si>
  <si>
    <t>21/03/2026 23:30</t>
  </si>
  <si>
    <t>DC United</t>
  </si>
  <si>
    <t>21/03/2026 23:30 | USA | Major League Soccer | Atlanta United FC vs DC United</t>
  </si>
  <si>
    <t>21/03/2026 23:30 | USA | Major League Soccer | Charlotte vs New York Red Bulls</t>
  </si>
  <si>
    <t>Pittsburgh Riverhounds</t>
  </si>
  <si>
    <t>21/03/2026 23:30 | USA | USL Championship | Tampa Bay Rowdies vs Pittsburgh Riverhounds</t>
  </si>
  <si>
    <t>Libertad Asuncion</t>
  </si>
  <si>
    <t>Cerro Porteno</t>
  </si>
  <si>
    <t>21/03/2026 23:30 | Paraguay | Division Profesional - Apertura | Libertad Asuncion vs Cerro Porteno</t>
  </si>
  <si>
    <t>Curico Unido</t>
  </si>
  <si>
    <t>21/03/2026 23:30 | Chile | Primera B | Deportes Santa Cruz vs Curico Unido</t>
  </si>
  <si>
    <t>Alianza Lima</t>
  </si>
  <si>
    <t>21/03/2026 23:30 | Peru | Primera División | Alianza Lima vs Juan Pablo II College</t>
  </si>
  <si>
    <t>Cuiaba</t>
  </si>
  <si>
    <t>21/03/2026 23:30 | Brazil | Serie B | Cuiaba vs Sport Recife</t>
  </si>
  <si>
    <t>Nublense</t>
  </si>
  <si>
    <t>21/03/2026 23:30 | Chile | Copa De La Liga | Cobresal vs Nublense</t>
  </si>
  <si>
    <t>DDLLW</t>
  </si>
  <si>
    <t>Sporting CP</t>
  </si>
  <si>
    <t>SC Braga</t>
  </si>
  <si>
    <t>Estoril</t>
  </si>
  <si>
    <t>Alverca</t>
  </si>
  <si>
    <t>Casa Pia</t>
  </si>
  <si>
    <t>Napoli</t>
  </si>
  <si>
    <t>11/04/2026 00:00</t>
  </si>
  <si>
    <t>CONMEBOL Nations League Women</t>
  </si>
  <si>
    <t>Paraguay W</t>
  </si>
  <si>
    <t>Ecuador W</t>
  </si>
  <si>
    <t>11/04/2026 00:00 | World | CONMEBOL Nations League Women | Paraguay W vs Ecuador W</t>
  </si>
  <si>
    <t>Talleres Remedios</t>
  </si>
  <si>
    <t>11/04/2026 00:00 | Argentina | Primera B Metropolitana | Excursionistas vs Talleres Remedios</t>
  </si>
  <si>
    <t>11/04/2026 00:00 | USA | MLS Next Pro | Inter Miami II vs Atlanta United II</t>
  </si>
  <si>
    <t>11/04/2026 00:00 | Brazil | Paranaense - 2 | Parana vs Toledo</t>
  </si>
  <si>
    <t>11/04/2026 00:00 | Uruguay | Primera División - Apertura | Cerro Largo vs Cerro</t>
  </si>
  <si>
    <t>CONMEBOL - U17</t>
  </si>
  <si>
    <t>Argentina U17</t>
  </si>
  <si>
    <t>Brazil U17</t>
  </si>
  <si>
    <t>11/04/2026 00:00 | World | CONMEBOL - U17 | Argentina U17 vs Brazil U17</t>
  </si>
  <si>
    <t>11/04/2026 00:00 | Brazil | Paulista - A4 | Barretos vs Grêmio Sãocarlense</t>
  </si>
  <si>
    <t>11/04/2026 00:30</t>
  </si>
  <si>
    <t>11/04/2026 00:30 | Paraguay | Division Profesional - Apertura | Club Sp. San Lorenzo vs Club Guarani</t>
  </si>
  <si>
    <t>Criciuma</t>
  </si>
  <si>
    <t>11/04/2026 00:30 | Brazil | Serie B | Criciuma vs Botafogo SP</t>
  </si>
  <si>
    <t>11/04/2026 01:00</t>
  </si>
  <si>
    <t>Chile W</t>
  </si>
  <si>
    <t>Argentina W</t>
  </si>
  <si>
    <t>11/04/2026 01:00 | World | CONMEBOL Nations League Women | Chile W vs Argentina W</t>
  </si>
  <si>
    <t>Costa Rica W</t>
  </si>
  <si>
    <t>Cayman Islands W</t>
  </si>
  <si>
    <t>11/04/2026 01:00 | World | World Cup - Women - Qualification Concacaf | Costa Rica W vs Cayman Islands W</t>
  </si>
  <si>
    <t>Jamaica W</t>
  </si>
  <si>
    <t>Antigua and Barbuda W</t>
  </si>
  <si>
    <t>11/04/2026 01:00 | World | World Cup - Women - Qualification Concacaf | Jamaica W vs Antigua and Barbuda W</t>
  </si>
  <si>
    <t>Belgrano Cordoba</t>
  </si>
  <si>
    <t>Aldosivi</t>
  </si>
  <si>
    <t>11/04/2026 01:00 | Argentina | Liga Profesional Argentina | Belgrano Cordoba vs Aldosivi</t>
  </si>
  <si>
    <t>O'Higgins</t>
  </si>
  <si>
    <t>11/04/2026 01:00 | Chile | Primera División | O'Higgins vs Huachipato</t>
  </si>
  <si>
    <t>Union Espanola</t>
  </si>
  <si>
    <t>Cobreloa</t>
  </si>
  <si>
    <t>11/04/2026 01:00 | Chile | Primera B | Union Espanola vs Cobreloa</t>
  </si>
  <si>
    <t>11/04/2026 01:00 | USA | MLS Next Pro | St. Louis City II vs Colorado Rapids II</t>
  </si>
  <si>
    <t>Barcelona SC</t>
  </si>
  <si>
    <t>11/04/2026 01:00 | Ecuador | Liga Pro | Barcelona SC vs Leones del Norte</t>
  </si>
  <si>
    <t>11/04/2026 01:00 | Ecuador | Liga Pro | Delfin SC vs LDU de Quito</t>
  </si>
  <si>
    <t>Guabirá</t>
  </si>
  <si>
    <t>Independiente Petrolero</t>
  </si>
  <si>
    <t>11/04/2026 01:00 | Bolivia | Primera División | Guabirá vs Independiente Petrolero</t>
  </si>
  <si>
    <t>11/04/2026 01:30</t>
  </si>
  <si>
    <t>11/04/2026 01:30 | USA | MLS Next Pro | North Texas vs Sporting KC II</t>
  </si>
  <si>
    <t>11/04/2026 01:30 | Aruba | Division di Honor | RCA vs La Fama</t>
  </si>
  <si>
    <t>11/04/2026 02:00</t>
  </si>
  <si>
    <t>Cimarrones</t>
  </si>
  <si>
    <t>11/04/2026 02:00 | Mexico | Liga Premier Serie A | Acatlan vs Cimarrones</t>
  </si>
  <si>
    <t>Zitacuaro</t>
  </si>
  <si>
    <t>11/04/2026 02:00 | Mexico | Liga Premier Serie A | Zitacuaro vs Deportivo Zap</t>
  </si>
  <si>
    <t>Colombia W</t>
  </si>
  <si>
    <t>Venezuela W</t>
  </si>
  <si>
    <t>11/04/2026 02:00 | World | CONMEBOL Nations League Women | Colombia W vs Venezuela W</t>
  </si>
  <si>
    <t>Mexico W</t>
  </si>
  <si>
    <t>US Virgin Islands W</t>
  </si>
  <si>
    <t>11/04/2026 02:00 | World | World Cup - Women - Qualification Concacaf | Mexico W vs US Virgin Islands W</t>
  </si>
  <si>
    <t>Leon</t>
  </si>
  <si>
    <t>11/04/2026 02:00 | Mexico | Liga MX | Puebla vs Leon</t>
  </si>
  <si>
    <t>11/04/2026 02:00 | Mexico | Liga de Expansión MX | Alebrijes de Oaxaca vs CDS Tampico Madero</t>
  </si>
  <si>
    <t>11/04/2026 02:05</t>
  </si>
  <si>
    <t>Deportivo Pasto</t>
  </si>
  <si>
    <t>Deportes Tolima</t>
  </si>
  <si>
    <t>11/04/2026 02:05 | Colombia | Primera A | Deportivo Pasto vs Deportes Tolima</t>
  </si>
  <si>
    <t>11/04/2026 02:30</t>
  </si>
  <si>
    <t>CD Arabe Unido</t>
  </si>
  <si>
    <t>11/04/2026 02:30 | Panama | Liga Panameña de Fútbol | Tauro FC vs CD Arabe Unido</t>
  </si>
  <si>
    <t>11/04/2026 02:45</t>
  </si>
  <si>
    <t>South Hobart II</t>
  </si>
  <si>
    <t>South East Utd. U21</t>
  </si>
  <si>
    <t>11/04/2026 02:45 | Australia | Tasmania Southern Championship | South Hobart II vs South East Utd. U21</t>
  </si>
  <si>
    <t>11/04/2026 03:00</t>
  </si>
  <si>
    <t>11/04/2026 03:00 | Mexico | Liga Premier Serie A | Durango vs Mineros de Fresnillo</t>
  </si>
  <si>
    <t>11/04/2026 03:00 | Costa-Rica | Primera División | CS Cartagines vs CS Herediano</t>
  </si>
  <si>
    <t>11/04/2026 03:00 | Guatemala | Liga Nacional | Comunicaciones vs Aurora</t>
  </si>
  <si>
    <t>11/04/2026 03:15</t>
  </si>
  <si>
    <t>11/04/2026 03:15 | Australia | Tasmania Northern Championship | Launceston United U21 vs Launceston U21</t>
  </si>
  <si>
    <t>11/04/2026 04:00</t>
  </si>
  <si>
    <t>11/04/2026 04:00 | Mexico | Liga de Expansión MX | CA La Paz vs Tepatitlán</t>
  </si>
  <si>
    <t>OFC Pro League</t>
  </si>
  <si>
    <t>Vanuatu United</t>
  </si>
  <si>
    <t>South Island United</t>
  </si>
  <si>
    <t>11/04/2026 04:00 | World | OFC Pro League | Vanuatu United vs South Island United</t>
  </si>
  <si>
    <t>Altona Magic</t>
  </si>
  <si>
    <t>11/04/2026 04:00 | Australia | Victoria NPL | Heidelberg United vs Altona Magic</t>
  </si>
  <si>
    <t>11/04/2026 04:00 | Russia | Second League A - Division A Silver | Dinamo Vladivostok vs Dinamo Bryansk</t>
  </si>
  <si>
    <t>11/04/2026 04:06</t>
  </si>
  <si>
    <t>11/04/2026 04:06 | Mexico | Liga MX | FC Juarez vs Club Tijuana</t>
  </si>
  <si>
    <t>11/04/2026 05:00</t>
  </si>
  <si>
    <t>JEF United Chiba</t>
  </si>
  <si>
    <t>Mito Hollyhock</t>
  </si>
  <si>
    <t>11/04/2026 05:00 | Japan | J1 League | JEF United Chiba vs Mito Hollyhock</t>
  </si>
  <si>
    <t>11/04/2026 05:00 | Australia | Northern NSW NPL | Hamilton Olympic vs Broadmeadow Magic</t>
  </si>
  <si>
    <t>Lambton Jaffas</t>
  </si>
  <si>
    <t>11/04/2026 05:00 | Australia | Northern NSW NPL | Lambton Jaffas vs Weston Bears</t>
  </si>
  <si>
    <t>Newcastle Croatia FC</t>
  </si>
  <si>
    <t>West Wallsend</t>
  </si>
  <si>
    <t>11/04/2026 05:00 | Australia | NNSW League 1 | Newcastle Croatia FC vs West Wallsend</t>
  </si>
  <si>
    <t>Second League - Group 3</t>
  </si>
  <si>
    <t>SKA Khabarovsk II</t>
  </si>
  <si>
    <t>FK Spartak Tambov</t>
  </si>
  <si>
    <t>11/04/2026 05:00 | Russia | Second League - Group 3 | SKA Khabarovsk II vs FK Spartak Tambov</t>
  </si>
  <si>
    <t>11/04/2026 05:30</t>
  </si>
  <si>
    <t>11/04/2026 05:30 | Australia | Tasmania NPL | Clarence Zebras vs Glenorchy Knights</t>
  </si>
  <si>
    <t>11/04/2026 05:30 | Australia | Tasmania NPL | Kingborough Lions vs Ulverstone</t>
  </si>
  <si>
    <t>11/04/2026 05:30 | Australia | Tasmania Southern Championship | University of Tasmania vs Hobart City</t>
  </si>
  <si>
    <t>Hobart Utd.</t>
  </si>
  <si>
    <t>11/04/2026 05:30 | Australia | Tasmania Southern Championship | Hobart Utd. vs Taroona</t>
  </si>
  <si>
    <t>Northern Rangers</t>
  </si>
  <si>
    <t>11/04/2026 05:30 | Australia | Tasmania Northern Championship | Somerset vs Northern Rangers</t>
  </si>
  <si>
    <t>Capital Territory NPL</t>
  </si>
  <si>
    <t>Canberra Olympic</t>
  </si>
  <si>
    <t>Canberra FC</t>
  </si>
  <si>
    <t>11/04/2026 05:30 | Australia | Capital Territory NPL | Canberra Olympic vs Canberra FC</t>
  </si>
  <si>
    <t>11/04/2026 06:00</t>
  </si>
  <si>
    <t>11/04/2026 06:00 | Australia | A-League | Auckland vs Melbourne Victory</t>
  </si>
  <si>
    <t>11/04/2026 06:00 | Japan | J1 League | Avispa Fukuoka vs V-varen Nagasaki</t>
  </si>
  <si>
    <t>Machida Zelvia</t>
  </si>
  <si>
    <t>Kashiwa Reysol</t>
  </si>
  <si>
    <t>11/04/2026 06:00 | Japan | J1 League | Machida Zelvia vs Kashiwa Reysol</t>
  </si>
  <si>
    <t>Sanfrecce Hiroshima</t>
  </si>
  <si>
    <t>Shimizu S-pulse</t>
  </si>
  <si>
    <t>11/04/2026 06:00 | Japan | J1 League | Sanfrecce Hiroshima vs Shimizu S-pulse</t>
  </si>
  <si>
    <t>Pohang Steelers</t>
  </si>
  <si>
    <t>11/04/2026 06:00 | South-Korea | K League 1 | Pohang Steelers vs Jeju United FC</t>
  </si>
  <si>
    <t>FC Seoul</t>
  </si>
  <si>
    <t>11/04/2026 06:00 | South-Korea | K League 1 | FC Seoul vs Jeonbuk Motors</t>
  </si>
  <si>
    <t>Yongin City</t>
  </si>
  <si>
    <t>11/04/2026 06:00 | South-Korea | K League 2 | Busan I Park vs Yongin City</t>
  </si>
  <si>
    <t>Suwon City FC</t>
  </si>
  <si>
    <t>Daegu FC</t>
  </si>
  <si>
    <t>11/04/2026 06:00 | South-Korea | K League 2 | Suwon City FC vs Daegu FC</t>
  </si>
  <si>
    <t>11/04/2026 06:00 | Japan | J2/J3 League | Ventforet Kofu vs Consadole Sapporo</t>
  </si>
  <si>
    <t>11/04/2026 06:00 | Japan | J2/J3 League | FC Gifu vs Fujieda MYFC</t>
  </si>
  <si>
    <t>Osaka</t>
  </si>
  <si>
    <t>11/04/2026 06:00 | Japan | J2/J3 League | Osaka vs Kataller Toyama</t>
  </si>
  <si>
    <t>11/04/2026 06:00 | South-Korea | K3 League | Changwon City vs Busan Transportation</t>
  </si>
  <si>
    <t>Gyeongju HNP</t>
  </si>
  <si>
    <t>11/04/2026 06:00 | South-Korea | K3 League | Gyeongju HNP vs Yangpyeong</t>
  </si>
  <si>
    <t>Pocheon</t>
  </si>
  <si>
    <t>11/04/2026 06:00 | South-Korea | K3 League | Mokpo City vs Pocheon</t>
  </si>
  <si>
    <t>11/04/2026 06:00 | South-Korea | K3 League | Yeoju Sejong vs Dangjin Citizen</t>
  </si>
  <si>
    <t>11/04/2026 06:00 | Australia | Victoria NPL | Preston Lions vs South Melbourne</t>
  </si>
  <si>
    <t>11/04/2026 06:00 | Australia | Victoria NPL 2 | Port Melbourne vs Melbourne Srbija</t>
  </si>
  <si>
    <t>11/04/2026 06:00 | Australia | Victoria NPL 2 | Melbourne Victory II vs North Geelong Warriors</t>
  </si>
  <si>
    <t>Eltham Redbacks FC</t>
  </si>
  <si>
    <t>11/04/2026 06:00 | Australia | Victoria NPL 2 | Eltham Redbacks FC vs North Sunshine Eagles</t>
  </si>
  <si>
    <t>Adelaide Comets</t>
  </si>
  <si>
    <t>11/04/2026 06:00 | Australia | South Australia NPL | Croydon Kings vs Adelaide Comets</t>
  </si>
  <si>
    <t>WK-League</t>
  </si>
  <si>
    <t>Boeun Sangmu</t>
  </si>
  <si>
    <t>Changnyeong</t>
  </si>
  <si>
    <t>11/04/2026 06:00 | South-Korea | WK-League | Boeun Sangmu vs Changnyeong</t>
  </si>
  <si>
    <t>Brindabella</t>
  </si>
  <si>
    <t>Monaro Panthers</t>
  </si>
  <si>
    <t>11/04/2026 06:00 | Australia | Capital Territory NPL | Brindabella vs Monaro Panthers</t>
  </si>
  <si>
    <t>Tuggeranong United</t>
  </si>
  <si>
    <t>Queanbeyan City</t>
  </si>
  <si>
    <t>11/04/2026 06:00 | Australia | Capital Territory NPL | Tuggeranong United vs Queanbeyan City</t>
  </si>
  <si>
    <t>Canberra Juventus</t>
  </si>
  <si>
    <t>Belconnen United</t>
  </si>
  <si>
    <t>11/04/2026 06:00 | Australia | Capital Territory NPL | Canberra Juventus vs Belconnen United</t>
  </si>
  <si>
    <t>11/04/2026 06:15</t>
  </si>
  <si>
    <t>11/04/2026 06:15 | Australia | Victoria NPL 2 | Manningham United Blues vs Northcote City</t>
  </si>
  <si>
    <t>11/04/2026 06:30</t>
  </si>
  <si>
    <t>11/04/2026 06:30 | Australia | South Australia NPL | Para Hills Knights vs Adelaide City</t>
  </si>
  <si>
    <t>Adelaide United II</t>
  </si>
  <si>
    <t>11/04/2026 06:30 | Australia | South Australia NPL | Campbelltown City vs Adelaide United II</t>
  </si>
  <si>
    <t>11/04/2026 06:30 | Australia | South Australia NPL | Playford City Patriots vs Sturt Lions</t>
  </si>
  <si>
    <t>Adelaide Blue Eagles</t>
  </si>
  <si>
    <t>11/04/2026 06:30 | Australia | South Australia State League 1 | South Adelaide Panthers vs Adelaide Blue Eagles</t>
  </si>
  <si>
    <t>11/04/2026 06:30 | Australia | South Australia State League 1 | Salisbury United vs Adelaide Olympic</t>
  </si>
  <si>
    <t>Adelaide Cobras</t>
  </si>
  <si>
    <t>11/04/2026 06:30 | Australia | South Australia State League 1 | Fulham United vs Adelaide Cobras</t>
  </si>
  <si>
    <t>Modbury Jets</t>
  </si>
  <si>
    <t>Eastern United</t>
  </si>
  <si>
    <t>11/04/2026 06:30 | Australia | South Australia State League 1 | Modbury Jets vs Eastern United</t>
  </si>
  <si>
    <t>Adelaide Victory</t>
  </si>
  <si>
    <t>11/04/2026 06:30 | Australia | South Australia State League 1 | Adelaide Victory vs The Cove</t>
  </si>
  <si>
    <t>11/04/2026 07:00</t>
  </si>
  <si>
    <t>Vissel Kobe</t>
  </si>
  <si>
    <t>Nagoya Grampus</t>
  </si>
  <si>
    <t>11/04/2026 07:00 | Japan | J1 League | Vissel Kobe vs Nagoya Grampus</t>
  </si>
  <si>
    <t>Yokohama F. Marinos</t>
  </si>
  <si>
    <t>FC Tokyo</t>
  </si>
  <si>
    <t>11/04/2026 07:00 | Japan | J1 League | Yokohama F. Marinos vs FC Tokyo</t>
  </si>
  <si>
    <t>11/04/2026 07:00 | Australia | New South Wales NPL | Sutherland Sharks vs Rockdale City Suns</t>
  </si>
  <si>
    <t>11/04/2026 07:00 | South-Korea | K3 League | Daejeon Korail vs Siheung Citizen</t>
  </si>
  <si>
    <t>St George Willawong</t>
  </si>
  <si>
    <t>11/04/2026 07:00 | Australia | Queensland Premier League | Robina City vs St George Willawong</t>
  </si>
  <si>
    <t>Shao Jiang</t>
  </si>
  <si>
    <t>11/04/2026 07:00 | Macao | Primeira Divisão | Shao Jiang vs Benfica</t>
  </si>
  <si>
    <t>11/04/2026 07:15</t>
  </si>
  <si>
    <t>Eastern Suburbs</t>
  </si>
  <si>
    <t>11/04/2026 07:15 | Australia | Queensland NPL | Olympic vs Eastern Suburbs</t>
  </si>
  <si>
    <t>11/04/2026 07:30</t>
  </si>
  <si>
    <t>Hume City</t>
  </si>
  <si>
    <t>11/04/2026 07:30 | Australia | Victoria NPL | Oakleigh Cannons vs Hume City</t>
  </si>
  <si>
    <t>Edgeworth Eagles</t>
  </si>
  <si>
    <t>11/04/2026 07:30 | Australia | Northern NSW NPL | Belmont Swansea vs Edgeworth Eagles</t>
  </si>
  <si>
    <t>Toronto Awaba Stags</t>
  </si>
  <si>
    <t>11/04/2026 07:30 | Australia | NNSW League 1 | Cessnock City Hornets vs Toronto Awaba Stags</t>
  </si>
  <si>
    <t>11/04/2026 07:45</t>
  </si>
  <si>
    <t>Riverside</t>
  </si>
  <si>
    <t>11/04/2026 07:45 | Australia | Tasmania NPL | Riverside vs Devonport City</t>
  </si>
  <si>
    <t>Glenorchy Knights U21</t>
  </si>
  <si>
    <t>11/04/2026 07:45 | Australia | Tasmania Southern Championship | Clarence Zebras II vs Glenorchy Knights U21</t>
  </si>
  <si>
    <t>11/04/2026 08:00</t>
  </si>
  <si>
    <t>Eastern District</t>
  </si>
  <si>
    <t>Wofoo Tai Po</t>
  </si>
  <si>
    <t>11/04/2026 08:00 | Hong-Kong | Premier League | Eastern District vs Wofoo Tai Po</t>
  </si>
  <si>
    <t>Newcastle Jets</t>
  </si>
  <si>
    <t>Adelaide United</t>
  </si>
  <si>
    <t>11/04/2026 08:00 | Australia | A-League | Newcastle Jets vs Adelaide United</t>
  </si>
  <si>
    <t>Cerezo Osaka</t>
  </si>
  <si>
    <t>11/04/2026 08:00 | Japan | J1 League | Gamba Osaka vs Cerezo Osaka</t>
  </si>
  <si>
    <t>11/04/2026 08:00 | Japan | J1 League | Kyoto Sanga vs Fagiano Okayama</t>
  </si>
  <si>
    <t>Tahiti United</t>
  </si>
  <si>
    <t>Solomon Kings</t>
  </si>
  <si>
    <t>11/04/2026 08:00 | World | OFC Pro League | Tahiti United vs Solomon Kings</t>
  </si>
  <si>
    <t>11/04/2026 08:00 | Australia | New South Wales NPL | Sydney Olympic vs Manly United</t>
  </si>
  <si>
    <t>11/04/2026 08:00 | Australia | New South Wales NPL 2 | Hills Brumbies vs Newcastle Jets II</t>
  </si>
  <si>
    <t>11/04/2026 08:00 | Australia | New South Wales NPL 2 | Canterbury Bankstown vs Bankstown City Lions</t>
  </si>
  <si>
    <t>11/04/2026 08:00 | Australia | New South Wales NPL 2 | Hurstville FC vs Macarthur Rams</t>
  </si>
  <si>
    <t>11/04/2026 08:00 | Australia | Queensland Premier League | Brisbane Strikers vs SC Wanderers</t>
  </si>
  <si>
    <t>Rizhao Yuqi</t>
  </si>
  <si>
    <t>11/04/2026 08:00 | China | League Two | Dalian Yingbo B vs Rizhao Yuqi</t>
  </si>
  <si>
    <t>11/04/2026 08:00 | China | League Two | Xi'an Ronghai vs Shandong Taishan II</t>
  </si>
  <si>
    <t>11/04/2026 08:15</t>
  </si>
  <si>
    <t>UNSW</t>
  </si>
  <si>
    <t>11/04/2026 08:15 | Australia | New South Wales NPL | UNSW vs APIA Leichhardt Tigers</t>
  </si>
  <si>
    <t>Dandenong City</t>
  </si>
  <si>
    <t>Bentleigh Greens</t>
  </si>
  <si>
    <t>11/04/2026 08:15 | Australia | Victoria NPL | Dandenong City vs Bentleigh Greens</t>
  </si>
  <si>
    <t>11/04/2026 08:30</t>
  </si>
  <si>
    <t>Gwangju FC</t>
  </si>
  <si>
    <t>Bucheon FC 1995</t>
  </si>
  <si>
    <t>11/04/2026 08:30 | South-Korea | K League 1 | Gwangju FC vs Bucheon FC 1995</t>
  </si>
  <si>
    <t>Incheon United</t>
  </si>
  <si>
    <t>Ulsan Hyundai FC</t>
  </si>
  <si>
    <t>11/04/2026 08:30 | South-Korea | K League 1 | Incheon United vs Ulsan Hyundai FC</t>
  </si>
  <si>
    <t>11/04/2026 08:30 | South-Korea | K League 2 | Hwaseong vs Jeonnam Dragons</t>
  </si>
  <si>
    <t>11/04/2026 08:30 | South-Korea | K League 2 | Paju Citizen vs Seoul E-Land FC</t>
  </si>
  <si>
    <t>Shaanxi Union</t>
  </si>
  <si>
    <t>11/04/2026 08:30 | China | League One | Changchun Yatai vs Shaanxi Union</t>
  </si>
  <si>
    <t>Ningbo Professional</t>
  </si>
  <si>
    <t>Shenzhen Juniors</t>
  </si>
  <si>
    <t>11/04/2026 08:30 | China | League One | Ningbo Professional vs Shenzhen Juniors</t>
  </si>
  <si>
    <t>Qingdao Red Lions</t>
  </si>
  <si>
    <t>Shanghai Second</t>
  </si>
  <si>
    <t>11/04/2026 08:30 | China | League Two | Qingdao Red Lions vs Shanghai Second</t>
  </si>
  <si>
    <t>11/04/2026 09:00</t>
  </si>
  <si>
    <t>Kudrivka U19</t>
  </si>
  <si>
    <t>Kryvbas 2020 U19</t>
  </si>
  <si>
    <t>11/04/2026 09:00 | Ukraine | U19 League | Kudrivka U19 vs Kryvbas 2020 U19</t>
  </si>
  <si>
    <t>Stellenbosch U23</t>
  </si>
  <si>
    <t>11/04/2026 09:00 | South-Africa | Diski Challenge | Mamelodi Sundowns U23 vs Stellenbosch U23</t>
  </si>
  <si>
    <t>11/04/2026 09:00 | South-Africa | Diski Challenge | Kaizer Chiefs U23 vs Siwelele U23</t>
  </si>
  <si>
    <t>TS Galaxy U23</t>
  </si>
  <si>
    <t>11/04/2026 09:00 | South-Africa | Diski Challenge | Marumo Gallants U23 vs TS Galaxy U23</t>
  </si>
  <si>
    <t>Magesi U23</t>
  </si>
  <si>
    <t>11/04/2026 09:00 | South-Africa | Diski Challenge | Magesi U23 vs Orbit College U23</t>
  </si>
  <si>
    <t>11/04/2026 09:00 | Australia | Northern NSW NPL | Adamstown Rosebuds vs Maitland</t>
  </si>
  <si>
    <t>Cooma Tigers FC</t>
  </si>
  <si>
    <t>Canberra White Eagles</t>
  </si>
  <si>
    <t>11/04/2026 09:00 | Australia | Capital Territory NPL | Cooma Tigers FC vs Canberra White Eagles</t>
  </si>
  <si>
    <t>Suomen Cup</t>
  </si>
  <si>
    <t>Puimur / Mando Utd</t>
  </si>
  <si>
    <t>HIFK Helsinki</t>
  </si>
  <si>
    <t>11/04/2026 09:00 | Finland | Suomen Cup | Puimur / Mando Utd vs HIFK Helsinki</t>
  </si>
  <si>
    <t>Majantja</t>
  </si>
  <si>
    <t>Linare</t>
  </si>
  <si>
    <t>11/04/2026 09:00 | Lesotho | Premier League | Majantja vs Linare</t>
  </si>
  <si>
    <t>Chiba</t>
  </si>
  <si>
    <t>11/04/2026 09:00 | Macao | Primeira Divisão | Gorilla of the Universe vs Chiba</t>
  </si>
  <si>
    <t>11/04/2026 09:15</t>
  </si>
  <si>
    <t>Frýdek-Místek</t>
  </si>
  <si>
    <t>11/04/2026 09:15 | Czech-Republic | 3. liga - MSFL | Frýdek-Místek vs Vrchovina</t>
  </si>
  <si>
    <t>Hranice</t>
  </si>
  <si>
    <t>11/04/2026 09:15 | Czech-Republic | 3. liga - MSFL | Třinec vs Hranice</t>
  </si>
  <si>
    <t>11/04/2026 09:15 | Czech-Republic | 4. liga - Divizie D | Tatran Bohunice vs Žďár nad Sázavou</t>
  </si>
  <si>
    <t>Havlíčkův Brod</t>
  </si>
  <si>
    <t>11/04/2026 09:15 | Czech-Republic | 4. liga - Divizie D | Havlíčkův Brod vs Znojmo</t>
  </si>
  <si>
    <t>Vratimov</t>
  </si>
  <si>
    <t>11/04/2026 09:15 | Czech-Republic | 4. liga - Divizie F | Vratimov vs Bospor Bohumín</t>
  </si>
  <si>
    <t>11/04/2026 09:15 | Czech-Republic | 3. liga - CFL B | Mladá Boleslav II vs Jablonec II</t>
  </si>
  <si>
    <t>Loko Vltavín</t>
  </si>
  <si>
    <t>11/04/2026 09:15 | Czech-Republic | 3. liga - CFL A | Loko Vltavín vs Jiskra Domažlice</t>
  </si>
  <si>
    <t>11/04/2026 09:15 | Czech-Republic | 3. liga - CFL A | Motorlet Praha vs Sokol Hostouň</t>
  </si>
  <si>
    <t>11/04/2026 09:15 | Czech-Republic | 3. liga - CFL A | Petřín Plzeň vs České Budějovice II</t>
  </si>
  <si>
    <t>11/04/2026 09:15 | Czech-Republic | 3. liga - CFL A | Písek vs Admira Praha</t>
  </si>
  <si>
    <t>Benešov</t>
  </si>
  <si>
    <t>11/04/2026 09:15 | Czech-Republic | 4. liga - Divizie A | Benešov vs Milevsko</t>
  </si>
  <si>
    <t>11/04/2026 09:15 | Czech-Republic | 4. liga - Divizie A | Slavoj Český Krumlov vs Milin</t>
  </si>
  <si>
    <t>11/04/2026 09:15 | Czech-Republic | 4. liga - Divizie A | Povltava FA vs TJ Přeštice</t>
  </si>
  <si>
    <t>11/04/2026 09:15 | Czech-Republic | 4. liga - Divizie B | Olympie Březová vs Ústí nad Labem II</t>
  </si>
  <si>
    <t>Meteor Praha</t>
  </si>
  <si>
    <t>11/04/2026 09:15 | Czech-Republic | 4. liga - Divizie B | Baník Sokolov vs Meteor Praha</t>
  </si>
  <si>
    <t>11/04/2026 09:15 | Czech-Republic | 4. liga - Divizie B | Štětí vs Přední Kopanina</t>
  </si>
  <si>
    <t>11/04/2026 09:30</t>
  </si>
  <si>
    <t>Pusamania Borneo</t>
  </si>
  <si>
    <t>11/04/2026 09:30 | Indonesia | Liga 1 | Pusamania Borneo vs PSBS Biak Numfor</t>
  </si>
  <si>
    <t>Persepam Madura Utd</t>
  </si>
  <si>
    <t>11/04/2026 09:30 | Indonesia | Liga 1 | Persepam Madura Utd vs Persik Kediri</t>
  </si>
  <si>
    <t>11/04/2026 09:30 | Czech-Republic | 4. liga - Divizie D | FS Třebíč vs Sparta Brno</t>
  </si>
  <si>
    <t>11/04/2026 09:30 | Czech-Republic | 4. liga - Divizie C | Přepeře vs Spartak Police n/Metují</t>
  </si>
  <si>
    <t>1. Liga U19</t>
  </si>
  <si>
    <t>Viktoria Plzeň U19</t>
  </si>
  <si>
    <t>Sparta Praha U19</t>
  </si>
  <si>
    <t>11/04/2026 09:30 | Czech-Republic | 1. Liga U19 | Viktoria Plzeň U19 vs Sparta Praha U19</t>
  </si>
  <si>
    <t>Rydalmere Lions</t>
  </si>
  <si>
    <t>Hakoah Sydney City</t>
  </si>
  <si>
    <t>11/04/2026 09:30 | Australia | New South Wales NPL 2 | Rydalmere Lions vs Hakoah Sydney City</t>
  </si>
  <si>
    <t>Liga 2</t>
  </si>
  <si>
    <t>Garudayaksa</t>
  </si>
  <si>
    <t>PSMS Medan</t>
  </si>
  <si>
    <t>11/04/2026 09:30 | Indonesia | Liga 2 | Garudayaksa vs PSMS Medan</t>
  </si>
  <si>
    <t>Persiku Kudus</t>
  </si>
  <si>
    <t>PSIS Semarang</t>
  </si>
  <si>
    <t>11/04/2026 09:30 | Indonesia | Liga 2 | Persiku Kudus vs PSIS Semarang</t>
  </si>
  <si>
    <t>Western United II</t>
  </si>
  <si>
    <t>11/04/2026 09:30 | Australia | Victoria NPL 2 | Bulleen Lions vs Western United II</t>
  </si>
  <si>
    <t>FK Beograd</t>
  </si>
  <si>
    <t>11/04/2026 09:30 | Australia | South Australia NPL | West Adelaide vs FK Beograd</t>
  </si>
  <si>
    <t>Friendlies Women</t>
  </si>
  <si>
    <t>Turkey U18 W</t>
  </si>
  <si>
    <t>Uzbekistan U18 W</t>
  </si>
  <si>
    <t>11/04/2026 09:30 | World | Friendlies Women | Turkey U18 W vs Uzbekistan U18 W</t>
  </si>
  <si>
    <t>11/04/2026 10:00</t>
  </si>
  <si>
    <t>Nyva Ternopil</t>
  </si>
  <si>
    <t>11/04/2026 10:00 | Ukraine | Persha Liga | Chernihiv vs Nyva Ternopil</t>
  </si>
  <si>
    <t>11/04/2026 10:00 | Italy | Campionato Primavera - 1 | Lecce U20 vs Genoa U20</t>
  </si>
  <si>
    <t>11/04/2026 10:00 | Italy | Campionato Primavera - 1 | Cesena U20 vs Internazionale U20</t>
  </si>
  <si>
    <t>11/04/2026 10:00 | Hungary | NB III - Southeast | Honvéd II vs BKV Előre</t>
  </si>
  <si>
    <t>11/04/2026 10:00 | Hungary | NB III - Southeast | Vasas II vs Monori Se</t>
  </si>
  <si>
    <t>11/04/2026 10:00 | Hungary | NB III - Southeast | Szeged-Csanád II vs Csep-Gól</t>
  </si>
  <si>
    <t>11/04/2026 10:00 | Hungary | NB III - Northwest | Újpest II vs Puskás II</t>
  </si>
  <si>
    <t>11/04/2026 10:00 | Hungary | NB III - Northeast | Diósgyőr II vs Ózd Sajóvölgye</t>
  </si>
  <si>
    <t>Epitsentr U19</t>
  </si>
  <si>
    <t>11/04/2026 10:00 | Ukraine | U19 League | Zorya Luhansk U19 vs Epitsentr U19</t>
  </si>
  <si>
    <t>11/04/2026 10:00 | Spain | Segunda División RFEF - Group 5 | Las Palmas II vs Real Madrid III</t>
  </si>
  <si>
    <t>11/04/2026 10:00 | Italy | Campionato Primavera - 2 | Crotone U19 vs Pescara U19</t>
  </si>
  <si>
    <t>11/04/2026 10:00 | Czech-Republic | 3. liga - CFL B | Teplice II vs Sokol Brozany</t>
  </si>
  <si>
    <t>České Budějovice U19</t>
  </si>
  <si>
    <t>Slovan Liberec U19</t>
  </si>
  <si>
    <t>11/04/2026 10:00 | Czech-Republic | 1. Liga U19 | České Budějovice U19 vs Slovan Liberec U19</t>
  </si>
  <si>
    <t>Vysočina Jihlava U19</t>
  </si>
  <si>
    <t>Slavia Praha U19</t>
  </si>
  <si>
    <t>11/04/2026 10:00 | Czech-Republic | 1. Liga U19 | Vysočina Jihlava U19 vs Slavia Praha U19</t>
  </si>
  <si>
    <t>Zlín U19</t>
  </si>
  <si>
    <t>Zbrojovka Brno U19</t>
  </si>
  <si>
    <t>11/04/2026 10:00 | Czech-Republic | 1. Liga U19 | Zlín U19 vs Zbrojovka Brno U19</t>
  </si>
  <si>
    <t>11/04/2026 10:00 | Australia | New South Wales NPL | Marconi Stallions vs SD Raiders</t>
  </si>
  <si>
    <t>11/04/2026 10:00 | Australia | New South Wales NPL 2 | Mt Druitt Town vs Dulwich Hill</t>
  </si>
  <si>
    <t>11/04/2026 10:00 | Australia | New South Wales NPL 2 | Bulls Academy vs Central Coast II</t>
  </si>
  <si>
    <t>Long An</t>
  </si>
  <si>
    <t>Văn Hiến</t>
  </si>
  <si>
    <t>11/04/2026 10:00 | Vietnam | V.League 2 | Long An vs Văn Hiến</t>
  </si>
  <si>
    <t>Paderborn U19</t>
  </si>
  <si>
    <t>11/04/2026 10:00 | Germany | U19 Bundesliga | Paderborn U19 vs Hoffenheim U19</t>
  </si>
  <si>
    <t>Hertha BSC U19</t>
  </si>
  <si>
    <t>11/04/2026 10:00 | Germany | U19 Bundesliga | Arminia Bielefeld U19 vs Hertha BSC U19</t>
  </si>
  <si>
    <t>Borussia M'bach U19</t>
  </si>
  <si>
    <t>11/04/2026 10:00 | Germany | U19 Bundesliga | RB Leipzig U19 vs Borussia M'bach U19</t>
  </si>
  <si>
    <t>11/04/2026 10:00 | Germany | U19 Bundesliga | Hannover 96 U19 vs Kaiserslautern U19</t>
  </si>
  <si>
    <t>Hamburger SV U19</t>
  </si>
  <si>
    <t>11/04/2026 10:00 | Germany | U19 Bundesliga | Hamburger SV U19 vs Stuttgart U19</t>
  </si>
  <si>
    <t>Freiburg U19</t>
  </si>
  <si>
    <t>11/04/2026 10:00 | Germany | U19 Bundesliga | Freiburg U19 vs 1860 München U19</t>
  </si>
  <si>
    <t>11/04/2026 10:00 | Germany | U19 Bundesliga | Osnabrück U19 vs RW Oberhausen U19</t>
  </si>
  <si>
    <t>SG Unterrath U19</t>
  </si>
  <si>
    <t>11/04/2026 10:00 | Germany | U19 Bundesliga | Hombrucher SV U19 vs SG Unterrath U19</t>
  </si>
  <si>
    <t>Green Gully</t>
  </si>
  <si>
    <t>11/04/2026 10:00 | Australia | Victoria NPL | Dandenong Thunder vs Green Gully</t>
  </si>
  <si>
    <t>11/04/2026 10:00 | Australia | Queensland NPL | Moreton City Excelsior vs Gold Coast United</t>
  </si>
  <si>
    <t>Broadbeach United</t>
  </si>
  <si>
    <t>11/04/2026 10:00 | Australia | Queensland Premier League | Caboolture vs Broadbeach United</t>
  </si>
  <si>
    <t>11/04/2026 10:00 | Cambodia | C-League | National Defense vs Kirivong Sok Sen Chey</t>
  </si>
  <si>
    <t>Dynamic Herb Cebu</t>
  </si>
  <si>
    <t>11/04/2026 10:00 | Philippines | PFL | Dynamic Herb Cebu vs Taguig</t>
  </si>
  <si>
    <t>Devonport U21</t>
  </si>
  <si>
    <t>11/04/2026 10:00 | Australia | Tasmania Northern Championship | Riverside Olympic U21 vs Devonport U21</t>
  </si>
  <si>
    <t>Ružomberok W</t>
  </si>
  <si>
    <t>Trenčín W</t>
  </si>
  <si>
    <t>11/04/2026 10:00 | Slovakia | I Liga - Women | Ružomberok W vs Trenčín W</t>
  </si>
  <si>
    <t>AFC U20 Asian Cup - Women</t>
  </si>
  <si>
    <t>Japan U20 W</t>
  </si>
  <si>
    <t>Vietnam U20 W</t>
  </si>
  <si>
    <t>11/04/2026 10:00 | World | AFC U20 Asian Cup - Women | Japan U20 W vs Vietnam U20 W</t>
  </si>
  <si>
    <t>11/04/2026 10:15</t>
  </si>
  <si>
    <t>Ylöjärvi United</t>
  </si>
  <si>
    <t>HJS Akatemia</t>
  </si>
  <si>
    <t>11/04/2026 10:15 | Finland | Suomen Cup | Ylöjärvi United vs HJS Akatemia</t>
  </si>
  <si>
    <t>11/04/2026 10:30</t>
  </si>
  <si>
    <t>Johor Darul Takzim FC</t>
  </si>
  <si>
    <t>Terengganu</t>
  </si>
  <si>
    <t>11/04/2026 10:30 | Malaysia | Super League | Johor Darul Takzim FC vs Terengganu</t>
  </si>
  <si>
    <t>11/04/2026 10:30 | Italy | Campionato Primavera - 2 | Ternana U19 vs Benevento U19</t>
  </si>
  <si>
    <t>11/04/2026 10:30 | Italy | Campionato Primavera - 2 | Ascoli U19 vs Avellino U19</t>
  </si>
  <si>
    <t>11/04/2026 10:30 | Germany | U19 Bundesliga | Nürnberg U19 vs Bayer Leverkusen U19</t>
  </si>
  <si>
    <t>11/04/2026 10:30 | Estonia | Esiliiga A | Maardu vs FCI Levadia II</t>
  </si>
  <si>
    <t>Nõmme Kalju II</t>
  </si>
  <si>
    <t>11/04/2026 10:30 | Estonia | Esiliiga A | Nõmme Kalju II vs Tartu Welco</t>
  </si>
  <si>
    <t>11/04/2026 10:30 | Estonia | Esiliiga B | JK Tabasalu vs Parnu JK Vaprus U21</t>
  </si>
  <si>
    <t>Bangladesh</t>
  </si>
  <si>
    <t>Bangladesh Police</t>
  </si>
  <si>
    <t>Fortis</t>
  </si>
  <si>
    <t>11/04/2026 10:30 | Bangladesh | Premier League | Bangladesh Police vs Fortis</t>
  </si>
  <si>
    <t>Wallsend Red Devils</t>
  </si>
  <si>
    <t>11/04/2026 10:30 | Australia | NNSW League 1 | Singleton Strikers vs Wallsend Red Devils</t>
  </si>
  <si>
    <t>Sepsi OSK Sfantu Gheorghe</t>
  </si>
  <si>
    <t>11/04/2026 10:30 | Romania | Liga II | Sepsi OSK Sfantu Gheorghe vs CSA Steaua Bucureşti</t>
  </si>
  <si>
    <t>11/04/2026 10:35</t>
  </si>
  <si>
    <t>Western Sydney Wanderers</t>
  </si>
  <si>
    <t>Sydney</t>
  </si>
  <si>
    <t>11/04/2026 10:35 | Australia | A-League | Western Sydney Wanderers vs Sydney</t>
  </si>
  <si>
    <t>11/04/2026 10:45</t>
  </si>
  <si>
    <t>11/04/2026 10:45 | Spain | Tercera División RFEF - Group 6 | Soneja vs Levante II</t>
  </si>
  <si>
    <t>11/04/2026 11:00</t>
  </si>
  <si>
    <t>Oleksandria</t>
  </si>
  <si>
    <t>11/04/2026 11:00 | Ukraine | Premier League | Karpaty vs Oleksandria</t>
  </si>
  <si>
    <t>11/04/2026 11:00 | Portugal | Segunda Liga | Penafiel vs Academico Viseu</t>
  </si>
  <si>
    <t>11/04/2026 11:00 | Poland | III Liga - Group 3 | Goczałkowice Zdrój vs Miedź Legnica II</t>
  </si>
  <si>
    <t>Derby County U18</t>
  </si>
  <si>
    <t>11/04/2026 11:00 | England | U18 Premier League - North | Wolves U18 vs Derby County U18</t>
  </si>
  <si>
    <t>Stoke City U18</t>
  </si>
  <si>
    <t>11/04/2026 11:00 | England | U18 Premier League - North | Stoke City U18 vs Sunderland U18</t>
  </si>
  <si>
    <t>11/04/2026 11:00 | England | U18 Premier League - South | Brighton U18 vs Ipswich Town U18</t>
  </si>
  <si>
    <t>West Ham United U18</t>
  </si>
  <si>
    <t>11/04/2026 11:00 | England | U18 Premier League - South | Chelsea U18 vs West Ham United U18</t>
  </si>
  <si>
    <t>11/04/2026 11:00 | England | U18 Premier League - South | Norwich City U18 vs Reading U18</t>
  </si>
  <si>
    <t>11/04/2026 11:00 | Hong-Kong | Premier League | Eastern vs Hong Kong FC</t>
  </si>
  <si>
    <t>11/04/2026 11:00 | South-Africa | Diski Challenge | Golden Arrows U23 vs Maritzburg United U23</t>
  </si>
  <si>
    <t>11/04/2026 11:00 | Spain | Tercera División RFEF - Group 15 | Beti Onak vs Valle Egüés</t>
  </si>
  <si>
    <t>11/04/2026 11:00 | Ghana | Division One League | Hakla SC vs WAFA</t>
  </si>
  <si>
    <t>Northern City</t>
  </si>
  <si>
    <t>11/04/2026 11:00 | Ghana | Division One League | Northern City vs Sankara Nationals</t>
  </si>
  <si>
    <t>11/04/2026 11:00 | Poland | Central Youth League | Legia Warszawa U19 vs Lechia Gdańsk U19</t>
  </si>
  <si>
    <t>Polonia Warszawa U19</t>
  </si>
  <si>
    <t>11/04/2026 11:00 | Poland | Central Youth League | Odra Opole U19 vs Polonia Warszawa U19</t>
  </si>
  <si>
    <t>11/04/2026 11:00 | Poland | Central Youth League | Śląsk Wrocław U19 vs Górnik Zabrze U19</t>
  </si>
  <si>
    <t>Slovácko U19</t>
  </si>
  <si>
    <t>Pardubice U19</t>
  </si>
  <si>
    <t>11/04/2026 11:00 | Czech-Republic | 1. Liga U19 | Slovácko U19 vs Pardubice U19</t>
  </si>
  <si>
    <t>Division 2 - Norra Svealand</t>
  </si>
  <si>
    <t>Kungsängen</t>
  </si>
  <si>
    <t>Enskede</t>
  </si>
  <si>
    <t>11/04/2026 11:00 | Sweden | Division 2 - Norra Svealand | Kungsängen vs Enskede</t>
  </si>
  <si>
    <t>Division 2 - Södra Svealand</t>
  </si>
  <si>
    <t>Nacka Iliria</t>
  </si>
  <si>
    <t>Farsta</t>
  </si>
  <si>
    <t>11/04/2026 11:00 | Sweden | Division 2 - Södra Svealand | Nacka Iliria vs Farsta</t>
  </si>
  <si>
    <t>Mombasa Elite</t>
  </si>
  <si>
    <t>11/04/2026 11:00 | Kenya | Super League | Kibera Black Stars vs Mombasa Elite</t>
  </si>
  <si>
    <t>11/04/2026 11:00 | Kenya | Super League | Talanta vs Mwatate United</t>
  </si>
  <si>
    <t>11/04/2026 11:00 | Portugal | Liga 3 | Varzim vs Mafra</t>
  </si>
  <si>
    <t>Renofa Yamaguchi</t>
  </si>
  <si>
    <t>11/04/2026 11:00 | Japan | J2/J3 League | Oita Trinita vs Renofa Yamaguchi</t>
  </si>
  <si>
    <t>Augsburg U19</t>
  </si>
  <si>
    <t>Borussia Dortmund U19</t>
  </si>
  <si>
    <t>11/04/2026 11:00 | Germany | U19 Bundesliga | Augsburg U19 vs Borussia Dortmund U19</t>
  </si>
  <si>
    <t>Holstein Kiel U19</t>
  </si>
  <si>
    <t>11/04/2026 11:00 | Germany | U19 Bundesliga | Holstein Kiel U19 vs Wolfsburg U19</t>
  </si>
  <si>
    <t>11/04/2026 11:00 | Germany | U19 Bundesliga | BAK 07 U19 vs Bayern München U19</t>
  </si>
  <si>
    <t>Energie Cottbus U19</t>
  </si>
  <si>
    <t>11/04/2026 11:00 | Germany | U19 Bundesliga | Energie Cottbus U19 vs Bochum U19</t>
  </si>
  <si>
    <t>Ingolstadt U19</t>
  </si>
  <si>
    <t>11/04/2026 11:00 | Germany | U19 Bundesliga | Ingolstadt U19 vs Unterhaching U19</t>
  </si>
  <si>
    <t>Magdeburg U19</t>
  </si>
  <si>
    <t>11/04/2026 11:00 | Germany | U19 Bundesliga | Lübeck U19 vs Magdeburg U19</t>
  </si>
  <si>
    <t>Persipura Jayapura</t>
  </si>
  <si>
    <t>Persela Lamongan</t>
  </si>
  <si>
    <t>11/04/2026 11:00 | Indonesia | Liga 2 | Persipura Jayapura vs Persela Lamongan</t>
  </si>
  <si>
    <t>11/04/2026 11:00 | Russia | Second League A - Division A Silver | Tyumen vs Zenit 2</t>
  </si>
  <si>
    <t>11/04/2026 11:00 | Kazakhstan | Premier League | Atyrau vs Kaisar</t>
  </si>
  <si>
    <t>11/04/2026 11:00 | Netherlands | U19 Divisie 1 | Sparta Rotterdam U19 vs PSV U19</t>
  </si>
  <si>
    <t>Uni Minsk</t>
  </si>
  <si>
    <t>Volna</t>
  </si>
  <si>
    <t>11/04/2026 11:00 | Belarus | 1. Division | Uni Minsk vs Volna</t>
  </si>
  <si>
    <t>Shumbrat</t>
  </si>
  <si>
    <t>Saturn Ramenskoye</t>
  </si>
  <si>
    <t>11/04/2026 11:00 | Russia | Second League - Group 3 | Shumbrat vs Saturn Ramenskoye</t>
  </si>
  <si>
    <t>11/04/2026 11:15</t>
  </si>
  <si>
    <t>Warta Poznań</t>
  </si>
  <si>
    <t>11/04/2026 11:15 | Poland | II Liga - East | Stal Stalowa Wola vs Warta Poznań</t>
  </si>
  <si>
    <t>11/04/2026 11:15 | Netherlands | U19 Divisie 1 | Feyenoord U19 vs AZ U19</t>
  </si>
  <si>
    <t>11/04/2026 11:30</t>
  </si>
  <si>
    <t>Sarıyer</t>
  </si>
  <si>
    <t>Hatayspor</t>
  </si>
  <si>
    <t>11/04/2026 11:30 | Turkey | 1. Lig | Sarıyer vs Hatayspor</t>
  </si>
  <si>
    <t>11/04/2026 11:30 | England | U18 Premier League - South | West Bromwich Albion U18 vs Leicester City U18</t>
  </si>
  <si>
    <t>11/04/2026 11:30 | Poland | Central Youth League | Stal Rzeszów U19 vs Escola Varsovia U19</t>
  </si>
  <si>
    <t>Karviná U19</t>
  </si>
  <si>
    <t>Hradec Králové U19</t>
  </si>
  <si>
    <t>11/04/2026 11:30 | Czech-Republic | 1. Liga U19 | Karviná U19 vs Hradec Králové U19</t>
  </si>
  <si>
    <t>11/04/2026 11:30 | Netherlands | U19 Divisie 1 | ADO Den Haag U19 vs NEC Nijmegen U19</t>
  </si>
  <si>
    <t>Aizawl</t>
  </si>
  <si>
    <t>11/04/2026 11:30 | India | I-League | Dempo vs Aizawl</t>
  </si>
  <si>
    <t>11/04/2026 11:30 | Denmark | 1. Division | Hillerød vs AC Horsens</t>
  </si>
  <si>
    <t>Lifofane</t>
  </si>
  <si>
    <t>Lijabatho</t>
  </si>
  <si>
    <t>11/04/2026 11:30 | Lesotho | Premier League | Lifofane vs Lijabatho</t>
  </si>
  <si>
    <t>11/04/2026 12:00</t>
  </si>
  <si>
    <t>11/04/2026 12:00 | Germany | 2. Bundesliga | Hertha BSC vs 1. FC Kaiserslautern</t>
  </si>
  <si>
    <t>11/04/2026 12:00 | Germany | 2. Bundesliga | 1. FC Nürnberg vs Dynamo Dresden</t>
  </si>
  <si>
    <t>11/04/2026 12:00 | Germany | 2. Bundesliga | Preußen Münster vs SpVgg Greuther Fürth</t>
  </si>
  <si>
    <t>11/04/2026 12:00 | Russia | Premier League | Krylia Sovetov vs Akhmat</t>
  </si>
  <si>
    <t>11/04/2026 12:00 | Italy | Campionato Primavera - 1 | Roma U20 vs Napoli U20</t>
  </si>
  <si>
    <t>Vorwärts-Wacker 04</t>
  </si>
  <si>
    <t>11/04/2026 12:00 | Germany | Oberliga - Hamburg | Tus Dassendorf vs Vorwärts-Wacker 04</t>
  </si>
  <si>
    <t>Leher TS</t>
  </si>
  <si>
    <t>11/04/2026 12:00 | Germany | Oberliga - Bremen | Union Bremen vs Leher TS</t>
  </si>
  <si>
    <t>11/04/2026 12:00 | England | U18 Premier League - South | Aston Villa U18 vs Fulham U18</t>
  </si>
  <si>
    <t>11/04/2026 12:00 | Bosnia | 1st League - RS | Leotar vs Zvijezda 09</t>
  </si>
  <si>
    <t>11/04/2026 12:00 | Spain | Tercera División RFEF - Group 12 | Panadería Pulido vs Real Unión de Tenerife</t>
  </si>
  <si>
    <t>Znicz Pruszków U19</t>
  </si>
  <si>
    <t>11/04/2026 12:00 | Poland | Central Youth League | Znicz Pruszków U19 vs Resovia U19</t>
  </si>
  <si>
    <t>Baník Ostrava U19</t>
  </si>
  <si>
    <t>Mladá Boleslav U19</t>
  </si>
  <si>
    <t>11/04/2026 12:00 | Czech-Republic | 1. Liga U19 | Baník Ostrava U19 vs Mladá Boleslav U19</t>
  </si>
  <si>
    <t>Sigma Olomouc U19</t>
  </si>
  <si>
    <t>Dukla Praha U19</t>
  </si>
  <si>
    <t>11/04/2026 12:00 | Czech-Republic | 1. Liga U19 | Sigma Olomouc U19 vs Dukla Praha U19</t>
  </si>
  <si>
    <t>Ratchaburi</t>
  </si>
  <si>
    <t>11/04/2026 12:00 | Thailand | Thai League 1 | Lamphun Warrior vs Ratchaburi</t>
  </si>
  <si>
    <t>Veikkausliiga</t>
  </si>
  <si>
    <t>11/04/2026 12:00 | Finland | Veikkausliiga | KuPS vs Gnistan</t>
  </si>
  <si>
    <t>2. Division - Group 2</t>
  </si>
  <si>
    <t>Follo</t>
  </si>
  <si>
    <t>11/04/2026 12:00 | Norway | 2. Division - Group 2 | Trygg/Lade vs Follo</t>
  </si>
  <si>
    <t>3. Division - Girone 1</t>
  </si>
  <si>
    <t>SF Grei</t>
  </si>
  <si>
    <t>Frigg</t>
  </si>
  <si>
    <t>11/04/2026 12:00 | Norway | 3. Division - Girone 1 | SF Grei vs Frigg</t>
  </si>
  <si>
    <t>Nordstrand</t>
  </si>
  <si>
    <t>Ullern</t>
  </si>
  <si>
    <t>11/04/2026 12:00 | Norway | 3. Division - Girone 1 | Nordstrand vs Ullern</t>
  </si>
  <si>
    <t>3. Division - Girone 2</t>
  </si>
  <si>
    <t>Nardo</t>
  </si>
  <si>
    <t>Volda</t>
  </si>
  <si>
    <t>11/04/2026 12:00 | Norway | 3. Division - Girone 2 | Nardo vs Volda</t>
  </si>
  <si>
    <t>3. Division - Girone 4</t>
  </si>
  <si>
    <t>Åkra</t>
  </si>
  <si>
    <t>Våg</t>
  </si>
  <si>
    <t>11/04/2026 12:00 | Norway | 3. Division - Girone 4 | Åkra vs Våg</t>
  </si>
  <si>
    <t>Superettan</t>
  </si>
  <si>
    <t>Ljungskile SK</t>
  </si>
  <si>
    <t>11/04/2026 12:00 | Sweden | Superettan | Ljungskile SK vs IFK Norrkoping</t>
  </si>
  <si>
    <t>11/04/2026 12:00 | Sweden | Superettan | Osters IF vs Orebro SK</t>
  </si>
  <si>
    <t>Ettan - Södra</t>
  </si>
  <si>
    <t>11/04/2026 12:00 | Sweden | Ettan - Södra | Laholm vs Angelholms FF</t>
  </si>
  <si>
    <t>AFC Malmo</t>
  </si>
  <si>
    <t>11/04/2026 12:00 | Sweden | Ettan - Södra | trelleborgs FF vs AFC Malmo</t>
  </si>
  <si>
    <t>11/04/2026 12:00 | Sweden | Ettan - Södra | Tvååker vs Eskilsminne</t>
  </si>
  <si>
    <t>Santa Clara U19</t>
  </si>
  <si>
    <t>Benfica U19</t>
  </si>
  <si>
    <t>11/04/2026 12:00 | Portugal | Júniores U19 | Santa Clara U19 vs Benfica U19</t>
  </si>
  <si>
    <t>Erovnuli Liga 2</t>
  </si>
  <si>
    <t>Sioni</t>
  </si>
  <si>
    <t>Samtredia</t>
  </si>
  <si>
    <t>11/04/2026 12:00 | Georgia | Erovnuli Liga 2 | Sioni vs Samtredia</t>
  </si>
  <si>
    <t>Gareji</t>
  </si>
  <si>
    <t>Odishi 1919</t>
  </si>
  <si>
    <t>11/04/2026 12:00 | Georgia | Erovnuli Liga 2 | Gareji vs Odishi 1919</t>
  </si>
  <si>
    <t>Division 2 - Norra Götaland</t>
  </si>
  <si>
    <t>Herrestads</t>
  </si>
  <si>
    <t>Skara</t>
  </si>
  <si>
    <t>11/04/2026 12:00 | Sweden | Division 2 - Norra Götaland | Herrestads vs Skara</t>
  </si>
  <si>
    <t>Vänersborgs IF</t>
  </si>
  <si>
    <t>IF Karlstad II</t>
  </si>
  <si>
    <t>11/04/2026 12:00 | Sweden | Division 2 - Norra Götaland | Vänersborgs IF vs IF Karlstad II</t>
  </si>
  <si>
    <t>Lidingö</t>
  </si>
  <si>
    <t>11/04/2026 12:00 | Sweden | Division 2 - Norra Svealand | Franke vs Lidingö</t>
  </si>
  <si>
    <t>Täby</t>
  </si>
  <si>
    <t>Bollstanäs</t>
  </si>
  <si>
    <t>11/04/2026 12:00 | Sweden | Division 2 - Norra Svealand | Täby vs Bollstanäs</t>
  </si>
  <si>
    <t>Division 2 - Östra Götaland</t>
  </si>
  <si>
    <t>Österlen</t>
  </si>
  <si>
    <t>Växjö Norra</t>
  </si>
  <si>
    <t>11/04/2026 12:00 | Sweden | Division 2 - Östra Götaland | Österlen vs Växjö Norra</t>
  </si>
  <si>
    <t>Sölvesborg</t>
  </si>
  <si>
    <t>Linero</t>
  </si>
  <si>
    <t>11/04/2026 12:00 | Sweden | Division 2 - Östra Götaland | Sölvesborg vs Linero</t>
  </si>
  <si>
    <t>Nyköping</t>
  </si>
  <si>
    <t>Haninge</t>
  </si>
  <si>
    <t>11/04/2026 12:00 | Sweden | Division 2 - Södra Svealand | Nyköping vs Haninge</t>
  </si>
  <si>
    <t>Örebro Syrianska</t>
  </si>
  <si>
    <t>Karlslund</t>
  </si>
  <si>
    <t>11/04/2026 12:00 | Sweden | Division 2 - Södra Svealand | Örebro Syrianska vs Karlslund</t>
  </si>
  <si>
    <t>Division 2 - Västra Götaland</t>
  </si>
  <si>
    <t>Astrio</t>
  </si>
  <si>
    <t>Jonsered</t>
  </si>
  <si>
    <t>11/04/2026 12:00 | Sweden | Division 2 - Västra Götaland | Astrio vs Jonsered</t>
  </si>
  <si>
    <t>Division 2 - Norrland</t>
  </si>
  <si>
    <t>Boden</t>
  </si>
  <si>
    <t>IFK Umeå</t>
  </si>
  <si>
    <t>11/04/2026 12:00 | Sweden | Division 2 - Norrland | Boden vs IFK Umeå</t>
  </si>
  <si>
    <t>Team Thoren</t>
  </si>
  <si>
    <t>Gottne</t>
  </si>
  <si>
    <t>11/04/2026 12:00 | Sweden | Division 2 - Norrland | Team Thoren vs Gottne</t>
  </si>
  <si>
    <t>Ykkönen</t>
  </si>
  <si>
    <t>OLS</t>
  </si>
  <si>
    <t>VJS</t>
  </si>
  <si>
    <t>11/04/2026 12:00 | Finland | Ykkönen | OLS vs VJS</t>
  </si>
  <si>
    <t>Hai Phong</t>
  </si>
  <si>
    <t>Ho Chi Minh</t>
  </si>
  <si>
    <t>11/04/2026 12:00 | Vietnam | V.League 1 | Hai Phong vs Ho Chi Minh</t>
  </si>
  <si>
    <t>Hoang Anh Gia Lai</t>
  </si>
  <si>
    <t>11/04/2026 12:00 | Vietnam | V.League 1 | Nam Dinh vs Hoang Anh Gia Lai</t>
  </si>
  <si>
    <t>Song Lam Nghe An</t>
  </si>
  <si>
    <t>Da Nang</t>
  </si>
  <si>
    <t>11/04/2026 12:00 | Vietnam | V.League 1 | Song Lam Nghe An vs Da Nang</t>
  </si>
  <si>
    <t>11/04/2026 12:00 | Vietnam | V.League 2 | Binh Dinh vs Sanna Khanh Hoa</t>
  </si>
  <si>
    <t>11/04/2026 12:00 | Germany | U19 Bundesliga | Babelsberg U19 vs Hansa Rostock U19</t>
  </si>
  <si>
    <t>Blumenthaler SV U19</t>
  </si>
  <si>
    <t>11/04/2026 12:00 | Germany | U19 Bundesliga | Blumenthaler SV U19 vs Hallescher FC U19</t>
  </si>
  <si>
    <t>11/04/2026 12:00 | Germany | U19 Bundesliga | Rot-Weiß Erfurt U19 vs St. Pauli U19</t>
  </si>
  <si>
    <t>Sandhausen U19</t>
  </si>
  <si>
    <t>Greuther Fürth U19</t>
  </si>
  <si>
    <t>11/04/2026 12:00 | Germany | U19 Bundesliga | Sandhausen U19 vs Greuther Fürth U19</t>
  </si>
  <si>
    <t>Elversberg U19</t>
  </si>
  <si>
    <t>11/04/2026 12:00 | Germany | U19 Bundesliga | Schott Mainz U19 vs Elversberg U19</t>
  </si>
  <si>
    <t>11/04/2026 12:00 | Germany | U19 Bundesliga | Rot-Weiss Essen U19 vs Meppen U19</t>
  </si>
  <si>
    <t>11/04/2026 12:00 | Germany | U19 Bundesliga | Chemnitzer FC U19 vs Havelse U19</t>
  </si>
  <si>
    <t>11/04/2026 12:00 | Germany | U19 Bundesliga | Fortuna Köln U19 vs FSV Frankfurt U19</t>
  </si>
  <si>
    <t>11/04/2026 12:00 | Armenia | Premier League | Ararat vs Alashkert</t>
  </si>
  <si>
    <t>11/04/2026 12:00 | China | Super League | Chongqing Tongliang Long vs Wuhan Three Towns</t>
  </si>
  <si>
    <t>11/04/2026 12:00 | China | Super League | Qingdao Youth Island vs Shenyang Urban</t>
  </si>
  <si>
    <t>Baranovichi</t>
  </si>
  <si>
    <t>11/04/2026 12:00 | Belarus | Premier League | Baranovichi vs ML Vitebsk</t>
  </si>
  <si>
    <t>Life Sihanoukville</t>
  </si>
  <si>
    <t>11/04/2026 12:00 | Cambodia | C-League | Dangkor Senchey vs Life Sihanoukville</t>
  </si>
  <si>
    <t>11/04/2026 12:00 | Russia | Second League A - Division A Silver | Alaniya Vladikavkaz vs Dinamo Kirov</t>
  </si>
  <si>
    <t>11/04/2026 12:00 | Russia | Second League A - Division A Silver | Urozhay vs Amkar</t>
  </si>
  <si>
    <t>11/04/2026 12:00 | Kazakhstan | Premier League | Zhetysu vs Yelimay Semey</t>
  </si>
  <si>
    <t>Uzbekistan</t>
  </si>
  <si>
    <t>Pro League A</t>
  </si>
  <si>
    <t>Lochin</t>
  </si>
  <si>
    <t>Pakhtakor II</t>
  </si>
  <si>
    <t>11/04/2026 12:00 | Uzbekistan | Pro League A | Lochin vs Pakhtakor II</t>
  </si>
  <si>
    <t>Yaypan</t>
  </si>
  <si>
    <t>Qiziriq</t>
  </si>
  <si>
    <t>11/04/2026 12:00 | Uzbekistan | Pro League A | Yaypan vs Qiziriq</t>
  </si>
  <si>
    <t>FC Slutsk</t>
  </si>
  <si>
    <t>Lida</t>
  </si>
  <si>
    <t>11/04/2026 12:00 | Belarus | 1. Division | FC Slutsk vs Lida</t>
  </si>
  <si>
    <t>Second League - Group 1</t>
  </si>
  <si>
    <t>Rostov II</t>
  </si>
  <si>
    <t>Nart Cherkessk</t>
  </si>
  <si>
    <t>11/04/2026 12:00 | Russia | Second League - Group 1 | Rostov II vs Nart Cherkessk</t>
  </si>
  <si>
    <t>Second League - Group 2</t>
  </si>
  <si>
    <t>Dinamo St. Petersburg</t>
  </si>
  <si>
    <t>Iskra Smolensk</t>
  </si>
  <si>
    <t>11/04/2026 12:00 | Russia | Second League - Group 2 | Dinamo St. Petersburg vs Iskra Smolensk</t>
  </si>
  <si>
    <t>Metallurg Lipetsk</t>
  </si>
  <si>
    <t>Rotor-2</t>
  </si>
  <si>
    <t>11/04/2026 12:00 | Russia | Second League - Group 3 | Metallurg Lipetsk vs Rotor-2</t>
  </si>
  <si>
    <t>Zenit Penza</t>
  </si>
  <si>
    <t>Ryazan</t>
  </si>
  <si>
    <t>11/04/2026 12:00 | Russia | Second League - Group 3 | Zenit Penza vs Ryazan</t>
  </si>
  <si>
    <t>Malawi W</t>
  </si>
  <si>
    <t>11/04/2026 12:00 | World | Friendlies Women | Malawi W vs Australia W</t>
  </si>
  <si>
    <t>VaKP</t>
  </si>
  <si>
    <t>ÅIFK</t>
  </si>
  <si>
    <t>11/04/2026 12:00 | Finland | Suomen Cup | VaKP vs ÅIFK</t>
  </si>
  <si>
    <t>11/04/2026 12:00 | England | U18 Premier League - North | Leeds United U18 vs Manchester United U18</t>
  </si>
  <si>
    <t>NiemU</t>
  </si>
  <si>
    <t>11/04/2026 12:00 | Finland | Suomen Cup | NiemU vs PEPO</t>
  </si>
  <si>
    <t>11/04/2026 12:15</t>
  </si>
  <si>
    <t>Hegelmann Litauen</t>
  </si>
  <si>
    <t>11/04/2026 12:15 | Lithuania | A Lyga | Kauno Žalgiris vs Hegelmann Litauen</t>
  </si>
  <si>
    <t>11/04/2026 12:30</t>
  </si>
  <si>
    <t>Bournemouth</t>
  </si>
  <si>
    <t>11/04/2026 12:30 | England | Premier League | Arsenal vs Bournemouth</t>
  </si>
  <si>
    <t>11/04/2026 12:30 | England | League Two | Bristol Rovers vs Crawley Town</t>
  </si>
  <si>
    <t>11/04/2026 12:30 | England | League Two | Milton Keynes Dons vs Bromley</t>
  </si>
  <si>
    <t>11/04/2026 12:30 | England | Championship | Norwich vs Ipswich</t>
  </si>
  <si>
    <t>11/04/2026 12:30 | England | Championship | Coventry vs Sheffield Wednesday</t>
  </si>
  <si>
    <t>11/04/2026 12:30 | England | Championship | QPR vs Bristol City</t>
  </si>
  <si>
    <t>11/04/2026 12:30 | England | League One | Lincoln vs Leyton Orient</t>
  </si>
  <si>
    <t>11/04/2026 12:30 | England | League One | Plymouth vs Exeter City</t>
  </si>
  <si>
    <t>11/04/2026 12:30 | England | League One | Cardiff vs Bolton</t>
  </si>
  <si>
    <t>Başakşehir</t>
  </si>
  <si>
    <t>11/04/2026 12:30 | Turkey | Süper Lig | Başakşehir vs Gençlerbirliği S.K.</t>
  </si>
  <si>
    <t>11/04/2026 12:30 | Netherlands | Tweede Divisie | Katwijk vs Rijnsburgse Boys</t>
  </si>
  <si>
    <t>11/04/2026 12:30 | England | National League | Boreham Wood vs Hartlepool</t>
  </si>
  <si>
    <t>11/04/2026 12:30 | England | National League | Tamworth vs York</t>
  </si>
  <si>
    <t>Podillya Khmelnytskyi</t>
  </si>
  <si>
    <t>11/04/2026 12:30 | Ukraine | Persha Liga | Prykarpattia vs Podillya Khmelnytskyi</t>
  </si>
  <si>
    <t>11/04/2026 12:30 | Germany | Regionalliga - Nord | Weiche Flensburg vs Bremer SV</t>
  </si>
  <si>
    <t>Geylang International</t>
  </si>
  <si>
    <t>11/04/2026 12:30 | Singapore | Premier League | Tampines Rovers vs Geylang International</t>
  </si>
  <si>
    <t>Newcastle United U18</t>
  </si>
  <si>
    <t>11/04/2026 12:30 | England | U18 Premier League - North | Newcastle United U18 vs Burnley U18</t>
  </si>
  <si>
    <t>Şamaxı FK</t>
  </si>
  <si>
    <t>11/04/2026 12:30 | Azerbaijan | Premyer Liqa | Şamaxı FK vs Qarabag</t>
  </si>
  <si>
    <t>San Bartolomé</t>
  </si>
  <si>
    <t>Villa Santa Brígida</t>
  </si>
  <si>
    <t>11/04/2026 12:30 | Spain | Tercera División RFEF - Group 12 | San Bartolomé vs Villa Santa Brígida</t>
  </si>
  <si>
    <t>11/04/2026 12:30 | Poland | Central Youth League | Arkonia U19 vs Zagłębie Lubin U19</t>
  </si>
  <si>
    <t>Bangkok United</t>
  </si>
  <si>
    <t>11/04/2026 12:30 | Thailand | Thai League 1 | Nakhon Ratchasima FC vs Bangkok United</t>
  </si>
  <si>
    <t>Laagri</t>
  </si>
  <si>
    <t>11/04/2026 12:30 | Estonia | Meistriliiga | Kuressaare vs Laagri</t>
  </si>
  <si>
    <t>Saarbrücken U19</t>
  </si>
  <si>
    <t>Wehen Wiesbaden U19</t>
  </si>
  <si>
    <t>11/04/2026 12:30 | Germany | U19 Bundesliga | Saarbrücken U19 vs Wehen Wiesbaden U19</t>
  </si>
  <si>
    <t>Chennaiyin</t>
  </si>
  <si>
    <t>East Bengal II</t>
  </si>
  <si>
    <t>11/04/2026 12:30 | India | Indian Super League | Chennaiyin vs East Bengal II</t>
  </si>
  <si>
    <t>Bashundhara Kings</t>
  </si>
  <si>
    <t>Arambagh</t>
  </si>
  <si>
    <t>11/04/2026 12:30 | Bangladesh | Premier League | Bashundhara Kings vs Arambagh</t>
  </si>
  <si>
    <t>Wuxi Wugou</t>
  </si>
  <si>
    <t>11/04/2026 12:30 | China | League One | Guangzhou E-Power vs Wuxi Wugou</t>
  </si>
  <si>
    <t>Guangxi Hengchen</t>
  </si>
  <si>
    <t>11/04/2026 12:30 | China | League One | Meizhou Kejia vs Guangxi Hengchen</t>
  </si>
  <si>
    <t>11/04/2026 12:30 | China | League One | Nantong Zhiyun vs Suzhou Dongwu</t>
  </si>
  <si>
    <t>Langfang Glory City</t>
  </si>
  <si>
    <t>Wuhan Three Towns II</t>
  </si>
  <si>
    <t>11/04/2026 12:30 | China | League Two | Langfang Glory City vs Wuhan Three Towns II</t>
  </si>
  <si>
    <t>11/04/2026 12:35</t>
  </si>
  <si>
    <t>11/04/2026 12:35 | China | Super League | Henan Jianye vs Shandong Luneng</t>
  </si>
  <si>
    <t>SHANGHAI SIPG</t>
  </si>
  <si>
    <t>11/04/2026 12:35 | China | Super League | Shanghai Shenhua vs SHANGHAI SIPG</t>
  </si>
  <si>
    <t>Chengdu Rongcheng II</t>
  </si>
  <si>
    <t>Shenzhen 2028</t>
  </si>
  <si>
    <t>11/04/2026 12:35 | China | League Two | Chengdu Rongcheng II vs Shenzhen 2028</t>
  </si>
  <si>
    <t>11/04/2026 12:45</t>
  </si>
  <si>
    <t>11/04/2026 12:45 | Croatia | First NL | Dubrava Zagreb vs HNK Cibalia</t>
  </si>
  <si>
    <t>11/04/2026 13:00</t>
  </si>
  <si>
    <t>Boulogne</t>
  </si>
  <si>
    <t>Le Mans</t>
  </si>
  <si>
    <t>11/04/2026 13:00 | France | Ligue 2 | Boulogne vs Le Mans</t>
  </si>
  <si>
    <t>RED Star FC 93</t>
  </si>
  <si>
    <t>Bastia</t>
  </si>
  <si>
    <t>11/04/2026 13:00 | France | Ligue 2 | RED Star FC 93 vs Bastia</t>
  </si>
  <si>
    <t>Real Sociedad</t>
  </si>
  <si>
    <t>11/04/2026 13:00 | Spain | La Liga | Real Sociedad vs Alaves</t>
  </si>
  <si>
    <t>11/04/2026 13:00 | Germany | 3. Liga | Alemannia Aachen vs Stuttgart II</t>
  </si>
  <si>
    <t>11/04/2026 13:00 | Germany | 3. Liga | Waldhof Mannheim vs MSV Duisburg</t>
  </si>
  <si>
    <t>Rot-Weiß Essen</t>
  </si>
  <si>
    <t>11/04/2026 13:00 | Germany | 3. Liga | Rot-Weiß Essen vs FC Ingolstadt 04</t>
  </si>
  <si>
    <t>11/04/2026 13:00 | Germany | 3. Liga | Havelse vs FC Saarbrücken</t>
  </si>
  <si>
    <t>FC Viktoria Köln</t>
  </si>
  <si>
    <t>SV Wehen</t>
  </si>
  <si>
    <t>11/04/2026 13:00 | Germany | 3. Liga | FC Viktoria Köln vs SV Wehen</t>
  </si>
  <si>
    <t>Voitsberg</t>
  </si>
  <si>
    <t>Gurten</t>
  </si>
  <si>
    <t>11/04/2026 13:00 | Austria | Regionalliga - Mitte | Voitsberg vs Gurten</t>
  </si>
  <si>
    <t>Persija</t>
  </si>
  <si>
    <t>Persebaya Surabaya</t>
  </si>
  <si>
    <t>11/04/2026 13:00 | Indonesia | Liga 1 | Persija vs Persebaya Surabaya</t>
  </si>
  <si>
    <t>Persijap</t>
  </si>
  <si>
    <t>Bhayangkara FC</t>
  </si>
  <si>
    <t>11/04/2026 13:00 | Indonesia | Liga 1 | Persijap vs Bhayangkara FC</t>
  </si>
  <si>
    <t>11/04/2026 13:00 | Germany | Oberliga - Baden-Württemberg | Türkspor Neckarsulm vs FC Nöttingen</t>
  </si>
  <si>
    <t>11/04/2026 13:00 | Germany | Oberliga - Baden-Württemberg | CFR Pforzheim vs FV Ravensburg</t>
  </si>
  <si>
    <t>11/04/2026 13:00 | Germany | Oberliga - Baden-Württemberg | FC 08 Villingen vs Bissingen</t>
  </si>
  <si>
    <t>TuS Koblenz</t>
  </si>
  <si>
    <t>11/04/2026 13:00 | Germany | Oberliga - Rheinland-Pfalz / Saar | Arminia Ludwigshafen vs TuS Koblenz</t>
  </si>
  <si>
    <t>11/04/2026 13:00 | Germany | Oberliga - Rheinland-Pfalz / Saar | Wormatia Worms vs Dudenhofen</t>
  </si>
  <si>
    <t>Hertha Wiesbach</t>
  </si>
  <si>
    <t>11/04/2026 13:00 | Germany | Oberliga - Rheinland-Pfalz / Saar | TuS RW Koblenz vs Hertha Wiesbach</t>
  </si>
  <si>
    <t>Pirmasens</t>
  </si>
  <si>
    <t>11/04/2026 13:00 | Germany | Oberliga - Rheinland-Pfalz / Saar | Pirmasens vs SC Idar-Oberstein</t>
  </si>
  <si>
    <t>Dynamo Schwerin</t>
  </si>
  <si>
    <t>11/04/2026 13:00 | Germany | Oberliga - Nordost-Nord | Siedenbollentin vs Dynamo Schwerin</t>
  </si>
  <si>
    <t>11/04/2026 13:00 | Germany | Oberliga - Nordost-Nord | Optik Rathenow vs Union Klosterfelde</t>
  </si>
  <si>
    <t>Viktoria Berlin</t>
  </si>
  <si>
    <t>11/04/2026 13:00 | Germany | Oberliga - Nordost-Nord | Anker Wismar vs Viktoria Berlin</t>
  </si>
  <si>
    <t>11/04/2026 13:00 | Germany | Oberliga - Nordost-Süd | SC Freital vs Einheit Rudolstadt</t>
  </si>
  <si>
    <t>11/04/2026 13:00 | Germany | Oberliga - Nordost-Süd | Bischofswerdaer FV vs Heiligenstadt</t>
  </si>
  <si>
    <t>11/04/2026 13:00 | Germany | Oberliga - Hessen | FC Gießen vs Waldgirmes</t>
  </si>
  <si>
    <t>BFC Dynamo</t>
  </si>
  <si>
    <t>11/04/2026 13:00 | Germany | Regionalliga - Nordost | BFC Dynamo vs Hertha Zehlendorf</t>
  </si>
  <si>
    <t>Eilenburg</t>
  </si>
  <si>
    <t>11/04/2026 13:00 | Germany | Regionalliga - Nordost | Luckenwalde vs Eilenburg</t>
  </si>
  <si>
    <t>11/04/2026 13:00 | Germany | Regionalliga - Nordost | FC Rot-Weiß Erfurt vs SV Babelsberg 03</t>
  </si>
  <si>
    <t>Chemnitzer FC</t>
  </si>
  <si>
    <t>Hertha BSC II</t>
  </si>
  <si>
    <t>11/04/2026 13:00 | Germany | Regionalliga - Nordost | Chemnitzer FC vs Hertha BSC II</t>
  </si>
  <si>
    <t>Altona 93</t>
  </si>
  <si>
    <t>11/04/2026 13:00 | Germany | Regionalliga - Nord | Schöningen vs Altona 93</t>
  </si>
  <si>
    <t>11/04/2026 13:00 | Germany | Regionalliga - Nord | Phönix Lübeck vs Hannover 96 II</t>
  </si>
  <si>
    <t>Buchbach</t>
  </si>
  <si>
    <t>11/04/2026 13:00 | Germany | Regionalliga - Bayern | Aubstadt vs Buchbach</t>
  </si>
  <si>
    <t>11/04/2026 13:00 | Germany | Regionalliga - Bayern | Ansbach vs Hankofen-Hailing</t>
  </si>
  <si>
    <t>SpVgg Unterhaching</t>
  </si>
  <si>
    <t>11/04/2026 13:00 | Germany | Regionalliga - Bayern | SpVgg Unterhaching vs Schwaben Augsburg</t>
  </si>
  <si>
    <t>Viktoria Aschaffenburg</t>
  </si>
  <si>
    <t>11/04/2026 13:00 | Germany | Regionalliga - Bayern | Augsburg II vs Viktoria Aschaffenburg</t>
  </si>
  <si>
    <t>11/04/2026 13:00 | Germany | Regionalliga - Bayern | Greuther Fürth II vs Memmingen</t>
  </si>
  <si>
    <t>Eichstätt</t>
  </si>
  <si>
    <t>11/04/2026 13:00 | Germany | Regionalliga - Bayern | Vilzing vs Eichstätt</t>
  </si>
  <si>
    <t>11/04/2026 13:00 | Germany | Regionalliga - SudWest | Stuttgarter Kickers vs FSV Frankfurt</t>
  </si>
  <si>
    <t>11/04/2026 13:00 | Germany | Regionalliga - SudWest | FC Astoria Walldorf vs Hessen Kassel</t>
  </si>
  <si>
    <t>FSV Mainz 05 II</t>
  </si>
  <si>
    <t>11/04/2026 13:00 | Germany | Regionalliga - SudWest | FSV Mainz 05 II vs Bahlinger SC</t>
  </si>
  <si>
    <t>11/04/2026 13:00 | Germany | Regionalliga - SudWest | Kickers Offenbach vs Balingen</t>
  </si>
  <si>
    <t>11/04/2026 13:00 | Germany | Regionalliga - SudWest | FC 08 Homburg vs SGV Freiberg</t>
  </si>
  <si>
    <t>Landsberg</t>
  </si>
  <si>
    <t>11/04/2026 13:00 | Germany | Oberliga - Bayern Süd | Landsberg vs Nordlingen</t>
  </si>
  <si>
    <t>Sturm Hauzenberg</t>
  </si>
  <si>
    <t>11/04/2026 13:00 | Germany | Oberliga - Bayern Süd | Kottern vs Sturm Hauzenberg</t>
  </si>
  <si>
    <t>Gundelfingen</t>
  </si>
  <si>
    <t>11/04/2026 13:00 | Germany | Oberliga - Bayern Süd | Deisenhofen vs Gundelfingen</t>
  </si>
  <si>
    <t>Nordmark Satrup</t>
  </si>
  <si>
    <t>11/04/2026 13:00 | Germany | Oberliga - Schleswig-Holstein | Nordmark Satrup vs Kaltenkirchen</t>
  </si>
  <si>
    <t>Union Neumünster</t>
  </si>
  <si>
    <t>11/04/2026 13:00 | Germany | Oberliga - Schleswig-Holstein | Heider SV vs Union Neumünster</t>
  </si>
  <si>
    <t>Ingolstadt II</t>
  </si>
  <si>
    <t>Gebenbach</t>
  </si>
  <si>
    <t>11/04/2026 13:00 | Germany | Oberliga - Bayern Nord | Ingolstadt II vs Gebenbach</t>
  </si>
  <si>
    <t>11/04/2026 13:00 | Germany | Oberliga - Bayern Nord | Eintracht Bamberg vs ATSV Erlangen</t>
  </si>
  <si>
    <t>Sportfreunde Siegen</t>
  </si>
  <si>
    <t>11/04/2026 13:00 | Germany | Regionalliga - West | Rot-weiss Oberhausen vs Sportfreunde Siegen</t>
  </si>
  <si>
    <t>11/04/2026 13:00 | Germany | Regionalliga - West | FC Bocholt vs SV Rodinghausen</t>
  </si>
  <si>
    <t>11/04/2026 13:00 | Germany | Regionalliga - West | Borussia M'gladbach II vs Sportfreunde Lotte</t>
  </si>
  <si>
    <t>11/04/2026 13:00 | Germany | Regionalliga - West | Fortuna Düsseldorf II vs Wiedenbrück</t>
  </si>
  <si>
    <t>Widzew II</t>
  </si>
  <si>
    <t>11/04/2026 13:00 | Poland | III Liga - Group 1 | Lechia T. Mazowiecki vs Widzew II</t>
  </si>
  <si>
    <t>Znicz Biała Piska</t>
  </si>
  <si>
    <t>11/04/2026 13:00 | Poland | III Liga - Group 1 | Znicz Biała Piska vs Broń Radom</t>
  </si>
  <si>
    <t>11/04/2026 13:00 | Poland | III Liga - Group 2 | Tłuchowia vs Kluczevia Stargard</t>
  </si>
  <si>
    <t>VfR Neumünster</t>
  </si>
  <si>
    <t>11/04/2026 13:00 | Germany | Oberliga - Schleswig-Holstein | Hohenwestedt vs VfR Neumünster</t>
  </si>
  <si>
    <t>11/04/2026 13:00 | Germany | Oberliga - Bremen | Brinkumer SV vs Blumenthaler SV</t>
  </si>
  <si>
    <t>11/04/2026 13:00 | Hungary | NB III - Southwest | Dombóvári vs MTK Budapest II</t>
  </si>
  <si>
    <t>11/04/2026 13:00 | Hungary | NB III - Northeast | Debrecen II vs Eger</t>
  </si>
  <si>
    <t>11/04/2026 13:00 | Hungary | NB III - Northeast | Cigand SE vs Sényő Carnifex</t>
  </si>
  <si>
    <t>Sevilla Atletico</t>
  </si>
  <si>
    <t>11/04/2026 13:00 | Spain | Primera División RFEF - Group 2 | Sevilla Atletico vs Sabadell</t>
  </si>
  <si>
    <t>Maccabi Nujeidat Ahmed</t>
  </si>
  <si>
    <t>11/04/2026 13:00 | Israel | Liga Alef | Hapoel Umm al-Fahm vs Maccabi Nujeidat Ahmed</t>
  </si>
  <si>
    <t>Kfar Saba 1928</t>
  </si>
  <si>
    <t>11/04/2026 13:00 | Israel | Liga Alef | Hapoel Marmorek vs Kfar Saba 1928</t>
  </si>
  <si>
    <t>11/04/2026 13:00 | Czech-Republic | 4. liga - Divizie D | Humpolec vs Ždírec nad Doubravou</t>
  </si>
  <si>
    <t>11/04/2026 13:00 | Norway | Eliteserien | Lillestrom vs Start</t>
  </si>
  <si>
    <t>Stromsgodset</t>
  </si>
  <si>
    <t>11/04/2026 13:00 | Norway | 1. Division | Haugesund vs Stromsgodset</t>
  </si>
  <si>
    <t>Sandnes ULF</t>
  </si>
  <si>
    <t>11/04/2026 13:00 | Norway | 1. Division | Sandnes ULF vs ODD Ballklubb</t>
  </si>
  <si>
    <t>11/04/2026 13:00 | Norway | 1. Division | Sogndal vs Lyn</t>
  </si>
  <si>
    <t>11/04/2026 13:00 | Norway | 1. Division | Strommen vs Egersund</t>
  </si>
  <si>
    <t>2. Division - Group 1</t>
  </si>
  <si>
    <t>Pors Grenland</t>
  </si>
  <si>
    <t>11/04/2026 13:00 | Norway | 2. Division - Group 1 | Brattvåg vs Pors Grenland</t>
  </si>
  <si>
    <t>11/04/2026 13:00 | Norway | 2. Division - Group 1 | Sandviken vs Sotra</t>
  </si>
  <si>
    <t>Grorud</t>
  </si>
  <si>
    <t>Eidsvold</t>
  </si>
  <si>
    <t>11/04/2026 13:00 | Norway | 2. Division - Group 2 | Grorud vs Eidsvold</t>
  </si>
  <si>
    <t>11/04/2026 13:00 | Norway | 2. Division - Group 2 | Levanger vs Kjelsås</t>
  </si>
  <si>
    <t>Bærum</t>
  </si>
  <si>
    <t>Gamle Oslo</t>
  </si>
  <si>
    <t>11/04/2026 13:00 | Norway | 3. Division - Girone 1 | Bærum vs Gamle Oslo</t>
  </si>
  <si>
    <t>Strindheim</t>
  </si>
  <si>
    <t>Byåsen</t>
  </si>
  <si>
    <t>11/04/2026 13:00 | Norway | 3. Division - Girone 2 | Strindheim vs Byåsen</t>
  </si>
  <si>
    <t>3. Division - Girone 3</t>
  </si>
  <si>
    <t>Fana</t>
  </si>
  <si>
    <t>Varegg</t>
  </si>
  <si>
    <t>11/04/2026 13:00 | Norway | 3. Division - Girone 3 | Fana vs Varegg</t>
  </si>
  <si>
    <t>Os</t>
  </si>
  <si>
    <t>Gneist</t>
  </si>
  <si>
    <t>11/04/2026 13:00 | Norway | 3. Division - Girone 3 | Os vs Gneist</t>
  </si>
  <si>
    <t>Stord</t>
  </si>
  <si>
    <t>Austevoll</t>
  </si>
  <si>
    <t>11/04/2026 13:00 | Norway | 3. Division - Girone 3 | Stord vs Austevoll</t>
  </si>
  <si>
    <t>Madla</t>
  </si>
  <si>
    <t>Varhaug</t>
  </si>
  <si>
    <t>11/04/2026 13:00 | Norway | 3. Division - Girone 4 | Madla vs Varhaug</t>
  </si>
  <si>
    <t>3. Division - Girone 6</t>
  </si>
  <si>
    <t>Drøbak / Frogn</t>
  </si>
  <si>
    <t>Oppsal</t>
  </si>
  <si>
    <t>11/04/2026 13:00 | Norway | 3. Division - Girone 6 | Drøbak / Frogn vs Oppsal</t>
  </si>
  <si>
    <t>Gjøvik-Lyn</t>
  </si>
  <si>
    <t>Bjørkelangen</t>
  </si>
  <si>
    <t>11/04/2026 13:00 | Norway | 3. Division - Girone 6 | Gjøvik-Lyn vs Bjørkelangen</t>
  </si>
  <si>
    <t>11/04/2026 13:00 | Burundi | Ligue A | Garage Express vs Muzinga</t>
  </si>
  <si>
    <t>11/04/2026 13:00 | Faroe-Islands | 1. Deild | Suduroy vs HB II</t>
  </si>
  <si>
    <t>Dila</t>
  </si>
  <si>
    <t>Rustavi</t>
  </si>
  <si>
    <t>11/04/2026 13:00 | Georgia | Erovnuli Liga | Dila vs Rustavi</t>
  </si>
  <si>
    <t>11/04/2026 13:00 | World | Friendlies Clubs | HJS Akatemia vs Reipas</t>
  </si>
  <si>
    <t>11/04/2026 13:00 | Netherlands | U21 Divisie 1 | Willem II U21 vs Groningen U21</t>
  </si>
  <si>
    <t>Oskarshamns AIK</t>
  </si>
  <si>
    <t>Staffanstorp United</t>
  </si>
  <si>
    <t>11/04/2026 13:00 | Sweden | Division 2 - Östra Götaland | Oskarshamns AIK vs Staffanstorp United</t>
  </si>
  <si>
    <t>Karlshamn</t>
  </si>
  <si>
    <t>11/04/2026 13:00 | Sweden | Division 2 - Östra Götaland | Torns vs Karlshamn</t>
  </si>
  <si>
    <t>Fittja</t>
  </si>
  <si>
    <t>Sleipner</t>
  </si>
  <si>
    <t>11/04/2026 13:00 | Sweden | Division 2 - Södra Svealand | Fittja vs Sleipner</t>
  </si>
  <si>
    <t>Dalstorps</t>
  </si>
  <si>
    <t>Qviding FIF</t>
  </si>
  <si>
    <t>11/04/2026 13:00 | Sweden | Division 2 - Västra Götaland | Dalstorps vs Qviding FIF</t>
  </si>
  <si>
    <t>Kabati Youth FC</t>
  </si>
  <si>
    <t>11/04/2026 13:00 | Kenya | Super League | Darajani Gogo vs Kabati Youth FC</t>
  </si>
  <si>
    <t>11/04/2026 13:00 | Cameroon | Elite Two | Sable vs Les Astres</t>
  </si>
  <si>
    <t>FC jazz</t>
  </si>
  <si>
    <t>PKKU</t>
  </si>
  <si>
    <t>11/04/2026 13:00 | Finland | Ykkönen | FC jazz vs PKKU</t>
  </si>
  <si>
    <t>Eintracht Braunsch U19</t>
  </si>
  <si>
    <t>11/04/2026 13:00 | Germany | U19 Bundesliga | SC Borea Dresden U19 vs Eintracht Braunsch U19</t>
  </si>
  <si>
    <t>Eintracht Frankf U19</t>
  </si>
  <si>
    <t>11/04/2026 13:00 | Germany | U19 Bundesliga | SGV Freiberg Fussball U19 vs Eintracht Frankf U19</t>
  </si>
  <si>
    <t>Barito Putera</t>
  </si>
  <si>
    <t>PSS Sleman</t>
  </si>
  <si>
    <t>11/04/2026 13:00 | Indonesia | Liga 2 | Barito Putera vs PSS Sleman</t>
  </si>
  <si>
    <t>Johvi Phoenix</t>
  </si>
  <si>
    <t>11/04/2026 13:00 | Estonia | Esiliiga B | Johvi Phoenix vs Tulevik</t>
  </si>
  <si>
    <t>Mtarfa</t>
  </si>
  <si>
    <t>11/04/2026 13:00 | Malta | Challenge League | Marsa vs Mtarfa</t>
  </si>
  <si>
    <t>Ravshan</t>
  </si>
  <si>
    <t>Eskhata</t>
  </si>
  <si>
    <t>11/04/2026 13:00 | Tajikistan | Vysshaya Liga | Ravshan vs Eskhata</t>
  </si>
  <si>
    <t>Regar-TadAZ</t>
  </si>
  <si>
    <t>Khosilot Farkhor</t>
  </si>
  <si>
    <t>11/04/2026 13:00 | Tajikistan | Vysshaya Liga | Regar-TadAZ vs Khosilot Farkhor</t>
  </si>
  <si>
    <t>Komárno W</t>
  </si>
  <si>
    <t>Spartak Trnava W</t>
  </si>
  <si>
    <t>11/04/2026 13:00 | Slovakia | I Liga - Women | Komárno W vs Spartak Trnava W</t>
  </si>
  <si>
    <t>Molodechno-DYuSSh 4</t>
  </si>
  <si>
    <t>Orsha</t>
  </si>
  <si>
    <t>11/04/2026 13:00 | Belarus | 1. Division | Molodechno-DYuSSh 4 vs Orsha</t>
  </si>
  <si>
    <t>Ostrovets FC</t>
  </si>
  <si>
    <t>Minsk II</t>
  </si>
  <si>
    <t>11/04/2026 13:00 | Belarus | 1. Division | Ostrovets FC vs Minsk II</t>
  </si>
  <si>
    <t>Partizán Bardejov  W</t>
  </si>
  <si>
    <t>11/04/2026 13:00 | Slovakia | I Liga - Women | Partizán Bardejov  W vs Spartak Myjava W</t>
  </si>
  <si>
    <t>Tatran Prešov W</t>
  </si>
  <si>
    <t>Petržalka W</t>
  </si>
  <si>
    <t>11/04/2026 13:00 | Slovakia | I Liga - Women | Tatran Prešov W vs Petržalka W</t>
  </si>
  <si>
    <t>11/04/2026 13:00 | Russia | First League | Chayka vs Enisey</t>
  </si>
  <si>
    <t>Linfield</t>
  </si>
  <si>
    <t>Larne</t>
  </si>
  <si>
    <t>11/04/2026 13:00 | Northern-Ireland | Premiership | Linfield vs Larne</t>
  </si>
  <si>
    <t>Astrakhan</t>
  </si>
  <si>
    <t>Rubin Yalta</t>
  </si>
  <si>
    <t>11/04/2026 13:00 | Russia | Second League - Group 1 | Astrakhan vs Rubin Yalta</t>
  </si>
  <si>
    <t>Pobeda</t>
  </si>
  <si>
    <t>Kyzyltash</t>
  </si>
  <si>
    <t>11/04/2026 13:00 | Russia | Second League - Group 1 | Pobeda vs Kyzyltash</t>
  </si>
  <si>
    <t>Izberbash</t>
  </si>
  <si>
    <t>Sevastopol</t>
  </si>
  <si>
    <t>11/04/2026 13:00 | Russia | Second League - Group 1 | Izberbash vs Sevastopol</t>
  </si>
  <si>
    <t>Lugansk</t>
  </si>
  <si>
    <t>Druzhba</t>
  </si>
  <si>
    <t>11/04/2026 13:00 | Russia | Second League - Group 1 | Lugansk vs Druzhba</t>
  </si>
  <si>
    <t>Shahter Taganrog</t>
  </si>
  <si>
    <t>Angust Nazran</t>
  </si>
  <si>
    <t>11/04/2026 13:00 | Russia | Second League - Group 1 | Shahter Taganrog vs Angust Nazran</t>
  </si>
  <si>
    <t>11/04/2026 13:00 | Denmark | 1. Division | Aarhus Fremad vs B 93</t>
  </si>
  <si>
    <t>Hong Kong W</t>
  </si>
  <si>
    <t>Indonesia W</t>
  </si>
  <si>
    <t>11/04/2026 13:00 | World | Friendlies Women | Hong Kong W vs Indonesia W</t>
  </si>
  <si>
    <t>HauPa</t>
  </si>
  <si>
    <t>GBK</t>
  </si>
  <si>
    <t>11/04/2026 13:00 | Finland | Suomen Cup | HauPa vs GBK</t>
  </si>
  <si>
    <t>VG-62</t>
  </si>
  <si>
    <t>Kraft</t>
  </si>
  <si>
    <t>11/04/2026 13:00 | Finland | Suomen Cup | VG-62 vs Kraft</t>
  </si>
  <si>
    <t>LappBK</t>
  </si>
  <si>
    <t>Virkiä</t>
  </si>
  <si>
    <t>11/04/2026 13:00 | Finland | Suomen Cup | LappBK vs Virkiä</t>
  </si>
  <si>
    <t>Roskilde</t>
  </si>
  <si>
    <t>Vendsyssel FF</t>
  </si>
  <si>
    <t>11/04/2026 13:00 | Denmark | 2. Division | Roskilde vs Vendsyssel FF</t>
  </si>
  <si>
    <t>Thisted FC</t>
  </si>
  <si>
    <t>11/04/2026 13:00 | Denmark | 2. Division | Thisted FC vs Naestved</t>
  </si>
  <si>
    <t>11/04/2026 13:00 | Denmark | 2. Division | Ishøj vs Fremad Amager</t>
  </si>
  <si>
    <t>11/04/2026 13:00 | Denmark | 2. Division | Skive vs Brabrand</t>
  </si>
  <si>
    <t>11/04/2026 13:00 | Denmark | 3. Division | Brønshøj vs Næsby</t>
  </si>
  <si>
    <t>11/04/2026 13:00 | Denmark | 3. Division | Hørsholm-Usserød vs Nykobing FC</t>
  </si>
  <si>
    <t>11/04/2026 13:00 | Denmark | 3. Division | Vanløse vs FA 2000</t>
  </si>
  <si>
    <t>11/04/2026 13:00 | Denmark | 3. Division | Lyseng vs Frem</t>
  </si>
  <si>
    <t>11/04/2026 13:00 | Denmark | 3. Division | Odder vs Holbæk B&amp;I</t>
  </si>
  <si>
    <t>11/04/2026 13:00 | Denmark | 3. Division | Sundby vs Vejgaard B</t>
  </si>
  <si>
    <t>Cearense U20</t>
  </si>
  <si>
    <t>Ferroviario U20</t>
  </si>
  <si>
    <t>Caucaia U20</t>
  </si>
  <si>
    <t>11/04/2026 13:00 | Brazil | Cearense U20 | Ferroviario U20 vs Caucaia U20</t>
  </si>
  <si>
    <t>11/04/2026 13:30</t>
  </si>
  <si>
    <t>11/04/2026 13:30 | Ukraine | Premier League | Metalist 1925 Kharkiv vs Dynamo Kyiv</t>
  </si>
  <si>
    <t>Austria Salzburg</t>
  </si>
  <si>
    <t>11/04/2026 13:30 | Austria | 2. Liga | Austria Salzburg vs Admira Wacker</t>
  </si>
  <si>
    <t>FC Liefering</t>
  </si>
  <si>
    <t>Floridsdorfer AC</t>
  </si>
  <si>
    <t>11/04/2026 13:30 | Austria | 2. Liga | FC Liefering vs Floridsdorfer AC</t>
  </si>
  <si>
    <t>11/04/2026 13:30 | Netherlands | Tweede Divisie | Excelsior Maassluis vs Quick Boys</t>
  </si>
  <si>
    <t>11/04/2026 13:30 | Netherlands | Tweede Divisie | GVVV Veenendaal vs HHC</t>
  </si>
  <si>
    <t>11/04/2026 13:30 | Netherlands | Tweede Divisie | Koninklijke HFC vs Barendrecht</t>
  </si>
  <si>
    <t>11/04/2026 13:30 | Netherlands | Tweede Divisie | Hoek vs Kozakken Boys</t>
  </si>
  <si>
    <t>11/04/2026 13:30 | Netherlands | Tweede Divisie | RKAV Volendam vs Ijsselmeervogels</t>
  </si>
  <si>
    <t>11/04/2026 13:30 | Germany | Oberliga - Baden-Württemberg | Essingen vs Backnang</t>
  </si>
  <si>
    <t>11/04/2026 13:30 | Germany | Oberliga - Hessen | TuBa Pohlheim vs Hanau 93</t>
  </si>
  <si>
    <t>Harksheide</t>
  </si>
  <si>
    <t>11/04/2026 13:30 | Germany | Oberliga - Hamburg | Nikola Tesla vs Harksheide</t>
  </si>
  <si>
    <t>11/04/2026 13:30 | Poland | III Liga - Group 4 | Chełmianka Chełm vs Pogoń-Sokół Lubaczów</t>
  </si>
  <si>
    <t>Eutiner SV</t>
  </si>
  <si>
    <t>11/04/2026 13:30 | Germany | Oberliga - Schleswig-Holstein | Preußen Reinfeld vs Eutiner SV</t>
  </si>
  <si>
    <t>ROHDA Raalte</t>
  </si>
  <si>
    <t>11/04/2026 13:30 | Netherlands | Derde Divisie - Saturday | Excelsior '31 vs ROHDA Raalte</t>
  </si>
  <si>
    <t>11/04/2026 13:30 | Netherlands | Derde Divisie - Saturday | SC Genemuiden vs TEC</t>
  </si>
  <si>
    <t>11/04/2026 13:30 | Netherlands | Derde Divisie - Saturday | Huizen vs Staphorst</t>
  </si>
  <si>
    <t>11/04/2026 13:30 | Netherlands | Derde Divisie - Saturday | Eemdijk vs URK</t>
  </si>
  <si>
    <t>11/04/2026 13:30 | Netherlands | Derde Divisie - Saturday | ADO '20 vs Harkemase Boys</t>
  </si>
  <si>
    <t>11/04/2026 13:30 | Netherlands | Derde Divisie - Sunday | SteDoCo vs SVV Scheveningen</t>
  </si>
  <si>
    <t>11/04/2026 13:30 | Netherlands | Derde Divisie - Sunday | FC Lisse vs Vvsb</t>
  </si>
  <si>
    <t>11/04/2026 13:30 | Netherlands | Derde Divisie - Sunday | Noordwijk vs Zwaluwen</t>
  </si>
  <si>
    <t>11/04/2026 13:30 | Italy | Serie C - Girone A | Lumezzane vs Union Brescia</t>
  </si>
  <si>
    <t>Triestina</t>
  </si>
  <si>
    <t>11/04/2026 13:30 | Italy | Serie C - Girone A | Triestina vs Giana Erminio</t>
  </si>
  <si>
    <t>Virtus Verona</t>
  </si>
  <si>
    <t>11/04/2026 13:30 | Italy | Serie C - Girone A | Pergolettese vs Virtus Verona</t>
  </si>
  <si>
    <t>Bra</t>
  </si>
  <si>
    <t>11/04/2026 13:30 | Italy | Serie C - Girone B | Campobasso FC vs Bra</t>
  </si>
  <si>
    <t>11/04/2026 13:30 | Italy | Serie C - Girone B | Gubbio vs Pianese</t>
  </si>
  <si>
    <t>11/04/2026 13:30 | Italy | Serie C - Girone B | Pineto vs Torres</t>
  </si>
  <si>
    <t>11/04/2026 13:30 | Italy | Campionato Primavera - 2 | Brescia U19 vs Renate U19</t>
  </si>
  <si>
    <t>Chiangrai United</t>
  </si>
  <si>
    <t>11/04/2026 13:30 | Thailand | Thai League 1 | Chiangrai United vs Sukhothai FC</t>
  </si>
  <si>
    <t>Lørenskog</t>
  </si>
  <si>
    <t>11/04/2026 13:30 | Norway | 2. Division - Group 2 | Lørenskog vs Stjørdals-Blink</t>
  </si>
  <si>
    <t>11/04/2026 13:30 | Faroe-Islands | 1. Deild | B36 II vs TB</t>
  </si>
  <si>
    <t>Lebanon</t>
  </si>
  <si>
    <t>Al Nejmeh</t>
  </si>
  <si>
    <t>11/04/2026 13:30 | Lebanon | Premier League | Al Nejmeh vs Racing</t>
  </si>
  <si>
    <t>11/04/2026 13:30 | Netherlands | U19 Divisie 1 | Ajax U19 vs FC Volendam U19</t>
  </si>
  <si>
    <t>IFK Luleå</t>
  </si>
  <si>
    <t>Täfteå</t>
  </si>
  <si>
    <t>11/04/2026 13:30 | Sweden | Division 2 - Norrland | IFK Luleå vs Täfteå</t>
  </si>
  <si>
    <t>Ilbirs</t>
  </si>
  <si>
    <t>11/04/2026 13:30 | Kyrgyzstan | Premier League | Asia Talas vs Ilbirs</t>
  </si>
  <si>
    <t>11/04/2026 13:30 | Brazil | Goiano U20 | Aparecidense U20 vs Guanabara City U20</t>
  </si>
  <si>
    <t>11/04/2026 13:30 | Brazil | Goiano U20 | Cerrado EC U20 vs Inhumas U20</t>
  </si>
  <si>
    <t>11/04/2026 13:30 | Brazil | Goiano U20 | Vila Nova U20 vs Atlético GO U20</t>
  </si>
  <si>
    <t>Zabbar St. Patrick</t>
  </si>
  <si>
    <t>11/04/2026 13:30 | Malta | Premier League | Birkirkara vs Zabbar St. Patrick</t>
  </si>
  <si>
    <t>Floriana</t>
  </si>
  <si>
    <t>11/04/2026 13:30 | Malta | Premier League | Naxxar Lions vs Floriana</t>
  </si>
  <si>
    <t>11/04/2026 13:30 | Denmark | 1. Division | Lyngby vs Kolding IF</t>
  </si>
  <si>
    <t>11/04/2026 13:45</t>
  </si>
  <si>
    <t>Widzew Łódź</t>
  </si>
  <si>
    <t>Nieciecza</t>
  </si>
  <si>
    <t>11/04/2026 13:45 | Poland | Ekstraklasa | Widzew Łódź vs Nieciecza</t>
  </si>
  <si>
    <t>11/04/2026 14:00</t>
  </si>
  <si>
    <t>Cagliari</t>
  </si>
  <si>
    <t>11/04/2026 14:00 | Italy | Serie A | Cagliari vs Cremonese</t>
  </si>
  <si>
    <t>11/04/2026 14:00 | Italy | Serie A | Torino vs Hellas Verona</t>
  </si>
  <si>
    <t>11/04/2026 14:00 | Slovenia | 1. SNL | Olimpija Ljubljana vs Aluminij</t>
  </si>
  <si>
    <t>Bohemians 1905</t>
  </si>
  <si>
    <t>11/04/2026 14:00 | Czech-Republic | Czech Liga | Bohemians 1905 vs Zlin</t>
  </si>
  <si>
    <t>FK Jablonec</t>
  </si>
  <si>
    <t>11/04/2026 14:00 | Czech-Republic | Czech Liga | FK Jablonec vs Baník Ostrava</t>
  </si>
  <si>
    <t>11/04/2026 14:00 | Wales | FAW Championship | Cwmbran Celtic vs Aberystwyth Town</t>
  </si>
  <si>
    <t>Pontypridd Town</t>
  </si>
  <si>
    <t>11/04/2026 14:00 | Wales | FAW Championship | Cardiff Draconians vs Pontypridd Town</t>
  </si>
  <si>
    <t>Podhale Nowy Targ</t>
  </si>
  <si>
    <t>11/04/2026 14:00 | Poland | II Liga - East | Podhale Nowy Targ vs Śląsk Wrocław II</t>
  </si>
  <si>
    <t>Farense</t>
  </si>
  <si>
    <t>11/04/2026 14:00 | Portugal | Segunda Liga | Farense vs Sporting CP B</t>
  </si>
  <si>
    <t>Çorum FK</t>
  </si>
  <si>
    <t>11/04/2026 14:00 | Turkey | 1. Lig | Pendikspor vs Çorum FK</t>
  </si>
  <si>
    <t>11/04/2026 14:00 | Austria | Regionalliga - West | Dornbirn vs Imst</t>
  </si>
  <si>
    <t>11/04/2026 14:00 | Austria | Regionalliga - West | Wals-Grünau vs Lauterach</t>
  </si>
  <si>
    <t>11/04/2026 14:00 | Netherlands | Tweede Divisie | Sparta Rotterdam II vs AFC Amsterdam</t>
  </si>
  <si>
    <t>11/04/2026 14:00 | Netherlands | Tweede Divisie | Spakenburg vs Almere City II</t>
  </si>
  <si>
    <t>Penang</t>
  </si>
  <si>
    <t>11/04/2026 14:00 | Malaysia | Super League | Imigresen vs Penang</t>
  </si>
  <si>
    <t>Sabah FA</t>
  </si>
  <si>
    <t>11/04/2026 14:00 | Malaysia | Super League | Selangor vs Sabah FA</t>
  </si>
  <si>
    <t>11/04/2026 14:00 | Italy | Campionato Primavera - 1 | Monza U20 vs Bologna U20</t>
  </si>
  <si>
    <t>11/04/2026 14:00 | Germany | Oberliga - Rheinland-Pfalz / Saar | Kaiserslautern II vs Gau-Odernheim</t>
  </si>
  <si>
    <t>11/04/2026 14:00 | Germany | Oberliga - Hessen | Darmstadt 98 II vs Eintracht Stadtallendorf</t>
  </si>
  <si>
    <t>Hünfelder SV</t>
  </si>
  <si>
    <t>11/04/2026 14:00 | Germany | Oberliga - Hessen | Hummetroth vs Hünfelder SV</t>
  </si>
  <si>
    <t>Victoria Hamburg</t>
  </si>
  <si>
    <t>11/04/2026 14:00 | Germany | Oberliga - Hamburg | Curslack-Neuengamme vs Victoria Hamburg</t>
  </si>
  <si>
    <t>Sportfreunde Schwaig</t>
  </si>
  <si>
    <t>11/04/2026 14:00 | Germany | Oberliga - Bayern Süd | Türkgücü-Ataspor vs Sportfreunde Schwaig</t>
  </si>
  <si>
    <t>11/04/2026 14:00 | Germany | Oberliga - Bayern Süd | Türkspor Augsburg vs Heimstetten</t>
  </si>
  <si>
    <t>11/04/2026 14:00 | Germany | Oberliga - Bayern Süd | Kirchanschöring vs Ismaning</t>
  </si>
  <si>
    <t>Kornburg</t>
  </si>
  <si>
    <t>11/04/2026 14:00 | Germany | Oberliga - Bayern Nord | Coburg vs Kornburg</t>
  </si>
  <si>
    <t>Jahn Regensburg II</t>
  </si>
  <si>
    <t>11/04/2026 14:00 | Germany | Oberliga - Bayern Nord | Stadeln vs Jahn Regensburg II</t>
  </si>
  <si>
    <t>ASV Neumarkt</t>
  </si>
  <si>
    <t>11/04/2026 14:00 | Germany | Oberliga - Bayern Nord | ASV Neumarkt vs Würzburger FV</t>
  </si>
  <si>
    <t>Jagiellonia II</t>
  </si>
  <si>
    <t>11/04/2026 14:00 | Poland | III Liga - Group 1 | Jagiellonia II vs Swit</t>
  </si>
  <si>
    <t>Stargard Szczeciński</t>
  </si>
  <si>
    <t>11/04/2026 14:00 | Poland | III Liga - Group 2 | Stargard Szczeciński vs Luzino</t>
  </si>
  <si>
    <t>11/04/2026 14:00 | Poland | III Liga - Group 2 | Noteć Czarnków vs Cartusia Kartuzy</t>
  </si>
  <si>
    <t>Verden 04</t>
  </si>
  <si>
    <t>11/04/2026 14:00 | Germany | Oberliga - Niedersachsen | Atlas Delmenhorst vs Verden 04</t>
  </si>
  <si>
    <t>11/04/2026 14:00 | Zambia | Super League | Green Buffaloes vs Mutondo Stars</t>
  </si>
  <si>
    <t>Prison Leopards</t>
  </si>
  <si>
    <t>11/04/2026 14:00 | Zambia | Super League | NAPSA Stars vs Prison Leopards</t>
  </si>
  <si>
    <t>Nkana</t>
  </si>
  <si>
    <t>11/04/2026 14:00 | Zambia | Super League | Power Dynamos vs Nkana</t>
  </si>
  <si>
    <t>Mines</t>
  </si>
  <si>
    <t>11/04/2026 14:00 | Zambia | Super League | Mines vs Nkwazi</t>
  </si>
  <si>
    <t>11/04/2026 14:00 | San-Marino | Campionato | Domagnano vs La Fiorita</t>
  </si>
  <si>
    <t>11/04/2026 14:00 | San-Marino | Campionato | Fiorentino vs Faetano</t>
  </si>
  <si>
    <t>San Marino Academy</t>
  </si>
  <si>
    <t>11/04/2026 14:00 | San-Marino | Campionato | San Giovanni vs San Marino Academy</t>
  </si>
  <si>
    <t>11/04/2026 14:00 | San-Marino | Campionato | Tre Penne vs Cailungo</t>
  </si>
  <si>
    <t>11/04/2026 14:00 | Switzerland | 1. Liga Promotion | Lugano II vs Basel II</t>
  </si>
  <si>
    <t>Sudtirol</t>
  </si>
  <si>
    <t>11/04/2026 14:00 | Italy | Serie B | Sudtirol vs Modena</t>
  </si>
  <si>
    <t>Virtus Entella</t>
  </si>
  <si>
    <t>11/04/2026 14:00 | Italy | Serie B | Virtus Entella vs Venezia</t>
  </si>
  <si>
    <t>11/04/2026 14:00 | Italy | Serie B | Pescara vs Sampdoria</t>
  </si>
  <si>
    <t>11/04/2026 14:00 | Italy | Serie B | Juve Stabia vs Cesena</t>
  </si>
  <si>
    <t>Siwelele</t>
  </si>
  <si>
    <t>11/04/2026 14:00 | South-Africa | Premier Soccer League | Siwelele vs Amazulu</t>
  </si>
  <si>
    <t>11/04/2026 14:00 | South-Africa | Premier Soccer League | Golden Arrows vs Durban City</t>
  </si>
  <si>
    <t>VV Scherpenzeel</t>
  </si>
  <si>
    <t>11/04/2026 14:00 | Netherlands | Derde Divisie - Saturday | Sparta Nijkerk vs VV Scherpenzeel</t>
  </si>
  <si>
    <t>11/04/2026 14:00 | Netherlands | Derde Divisie - Saturday | DVS 33 Ermelo vs Dovo</t>
  </si>
  <si>
    <t>11/04/2026 14:00 | Netherlands | Derde Divisie - Sunday | ASWH vs Rijnvogels</t>
  </si>
  <si>
    <t>Midlands Wanderers</t>
  </si>
  <si>
    <t>Casric Stars</t>
  </si>
  <si>
    <t>11/04/2026 14:00 | South-Africa | 1st Division | Midlands Wanderers vs Casric Stars</t>
  </si>
  <si>
    <t>Lerumo Lions</t>
  </si>
  <si>
    <t>11/04/2026 14:00 | South-Africa | 1st Division | The Bees vs Lerumo Lions</t>
  </si>
  <si>
    <t>Hungry Lions</t>
  </si>
  <si>
    <t>11/04/2026 14:00 | South-Africa | 1st Division | Hungry Lions vs Venda FC</t>
  </si>
  <si>
    <t>Black Leopards</t>
  </si>
  <si>
    <t>University of Pretoria</t>
  </si>
  <si>
    <t>11/04/2026 14:00 | South-Africa | 1st Division | Black Leopards vs University of Pretoria</t>
  </si>
  <si>
    <t>11/04/2026 14:00 | South-Africa | 1st Division | Gomora United FC vs Milford FC</t>
  </si>
  <si>
    <t>11/04/2026 14:00 | South-Africa | 1st Division | Baroka FC vs Leicesterfield</t>
  </si>
  <si>
    <t>Calvi Noale</t>
  </si>
  <si>
    <t>Adriese</t>
  </si>
  <si>
    <t>11/04/2026 14:00 | Italy | Serie D - Girone C | Calvi Noale vs Adriese</t>
  </si>
  <si>
    <t>Portogruaro</t>
  </si>
  <si>
    <t>11/04/2026 14:00 | Italy | Serie D - Girone C | Brian Lignano vs Portogruaro</t>
  </si>
  <si>
    <t>Serie D - Girone H</t>
  </si>
  <si>
    <t>Paganese</t>
  </si>
  <si>
    <t>Afragolese</t>
  </si>
  <si>
    <t>11/04/2026 14:00 | Italy | Serie D - Girone H | Paganese vs Afragolese</t>
  </si>
  <si>
    <t>11/04/2026 14:00 | Italy | Campionato Primavera - 2 | Vicenza U19 vs Como U19</t>
  </si>
  <si>
    <t>11/04/2026 14:00 | Italy | Campionato Primavera - 2 | Modena U19 vs Virtus Entella U19</t>
  </si>
  <si>
    <t>11/04/2026 14:00 | Italy | Campionato Primavera - 2 | Venezia U19 vs AlbinoLeffe U19</t>
  </si>
  <si>
    <t>11/04/2026 14:00 | Italy | Campionato Primavera - 2 | Padova U19 vs Cittadella U19</t>
  </si>
  <si>
    <t>11/04/2026 14:00 | Italy | Campionato Primavera - 2 | Pro Vercelli U19 vs Sudtirol U19</t>
  </si>
  <si>
    <t>11/04/2026 14:00 | Italy | Campionato Primavera - 2 | Spezia U19 vs Perugia U19</t>
  </si>
  <si>
    <t>11/04/2026 14:00 | Italy | Campionato Primavera - 2 | Monopoli U19 vs Palermo U19</t>
  </si>
  <si>
    <t>11/04/2026 14:00 | Italy | Campionato Primavera - 2 | Bari U19 vs Cosenza U19</t>
  </si>
  <si>
    <t>11/04/2026 14:00 | Italy | Campionato Primavera - 2 | Sampdoria U19 vs Reggiana U19</t>
  </si>
  <si>
    <t>11/04/2026 14:00 | Italy | Campionato Primavera - 2 | Lecco U19 vs Udinese U19</t>
  </si>
  <si>
    <t>11/04/2026 14:00 | Italy | Campionato Primavera - 2 | Pisa U19 vs Catanzaro U19</t>
  </si>
  <si>
    <t>11/04/2026 14:00 | Italy | Campionato Primavera - 2 | Salernitana U19 vs Empoli U19</t>
  </si>
  <si>
    <t>11/04/2026 14:00 | Czech-Republic | 3. liga - MSFL | Start Brno vs Sigma Olomouc II</t>
  </si>
  <si>
    <t>11/04/2026 14:00 | Czech-Republic | 4. liga - Divizie F | Břidličná vs Valašské Meziříčí</t>
  </si>
  <si>
    <t>Baník Souš</t>
  </si>
  <si>
    <t>11/04/2026 14:00 | Czech-Republic | 3. liga - CFL B | Baník Souš vs Benátky nad Jizerou</t>
  </si>
  <si>
    <t>Allsvenskan</t>
  </si>
  <si>
    <t>11/04/2026 14:00 | Sweden | Allsvenskan | IFK Goteborg vs BK Hacken</t>
  </si>
  <si>
    <t>Orgryte IS</t>
  </si>
  <si>
    <t>11/04/2026 14:00 | Sweden | Allsvenskan | Mjallby AIF vs Orgryte IS</t>
  </si>
  <si>
    <t>11/04/2026 14:00 | Sweden | Allsvenskan | Vasteras SK FK vs IF Elfsborg</t>
  </si>
  <si>
    <t>11/04/2026 14:00 | Zimbabwe | Premier Soccer League | Bulawayo Chiefs vs Scotland Mabvuku</t>
  </si>
  <si>
    <t>11/04/2026 14:00 | Zimbabwe | Premier Soccer League | Hardrock vs Agama</t>
  </si>
  <si>
    <t>Hunters</t>
  </si>
  <si>
    <t>11/04/2026 14:00 | Zimbabwe | Premier Soccer League | Hunters vs CAPS United</t>
  </si>
  <si>
    <t>Triangle United</t>
  </si>
  <si>
    <t>11/04/2026 14:00 | Zimbabwe | Premier Soccer League | Ngezi Platinum vs Triangle United</t>
  </si>
  <si>
    <t>11/04/2026 14:00 | Zimbabwe | Premier Soccer League | TelOne vs Chicken Inn</t>
  </si>
  <si>
    <t>Lysekloster</t>
  </si>
  <si>
    <t>Vidar</t>
  </si>
  <si>
    <t>11/04/2026 14:00 | Norway | 2. Division - Group 1 | Lysekloster vs Vidar</t>
  </si>
  <si>
    <t>Aalesund II</t>
  </si>
  <si>
    <t>Kvik Trondheim</t>
  </si>
  <si>
    <t>11/04/2026 14:00 | Norway | 3. Division - Girone 2 | Aalesund II vs Kvik Trondheim</t>
  </si>
  <si>
    <t>Vard</t>
  </si>
  <si>
    <t>Fyllingsdalen</t>
  </si>
  <si>
    <t>11/04/2026 14:00 | Norway | 3. Division - Girone 3 | Vard vs Fyllingsdalen</t>
  </si>
  <si>
    <t>Vindbjart</t>
  </si>
  <si>
    <t>Brodd</t>
  </si>
  <si>
    <t>11/04/2026 14:00 | Norway | 3. Division - Girone 4 | Vindbjart vs Brodd</t>
  </si>
  <si>
    <t>3. Division - Girone 5</t>
  </si>
  <si>
    <t>Fløya</t>
  </si>
  <si>
    <t>11/04/2026 14:00 | Norway | 3. Division - Girone 5 | Fløya vs Alta</t>
  </si>
  <si>
    <t>Lillehammer</t>
  </si>
  <si>
    <t>Ørn Horten</t>
  </si>
  <si>
    <t>11/04/2026 14:00 | Norway | 3. Division - Girone 6 | Lillehammer vs Ørn Horten</t>
  </si>
  <si>
    <t>Råde</t>
  </si>
  <si>
    <t>Fram</t>
  </si>
  <si>
    <t>11/04/2026 14:00 | Norway | 3. Division - Girone 6 | Råde vs Fram</t>
  </si>
  <si>
    <t>Raelingen</t>
  </si>
  <si>
    <t>Elverum</t>
  </si>
  <si>
    <t>11/04/2026 14:00 | Norway | 3. Division - Girone 6 | Raelingen vs Elverum</t>
  </si>
  <si>
    <t>United Nordic</t>
  </si>
  <si>
    <t>11/04/2026 14:00 | Sweden | Superettan | United Nordic vs Helsingborg</t>
  </si>
  <si>
    <t>11/04/2026 14:00 | Faroe-Islands | 1. Deild | B71 vs Hoyvík</t>
  </si>
  <si>
    <t>11/04/2026 14:00 | Faroe-Islands | 1. Deild | EB / Streymur II vs NSÍ II</t>
  </si>
  <si>
    <t>Jwaaya FC</t>
  </si>
  <si>
    <t>Safa</t>
  </si>
  <si>
    <t>11/04/2026 14:00 | Lebanon | Premier League | Jwaaya FC vs Safa</t>
  </si>
  <si>
    <t>11/04/2026 14:00 | Netherlands | U21 Divisie 1 | ADO Den Haag II vs Twente / Heracles U21</t>
  </si>
  <si>
    <t>11/04/2026 14:00 | Netherlands | U21 Divisie 1 | De Graafschap U21 vs Sittard U21</t>
  </si>
  <si>
    <t>Lindo FF</t>
  </si>
  <si>
    <t>Syrianska FC</t>
  </si>
  <si>
    <t>11/04/2026 14:00 | Sweden | Division 2 - Södra Svealand | Lindo FF vs Syrianska FC</t>
  </si>
  <si>
    <t>Tabankulu</t>
  </si>
  <si>
    <t>Royal Leopards</t>
  </si>
  <si>
    <t>11/04/2026 14:00 | Eswatini | Premier League | Tabankulu vs Royal Leopards</t>
  </si>
  <si>
    <t>Olimp Comrat</t>
  </si>
  <si>
    <t>11/04/2026 14:00 | Moldova | Liga 1 | Făleşti vs Olimp Comrat</t>
  </si>
  <si>
    <t>Politehnica UTM</t>
  </si>
  <si>
    <t>Floreşti</t>
  </si>
  <si>
    <t>11/04/2026 14:00 | Moldova | Super Liga | Politehnica UTM vs Floreşti</t>
  </si>
  <si>
    <t>11/04/2026 14:00 | Cameroon | Elite Two | Eding Sport vs Foncha ST</t>
  </si>
  <si>
    <t>11/04/2026 14:00 | Cameroon | Elite Two | FAP vs Eding Sport</t>
  </si>
  <si>
    <t>11/04/2026 14:00 | Cameroon | Elite Two | Bafmeng United vs Racing</t>
  </si>
  <si>
    <t>Yafoot</t>
  </si>
  <si>
    <t>11/04/2026 14:00 | Cameroon | Elite Two | Kumba vs Yafoot</t>
  </si>
  <si>
    <t>11/04/2026 14:00 | Cameroon | Elite Two | Les Astres vs APEJES Academy</t>
  </si>
  <si>
    <t>11/04/2026 14:00 | Cameroon | Elite Two | Foncha ST vs Atlantic</t>
  </si>
  <si>
    <t>11/04/2026 14:00 | Cameroon | Elite Two | Tonnerre vs Bamboutos</t>
  </si>
  <si>
    <t>11/04/2026 14:00 | Cameroon | Elite Two | Union Douala vs Sable</t>
  </si>
  <si>
    <t>Union Abong-Mbang</t>
  </si>
  <si>
    <t>11/04/2026 14:00 | Cameroon | Elite Two | Union Abong-Mbang vs Avion Academy</t>
  </si>
  <si>
    <t>Uganda</t>
  </si>
  <si>
    <t>Calvary</t>
  </si>
  <si>
    <t>Buhimba Saints</t>
  </si>
  <si>
    <t>11/04/2026 14:00 | Uganda | Premier League | Calvary vs Buhimba Saints</t>
  </si>
  <si>
    <t>11/04/2026 14:00 | Bulgaria | Third League - Northeast | Aksakovo vs Ustrem Donchevo</t>
  </si>
  <si>
    <t>11/04/2026 14:00 | Bulgaria | Third League - Northeast | Botev Novi Pazar vs Ludogorets III</t>
  </si>
  <si>
    <t>Benkovski Isperih</t>
  </si>
  <si>
    <t>11/04/2026 14:00 | Bulgaria | Third League - Northeast | Chernomorets Balchik vs Benkovski Isperih</t>
  </si>
  <si>
    <t>Spartak Varna II</t>
  </si>
  <si>
    <t>11/04/2026 14:00 | Bulgaria | Third League - Northeast | Spartak Varna II vs Svetkavitsa Targovishte</t>
  </si>
  <si>
    <t>11/04/2026 14:00 | Bulgaria | Third League - Northeast | Svetkavitsa 14 vs Dorostol</t>
  </si>
  <si>
    <t>SalPa</t>
  </si>
  <si>
    <t>Tampere United</t>
  </si>
  <si>
    <t>11/04/2026 14:00 | Finland | Ykkönen | SalPa vs Tampere United</t>
  </si>
  <si>
    <t>Dynamo Dresden U19</t>
  </si>
  <si>
    <t>11/04/2026 14:00 | Germany | U19 Bundesliga | Viktoria Berlin U19 vs Dynamo Dresden U19</t>
  </si>
  <si>
    <t>Fortuna Düsseldorf U19</t>
  </si>
  <si>
    <t>11/04/2026 14:00 | Germany | U19 Bundesliga | Werder Bremen U19 vs Fortuna Düsseldorf U19</t>
  </si>
  <si>
    <t>11/04/2026 14:00 | Moldova | Super Liga | Dacia-Buiucani vs CSF Bălți</t>
  </si>
  <si>
    <t>Besa Kavajë</t>
  </si>
  <si>
    <t>11/04/2026 14:00 | Albania | 1st Division | Besa Kavajë vs Lushnja</t>
  </si>
  <si>
    <t>Burreli</t>
  </si>
  <si>
    <t>Skenderbeu Korce</t>
  </si>
  <si>
    <t>11/04/2026 14:00 | Albania | 1st Division | Burreli vs Skenderbeu Korce</t>
  </si>
  <si>
    <t>Iliria Fushë-Krujë</t>
  </si>
  <si>
    <t>Luftëtari</t>
  </si>
  <si>
    <t>11/04/2026 14:00 | Albania | 1st Division | Iliria Fushë-Krujë vs Luftëtari</t>
  </si>
  <si>
    <t>Kastrioti Krujë</t>
  </si>
  <si>
    <t>Laci</t>
  </si>
  <si>
    <t>11/04/2026 14:00 | Albania | 1st Division | Kastrioti Krujë vs Laci</t>
  </si>
  <si>
    <t>Korabi Peshkopi</t>
  </si>
  <si>
    <t>11/04/2026 14:00 | Albania | 1st Division | Korabi Peshkopi vs Apolonia Fier</t>
  </si>
  <si>
    <t>Pogradeci</t>
  </si>
  <si>
    <t>FK Kukesi</t>
  </si>
  <si>
    <t>11/04/2026 14:00 | Albania | 1st Division | Pogradeci vs FK Kukesi</t>
  </si>
  <si>
    <t>FC Vitebsk</t>
  </si>
  <si>
    <t>11/04/2026 14:00 | Belarus | Premier League | FC Vitebsk vs Bate Borisov</t>
  </si>
  <si>
    <t>11/04/2026 14:00 | Russia | Second League A - Division A Silver | Dinamo Moskva II vs Dinamo Stavropol</t>
  </si>
  <si>
    <t>Chanmari</t>
  </si>
  <si>
    <t>11/04/2026 14:00 | India | I-League | Diamond Harbour vs Chanmari</t>
  </si>
  <si>
    <t>FK Tobol Kostanay</t>
  </si>
  <si>
    <t>11/04/2026 14:00 | Kazakhstan | Premier League | FK Tobol Kostanay vs Kairat Almaty</t>
  </si>
  <si>
    <t>11/04/2026 14:00 | Latvia | 1. Liga | Tukums II vs Riga Mariners</t>
  </si>
  <si>
    <t>11/04/2026 14:00 | Kosovo | Liga E Pare | 2 Korriku vs KEK-u</t>
  </si>
  <si>
    <t>11/04/2026 14:00 | Kosovo | Liga E Pare | Feronikeli vs Vushtrria</t>
  </si>
  <si>
    <t>11/04/2026 14:00 | Kosovo | Liga E Pare | Istogu vs Vjosa</t>
  </si>
  <si>
    <t>11/04/2026 14:00 | Kosovo | Liga E Pare | Ramiz Sadiku vs Rilindja 1974</t>
  </si>
  <si>
    <t>11/04/2026 14:00 | Kosovo | Liga E Pare | Trepça Mitrovicë vs Liria Prizren</t>
  </si>
  <si>
    <t>FC Energetik-Bgu Minsk</t>
  </si>
  <si>
    <t>Niva</t>
  </si>
  <si>
    <t>11/04/2026 14:00 | Belarus | 1. Division | FC Energetik-Bgu Minsk vs Niva</t>
  </si>
  <si>
    <t>Division Intermedia</t>
  </si>
  <si>
    <t>Benjamín Aceval</t>
  </si>
  <si>
    <t>General Caballero</t>
  </si>
  <si>
    <t>11/04/2026 14:00 | Paraguay | Division Intermedia | Benjamín Aceval vs General Caballero</t>
  </si>
  <si>
    <t>Sportivo Carapeguá</t>
  </si>
  <si>
    <t>3 de Noviembre</t>
  </si>
  <si>
    <t>11/04/2026 14:00 | Paraguay | Division Intermedia | Sportivo Carapeguá vs 3 de Noviembre</t>
  </si>
  <si>
    <t>Spartak Kostroma</t>
  </si>
  <si>
    <t>11/04/2026 14:00 | Russia | First League | Chernomorets vs Spartak Kostroma</t>
  </si>
  <si>
    <t>Mineiro U20</t>
  </si>
  <si>
    <t>Athletic Club MG U20</t>
  </si>
  <si>
    <t>Inter de Minas U20</t>
  </si>
  <si>
    <t>11/04/2026 14:00 | Brazil | Mineiro U20 | Athletic Club MG U20 vs Inter de Minas U20</t>
  </si>
  <si>
    <t>Minas Boca U20</t>
  </si>
  <si>
    <t>Social U20</t>
  </si>
  <si>
    <t>11/04/2026 14:00 | Brazil | Mineiro U20 | Minas Boca U20 vs Social U20</t>
  </si>
  <si>
    <t>Albion FC</t>
  </si>
  <si>
    <t>11/04/2026 14:00 | Uruguay | Primera División - Apertura | Atletico Torque vs Albion FC</t>
  </si>
  <si>
    <t>Prishtina e Re</t>
  </si>
  <si>
    <t>11/04/2026 14:00 | Kosovo | Superliga | Prishtina e Re vs Malisheva</t>
  </si>
  <si>
    <t>SUMU</t>
  </si>
  <si>
    <t>EPS</t>
  </si>
  <si>
    <t>11/04/2026 14:00 | Finland | Suomen Cup | SUMU vs EPS</t>
  </si>
  <si>
    <t>Matlama</t>
  </si>
  <si>
    <t>Lioli</t>
  </si>
  <si>
    <t>11/04/2026 14:00 | Lesotho | Premier League | Matlama vs Lioli</t>
  </si>
  <si>
    <t>China PR U20 W</t>
  </si>
  <si>
    <t>Uzbekistan U20 W</t>
  </si>
  <si>
    <t>11/04/2026 14:00 | World | AFC U20 Asian Cup - Women | China PR U20 W vs Uzbekistan U20 W</t>
  </si>
  <si>
    <t>11/04/2026 14:15</t>
  </si>
  <si>
    <t>11/04/2026 14:15 | Hungary | NB I | Kazincbarcikai vs Ujpest</t>
  </si>
  <si>
    <t>Manzini Wanderers</t>
  </si>
  <si>
    <t>Manzini Sea Birds</t>
  </si>
  <si>
    <t>11/04/2026 14:15 | Eswatini | Premier League | Manzini Wanderers vs Manzini Sea Birds</t>
  </si>
  <si>
    <t>Amawele</t>
  </si>
  <si>
    <t>11/04/2026 14:15 | Eswatini | Premier League | Amawele vs Nsingizini Hotspurs</t>
  </si>
  <si>
    <t>Green Mamba</t>
  </si>
  <si>
    <t>11/04/2026 14:15 | Eswatini | Premier League | Green Mamba vs Ubombo Sugar</t>
  </si>
  <si>
    <t>Young Buffaloes</t>
  </si>
  <si>
    <t>Sisonkhe</t>
  </si>
  <si>
    <t>11/04/2026 14:15 | Eswatini | Premier League | Young Buffaloes vs Sisonkhe</t>
  </si>
  <si>
    <t>11/04/2026 14:30</t>
  </si>
  <si>
    <t>11/04/2026 14:30 | Germany | Bundesliga | Borussia Dortmund vs Bayer Leverkusen</t>
  </si>
  <si>
    <t>11/04/2026 14:30 | Germany | Bundesliga | 1. FC Heidenheim vs Union Berlin</t>
  </si>
  <si>
    <t>RB Leipzig</t>
  </si>
  <si>
    <t>11/04/2026 14:30 | Germany | Bundesliga | RB Leipzig vs Borussia Mönchengladbach</t>
  </si>
  <si>
    <t>11/04/2026 14:30 | Germany | Bundesliga | VfL Wolfsburg vs Eintracht Frankfurt</t>
  </si>
  <si>
    <t>Gresford Athletic</t>
  </si>
  <si>
    <t>11/04/2026 14:30 | Wales | FAW Championship | Penrhyncoch vs Gresford Athletic</t>
  </si>
  <si>
    <t>11/04/2026 14:30 | Wales | FAW Championship | Guilsfield vs Caersws</t>
  </si>
  <si>
    <t>Newtown AFC</t>
  </si>
  <si>
    <t>Llandudno</t>
  </si>
  <si>
    <t>11/04/2026 14:30 | Wales | FAW Championship | Newtown AFC vs Llandudno</t>
  </si>
  <si>
    <t>Brickfield Rangers</t>
  </si>
  <si>
    <t>11/04/2026 14:30 | Wales | FAW Championship | Mold Alexandra vs Brickfield Rangers</t>
  </si>
  <si>
    <t>11/04/2026 14:30 | Russia | Premier League | Rubin vs FC Orenburg</t>
  </si>
  <si>
    <t>11/04/2026 14:30 | Germany | Oberliga - Baden-Württemberg | Hollenbach vs VfR Mannheim</t>
  </si>
  <si>
    <t>11/04/2026 14:30 | Germany | Oberliga - Baden-Württemberg | Karlsruhe II vs VfR Aalen</t>
  </si>
  <si>
    <t>11/04/2026 14:30 | Germany | Oberliga - Baden-Württemberg | Reutlingen vs Normannia Gmünd</t>
  </si>
  <si>
    <t>11/04/2026 14:30 | Germany | Oberliga - Rheinland-Pfalz / Saar | Diefflen vs FC Emmelshausen-Karbach</t>
  </si>
  <si>
    <t>Eppelborn</t>
  </si>
  <si>
    <t>Gonsenheim</t>
  </si>
  <si>
    <t>11/04/2026 14:30 | Germany | Oberliga - Rheinland-Pfalz / Saar | Eppelborn vs Gonsenheim</t>
  </si>
  <si>
    <t>11/04/2026 14:30 | Germany | Oberliga - Niedersachsen | Lüneburger SK Hansa vs Wetschen</t>
  </si>
  <si>
    <t>11/04/2026 14:30 | Switzerland | 1. Liga Promotion | FC Schaffhausen vs Bulle</t>
  </si>
  <si>
    <t>11/04/2026 14:30 | Germany | Oberliga - Mittelrhein | Hennef 05 vs SF Düren</t>
  </si>
  <si>
    <t>11/04/2026 14:30 | Macedonia | Second League | Kozuv Gevgelija vs Sloga Vinica</t>
  </si>
  <si>
    <t>11/04/2026 14:30 | Macedonia | Second League | Novaci vs Skopje</t>
  </si>
  <si>
    <t>11/04/2026 14:30 | Macedonia | Second League | Osogovo vs Shkëndija Haraçinë</t>
  </si>
  <si>
    <t>11/04/2026 14:30 | Macedonia | Second League | Pobeda vs Belasica</t>
  </si>
  <si>
    <t>11/04/2026 14:30 | Macedonia | Second League | Sasa vs Ohrid</t>
  </si>
  <si>
    <t>11/04/2026 14:30 | Macedonia | Second League | Vardar Negotino vs Detonit Plachkovica</t>
  </si>
  <si>
    <t>11/04/2026 14:30 | Macedonia | Second League | Bregalnica Štip vs Golemo Konjari</t>
  </si>
  <si>
    <t>11/04/2026 14:30 | Macedonia | Second League | Teteks vs FK Prespa Resen</t>
  </si>
  <si>
    <t>Nico United</t>
  </si>
  <si>
    <t>Matebele</t>
  </si>
  <si>
    <t>11/04/2026 14:30 | Botswana | Premier League | Nico United vs Matebele</t>
  </si>
  <si>
    <t>BDF XI</t>
  </si>
  <si>
    <t>Sua Flamingoes</t>
  </si>
  <si>
    <t>11/04/2026 14:30 | Botswana | Premier League | BDF XI vs Sua Flamingoes</t>
  </si>
  <si>
    <t>Extension Gunners</t>
  </si>
  <si>
    <t>11/04/2026 14:30 | Botswana | Premier League | Extension Gunners vs TAFIC</t>
  </si>
  <si>
    <t>Santa Green</t>
  </si>
  <si>
    <t>Township Rollers</t>
  </si>
  <si>
    <t>11/04/2026 14:30 | Botswana | Premier League | Santa Green vs Township Rollers</t>
  </si>
  <si>
    <t>Calendar</t>
  </si>
  <si>
    <t>11/04/2026 14:30 | Botswana | Premier League | Calendar vs Morupule Wanderers</t>
  </si>
  <si>
    <t>11/04/2026 14:30 | Czech-Republic | 3. liga - MSFL | Blansko vs Zbrojovka Brno II</t>
  </si>
  <si>
    <t>11/04/2026 14:30 | Czech-Republic | 3. liga - MSFL | Unie Hlubina vs Zlín II</t>
  </si>
  <si>
    <t>11/04/2026 14:30 | Czech-Republic | 3. liga - MSFL | Hodonín vs Karviná II</t>
  </si>
  <si>
    <t>Břeclav</t>
  </si>
  <si>
    <t>11/04/2026 14:30 | Czech-Republic | 4. liga - Divizie E | Břeclav vs Uherský Brod</t>
  </si>
  <si>
    <t>11/04/2026 14:30 | Czech-Republic | 4. liga - Divizie E | Šternberk vs Nové Sady</t>
  </si>
  <si>
    <t>11/04/2026 14:30 | Czech-Republic | 4. liga - Divizie F | Petřvald na Moravě vs Šumperk</t>
  </si>
  <si>
    <t>11/04/2026 14:30 | Czech-Republic | 4. liga - Divizie F | Stonava vs Zabreh</t>
  </si>
  <si>
    <t>Carl Zeiss Jena U19</t>
  </si>
  <si>
    <t>11/04/2026 14:30 | Germany | U19 Bundesliga | Carl Zeiss Jena U19 vs Wacker Burghausen U19</t>
  </si>
  <si>
    <t>11/04/2026 14:30 | Lithuania | A Lyga | Banga vs Suduva Marijampole</t>
  </si>
  <si>
    <t>Skalica</t>
  </si>
  <si>
    <t>11/04/2026 14:30 | Slovakia | Super Liga | Ružomberok vs Skalica</t>
  </si>
  <si>
    <t>11/04/2026 14:30 | Slovakia | Super Liga | AS Trencin vs Tatran Prešov</t>
  </si>
  <si>
    <t>11/04/2026 14:30 | Slovakia | Super Liga | Podbrezová vs Žilina</t>
  </si>
  <si>
    <t>11/04/2026 14:30 | Macedonia | First League | Sileks vs Bashkimi Kumanovo</t>
  </si>
  <si>
    <t>FK Rabotnicki</t>
  </si>
  <si>
    <t>11/04/2026 14:30 | Macedonia | First League | Vardar Skopje vs FK Rabotnicki</t>
  </si>
  <si>
    <t>Ararat-Armenia</t>
  </si>
  <si>
    <t>11/04/2026 14:30 | Armenia | Premier League | Pyunik Yerevan vs Ararat-Armenia</t>
  </si>
  <si>
    <t>11/04/2026 14:45</t>
  </si>
  <si>
    <t>Oman</t>
  </si>
  <si>
    <t>Professional League</t>
  </si>
  <si>
    <t>Bahla</t>
  </si>
  <si>
    <t>Ibri</t>
  </si>
  <si>
    <t>11/04/2026 14:45 | Oman | Professional League | Bahla vs Ibri</t>
  </si>
  <si>
    <t>11/04/2026 14:50</t>
  </si>
  <si>
    <t>Dibba Al Hisn</t>
  </si>
  <si>
    <t>Gulf United</t>
  </si>
  <si>
    <t>11/04/2026 14:50 | United-Arab-Emirates | Division 1 | Dibba Al Hisn vs Gulf United</t>
  </si>
  <si>
    <t>Emirates Club</t>
  </si>
  <si>
    <t>Dubai United</t>
  </si>
  <si>
    <t>11/04/2026 14:50 | United-Arab-Emirates | Division 1 | Emirates Club vs Dubai United</t>
  </si>
  <si>
    <t>Majd</t>
  </si>
  <si>
    <t>Ittifaq</t>
  </si>
  <si>
    <t>11/04/2026 14:50 | United-Arab-Emirates | Division 1 | Majd vs Ittifaq</t>
  </si>
  <si>
    <t>Al Fujairah SC</t>
  </si>
  <si>
    <t>11/04/2026 14:50 | United-Arab-Emirates | Division 1 | Al Fujairah SC vs Al Arabi</t>
  </si>
  <si>
    <t>Hatta SC</t>
  </si>
  <si>
    <t>11/04/2026 14:50 | United-Arab-Emirates | Division 1 | Hatta SC vs Masfut</t>
  </si>
  <si>
    <t>11/04/2026 14:55</t>
  </si>
  <si>
    <t>Al-Dhafra</t>
  </si>
  <si>
    <t>Al Nasr</t>
  </si>
  <si>
    <t>11/04/2026 14:55 | United-Arab-Emirates | Pro League | Al-Dhafra vs Al Nasr</t>
  </si>
  <si>
    <t>Dibba Al-Fujairah</t>
  </si>
  <si>
    <t>11/04/2026 14:55 | United-Arab-Emirates | Pro League | Al-Jazira vs Dibba Al-Fujairah</t>
  </si>
  <si>
    <t>Pro League U23</t>
  </si>
  <si>
    <t>Al Sharjah U23</t>
  </si>
  <si>
    <t>Bani Yas U23</t>
  </si>
  <si>
    <t>11/04/2026 14:55 | United-Arab-Emirates | Pro League U23 | Al Sharjah U23 vs Bani Yas U23</t>
  </si>
  <si>
    <t>Shabab Al-Ahli Dubai U23</t>
  </si>
  <si>
    <t>Al Ain U23</t>
  </si>
  <si>
    <t>11/04/2026 14:55 | United-Arab-Emirates | Pro League U23 | Shabab Al-Ahli Dubai U23 vs Al Ain U23</t>
  </si>
  <si>
    <t>11/04/2026 15:00</t>
  </si>
  <si>
    <t>11/04/2026 15:00 | England | Premier League | Brentford vs Everton</t>
  </si>
  <si>
    <t>11/04/2026 15:00 | England | Premier League | Burnley vs Brighton</t>
  </si>
  <si>
    <t>11/04/2026 15:00 | Scotland | Football League - Highland League | Clachnacuddin vs Fraserburgh</t>
  </si>
  <si>
    <t>11/04/2026 15:00 | Scotland | Football League - Highland League | Formartine United vs Forres Mechanics</t>
  </si>
  <si>
    <t>11/04/2026 15:00 | Scotland | Football League - Highland League | Huntly vs Brora Rangers</t>
  </si>
  <si>
    <t>11/04/2026 15:00 | Scotland | Football League - Highland League | Inverurie Loco Works vs Deveronvale</t>
  </si>
  <si>
    <t>11/04/2026 15:00 | Scotland | Football League - Highland League | Lossiemouth vs Strathspey Thistle</t>
  </si>
  <si>
    <t>11/04/2026 15:00 | Scotland | Football League - Highland League | Nairn County vs Banks O' Dee</t>
  </si>
  <si>
    <t>11/04/2026 15:00 | Scotland | Football League - Highland League | Rothes vs Keith</t>
  </si>
  <si>
    <t>11/04/2026 15:00 | Scotland | Football League - Highland League | Turriff United vs Brechin</t>
  </si>
  <si>
    <t>11/04/2026 15:00 | Scotland | Football League - Highland League | Wick Academy vs Buckie Thistle</t>
  </si>
  <si>
    <t>11/04/2026 15:00 | Scotland | Premiership | Aberdeen vs Hibernian</t>
  </si>
  <si>
    <t>11/04/2026 15:00 | Scotland | Premiership | Celtic vs ST Mirren</t>
  </si>
  <si>
    <t>Dundee Utd</t>
  </si>
  <si>
    <t>11/04/2026 15:00 | Scotland | Premiership | Dundee Utd vs Livingston</t>
  </si>
  <si>
    <t>11/04/2026 15:00 | Scotland | Premiership | Heart Of Midlothian vs Motherwell</t>
  </si>
  <si>
    <t>11/04/2026 15:00 | Scotland | Premiership | Kilmarnock vs Dundee</t>
  </si>
  <si>
    <t>11/04/2026 15:00 | Scotland | Championship | Ayr Utd vs Arbroath</t>
  </si>
  <si>
    <t>11/04/2026 15:00 | Scotland | Championship | Partick vs Dunfermline</t>
  </si>
  <si>
    <t>11/04/2026 15:00 | Scotland | Championship | Raith Rovers vs Morton</t>
  </si>
  <si>
    <t>ST Johnstone</t>
  </si>
  <si>
    <t>11/04/2026 15:00 | Scotland | Championship | ST Johnstone vs Airdrie United</t>
  </si>
  <si>
    <t>11/04/2026 15:00 | Scotland | League One | East Fife vs Peterhead</t>
  </si>
  <si>
    <t>11/04/2026 15:00 | Scotland | League One | Hamilton Academical vs Alloa Athletic</t>
  </si>
  <si>
    <t>11/04/2026 15:00 | Scotland | League One | Kelty Hearts vs Montrose</t>
  </si>
  <si>
    <t>11/04/2026 15:00 | Scotland | League One | Queen of the South vs Cove Rangers</t>
  </si>
  <si>
    <t>11/04/2026 15:00 | Scotland | League Two | Dumbarton vs Stirling Albion</t>
  </si>
  <si>
    <t>11/04/2026 15:00 | Scotland | League Two | Edinburgh City vs Clyde</t>
  </si>
  <si>
    <t>11/04/2026 15:00 | Scotland | League Two | Elgin City vs Annan Athletic</t>
  </si>
  <si>
    <t>11/04/2026 15:00 | Scotland | League Two | Forfar Athletic vs East Kilbride</t>
  </si>
  <si>
    <t>11/04/2026 15:00 | Scotland | League Two | Spartans vs Stranraer</t>
  </si>
  <si>
    <t>Istra 1961</t>
  </si>
  <si>
    <t>11/04/2026 15:00 | Croatia | HNL | NK Lokomotiva Zagreb vs Istra 1961</t>
  </si>
  <si>
    <t>11/04/2026 15:00 | England | League Two | Accrington ST vs Fleetwood Town</t>
  </si>
  <si>
    <t>11/04/2026 15:00 | England | League Two | Barnet vs Barrow</t>
  </si>
  <si>
    <t>11/04/2026 15:00 | England | League Two | Cambridge United vs Notts County</t>
  </si>
  <si>
    <t>11/04/2026 15:00 | England | League Two | Chesterfield vs Tranmere</t>
  </si>
  <si>
    <t>11/04/2026 15:00 | England | League Two | Grimsby vs Crewe</t>
  </si>
  <si>
    <t>11/04/2026 15:00 | England | League Two | Salford City vs Gillingham</t>
  </si>
  <si>
    <t>11/04/2026 15:00 | England | League Two | Shrewsbury vs Oldham</t>
  </si>
  <si>
    <t>11/04/2026 15:00 | England | League Two | Walsall vs Cheltenham</t>
  </si>
  <si>
    <t>11/04/2026 15:00 | England | League Two | Newport County vs Harrogate Town</t>
  </si>
  <si>
    <t>11/04/2026 15:00 | England | Championship | Leicester vs Swansea</t>
  </si>
  <si>
    <t>11/04/2026 15:00 | England | Championship | Sheffield Utd vs Hull City</t>
  </si>
  <si>
    <t>11/04/2026 15:00 | England | Championship | Oxford United vs Watford</t>
  </si>
  <si>
    <t>11/04/2026 15:00 | England | Championship | Middlesbrough vs Portsmouth</t>
  </si>
  <si>
    <t>Stoke City</t>
  </si>
  <si>
    <t>11/04/2026 15:00 | England | Championship | Stoke City vs Blackburn</t>
  </si>
  <si>
    <t>11/04/2026 15:00 | England | Championship | Southampton vs Derby</t>
  </si>
  <si>
    <t>Preston</t>
  </si>
  <si>
    <t>11/04/2026 15:00 | England | Championship | Charlton vs Preston</t>
  </si>
  <si>
    <t>11/04/2026 15:00 | England | League One | Blackpool vs Peterborough</t>
  </si>
  <si>
    <t>11/04/2026 15:00 | England | League One | Bradford vs Stevenage</t>
  </si>
  <si>
    <t>11/04/2026 15:00 | England | League One | Burton Albion vs AFC Wimbledon</t>
  </si>
  <si>
    <t>11/04/2026 15:00 | England | League One | Doncaster vs Reading</t>
  </si>
  <si>
    <t>11/04/2026 15:00 | England | League One | Huddersfield vs Wycombe</t>
  </si>
  <si>
    <t>11/04/2026 15:00 | England | League One | Rotherham vs Barnsley</t>
  </si>
  <si>
    <t>11/04/2026 15:00 | England | League One | Wigan vs Mansfield Town</t>
  </si>
  <si>
    <t>Zeljeznicar Sarajevo</t>
  </si>
  <si>
    <t>11/04/2026 15:00 | Bosnia | Premijer Liga | Radnik Bijeljina vs Zeljeznicar Sarajevo</t>
  </si>
  <si>
    <t>Velež</t>
  </si>
  <si>
    <t>11/04/2026 15:00 | Bosnia | Premijer Liga | Velež vs Sloga Doboj</t>
  </si>
  <si>
    <t>11/04/2026 15:00 | Northern-Ireland | Premier Intermediate League | Knockbreda vs Banbridge Town</t>
  </si>
  <si>
    <t>11/04/2026 15:00 | Northern-Ireland | Premier Intermediate League | Newry City AFC vs Moyola Park</t>
  </si>
  <si>
    <t>11/04/2026 15:00 | Northern-Ireland | Premier Intermediate League | Lisburn Distillery vs Dergview</t>
  </si>
  <si>
    <t>11/04/2026 15:00 | Northern-Ireland | Premier Intermediate League | Dollingstown vs Coagh United</t>
  </si>
  <si>
    <t>11/04/2026 15:00 | Northern-Ireland | Premier Intermediate League | Oxford Sunnyside vs Ballyclare Comrades</t>
  </si>
  <si>
    <t>11/04/2026 15:00 | Northern-Ireland | Premier Intermediate League | Ballymacash Rangers vs Rathfriland</t>
  </si>
  <si>
    <t>11/04/2026 15:00 | Northern-Ireland | Premier Intermediate League | Strabane Athletic vs Portstewart</t>
  </si>
  <si>
    <t>11/04/2026 15:00 | Belgium | Challenger Pro League | RWDM vs RSC Anderlecht II</t>
  </si>
  <si>
    <t>11/04/2026 15:00 | Hungary | NB II | Budafoki LC vs Mezokovesd-zsory</t>
  </si>
  <si>
    <t>11/04/2026 15:00 | Hungary | NB II | BVSC vs Szeged 2011</t>
  </si>
  <si>
    <t>11/04/2026 15:00 | Hungary | NB II | Szentlőrinc SE vs Vasas</t>
  </si>
  <si>
    <t>11/04/2026 15:00 | Turkey | Süper Lig | Alanyaspor vs Trabzonspor</t>
  </si>
  <si>
    <t>11/04/2026 15:00 | Slovakia | 2. liga | Stará Ľubovňa vs Inter Bratislava</t>
  </si>
  <si>
    <t>11/04/2026 15:00 | Slovakia | 2. liga | Púchov vs Petržalka</t>
  </si>
  <si>
    <t>Šamorín</t>
  </si>
  <si>
    <t>Dukla Banská Bystrica</t>
  </si>
  <si>
    <t>11/04/2026 15:00 | Slovakia | 2. liga | Šamorín vs Dukla Banská Bystrica</t>
  </si>
  <si>
    <t>11/04/2026 15:00 | Slovakia | 2. liga | Lokomotíva Zvolen vs Liptovský Mikuláš</t>
  </si>
  <si>
    <t>Ranger's</t>
  </si>
  <si>
    <t>11/04/2026 15:00 | Andorra | 1a Divisió | Ranger's vs Atlètic Club d'Escaldes</t>
  </si>
  <si>
    <t>11/04/2026 15:00 | Austria | Regionalliga - West | Kitzbühel vs Lustenau</t>
  </si>
  <si>
    <t>11/04/2026 15:00 | England | National League | Aldershot Town vs Gateshead</t>
  </si>
  <si>
    <t>11/04/2026 15:00 | England | National League | Altrincham vs Eastleigh</t>
  </si>
  <si>
    <t>11/04/2026 15:00 | England | National League | Boston United vs Truro City</t>
  </si>
  <si>
    <t>11/04/2026 15:00 | England | National League | Carlisle vs Sutton Utd</t>
  </si>
  <si>
    <t>11/04/2026 15:00 | England | National League | Forest Green vs Braintree</t>
  </si>
  <si>
    <t>11/04/2026 15:00 | England | National League | Scunthorpe vs Brackley Town</t>
  </si>
  <si>
    <t>11/04/2026 15:00 | England | National League | Southend vs Solihull Moors</t>
  </si>
  <si>
    <t>11/04/2026 15:00 | England | National League | Woking vs Morecambe</t>
  </si>
  <si>
    <t>11/04/2026 15:00 | England | National League | Yeovil Town vs FC Halifax Town</t>
  </si>
  <si>
    <t>11/04/2026 15:00 | England | National League - South | AFC Totton vs Dorking Wanderers</t>
  </si>
  <si>
    <t>11/04/2026 15:00 | England | National League - South | Bath City vs Chesham United</t>
  </si>
  <si>
    <t>11/04/2026 15:00 | England | National League - South | Chelmsford City vs Maidenhead</t>
  </si>
  <si>
    <t>11/04/2026 15:00 | England | National League - South | Dover vs Farnborough</t>
  </si>
  <si>
    <t>11/04/2026 15:00 | England | National League - South | Hampton &amp; Richmond vs Chippenham Town</t>
  </si>
  <si>
    <t>11/04/2026 15:00 | England | National League - South | Hemel Hempstead Town vs Eastbourne Borough</t>
  </si>
  <si>
    <t>11/04/2026 15:00 | England | National League - South | AFC Hornchurch vs Ebbsfleet United</t>
  </si>
  <si>
    <t>11/04/2026 15:00 | England | National League - South | Horsham vs Maidstone Utd</t>
  </si>
  <si>
    <t>11/04/2026 15:00 | England | National League - South | Slough Town vs Torquay</t>
  </si>
  <si>
    <t>11/04/2026 15:00 | England | National League - South | Tonbridge Angels vs Salisbury</t>
  </si>
  <si>
    <t>11/04/2026 15:00 | England | National League - South | Weston-super-Mare vs Enfield Town</t>
  </si>
  <si>
    <t>11/04/2026 15:00 | England | National League - South | Worthing vs Dagenham &amp; Redbridge</t>
  </si>
  <si>
    <t>11/04/2026 15:00 | England | National League - North | Alfreton Town vs Oxford City</t>
  </si>
  <si>
    <t>11/04/2026 15:00 | England | National League - North | Bedford Town vs Hereford</t>
  </si>
  <si>
    <t>11/04/2026 15:00 | England | National League - North | Buxton vs Scarborough Athletic</t>
  </si>
  <si>
    <t>11/04/2026 15:00 | England | National League - North | Chester vs AFC Fylde</t>
  </si>
  <si>
    <t>11/04/2026 15:00 | England | National League - North | Chorley vs Curzon Ashton</t>
  </si>
  <si>
    <t>11/04/2026 15:00 | England | National League - North | Darlington 1883 vs Marine</t>
  </si>
  <si>
    <t>11/04/2026 15:00 | England | National League - North | Kidderminster Harriers vs King's Lynn Town</t>
  </si>
  <si>
    <t>11/04/2026 15:00 | England | National League - North | Merthyr Town vs Macclesfield</t>
  </si>
  <si>
    <t>11/04/2026 15:00 | England | National League - North | Peterborough Sports vs AFC Telford United</t>
  </si>
  <si>
    <t>11/04/2026 15:00 | England | National League - North | Radcliffe vs South Shields</t>
  </si>
  <si>
    <t>11/04/2026 15:00 | England | National League - North | Southport vs Leamington</t>
  </si>
  <si>
    <t>11/04/2026 15:00 | England | National League - North | Spennymoor Town vs Worksop Town</t>
  </si>
  <si>
    <t>11/04/2026 15:00 | Scotland | Football League - Lowland League | Gretna 2008 vs Berwick Rangers</t>
  </si>
  <si>
    <t>Cumbernauld Colts</t>
  </si>
  <si>
    <t>11/04/2026 15:00 | Scotland | Football League - Lowland League | Bo'ness United vs Cumbernauld Colts</t>
  </si>
  <si>
    <t>Clydebank</t>
  </si>
  <si>
    <t>11/04/2026 15:00 | Scotland | Football League - Lowland League | Linlithgow Rose vs Clydebank</t>
  </si>
  <si>
    <t>Civil Service Strollers</t>
  </si>
  <si>
    <t>11/04/2026 15:00 | Scotland | Football League - Lowland League | Civil Service Strollers vs East Stirlingshire</t>
  </si>
  <si>
    <t>Broxburn Athletic</t>
  </si>
  <si>
    <t>11/04/2026 15:00 | Scotland | Football League - Lowland League | Broxburn Athletic vs Bonnyrigg Rose Athletic</t>
  </si>
  <si>
    <t>Gala Fairydean Rovers</t>
  </si>
  <si>
    <t>11/04/2026 15:00 | Scotland | Football League - Lowland League | Stirling University vs Gala Fairydean Rovers</t>
  </si>
  <si>
    <t>11/04/2026 15:00 | Scotland | Football League - Lowland League | Caledonian Braves vs Tranent Juniors</t>
  </si>
  <si>
    <t>11/04/2026 15:00 | Germany | Regionalliga - Nord | HSC Hannover vs SV Meppen</t>
  </si>
  <si>
    <t>11/04/2026 15:00 | Germany | Regionalliga - Nord | Kickers Emden vs St. Pauli II</t>
  </si>
  <si>
    <t>SKRA Częstochowa</t>
  </si>
  <si>
    <t>11/04/2026 15:00 | Poland | III Liga - Group 3 | SKRA Częstochowa vs Górnik Polkowice</t>
  </si>
  <si>
    <t>Cracovia Kraków II</t>
  </si>
  <si>
    <t>11/04/2026 15:00 | Poland | III Liga - Group 4 | Czarni Połaniec vs Cracovia Kraków II</t>
  </si>
  <si>
    <t>11/04/2026 15:00 | Poland | III Liga - Group 4 | Wiślanie Jaśkowice vs Wisła Kraków II</t>
  </si>
  <si>
    <t>11/04/2026 15:00 | Poland | III Liga - Group 4 | Świdniczanka Świdnik vs Avia Świdnik</t>
  </si>
  <si>
    <t>Oldenburger SV</t>
  </si>
  <si>
    <t>11/04/2026 15:00 | Germany | Oberliga - Schleswig-Holstein | Oldenburger SV vs Holstein Kiel II</t>
  </si>
  <si>
    <t>11/04/2026 15:00 | Hungary | NB III - Southwest | Iváncsa vs Paksi SE II</t>
  </si>
  <si>
    <t>11/04/2026 15:00 | Hungary | NB III - Southwest | Kaposvar vs Pécsi MFC</t>
  </si>
  <si>
    <t>11/04/2026 15:00 | Hungary | NB III - Southwest | Majosi vs Szekszárd</t>
  </si>
  <si>
    <t>11/04/2026 15:00 | Hungary | NB III - Southwest | PTE-PEAC vs Érdi VSE</t>
  </si>
  <si>
    <t>11/04/2026 15:00 | Hungary | NB III - Southwest | Siofok vs Dunaújváros-Pálhalma</t>
  </si>
  <si>
    <t>11/04/2026 15:00 | Hungary | NB III - Southwest | Balatonlelle SE vs Ferencváros II</t>
  </si>
  <si>
    <t>11/04/2026 15:00 | Hungary | NB III - Southwest | Nagykanizsai ULE vs Pénzügyőr</t>
  </si>
  <si>
    <t>11/04/2026 15:00 | Hungary | NB III - Southeast | Dabas vs Békéscsaba II</t>
  </si>
  <si>
    <t>11/04/2026 15:00 | Hungary | NB III - Southeast | Dunaharaszti MTK vs Tiszaföldvár</t>
  </si>
  <si>
    <t>11/04/2026 15:00 | Hungary | NB III - Southeast | Szegedi VSE vs Hódmezővásárhely</t>
  </si>
  <si>
    <t>11/04/2026 15:00 | Hungary | NB III - Southeast | Gyulai Termál vs ESMTK</t>
  </si>
  <si>
    <t>11/04/2026 15:00 | Hungary | NB III - Northwest | Zsámbéki SK vs Komárom</t>
  </si>
  <si>
    <t>11/04/2026 15:00 | Hungary | NB III - Northwest | Dorogi FC vs Gyori ETO II</t>
  </si>
  <si>
    <t>11/04/2026 15:00 | Hungary | NB III - Northwest | Pápai Perutz vs Balatonfüredi</t>
  </si>
  <si>
    <t>11/04/2026 15:00 | Hungary | NB III - Northwest | Haladás VSE vs SC Sopron</t>
  </si>
  <si>
    <t>11/04/2026 15:00 | Hungary | NB III - Northwest | Budaörs vs MTE 1904</t>
  </si>
  <si>
    <t>11/04/2026 15:00 | Hungary | NB III - Northwest | Veszprém vs Tatabánya</t>
  </si>
  <si>
    <t>11/04/2026 15:00 | Hungary | NB III - Northeast | Tarpa vs Kisvárda II</t>
  </si>
  <si>
    <t>11/04/2026 15:00 | Hungary | NB III - Northeast | Gödöllő vs DEAC</t>
  </si>
  <si>
    <t>11/04/2026 15:00 | Hungary | NB III - Northeast | Putnok VSE vs Füzesabony</t>
  </si>
  <si>
    <t>11/04/2026 15:00 | Hungary | NB III - Northeast | Tiszaújváros vs Tiszafuredi VSE</t>
  </si>
  <si>
    <t>11/04/2026 15:00 | Hungary | NB III - Northeast | FC Hatvan vs Nyiregyhaza II</t>
  </si>
  <si>
    <t>11/04/2026 15:00 | Switzerland | 1. Liga Promotion | Cham vs Brühl</t>
  </si>
  <si>
    <t>11/04/2026 15:00 | Switzerland | 1. Liga Promotion | Kreuzlingen vs Luzern II</t>
  </si>
  <si>
    <t>11/04/2026 15:00 | Switzerland | 1. Liga Promotion | Bavois vs Young Boys II</t>
  </si>
  <si>
    <t>11/04/2026 15:00 | Switzerland | 1. Liga Promotion | Grand-Saconnex vs Breitenrain</t>
  </si>
  <si>
    <t>11/04/2026 15:00 | Slovakia | 3. liga - Center | Kysucké Nové Mesto vs Ružomberok II</t>
  </si>
  <si>
    <t>11/04/2026 15:00 | Slovakia | 3. liga - Center | Novohrad Lučenec vs Oravské Veselé</t>
  </si>
  <si>
    <t>11/04/2026 15:00 | Slovakia | 3. liga - Center | Námestovo vs Dolný Kubín</t>
  </si>
  <si>
    <t>Podkonice</t>
  </si>
  <si>
    <t>11/04/2026 15:00 | Slovakia | 3. liga - Center | Fomat Martin vs Podkonice</t>
  </si>
  <si>
    <t>Spišská Nová Ves</t>
  </si>
  <si>
    <t>11/04/2026 15:00 | Slovakia | 3. liga - East | Spišská Nová Ves vs Vranov nad Topľou</t>
  </si>
  <si>
    <t>11/04/2026 15:00 | Slovakia | 3. liga - East | Poprad vs Humenné</t>
  </si>
  <si>
    <t>Lipany</t>
  </si>
  <si>
    <t>Slovan Sabinov</t>
  </si>
  <si>
    <t>11/04/2026 15:00 | Slovakia | 3. liga - East | Lipany vs Slovan Sabinov</t>
  </si>
  <si>
    <t>Lokomotíva Košice</t>
  </si>
  <si>
    <t>11/04/2026 15:00 | Slovakia | 3. liga - East | Lokomotíva Košice vs Kežmarok</t>
  </si>
  <si>
    <t>11/04/2026 15:00 | Slovakia | 3. liga - West | Slovan Duslo Šaľa vs Nové Zámky</t>
  </si>
  <si>
    <t>11/04/2026 15:00 | Slovakia | 3. liga - West | Baník Prievidza vs Veľké Ludince</t>
  </si>
  <si>
    <t>11/04/2026 15:00 | Slovakia | 3. liga - West | Malacky vs Beluša</t>
  </si>
  <si>
    <t>Gabčíkovo</t>
  </si>
  <si>
    <t>Spartak Myjava</t>
  </si>
  <si>
    <t>11/04/2026 15:00 | Slovakia | 3. liga - West | Gabčíkovo vs Spartak Myjava</t>
  </si>
  <si>
    <t>11/04/2026 15:00 | England | Non League Premier - Isthmian | Hashtag United vs Cray Valley PM</t>
  </si>
  <si>
    <t>11/04/2026 15:00 | England | Non League Premier - Isthmian | St Albans City vs Aveley</t>
  </si>
  <si>
    <t>11/04/2026 15:00 | England | Non League Premier - Isthmian | Canvey Island vs Dartford</t>
  </si>
  <si>
    <t>11/04/2026 15:00 | England | Non League Premier - Isthmian | Welling United vs Dulwich Hamlet</t>
  </si>
  <si>
    <t>11/04/2026 15:00 | England | Non League Premier - Isthmian | Ramsgate vs Billericay Town</t>
  </si>
  <si>
    <t>11/04/2026 15:00 | England | Non League Premier - Isthmian | Chatham Town vs Wingate &amp; Finchley</t>
  </si>
  <si>
    <t>11/04/2026 15:00 | England | Non League Premier - Isthmian | Cray Wanderers vs Lewes</t>
  </si>
  <si>
    <t>11/04/2026 15:00 | England | Non League Premier - Isthmian | Potters Bar Town vs Chichester City</t>
  </si>
  <si>
    <t>11/04/2026 15:00 | England | Non League Premier - Isthmian | Whitehawk vs Folkestone Invicta</t>
  </si>
  <si>
    <t>11/04/2026 15:00 | England | Non League Premier - Isthmian | Carshalton Athletic vs Brentwood Town</t>
  </si>
  <si>
    <t>11/04/2026 15:00 | England | Non League Premier - Isthmian | Burgess Hill Town vs Cheshunt</t>
  </si>
  <si>
    <t>11/04/2026 15:00 | England | Non League Premier - Southern Central | Stourbridge vs Bishop's Stortford</t>
  </si>
  <si>
    <t>11/04/2026 15:00 | England | Non League Premier - Southern Central | Halesowen Town vs Harborough Town</t>
  </si>
  <si>
    <t>11/04/2026 15:00 | England | Non League Premier - Southern Central | Needham Market vs Barwell</t>
  </si>
  <si>
    <t>11/04/2026 15:00 | England | Non League Premier - Southern Central | Kettering Town vs Worcester City</t>
  </si>
  <si>
    <t>11/04/2026 15:00 | England | Non League Premier - Southern Central | Banbury United vs AFC Sudbury</t>
  </si>
  <si>
    <t>11/04/2026 15:00 | England | Non League Premier - Southern Central | Quorn vs Leiston</t>
  </si>
  <si>
    <t>11/04/2026 15:00 | England | Non League Premier - Southern Central | Alvechurch vs Royston Town</t>
  </si>
  <si>
    <t>11/04/2026 15:00 | England | Non League Premier - Southern Central | St Ives Town vs Bromsgrove Sporting</t>
  </si>
  <si>
    <t>11/04/2026 15:00 | England | Non League Premier - Southern Central | Bury Town vs Stamford</t>
  </si>
  <si>
    <t>11/04/2026 15:00 | England | Non League Premier - Southern Central | Redditch United vs Real Bedford</t>
  </si>
  <si>
    <t>11/04/2026 15:00 | England | Non League Premier - Southern Central | Spalding United vs Stratford Town</t>
  </si>
  <si>
    <t>11/04/2026 15:00 | England | Non League Premier - Southern South | Evesham United vs Walton &amp; Hersham</t>
  </si>
  <si>
    <t>11/04/2026 15:00 | England | Non League Premier - Southern South | Bracknell Town vs Tiverton Town</t>
  </si>
  <si>
    <t>11/04/2026 15:00 | England | Non League Premier - Southern South | Dorchester Town vs Gloucester City</t>
  </si>
  <si>
    <t>11/04/2026 15:00 | England | Non League Premier - Southern South | Hanwell Town vs Weymouth</t>
  </si>
  <si>
    <t>11/04/2026 15:00 | England | Non League Premier - Southern South | Plymouth Parkway vs Havant &amp; Wville</t>
  </si>
  <si>
    <t>11/04/2026 15:00 | England | Non League Premier - Southern South | Chertsey Town vs Poole Town</t>
  </si>
  <si>
    <t>11/04/2026 15:00 | England | Non League Premier - Southern South | Gosport Borough vs Yate Town</t>
  </si>
  <si>
    <t>11/04/2026 15:00 | England | Non League Premier - Southern South | Hungerford Town vs Basingstoke Town</t>
  </si>
  <si>
    <t>11/04/2026 15:00 | England | Non League Premier - Southern South | Taunton Town vs Uxbridge</t>
  </si>
  <si>
    <t>11/04/2026 15:00 | England | Non League Premier - Southern South | Sholing vs Farnham Town</t>
  </si>
  <si>
    <t>11/04/2026 15:00 | England | Non League Premier - Southern South | Wimborne Town vs Berkhamsted</t>
  </si>
  <si>
    <t>11/04/2026 15:00 | England | Non League Premier - Northern | Guiseley AFC vs United of Manchester</t>
  </si>
  <si>
    <t>11/04/2026 15:00 | England | Non League Premier - Northern | Stockton Town vs Rushall Olympic</t>
  </si>
  <si>
    <t>11/04/2026 15:00 | England | Non League Premier - Northern | Whitby Town vs Hyde United</t>
  </si>
  <si>
    <t>11/04/2026 15:00 | England | Non League Premier - Northern | Ashton United vs Workington</t>
  </si>
  <si>
    <t>11/04/2026 15:00 | England | Non League Premier - Northern | Lancaster City vs Gainsborough Trinity</t>
  </si>
  <si>
    <t>11/04/2026 15:00 | England | Non League Premier - Northern | Ilkeston Town vs Bamber Bridge</t>
  </si>
  <si>
    <t>11/04/2026 15:00 | England | Non League Premier - Northern | Hednesford Town vs Morpeth Town</t>
  </si>
  <si>
    <t>Leek Town</t>
  </si>
  <si>
    <t>11/04/2026 15:00 | England | Non League Premier - Northern | Leek Town vs Prescot Cables</t>
  </si>
  <si>
    <t>11/04/2026 15:00 | England | Non League Premier - Northern | Rylands vs Stocksbridge Park Steels</t>
  </si>
  <si>
    <t>11/04/2026 15:00 | England | Non League Premier - Northern | Cleethorpes Town vs Hebburn Town</t>
  </si>
  <si>
    <t>Delémont</t>
  </si>
  <si>
    <t>11/04/2026 15:00 | Switzerland | 1. Liga Classic - Group 2 | Schötz vs Delémont</t>
  </si>
  <si>
    <t>11/04/2026 15:00 | Switzerland | 1. Liga Classic - Group 2 | Zug vs Langenthal</t>
  </si>
  <si>
    <t>Besa Biel/Bienne</t>
  </si>
  <si>
    <t>11/04/2026 15:00 | Switzerland | 1. Liga Classic - Group 2 | Muttenz vs Besa Biel/Bienne</t>
  </si>
  <si>
    <t>Naters</t>
  </si>
  <si>
    <t>11/04/2026 15:00 | Switzerland | 1. Liga Classic - Group 1 | Naters vs La Sarraz-Eclépens</t>
  </si>
  <si>
    <t>11/04/2026 15:00 | Switzerland | 1. Liga Classic - Group 3 | Wettswil-Bonstetten vs Tuggen</t>
  </si>
  <si>
    <t>11/04/2026 15:00 | Switzerland | 1. Liga Classic - Group 3 | SV Schaffhausen vs Taverne</t>
  </si>
  <si>
    <t>Freienbach</t>
  </si>
  <si>
    <t>11/04/2026 15:00 | Switzerland | 1. Liga Classic - Group 3 | Freienbach vs Eschen / Mauren</t>
  </si>
  <si>
    <t>11/04/2026 15:00 | Switzerland | 1. Liga Classic - Group 3 | Kosova vs Winterthur II</t>
  </si>
  <si>
    <t>Höngg</t>
  </si>
  <si>
    <t>Dietikon</t>
  </si>
  <si>
    <t>11/04/2026 15:00 | Switzerland | 1. Liga Classic - Group 3 | Höngg vs Dietikon</t>
  </si>
  <si>
    <t>11/04/2026 15:00 | England | Non League Div One - Southern Central | Leighton Town vs Rayners Lane</t>
  </si>
  <si>
    <t>11/04/2026 15:00 | England | U18 Premier League - North | Nottingham Forest U18 vs Liverpool U18</t>
  </si>
  <si>
    <t>11/04/2026 15:00 | England | Non League Div One - Isthmian South Central | Hendon vs Leatherhead</t>
  </si>
  <si>
    <t>11/04/2026 15:00 | England | Non League Div One - Isthmian South Central | Bognor Regis Town vs Raynes Park Vale</t>
  </si>
  <si>
    <t>11/04/2026 15:00 | England | Non League Div One - Isthmian South Central | Hayes &amp; Yeading United vs Hanworth Villa</t>
  </si>
  <si>
    <t>11/04/2026 15:00 | England | Non League Div One - Isthmian South Central | Kingstonian vs Harrow Borough</t>
  </si>
  <si>
    <t>11/04/2026 15:00 | England | Non League Div One - Isthmian South Central | Metropolitan Police vs Bedfont Sports</t>
  </si>
  <si>
    <t>11/04/2026 15:00 | England | Non League Div One - Isthmian South Central | Binfield vs South Park</t>
  </si>
  <si>
    <t>11/04/2026 15:00 | England | Non League Div One - Isthmian South Central | Littlehampton Town vs Hartley Wintney</t>
  </si>
  <si>
    <t>11/04/2026 15:00 | England | Non League Div One - Isthmian South Central | AFC Portchester vs Southall</t>
  </si>
  <si>
    <t>11/04/2026 15:00 | England | Non League Div One - Isthmian South Central | Westfield (Surrey) vs Fareham Town</t>
  </si>
  <si>
    <t>11/04/2026 15:00 | England | Non League Div One - Isthmian South Central | Ascot United vs Horndean</t>
  </si>
  <si>
    <t>11/04/2026 15:00 | England | Non League Div One - Isthmian South Central | Egham Town vs Moneyfields</t>
  </si>
  <si>
    <t>11/04/2026 15:00 | England | Non League Div One - Isthmian North | Lowestoft Town vs Heybridge Swifts</t>
  </si>
  <si>
    <t>11/04/2026 15:00 | England | Non League Div One - Isthmian North | Grays Athletic vs Concord Rangers</t>
  </si>
  <si>
    <t>11/04/2026 15:00 | England | Non League Div One - Isthmian North | Bowers &amp; Pitsea vs Witham Town</t>
  </si>
  <si>
    <t>11/04/2026 15:00 | England | Non League Div One - Isthmian North | Newmarket Town vs Felixstowe &amp; Walton Utd</t>
  </si>
  <si>
    <t>11/04/2026 15:00 | England | Non League Div One - Isthmian North | Cambridge City vs Redbridge</t>
  </si>
  <si>
    <t>11/04/2026 15:00 | England | Non League Div One - Isthmian North | Stanway Rovers vs Takeley</t>
  </si>
  <si>
    <t>11/04/2026 15:00 | England | Non League Div One - Isthmian North | Downham Town vs Brightlingsea Regent</t>
  </si>
  <si>
    <t>11/04/2026 15:00 | England | Non League Div One - Isthmian North | Gorleston vs Tilbury</t>
  </si>
  <si>
    <t>11/04/2026 15:00 | England | Non League Div One - Isthmian North | Maldon &amp; Tiptree vs Mildenhall Town</t>
  </si>
  <si>
    <t>11/04/2026 15:00 | England | Non League Div One - Isthmian North | Brantham Athletic vs Walthamstow</t>
  </si>
  <si>
    <t>11/04/2026 15:00 | England | Non League Div One - Isthmian North | Waltham Abbey vs Wroxham</t>
  </si>
  <si>
    <t>11/04/2026 15:00 | England | Non League Div One - Isthmian South East | Broadbridge Heath vs Hastings United</t>
  </si>
  <si>
    <t>11/04/2026 15:00 | England | Non League Div One - Isthmian South East | Ashford United vs Sittingbourne</t>
  </si>
  <si>
    <t>11/04/2026 15:00 | England | Non League Div One - Isthmian South East | Sheppey United vs Sevenoaks Town</t>
  </si>
  <si>
    <t>11/04/2026 15:00 | England | Non League Div One - Isthmian South East | VCD Athletic vs Margate</t>
  </si>
  <si>
    <t>11/04/2026 15:00 | England | Non League Div One - Isthmian South East | Beckenham Town vs Jersey Bulls</t>
  </si>
  <si>
    <t>11/04/2026 15:00 | England | Non League Div One - Isthmian South East | Merstham vs Erith Town</t>
  </si>
  <si>
    <t>11/04/2026 15:00 | England | Non League Div One - Isthmian South East | Herne Bay vs Eastbourne Town</t>
  </si>
  <si>
    <t>11/04/2026 15:00 | England | Non League Div One - Isthmian South East | East Grinstead Town vs Faversham Town</t>
  </si>
  <si>
    <t>11/04/2026 15:00 | England | Non League Div One - Isthmian South East | Hassocks vs AFC Croydon Athletic</t>
  </si>
  <si>
    <t>11/04/2026 15:00 | England | Non League Div One - Isthmian South East | Crowborough Athletic vs Deal Town</t>
  </si>
  <si>
    <t>11/04/2026 15:00 | England | Non League Div One - Isthmian South East | AFC Whyteleafe vs Three Bridges</t>
  </si>
  <si>
    <t>11/04/2026 15:00 | Serbia | Srpska Liga - West | Metalac GM vs Sloboda Uzice</t>
  </si>
  <si>
    <t>11/04/2026 15:00 | Serbia | Srpska Liga - West | FK Zlatibor vs Takovo</t>
  </si>
  <si>
    <t>11/04/2026 15:00 | Serbia | Srpska Liga - West | Jošanica vs Budučnost Krušik</t>
  </si>
  <si>
    <t>11/04/2026 15:00 | Serbia | Srpska Liga - West | Sloga Požega vs Omladinac Zablaće</t>
  </si>
  <si>
    <t>11/04/2026 15:00 | Serbia | Srpska Liga - West | Real Podunavci vs Železničar Lajkovac</t>
  </si>
  <si>
    <t>11/04/2026 15:00 | Serbia | Srpska Liga - West | Napredak Markovac vs FK Polimlje Prijepolje</t>
  </si>
  <si>
    <t>11/04/2026 15:00 | Azerbaijan | Premyer Liqa | Sabah FA vs Zira</t>
  </si>
  <si>
    <t>Velež Nevesinje</t>
  </si>
  <si>
    <t>11/04/2026 15:00 | Bosnia | 1st League - RS | Velež Nevesinje vs Famos Vojkovići</t>
  </si>
  <si>
    <t>Drina Zvornik</t>
  </si>
  <si>
    <t>11/04/2026 15:00 | Bosnia | 1st League - RS | Kozara Gradiška vs Drina Zvornik</t>
  </si>
  <si>
    <t>11/04/2026 15:00 | Bosnia | 1st League - RS | Slavija vs Laktaši</t>
  </si>
  <si>
    <t>Sutjeska Foča</t>
  </si>
  <si>
    <t>11/04/2026 15:00 | Bosnia | 1st League - RS | BSK Banja Luka vs Sutjeska Foča</t>
  </si>
  <si>
    <t>11/04/2026 15:00 | Bosnia | 1st League - RS | Omarska vs FK Romanija Pale</t>
  </si>
  <si>
    <t>Sint-Truiden II</t>
  </si>
  <si>
    <t>11/04/2026 15:00 | Belgium | Second Amateur Division - VFV B | Berg en Dal vs Sint-Truiden II</t>
  </si>
  <si>
    <t>San Ignacio</t>
  </si>
  <si>
    <t>11/04/2026 15:00 | Spain | Tercera División RFEF - Group 4 | Eibar III vs San Ignacio</t>
  </si>
  <si>
    <t>11/04/2026 15:00 | Spain | Tercera División RFEF - Group 7 | Alcorcón II vs Alcobendas Sport</t>
  </si>
  <si>
    <t>Cultural Leonesa II</t>
  </si>
  <si>
    <t>11/04/2026 15:00 | Spain | Tercera División RFEF - Group 8 | Cultural Leonesa II vs Villaralbo</t>
  </si>
  <si>
    <t>Marbelli</t>
  </si>
  <si>
    <t>11/04/2026 15:00 | Spain | Tercera División RFEF - Group 9 | UD Melilla II vs Marbelli</t>
  </si>
  <si>
    <t>Portmany</t>
  </si>
  <si>
    <t>11/04/2026 15:00 | Spain | Tercera División RFEF - Group 11 | Portmany vs Alcúdia</t>
  </si>
  <si>
    <t>Llosetense</t>
  </si>
  <si>
    <t>11/04/2026 15:00 | Spain | Tercera División RFEF - Group 11 | Manacor vs Llosetense</t>
  </si>
  <si>
    <t>Balsicas Atlético</t>
  </si>
  <si>
    <t>11/04/2026 15:00 | Spain | Tercera División RFEF - Group 13 | UCAM Murcia II vs Balsicas Atlético</t>
  </si>
  <si>
    <t>11/04/2026 15:00 | Austria | Landesliga - Salzburg | Grödig vs Union Henndorf</t>
  </si>
  <si>
    <t>11/04/2026 15:00 | Austria | Landesliga - Salzburg | Neumarkt vs Thalgau</t>
  </si>
  <si>
    <t>11/04/2026 15:00 | Austria | Landesliga - Salzburg | Bürmoos vs Siezenheim</t>
  </si>
  <si>
    <t>11/04/2026 15:00 | Austria | Landesliga - Salzburg | Puch vs Bramberg</t>
  </si>
  <si>
    <t>11/04/2026 15:00 | Austria | Landesliga - Salzburg | Eugendorf vs Anthering</t>
  </si>
  <si>
    <t>11/04/2026 15:00 | Austria | Landesliga - Salzburg | Salzburger AK vs Hallwang</t>
  </si>
  <si>
    <t>11/04/2026 15:00 | Austria | Landesliga - Salzburg | SV Schwarzach vs UFC Hallein</t>
  </si>
  <si>
    <t>11/04/2026 15:00 | Austria | Landesliga - Salzburg | Straßwalchen vs Anif</t>
  </si>
  <si>
    <t>Lebring</t>
  </si>
  <si>
    <t>Bruck an der Mur</t>
  </si>
  <si>
    <t>11/04/2026 15:00 | Austria | Landesliga - Steiermark | Lebring vs Bruck an der Mur</t>
  </si>
  <si>
    <t>11/04/2026 15:00 | Angola | Girabola | Sagrada Esperança vs Interclube</t>
  </si>
  <si>
    <t>11/04/2026 15:00 | Angola | Girabola | Bravos do Maquis FC vs Recreativo do Libolo</t>
  </si>
  <si>
    <t>11/04/2026 15:00 | Serbia | Srpska Liga - West | FK Šumadija 1903 Kragujevac vs Jedinstvo Putevi</t>
  </si>
  <si>
    <t>11/04/2026 15:00 | Serbia | Srpska Liga - West | FK Radnički Valjevo vs FK Mladi Radnik 1940 Radinac</t>
  </si>
  <si>
    <t>11/04/2026 15:00 | England | Non League Div One - Northern West | Bury vs Nantwich Town</t>
  </si>
  <si>
    <t>11/04/2026 15:00 | England | Non League Div One - Northern West | Trafford vs Newcastle Town</t>
  </si>
  <si>
    <t>11/04/2026 15:00 | England | Non League Div One - Northern West | Atherton Collieries vs Chasetown</t>
  </si>
  <si>
    <t>11/04/2026 15:00 | England | Non League Div One - Northern West | Clitheroe vs Bootle</t>
  </si>
  <si>
    <t>11/04/2026 15:00 | England | Non League Div One - Northern West | Stafford Rangers vs Lower Breck</t>
  </si>
  <si>
    <t>11/04/2026 15:00 | England | Non League Div One - Northern West | Sporting Khalsa vs Stalybridge Celtic</t>
  </si>
  <si>
    <t>11/04/2026 15:00 | England | Non League Div One - Northern West | Vauxhall Motors vs Avro</t>
  </si>
  <si>
    <t>11/04/2026 15:00 | England | Non League Div One - Northern West | Mossley vs Darlaston Town</t>
  </si>
  <si>
    <t>11/04/2026 15:00 | England | Non League Div One - Northern West | Witton Albion vs Congleton Town</t>
  </si>
  <si>
    <t>11/04/2026 15:00 | England | Non League Div One - Northern West | Kidsgrove Athletic vs Runcorn Linnets</t>
  </si>
  <si>
    <t>11/04/2026 15:00 | England | Non League Div One - Northern West | Shifnal Town FC vs Wythenshawe Town</t>
  </si>
  <si>
    <t>11/04/2026 15:00 | Slovenia | 3. SNL - West | Škofja Loka vs IB 1975 Ljubljana</t>
  </si>
  <si>
    <t>Tolmin</t>
  </si>
  <si>
    <t>11/04/2026 15:00 | Slovenia | 3. SNL - West | Tolmin vs Dren Vrhnika</t>
  </si>
  <si>
    <t>Šencur</t>
  </si>
  <si>
    <t>11/04/2026 15:00 | Slovenia | 3. SNL - West | Svoboda vs Šencur</t>
  </si>
  <si>
    <t>11/04/2026 15:00 | Slovenia | 3. SNL - West | Žiri vs Dob</t>
  </si>
  <si>
    <t>11/04/2026 15:00 | Slovenia | 3. SNL - West | Zidgrad Idrija vs Izola</t>
  </si>
  <si>
    <t>11/04/2026 15:00 | Slovenia | 3. SNL - West | Bistrc vs Rudar Trbovlje</t>
  </si>
  <si>
    <t>11/04/2026 15:00 | England | Non League Div One - Northern East | Bridlington Town vs Newton Aycliffe</t>
  </si>
  <si>
    <t>11/04/2026 15:00 | England | Non League Div One - Northern East | Blyth Spartans vs Garforth Town</t>
  </si>
  <si>
    <t>11/04/2026 15:00 | England | Non League Div One - Northern East | Bishop Auckland vs Blyth Town</t>
  </si>
  <si>
    <t>11/04/2026 15:00 | England | Non League Div One - Northern East | AFC Emley vs North Ferriby</t>
  </si>
  <si>
    <t>11/04/2026 15:00 | England | Non League Div One - Northern East | Hallam vs Silsden</t>
  </si>
  <si>
    <t>11/04/2026 15:00 | England | Non League Div One - Northern East | Brighouse Town vs Consett</t>
  </si>
  <si>
    <t>11/04/2026 15:00 | England | Non League Div One - Northern East | Heaton Stannington vs Ossett United</t>
  </si>
  <si>
    <t>11/04/2026 15:00 | England | Non League Div One - Northern East | Pontefract Collieries vs Redcar Athletic</t>
  </si>
  <si>
    <t>11/04/2026 15:00 | England | Non League Div One - Northern East | Matlock Town vs Ashington AFC</t>
  </si>
  <si>
    <t>11/04/2026 15:00 | England | Non League Div One - Northern East | Grimsby Borough vs Bradford (Park Avenue)</t>
  </si>
  <si>
    <t>11/04/2026 15:00 | England | Non League Div One - Northern Midlands | Rugby Town vs Wellingborough Town</t>
  </si>
  <si>
    <t>11/04/2026 15:00 | England | Non League Div One - Northern Midlands | St Neots Town vs Corby Town</t>
  </si>
  <si>
    <t>11/04/2026 15:00 | England | Non League Div One - Northern Midlands | Long Eaton United vs Mickleover Sports</t>
  </si>
  <si>
    <t>11/04/2026 15:00 | England | Non League Div One - Northern Midlands | Racing Club Warwick vs Coleshill Town</t>
  </si>
  <si>
    <t>11/04/2026 15:00 | England | Non League Div One - Northern Midlands | Lichfield City vs Bedworth United</t>
  </si>
  <si>
    <t>11/04/2026 15:00 | England | Non League Div One - Northern Midlands | Basford United vs Shepshed Dynamo</t>
  </si>
  <si>
    <t>11/04/2026 15:00 | England | Non League Div One - Northern Midlands | AFC Rushden &amp; Diamonds vs Rugby Borough</t>
  </si>
  <si>
    <t>11/04/2026 15:00 | England | Non League Div One - Northern Midlands | Coventry Sphinx vs Sutton Coldfield Town</t>
  </si>
  <si>
    <t>11/04/2026 15:00 | England | Non League Div One - Northern Midlands | Bourne Town vs Carlton Town</t>
  </si>
  <si>
    <t>11/04/2026 15:00 | England | Non League Div One - Northern Midlands | Boldmere St. Michaels vs Anstey Nomads</t>
  </si>
  <si>
    <t>11/04/2026 15:00 | England | Non League Div One - Northern Midlands | Loughborough University vs Belper Town</t>
  </si>
  <si>
    <t>11/04/2026 15:00 | Czech-Republic | FNL | Opava vs Zbrojovka Brno</t>
  </si>
  <si>
    <t>11/04/2026 15:00 | Poland | III Liga - Group 2 | Flota Świnoujście vs Pogoń Nowe Skalmierzyce</t>
  </si>
  <si>
    <t>St. Gallen II</t>
  </si>
  <si>
    <t>11/04/2026 15:00 | Switzerland | 1. Liga Classic - Group 3 | Baden vs St. Gallen II</t>
  </si>
  <si>
    <t>Tromso</t>
  </si>
  <si>
    <t>11/04/2026 15:00 | Norway | Eliteserien | Tromso vs Kristiansund BK</t>
  </si>
  <si>
    <t>11/04/2026 15:00 | Finland | Veikkausliiga | HJK Helsinki vs AC Oulu</t>
  </si>
  <si>
    <t>Kvik Halden</t>
  </si>
  <si>
    <t>Eik-Tønsberg</t>
  </si>
  <si>
    <t>11/04/2026 15:00 | Norway | 2. Division - Group 1 | Kvik Halden vs Eik-Tønsberg</t>
  </si>
  <si>
    <t>Tanganyika</t>
  </si>
  <si>
    <t>Saint-Luc</t>
  </si>
  <si>
    <t>11/04/2026 15:00 | Congo-DR | Ligue 1 | Tanganyika vs Saint-Luc</t>
  </si>
  <si>
    <t>11/04/2026 15:00 | Sweden | Ettan - Södra | Kristianstad vs Skövde AIK</t>
  </si>
  <si>
    <t>Atvidabergs FF</t>
  </si>
  <si>
    <t>11/04/2026 15:00 | Sweden | Ettan - Södra | Lund vs Atvidabergs FF</t>
  </si>
  <si>
    <t>Trollhättan</t>
  </si>
  <si>
    <t>11/04/2026 15:00 | Sweden | Ettan - Södra | Olympic vs Trollhättan</t>
  </si>
  <si>
    <t>Ettan - Norra</t>
  </si>
  <si>
    <t>11/04/2026 15:00 | Sweden | Ettan - Norra | Gefle IF vs AFC Eskilstuna</t>
  </si>
  <si>
    <t>Järfälla</t>
  </si>
  <si>
    <t>11/04/2026 15:00 | Sweden | Ettan - Norra | Järfälla vs Sollentuna</t>
  </si>
  <si>
    <t>Stocksund</t>
  </si>
  <si>
    <t>Hammarby Talang</t>
  </si>
  <si>
    <t>11/04/2026 15:00 | Sweden | Ettan - Norra | Stocksund vs Hammarby Talang</t>
  </si>
  <si>
    <t>ÍF II</t>
  </si>
  <si>
    <t>11/04/2026 15:00 | Faroe-Islands | 1. Deild | Víkingur II vs ÍF II</t>
  </si>
  <si>
    <t>11/04/2026 15:00 | Portugal | Júniores U19 | Academico Viseu U19 vs Torreense U19</t>
  </si>
  <si>
    <t>Sporting CP U19</t>
  </si>
  <si>
    <t>11/04/2026 15:00 | Portugal | Júniores U19 | União Leiria U19 vs Sporting CP U19</t>
  </si>
  <si>
    <t>Dinamo Tbilisi</t>
  </si>
  <si>
    <t>Dinamo Batumi</t>
  </si>
  <si>
    <t>11/04/2026 15:00 | Georgia | Erovnuli Liga | Dinamo Tbilisi vs Dinamo Batumi</t>
  </si>
  <si>
    <t>Rågsved</t>
  </si>
  <si>
    <t>Eker Örebro</t>
  </si>
  <si>
    <t>11/04/2026 15:00 | Sweden | Division 2 - Södra Svealand | Rågsved vs Eker Örebro</t>
  </si>
  <si>
    <t>ES Setif</t>
  </si>
  <si>
    <t>11/04/2026 15:00 | Algeria | Ligue 1 | Olympique Akbou vs ES Setif</t>
  </si>
  <si>
    <t>Paradou AC</t>
  </si>
  <si>
    <t>11/04/2026 15:00 | Algeria | Ligue 1 | Paradou AC vs JS Saoura</t>
  </si>
  <si>
    <t>11/04/2026 15:00 | Estonia | Meistriliiga | Nõmme United vs Trans Narva</t>
  </si>
  <si>
    <t>11/04/2026 15:00 | Portugal | Liga 3 | União Santarém vs Trofense</t>
  </si>
  <si>
    <t>Lusitano Évora 1911</t>
  </si>
  <si>
    <t>11/04/2026 15:00 | Portugal | Liga 3 | Lusitano Évora 1911 vs 1º Dezembro</t>
  </si>
  <si>
    <t>11/04/2026 15:00 | Portugal | Liga 3 | Sanjoanense vs Fafe</t>
  </si>
  <si>
    <t>11/04/2026 15:00 | Cameroon | Elite Two | Avion Academy vs Tonnerre</t>
  </si>
  <si>
    <t>11/04/2026 15:00 | Cameroon | Elite Two | Racing vs Kumba</t>
  </si>
  <si>
    <t>Umeå FC Akademi</t>
  </si>
  <si>
    <t>Storfors</t>
  </si>
  <si>
    <t>11/04/2026 15:00 | Sweden | Division 2 - Norrland | Umeå FC Akademi vs Storfors</t>
  </si>
  <si>
    <t>Rops</t>
  </si>
  <si>
    <t>Inter Turku II</t>
  </si>
  <si>
    <t>11/04/2026 15:00 | Finland | Ykkönen | Rops vs Inter Turku II</t>
  </si>
  <si>
    <t>TPV</t>
  </si>
  <si>
    <t>KPV-j</t>
  </si>
  <si>
    <t>11/04/2026 15:00 | Finland | Ykkönen | TPV vs KPV-j</t>
  </si>
  <si>
    <t>Bengaluru</t>
  </si>
  <si>
    <t>11/04/2026 15:00 | India | Indian Super League | Bengaluru vs Kerala Blasters</t>
  </si>
  <si>
    <t>11/04/2026 15:00 | Kyrgyzstan | Premier League | Bishkek City vs Ozgon</t>
  </si>
  <si>
    <t>Rīgas FS II</t>
  </si>
  <si>
    <t>11/04/2026 15:00 | Latvia | 1. Liga | Rīgas FS II vs Metta / LU</t>
  </si>
  <si>
    <t>Sloven Ruma</t>
  </si>
  <si>
    <t>11/04/2026 15:00 | Serbia | Srpska Liga - Vojvodina | Sloven Ruma vs Jedinstvo Stara Pazova</t>
  </si>
  <si>
    <t>Kikinda</t>
  </si>
  <si>
    <t>11/04/2026 15:00 | Serbia | Srpska Liga - Vojvodina | Kikinda vs Dinamo Pančevo</t>
  </si>
  <si>
    <t>11/04/2026 15:00 | Serbia | Srpska Liga - Vojvodina | FK Veternik vs Naftagas</t>
  </si>
  <si>
    <t>11/04/2026 15:00 | Serbia | Srpska Liga - Vojvodina | OFK Vrbas vs Sloga Čonoplja</t>
  </si>
  <si>
    <t>11/04/2026 15:00 | Serbia | Srpska Liga - Vojvodina | Mladost Bački Jarak vs Sloboda DT</t>
  </si>
  <si>
    <t>Bumprom</t>
  </si>
  <si>
    <t>Slonim</t>
  </si>
  <si>
    <t>11/04/2026 15:00 | Belarus | 1. Division | Bumprom vs Slonim</t>
  </si>
  <si>
    <t>Chelyabinsk</t>
  </si>
  <si>
    <t>Ska-khabarovsk</t>
  </si>
  <si>
    <t>11/04/2026 15:00 | Russia | First League | Chelyabinsk vs Ska-khabarovsk</t>
  </si>
  <si>
    <t>11/04/2026 15:00 | Northern-Ireland | Championship | Annagh United vs Queen's University</t>
  </si>
  <si>
    <t>Loughgall</t>
  </si>
  <si>
    <t>11/04/2026 15:00 | Northern-Ireland | Championship | Loughgall vs H&amp;W Welders</t>
  </si>
  <si>
    <t>11/04/2026 15:00 | Northern-Ireland | Championship | Newington Youth vs Limavady United</t>
  </si>
  <si>
    <t>11/04/2026 15:00 | Northern-Ireland | Championship | Dundela vs Warrenpoint Town</t>
  </si>
  <si>
    <t>Institute</t>
  </si>
  <si>
    <t>11/04/2026 15:00 | Northern-Ireland | Championship | Institute vs Ballinamallard United</t>
  </si>
  <si>
    <t>Glenavon FC</t>
  </si>
  <si>
    <t>11/04/2026 15:00 | Northern-Ireland | Premiership | Bangor vs Glenavon FC</t>
  </si>
  <si>
    <t>Carrick Rangers</t>
  </si>
  <si>
    <t>11/04/2026 15:00 | Northern-Ireland | Premiership | Carrick Rangers vs Ballymena United</t>
  </si>
  <si>
    <t>11/04/2026 15:00 | Northern-Ireland | Premiership | Crusaders FC vs Portadown</t>
  </si>
  <si>
    <t>11/04/2026 15:00 | Northern-Ireland | Premiership | Coleraine FC vs Cliftonville FC</t>
  </si>
  <si>
    <t>11/04/2026 15:00 | Northern-Ireland | Premiership | Glentoran vs Dungannon Swifts</t>
  </si>
  <si>
    <t>FK Chayka 2</t>
  </si>
  <si>
    <t>Spartak Nalchik</t>
  </si>
  <si>
    <t>11/04/2026 15:00 | Russia | Second League - Group 1 | FK Chayka 2 vs Spartak Nalchik</t>
  </si>
  <si>
    <t>Orel</t>
  </si>
  <si>
    <t>Salyut-Belgorod</t>
  </si>
  <si>
    <t>11/04/2026 15:00 | Russia | Second League - Group 3 | Orel vs Salyut-Belgorod</t>
  </si>
  <si>
    <t>Rodina Moskva III</t>
  </si>
  <si>
    <t>Kvant</t>
  </si>
  <si>
    <t>11/04/2026 15:00 | Russia | Second League - Group 3 | Rodina Moskva III vs Kvant</t>
  </si>
  <si>
    <t>RAAL La Louvière</t>
  </si>
  <si>
    <t>11/04/2026 15:00 | Belgium | Jupiler Pro League | Cercle Brugge vs RAAL La Louvière</t>
  </si>
  <si>
    <t>US Monastirienne</t>
  </si>
  <si>
    <t>11/04/2026 15:00 | Tunisia | Ligue 1 | US Monastirienne vs Club Africain</t>
  </si>
  <si>
    <t>Olympique Béja</t>
  </si>
  <si>
    <t>11/04/2026 15:00 | Tunisia | Ligue 1 | Olympique Béja vs ES Sahel</t>
  </si>
  <si>
    <t>11/04/2026 15:00 | Tunisia | Ligue 1 | Stade Tunisien vs CA Bizertin</t>
  </si>
  <si>
    <t>Bouchamma</t>
  </si>
  <si>
    <t>Ksour Essef</t>
  </si>
  <si>
    <t>11/04/2026 15:00 | Tunisia | Ligue 2 | Bouchamma vs Ksour Essef</t>
  </si>
  <si>
    <t>EGS Gafsa</t>
  </si>
  <si>
    <t>Redeyef</t>
  </si>
  <si>
    <t>11/04/2026 15:00 | Tunisia | Ligue 2 | EGS Gafsa vs Redeyef</t>
  </si>
  <si>
    <t>Kalaâ Sport</t>
  </si>
  <si>
    <t>Djelma</t>
  </si>
  <si>
    <t>11/04/2026 15:00 | Tunisia | Ligue 2 | Kalaâ Sport vs Djelma</t>
  </si>
  <si>
    <t>AS Kasserine</t>
  </si>
  <si>
    <t>Progrès Sakiet Eddaïer</t>
  </si>
  <si>
    <t>11/04/2026 15:00 | Tunisia | Ligue 2 | AS Kasserine vs Progrès Sakiet Eddaïer</t>
  </si>
  <si>
    <t>Korba</t>
  </si>
  <si>
    <t>11/04/2026 15:00 | Tunisia | Ligue 2 | Korba vs Ariana</t>
  </si>
  <si>
    <t>Moknine</t>
  </si>
  <si>
    <t>Stade Gabesien</t>
  </si>
  <si>
    <t>11/04/2026 15:00 | Tunisia | Ligue 2 | Moknine vs Stade Gabesien</t>
  </si>
  <si>
    <t>EO Sidi Bouzid</t>
  </si>
  <si>
    <t>Jendouba Sport</t>
  </si>
  <si>
    <t>11/04/2026 15:00 | Tunisia | Ligue 2 | EO Sidi Bouzid vs Jendouba Sport</t>
  </si>
  <si>
    <t>KoPa</t>
  </si>
  <si>
    <t>MyPa</t>
  </si>
  <si>
    <t>11/04/2026 15:00 | Finland | Suomen Cup | KoPa vs MyPa</t>
  </si>
  <si>
    <t>MPS</t>
  </si>
  <si>
    <t>EBK</t>
  </si>
  <si>
    <t>11/04/2026 15:00 | Finland | Suomen Cup | MPS vs EBK</t>
  </si>
  <si>
    <t>11/04/2026 15:00 | Serbia | Srpska Liga - East | Radnicki Pirot vs Brzi Brod</t>
  </si>
  <si>
    <t>11/04/2026 15:00 | Serbia | Srpska Liga - East | Morava Ćuprija vs OFK Bor 1919</t>
  </si>
  <si>
    <t>11/04/2026 15:00 | Serbia | Srpska Liga - East | Sloga Leskovac vs Jedinstvo Paraćin</t>
  </si>
  <si>
    <t>11/04/2026 15:00 | England | Non League Div One - Southern Central | Hadley vs Barton Rovers</t>
  </si>
  <si>
    <t>11/04/2026 15:00 | England | Non League Div One - Southern Central | Hitchin Town vs Milton Keynes Irish</t>
  </si>
  <si>
    <t>11/04/2026 15:00 | England | Non League Div One - Southern South | Tavistock vs Swindon Supermarine</t>
  </si>
  <si>
    <t>11/04/2026 15:00 | England | Non League Div One - Southern South | Shaftesbury Town vs Winchester City</t>
  </si>
  <si>
    <t>11/04/2026 15:00 | England | Non League Div One - Southern South | Exmouth vs Frome Town</t>
  </si>
  <si>
    <t>11/04/2026 15:00 | England | Non League Div One - Southern South | Didcot Town vs Malvern Town</t>
  </si>
  <si>
    <t>11/04/2026 15:00 | England | Non League Div One - Southern South | Westbury United vs Bristol Manor Farm</t>
  </si>
  <si>
    <t>11/04/2026 15:00 | England | Non League Div One - Southern South | Willand Rovers vs Bishop's Cleeve</t>
  </si>
  <si>
    <t>11/04/2026 15:00 | England | Non League Div One - Southern South | Hartpury University vs Melksham Town</t>
  </si>
  <si>
    <t>11/04/2026 15:00 | England | Non League Div One - Southern South | Larkhall Athletic vs Bideford</t>
  </si>
  <si>
    <t>11/04/2026 15:00 | England | Non League Div One - Southern South | Bashley vs Brixham</t>
  </si>
  <si>
    <t>11/04/2026 15:00 | England | Non League Div One - Southern South | Mousehole vs Portishead Town</t>
  </si>
  <si>
    <t>11/04/2026 15:00 | England | Non League Div One - Southern South | Sporting Club Inkberrow vs Falmouth Town</t>
  </si>
  <si>
    <t>11/04/2026 15:00 | England | Non League Div One - Southern Central | Leverstock Green vs London Lions</t>
  </si>
  <si>
    <t>11/04/2026 15:00 | England | Non League Div One - Southern Central | Aylesbury United vs Stotfold</t>
  </si>
  <si>
    <t>11/04/2026 15:00 | England | Non League Div One - Southern Central | Marlow vs Hertford Town</t>
  </si>
  <si>
    <t>11/04/2026 15:00 | England | Non League Div One - Southern Central | Welwyn Garden City vs Thame United</t>
  </si>
  <si>
    <t>11/04/2026 15:00 | England | Non League Div One - Southern Central | Biggleswade Town vs Flackwell Heath</t>
  </si>
  <si>
    <t>11/04/2026 15:00 | England | Non League Div One - Southern Central | Northwood vs Biggleswade</t>
  </si>
  <si>
    <t>11/04/2026 15:00 | England | Non League Div One - Southern Central | Enfield 1893 vs Beaconsfield Town</t>
  </si>
  <si>
    <t>11/04/2026 15:00 | England | Non League Div One - Southern Central | Ware vs AFC Dunstable</t>
  </si>
  <si>
    <t>11/04/2026 15:15</t>
  </si>
  <si>
    <t>11/04/2026 15:15 | Spain | La Liga | Elche vs Valencia</t>
  </si>
  <si>
    <t>Burgos</t>
  </si>
  <si>
    <t>11/04/2026 15:15 | Spain | Segunda División | Burgos vs Sporting Gijon</t>
  </si>
  <si>
    <t>11/04/2026 15:15 | Spain | Segunda División | Leganes vs Albacete</t>
  </si>
  <si>
    <t>11/04/2026 15:15 | Spain | Primera División RFEF - Group 2 | Tarazona vs Alcorcon</t>
  </si>
  <si>
    <t>Osasuna II</t>
  </si>
  <si>
    <t>11/04/2026 15:15 | Spain | Primera División RFEF - Group 1 | Osasuna II vs Real Avilés</t>
  </si>
  <si>
    <t>Lugo</t>
  </si>
  <si>
    <t>11/04/2026 15:15 | Spain | Primera División RFEF - Group 1 | Ourense CF vs Lugo</t>
  </si>
  <si>
    <t>Uta Arad</t>
  </si>
  <si>
    <t>FC Botosani</t>
  </si>
  <si>
    <t>11/04/2026 15:15 | Romania | Liga I | Uta Arad vs FC Botosani</t>
  </si>
  <si>
    <t>11/04/2026 15:20</t>
  </si>
  <si>
    <t>Bahrain</t>
  </si>
  <si>
    <t>King's Cup</t>
  </si>
  <si>
    <t>Muharraq</t>
  </si>
  <si>
    <t>Al Ahli</t>
  </si>
  <si>
    <t>11/04/2026 15:20 | Bahrain | King's Cup | Muharraq vs Al Ahli</t>
  </si>
  <si>
    <t>11/04/2026 15:30</t>
  </si>
  <si>
    <t>Utrecht</t>
  </si>
  <si>
    <t>11/04/2026 15:30 | Netherlands | Eredivisie | Utrecht vs Telstar</t>
  </si>
  <si>
    <t>VVV Venlo</t>
  </si>
  <si>
    <t>11/04/2026 15:30 | Netherlands | Eerste Divisie | VVV Venlo vs De Graafschap</t>
  </si>
  <si>
    <t>11/04/2026 15:30 | Slovenia | 2. SNL | Nafta vs Dekani</t>
  </si>
  <si>
    <t>Hansa Rostock</t>
  </si>
  <si>
    <t>11/04/2026 15:30 | Germany | 3. Liga | Hansa Rostock vs SSV Ulm 1846</t>
  </si>
  <si>
    <t>11/04/2026 15:30 | Portugal | Primeira Liga | AVS vs Guimaraes</t>
  </si>
  <si>
    <t>Sokół Kolb.</t>
  </si>
  <si>
    <t>11/04/2026 15:30 | Poland | III Liga - Group 4 | Sokół Kolb. vs Stal Kraśnik</t>
  </si>
  <si>
    <t>1st League - FBiH</t>
  </si>
  <si>
    <t>Radnik Hadžići</t>
  </si>
  <si>
    <t>Stupčanica Olovo</t>
  </si>
  <si>
    <t>11/04/2026 15:30 | Bosnia | 1st League - FBiH | Radnik Hadžići vs Stupčanica Olovo</t>
  </si>
  <si>
    <t>Travnik</t>
  </si>
  <si>
    <t>Sloboda Tuzla</t>
  </si>
  <si>
    <t>11/04/2026 15:30 | Bosnia | 1st League - FBiH | Travnik vs Sloboda Tuzla</t>
  </si>
  <si>
    <t>Tuzla City</t>
  </si>
  <si>
    <t>Jedinstvo Bihać</t>
  </si>
  <si>
    <t>11/04/2026 15:30 | Bosnia | 1st League - FBiH | Tuzla City vs Jedinstvo Bihać</t>
  </si>
  <si>
    <t>Añorga</t>
  </si>
  <si>
    <t>Portugalete</t>
  </si>
  <si>
    <t>11/04/2026 15:30 | Spain | Tercera División RFEF - Group 4 | Añorga vs Portugalete</t>
  </si>
  <si>
    <t>Bidezarra</t>
  </si>
  <si>
    <t>11/04/2026 15:30 | Spain | Tercera División RFEF - Group 15 | Pamplona vs Bidezarra</t>
  </si>
  <si>
    <t>Huarte</t>
  </si>
  <si>
    <t>11/04/2026 15:30 | Spain | Tercera División RFEF - Group 15 | San Juan vs Huarte</t>
  </si>
  <si>
    <t>11/04/2026 15:30 | Austria | Landesliga - Burgenland | Oberpullendorf vs Eberau</t>
  </si>
  <si>
    <t>11/04/2026 15:30 | Austria | Landesliga - Burgenland | Klingenbach vs Horitschon</t>
  </si>
  <si>
    <t>11/04/2026 15:30 | Austria | Landesliga - Burgenland | Kohfidisch vs Siegendorf</t>
  </si>
  <si>
    <t>11/04/2026 15:30 | Austria | Landesliga - Burgenland | Leithaprodersdorf vs Halbturn</t>
  </si>
  <si>
    <t>11/04/2026 15:30 | Austria | Landesliga - Burgenland | St. Margarethen / Bur vs Deutschkreutz</t>
  </si>
  <si>
    <t>11/04/2026 15:30 | Austria | Landesliga - Burgenland | Mattersburg 2020 vs Edelserpentin</t>
  </si>
  <si>
    <t>11/04/2026 15:30 | Austria | Landesliga - Burgenland | Jennersdorf vs SK Pama</t>
  </si>
  <si>
    <t>11/04/2026 15:30 | Austria | Landesliga - Burgenland | Neudorf / Parn vs Bad Sauerbrunn</t>
  </si>
  <si>
    <t>11/04/2026 15:30 | Angola | Girabola | Desportivo Huíla vs Kabuscorp</t>
  </si>
  <si>
    <t>11/04/2026 15:30 | Slovenia | 3. SNL - East | Podvinci vs Fužinar</t>
  </si>
  <si>
    <t>11/04/2026 15:30 | Slovenia | 3. SNL - East | Korotan Prevalje vs Ljutomer</t>
  </si>
  <si>
    <t>11/04/2026 15:30 | Slovenia | 3. SNL - East | Zavrč vs Dobrovce</t>
  </si>
  <si>
    <t>Videm</t>
  </si>
  <si>
    <t>11/04/2026 15:30 | Slovenia | 3. SNL - East | Rače vs Videm</t>
  </si>
  <si>
    <t>11/04/2026 15:30 | Croatia | Third NL - Jug | Sloga Mravince vs Kamen Ivanbegovina</t>
  </si>
  <si>
    <t>GOŠK Kaštel Gomilica</t>
  </si>
  <si>
    <t>11/04/2026 15:30 | Croatia | Third NL - Jug | GOŠK Kaštel Gomilica vs HNK Zadar</t>
  </si>
  <si>
    <t>11/04/2026 15:30 | Croatia | Third NL - Jug | Neretva Metković vs Junak</t>
  </si>
  <si>
    <t>11/04/2026 15:30 | Croatia | Third NL - Jug | Jadran KS vs Omiš</t>
  </si>
  <si>
    <t>11/04/2026 15:30 | Croatia | Third NL - Jug | Hrvatski vitez vs Val Kaštel Stari</t>
  </si>
  <si>
    <t>11/04/2026 15:30 | Croatia | Third NL - Jug | Zagora vs Neretvanac Opuzen</t>
  </si>
  <si>
    <t>11/04/2026 15:30 | Croatia | Third NL - Jug | Vodice vs GOŠK Dubrovnik</t>
  </si>
  <si>
    <t>Slovan Liberec II</t>
  </si>
  <si>
    <t>11/04/2026 15:30 | Czech-Republic | 3. liga - CFL B | Arsenal Česká Lípa vs Slovan Liberec II</t>
  </si>
  <si>
    <t>11/04/2026 15:30 | Czech-Republic | 3. liga - CFL B | Ústí nad Orlicí vs Sokol Zápy</t>
  </si>
  <si>
    <t>11/04/2026 15:30 | Czech-Republic | 3. liga - CFL A | Kladno vs Aritma Praha</t>
  </si>
  <si>
    <t>Křimice</t>
  </si>
  <si>
    <t>11/04/2026 15:30 | Czech-Republic | 4. liga - Divizie A | Hořovicko vs Křimice</t>
  </si>
  <si>
    <t>11/04/2026 15:30 | Czech-Republic | 4. liga - Divizie A | Petřín Plzeň II vs Doubravka</t>
  </si>
  <si>
    <t>11/04/2026 15:30 | Czech-Republic | 4. liga - Divizie A | Rokycany vs Komárov</t>
  </si>
  <si>
    <t>11/04/2026 15:30 | Czech-Republic | 4. liga - Divizie C | Chrudim II vs Turnov</t>
  </si>
  <si>
    <t>Dobrovice</t>
  </si>
  <si>
    <t>11/04/2026 15:30 | Czech-Republic | 4. liga - Divizie C | Dobrovice vs Brandýs nad Labem</t>
  </si>
  <si>
    <t>Svitavy</t>
  </si>
  <si>
    <t>11/04/2026 15:30 | Czech-Republic | 4. liga - Divizie C | Náchod vs Svitavy</t>
  </si>
  <si>
    <t>11/04/2026 15:30 | Czech-Republic | 4. liga - Divizie C | Vysoké Mýto vs Horní Ředice</t>
  </si>
  <si>
    <t>Louny</t>
  </si>
  <si>
    <t>11/04/2026 15:30 | Czech-Republic | 4. liga - Divizie B | Ostrov vs Louny</t>
  </si>
  <si>
    <t>11/04/2026 15:30 | Czech-Republic | 4. liga - Divizie B | Slaný vs Mariánské Lázně</t>
  </si>
  <si>
    <t>11/04/2026 15:30 | Czech-Republic | 4. liga - Divizie B | Tempo Praha vs Spoje Praha</t>
  </si>
  <si>
    <t>11/04/2026 15:30 | Malta | Challenge League | Vittoriosa Stars vs Zebbug Rangers</t>
  </si>
  <si>
    <t>11/04/2026 15:30 | Kyrgyzstan | Premier League | Abdish-Ata vs Dordoi Bishkek</t>
  </si>
  <si>
    <t>Super Nova 2</t>
  </si>
  <si>
    <t>11/04/2026 15:30 | Latvia | 1. Liga | Super Nova 2 vs JFK Ventspils</t>
  </si>
  <si>
    <t>Europa</t>
  </si>
  <si>
    <t>11/04/2026 15:30 | Gibraltar | Premier Division | Europa vs St Joseph S Fc</t>
  </si>
  <si>
    <t>Hrvace</t>
  </si>
  <si>
    <t>Sesvete</t>
  </si>
  <si>
    <t>11/04/2026 15:30 | Croatia | First NL | Hrvace vs Sesvete</t>
  </si>
  <si>
    <t>Kustosija</t>
  </si>
  <si>
    <t>11/04/2026 15:30 | Croatia | Second NL | Bjelovar vs Kustosija</t>
  </si>
  <si>
    <t>Dakovo-Croatia</t>
  </si>
  <si>
    <t>11/04/2026 15:30 | Croatia | Second NL | Dakovo-Croatia vs Trnje</t>
  </si>
  <si>
    <t>11/04/2026 15:30 | Croatia | Second NL | Jadran LP vs Uljanik</t>
  </si>
  <si>
    <t>11/04/2026 15:30 | Croatia | Second NL | Križevci vs Dugo Selo</t>
  </si>
  <si>
    <t>11/04/2026 15:30 | Croatia | Second NL | Uskok Klis vs Lucko</t>
  </si>
  <si>
    <t>11/04/2026 15:30 | Croatia | Second NL | Varteks Varaždin vs Mladost Ždralovi</t>
  </si>
  <si>
    <t>11/04/2026 15:30 | Gabon | Championnat D1 | Mangasport vs Pélican</t>
  </si>
  <si>
    <t>11/04/2026 15:30 | Gabon | Championnat D1 | Stade Mandji vs Ogooue FC</t>
  </si>
  <si>
    <t>11/04/2026 15:30 | Gabon | Championnat D1 | Vautour Club vs Lozo</t>
  </si>
  <si>
    <t>11/04/2026 15:30 | Gabon | Championnat D1 | US Oyem vs Cercle Mbéri</t>
  </si>
  <si>
    <t>FC Helsingor</t>
  </si>
  <si>
    <t>11/04/2026 15:30 | Denmark | 2. Division | FC Helsingor vs VSK Århus</t>
  </si>
  <si>
    <t>11/04/2026 15:45</t>
  </si>
  <si>
    <t>11/04/2026 15:45 | Spain | Tercera División RFEF - Group 3 | Bezana vs Atlético Albericia</t>
  </si>
  <si>
    <t>11/04/2026 16:00</t>
  </si>
  <si>
    <t>11/04/2026 16:00 | Slovenia | 1. SNL | Maribor vs NK Domzale</t>
  </si>
  <si>
    <t>11/04/2026 16:00 | Slovenia | 2. SNL | Bilje vs Jesenice</t>
  </si>
  <si>
    <t>Obolon'-Brovar</t>
  </si>
  <si>
    <t>11/04/2026 16:00 | Ukraine | Premier League | Veres Rivne vs Obolon'-Brovar</t>
  </si>
  <si>
    <t>11/04/2026 16:00 | Hungary | NB II | Ajka vs Tiszakecske FC</t>
  </si>
  <si>
    <t>11/04/2026 16:00 | Hungary | NB II | Csakvar vs Karcag SE</t>
  </si>
  <si>
    <t>11/04/2026 16:00 | Hungary | NB II | Fehérvár FC vs Soroksar</t>
  </si>
  <si>
    <t>11/04/2026 16:00 | Hungary | NB II | Kecskeméti TE vs Bekescsaba 1912</t>
  </si>
  <si>
    <t>11/04/2026 16:00 | Poland | II Liga - East | Olimpia Grudziądz vs Kalisz</t>
  </si>
  <si>
    <t>11/04/2026 16:00 | Poland | III Liga - Group 1 | Ząbkovia Ząbki vs Wisła Płock II</t>
  </si>
  <si>
    <t>Kluczbork</t>
  </si>
  <si>
    <t>11/04/2026 16:00 | Poland | III Liga - Group 3 | Kluczbork vs Sparta Katowice</t>
  </si>
  <si>
    <t>11/04/2026 16:00 | Poland | III Liga - Group 4 | Podlasie Biała Podlaska vs Siarka Tarnobrzeg</t>
  </si>
  <si>
    <t>Holthausen-Biene</t>
  </si>
  <si>
    <t>11/04/2026 16:00 | Germany | Oberliga - Niedersachsen | Wolfenbuttel vs Holthausen-Biene</t>
  </si>
  <si>
    <t>11/04/2026 16:00 | Switzerland | 1. Liga Classic - Group 2 | FC Wohlen vs Buochs</t>
  </si>
  <si>
    <t>11/04/2026 16:00 | Switzerland | 1. Liga Classic - Group 1 | Echallens vs Amical Saint-Prex</t>
  </si>
  <si>
    <t>11/04/2026 16:00 | Switzerland | 1. Liga Classic - Group 1 | Stade Payerne vs Meyrin</t>
  </si>
  <si>
    <t>Sion II</t>
  </si>
  <si>
    <t>11/04/2026 16:00 | Switzerland | 1. Liga Classic - Group 1 | Monthey vs Sion II</t>
  </si>
  <si>
    <t>11/04/2026 16:00 | Switzerland | 1. Liga Classic - Group 1 | Lancy vs La Chaux-de-Fonds</t>
  </si>
  <si>
    <t>Collina d'Oro</t>
  </si>
  <si>
    <t>11/04/2026 16:00 | Switzerland | 1. Liga Classic - Group 3 | Collina d'Oro vs Mendrisio</t>
  </si>
  <si>
    <t>11/04/2026 16:00 | Spain | Segunda División RFEF - Group 2 | Ejea vs Real Unión</t>
  </si>
  <si>
    <t>11/04/2026 16:00 | Spain | Segunda División RFEF - Group 5 | Colonia Moscardó vs Orihuela</t>
  </si>
  <si>
    <t>11/04/2026 16:00 | Nigeria | NPFL | Bendel Insurance vs Abia Warriors</t>
  </si>
  <si>
    <t>11/04/2026 16:00 | Spain | Tercera División RFEF - Group 3 | Escobedo vs Cartes</t>
  </si>
  <si>
    <t>11/04/2026 16:00 | Spain | Tercera División RFEF - Group 4 | Durango vs Deusto</t>
  </si>
  <si>
    <t>Touring</t>
  </si>
  <si>
    <t>11/04/2026 16:00 | Spain | Tercera División RFEF - Group 4 | Aurrerá Vitoria vs Touring</t>
  </si>
  <si>
    <t>Cristo Atlético</t>
  </si>
  <si>
    <t>11/04/2026 16:00 | Spain | Tercera División RFEF - Group 8 | Mojados vs Cristo Atlético</t>
  </si>
  <si>
    <t>11/04/2026 16:00 | Spain | Tercera División RFEF - Group 8 | Bembibre vs UD Santa Marta</t>
  </si>
  <si>
    <t>11/04/2026 16:00 | Spain | Tercera División RFEF - Group 8 | Unionistas II vs Mirandés II</t>
  </si>
  <si>
    <t>11/04/2026 16:00 | Spain | Tercera División RFEF - Group 12 | Herbania vs Lanzarote</t>
  </si>
  <si>
    <t>Avance Ezcabarte</t>
  </si>
  <si>
    <t>Peña Sport</t>
  </si>
  <si>
    <t>11/04/2026 16:00 | Spain | Tercera División RFEF - Group 15 | Avance Ezcabarte vs Peña Sport</t>
  </si>
  <si>
    <t>Aoiz</t>
  </si>
  <si>
    <t>11/04/2026 16:00 | Spain | Tercera División RFEF - Group 15 | Txantrea vs Aoiz</t>
  </si>
  <si>
    <t>11/04/2026 16:00 | Spain | Tercera División RFEF - Group 15 | Ardoi vs Beti Kozkor</t>
  </si>
  <si>
    <t>Manchego</t>
  </si>
  <si>
    <t>11/04/2026 16:00 | Spain | Tercera División RFEF - Group 18 | Manchego vs La Solana</t>
  </si>
  <si>
    <t>11/04/2026 16:00 | Spain | Tercera División RFEF - Group 18 | Villacañas vs Cazalegas</t>
  </si>
  <si>
    <t>11/04/2026 16:00 | Spain | Tercera División RFEF - Group 18 | Illescas vs Toledo</t>
  </si>
  <si>
    <t>11/04/2026 16:00 | Austria | Landesliga - Oberosterreich | Union Perg vs Union Edelweiß</t>
  </si>
  <si>
    <t>11/04/2026 16:00 | Austria | Landesliga - Oberosterreich | St. Martin i.M. vs SK Vorwarts Steyr</t>
  </si>
  <si>
    <t>11/04/2026 16:00 | Austria | Landesliga - Oberosterreich | Grün Weiß Micheldorf vs Bad Schallerbach</t>
  </si>
  <si>
    <t>11/04/2026 16:00 | Austria | Landesliga - Oberosterreich | Ostermiething vs Vortuna Bad Leonfelden</t>
  </si>
  <si>
    <t>11/04/2026 16:00 | Austria | Landesliga - Oberosterreich | Pregarten vs Union Vöcklamarkt</t>
  </si>
  <si>
    <t>11/04/2026 16:00 | Austria | Landesliga - Oberosterreich | Oedt vs Weißkirchen / Allhaming</t>
  </si>
  <si>
    <t>11/04/2026 16:00 | Austria | Landesliga - Oberosterreich | Friedburg / Pöndorf vs Gschwandt</t>
  </si>
  <si>
    <t>11/04/2026 16:00 | Austria | Landesliga - Oberosterreich | Mondsee vs Bad Ischl</t>
  </si>
  <si>
    <t>11/04/2026 16:00 | Austria | Landesliga - Tirol | Mils vs Oberperfuss</t>
  </si>
  <si>
    <t>11/04/2026 16:00 | Austria | Landesliga - Tirol | Swarovski Tirol II vs St. Johann in Tirol</t>
  </si>
  <si>
    <t>11/04/2026 16:00 | Austria | Landesliga - Tirol | Silz / Mötz vs Innsbrucker AC</t>
  </si>
  <si>
    <t>11/04/2026 16:00 | Austria | Landesliga - Tirol | Fügen vs Telfs</t>
  </si>
  <si>
    <t>11/04/2026 16:00 | Austria | Landesliga - Tirol | Kematen vs Volders</t>
  </si>
  <si>
    <t>11/04/2026 16:00 | Austria | Landesliga - Tirol | Ebbs vs Wörgl</t>
  </si>
  <si>
    <t>11/04/2026 16:00 | Austria | Landesliga - Tirol | Völs vs Kundl</t>
  </si>
  <si>
    <t>Vision</t>
  </si>
  <si>
    <t>11/04/2026 16:00 | Ghana | Premier League | Vision vs Hearts of Oak</t>
  </si>
  <si>
    <t>Luanda City</t>
  </si>
  <si>
    <t>11/04/2026 16:00 | Angola | Girabola | Petro de Luanda vs Luanda City</t>
  </si>
  <si>
    <t>Académica do Lobito</t>
  </si>
  <si>
    <t>11/04/2026 16:00 | Angola | Girabola | 1º de Agosto vs Académica do Lobito</t>
  </si>
  <si>
    <t>11/04/2026 16:00 | Angola | Girabola | Guelson FC vs CD Lunda-Sul</t>
  </si>
  <si>
    <t>Redonda FC</t>
  </si>
  <si>
    <t>11/04/2026 16:00 | Angola | Girabola | 1º de Maio vs Redonda FC</t>
  </si>
  <si>
    <t>11/04/2026 16:00 | Slovenia | 3. SNL - East | Brežice vs Rogaška</t>
  </si>
  <si>
    <t>11/04/2026 16:00 | Slovenia | 3. SNL - East | Šmartno vs NŠ Drava</t>
  </si>
  <si>
    <t>Great Ambitions</t>
  </si>
  <si>
    <t>Accra Lions</t>
  </si>
  <si>
    <t>11/04/2026 16:00 | Ghana | Division One League | Great Ambitions vs Accra Lions</t>
  </si>
  <si>
    <t>11/04/2026 16:00 | Ghana | Division One League | Na God vs Koforidua</t>
  </si>
  <si>
    <t>New Edubiase</t>
  </si>
  <si>
    <t>11/04/2026 16:00 | Ghana | Division One League | New Edubiase vs Eleven Wise</t>
  </si>
  <si>
    <t>11/04/2026 16:00 | Ghana | Division One League | Real Tamale vs Bolga AllStars</t>
  </si>
  <si>
    <t>Rospak</t>
  </si>
  <si>
    <t>11/04/2026 16:00 | Ghana | Division One League | Rospak vs Ashanti Gold</t>
  </si>
  <si>
    <t>Techiman Liberty</t>
  </si>
  <si>
    <t>11/04/2026 16:00 | Ghana | Division One League | Techiman Liberty vs KAC Soccer</t>
  </si>
  <si>
    <t>VC Warriors</t>
  </si>
  <si>
    <t>11/04/2026 16:00 | Ghana | Division One League | VC Warriors vs Mighty Royals</t>
  </si>
  <si>
    <t>11/04/2026 16:00 | Sweden | Superettan | Ostersunds FK vs Norrby IF</t>
  </si>
  <si>
    <t>11/04/2026 16:00 | Mexico | Liga MX U21 | Atlas U21 vs Monterrey U21</t>
  </si>
  <si>
    <t>Cruz Azul U21</t>
  </si>
  <si>
    <t>11/04/2026 16:00 | Mexico | Liga MX U21 | Club America U21 vs Cruz Azul U21</t>
  </si>
  <si>
    <t>Necaxa U21</t>
  </si>
  <si>
    <t>11/04/2026 16:00 | Mexico | Liga MX U21 | Queretaro U21 vs Necaxa U21</t>
  </si>
  <si>
    <t>Tigres UANL U21</t>
  </si>
  <si>
    <t>11/04/2026 16:00 | Mexico | Liga MX U21 | Tigres UANL U21 vs Guadalajara Chivas U21</t>
  </si>
  <si>
    <t>Ykkösliiga</t>
  </si>
  <si>
    <t>Haka</t>
  </si>
  <si>
    <t>11/04/2026 16:00 | Finland | Ykkösliiga | PK-35 vs Haka</t>
  </si>
  <si>
    <t>Alverca U19</t>
  </si>
  <si>
    <t>11/04/2026 16:00 | Portugal | Júniores U19 | Alverca U19 vs Mafra U19</t>
  </si>
  <si>
    <t>Sporting Braga U19</t>
  </si>
  <si>
    <t>Chaves U19</t>
  </si>
  <si>
    <t>11/04/2026 16:00 | Portugal | Júniores U19 | Sporting Braga U19 vs Chaves U19</t>
  </si>
  <si>
    <t>Moreirense U19</t>
  </si>
  <si>
    <t>Pacos Ferreira U19</t>
  </si>
  <si>
    <t>11/04/2026 16:00 | Portugal | Júniores U19 | Moreirense U19 vs Pacos Ferreira U19</t>
  </si>
  <si>
    <t>Tondela U19</t>
  </si>
  <si>
    <t>11/04/2026 16:00 | Portugal | Júniores U19 | Tondela U19 vs Belenenses U19</t>
  </si>
  <si>
    <t>Vizela U19</t>
  </si>
  <si>
    <t>Vitoria Guimaraes U19</t>
  </si>
  <si>
    <t>11/04/2026 16:00 | Portugal | Júniores U19 | Vizela U19 vs Vitoria Guimaraes U19</t>
  </si>
  <si>
    <t>Famalicão U19</t>
  </si>
  <si>
    <t>11/04/2026 16:00 | Portugal | Júniores U19 | Famalicão U19 vs Gil Vicente U19</t>
  </si>
  <si>
    <t>Telavi</t>
  </si>
  <si>
    <t>Aragvi Dusheti</t>
  </si>
  <si>
    <t>11/04/2026 16:00 | Georgia | Erovnuli Liga 2 | Telavi vs Aragvi Dusheti</t>
  </si>
  <si>
    <t>11/04/2026 16:00 | Cameroon | Elite Two | APEJES Academy vs Union Douala</t>
  </si>
  <si>
    <t>11/04/2026 16:00 | Moldova | Super Liga | Petrocub vs Zimbru</t>
  </si>
  <si>
    <t>11/04/2026 16:00 | Moldova | Super Liga | Sheriff Tiraspol vs Milsami Orhei</t>
  </si>
  <si>
    <t>11/04/2026 16:00 | Belarus | Premier League | Slavia Mozyr vs Arsenal</t>
  </si>
  <si>
    <t>Ordabasy</t>
  </si>
  <si>
    <t>11/04/2026 16:00 | Kazakhstan | Premier League | FC Astana vs Ordabasy</t>
  </si>
  <si>
    <t>Colina</t>
  </si>
  <si>
    <t>Santiago City</t>
  </si>
  <si>
    <t>11/04/2026 16:00 | Chile | Segunda División | Colina vs Santiago City</t>
  </si>
  <si>
    <t>Rēzekne FA</t>
  </si>
  <si>
    <t>Skanste</t>
  </si>
  <si>
    <t>11/04/2026 16:00 | Latvia | 1. Liga | Rēzekne FA vs Skanste</t>
  </si>
  <si>
    <t>11/04/2026 16:00 | Austria | Bundesliga | SCR Altach vs Grazer AK</t>
  </si>
  <si>
    <t>11/04/2026 16:00 | Austria | Bundesliga | Wolfsberger AC vs Ried</t>
  </si>
  <si>
    <t>Turkmenistan</t>
  </si>
  <si>
    <t>Ýokary Liga</t>
  </si>
  <si>
    <t>Aşgabat</t>
  </si>
  <si>
    <t>Şagadam</t>
  </si>
  <si>
    <t>11/04/2026 16:00 | Turkmenistan | Ýokary Liga | Aşgabat vs Şagadam</t>
  </si>
  <si>
    <t>Köpetdag Aşgabat</t>
  </si>
  <si>
    <t>Altyn Asyr</t>
  </si>
  <si>
    <t>11/04/2026 16:00 | Turkmenistan | Ýokary Liga | Köpetdag Aşgabat vs Altyn Asyr</t>
  </si>
  <si>
    <t>Merw</t>
  </si>
  <si>
    <t>Nebitci</t>
  </si>
  <si>
    <t>11/04/2026 16:00 | Turkmenistan | Ýokary Liga | Merw vs Nebitci</t>
  </si>
  <si>
    <t>11/04/2026 16:00 | Egypt | Premier League | Pyramids FC vs AL Masry</t>
  </si>
  <si>
    <t>Shakhter Soligorsk</t>
  </si>
  <si>
    <t>Gomel II</t>
  </si>
  <si>
    <t>11/04/2026 16:00 | Belarus | 1. Division | Shakhter Soligorsk vs Gomel II</t>
  </si>
  <si>
    <t>Kenya W</t>
  </si>
  <si>
    <t>India W</t>
  </si>
  <si>
    <t>11/04/2026 16:00 | World | Friendlies Women | Kenya W vs India W</t>
  </si>
  <si>
    <t>11/04/2026 16:00 | Gabon | Championnat D1 | Stade Migoveen vs Bouenguidi</t>
  </si>
  <si>
    <t>11/04/2026 16:15</t>
  </si>
  <si>
    <t>Avellino</t>
  </si>
  <si>
    <t>11/04/2026 16:15 | Italy | Serie B | Avellino vs Catanzaro</t>
  </si>
  <si>
    <t>Pachuca U21</t>
  </si>
  <si>
    <t>11/04/2026 16:15 | Mexico | Liga MX U21 | Pachuca U21 vs Santos Laguna U21</t>
  </si>
  <si>
    <t>11/04/2026 16:30</t>
  </si>
  <si>
    <t>Zaglebie Lubin</t>
  </si>
  <si>
    <t>11/04/2026 16:30 | Poland | Ekstraklasa | Zaglebie Lubin vs Radomiak Radom</t>
  </si>
  <si>
    <t>11/04/2026 16:30 | Slovenia | 1. SNL | Mura vs Bravo</t>
  </si>
  <si>
    <t>11/04/2026 16:30 | Switzerland | 1. Liga Promotion | SC Kriens vs Vevey Sports</t>
  </si>
  <si>
    <t>Sekhukhune United</t>
  </si>
  <si>
    <t>11/04/2026 16:30 | South-Africa | Premier Soccer League | Sekhukhune United vs Magesi</t>
  </si>
  <si>
    <t>Mamelodi Sundowns</t>
  </si>
  <si>
    <t>11/04/2026 16:30 | South-Africa | Premier Soccer League | Mamelodi Sundowns vs Stellenbosch</t>
  </si>
  <si>
    <t>Chênois</t>
  </si>
  <si>
    <t>11/04/2026 16:30 | Switzerland | 1. Liga Classic - Group 1 | Chênois vs Servette II</t>
  </si>
  <si>
    <t>11/04/2026 16:30 | Spain | Segunda División RFEF - Group 2 | Ebro vs Beasain</t>
  </si>
  <si>
    <t>Novara</t>
  </si>
  <si>
    <t>11/04/2026 16:30 | Italy | Serie C - Girone A | Vicenza Virtus vs Novara</t>
  </si>
  <si>
    <t>11/04/2026 16:30 | Italy | Serie C - Girone B | Forli vs Ascoli</t>
  </si>
  <si>
    <t>Atlético Arteixo</t>
  </si>
  <si>
    <t>11/04/2026 16:30 | Spain | Tercera División RFEF - Group 1 | Atlético Arteixo vs Barco</t>
  </si>
  <si>
    <t>Aretxabaleta</t>
  </si>
  <si>
    <t>Lagun Onak</t>
  </si>
  <si>
    <t>11/04/2026 16:30 | Spain | Tercera División RFEF - Group 4 | Aretxabaleta vs Lagun Onak</t>
  </si>
  <si>
    <t>Zarautz</t>
  </si>
  <si>
    <t>11/04/2026 16:30 | Spain | Tercera División RFEF - Group 4 | Deportivo Alavés III vs Zarautz</t>
  </si>
  <si>
    <t>11/04/2026 16:30 | Spain | Tercera División RFEF - Group 8 | Almazán vs Numancia II</t>
  </si>
  <si>
    <t>11/04/2026 16:30 | Spain | Tercera División RFEF - Group 11 | Collerense vs Santanyí</t>
  </si>
  <si>
    <t>Robres</t>
  </si>
  <si>
    <t>11/04/2026 16:30 | Spain | Tercera División RFEF - Group 17 | Belchite 97 vs Robres</t>
  </si>
  <si>
    <t>11/04/2026 16:30 | Spain | Tercera División RFEF - Group 18 | San Clemente vs Huracán Balazote</t>
  </si>
  <si>
    <t>11/04/2026 16:30 | Spain | Tercera División RFEF - Group 18 | Tarancón vs Azuqueca</t>
  </si>
  <si>
    <t>11/04/2026 16:30 | Finland | Ykkösliiga | EIF vs JIPPO</t>
  </si>
  <si>
    <t>Mosta</t>
  </si>
  <si>
    <t>11/04/2026 16:30 | Malta | Premier League | Tarxien Rainbows vs Mosta</t>
  </si>
  <si>
    <t>11/04/2026 16:30 | Malta | Premier League | Marsaxlokk vs Hamrun Spartans</t>
  </si>
  <si>
    <t>Bantu</t>
  </si>
  <si>
    <t>11/04/2026 16:30 | Lesotho | Premier League | Manonyane vs Bantu</t>
  </si>
  <si>
    <t>11/04/2026 16:40</t>
  </si>
  <si>
    <t>Al Khaleej Saihat</t>
  </si>
  <si>
    <t>Al-Hilal Saudi FC</t>
  </si>
  <si>
    <t>11/04/2026 16:40 | Saudi-Arabia | Pro League | Al Khaleej Saihat vs Al-Hilal Saudi FC</t>
  </si>
  <si>
    <t>11/04/2026 16:45</t>
  </si>
  <si>
    <t>11/04/2026 16:45 | Hungary | NB I | MTK Budapest vs Zalaegerszegi TE</t>
  </si>
  <si>
    <t>11/04/2026 17:00</t>
  </si>
  <si>
    <t>Udinese</t>
  </si>
  <si>
    <t>11/04/2026 17:00 | Italy | Serie A | AC Milan vs Udinese</t>
  </si>
  <si>
    <t>Vlašim</t>
  </si>
  <si>
    <t>11/04/2026 17:00 | Czech-Republic | FNL | Artis vs Vlašim</t>
  </si>
  <si>
    <t>Slovácko</t>
  </si>
  <si>
    <t>11/04/2026 17:00 | Czech-Republic | Czech Liga | Slovácko vs Hradec Králové</t>
  </si>
  <si>
    <t>11/04/2026 17:00 | Slovenia | 2. SNL | Triglav vs Dravinja</t>
  </si>
  <si>
    <t>Zaglebie Sosnowiec</t>
  </si>
  <si>
    <t>11/04/2026 17:00 | Poland | II Liga - East | Zaglebie Sosnowiec vs ŁKS Łódź II</t>
  </si>
  <si>
    <t>11/04/2026 17:00 | Turkey | 1. Lig | Bodrum FK vs Bandırmaspor</t>
  </si>
  <si>
    <t>11/04/2026 17:00 | Netherlands | Tweede Divisie | De Treffers vs ACV</t>
  </si>
  <si>
    <t>Wikielec</t>
  </si>
  <si>
    <t>11/04/2026 17:00 | Poland | III Liga - Group 1 | Wikielec vs Mławianka Mława</t>
  </si>
  <si>
    <t>11/04/2026 17:00 | Poland | III Liga - Group 3 | Starowice Dolne vs Stal Jasień</t>
  </si>
  <si>
    <t>11/04/2026 17:00 | Hungary | NB III - Northwest | Bicskei vs Gyirmot SE</t>
  </si>
  <si>
    <t>Andrézieux</t>
  </si>
  <si>
    <t>11/04/2026 17:00 | France | National 2 - Group C | Bobigny vs Andrézieux</t>
  </si>
  <si>
    <t>11/04/2026 17:00 | France | National 2 - Group C | Toulon vs Istres</t>
  </si>
  <si>
    <t>Rumilly Vallières</t>
  </si>
  <si>
    <t>11/04/2026 17:00 | France | National 2 - Group C | Rumilly Vallières vs Saint-Priest</t>
  </si>
  <si>
    <t>11/04/2026 17:00 | France | National 2 - Group C | Grasse vs Cannes</t>
  </si>
  <si>
    <t>11/04/2026 17:00 | France | National 2 - Group C | Nimes vs St Maur Lusitanos</t>
  </si>
  <si>
    <t>11/04/2026 17:00 | France | National 2 - Group C | Chasselay MDA vs Rousset-Ste Victoire</t>
  </si>
  <si>
    <t>11/04/2026 17:00 | France | National 2 - Group B | Colmar vs Chantilly</t>
  </si>
  <si>
    <t>11/04/2026 17:00 | France | National 2 - Group B | Haguenau vs St-Pryvé St-Hilaire</t>
  </si>
  <si>
    <t>11/04/2026 17:00 | France | National 2 - Group B | Blois vs Biesheim</t>
  </si>
  <si>
    <t>11/04/2026 17:00 | France | National 2 - Group B | Thionville Lusitanos vs Feignies-Aulnoye</t>
  </si>
  <si>
    <t>11/04/2026 17:00 | France | National 2 - Group B | Bastia-Borgo vs Beauvais</t>
  </si>
  <si>
    <t>11/04/2026 17:00 | France | National 2 - Group B | Bourges Foot 18 vs Dieppe</t>
  </si>
  <si>
    <t>Lorient II</t>
  </si>
  <si>
    <t>11/04/2026 17:00 | France | National 2 - Group A | Bordeaux vs Lorient II</t>
  </si>
  <si>
    <t>Châteaubriant</t>
  </si>
  <si>
    <t>11/04/2026 17:00 | France | National 2 - Group A | Châteaubriant vs Saint-Colomban Locminé</t>
  </si>
  <si>
    <t>11/04/2026 17:00 | France | National 2 - Group A | Saumur vs Chauray</t>
  </si>
  <si>
    <t>Dinan Léhon</t>
  </si>
  <si>
    <t>11/04/2026 17:00 | France | National 2 - Group A | Avranches vs Dinan Léhon</t>
  </si>
  <si>
    <t>Montlouis</t>
  </si>
  <si>
    <t>11/04/2026 17:00 | France | National 2 - Group A | Les Herbiers vs Montlouis</t>
  </si>
  <si>
    <t>11/04/2026 17:00 | France | National 3 - Group G | Hauts Lyonnais vs Mâcon</t>
  </si>
  <si>
    <t>Union Cosnoise</t>
  </si>
  <si>
    <t>11/04/2026 17:00 | France | National 3 - Group G | Jura Sud Foot vs Union Cosnoise</t>
  </si>
  <si>
    <t>11/04/2026 17:00 | France | National 3 - Group G | Dijon II vs Feurs</t>
  </si>
  <si>
    <t>11/04/2026 17:00 | France | National 3 - Group A | Anglet Genets vs Agde</t>
  </si>
  <si>
    <t>11/04/2026 17:00 | France | National 3 - Group A | Tarbes vs Canet Roussillon</t>
  </si>
  <si>
    <t>11/04/2026 17:00 | France | National 3 - Group A | Bassin d'Arcachon Sud vs Colomiers</t>
  </si>
  <si>
    <t>11/04/2026 17:00 | France | National 3 - Group A | Blagnac vs SAG Cestas</t>
  </si>
  <si>
    <t>11/04/2026 17:00 | France | National 3 - Group B | Le Poiré sur Vie vs Châtellerault</t>
  </si>
  <si>
    <t>11/04/2026 17:00 | France | National 3 - Group B | La Châtaigneraie vs St-Philbert Gd Lieu</t>
  </si>
  <si>
    <t>11/04/2026 17:00 | France | National 3 - Group B | Châteauroux II vs Angers SCO II</t>
  </si>
  <si>
    <t>Chauvigny</t>
  </si>
  <si>
    <t>11/04/2026 17:00 | France | National 3 - Group B | Chauvigny vs Challans</t>
  </si>
  <si>
    <t>11/04/2026 17:00 | France | National 3 - Group B | USSA Vertou vs Nantes II</t>
  </si>
  <si>
    <t>Vendée Fontenay</t>
  </si>
  <si>
    <t>11/04/2026 17:00 | France | National 3 - Group B | UF Touraine vs Vendée Fontenay</t>
  </si>
  <si>
    <t>11/04/2026 17:00 | France | National 3 - Group C | Guingamp II vs Brest II</t>
  </si>
  <si>
    <t>11/04/2026 17:00 | France | National 3 - Group C | Laval II vs Vitré</t>
  </si>
  <si>
    <t>11/04/2026 17:00 | France | National 3 - Group C | Alençon vs Vire</t>
  </si>
  <si>
    <t>11/04/2026 17:00 | France | National 3 - Group C | Rennes II vs Drapeau Fougères</t>
  </si>
  <si>
    <t>11/04/2026 17:00 | France | National 3 - Group C | Cesson vs Ergué-Gaberic</t>
  </si>
  <si>
    <t>11/04/2026 17:00 | France | National 3 - Group C | Saint-Pierre Milizac vs Pontivy GSI</t>
  </si>
  <si>
    <t>11/04/2026 17:00 | France | National 3 - Group C | Lannion vs Vannes</t>
  </si>
  <si>
    <t>11/04/2026 17:00 | France | National 3 - Group F | Mulhouse vs Chalon-sur-Saône</t>
  </si>
  <si>
    <t>11/04/2026 17:00 | France | National 3 - Group F | Thonon Évian vs Belfort</t>
  </si>
  <si>
    <t>11/04/2026 17:00 | France | National 3 - Group F | Jura Dolois vs Sochaux II</t>
  </si>
  <si>
    <t>Thaon</t>
  </si>
  <si>
    <t>11/04/2026 17:00 | France | National 3 - Group F | Torcy vs Thaon</t>
  </si>
  <si>
    <t>11/04/2026 17:00 | France | National 3 - Group F | Pontarlier vs Racing Besançon</t>
  </si>
  <si>
    <t>11/04/2026 17:00 | France | National 3 - Group F | Besançon vs Ivry</t>
  </si>
  <si>
    <t>11/04/2026 17:00 | France | National 3 - Group H | Olympique Marseille II vs Olympique Lyonnais II</t>
  </si>
  <si>
    <t>11/04/2026 17:00 | France | National 3 - Group H | Bourgoin-Jallieu vs Stade Beaucairois</t>
  </si>
  <si>
    <t>Carnoux</t>
  </si>
  <si>
    <t>11/04/2026 17:00 | France | National 3 - Group H | Lyon Duchere vs Carnoux</t>
  </si>
  <si>
    <t>11/04/2026 17:00 | France | National 3 - Group H | Seyssinet-Pariset vs Cannet Rocheville</t>
  </si>
  <si>
    <t>11/04/2026 17:00 | France | National 3 - Group D | Trouville Deauville vs Aubervilliers</t>
  </si>
  <si>
    <t>11/04/2026 17:00 | France | National 3 - Group D | C' Chartres vs Dives-Cabourg</t>
  </si>
  <si>
    <t>11/04/2026 17:00 | France | National 3 - Group D | St Ouen l'Aumône vs Linas-Montlhery</t>
  </si>
  <si>
    <t>11/04/2026 17:00 | France | National 3 - Group D | Sainte Geneviève vs Brétigny Foot</t>
  </si>
  <si>
    <t>11/04/2026 17:00 | France | National 3 - Group D | Racing Colombes 92 vs Caen II</t>
  </si>
  <si>
    <t>11/04/2026 17:00 | France | National 3 - Group E | Olympique St Quentin vs Amiens SC II</t>
  </si>
  <si>
    <t>11/04/2026 17:00 | France | National 3 - Group E | Reims II vs OCPAM</t>
  </si>
  <si>
    <t>11/04/2026 17:00 | France | National 3 - Group E | Lille II vs Pays de Cassel</t>
  </si>
  <si>
    <t>11/04/2026 17:00 | France | National 3 - Group E | Croix Football IC vs Vimy</t>
  </si>
  <si>
    <t>11/04/2026 17:00 | Spain | Segunda División RFEF - Group 2 | Amorebieta vs Gernika</t>
  </si>
  <si>
    <t>11/04/2026 17:00 | Spain | Segunda División RFEF - Group 5 | SS Reyes vs Getafe II</t>
  </si>
  <si>
    <t>Al Najma</t>
  </si>
  <si>
    <t>NEOM</t>
  </si>
  <si>
    <t>11/04/2026 17:00 | Saudi-Arabia | Pro League | Al Najma vs NEOM</t>
  </si>
  <si>
    <t>Al Taawon</t>
  </si>
  <si>
    <t>Al Kholood</t>
  </si>
  <si>
    <t>11/04/2026 17:00 | Saudi-Arabia | Pro League | Al Taawon vs Al Kholood</t>
  </si>
  <si>
    <t>Hoogeveen</t>
  </si>
  <si>
    <t>11/04/2026 17:00 | Netherlands | Derde Divisie - Saturday | Hoogeveen vs Sportlust '46</t>
  </si>
  <si>
    <t>11/04/2026 17:00 | Azerbaijan | Premyer Liqa | Neftchi Baku vs Araz</t>
  </si>
  <si>
    <t>Real Apodaca</t>
  </si>
  <si>
    <t>11/04/2026 17:00 | Mexico | Liga Premier Serie A | Correcaminos UAT II vs Real Apodaca</t>
  </si>
  <si>
    <t>Vimenor</t>
  </si>
  <si>
    <t>Tropezón</t>
  </si>
  <si>
    <t>11/04/2026 17:00 | Spain | Tercera División RFEF - Group 3 | Vimenor vs Tropezón</t>
  </si>
  <si>
    <t>Montañas Pas</t>
  </si>
  <si>
    <t>Gimnástica Torrelavega</t>
  </si>
  <si>
    <t>11/04/2026 17:00 | Spain | Tercera División RFEF - Group 3 | Montañas Pas vs Gimnástica Torrelavega</t>
  </si>
  <si>
    <t>11/04/2026 17:00 | Spain | Tercera División RFEF - Group 6 | Buñol vs Torrellano</t>
  </si>
  <si>
    <t>11/04/2026 17:00 | Spain | Tercera División RFEF - Group 7 | A Madrid III vs Unión Adarve</t>
  </si>
  <si>
    <t>11/04/2026 17:00 | Spain | Tercera División RFEF - Group 8 | Arandina vs La Virgen del Camino</t>
  </si>
  <si>
    <t>11/04/2026 17:00 | Spain | Tercera División RFEF - Group 8 | Palencia CF vs Atlético Tordesillas</t>
  </si>
  <si>
    <t>11/04/2026 17:00 | Spain | Tercera División RFEF - Group 11 | Rotlet Molinar vs Son Cladera</t>
  </si>
  <si>
    <t>11/04/2026 17:00 | Spain | Tercera División RFEF - Group 12 | Las Palmas III vs Tamaraceite</t>
  </si>
  <si>
    <t>Tenerife C</t>
  </si>
  <si>
    <t>11/04/2026 17:00 | Spain | Tercera División RFEF - Group 12 | Tenerife C vs Unión Sur Yaiza</t>
  </si>
  <si>
    <t>Unión Molinense</t>
  </si>
  <si>
    <t>11/04/2026 17:00 | Spain | Tercera División RFEF - Group 13 | Águilas II vs Unión Molinense</t>
  </si>
  <si>
    <t>11/04/2026 17:00 | Spain | Tercera División RFEF - Group 18 | Villarrubia vs Sonseca</t>
  </si>
  <si>
    <t>11/04/2026 17:00 | Burkina-Faso | Ligue 1 | SONABEL vs CFFEB</t>
  </si>
  <si>
    <t>RCK</t>
  </si>
  <si>
    <t>11/04/2026 17:00 | Burkina-Faso | Ligue 1 | RCK vs ASFA-Yennenga</t>
  </si>
  <si>
    <t>11/04/2026 17:00 | Burkina-Faso | Ligue 1 | RC Bobo-Dioulasso vs ASFB</t>
  </si>
  <si>
    <t>Bellinzona</t>
  </si>
  <si>
    <t>11/04/2026 17:00 | Switzerland | Challenge League | Bellinzona vs FC Aarau</t>
  </si>
  <si>
    <t>Rapperswil</t>
  </si>
  <si>
    <t>FC WIL 1900</t>
  </si>
  <si>
    <t>11/04/2026 17:00 | Switzerland | Challenge League | Rapperswil vs FC WIL 1900</t>
  </si>
  <si>
    <t>FC Winterthur</t>
  </si>
  <si>
    <t>11/04/2026 17:00 | Switzerland | Super League | FC Winterthur vs Grasshoppers</t>
  </si>
  <si>
    <t>FC Lugano</t>
  </si>
  <si>
    <t>11/04/2026 17:00 | Switzerland | Super League | FC Zurich vs FC Lugano</t>
  </si>
  <si>
    <t>11/04/2026 17:00 | Norway | Eliteserien | Viking vs Bodo/Glimt</t>
  </si>
  <si>
    <t>Ilves</t>
  </si>
  <si>
    <t>11/04/2026 17:00 | Finland | Veikkausliiga | Inter Turku vs Ilves</t>
  </si>
  <si>
    <t>Lokomotiv Oslo</t>
  </si>
  <si>
    <t>Heming</t>
  </si>
  <si>
    <t>11/04/2026 17:00 | Norway | 3. Division - Girone 1 | Lokomotiv Oslo vs Heming</t>
  </si>
  <si>
    <t>11/04/2026 17:00 | Faroe-Islands | Meistaradeildin | B36 Torshavn vs Skála</t>
  </si>
  <si>
    <t>Saburtalo</t>
  </si>
  <si>
    <t>11/04/2026 17:00 | Georgia | Erovnuli Liga | Saburtalo vs Meshakhte</t>
  </si>
  <si>
    <t>11/04/2026 17:00 | Netherlands | U21 Divisie 1 | Cambuur U21 vs Feyenoord U21</t>
  </si>
  <si>
    <t>11/04/2026 17:00 | Portugal | Liga 3 | CF Os Belenenses vs Guimaraes B</t>
  </si>
  <si>
    <t>Luunja</t>
  </si>
  <si>
    <t>11/04/2026 17:00 | Estonia | Esiliiga B | Luunja vs Tallinna Kalev II</t>
  </si>
  <si>
    <t>Legion</t>
  </si>
  <si>
    <t>11/04/2026 17:00 | Estonia | Esiliiga B | Tartu Kalev vs Legion</t>
  </si>
  <si>
    <t>Fgura United</t>
  </si>
  <si>
    <t>11/04/2026 17:00 | Malta | Challenge League | Melita vs Fgura United</t>
  </si>
  <si>
    <t>Slovan Bratislava</t>
  </si>
  <si>
    <t>11/04/2026 17:00 | Slovakia | Super Liga | Slovan Bratislava vs Spartak Trnava</t>
  </si>
  <si>
    <t>Olympique Safi</t>
  </si>
  <si>
    <t>11/04/2026 17:00 | World | CAF Confederation Cup | USM Alger vs Olympique Safi</t>
  </si>
  <si>
    <t>Leiknir R.</t>
  </si>
  <si>
    <t>11/04/2026 17:00 | Iceland | Cup | Vestri vs Leiknir R.</t>
  </si>
  <si>
    <t>Racing d'Abidjan</t>
  </si>
  <si>
    <t>11/04/2026 17:00 | Ivory-Coast | Ligue 1 | Racing d'Abidjan vs US Tchologo</t>
  </si>
  <si>
    <t>Horoya</t>
  </si>
  <si>
    <t>11/04/2026 17:00 | Guinea | Ligue 1 | Horoya vs Hafia</t>
  </si>
  <si>
    <t>11/04/2026 17:05</t>
  </si>
  <si>
    <t>Al-Hazm</t>
  </si>
  <si>
    <t>Al-Fayha</t>
  </si>
  <si>
    <t>11/04/2026 17:05 | Saudi-Arabia | Pro League | Al-Hazm vs Al-Fayha</t>
  </si>
  <si>
    <t>11/04/2026 17:15</t>
  </si>
  <si>
    <t>Al-Rustaq</t>
  </si>
  <si>
    <t>Al-Nahda</t>
  </si>
  <si>
    <t>11/04/2026 17:15 | Oman | Professional League | Al-Rustaq vs Al-Nahda</t>
  </si>
  <si>
    <t>KVC Westerlo</t>
  </si>
  <si>
    <t>11/04/2026 17:15 | Belgium | Jupiler Pro League | Standard Liege vs KVC Westerlo</t>
  </si>
  <si>
    <t>Génération Foot</t>
  </si>
  <si>
    <t>DSC</t>
  </si>
  <si>
    <t>11/04/2026 17:15 | Senegal | Ligue 1 | Génération Foot vs DSC</t>
  </si>
  <si>
    <t>11/04/2026 17:20</t>
  </si>
  <si>
    <t>Al-Fateh</t>
  </si>
  <si>
    <t>11/04/2026 17:20 | Saudi-Arabia | Pro League | Al-Ahli Jeddah vs Al-Fateh</t>
  </si>
  <si>
    <t>11/04/2026 17:30</t>
  </si>
  <si>
    <t>11/04/2026 17:30 | England | Premier League | Liverpool vs Fulham</t>
  </si>
  <si>
    <t>11/04/2026 17:30 | Scotland | League One | Stenhousemuir vs Inverness CT</t>
  </si>
  <si>
    <t>11/04/2026 17:30 | Germany | Bundesliga | FC St. Pauli vs Bayern München</t>
  </si>
  <si>
    <t>FK Sarajevo</t>
  </si>
  <si>
    <t>11/04/2026 17:30 | Bosnia | Premijer Liga | FK Sarajevo vs Zrinjski</t>
  </si>
  <si>
    <t>Barcelona</t>
  </si>
  <si>
    <t>11/04/2026 17:30 | Spain | La Liga | Barcelona vs Espanyol</t>
  </si>
  <si>
    <t>11/04/2026 17:30 | Spain | Segunda División | Malaga vs Las Palmas</t>
  </si>
  <si>
    <t>11/04/2026 17:30 | England | National League | Rochdale vs Wealdstone</t>
  </si>
  <si>
    <t>11/04/2026 17:30 | Russia | Premier League | Baltika vs Nizhny Novgorod</t>
  </si>
  <si>
    <t>11/04/2026 17:30 | France | National 3 - Group G | Vierzon FC vs Romorantin</t>
  </si>
  <si>
    <t>11/04/2026 17:30 | France | National 3 - Group G | Moulins-Yzeure Foot 03 vs Saint-Étienne II</t>
  </si>
  <si>
    <t>11/04/2026 17:30 | France | National 3 - Group A | Castanet vs Onet-le-Château</t>
  </si>
  <si>
    <t>11/04/2026 17:30 | France | National 3 - Group H | Olympique d'Alès vs ASPTT Dijon</t>
  </si>
  <si>
    <t>11/04/2026 17:30 | France | National 3 - Group E | Le Pays du Valois vs Neuilly sur Marne</t>
  </si>
  <si>
    <t>11/04/2026 17:30 | France | National 3 - Group E | Gazelec FC Ajaccio vs Drancy</t>
  </si>
  <si>
    <t>Real Betis II</t>
  </si>
  <si>
    <t>Eldense</t>
  </si>
  <si>
    <t>11/04/2026 17:30 | Spain | Primera División RFEF - Group 2 | Real Betis II vs Eldense</t>
  </si>
  <si>
    <t>11/04/2026 17:30 | Spain | Primera División RFEF - Group 2 | FC Cartagena vs Antequera</t>
  </si>
  <si>
    <t>Gimnastic</t>
  </si>
  <si>
    <t>Real Murcia</t>
  </si>
  <si>
    <t>11/04/2026 17:30 | Spain | Primera División RFEF - Group 2 | Gimnastic vs Real Murcia</t>
  </si>
  <si>
    <t>VW Hamme</t>
  </si>
  <si>
    <t>11/04/2026 17:30 | Belgium | Second Amateur Division - VFV A | Zulte Waregem II vs VW Hamme</t>
  </si>
  <si>
    <t>Heist</t>
  </si>
  <si>
    <t>11/04/2026 17:30 | Belgium | Second Amateur Division - VFV B | Royal Antwerp II vs Heist</t>
  </si>
  <si>
    <t>Vogherese</t>
  </si>
  <si>
    <t>USD Casatese</t>
  </si>
  <si>
    <t>11/04/2026 17:30 | Italy | Serie D - Girone B | Vogherese vs USD Casatese</t>
  </si>
  <si>
    <t>11/04/2026 17:30 | Spain | Tercera División RFEF - Group 3 | Torina vs Laredo</t>
  </si>
  <si>
    <t>Alzira</t>
  </si>
  <si>
    <t>11/04/2026 17:30 | Spain | Tercera División RFEF - Group 6 | Alzira vs Jove Español</t>
  </si>
  <si>
    <t>Khorfakkan</t>
  </si>
  <si>
    <t>Al Bataeh</t>
  </si>
  <si>
    <t>11/04/2026 17:30 | United-Arab-Emirates | Pro League | Khorfakkan vs Al Bataeh</t>
  </si>
  <si>
    <t>Ajman</t>
  </si>
  <si>
    <t>Al-Wasl FC</t>
  </si>
  <si>
    <t>11/04/2026 17:30 | United-Arab-Emirates | Pro League | Ajman vs Al-Wasl FC</t>
  </si>
  <si>
    <t>11/04/2026 17:30 | Senegal | Ligue 1 | Jaraaf vs Guédiawaye</t>
  </si>
  <si>
    <t>11/04/2026 17:30 | Senegal | Ligue 1 | AJEL vs Ouakam</t>
  </si>
  <si>
    <t>Kaédi</t>
  </si>
  <si>
    <t>N'Zidane</t>
  </si>
  <si>
    <t>11/04/2026 17:30 | Mauritania | Premier League | Kaédi vs N'Zidane</t>
  </si>
  <si>
    <t>SNIM</t>
  </si>
  <si>
    <t>11/04/2026 17:30 | Mauritania | Premier League | SNIM vs Nouakchott King's</t>
  </si>
  <si>
    <t>11/04/2026 17:45</t>
  </si>
  <si>
    <t>PSV Eindhoven</t>
  </si>
  <si>
    <t>11/04/2026 17:45 | Netherlands | Eredivisie | Sparta Rotterdam vs PSV Eindhoven</t>
  </si>
  <si>
    <t>CD Lugo B</t>
  </si>
  <si>
    <t>11/04/2026 17:45 | Spain | Tercera División RFEF - Group 1 | CD Lugo B vs Celta de Vigo III</t>
  </si>
  <si>
    <t>AC Douane</t>
  </si>
  <si>
    <t>11/04/2026 17:45 | Mauritania | Premier League | Chemal vs AC Douane</t>
  </si>
  <si>
    <t>11/04/2026 18:00</t>
  </si>
  <si>
    <t>Nantes</t>
  </si>
  <si>
    <t>11/04/2026 18:00 | France | Ligue 1 | Auxerre vs Nantes</t>
  </si>
  <si>
    <t>Ilirija</t>
  </si>
  <si>
    <t>11/04/2026 18:00 | Slovenia | 2. SNL | Rudar vs Ilirija</t>
  </si>
  <si>
    <t>Ironi Tiberias</t>
  </si>
  <si>
    <t>Ashdod</t>
  </si>
  <si>
    <t>11/04/2026 18:00 | Israel | Ligat Ha'al | Ironi Tiberias vs Ashdod</t>
  </si>
  <si>
    <t>Hapoel Petah Tikva</t>
  </si>
  <si>
    <t>Hapoel Tel Aviv</t>
  </si>
  <si>
    <t>11/04/2026 18:00 | Israel | Ligat Ha'al | Hapoel Petah Tikva vs Hapoel Tel Aviv</t>
  </si>
  <si>
    <t>Maccabi Netanya</t>
  </si>
  <si>
    <t>Hapoel Haifa</t>
  </si>
  <si>
    <t>11/04/2026 18:00 | Israel | Ligat Ha'al | Maccabi Netanya vs Hapoel Haifa</t>
  </si>
  <si>
    <t>Bnei Sakhnin</t>
  </si>
  <si>
    <t>Maccabi Bnei Raina</t>
  </si>
  <si>
    <t>11/04/2026 18:00 | Israel | Ligat Ha'al | Bnei Sakhnin vs Maccabi Bnei Raina</t>
  </si>
  <si>
    <t>11/04/2026 18:00 | Hungary | NB II | Budapest Honved vs Kozarmisleny FC</t>
  </si>
  <si>
    <t>11/04/2026 18:00 | Turkey | Süper Lig | Kayserispor vs Fenerbahçe</t>
  </si>
  <si>
    <t>11/04/2026 18:00 | Portugal | Primeira Liga | Santa Clara vs Rio Ave</t>
  </si>
  <si>
    <t>11/04/2026 18:00 | Austria | Regionalliga - Mitte | St. Anna vs Oedt</t>
  </si>
  <si>
    <t>11/04/2026 18:00 | Portugal | Segunda Liga | Benfica B vs União de Leiria</t>
  </si>
  <si>
    <t>Chaves</t>
  </si>
  <si>
    <t>Torreense</t>
  </si>
  <si>
    <t>11/04/2026 18:00 | Portugal | Segunda Liga | Chaves vs Torreense</t>
  </si>
  <si>
    <t>11/04/2026 18:00 | Poland | III Liga - Group 2 | Elana Toruń vs Lipno Stęszew</t>
  </si>
  <si>
    <t>11/04/2026 18:00 | Albania | Superliga | Flamurtari vs Vora</t>
  </si>
  <si>
    <t>11/04/2026 18:00 | Switzerland | 1. Liga Promotion | Lausanne Sport II vs Zürich II</t>
  </si>
  <si>
    <t>11/04/2026 18:00 | France | National 3 - Group G | Chamalières vs Auxerre II</t>
  </si>
  <si>
    <t>11/04/2026 18:00 | France | National 3 - Group A | Lège-Cap-Ferret vs Toulouse II</t>
  </si>
  <si>
    <t>11/04/2026 18:00 | France | National 3 - Group A | Alberes Argelès vs Pau II</t>
  </si>
  <si>
    <t>11/04/2026 18:00 | Spain | Segunda División RFEF - Group 4 | Almería II vs Estepona</t>
  </si>
  <si>
    <t>11/04/2026 18:00 | Netherlands | Derde Divisie - Sunday | Kloetinge vs Roosendaal</t>
  </si>
  <si>
    <t>Tritons Vallarta</t>
  </si>
  <si>
    <t>11/04/2026 18:00 | Mexico | Liga Premier Serie A | Leones Negros vs Tritons Vallarta</t>
  </si>
  <si>
    <t>11/04/2026 18:00 | Spain | Tercera División RFEF - Group 9 | Huétor Tájar vs Mancha Real</t>
  </si>
  <si>
    <t>Centre Chiefs</t>
  </si>
  <si>
    <t>Black Lions</t>
  </si>
  <si>
    <t>11/04/2026 18:00 | Botswana | Premier League | Centre Chiefs vs Black Lions</t>
  </si>
  <si>
    <t>11/04/2026 18:00 | USA | Major League Soccer | Toronto FC vs FC Cincinnati</t>
  </si>
  <si>
    <t>SC Villa</t>
  </si>
  <si>
    <t>KCCA</t>
  </si>
  <si>
    <t>11/04/2026 18:00 | Uganda | Premier League | SC Villa vs KCCA</t>
  </si>
  <si>
    <t>St. Andrews</t>
  </si>
  <si>
    <t>11/04/2026 18:00 | Malta | Challenge League | St. Andrews vs Swieqi United</t>
  </si>
  <si>
    <t>11/04/2026 18:00 | Belarus | Premier League | Torpedo Zhodino vs Dinamo Minsk</t>
  </si>
  <si>
    <t>FCSB</t>
  </si>
  <si>
    <t>11/04/2026 18:00 | Romania | Liga I | FCSB vs Oţelul</t>
  </si>
  <si>
    <t>Wally Daan</t>
  </si>
  <si>
    <t>11/04/2026 18:00 | Senegal | Ligue 1 | Wally Daan vs HLM</t>
  </si>
  <si>
    <t>HPS</t>
  </si>
  <si>
    <t>NJS</t>
  </si>
  <si>
    <t>11/04/2026 18:00 | Finland | Suomen Cup | HPS vs NJS</t>
  </si>
  <si>
    <t>11/04/2026 18:29</t>
  </si>
  <si>
    <t>Korona Kielce II</t>
  </si>
  <si>
    <t>11/04/2026 18:29 | Poland | III Liga - Group 4 | KSZO 1929 vs Korona Kielce II</t>
  </si>
  <si>
    <t>11/04/2026 18:30</t>
  </si>
  <si>
    <t>Górnik Łęczna</t>
  </si>
  <si>
    <t>Chrobry Głogów</t>
  </si>
  <si>
    <t>11/04/2026 18:30 | Poland | I Liga | Górnik Łęczna vs Chrobry Głogów</t>
  </si>
  <si>
    <t>Wieczysta Kraków</t>
  </si>
  <si>
    <t>11/04/2026 18:30 | Poland | I Liga | Ruch Chorzów vs Wieczysta Kraków</t>
  </si>
  <si>
    <t>Stal Mielec</t>
  </si>
  <si>
    <t>Stal Rzeszów</t>
  </si>
  <si>
    <t>11/04/2026 18:30 | Poland | I Liga | Stal Mielec vs Stal Rzeszów</t>
  </si>
  <si>
    <t>Ordino</t>
  </si>
  <si>
    <t>11/04/2026 18:30 | Andorra | 1a Divisió | Ordino vs Carroi</t>
  </si>
  <si>
    <t>Lechia Zielona Góra</t>
  </si>
  <si>
    <t>11/04/2026 18:30 | Poland | III Liga - Group 3 | Lechia Zielona Góra vs Słowianin</t>
  </si>
  <si>
    <t>11/04/2026 18:30 | Belgium | First Amateur Division | Ninove vs Knokke</t>
  </si>
  <si>
    <t>11/04/2026 18:30 | Belgium | First Amateur Division | Merelbeke vs Houtvenne</t>
  </si>
  <si>
    <t>11/04/2026 18:30 | Switzerland | 1. Liga Promotion | Biel-Bienne vs Paradiso</t>
  </si>
  <si>
    <t>11/04/2026 18:30 | Italy | Serie B | Monza vs Bari</t>
  </si>
  <si>
    <t>La Calamine</t>
  </si>
  <si>
    <t>11/04/2026 18:30 | Belgium | Second Amateur Division - ACFF | La Calamine vs Flénu</t>
  </si>
  <si>
    <t>KRC Gent</t>
  </si>
  <si>
    <t>11/04/2026 18:30 | Belgium | Second Amateur Division - VFV A | Oudenaarde vs KRC Gent</t>
  </si>
  <si>
    <t>Harelbeke</t>
  </si>
  <si>
    <t>11/04/2026 18:30 | Belgium | Second Amateur Division - VFV A | Harelbeke vs HO Kalken</t>
  </si>
  <si>
    <t>Eendracht Termien</t>
  </si>
  <si>
    <t>11/04/2026 18:30 | Belgium | Second Amateur Division - VFV B | Tongeren vs Eendracht Termien</t>
  </si>
  <si>
    <t>11/04/2026 18:30 | Faroe-Islands | Meistaradeildin | KI Klaksvik vs B68</t>
  </si>
  <si>
    <t>11/04/2026 18:30 | Belgium | First Amateur Division | Union Saint-Gilloise II vs Sporting Charleroi II</t>
  </si>
  <si>
    <t>11/04/2026 18:30 | Austria | Bundesliga | FC BW Linz vs WSG Wattens</t>
  </si>
  <si>
    <t>11/04/2026 18:30 | Gibraltar | Premier Division | Lions Gibraltar vs Lincoln Red Imps FC</t>
  </si>
  <si>
    <t>11/04/2026 18:45</t>
  </si>
  <si>
    <t>Čelik</t>
  </si>
  <si>
    <t>Bratstvo Gračanica</t>
  </si>
  <si>
    <t>11/04/2026 18:45 | Bosnia | 1st League - FBiH | Čelik vs Bratstvo Gračanica</t>
  </si>
  <si>
    <t>11/04/2026 19:00</t>
  </si>
  <si>
    <t>Paks</t>
  </si>
  <si>
    <t>11/04/2026 19:00 | Hungary | NB I | Nyiregyhaza vs Paks</t>
  </si>
  <si>
    <t>Groningen</t>
  </si>
  <si>
    <t>11/04/2026 19:00 | Netherlands | Eredivisie | Groningen vs GO Ahead Eagles</t>
  </si>
  <si>
    <t>11/04/2026 19:00 | France | Ligue 2 | Saint Etienne vs Dunkerque</t>
  </si>
  <si>
    <t>KRC Genk II</t>
  </si>
  <si>
    <t>11/04/2026 19:00 | Belgium | Challenger Pro League | Francs Borains vs KRC Genk II</t>
  </si>
  <si>
    <t>Olympic Charleroi</t>
  </si>
  <si>
    <t>11/04/2026 19:00 | Belgium | Challenger Pro League | Olympic Charleroi vs K. Lierse S.K.</t>
  </si>
  <si>
    <t>Lommel United</t>
  </si>
  <si>
    <t>11/04/2026 19:00 | Belgium | Challenger Pro League | Lommel United vs Club Brugge II</t>
  </si>
  <si>
    <t>11/04/2026 19:00 | Belgium | Challenger Pro League | SK Beveren vs Kortrijk</t>
  </si>
  <si>
    <t>Sporting Hasselt</t>
  </si>
  <si>
    <t>Oud-Heverlee Leuven II</t>
  </si>
  <si>
    <t>11/04/2026 19:00 | Belgium | First Amateur Division | Sporting Hasselt vs Oud-Heverlee Leuven II</t>
  </si>
  <si>
    <t>11/04/2026 19:00 | Belgium | First Amateur Division | Lyra-Lierse Berlaar vs Thes Sport</t>
  </si>
  <si>
    <t>11/04/2026 19:00 | Belgium | First Amateur Division | Zelzate vs Hoogstraten</t>
  </si>
  <si>
    <t>11/04/2026 19:00 | South-Africa | Premier Soccer League | Chippa United vs Polokwane City</t>
  </si>
  <si>
    <t>Al Okhdood</t>
  </si>
  <si>
    <t>Al-Nassr</t>
  </si>
  <si>
    <t>11/04/2026 19:00 | Saudi-Arabia | Pro League | Al Okhdood vs Al-Nassr</t>
  </si>
  <si>
    <t>11/04/2026 19:00 | Belgium | Second Amateur Division - ACFF | Braine vs Onhaye</t>
  </si>
  <si>
    <t>11/04/2026 19:00 | Belgium | Second Amateur Division - VFV A | Mandel United vs Oostkamp</t>
  </si>
  <si>
    <t>11/04/2026 19:00 | Belgium | Second Amateur Division - VFV A | Gullegem vs Sparta Petegem</t>
  </si>
  <si>
    <t>11/04/2026 19:00 | Belgium | Second Amateur Division - VFV A | Westhoek vs Diksmuide</t>
  </si>
  <si>
    <t>RFC Wetteren</t>
  </si>
  <si>
    <t>11/04/2026 19:00 | Belgium | Second Amateur Division - VFV A | RFC Wetteren vs FC Lebbeke</t>
  </si>
  <si>
    <t>11/04/2026 19:00 | Belgium | Second Amateur Division - VFV B | Wellen vs Berchem Sport</t>
  </si>
  <si>
    <t>11/04/2026 19:00 | Belgium | Second Amateur Division - VFV B | Nijlen vs Rupel Boom</t>
  </si>
  <si>
    <t>Racing Mechelen</t>
  </si>
  <si>
    <t>11/04/2026 19:00 | Belgium | Second Amateur Division - VFV B | Racing Mechelen vs Bocholt</t>
  </si>
  <si>
    <t>Londerzeel</t>
  </si>
  <si>
    <t>11/04/2026 19:00 | Belgium | Second Amateur Division - VFV B | Londerzeel vs Cappellen</t>
  </si>
  <si>
    <t>11/04/2026 19:00 | Spain | Tercera División RFEF - Group 6 | Utiel vs RC Catarroja</t>
  </si>
  <si>
    <t>Deportivo Riestra</t>
  </si>
  <si>
    <t>Instituto Cordoba</t>
  </si>
  <si>
    <t>11/04/2026 19:00 | Argentina | Liga Profesional Argentina | Deportivo Riestra vs Instituto Cordoba</t>
  </si>
  <si>
    <t>11/04/2026 19:00 | Belgium | First Amateur Division | Tubize vs Excelsior Virton</t>
  </si>
  <si>
    <t>11/04/2026 19:00 | Belgium | First Amateur Division | Rochefort vs Albert Quévy-Mons</t>
  </si>
  <si>
    <t>11/04/2026 19:00 | Brazil | Baiano U20 | Bahia U20 vs Camaçariense U20</t>
  </si>
  <si>
    <t>11/04/2026 19:00 | Brazil | Baiano U20 | Atlético Alagoinhas U20 vs Bahia de Feira U20</t>
  </si>
  <si>
    <t>11/04/2026 19:00 | Brazil | Baiano U20 | Feirense U20 vs SSA U20</t>
  </si>
  <si>
    <t>11/04/2026 19:00 | Brazil | Baiano U20 | Fluminense de Feira U20 vs Jacuipense U20</t>
  </si>
  <si>
    <t>Barcelona BA U20</t>
  </si>
  <si>
    <t>11/04/2026 19:00 | Brazil | Baiano U20 | Jequie U20 vs Barcelona BA U20</t>
  </si>
  <si>
    <t>11/04/2026 19:00 | Brazil | Baiano U20 | Juazeirense U20 vs Jacobina U20</t>
  </si>
  <si>
    <t>Grapiuna U20</t>
  </si>
  <si>
    <t>11/04/2026 19:00 | Brazil | Baiano U20 | Porto BA U20 vs Grapiuna U20</t>
  </si>
  <si>
    <t>Conquista U20</t>
  </si>
  <si>
    <t>Catuense U20</t>
  </si>
  <si>
    <t>11/04/2026 19:00 | Brazil | Baiano U20 | Conquista U20 vs Catuense U20</t>
  </si>
  <si>
    <t>11/04/2026 19:00 | Brazil | Baiano U20 | Redencao U20 vs Estrela De Marco U20</t>
  </si>
  <si>
    <t>Alagoano - 2</t>
  </si>
  <si>
    <t>Jacyobá</t>
  </si>
  <si>
    <t>Sete de Setembro</t>
  </si>
  <si>
    <t>11/04/2026 19:00 | Brazil | Alagoano - 2 | Jacyobá vs Sete de Setembro</t>
  </si>
  <si>
    <t>Paulista - A2</t>
  </si>
  <si>
    <t>São José EC</t>
  </si>
  <si>
    <t>11/04/2026 19:00 | Brazil | Paulista - A2 | Juventus vs São José EC</t>
  </si>
  <si>
    <t>Smouha SC</t>
  </si>
  <si>
    <t>11/04/2026 19:00 | Egypt | Premier League | Al Ahly vs Smouha SC</t>
  </si>
  <si>
    <t>Enppi</t>
  </si>
  <si>
    <t>Ceramica Cleopatra</t>
  </si>
  <si>
    <t>11/04/2026 19:00 | Egypt | Premier League | Enppi vs Ceramica Cleopatra</t>
  </si>
  <si>
    <t>São José PA U20</t>
  </si>
  <si>
    <t>11/04/2026 19:00 | Brazil | Estadual Junior U20 | SERC Brasil U20 vs São José PA U20</t>
  </si>
  <si>
    <t>Internacional U20</t>
  </si>
  <si>
    <t>SC Gaucho RS U20</t>
  </si>
  <si>
    <t>11/04/2026 19:00 | Brazil | Estadual Junior U20 | Internacional U20 vs SC Gaucho RS U20</t>
  </si>
  <si>
    <t>11/04/2026 19:00 | Brazil | Estadual Junior U20 | Real SC U20 vs Grêmio U20</t>
  </si>
  <si>
    <t>Santa Maria U20</t>
  </si>
  <si>
    <t>11/04/2026 19:00 | Brazil | Estadual Junior U20 | Ivoti U20 vs Santa Maria U20</t>
  </si>
  <si>
    <t>América Mineiro U20</t>
  </si>
  <si>
    <t>Cruzeiro U20</t>
  </si>
  <si>
    <t>11/04/2026 19:00 | Brazil | Mineiro U20 | América Mineiro U20 vs Cruzeiro U20</t>
  </si>
  <si>
    <t>Atlético Mineiro U20</t>
  </si>
  <si>
    <t>Sao Joao del Rei U20</t>
  </si>
  <si>
    <t>11/04/2026 19:00 | Brazil | Mineiro U20 | Atlético Mineiro U20 vs Sao Joao del Rei U20</t>
  </si>
  <si>
    <t>Uberabinha U20</t>
  </si>
  <si>
    <t>Boston City U20</t>
  </si>
  <si>
    <t>11/04/2026 19:00 | Brazil | Mineiro U20 | Uberabinha U20 vs Boston City U20</t>
  </si>
  <si>
    <t>Villa Real U20</t>
  </si>
  <si>
    <t>Coimbra U20</t>
  </si>
  <si>
    <t>11/04/2026 19:00 | Brazil | Mineiro U20 | Villa Real U20 vs Coimbra U20</t>
  </si>
  <si>
    <t>Serie D</t>
  </si>
  <si>
    <t>América RJ</t>
  </si>
  <si>
    <t>11/04/2026 19:00 | Brazil | Serie D | América RJ vs Portuguesa RJ</t>
  </si>
  <si>
    <t>La Luz</t>
  </si>
  <si>
    <t>Uruguay Montevideo</t>
  </si>
  <si>
    <t>11/04/2026 19:00 | Uruguay | Segunda División | La Luz vs Uruguay Montevideo</t>
  </si>
  <si>
    <t>FC Racing</t>
  </si>
  <si>
    <t>Artesanos Metepec</t>
  </si>
  <si>
    <t>11/04/2026 19:00 | Mexico | Liga Premier Serie B | FC Racing vs Artesanos Metepec</t>
  </si>
  <si>
    <t>11/04/2026 19:00 | Brazil | Paulista - A3 | Rio Preto vs Portuguesa Santista</t>
  </si>
  <si>
    <t>11/04/2026 19:00 | Brazil | Paulista - A4 | Joseense vs São Caetano</t>
  </si>
  <si>
    <t>11/04/2026 19:00 | Brazil | Paulista - A4 | Taquaritinga vs Penapolense</t>
  </si>
  <si>
    <t>Catarinense U20</t>
  </si>
  <si>
    <t>Barra SC U20</t>
  </si>
  <si>
    <t>Criciuma U20</t>
  </si>
  <si>
    <t>11/04/2026 19:00 | Brazil | Catarinense U20 | Barra SC U20 vs Criciuma U20</t>
  </si>
  <si>
    <t>Nação U20</t>
  </si>
  <si>
    <t>Brusque U20</t>
  </si>
  <si>
    <t>11/04/2026 19:00 | Brazil | Catarinense U20 | Nação U20 vs Brusque U20</t>
  </si>
  <si>
    <t>Concórdia U20</t>
  </si>
  <si>
    <t>Carlos Renaux U20</t>
  </si>
  <si>
    <t>11/04/2026 19:00 | Brazil | Catarinense U20 | Concórdia U20 vs Carlos Renaux U20</t>
  </si>
  <si>
    <t>Ceará U20</t>
  </si>
  <si>
    <t>Alianca U20</t>
  </si>
  <si>
    <t>11/04/2026 19:00 | Brazil | Cearense U20 | Ceará U20 vs Alianca U20</t>
  </si>
  <si>
    <t>Vila Real FC U20</t>
  </si>
  <si>
    <t>Atlético Cearense U20</t>
  </si>
  <si>
    <t>11/04/2026 19:00 | Brazil | Cearense U20 | Vila Real FC U20 vs Atlético Cearense U20</t>
  </si>
  <si>
    <t>11/04/2026 19:15</t>
  </si>
  <si>
    <t>11/04/2026 19:15 | Poland | Ekstraklasa | Legia Warszawa vs Gornik Zabrze</t>
  </si>
  <si>
    <t>Celje</t>
  </si>
  <si>
    <t>11/04/2026 19:15 | Slovenia | 1. SNL | Radomlje vs Celje</t>
  </si>
  <si>
    <t>11/04/2026 19:15 | Belgium | Second Amateur Division - VFV B | Rotselaar vs Hades</t>
  </si>
  <si>
    <t>11/04/2026 19:30</t>
  </si>
  <si>
    <t>11/04/2026 19:30 | Germany | 2. Bundesliga | SV Darmstadt 98 vs Hannover 96</t>
  </si>
  <si>
    <t>Folgore Caratese</t>
  </si>
  <si>
    <t>Oltrepò</t>
  </si>
  <si>
    <t>11/04/2026 19:30 | Italy | Serie D - Girone B | Folgore Caratese vs Oltrepò</t>
  </si>
  <si>
    <t>11/04/2026 19:30 | USA | Major League Soccer | Austin vs Los Angeles Galaxy</t>
  </si>
  <si>
    <t>11/04/2026 19:30 | USA | Major League Soccer | CF Montreal vs Philadelphia Union</t>
  </si>
  <si>
    <t>Independ. Rivadavia</t>
  </si>
  <si>
    <t>Argentinos JRS</t>
  </si>
  <si>
    <t>11/04/2026 19:30 | Argentina | Liga Profesional Argentina | Independ. Rivadavia vs Argentinos JRS</t>
  </si>
  <si>
    <t>Bray Wanderers</t>
  </si>
  <si>
    <t>11/04/2026 19:30 | Ireland | First Division | Longford Town vs Bray Wanderers</t>
  </si>
  <si>
    <t>11/04/2026 19:30 | Switzerland | Super League | FC Thun vs FC Basel 1893</t>
  </si>
  <si>
    <t>11/04/2026 19:30 | Argentina | Primera Nacional | Almagro vs Patronato</t>
  </si>
  <si>
    <t>11/04/2026 19:30 | Argentina | Primera Nacional | San Miguel vs Deportivo Moron</t>
  </si>
  <si>
    <t>11/04/2026 19:30 | Argentina | Primera Nacional | San Telmo vs Godoy Cruz</t>
  </si>
  <si>
    <t>11/04/2026 19:30 | Argentina | Primera B Metropolitana | Real Pilar vs Deportivo Armenio</t>
  </si>
  <si>
    <t>11/04/2026 19:30 | Argentina | Primera B Metropolitana | San Martín Burzaco vs Defensores Unidos</t>
  </si>
  <si>
    <t>Sportivo Italiano</t>
  </si>
  <si>
    <t>11/04/2026 19:30 | Argentina | Primera B Metropolitana | Sportivo Italiano vs Comunicaciones</t>
  </si>
  <si>
    <t>Deportivo Laferrere</t>
  </si>
  <si>
    <t>11/04/2026 19:30 | Argentina | Primera B Metropolitana | Villa Dalmine vs Deportivo Laferrere</t>
  </si>
  <si>
    <t>Villa San Carlos</t>
  </si>
  <si>
    <t>Argentino Quilmes</t>
  </si>
  <si>
    <t>11/04/2026 19:30 | Argentina | Primera B Metropolitana | Villa San Carlos vs Argentino Quilmes</t>
  </si>
  <si>
    <t>Atletico Atlas</t>
  </si>
  <si>
    <t>11/04/2026 19:30 | Argentina | Primera C | Canuelas vs Atletico Atlas</t>
  </si>
  <si>
    <t>Fénix</t>
  </si>
  <si>
    <t>11/04/2026 19:30 | Argentina | Primera C | Central Ballester vs Fénix</t>
  </si>
  <si>
    <t>Central Cordoba</t>
  </si>
  <si>
    <t>Lujan</t>
  </si>
  <si>
    <t>11/04/2026 19:30 | Argentina | Primera C | Central Cordoba vs Lujan</t>
  </si>
  <si>
    <t>Berazategui</t>
  </si>
  <si>
    <t>11/04/2026 19:30 | Argentina | Primera C | Centro Español vs Berazategui</t>
  </si>
  <si>
    <t>Sacachispas</t>
  </si>
  <si>
    <t>11/04/2026 19:30 | Argentina | Primera C | Deportivo Paraguayo vs Sacachispas</t>
  </si>
  <si>
    <t>Defensores de Cambaceres</t>
  </si>
  <si>
    <t>11/04/2026 19:30 | Argentina | Primera C | Leandro N. Alem vs Defensores de Cambaceres</t>
  </si>
  <si>
    <t>11/04/2026 19:30 | Brazil | Paranaense - 2 | Patriotas vs Rio Branco PR</t>
  </si>
  <si>
    <t>11/04/2026 19:30 | Brazil | Paranaense - 2 | Laranja Mecânica vs Batel</t>
  </si>
  <si>
    <t>11/04/2026 19:30 | Brazil | Paranaense U20 | Cianorte U20 vs Athletico PR U20</t>
  </si>
  <si>
    <t>Araucaria U20</t>
  </si>
  <si>
    <t>11/04/2026 19:30 | Brazil | Paranaense U20 | Coritiba U20 vs Araucaria U20</t>
  </si>
  <si>
    <t>Operário PR U20</t>
  </si>
  <si>
    <t>11/04/2026 19:30 | Brazil | Paranaense U20 | CE União U20 vs Operário PR U20</t>
  </si>
  <si>
    <t>11/04/2026 19:30 | Brazil | Paranaense U20 | Patriotas U20 vs Parana Clube U20</t>
  </si>
  <si>
    <t>Galo Maringá U20</t>
  </si>
  <si>
    <t>11/04/2026 19:30 | Brazil | Paranaense U20 | Cascavel U20 vs Galo Maringá U20</t>
  </si>
  <si>
    <t>City London U20</t>
  </si>
  <si>
    <t>11/04/2026 19:30 | Brazil | Paranaense U20 | City London U20 vs Hope Internacional U20</t>
  </si>
  <si>
    <t>Alvarado</t>
  </si>
  <si>
    <t>Kimberley Mar del Plata</t>
  </si>
  <si>
    <t>11/04/2026 19:30 | Argentina | Torneo Federal A | Alvarado vs Kimberley Mar del Plata</t>
  </si>
  <si>
    <t>Pontalinense U20</t>
  </si>
  <si>
    <t>11/04/2026 19:30 | Brazil | Goiano U20 | Pontalinense U20 vs Trindade U20</t>
  </si>
  <si>
    <t>11/04/2026 19:30 | Brazil | Goiano U20 | Royal U20 vs Goiania U20</t>
  </si>
  <si>
    <t>Boston River</t>
  </si>
  <si>
    <t>11/04/2026 19:30 | Uruguay | Primera División - Apertura | Defensor Sporting vs Boston River</t>
  </si>
  <si>
    <t>11/04/2026 19:45</t>
  </si>
  <si>
    <t>Atalanta</t>
  </si>
  <si>
    <t>11/04/2026 19:45 | Italy | Serie A | Atalanta vs Juventus</t>
  </si>
  <si>
    <t>11/04/2026 19:45 | Belgium | Jupiler Pro League | St. Truiden vs Club Brugge KV</t>
  </si>
  <si>
    <t>11/04/2026 20:00</t>
  </si>
  <si>
    <t>Heracles</t>
  </si>
  <si>
    <t>Ajax</t>
  </si>
  <si>
    <t>11/04/2026 20:00 | Netherlands | Eredivisie | Heracles vs Ajax</t>
  </si>
  <si>
    <t>Atletico Madrid</t>
  </si>
  <si>
    <t>11/04/2026 20:00 | Spain | La Liga | Sevilla vs Atletico Madrid</t>
  </si>
  <si>
    <t>11/04/2026 20:00 | Spain | Segunda División | Cordoba vs Zaragoza</t>
  </si>
  <si>
    <t>11/04/2026 20:00 | Spain | Primera División RFEF - Group 1 | Racing Ferrol vs Real Madrid II</t>
  </si>
  <si>
    <t>D. La Serena</t>
  </si>
  <si>
    <t>Everton de Vina</t>
  </si>
  <si>
    <t>11/04/2026 20:00 | Chile | Primera División | D. La Serena vs Everton de Vina</t>
  </si>
  <si>
    <t>Union San Felipe</t>
  </si>
  <si>
    <t>11/04/2026 20:00 | Chile | Primera B | Union San Felipe vs Curico Unido</t>
  </si>
  <si>
    <t>11/04/2026 20:00 | Colombia | Primera B | Real Soacha vs Tigres FC</t>
  </si>
  <si>
    <t>Canada</t>
  </si>
  <si>
    <t>Canadian Premier League</t>
  </si>
  <si>
    <t>York United</t>
  </si>
  <si>
    <t>HFX Wanderers FC</t>
  </si>
  <si>
    <t>11/04/2026 20:00 | Canada | Canadian Premier League | York United vs HFX Wanderers FC</t>
  </si>
  <si>
    <t>Mushuc Runa SC</t>
  </si>
  <si>
    <t>Manta FC</t>
  </si>
  <si>
    <t>11/04/2026 20:00 | Ecuador | Liga Pro | Mushuc Runa SC vs Manta FC</t>
  </si>
  <si>
    <t>Juventude</t>
  </si>
  <si>
    <t>Goias</t>
  </si>
  <si>
    <t>11/04/2026 20:00 | Brazil | Serie B | Juventude vs Goias</t>
  </si>
  <si>
    <t>Canada W</t>
  </si>
  <si>
    <t>Zambia W</t>
  </si>
  <si>
    <t>11/04/2026 20:00 | World | Friendlies Women | Canada W vs Zambia W</t>
  </si>
  <si>
    <t>Guarany de Sobral</t>
  </si>
  <si>
    <t>11/04/2026 20:00 | Brazil | Cearense - 2 | Itapipoca vs Guarany de Sobral</t>
  </si>
  <si>
    <t>11/04/2026 20:00 | World | CAF Champions League | FAR Rabat vs Renaissance Berkane</t>
  </si>
  <si>
    <t>Ipatinga</t>
  </si>
  <si>
    <t>11/04/2026 20:00 | Brazil | Serie D | Ipatinga vs ABECAT Ouvidorense</t>
  </si>
  <si>
    <t>Jacuipense</t>
  </si>
  <si>
    <t>11/04/2026 20:00 | Brazil | Serie D | Jacuipense vs CSA</t>
  </si>
  <si>
    <t>Madureira</t>
  </si>
  <si>
    <t>Água Santa</t>
  </si>
  <si>
    <t>11/04/2026 20:00 | Brazil | Serie D | Madureira vs Água Santa</t>
  </si>
  <si>
    <t>São Luiz</t>
  </si>
  <si>
    <t>Cascavel</t>
  </si>
  <si>
    <t>11/04/2026 20:00 | Brazil | Serie D | São Luiz vs Cascavel</t>
  </si>
  <si>
    <t>Águia de Marabá</t>
  </si>
  <si>
    <t>11/04/2026 20:00 | Brazil | Serie D | Tocantinópolis vs Águia de Marabá</t>
  </si>
  <si>
    <t>Lagarto</t>
  </si>
  <si>
    <t>Treze</t>
  </si>
  <si>
    <t>11/04/2026 20:00 | Brazil | Serie D | Lagarto vs Treze</t>
  </si>
  <si>
    <t>Sergipe</t>
  </si>
  <si>
    <t>Decisão</t>
  </si>
  <si>
    <t>11/04/2026 20:00 | Brazil | Serie D | Sergipe vs Decisão</t>
  </si>
  <si>
    <t>ABB</t>
  </si>
  <si>
    <t>11/04/2026 20:00 | Bolivia | Primera División | ABB vs Bolívar</t>
  </si>
  <si>
    <t>Copa Ecuador</t>
  </si>
  <si>
    <t>Insutec</t>
  </si>
  <si>
    <t>Deportivo Ibarra</t>
  </si>
  <si>
    <t>11/04/2026 20:00 | Ecuador | Copa Ecuador | Insutec vs Deportivo Ibarra</t>
  </si>
  <si>
    <t>11/04/2026 20:05</t>
  </si>
  <si>
    <t>Angers</t>
  </si>
  <si>
    <t>11/04/2026 20:05 | France | Ligue 1 | Rennes vs Angers</t>
  </si>
  <si>
    <t>11/04/2026 20:30</t>
  </si>
  <si>
    <t>11/04/2026 20:30 | Portugal | Primeira Liga | Estrela vs Sporting CP</t>
  </si>
  <si>
    <t>UA Zacatecas</t>
  </si>
  <si>
    <t>11/04/2026 20:30 | Mexico | Liga Premier Serie A | UA Zacatecas vs Ensenada</t>
  </si>
  <si>
    <t>Remo</t>
  </si>
  <si>
    <t>Vasco DA Gama</t>
  </si>
  <si>
    <t>11/04/2026 20:30 | Brazil | Serie A | Remo vs Vasco DA Gama</t>
  </si>
  <si>
    <t>Vitoria</t>
  </si>
  <si>
    <t>Sao Paulo</t>
  </si>
  <si>
    <t>11/04/2026 20:30 | Brazil | Serie A | Vitoria vs Sao Paulo</t>
  </si>
  <si>
    <t>Bartolomé Mitre</t>
  </si>
  <si>
    <t>Sol de América</t>
  </si>
  <si>
    <t>11/04/2026 20:30 | Argentina | Torneo Federal A | Bartolomé Mitre vs Sol de América</t>
  </si>
  <si>
    <t>11/04/2026 20:30 | Venezuela | Segunda División | Zamora FC B vs Puerto Cabello II</t>
  </si>
  <si>
    <t>Mineros de Guyana</t>
  </si>
  <si>
    <t>11/04/2026 20:30 | Venezuela | Segunda División | Mineros de Guyana vs Atletico Avila FC</t>
  </si>
  <si>
    <t>11/04/2026 21:00</t>
  </si>
  <si>
    <t>Sporting JAX W</t>
  </si>
  <si>
    <t>11/04/2026 21:00 | USA | USL Super League | Fort Lauderdale United W vs Sporting JAX W</t>
  </si>
  <si>
    <t>11/04/2026 21:00 | USA | USL Championship | Detroit City vs Sporting JAX</t>
  </si>
  <si>
    <t>11/04/2026 21:00 | Argentina | Primera C | Mercedes vs Argentino Rosario</t>
  </si>
  <si>
    <t>Millonarios W</t>
  </si>
  <si>
    <t>11/04/2026 21:00 | Colombia | Liga Femenina | Deportivo Pasto W vs Millonarios W</t>
  </si>
  <si>
    <t>Serie C</t>
  </si>
  <si>
    <t>Floresta</t>
  </si>
  <si>
    <t>11/04/2026 21:00 | Brazil | Serie C | Floresta vs Santa Cruz</t>
  </si>
  <si>
    <t>Linares Unido</t>
  </si>
  <si>
    <t>Provincial Osorno</t>
  </si>
  <si>
    <t>11/04/2026 21:00 | Chile | Segunda División | Linares Unido vs Provincial Osorno</t>
  </si>
  <si>
    <t>Barbalha</t>
  </si>
  <si>
    <t>11/04/2026 21:00 | Brazil | Cearense - 2 | Cariri vs Barbalha</t>
  </si>
  <si>
    <t>Atlético Pantoja</t>
  </si>
  <si>
    <t>11/04/2026 21:00 | Dominican-Republic | Liga Mayor | Atlético Pantoja vs Moca</t>
  </si>
  <si>
    <t>Uniclinic Atletico Clube</t>
  </si>
  <si>
    <t>11/04/2026 21:00 | Brazil | Serie D | Piauí vs Uniclinic Atletico Clube</t>
  </si>
  <si>
    <t>Real Noroeste</t>
  </si>
  <si>
    <t>11/04/2026 21:00 | Brazil | Serie D | Real Noroeste vs Vitória ES</t>
  </si>
  <si>
    <t>Sampaio Correa</t>
  </si>
  <si>
    <t>IAPE</t>
  </si>
  <si>
    <t>11/04/2026 21:00 | Brazil | Serie D | Sampaio Correa vs IAPE</t>
  </si>
  <si>
    <t>Uberlandia</t>
  </si>
  <si>
    <t>11/04/2026 21:00 | Brazil | Serie D | Uberlandia vs Ivinhema</t>
  </si>
  <si>
    <t>Ferroviario</t>
  </si>
  <si>
    <t>Tirol/CEFAT</t>
  </si>
  <si>
    <t>11/04/2026 21:00 | Brazil | Serie D | Ferroviario vs Tirol/CEFAT</t>
  </si>
  <si>
    <t>11/04/2026 21:00 | Brazil | Paulista - A4 | EC Lemense vs Inter de Bebedouro</t>
  </si>
  <si>
    <t>11/04/2026 21:15</t>
  </si>
  <si>
    <t>Estudiantes L.P.</t>
  </si>
  <si>
    <t>11/04/2026 21:15 | Argentina | Liga Profesional Argentina | Estudiantes L.P. vs Union Santa Fe</t>
  </si>
  <si>
    <t>11/04/2026 21:30</t>
  </si>
  <si>
    <t>Flora</t>
  </si>
  <si>
    <t>11/04/2026 21:30 | Suriname | Eerste Divisie | Flora vs Broki</t>
  </si>
  <si>
    <t>11/04/2026 21:45</t>
  </si>
  <si>
    <t>11/04/2026 21:45 | USA | Major League Soccer | Portland Timbers vs Los Angeles FC</t>
  </si>
  <si>
    <t>11/04/2026 22:00</t>
  </si>
  <si>
    <t>Union Omaha</t>
  </si>
  <si>
    <t>Forward Madison</t>
  </si>
  <si>
    <t>11/04/2026 22:00 | USA | USL League One | Union Omaha vs Forward Madison</t>
  </si>
  <si>
    <t>11/04/2026 22:00 | Guatemala | Liga Nacional | Mixco vs Xelajú</t>
  </si>
  <si>
    <t>Ituzaingó</t>
  </si>
  <si>
    <t>11/04/2026 22:00 | Argentina | Primera B Metropolitana | Deportivo Merlo vs Ituzaingó</t>
  </si>
  <si>
    <t>Águilas Doradas</t>
  </si>
  <si>
    <t>Junior</t>
  </si>
  <si>
    <t>11/04/2026 22:00 | Colombia | Primera A | Águilas Doradas vs Junior</t>
  </si>
  <si>
    <t>11/04/2026 22:00 | Venezuela | Primera División | Portuguesa FC vs Puerto Cabello</t>
  </si>
  <si>
    <t>11/04/2026 22:00 | USA | MLS Next Pro | Connecticut FC vs Columbus Crew II</t>
  </si>
  <si>
    <t>Ponte Preta</t>
  </si>
  <si>
    <t>11/04/2026 22:00 | Brazil | Serie B | Ponte Preta vs Vila Nova</t>
  </si>
  <si>
    <t>Avai</t>
  </si>
  <si>
    <t>11/04/2026 22:00 | Brazil | Serie B | Sport Recife vs Avai</t>
  </si>
  <si>
    <t>Matagalpa</t>
  </si>
  <si>
    <t>11/04/2026 22:00 | Nicaragua | Primera Division | Jalapa vs Matagalpa</t>
  </si>
  <si>
    <t>Azuriz</t>
  </si>
  <si>
    <t>Marcílio Dias</t>
  </si>
  <si>
    <t>11/04/2026 22:00 | Brazil | Serie D | Azuriz vs Marcílio Dias</t>
  </si>
  <si>
    <t>11/04/2026 22:00 | Brazil | Serie D | Luverdense vs Brasiliense</t>
  </si>
  <si>
    <t>Monte Roraima</t>
  </si>
  <si>
    <t>11/04/2026 22:00 | Brazil | Serie D | Manauara vs Monte Roraima</t>
  </si>
  <si>
    <t>União Rondonópolis</t>
  </si>
  <si>
    <t>11/04/2026 22:00 | Brazil | Serie D | Mixto vs União Rondonópolis</t>
  </si>
  <si>
    <t>Noroeste</t>
  </si>
  <si>
    <t>XV de Piracicaba</t>
  </si>
  <si>
    <t>11/04/2026 22:00 | Brazil | Serie D | Noroeste vs XV de Piracicaba</t>
  </si>
  <si>
    <t>Santa Catarina</t>
  </si>
  <si>
    <t>Cianorte</t>
  </si>
  <si>
    <t>11/04/2026 22:00 | Brazil | Serie D | Santa Catarina vs Cianorte</t>
  </si>
  <si>
    <t>Tombense</t>
  </si>
  <si>
    <t>Porto BA</t>
  </si>
  <si>
    <t>11/04/2026 22:00 | Brazil | Serie D | Tombense vs Porto BA</t>
  </si>
  <si>
    <t>11/04/2026 22:15</t>
  </si>
  <si>
    <t>Sportivo Luqueno</t>
  </si>
  <si>
    <t>11/04/2026 22:15 | Paraguay | Division Profesional - Apertura | Sportivo Luqueno vs Deportivo Recoleta</t>
  </si>
  <si>
    <t>Nacional Potosí</t>
  </si>
  <si>
    <t>Universitario de Vinto</t>
  </si>
  <si>
    <t>11/04/2026 22:15 | Bolivia | Primera División | Nacional Potosí vs Universitario de Vinto</t>
  </si>
  <si>
    <t>11/04/2026 22:30</t>
  </si>
  <si>
    <t>Chilpancingo</t>
  </si>
  <si>
    <t>11/04/2026 22:30 | Mexico | Liga Premier Serie A | Ciervos vs Chilpancingo</t>
  </si>
  <si>
    <t>11/04/2026 22:30 | Mexico | Liga Premier Serie A | Sporting Canamy vs FC Santiago</t>
  </si>
  <si>
    <t>11/04/2026 22:30 | Mexico | Liga Premier Serie A | Deportiva Venados vs Neza</t>
  </si>
  <si>
    <t>11/04/2026 22:30 | Mexico | Liga Premier Serie A | Chapulineros vs Pioneros de Cancún</t>
  </si>
  <si>
    <t>11/04/2026 22:30 | Brazil | Serie A | Fluminense vs Flamengo</t>
  </si>
  <si>
    <t>Mirassol</t>
  </si>
  <si>
    <t>Bahia</t>
  </si>
  <si>
    <t>11/04/2026 22:30 | Brazil | Serie A | Mirassol vs Bahia</t>
  </si>
  <si>
    <t>A. Italiano</t>
  </si>
  <si>
    <t>U. Catolica</t>
  </si>
  <si>
    <t>11/04/2026 22:30 | Chile | Primera División | A. Italiano vs U. Catolica</t>
  </si>
  <si>
    <t>Magallanes</t>
  </si>
  <si>
    <t>11/04/2026 22:30 | Chile | Primera B | Deportes Santa Cruz vs Magallanes</t>
  </si>
  <si>
    <t>USA W</t>
  </si>
  <si>
    <t>11/04/2026 22:30 | World | Friendlies Women | USA W vs Japan W</t>
  </si>
  <si>
    <t>11/04/2026 22:30 | Ecuador | Liga Pro Serie B | LDU Portoviejo vs San Antonio</t>
  </si>
  <si>
    <t>Real San Joaquín</t>
  </si>
  <si>
    <t>11/04/2026 22:30 | Chile | Segunda División | Concón National vs Real San Joaquín</t>
  </si>
  <si>
    <t>Santamarina</t>
  </si>
  <si>
    <t>Circulo Deportivo</t>
  </si>
  <si>
    <t>11/04/2026 22:30 | Argentina | Torneo Federal A | Santamarina vs Circulo Deportivo</t>
  </si>
  <si>
    <t>Goiatuba EC</t>
  </si>
  <si>
    <t>11/04/2026 22:30 | Brazil | Serie D | Goiatuba EC vs Ceilândia</t>
  </si>
  <si>
    <t>Maracanã</t>
  </si>
  <si>
    <t>Moto Club</t>
  </si>
  <si>
    <t>11/04/2026 22:30 | Brazil | Serie D | Maracanã vs Moto Club</t>
  </si>
  <si>
    <t>11/04/2026 22:30 | Venezuela | Segunda División | Fundación Lara Deportiva vs Real Frontera</t>
  </si>
  <si>
    <t>11/04/2026 23:00</t>
  </si>
  <si>
    <t>Tecos</t>
  </si>
  <si>
    <t>11/04/2026 23:00 | Mexico | Liga Premier Serie A | Colima vs Tecos</t>
  </si>
  <si>
    <t>Portland Hearts of Pine</t>
  </si>
  <si>
    <t>11/04/2026 23:00 | USA | USL League One | Portland Hearts of Pine vs One Knoxville</t>
  </si>
  <si>
    <t>Colon Santa Fe</t>
  </si>
  <si>
    <t>11/04/2026 23:00 | Argentina | Primera Nacional | Colon Santa Fe vs Racing Cordoba</t>
  </si>
  <si>
    <t>11/04/2026 23:00 | Venezuela | Primera División | Monagas SC vs Rayo Zuliano</t>
  </si>
  <si>
    <t>Pacific FC</t>
  </si>
  <si>
    <t>Supra du Quebec</t>
  </si>
  <si>
    <t>11/04/2026 23:00 | Canada | Canadian Premier League | Pacific FC vs Supra du Quebec</t>
  </si>
  <si>
    <t>Gimnasia Concepción</t>
  </si>
  <si>
    <t>Independiente De Chivilcoy</t>
  </si>
  <si>
    <t>11/04/2026 23:00 | Argentina | Torneo Federal A | Gimnasia Concepción vs Independiente De Chivilcoy</t>
  </si>
  <si>
    <t>11/04/2026 23:00 | Dominican-Republic | Liga Mayor | Cibao vs Salcedo</t>
  </si>
  <si>
    <t>Deportivo Maldonado</t>
  </si>
  <si>
    <t>11/04/2026 23:00 | Uruguay | Primera División - Apertura | Deportivo Maldonado vs Club Nacional</t>
  </si>
  <si>
    <t>Portuguesa</t>
  </si>
  <si>
    <t>Pouso Alegre</t>
  </si>
  <si>
    <t>11/04/2026 23:00 | Brazil | Serie D | Portuguesa vs Pouso Alegre</t>
  </si>
  <si>
    <t>Independiente FSJ</t>
  </si>
  <si>
    <t>Sao Jose</t>
  </si>
  <si>
    <t>11/04/2026 23:00 | Brazil | Serie D | Independiente FSJ vs Sao Jose</t>
  </si>
  <si>
    <t>Velo Clube</t>
  </si>
  <si>
    <t>11/04/2026 23:00 | Brazil | Serie D | Velo Clube vs Sampaio Corrêa RJ</t>
  </si>
  <si>
    <t>11/04/2026 23:30</t>
  </si>
  <si>
    <t>Boca Juniors</t>
  </si>
  <si>
    <t>11/04/2026 23:30 | Argentina | Liga Profesional Argentina | Boca Juniors vs Independiente</t>
  </si>
  <si>
    <t>11/04/2026 23:30 | Aruba | Division di Honor | Bubali vs Britannia</t>
  </si>
  <si>
    <t>Inhumas</t>
  </si>
  <si>
    <t>11/04/2026 23:30 | Brazil | Serie D | Gama vs Inhumas</t>
  </si>
  <si>
    <t>Imperatriz</t>
  </si>
  <si>
    <t>11/04/2026 23:30 | Brazil | Serie D | Imperatriz vs Oratório</t>
  </si>
  <si>
    <t>DLLDW</t>
  </si>
  <si>
    <t>Melbourne City</t>
  </si>
  <si>
    <t>WDLWW</t>
  </si>
  <si>
    <t>WLWLW</t>
  </si>
  <si>
    <t>WDDWW</t>
  </si>
  <si>
    <t>DDLWD</t>
  </si>
  <si>
    <t>LWWLW</t>
  </si>
  <si>
    <t>WWWLW</t>
  </si>
  <si>
    <t>WLWWD</t>
  </si>
  <si>
    <t>DWLWW</t>
  </si>
  <si>
    <t>WLWWL</t>
  </si>
  <si>
    <t>WDWWD</t>
  </si>
  <si>
    <t>LDDWD</t>
  </si>
  <si>
    <t>WLDLL</t>
  </si>
  <si>
    <t>LLDWL</t>
  </si>
  <si>
    <t>WWWWW</t>
  </si>
  <si>
    <t>LWLLL</t>
  </si>
  <si>
    <t>WDLLL</t>
  </si>
  <si>
    <t>LWWLD</t>
  </si>
  <si>
    <t>LLLLD</t>
  </si>
  <si>
    <t>LLWLL</t>
  </si>
  <si>
    <t>LDWLL</t>
  </si>
  <si>
    <t>LWLLW</t>
  </si>
  <si>
    <t>03/04/2026 15:00</t>
  </si>
  <si>
    <t>https://media.api-sports.io/football/teams/1360.png</t>
  </si>
  <si>
    <t>https://media.api-sports.io/football/teams/1363.png</t>
  </si>
  <si>
    <t>https://media.api-sports.io/football/leagues/42.png</t>
  </si>
  <si>
    <t>https://media.api-sports.io/flags/gb-eng.svg</t>
  </si>
  <si>
    <t>https://media.api-sports.io/football/teams/1345.png</t>
  </si>
  <si>
    <t>17/03/2026 19:45</t>
  </si>
  <si>
    <t>https://media.api-sports.io/football/teams/1376.png</t>
  </si>
  <si>
    <t>07/03/2026 15:00</t>
  </si>
  <si>
    <t>https://media.api-sports.io/football/teams/1370.png</t>
  </si>
  <si>
    <t>24/02/2026 19:45</t>
  </si>
  <si>
    <t>https://media.api-sports.io/football/teams/1369.png</t>
  </si>
  <si>
    <t>21/02/2026 15:00</t>
  </si>
  <si>
    <t>https://media.api-sports.io/football/teams/1352.png</t>
  </si>
  <si>
    <t>05/02/2026 20:01</t>
  </si>
  <si>
    <t>https://media.api-sports.io/football/teams/1844.png</t>
  </si>
  <si>
    <t>31/01/2026 15:00</t>
  </si>
  <si>
    <t>https://media.api-sports.io/football/teams/1372.png</t>
  </si>
  <si>
    <t>17/01/2026 15:00</t>
  </si>
  <si>
    <t>https://media.api-sports.io/football/teams/1348.png</t>
  </si>
  <si>
    <t>29/12/2025 19:45</t>
  </si>
  <si>
    <t>https://media.api-sports.io/football/teams/1842.png</t>
  </si>
  <si>
    <t>https://media.api-sports.io/football/teams/1334.png</t>
  </si>
  <si>
    <t>https://media.api-sports.io/football/teams/1336.png</t>
  </si>
  <si>
    <t>28/03/2026 15:00</t>
  </si>
  <si>
    <t>https://media.api-sports.io/football/teams/1353.png</t>
  </si>
  <si>
    <t>https://media.api-sports.io/football/teams/1365.png</t>
  </si>
  <si>
    <t>https://media.api-sports.io/football/teams/1347.png</t>
  </si>
  <si>
    <t>03/03/2026 19:45</t>
  </si>
  <si>
    <t>https://media.api-sports.io/football/teams/1342.png</t>
  </si>
  <si>
    <t>17/02/2026 19:45</t>
  </si>
  <si>
    <t>14/02/2026 15:00</t>
  </si>
  <si>
    <t>https://media.api-sports.io/football/teams/1349.png</t>
  </si>
  <si>
    <t>27/01/2026 19:45</t>
  </si>
  <si>
    <t>24/01/2026 15:00</t>
  </si>
  <si>
    <t>https://media.api-sports.io/football/teams/1361.png</t>
  </si>
  <si>
    <t>13/01/2026 19:00</t>
  </si>
  <si>
    <t>EFL Trophy</t>
  </si>
  <si>
    <t>https://media.api-sports.io/football/teams/1354.png</t>
  </si>
  <si>
    <t>https://media.api-sports.io/football/leagues/46.png</t>
  </si>
  <si>
    <t>25/10/2025 12:30</t>
  </si>
  <si>
    <t>02/09/2025 19:00</t>
  </si>
  <si>
    <t>01/04/2025 19:45</t>
  </si>
  <si>
    <t>16/12/2024 20:00</t>
  </si>
  <si>
    <t>15/04/2023 15:00</t>
  </si>
  <si>
    <t>https://media.api-sports.io/football/leagues/41.png</t>
  </si>
  <si>
    <t>12/04/2026 00:00</t>
  </si>
  <si>
    <t>Carolina Ascent W</t>
  </si>
  <si>
    <t>12/04/2026 00:00 | USA | USL Super League | Carolina Ascent W vs Lexington W</t>
  </si>
  <si>
    <t>Chattanooga Red Wolves</t>
  </si>
  <si>
    <t>12/04/2026 00:00 | USA | USL League One | Chattanooga Red Wolves vs Fort Wayne</t>
  </si>
  <si>
    <t>Santos</t>
  </si>
  <si>
    <t>12/04/2026 00:00 | Brazil | Serie A | Santos vs Atletico-MG</t>
  </si>
  <si>
    <t>12/04/2026 00:00 | Mexico | Liga MX | Club Queretaro vs Necaxa</t>
  </si>
  <si>
    <t>12/04/2026 00:00 | Mexico | Liga MX | Tigres UANL vs Guadalajara Chivas</t>
  </si>
  <si>
    <t>12/04/2026 00:00 | USA | USL Championship | Brooklyn vs Charleston Battery</t>
  </si>
  <si>
    <t>12/04/2026 00:00 | USA | USL Championship | Hartford Athletic vs El Paso Locomotive</t>
  </si>
  <si>
    <t>12/04/2026 00:00 | USA | USL Championship | Indy Eleven vs Monterey Bay</t>
  </si>
  <si>
    <t>Lexington</t>
  </si>
  <si>
    <t>12/04/2026 00:00 | USA | USL Championship | Lexington vs Rhode Island</t>
  </si>
  <si>
    <t>12/04/2026 00:00 | USA | USL League One | Naples vs Sarasota Paradise</t>
  </si>
  <si>
    <t>Tapatío</t>
  </si>
  <si>
    <t>12/04/2026 00:00 | Mexico | Liga de Expansión MX | Tapatío vs Irapuato</t>
  </si>
  <si>
    <t>Zamora FC</t>
  </si>
  <si>
    <t>12/04/2026 00:00 | Venezuela | Primera División | Metropolitanos FC vs Zamora FC</t>
  </si>
  <si>
    <t>12/04/2026 00:00 | USA | MLS Next Pro | Chattanooga vs Orlando City II</t>
  </si>
  <si>
    <t>Maranhão</t>
  </si>
  <si>
    <t>12/04/2026 00:00 | Brazil | Serie C | Barra vs Maranhão</t>
  </si>
  <si>
    <t>Ferroviária</t>
  </si>
  <si>
    <t>12/04/2026 00:00 | Brazil | Serie C | Ferroviária vs Botafogo PB</t>
  </si>
  <si>
    <t>12/04/2026 00:00 | Suriname | Eerste Divisie | Leo Victor vs Transvaal</t>
  </si>
  <si>
    <t>12/04/2026 00:00 | Nicaragua | Primera Division | Rancho Santana vs H&amp;H Export</t>
  </si>
  <si>
    <t>12/04/2026 00:15</t>
  </si>
  <si>
    <t>12/04/2026 00:15 | Panama | Liga Panameña de Fútbol | Independiente de La Chorrera vs San Francisco FC</t>
  </si>
  <si>
    <t>12/04/2026 00:30</t>
  </si>
  <si>
    <t>Tampa Bay Sun W</t>
  </si>
  <si>
    <t>DC Power W</t>
  </si>
  <si>
    <t>12/04/2026 00:30 | USA | USL Super League | Tampa Bay Sun W vs DC Power W</t>
  </si>
  <si>
    <t>Inter Miami</t>
  </si>
  <si>
    <t>12/04/2026 00:30 | USA | Major League Soccer | Inter Miami vs New York Red Bulls</t>
  </si>
  <si>
    <t>New York City FC</t>
  </si>
  <si>
    <t>12/04/2026 00:30 | USA | Major League Soccer | Vancouver Whitecaps vs New York City FC</t>
  </si>
  <si>
    <t>12/04/2026 00:30 | USA | Major League Soccer | Charlotte vs Nashville SC</t>
  </si>
  <si>
    <t>New England Revolution</t>
  </si>
  <si>
    <t>12/04/2026 00:30 | USA | Major League Soccer | New England Revolution vs DC United</t>
  </si>
  <si>
    <t>12/04/2026 00:30 | Brazil | Serie A | Internacional vs Gremio</t>
  </si>
  <si>
    <t>12/04/2026 00:30 | USA | USL Championship | Tampa Bay Rowdies vs Oakland Roots</t>
  </si>
  <si>
    <t>12/04/2026 00:30 | Paraguay | Division Profesional - Apertura | Nacional Asuncion vs Cerro Porteno</t>
  </si>
  <si>
    <t>12/04/2026 00:30 | Brazil | Serie B | Ceara vs Nautico Recife</t>
  </si>
  <si>
    <t>12/04/2026 00:30 | Bolivia | Primera División | Aurora vs Always Ready</t>
  </si>
  <si>
    <t>12/04/2026 01:00</t>
  </si>
  <si>
    <t>12/04/2026 01:00 | Mexico | Liga Premier Serie A | Gavilanes FC Matamoros vs Zacatepec 1948</t>
  </si>
  <si>
    <t>Perez Zeledon</t>
  </si>
  <si>
    <t>12/04/2026 01:00 | Costa-Rica | Primera División | Perez Zeledon vs Puntarenas FC</t>
  </si>
  <si>
    <t>12/04/2026 01:00 | USA | USL Championship | FC Tulsa vs Orange County SC</t>
  </si>
  <si>
    <t>Deportes Limache</t>
  </si>
  <si>
    <t>12/04/2026 01:00 | Chile | Primera División | Palestino vs Deportes Limache</t>
  </si>
  <si>
    <t>Deportes Iquique</t>
  </si>
  <si>
    <t>12/04/2026 01:00 | Chile | Primera B | Deportes Iquique vs D. Puerto Montt</t>
  </si>
  <si>
    <t>Huntsville City</t>
  </si>
  <si>
    <t>Chicago Fire II</t>
  </si>
  <si>
    <t>12/04/2026 01:00 | USA | MLS Next Pro | Huntsville City vs Chicago Fire II</t>
  </si>
  <si>
    <t>Orense SC</t>
  </si>
  <si>
    <t>12/04/2026 01:00 | Ecuador | Liga Pro | Orense SC vs Libertad</t>
  </si>
  <si>
    <t>12/04/2026 01:30</t>
  </si>
  <si>
    <t>12/04/2026 01:30 | USA | Major League Soccer | Chicago Fire vs Atlanta United FC</t>
  </si>
  <si>
    <t>12/04/2026 01:30 | USA | Major League Soccer | FC Dallas vs St. Louis City</t>
  </si>
  <si>
    <t>12/04/2026 01:30 | USA | Major League Soccer | Sporting Kansas City vs San Jose Earthquakes</t>
  </si>
  <si>
    <t>12/04/2026 01:30 | USA | USL Championship | San Antonio vs Miami FC</t>
  </si>
  <si>
    <t>12/04/2026 01:30 | Aruba | Division di Honor | Sporting vs Dakota</t>
  </si>
  <si>
    <t>Oriental</t>
  </si>
  <si>
    <t>Miramar</t>
  </si>
  <si>
    <t>12/04/2026 01:30 | Uruguay | Segunda División | Oriental vs Miramar</t>
  </si>
  <si>
    <t>Huaquillas</t>
  </si>
  <si>
    <t>Río Aguarico</t>
  </si>
  <si>
    <t>12/04/2026 01:30 | Ecuador | Copa Ecuador | Huaquillas vs Río Aguarico</t>
  </si>
  <si>
    <t>12/04/2026 01:45</t>
  </si>
  <si>
    <t>Estudiantes de Rio Cuarto</t>
  </si>
  <si>
    <t>Barracas Central</t>
  </si>
  <si>
    <t>12/04/2026 01:45 | Argentina | Liga Profesional Argentina | Estudiantes de Rio Cuarto vs Barracas Central</t>
  </si>
  <si>
    <t>12/04/2026 02:00</t>
  </si>
  <si>
    <t>12/04/2026 02:00 | Mexico | Liga Premier Serie A | Reboceros La Piedad vs Guerreros</t>
  </si>
  <si>
    <t>Lobos ULMX</t>
  </si>
  <si>
    <t>12/04/2026 02:00 | Mexico | Liga Premier Serie A | Calor de San Pedro vs Lobos ULMX</t>
  </si>
  <si>
    <t>Celaya</t>
  </si>
  <si>
    <t>12/04/2026 02:00 | Mexico | Liga Premier Serie A | Celaya vs Jaguares de Chiapas</t>
  </si>
  <si>
    <t>12/04/2026 02:00 | Mexico | Liga MX | Atlas vs Monterrey</t>
  </si>
  <si>
    <t>12/04/2026 02:00 | Mexico | Liga MX | Pachuca vs Santos Laguna</t>
  </si>
  <si>
    <t>12/04/2026 02:00 | USA | USL League One | Spokane Velocity vs Richmond Kickers</t>
  </si>
  <si>
    <t>Monarcas</t>
  </si>
  <si>
    <t>12/04/2026 02:00 | Mexico | Liga de Expansión MX | Monarcas vs Tlaxcala</t>
  </si>
  <si>
    <t>12/04/2026 02:00 | Mexico | Liga de Expansión MX | Cancún vs Atlante FC</t>
  </si>
  <si>
    <t>Leones Negros UDG</t>
  </si>
  <si>
    <t>12/04/2026 02:00 | Mexico | Liga de Expansión MX | Venados FC vs Leones Negros UDG</t>
  </si>
  <si>
    <t>12/04/2026 02:00 | Guatemala | Liga Nacional | Antigua GFC vs Municipal</t>
  </si>
  <si>
    <t>12/04/2026 02:00 | El-Salvador | Primera Division | Alianza vs FAS</t>
  </si>
  <si>
    <t>12/04/2026 02:00 | El-Salvador | Primera Division | Isidro Metapán vs Cacahuatique</t>
  </si>
  <si>
    <t>12/04/2026 02:00 | Nicaragua | Primera Division | Diriangén vs Real Estelí</t>
  </si>
  <si>
    <t>12/04/2026 02:20</t>
  </si>
  <si>
    <t>Independiente Medellin</t>
  </si>
  <si>
    <t>Atletico Nacional</t>
  </si>
  <si>
    <t>12/04/2026 02:20 | Colombia | Primera A | Independiente Medellin vs Atletico Nacional</t>
  </si>
  <si>
    <t>12/04/2026 02:30</t>
  </si>
  <si>
    <t>Houston Dynamo</t>
  </si>
  <si>
    <t>12/04/2026 02:30 | USA | Major League Soccer | Colorado Rapids vs Houston Dynamo</t>
  </si>
  <si>
    <t>Alianza FC</t>
  </si>
  <si>
    <t>12/04/2026 02:30 | Panama | Liga Panameña de Fútbol | Plaza Amador vs Alianza FC</t>
  </si>
  <si>
    <t>Brazil W</t>
  </si>
  <si>
    <t>12/04/2026 02:30 | World | Friendlies Women | Brazil W vs South Korea W</t>
  </si>
  <si>
    <t>12/04/2026 03:00</t>
  </si>
  <si>
    <t>Mexicali FC</t>
  </si>
  <si>
    <t>12/04/2026 03:00 | Mexico | Liga Premier Serie A | Tapachula vs Mexicali FC</t>
  </si>
  <si>
    <t>12/04/2026 03:00 | Costa-Rica | Primera División | Sporting San Jose vs LD Alajuelense</t>
  </si>
  <si>
    <t>New Mexico United</t>
  </si>
  <si>
    <t>12/04/2026 03:00 | USA | USL Championship | Phoenix Rising vs New Mexico United</t>
  </si>
  <si>
    <t>12/04/2026 03:30</t>
  </si>
  <si>
    <t>12/04/2026 03:30 | USA | Major League Soccer | San Diego vs Minnesota United FC</t>
  </si>
  <si>
    <t>12/04/2026 03:30 | USA | USL Championship | Las Vegas Lights vs Sacramento Republic</t>
  </si>
  <si>
    <t>12/04/2026 03:30 | USA | USL League One | Alta vs Boise</t>
  </si>
  <si>
    <t>12/04/2026 04:00</t>
  </si>
  <si>
    <t>12/04/2026 04:00 | Mexico | Liga Premier Serie A | Los Cabos United vs Tigres de Alica</t>
  </si>
  <si>
    <t>12/04/2026 04:00 | Guatemala | Liga Nacional | Marquense vs Mictlán</t>
  </si>
  <si>
    <t>Auckland FC 2</t>
  </si>
  <si>
    <t>12/04/2026 04:00 | World | OFC Pro League | Auckland FC 2 vs South Melbourne</t>
  </si>
  <si>
    <t>Charlestown City Blues</t>
  </si>
  <si>
    <t>12/04/2026 04:00 | Australia | Northern NSW NPL | Charlestown City Blues vs Cooks Hill United</t>
  </si>
  <si>
    <t>12/04/2026 04:05</t>
  </si>
  <si>
    <t>Club America</t>
  </si>
  <si>
    <t>12/04/2026 04:05 | Mexico | Liga MX | Club America vs Cruz Azul</t>
  </si>
  <si>
    <t>12/04/2026 05:00</t>
  </si>
  <si>
    <t>12/04/2026 05:00 | Japan | J2/J3 League | Parceiro Nagano vs Jubilo Iwata</t>
  </si>
  <si>
    <t>Peninsula Power</t>
  </si>
  <si>
    <t>12/04/2026 05:00 | Australia | Queensland NPL | Brisbane Roar II vs Peninsula Power</t>
  </si>
  <si>
    <t>12/04/2026 05:00 | Australia | Tasmania NPL | South Hobart vs South East Utd.</t>
  </si>
  <si>
    <t>12/04/2026 06:00</t>
  </si>
  <si>
    <t>12/04/2026 06:00 | Australia | A-League | Melbourne City vs Wellington Phoenix</t>
  </si>
  <si>
    <t>Urawa</t>
  </si>
  <si>
    <t>Tokyo Verdy</t>
  </si>
  <si>
    <t>12/04/2026 06:00 | Japan | J1 League | Urawa vs Tokyo Verdy</t>
  </si>
  <si>
    <t>Gangwon FC</t>
  </si>
  <si>
    <t>12/04/2026 06:00 | South-Korea | K League 1 | Daejeon Citizen vs Gangwon FC</t>
  </si>
  <si>
    <t>12/04/2026 06:00 | South-Korea | K League 2 | Cheonan City vs Cheongju</t>
  </si>
  <si>
    <t>12/04/2026 06:00 | South-Korea | K League 2 | Suwon Bluewings vs Gimpo Citizen</t>
  </si>
  <si>
    <t>12/04/2026 06:00 | Japan | J2/J3 League | Montedio Yamagata vs Yokohama FC</t>
  </si>
  <si>
    <t>Shonan Bellmare</t>
  </si>
  <si>
    <t>12/04/2026 06:00 | Japan | J2/J3 League | Blaublitz Akita vs Shonan Bellmare</t>
  </si>
  <si>
    <t>Vegalta Sendai</t>
  </si>
  <si>
    <t>12/04/2026 06:00 | Japan | J2/J3 League | Sagamihara vs Vegalta Sendai</t>
  </si>
  <si>
    <t>12/04/2026 06:00 | Japan | J2/J3 League | Tochigi City vs Vanraure Hachinohe</t>
  </si>
  <si>
    <t>12/04/2026 06:00 | Japan | J2/J3 League | Tochigi SC vs Thespakusatsu Gunma</t>
  </si>
  <si>
    <t>12/04/2026 06:00 | Japan | J2/J3 League | Matsumoto Yamaga vs Omiya Ardija</t>
  </si>
  <si>
    <t>12/04/2026 06:00 | Japan | J2/J3 League | Fukushima United vs Iwaki</t>
  </si>
  <si>
    <t>Kochi United</t>
  </si>
  <si>
    <t>Albirex Niigata</t>
  </si>
  <si>
    <t>12/04/2026 06:00 | Japan | J2/J3 League | Kochi United vs Albirex Niigata</t>
  </si>
  <si>
    <t>Nara Club</t>
  </si>
  <si>
    <t>12/04/2026 06:00 | Japan | J2/J3 League | Ehime FC vs Nara Club</t>
  </si>
  <si>
    <t>12/04/2026 06:00 | Japan | J2/J3 League | Kamatamare Sanuki vs Tokushima Vortis</t>
  </si>
  <si>
    <t>12/04/2026 06:00 | Japan | J2/J3 League | Kanazawa vs Imabari</t>
  </si>
  <si>
    <t>Kitakyushu</t>
  </si>
  <si>
    <t>Sagan Tosu</t>
  </si>
  <si>
    <t>12/04/2026 06:00 | Japan | J2/J3 League | Kitakyushu vs Sagan Tosu</t>
  </si>
  <si>
    <t>12/04/2026 06:00 | Japan | J2/J3 League | Roasso Kumamoto vs Tegevajaro Miyazaki</t>
  </si>
  <si>
    <t>12/04/2026 06:00 | Japan | J2/J3 League | Kagoshima United vs Gainare Tottori</t>
  </si>
  <si>
    <t>12/04/2026 06:00 | Japan | J2/J3 League | Biwako Shiga vs FC Ryukyu</t>
  </si>
  <si>
    <t>12/04/2026 06:00 | Australia | New South Wales NPL | Sydney FC U23 vs St. George Saints</t>
  </si>
  <si>
    <t>Blacktown City</t>
  </si>
  <si>
    <t>12/04/2026 06:00 | Australia | New South Wales NPL | Blacktown City vs Wollongong Wolves</t>
  </si>
  <si>
    <t>12/04/2026 06:00 | Australia | New South Wales NPL | Western Sydney Wanderers U23 vs NWS Spirit</t>
  </si>
  <si>
    <t>Gangneung City</t>
  </si>
  <si>
    <t>12/04/2026 06:00 | South-Korea | K3 League | Chuncheon vs Gangneung City</t>
  </si>
  <si>
    <t>12/04/2026 06:00 | South-Korea | K3 League | Ulsan Citizen vs Jeonbuk Motors II</t>
  </si>
  <si>
    <t>Sunshine Georgies</t>
  </si>
  <si>
    <t>12/04/2026 06:00 | Australia | Victoria NPL | Melbourne City II vs Sunshine Georgies</t>
  </si>
  <si>
    <t>Kahibah</t>
  </si>
  <si>
    <t>Valentine</t>
  </si>
  <si>
    <t>12/04/2026 06:00 | Australia | Northern NSW NPL | Kahibah vs Valentine</t>
  </si>
  <si>
    <t>North Star</t>
  </si>
  <si>
    <t>Holland Park Hawks</t>
  </si>
  <si>
    <t>12/04/2026 06:00 | Australia | Queensland Premier League | North Star vs Holland Park Hawks</t>
  </si>
  <si>
    <t>Dudley Redhead United</t>
  </si>
  <si>
    <t>Lake Macquarie</t>
  </si>
  <si>
    <t>12/04/2026 06:00 | Australia | NNSW League 1 | Dudley Redhead United vs Lake Macquarie</t>
  </si>
  <si>
    <t>12/04/2026 07:00</t>
  </si>
  <si>
    <t>12/04/2026 07:00 | Macao | Primeira Divisão | CPK vs Jia Hua</t>
  </si>
  <si>
    <t>12/04/2026 08:00</t>
  </si>
  <si>
    <t>12/04/2026 08:00 | Hong-Kong | Premier League | North District vs Warriors</t>
  </si>
  <si>
    <t>Southern District</t>
  </si>
  <si>
    <t>12/04/2026 08:00 | Hong-Kong | Premier League | Kowloon City vs Southern District</t>
  </si>
  <si>
    <t>Kawasaki Frontale</t>
  </si>
  <si>
    <t>Kashima</t>
  </si>
  <si>
    <t>12/04/2026 08:00 | Japan | J1 League | Kawasaki Frontale vs Kashima</t>
  </si>
  <si>
    <t>Bula</t>
  </si>
  <si>
    <t>Hekari United</t>
  </si>
  <si>
    <t>12/04/2026 08:00 | World | OFC Pro League | Bula vs Hekari United</t>
  </si>
  <si>
    <t>Sydney United</t>
  </si>
  <si>
    <t>12/04/2026 08:00 | Australia | New South Wales NPL | Sydney United vs St George City FA</t>
  </si>
  <si>
    <t>12/04/2026 08:00 | Australia | Queensland NPL | Brisbane City vs Magic United</t>
  </si>
  <si>
    <t>Dalian Huayi</t>
  </si>
  <si>
    <t>12/04/2026 08:00 | China | League One | Dalian Huayi vs Yanbian Longding</t>
  </si>
  <si>
    <t>Maharlika</t>
  </si>
  <si>
    <t>12/04/2026 08:00 | Philippines | PFL | Maharlika vs Tuloy</t>
  </si>
  <si>
    <t>12/04/2026 08:30</t>
  </si>
  <si>
    <t>12/04/2026 08:30 | Chinese-Taipei | Taiwan Football Premier League | Taichung Futuro vs AC Taipei</t>
  </si>
  <si>
    <t>12/04/2026 08:30 | Chinese-Taipei | Taiwan Football Premier League | Hang Yuen vs Taichung Rock FC</t>
  </si>
  <si>
    <t>12/04/2026 08:30 | South-Korea | K League 1 | Gimcheon Sangmu FC vs FC Anyang</t>
  </si>
  <si>
    <t>12/04/2026 08:30 | South-Korea | K League 2 | Asan Mugunghwa vs Gimhae City</t>
  </si>
  <si>
    <t>12/04/2026 08:30 | South-Korea | K League 2 | Seongnam FC vs Ansan Greeners</t>
  </si>
  <si>
    <t>12/04/2026 09:00</t>
  </si>
  <si>
    <t>Richards Bay U23</t>
  </si>
  <si>
    <t>Orlando Pirates U23</t>
  </si>
  <si>
    <t>12/04/2026 09:00 | South-Africa | Diski Challenge | Richards Bay U23 vs Orlando Pirates U23</t>
  </si>
  <si>
    <t>Chippa United U23</t>
  </si>
  <si>
    <t>12/04/2026 09:00 | South-Africa | Diski Challenge | Chippa United U23 vs Polokwane City U23</t>
  </si>
  <si>
    <t>New Zealand W</t>
  </si>
  <si>
    <t>12/04/2026 09:00 | World | World Cup - Women - Qualification Europe | New Zealand W vs Fiji W</t>
  </si>
  <si>
    <t>American Samoa W</t>
  </si>
  <si>
    <t>12/04/2026 09:00 | World | World Cup - Women - Qualification Europe | Papua New Guinea W vs American Samoa W</t>
  </si>
  <si>
    <t>Yenisey II</t>
  </si>
  <si>
    <t>Zvezda St. Petersburg</t>
  </si>
  <si>
    <t>12/04/2026 09:00 | Russia | Second League - Group 2 | Yenisey II vs Zvezda St. Petersburg</t>
  </si>
  <si>
    <t>Second League - Group 4</t>
  </si>
  <si>
    <t>KDV</t>
  </si>
  <si>
    <t>Chelyabinsk II</t>
  </si>
  <si>
    <t>12/04/2026 09:00 | Russia | Second League - Group 4 | KDV vs Chelyabinsk II</t>
  </si>
  <si>
    <t>Hang Sai</t>
  </si>
  <si>
    <t>Artilheiros</t>
  </si>
  <si>
    <t>12/04/2026 09:00 | Macao | Primeira Divisão | Hang Sai vs Artilheiros</t>
  </si>
  <si>
    <t>12/04/2026 09:15</t>
  </si>
  <si>
    <t>Viktoria Žižkov</t>
  </si>
  <si>
    <t>12/04/2026 09:15 | Czech-Republic | FNL | Viktoria Žižkov vs Vysočina Jihlava</t>
  </si>
  <si>
    <t>Hlučín</t>
  </si>
  <si>
    <t>12/04/2026 09:15 | Czech-Republic | 3. liga - MSFL | Slovácko II vs Hlučín</t>
  </si>
  <si>
    <t>12/04/2026 09:15 | Czech-Republic | 3. liga - MSFL | Uničov vs Polanka nad Odrou</t>
  </si>
  <si>
    <t>12/04/2026 09:15 | Czech-Republic | 3. liga - MSFL | Vítkovice vs Vsetín</t>
  </si>
  <si>
    <t>Velké Meziříčí</t>
  </si>
  <si>
    <t>12/04/2026 09:15 | Czech-Republic | 4. liga - Divizie D | Velké Meziříčí vs Velká Bíteš</t>
  </si>
  <si>
    <t>Bzenec</t>
  </si>
  <si>
    <t>12/04/2026 09:15 | Czech-Republic | 4. liga - Divizie E | Brumov vs Bzenec</t>
  </si>
  <si>
    <t>12/04/2026 09:15 | Czech-Republic | 4. liga - Divizie F | Havířov vs Cesky Tesin</t>
  </si>
  <si>
    <t>12/04/2026 09:15 | Czech-Republic | 4. liga - Divizie F | Opava II vs Pustá Polom</t>
  </si>
  <si>
    <t>12/04/2026 09:15 | Czech-Republic | 3. liga - CFL B | Hradec Králové II vs Velké Hamry</t>
  </si>
  <si>
    <t>Pardubice II</t>
  </si>
  <si>
    <t>12/04/2026 09:15 | Czech-Republic | 3. liga - CFL B | Pardubice II vs Kolín</t>
  </si>
  <si>
    <t>12/04/2026 09:15 | Czech-Republic | 3. liga - CFL A | Bohemians 1905 II vs Příbram II</t>
  </si>
  <si>
    <t>Táborsko II</t>
  </si>
  <si>
    <t>12/04/2026 09:15 | Czech-Republic | 3. liga - CFL A | Dukla Praha II vs Táborsko II</t>
  </si>
  <si>
    <t>12/04/2026 09:30</t>
  </si>
  <si>
    <t>First Vienna</t>
  </si>
  <si>
    <t>12/04/2026 09:30 | Austria | 2. Liga | First Vienna vs Sturm Graz II</t>
  </si>
  <si>
    <t>Malženice</t>
  </si>
  <si>
    <t>12/04/2026 09:30 | Slovakia | 2. liga | Malženice vs Považská Bystrica</t>
  </si>
  <si>
    <t>Slovan Bratislava II</t>
  </si>
  <si>
    <t>12/04/2026 09:30 | Slovakia | 2. liga | Slovan Bratislava II vs Slávia TU Košice</t>
  </si>
  <si>
    <t>Zlaté Moravce</t>
  </si>
  <si>
    <t>12/04/2026 09:30 | Slovakia | 2. liga | Žilina II vs Zlaté Moravce</t>
  </si>
  <si>
    <t>SVG Reichenau</t>
  </si>
  <si>
    <t>12/04/2026 09:30 | Austria | Regionalliga - West | SVG Reichenau vs Schwaz</t>
  </si>
  <si>
    <t>Persis Solo</t>
  </si>
  <si>
    <t>12/04/2026 09:30 | Indonesia | Liga 1 | Persis Solo vs Semen Padang</t>
  </si>
  <si>
    <t>12/04/2026 09:30 | Slovakia | 3. liga - Center | Jednota Bánová vs MFK Bytča</t>
  </si>
  <si>
    <t>12/04/2026 09:30 | Slovakia | 3. liga - Center | Banská Byst II vs Baník Kalinovo</t>
  </si>
  <si>
    <t>Rača</t>
  </si>
  <si>
    <t>12/04/2026 09:30 | Slovakia | 3. liga - West | Rača vs Galanta</t>
  </si>
  <si>
    <t>12/04/2026 09:30 | Slovakia | 3. liga - West | DAC II vs Komárno II</t>
  </si>
  <si>
    <t>12/04/2026 09:30 | Czech-Republic | 3. liga - CFL A | Viktoria Plzeň II vs Králův Dvůr</t>
  </si>
  <si>
    <t>12/04/2026 09:30 | Czech-Republic | 4. liga - Divizie A | Jiskra Domažlice II vs Tachov</t>
  </si>
  <si>
    <t>Persipal</t>
  </si>
  <si>
    <t>Deltras</t>
  </si>
  <si>
    <t>12/04/2026 09:30 | Indonesia | Liga 2 | Persipal vs Deltras</t>
  </si>
  <si>
    <t>Adhyaksa</t>
  </si>
  <si>
    <t>Persiraja Banda Aceh</t>
  </si>
  <si>
    <t>12/04/2026 09:30 | Indonesia | Liga 2 | Adhyaksa vs Persiraja Banda Aceh</t>
  </si>
  <si>
    <t>Persekat</t>
  </si>
  <si>
    <t>Sriwijaya FC</t>
  </si>
  <si>
    <t>12/04/2026 09:30 | Indonesia | Liga 2 | Persekat vs Sriwijaya FC</t>
  </si>
  <si>
    <t>12/04/2026 09:45</t>
  </si>
  <si>
    <t>Sasel</t>
  </si>
  <si>
    <t>12/04/2026 09:45 | Germany | Oberliga - Hamburg | HEBC vs Sasel</t>
  </si>
  <si>
    <t>12/04/2026 10:00</t>
  </si>
  <si>
    <t>12/04/2026 10:00 | Italy | Campionato Primavera - 1 | Parma U20 vs Juventus U20</t>
  </si>
  <si>
    <t>12/04/2026 10:00 | Germany | Oberliga - Bremen | Geestemünde vs BTS Neustadt</t>
  </si>
  <si>
    <t>12/04/2026 10:00 | Ukraine | U19 League | LNZ Cherkasy U19 vs Shakhtar Donetsk U19</t>
  </si>
  <si>
    <t>Oyonesa</t>
  </si>
  <si>
    <t>12/04/2026 10:00 | Spain | Tercera División RFEF - Group 16 | UD Logroñés II vs Oyonesa</t>
  </si>
  <si>
    <t>12/04/2026 10:00 | Australia | A-League | Perth Glory vs Macarthur</t>
  </si>
  <si>
    <t>Wisła Kraków U19</t>
  </si>
  <si>
    <t>12/04/2026 10:00 | Poland | Central Youth League | Lech Poznań U19 vs Wisła Kraków U19</t>
  </si>
  <si>
    <t>Bình Phước</t>
  </si>
  <si>
    <t>12/04/2026 10:00 | Vietnam | V.League 2 | Dong Thap vs Bình Phước</t>
  </si>
  <si>
    <t>12/04/2026 10:00 | Germany | U19 Bundesliga | Union Berlin U19 vs Mainz 05 U19</t>
  </si>
  <si>
    <t>Heidenheim U19</t>
  </si>
  <si>
    <t>12/04/2026 10:00 | Germany | U19 Bundesliga | Heidenheim U19 vs Schalke 04 U19</t>
  </si>
  <si>
    <t>12/04/2026 10:00 | Germany | U19 Bundesliga | Ulm U19 vs Köln U19</t>
  </si>
  <si>
    <t>Preußen Münster U19</t>
  </si>
  <si>
    <t>12/04/2026 10:00 | Germany | U19 Bundesliga | Alemannia Aachen U19 vs Preußen Münster U19</t>
  </si>
  <si>
    <t>Nepal W</t>
  </si>
  <si>
    <t>Congo DR W</t>
  </si>
  <si>
    <t>12/04/2026 10:00 | World | Friendlies Women | Nepal W vs Congo DR W</t>
  </si>
  <si>
    <t>12/04/2026 10:00 | Russia | Second League A - Division A Gold | Novosibirsk vs Mashuk-KMV</t>
  </si>
  <si>
    <t>Irtysh</t>
  </si>
  <si>
    <t>12/04/2026 10:00 | Kazakhstan | Premier League | Okzhetpes vs Irtysh</t>
  </si>
  <si>
    <t>ACE</t>
  </si>
  <si>
    <t>PIF</t>
  </si>
  <si>
    <t>12/04/2026 10:00 | Finland | Suomen Cup | ACE vs PIF</t>
  </si>
  <si>
    <t>Korea DPR U20</t>
  </si>
  <si>
    <t>Australia U20 W</t>
  </si>
  <si>
    <t>12/04/2026 10:00 | World | AFC U20 Asian Cup - Women | Korea DPR U20 vs Australia U20 W</t>
  </si>
  <si>
    <t>12/04/2026 10:15</t>
  </si>
  <si>
    <t>Real Sociedad III</t>
  </si>
  <si>
    <t>12/04/2026 10:15 | Spain | Tercera División RFEF - Group 4 | Santurtzi vs Real Sociedad III</t>
  </si>
  <si>
    <t>12/04/2026 10:30</t>
  </si>
  <si>
    <t>12/04/2026 10:30 | Spain | Segunda División RFEF - Group 2 | Basconia vs Mutilvera</t>
  </si>
  <si>
    <t>12/04/2026 10:30 | Spain | Segunda División RFEF - Group 4 | Melilla vs Águilas</t>
  </si>
  <si>
    <t>12/04/2026 10:30 | Spain | Segunda División RFEF - Group 3 | Barbastro vs Porreres</t>
  </si>
  <si>
    <t>Pasaia KE</t>
  </si>
  <si>
    <t>12/04/2026 10:30 | Spain | Tercera División RFEF - Group 4 | Zamudio vs Pasaia KE</t>
  </si>
  <si>
    <t>12/04/2026 10:30 | Spain | Tercera División RFEF - Group 7 | Trival Valderas vs Móstoles</t>
  </si>
  <si>
    <t>12/04/2026 10:30 | Spain | Tercera División RFEF - Group 7 | Torrejón vs Carabanchel</t>
  </si>
  <si>
    <t>12/04/2026 10:30 | Spain | Tercera División RFEF - Group 7 | AD Parla vs Tres Cantos</t>
  </si>
  <si>
    <t>12/04/2026 10:30 | Spain | Tercera División RFEF - Group 7 | Villaverde-Boetticher vs Galapagar</t>
  </si>
  <si>
    <t>SFC Minerva</t>
  </si>
  <si>
    <t>12/04/2026 10:30 | Spain | Tercera División RFEF - Group 13 | SFC Minerva vs Santomera</t>
  </si>
  <si>
    <t>12/04/2026 10:30 | Spain | Tercera División RFEF - Group 13 | Atlético Pulpileño vs Santa Cruz</t>
  </si>
  <si>
    <t>12/04/2026 10:30 | Spain | Tercera División RFEF - Group 16 | Berceo vs Pradejón</t>
  </si>
  <si>
    <t>Cuarte</t>
  </si>
  <si>
    <t>12/04/2026 10:30 | Spain | Tercera División RFEF - Group 17 | Huesca II vs Cuarte</t>
  </si>
  <si>
    <t>Bossekop</t>
  </si>
  <si>
    <t>Fauske Sprint</t>
  </si>
  <si>
    <t>12/04/2026 10:30 | Norway | 3. Division - Girone 5 | Bossekop vs Fauske Sprint</t>
  </si>
  <si>
    <t>Viimsi</t>
  </si>
  <si>
    <t>12/04/2026 10:30 | Estonia | Esiliiga A | Viimsi vs Nõmme United II</t>
  </si>
  <si>
    <t>Levadia U19</t>
  </si>
  <si>
    <t>Narva U21</t>
  </si>
  <si>
    <t>12/04/2026 10:30 | Estonia | Esiliiga B | Levadia U19 vs Narva U21</t>
  </si>
  <si>
    <t>12/04/2026 10:45</t>
  </si>
  <si>
    <t>12/04/2026 10:45 | Spain | Tercera División RFEF - Group 5 | Tona vs Cornellà</t>
  </si>
  <si>
    <t>Grama</t>
  </si>
  <si>
    <t>12/04/2026 10:45 | Spain | Tercera División RFEF - Group 5 | Grama vs Badalona</t>
  </si>
  <si>
    <t>12/04/2026 10:45 | Philippines | PFL | Stallion vs Manila Digger</t>
  </si>
  <si>
    <t>12/04/2026 11:00</t>
  </si>
  <si>
    <t>Pogoń Siedlce</t>
  </si>
  <si>
    <t>12/04/2026 11:00 | Poland | I Liga | Pogoń Siedlce vs Tychy 71</t>
  </si>
  <si>
    <t>12/04/2026 11:00 | Ukraine | Premier League | Kudrivka vs Kryvbas KR</t>
  </si>
  <si>
    <t>12/04/2026 11:00 | Portugal | Segunda Liga | Feirense vs Vizela</t>
  </si>
  <si>
    <t>Inhulets</t>
  </si>
  <si>
    <t>Metalurh Zaporizhya</t>
  </si>
  <si>
    <t>12/04/2026 11:00 | Ukraine | Persha Liga | Inhulets vs Metalurh Zaporizhya</t>
  </si>
  <si>
    <t>Ibiza</t>
  </si>
  <si>
    <t>12/04/2026 11:00 | Spain | Primera División RFEF - Group 2 | Ibiza vs Juventud Torremolinos</t>
  </si>
  <si>
    <t>Algeciras</t>
  </si>
  <si>
    <t>12/04/2026 11:00 | Spain | Primera División RFEF - Group 2 | Villarreal II vs Algeciras</t>
  </si>
  <si>
    <t>Deportivo La Coruña II</t>
  </si>
  <si>
    <t>12/04/2026 11:00 | Spain | Segunda División RFEF - Group 1 | Deportivo La Coruña II vs UD Ourense</t>
  </si>
  <si>
    <t>12/04/2026 11:00 | Spain | Segunda División RFEF - Group 2 | Real Zaragoza II vs Deportivo Alavés II</t>
  </si>
  <si>
    <t>12/04/2026 11:00 | Spain | Segunda División RFEF - Group 4 | Antoniano vs Yeclano</t>
  </si>
  <si>
    <t>12/04/2026 11:00 | Spain | Segunda División RFEF - Group 4 | Puente Genil vs Deportiva Minera</t>
  </si>
  <si>
    <t>12/04/2026 11:00 | Spain | Segunda División RFEF - Group 4 | Xerez Deportivo vs Linares Deportivo</t>
  </si>
  <si>
    <t>Elche II</t>
  </si>
  <si>
    <t>12/04/2026 11:00 | Spain | Segunda División RFEF - Group 5 | Tenerife II vs Elche II</t>
  </si>
  <si>
    <t>Fuenlabrada</t>
  </si>
  <si>
    <t>RSD Alcalá</t>
  </si>
  <si>
    <t>12/04/2026 11:00 | Spain | Segunda División RFEF - Group 5 | Fuenlabrada vs RSD Alcalá</t>
  </si>
  <si>
    <t>12/04/2026 11:00 | Hong-Kong | Premier League | Kitchee vs BC Rangers</t>
  </si>
  <si>
    <t>12/04/2026 11:00 | Spain | Segunda División RFEF - Group 3 | Atlético Baleares vs Andratx</t>
  </si>
  <si>
    <t>12/04/2026 11:00 | Spain | Segunda División RFEF - Group 3 | Castellón II vs Olot</t>
  </si>
  <si>
    <t>12/04/2026 11:00 | Spain | Segunda División RFEF - Group 3 | Poblense vs Torrent</t>
  </si>
  <si>
    <t>12/04/2026 11:00 | Spain | Segunda División RFEF - Group 3 | Reddis vs Ibiza Islas Pitiusas</t>
  </si>
  <si>
    <t>12/04/2026 11:00 | Spain | Segunda División RFEF - Group 3 | Barcelona B vs Espanyol II</t>
  </si>
  <si>
    <t>AmaZulu U23</t>
  </si>
  <si>
    <t>12/04/2026 11:00 | South-Africa | Diski Challenge | Sekhukhune United U23 vs AmaZulu U23</t>
  </si>
  <si>
    <t>Villalbés</t>
  </si>
  <si>
    <t>12/04/2026 11:00 | Spain | Tercera División RFEF - Group 1 | Villalbés vs Cambados</t>
  </si>
  <si>
    <t>12/04/2026 11:00 | Spain | Tercera División RFEF - Group 1 | Alondras vs Silva</t>
  </si>
  <si>
    <t>12/04/2026 11:00 | Spain | Tercera División RFEF - Group 2 | Praviano vs Caudal</t>
  </si>
  <si>
    <t>12/04/2026 11:00 | Spain | Tercera División RFEF - Group 2 | San Martín vs Mosconia</t>
  </si>
  <si>
    <t>Real Titánico</t>
  </si>
  <si>
    <t>12/04/2026 11:00 | Spain | Tercera División RFEF - Group 2 | Real Titánico vs Llanes</t>
  </si>
  <si>
    <t>12/04/2026 11:00 | Spain | Tercera División RFEF - Group 2 | Navarro vs Tuilla</t>
  </si>
  <si>
    <t>12/04/2026 11:00 | Spain | Tercera División RFEF - Group 2 | Covadonga vs Colunga</t>
  </si>
  <si>
    <t>12/04/2026 11:00 | Spain | Tercera División RFEF - Group 2 | Avilés Stadium vs L'Entregu</t>
  </si>
  <si>
    <t>Cayón</t>
  </si>
  <si>
    <t>Revilla</t>
  </si>
  <si>
    <t>12/04/2026 11:00 | Spain | Tercera División RFEF - Group 3 | Cayón vs Revilla</t>
  </si>
  <si>
    <t>12/04/2026 11:00 | Spain | Tercera División RFEF - Group 5 | Manresa vs Cerdanyola del Vallès</t>
  </si>
  <si>
    <t>12/04/2026 11:00 | Spain | Tercera División RFEF - Group 5 | L'Escala vs Vilassar Mar</t>
  </si>
  <si>
    <t>L'Hospitalet</t>
  </si>
  <si>
    <t>12/04/2026 11:00 | Spain | Tercera División RFEF - Group 5 | L'Hospitalet vs Peralada</t>
  </si>
  <si>
    <t>12/04/2026 11:00 | Spain | Tercera División RFEF - Group 5 | Europa II vs Montañesa</t>
  </si>
  <si>
    <t>12/04/2026 11:00 | Spain | Tercera División RFEF - Group 7 | Leganés II vs SS Reyes II</t>
  </si>
  <si>
    <t>12/04/2026 11:00 | Spain | Tercera División RFEF - Group 7 | Pozuelo Alarcón vs Racing Madrid</t>
  </si>
  <si>
    <t>12/04/2026 11:00 | Spain | Tercera División RFEF - Group 9 | El Palo vs Motril</t>
  </si>
  <si>
    <t>12/04/2026 11:00 | Spain | Tercera División RFEF - Group 9 | UD San Pedro vs Torre del Mar</t>
  </si>
  <si>
    <t>Arenas Armilla</t>
  </si>
  <si>
    <t>12/04/2026 11:00 | Spain | Tercera División RFEF - Group 9 | Huétor Vega vs Arenas Armilla</t>
  </si>
  <si>
    <t>12/04/2026 11:00 | Spain | Tercera División RFEF - Group 10 | Pozoblanco vs Utrera</t>
  </si>
  <si>
    <t>12/04/2026 11:00 | Spain | Tercera División RFEF - Group 10 | Coria CF vs Chiclana</t>
  </si>
  <si>
    <t>12/04/2026 11:00 | Spain | Tercera División RFEF - Group 10 | Castilleja vs Conil</t>
  </si>
  <si>
    <t>12/04/2026 11:00 | Spain | Tercera División RFEF - Group 10 | Sevilla III vs Ciudad de Lucena</t>
  </si>
  <si>
    <t>Dos Hermanas</t>
  </si>
  <si>
    <t>12/04/2026 11:00 | Spain | Tercera División RFEF - Group 10 | Recreativo Huelva vs Dos Hermanas</t>
  </si>
  <si>
    <t>12/04/2026 11:00 | Spain | Tercera División RFEF - Group 11 | Peña Deportiva vs Mallorca II</t>
  </si>
  <si>
    <t>12/04/2026 11:00 | Spain | Tercera División RFEF - Group 14 | Moralo vs Calamonte</t>
  </si>
  <si>
    <t>12/04/2026 11:00 | Spain | Tercera División RFEF - Group 14 | Montijo vs Puebla Calzada</t>
  </si>
  <si>
    <t>12/04/2026 11:00 | Spain | Tercera División RFEF - Group 14 | Villafranca vs Azuaga</t>
  </si>
  <si>
    <t>12/04/2026 11:00 | Spain | Tercera División RFEF - Group 14 | Diocesano vs Gévora</t>
  </si>
  <si>
    <t>12/04/2026 11:00 | Spain | Tercera División RFEF - Group 14 | Don Benito vs Santa Amalia</t>
  </si>
  <si>
    <t>12/04/2026 11:00 | Spain | Tercera División RFEF - Group 16 | Varea vs Agoncillo</t>
  </si>
  <si>
    <t>12/04/2026 11:00 | Spain | Tercera División RFEF - Group 18 | Pedroñeras vs Marchamalo</t>
  </si>
  <si>
    <t>Jagiellonia U19</t>
  </si>
  <si>
    <t>12/04/2026 11:00 | Poland | Central Youth League | Jagiellonia U19 vs Miedź Legnica U19</t>
  </si>
  <si>
    <t>Leixões U23</t>
  </si>
  <si>
    <t>12/04/2026 11:00 | Portugal | Liga Revelação U23 | Benfica U23 vs Leixões U23</t>
  </si>
  <si>
    <t>Than Quang Ninh</t>
  </si>
  <si>
    <t>12/04/2026 11:00 | Vietnam | V.League 2 | Than Quang Ninh vs Bắc Ninh</t>
  </si>
  <si>
    <t>12/04/2026 11:00 | Russia | Second League A - Division A Gold | Torpedo Miass vs Veles</t>
  </si>
  <si>
    <t>12/04/2026 11:00 | Kazakhstan | Premier League | Altay vs Ulytau</t>
  </si>
  <si>
    <t>12/04/2026 11:00 | Russia | First League | Ural vs FC UFA</t>
  </si>
  <si>
    <t>Kosmos Dolgoprudny</t>
  </si>
  <si>
    <t>Murom</t>
  </si>
  <si>
    <t>12/04/2026 11:00 | Russia | Second League - Group 2 | Kosmos Dolgoprudny vs Murom</t>
  </si>
  <si>
    <t>Strogino</t>
  </si>
  <si>
    <t>Avangard Kursk</t>
  </si>
  <si>
    <t>12/04/2026 11:00 | Russia | Second League - Group 3 | Strogino vs Avangard Kursk</t>
  </si>
  <si>
    <t>12/04/2026 11:15</t>
  </si>
  <si>
    <t>12/04/2026 11:15 | Poland | Ekstraklasa | Cracovia Krakow vs Arka Gdynia</t>
  </si>
  <si>
    <t>12/04/2026 11:15 | Netherlands | Eredivisie | Fortuna Sittard vs NAC Breda</t>
  </si>
  <si>
    <t>Dordrecht</t>
  </si>
  <si>
    <t>ADO Den Haag</t>
  </si>
  <si>
    <t>12/04/2026 11:15 | Netherlands | Eerste Divisie | Dordrecht vs ADO Den Haag</t>
  </si>
  <si>
    <t>12/04/2026 11:15 | Spain | Tercera División RFEF - Group 9 | Alhaurino vs Atlético Porcuna</t>
  </si>
  <si>
    <t>Nyva Ternopil II</t>
  </si>
  <si>
    <t>12/04/2026 11:15 | Ukraine | Druha Liga | Polissya II vs Nyva Ternopil II</t>
  </si>
  <si>
    <t>12/04/2026 11:30</t>
  </si>
  <si>
    <t>12/04/2026 11:30 | Italy | Serie A | Genoa vs Sassuolo</t>
  </si>
  <si>
    <t>Vanspor FK</t>
  </si>
  <si>
    <t>12/04/2026 11:30 | Turkey | 1. Lig | Vanspor FK vs Manisa F.K.</t>
  </si>
  <si>
    <t>12/04/2026 11:30 | Spain | Segunda División RFEF - Group 1 | Racing Santander II vs Atlético Astorga</t>
  </si>
  <si>
    <t>12/04/2026 11:30 | Chinese-Taipei | Taiwan Football Premier League | Ming Chuan University vs Tatung</t>
  </si>
  <si>
    <t>12/04/2026 11:30 | Chinese-Taipei | Taiwan Football Premier League | Tainan City vs Taipower</t>
  </si>
  <si>
    <t>12/04/2026 11:30 | Italy | Serie C - Girone B | Juventus U23 vs Guidonia Montecelio 1937</t>
  </si>
  <si>
    <t>12/04/2026 11:30 | Italy | Serie C - Girone B | Ternana vs Perugia</t>
  </si>
  <si>
    <t>12/04/2026 11:30 | Spain | Segunda División RFEF - Group 3 | Girona II vs Atlètic Lleida</t>
  </si>
  <si>
    <t>Coruña</t>
  </si>
  <si>
    <t>12/04/2026 11:30 | Spain | Tercera División RFEF - Group 1 | Coruña vs Estradense</t>
  </si>
  <si>
    <t>12/04/2026 11:30 | Spain | Tercera División RFEF - Group 14 | Cabeza Buey vs Jerez</t>
  </si>
  <si>
    <t>Hønefoss</t>
  </si>
  <si>
    <t>Rana</t>
  </si>
  <si>
    <t>12/04/2026 11:30 | Norway | 2. Division - Group 2 | Hønefoss vs Rana</t>
  </si>
  <si>
    <t>Lucksta</t>
  </si>
  <si>
    <t>IFK Östersund</t>
  </si>
  <si>
    <t>12/04/2026 11:30 | Sweden | Division 2 - Norrland | Lucksta vs IFK Östersund</t>
  </si>
  <si>
    <t>Gokulam</t>
  </si>
  <si>
    <t>12/04/2026 11:30 | India | I-League | Real Kashmir vs Gokulam</t>
  </si>
  <si>
    <t>12/04/2026 11:45</t>
  </si>
  <si>
    <t>12/04/2026 11:45 | Spain | Tercera División RFEF - Group 11 | Binissalem vs Formentera</t>
  </si>
  <si>
    <t>Lokomotiv Kyiv</t>
  </si>
  <si>
    <t>Trostianets</t>
  </si>
  <si>
    <t>12/04/2026 11:45 | Ukraine | Druha Liga | Lokomotiv Kyiv vs Trostianets</t>
  </si>
  <si>
    <t>12/04/2026 12:00</t>
  </si>
  <si>
    <t>12/04/2026 12:00 | Scotland | Premiership | Falkirk vs Rangers</t>
  </si>
  <si>
    <t>Slovan Liberec</t>
  </si>
  <si>
    <t>12/04/2026 12:00 | Czech-Republic | Czech Liga | Karviná vs Slovan Liberec</t>
  </si>
  <si>
    <t>12/04/2026 12:00 | England | Championship | Birmingham vs Wrexham</t>
  </si>
  <si>
    <t>12/04/2026 12:00 | Russia | Premier League | CSKA Moscow vs FC Sochi</t>
  </si>
  <si>
    <t>Bukovyna</t>
  </si>
  <si>
    <t>12/04/2026 12:00 | Ukraine | Persha Liga | Bukovyna vs Yarud Mariupol'</t>
  </si>
  <si>
    <t>12/04/2026 12:00 | Italy | Campionato Primavera - 1 | Fiorentina U20 vs Sassuolo U20</t>
  </si>
  <si>
    <t>12/04/2026 12:00 | Italy | Campionato Primavera - 1 | Frosinone U20 vs Cagliari U20</t>
  </si>
  <si>
    <t>12/04/2026 12:00 | Poland | III Liga - Group 1 | Wasilków vs Bełchatów</t>
  </si>
  <si>
    <t>12/04/2026 12:00 | Portugal | Campeonato de Portugal Prio - Group C | Lusitânia vs Oliveira Hospital</t>
  </si>
  <si>
    <t>12/04/2026 12:00 | Slovakia | 3. liga - East | Košice II vs Raslavice</t>
  </si>
  <si>
    <t>Blackburn Rovers U21</t>
  </si>
  <si>
    <t>12/04/2026 12:00 | England | Premier League 2 Division One | Burnley U21 vs Blackburn Rovers U21</t>
  </si>
  <si>
    <t>Diyarbekirspor</t>
  </si>
  <si>
    <t>12/04/2026 12:00 | Turkey | 3. Lig - Group 2 | Kilis Belediyespor vs Diyarbekirspor</t>
  </si>
  <si>
    <t>12 Bingölspor</t>
  </si>
  <si>
    <t>12/04/2026 12:00 | Turkey | 3. Lig - Group 2 | Osmaniyespor vs 12 Bingölspor</t>
  </si>
  <si>
    <t>Kırıkkale Büyük Anadolu</t>
  </si>
  <si>
    <t>12/04/2026 12:00 | Turkey | 3. Lig - Group 2 | Silifke Belediyespor vs Kırıkkale Büyük Anadolu</t>
  </si>
  <si>
    <t>12/04/2026 12:00 | Turkey | 3. Lig - Group 2 | Karaköprü Belediyespor vs Kapadokyaspor</t>
  </si>
  <si>
    <t>Niğde Belediyesispor</t>
  </si>
  <si>
    <t>Mazıdağı Fosfatspor</t>
  </si>
  <si>
    <t>12/04/2026 12:00 | Turkey | 3. Lig - Group 2 | Niğde Belediyesispor vs Mazıdağı Fosfatspor</t>
  </si>
  <si>
    <t>Ağrı 1970</t>
  </si>
  <si>
    <t>Yeşilyurt Belediyespor</t>
  </si>
  <si>
    <t>12/04/2026 12:00 | Turkey | 3. Lig - Group 2 | Ağrı 1970 vs Yeşilyurt Belediyespor</t>
  </si>
  <si>
    <t>Türk Metal 1963</t>
  </si>
  <si>
    <t>Kırşehir Belediyespor</t>
  </si>
  <si>
    <t>12/04/2026 12:00 | Turkey | 3. Lig - Group 2 | Türk Metal 1963 vs Kırşehir Belediyespor</t>
  </si>
  <si>
    <t>Talasgücü Belediyespor</t>
  </si>
  <si>
    <t>12/04/2026 12:00 | Turkey | 3. Lig - Group 2 | Kahramanmaraşspor vs Talasgücü Belediyespor</t>
  </si>
  <si>
    <t>Giresunspor</t>
  </si>
  <si>
    <t>12/04/2026 12:00 | Turkey | 3. Lig - Group 3 | Zonguldak Kömürspor vs Giresunspor</t>
  </si>
  <si>
    <t>12/04/2026 12:00 | Turkey | 3. Lig - Group 3 | Amasyaspor 1968 vs Fatsa Belediyespor</t>
  </si>
  <si>
    <t>Karabük İdman Yurdu</t>
  </si>
  <si>
    <t>Pazarspor</t>
  </si>
  <si>
    <t>12/04/2026 12:00 | Turkey | 3. Lig - Group 3 | Karabük İdman Yurdu vs Pazarspor</t>
  </si>
  <si>
    <t>Orduspor 1967</t>
  </si>
  <si>
    <t>12/04/2026 12:00 | Turkey | 3. Lig - Group 3 | Orduspor 1967 vs Sebat Gençlikspor</t>
  </si>
  <si>
    <t>12/04/2026 12:00 | Turkey | 3. Lig - Group 3 | Yozgat Bld Bozokspor vs Tokat Bld Plevnespor</t>
  </si>
  <si>
    <t>12/04/2026 12:00 | Turkey | 3. Lig - Group 3 | Düzcespor vs Yeni Orduspor</t>
  </si>
  <si>
    <t>12/04/2026 12:00 | Turkey | 3. Lig - Group 3 | 1926 Bulancak vs Karadeniz Ereğli BSK</t>
  </si>
  <si>
    <t>12/04/2026 12:00 | Turkey | 3. Lig - Group 3 | Çayelispor vs Artvin Hopaspor</t>
  </si>
  <si>
    <t>12/04/2026 12:00 | Spain | Tercera División RFEF - Group 12 | Marino vs Atlético Paso</t>
  </si>
  <si>
    <t>12/04/2026 12:00 | Spain | Tercera División RFEF - Group 12 | UD San Fernando vs Arucas</t>
  </si>
  <si>
    <t>12/04/2026 12:00 | Spain | Tercera División RFEF - Group 12 | Mensajero vs San Miguel</t>
  </si>
  <si>
    <t>12/04/2026 12:00 | Spain | Tercera División RFEF - Group 12 | Telde vs Tenisca</t>
  </si>
  <si>
    <t>Træff</t>
  </si>
  <si>
    <t>12/04/2026 12:00 | Norway | 2. Division - Group 1 | Notodden vs Træff</t>
  </si>
  <si>
    <t>12/04/2026 12:00 | Montenegro | Second League | Grbalj vs Berane</t>
  </si>
  <si>
    <t>Rukinzo</t>
  </si>
  <si>
    <t>Ngozi City</t>
  </si>
  <si>
    <t>12/04/2026 12:00 | Burundi | Ligue A | Rukinzo vs Ngozi City</t>
  </si>
  <si>
    <t>Arlanda</t>
  </si>
  <si>
    <t>12/04/2026 12:00 | Sweden | Ettan - Norra | Umeå FC vs Arlanda</t>
  </si>
  <si>
    <t>Viggbyholms IK</t>
  </si>
  <si>
    <t>Sunnersta</t>
  </si>
  <si>
    <t>12/04/2026 12:00 | Sweden | Division 2 - Norra Svealand | Viggbyholms IK vs Sunnersta</t>
  </si>
  <si>
    <t>Forward</t>
  </si>
  <si>
    <t>Smedby</t>
  </si>
  <si>
    <t>12/04/2026 12:00 | Sweden | Division 2 - Södra Svealand | Forward vs Smedby</t>
  </si>
  <si>
    <t>Västra Frölunda</t>
  </si>
  <si>
    <t>Galtabacks</t>
  </si>
  <si>
    <t>12/04/2026 12:00 | Sweden | Division 2 - Västra Götaland | Västra Frölunda vs Galtabacks</t>
  </si>
  <si>
    <t>12/04/2026 12:00 | Kenya | Super League | Vihiga United FC vs MCF</t>
  </si>
  <si>
    <t>Gucha Stars</t>
  </si>
  <si>
    <t>Equity Bank</t>
  </si>
  <si>
    <t>12/04/2026 12:00 | Kenya | Super League | Gucha Stars vs Equity Bank</t>
  </si>
  <si>
    <t>12/04/2026 12:00 | Latvia | Virsliga | Auda vs BFC Daugavpils</t>
  </si>
  <si>
    <t>Navbahor</t>
  </si>
  <si>
    <t>Surkhon</t>
  </si>
  <si>
    <t>12/04/2026 12:00 | Uzbekistan | Super League | Navbahor vs Surkhon</t>
  </si>
  <si>
    <t>12/04/2026 12:00 | Vietnam | V.League 1 | Binh Duong vs Phu Dong</t>
  </si>
  <si>
    <t>12/04/2026 12:00 | Vietnam | V.League 1 | Pho Hien vs Công An Nhân Dân</t>
  </si>
  <si>
    <t>Qingdao Jonoon</t>
  </si>
  <si>
    <t>12/04/2026 12:00 | China | Super League | Tianjin Teda vs Qingdao Jonoon</t>
  </si>
  <si>
    <t>12/04/2026 12:00 | Cambodia | C-League | Kompong Dewa vs Svay Rieng</t>
  </si>
  <si>
    <t>12/04/2026 12:00 | Cambodia | C-League | NagaWorld vs Boeung Ket</t>
  </si>
  <si>
    <t>12/04/2026 12:00 | Cambodia | C-League | Phnom Penh Crown vs Angkor Tiger</t>
  </si>
  <si>
    <t>Sardor Tursunzoda</t>
  </si>
  <si>
    <t>Khujand</t>
  </si>
  <si>
    <t>12/04/2026 12:00 | Tajikistan | Vysshaya Liga | Sardor Tursunzoda vs Khujand</t>
  </si>
  <si>
    <t>12/04/2026 12:00 | Russia | Second League A - Division A Gold | Leningradets vs Tekstilshchik</t>
  </si>
  <si>
    <t>12/04/2026 12:00 | Russia | Second League A - Division A Gold | Irtysh Omsk vs Kaluga</t>
  </si>
  <si>
    <t>Smiltene</t>
  </si>
  <si>
    <t>12/04/2026 12:00 | Latvia | 1. Liga | Valmiera / BSS vs Smiltene</t>
  </si>
  <si>
    <t>FarDu</t>
  </si>
  <si>
    <t>Jayxun</t>
  </si>
  <si>
    <t>12/04/2026 12:00 | Uzbekistan | Pro League A | FarDu vs Jayxun</t>
  </si>
  <si>
    <t>Kattaqurgon</t>
  </si>
  <si>
    <t>Shortan</t>
  </si>
  <si>
    <t>12/04/2026 12:00 | Uzbekistan | Pro League A | Kattaqurgon vs Shortan</t>
  </si>
  <si>
    <t>BuxDu</t>
  </si>
  <si>
    <t>Aral</t>
  </si>
  <si>
    <t>12/04/2026 12:00 | Uzbekistan | Pro League A | BuxDu vs Aral</t>
  </si>
  <si>
    <t>Cherepovets</t>
  </si>
  <si>
    <t>Tver</t>
  </si>
  <si>
    <t>12/04/2026 12:00 | Russia | Second League - Group 2 | Cherepovets vs Tver</t>
  </si>
  <si>
    <t>Dinamo Vologda</t>
  </si>
  <si>
    <t>Irkutsk</t>
  </si>
  <si>
    <t>12/04/2026 12:00 | Russia | Second League - Group 2 | Dinamo Vologda vs Irkutsk</t>
  </si>
  <si>
    <t>Arsenal Tula II</t>
  </si>
  <si>
    <t>Volna Nizhegorodskaya</t>
  </si>
  <si>
    <t>12/04/2026 12:00 | Russia | Second League - Group 3 | Arsenal Tula II vs Volna Nizhegorodskaya</t>
  </si>
  <si>
    <t>Nosta</t>
  </si>
  <si>
    <t>Akron II</t>
  </si>
  <si>
    <t>12/04/2026 12:00 | Russia | Second League - Group 4 | Nosta vs Akron II</t>
  </si>
  <si>
    <t>Portugal U18 W</t>
  </si>
  <si>
    <t>Sweden U18 W</t>
  </si>
  <si>
    <t>12/04/2026 12:00 | World | Friendlies Women | Portugal U18 W vs Sweden U18 W</t>
  </si>
  <si>
    <t>France U23 W</t>
  </si>
  <si>
    <t>Scotland U23 W</t>
  </si>
  <si>
    <t>12/04/2026 12:00 | World | Friendlies Women | France U23 W vs Scotland U23 W</t>
  </si>
  <si>
    <t>Heinäpään Hanhet 24</t>
  </si>
  <si>
    <t>JS Hercules</t>
  </si>
  <si>
    <t>12/04/2026 12:00 | Finland | Suomen Cup | Heinäpään Hanhet 24 vs JS Hercules</t>
  </si>
  <si>
    <t>Liphakoe</t>
  </si>
  <si>
    <t>12/04/2026 12:00 | Lesotho | Premier League | Liphakoe vs Members</t>
  </si>
  <si>
    <t>12/04/2026 12:15</t>
  </si>
  <si>
    <t>12/04/2026 12:15 | Andorra | 1a Divisió | UE Santa Coloma vs Inter Club d'Escaldes</t>
  </si>
  <si>
    <t>12/04/2026 12:15 | Germany | Oberliga - Bremen | Sebaldsbrück vs Woltmershausen</t>
  </si>
  <si>
    <t>TransINVEST Vilnius</t>
  </si>
  <si>
    <t>12/04/2026 12:15 | Lithuania | A Lyga | TransINVEST Vilnius vs Panevėžys</t>
  </si>
  <si>
    <t>Jarun</t>
  </si>
  <si>
    <t>Orijent 1919</t>
  </si>
  <si>
    <t>12/04/2026 12:15 | Croatia | First NL | Jarun vs Orijent 1919</t>
  </si>
  <si>
    <t>12/04/2026 12:30</t>
  </si>
  <si>
    <t>VfL Bochum</t>
  </si>
  <si>
    <t>Eintracht Braunschweig</t>
  </si>
  <si>
    <t>12/04/2026 12:30 | Germany | 2. Bundesliga | VfL Bochum vs Eintracht Braunschweig</t>
  </si>
  <si>
    <t>12/04/2026 12:30 | Germany | 2. Bundesliga | SV Elversberg vs FC Schalke 04</t>
  </si>
  <si>
    <t>1. FC Magdeburg</t>
  </si>
  <si>
    <t>12/04/2026 12:30 | Germany | 2. Bundesliga | SC Paderborn 07 vs 1. FC Magdeburg</t>
  </si>
  <si>
    <t>VfL Osnabrück</t>
  </si>
  <si>
    <t>12/04/2026 12:30 | Germany | 3. Liga | VfL Osnabrück vs Energie Cottbus</t>
  </si>
  <si>
    <t>12/04/2026 12:30 | Turkey | Süper Lig | Konyaspor vs Fatih Karagümrük</t>
  </si>
  <si>
    <t>Kuching FA</t>
  </si>
  <si>
    <t>Pdrm</t>
  </si>
  <si>
    <t>12/04/2026 12:30 | Malaysia | Super League | Kuching FA vs Pdrm</t>
  </si>
  <si>
    <t>Werder Bremen III</t>
  </si>
  <si>
    <t>12/04/2026 12:30 | Germany | Oberliga - Bremen | Eiche Horn vs Werder Bremen III</t>
  </si>
  <si>
    <t>Home United</t>
  </si>
  <si>
    <t>12/04/2026 12:30 | Singapore | Premier League | Home United vs Hougang United</t>
  </si>
  <si>
    <t>Imisli FK</t>
  </si>
  <si>
    <t>12/04/2026 12:30 | Azerbaijan | Premyer Liqa | Qabala vs Imisli FK</t>
  </si>
  <si>
    <t>Inter Ibiza</t>
  </si>
  <si>
    <t>12/04/2026 12:30 | Spain | Tercera División RFEF - Group 11 | Mercadal vs Inter Ibiza</t>
  </si>
  <si>
    <t>12/04/2026 12:30 | Eswatini | Premier League | Highlanders vs Malanti Chiefs</t>
  </si>
  <si>
    <t>12/04/2026 12:30 | Estonia | Meistriliiga | Kalju Nomme vs FC Levadia Tallinn</t>
  </si>
  <si>
    <t>Paide</t>
  </si>
  <si>
    <t>12/04/2026 12:30 | Estonia | Meistriliiga | Tammeka vs Paide</t>
  </si>
  <si>
    <t>Inter Kashi</t>
  </si>
  <si>
    <t>Mohammedan</t>
  </si>
  <si>
    <t>12/04/2026 12:30 | India | Indian Super League | Inter Kashi vs Mohammedan</t>
  </si>
  <si>
    <t>Nyva Vinnytsya</t>
  </si>
  <si>
    <t>12/04/2026 12:30 | Ukraine | Druha Liga | Kulykiv vs Nyva Vinnytsya</t>
  </si>
  <si>
    <t>12/04/2026 12:30 | China | League One | Heilongjiang Lava Spring vs Nanjing City</t>
  </si>
  <si>
    <t>12/04/2026 12:30 | China | League One | Hebei Kungfu vs Dongguan United</t>
  </si>
  <si>
    <t>Union St. Gilloise</t>
  </si>
  <si>
    <t>12/04/2026 12:30 | Belgium | Jupiler Pro League | KV Mechelen vs Union St. Gilloise</t>
  </si>
  <si>
    <t>12/04/2026 12:30 | Armenia | Premier League | BKMA vs Shirak</t>
  </si>
  <si>
    <t>12/04/2026 12:35</t>
  </si>
  <si>
    <t>12/04/2026 12:35 | China | Super League | Beijing Guoan vs Chengdu Better City</t>
  </si>
  <si>
    <t>12/04/2026 13:00</t>
  </si>
  <si>
    <t>12/04/2026 13:00 | Spain | La Liga | Osasuna vs Real Betis</t>
  </si>
  <si>
    <t>12/04/2026 13:00 | Spain | Segunda División | Granada CF vs Cultural Leonesa</t>
  </si>
  <si>
    <t>Probiy Horodenka</t>
  </si>
  <si>
    <t>12/04/2026 13:00 | Ukraine | Persha Liga | Probiy Horodenka vs UCSA</t>
  </si>
  <si>
    <t>Malut United</t>
  </si>
  <si>
    <t>Dewa United</t>
  </si>
  <si>
    <t>12/04/2026 13:00 | Indonesia | Liga 1 | Malut United vs Dewa United</t>
  </si>
  <si>
    <t>Bali United</t>
  </si>
  <si>
    <t>12/04/2026 13:00 | Indonesia | Liga 1 | Persib Bandung vs Bali United</t>
  </si>
  <si>
    <t>12/04/2026 13:00 | Germany | Oberliga - Baden-Württemberg | TSV Singen vs Göppinger SV</t>
  </si>
  <si>
    <t>Tasmania Berlin</t>
  </si>
  <si>
    <t>12/04/2026 13:00 | Germany | Oberliga - Nordost-Nord | Tasmania Berlin vs Makkabi</t>
  </si>
  <si>
    <t>12/04/2026 13:00 | Germany | Oberliga - Nordost-Nord | Sparta Lichtenberg vs Tennis Borussia</t>
  </si>
  <si>
    <t>Neustrelitz</t>
  </si>
  <si>
    <t>12/04/2026 13:00 | Germany | Oberliga - Nordost-Nord | Croatia Berlin vs Neustrelitz</t>
  </si>
  <si>
    <t>BAK '07</t>
  </si>
  <si>
    <t>12/04/2026 13:00 | Germany | Oberliga - Nordost-Nord | Eintracht Mahlsdorf vs BAK '07</t>
  </si>
  <si>
    <t>12/04/2026 13:00 | Germany | Oberliga - Nordost-Nord | Hansa Rostock II vs Lichtenberg</t>
  </si>
  <si>
    <t>12/04/2026 13:00 | Germany | Oberliga - Nordost-Süd | FC Grimma vs FC Lok Stendal</t>
  </si>
  <si>
    <t>12/04/2026 13:00 | Germany | Oberliga - Nordost-Süd | VfL Halle vs Krieschow</t>
  </si>
  <si>
    <t>Plauen</t>
  </si>
  <si>
    <t>12/04/2026 13:00 | Germany | Oberliga - Nordost-Süd | Budissa Bautzen vs Plauen</t>
  </si>
  <si>
    <t>12/04/2026 13:00 | Germany | Oberliga - Nordost-Süd | RSV Eintracht vs Empor Glauchau</t>
  </si>
  <si>
    <t>Germania Halberstadt</t>
  </si>
  <si>
    <t>12/04/2026 13:00 | Germany | Oberliga - Nordost-Süd | Germania Halberstadt vs Union Sandersdorf</t>
  </si>
  <si>
    <t>BFC Preussen</t>
  </si>
  <si>
    <t>12/04/2026 13:00 | Germany | Regionalliga - Nordost | BFC Preussen vs FC Carl Zeiss Jena</t>
  </si>
  <si>
    <t>12/04/2026 13:00 | Germany | Regionalliga - Nordost | BSG Chemie Leipzig vs Lokomotive Leipzig</t>
  </si>
  <si>
    <t>FSV Zwickau</t>
  </si>
  <si>
    <t>12/04/2026 13:00 | Germany | Regionalliga - Nordost | Greifswalder FC vs FSV Zwickau</t>
  </si>
  <si>
    <t>ETSV Hamburg</t>
  </si>
  <si>
    <t>12/04/2026 13:00 | Germany | Oberliga - Hamburg | Halstenbek-Rellingen vs ETSV Hamburg</t>
  </si>
  <si>
    <t>VfB Lübeck</t>
  </si>
  <si>
    <t>12/04/2026 13:00 | Germany | Regionalliga - Nord | VfB Lübeck vs Werder Bremen II</t>
  </si>
  <si>
    <t>Hamburger SV II</t>
  </si>
  <si>
    <t>12/04/2026 13:00 | Germany | Regionalliga - Nord | Eintracht Norderstedt vs Hamburger SV II</t>
  </si>
  <si>
    <t>12/04/2026 13:00 | Germany | Regionalliga - SudWest | Freiburg II vs Eintracht Trier</t>
  </si>
  <si>
    <t>12/04/2026 13:00 | Germany | Oberliga - Schleswig-Holstein | Phönix L. II vs Rotenhof</t>
  </si>
  <si>
    <t>12/04/2026 13:00 | Germany | Regionalliga - West | FC Gutersloh vs Paderborn II</t>
  </si>
  <si>
    <t>12/04/2026 13:00 | Germany | Regionalliga - West | Fortuna Köln vs Schalke 04 II</t>
  </si>
  <si>
    <t>12/04/2026 13:00 | Germany | Regionalliga - West | Bonner SC vs Köln II</t>
  </si>
  <si>
    <t>Wybrzeże Rewalskie Rewal</t>
  </si>
  <si>
    <t>12/04/2026 13:00 | Poland | III Liga - Group 2 | Wybrzeże Rewalskie Rewal vs Zawisza Bydgoszcz</t>
  </si>
  <si>
    <t>Pogoń Szczecin II</t>
  </si>
  <si>
    <t>12/04/2026 13:00 | Poland | III Liga - Group 2 | Pogoń Szczecin II vs Victoria Września</t>
  </si>
  <si>
    <t>12/04/2026 13:00 | Germany | Oberliga - Schleswig-Holstein | Todesfelde vs Kilia Kiel</t>
  </si>
  <si>
    <t>Wilhelmshaven</t>
  </si>
  <si>
    <t>12/04/2026 13:00 | Germany | Oberliga - Niedersachsen | Eintracht Braunschw. II vs Wilhelmshaven</t>
  </si>
  <si>
    <t>12/04/2026 13:00 | Germany | Oberliga - Bremen | Vatan Sport vs OSC Bremerhaven</t>
  </si>
  <si>
    <t>12/04/2026 13:00 | France | National 2 - Group B | Chambly Thelle FC vs Furiani-Agliani</t>
  </si>
  <si>
    <t>12/04/2026 13:00 | Switzerland | 1. Liga Classic - Group 1 | Coffrane vs Martigny Sports</t>
  </si>
  <si>
    <t>12/04/2026 13:00 | Switzerland | 1. Liga Classic - Group 3 | Widnau vs YF Juventus</t>
  </si>
  <si>
    <t>Southampton U21</t>
  </si>
  <si>
    <t>12/04/2026 13:00 | England | Premier League 2 Division One | Stoke City U21 vs Southampton U21</t>
  </si>
  <si>
    <t>Blauw Geel</t>
  </si>
  <si>
    <t>12/04/2026 13:00 | Netherlands | Derde Divisie - Sunday | Blauw Geel vs GOES</t>
  </si>
  <si>
    <t>Meerssen</t>
  </si>
  <si>
    <t>12/04/2026 13:00 | Netherlands | Derde Divisie - Sunday | UDI '19 vs Meerssen</t>
  </si>
  <si>
    <t>12/04/2026 13:00 | Netherlands | Derde Divisie - Sunday | TOGB vs UNA</t>
  </si>
  <si>
    <t>Ankaragücü</t>
  </si>
  <si>
    <t>İnegölspor</t>
  </si>
  <si>
    <t>12/04/2026 13:00 | Turkey | 2. Lig | Ankaragücü vs İnegölspor</t>
  </si>
  <si>
    <t>Şanlıurfaspor</t>
  </si>
  <si>
    <t>Kastamonuspor</t>
  </si>
  <si>
    <t>12/04/2026 13:00 | Turkey | 2. Lig | Şanlıurfaspor vs Kastamonuspor</t>
  </si>
  <si>
    <t>Batman Petrolspor</t>
  </si>
  <si>
    <t>Beykoz Anadolu</t>
  </si>
  <si>
    <t>12/04/2026 13:00 | Turkey | 2. Lig | Batman Petrolspor vs Beykoz Anadolu</t>
  </si>
  <si>
    <t>Altınordu</t>
  </si>
  <si>
    <t>Bucaspor 1928</t>
  </si>
  <si>
    <t>12/04/2026 13:00 | Turkey | 2. Lig | Altınordu vs Bucaspor 1928</t>
  </si>
  <si>
    <t>Adana 01 FK</t>
  </si>
  <si>
    <t>İskenderunspor</t>
  </si>
  <si>
    <t>12/04/2026 13:00 | Turkey | 2. Lig | Adana 01 FK vs İskenderunspor</t>
  </si>
  <si>
    <t>Elazığspor</t>
  </si>
  <si>
    <t>Erbaaspor</t>
  </si>
  <si>
    <t>12/04/2026 13:00 | Turkey | 2. Lig | Elazığspor vs Erbaaspor</t>
  </si>
  <si>
    <t>Karacabey Belediyespor</t>
  </si>
  <si>
    <t>Ankaraspor</t>
  </si>
  <si>
    <t>12/04/2026 13:00 | Turkey | 2. Lig | Karacabey Belediyespor vs Ankaraspor</t>
  </si>
  <si>
    <t>Karaman FK</t>
  </si>
  <si>
    <t>Muğlaspor</t>
  </si>
  <si>
    <t>12/04/2026 13:00 | Turkey | 2. Lig | Karaman FK vs Muğlaspor</t>
  </si>
  <si>
    <t>Kepezspor</t>
  </si>
  <si>
    <t>12/04/2026 13:00 | Turkey | 2. Lig | Beyoğlu Yeni Çarşı vs Kepezspor</t>
  </si>
  <si>
    <t>12/04/2026 13:00 | Turkey | 2. Lig | Ankara Demirspor vs Bursaspor</t>
  </si>
  <si>
    <t>12/04/2026 13:00 | Turkey | 2. Lig | Somaspor vs 68 Aksaray Belediyespor</t>
  </si>
  <si>
    <t>12/04/2026 13:00 | Turkey | 2. Lig | 1461 Trabzon FK vs Isparta 32 Spor</t>
  </si>
  <si>
    <t>Güzide Gebzespor</t>
  </si>
  <si>
    <t>12/04/2026 13:00 | Turkey | 2. Lig | Güzide Gebzespor vs Fethiyespor</t>
  </si>
  <si>
    <t>Menemen FK</t>
  </si>
  <si>
    <t>12/04/2026 13:00 | Turkey | 2. Lig | Aliağa FAŞ vs Menemen FK</t>
  </si>
  <si>
    <t>Muş Sport Klübü</t>
  </si>
  <si>
    <t>12/04/2026 13:00 | Turkey | 2. Lig | Muş Sport Klübü vs Arnavutköy Belediyespor</t>
  </si>
  <si>
    <t>Mardin 1969</t>
  </si>
  <si>
    <t>12/04/2026 13:00 | Turkey | 2. Lig | Mardin 1969 vs  Kahramanmaraş İstiklal Spor</t>
  </si>
  <si>
    <t>Buriram United</t>
  </si>
  <si>
    <t>12/04/2026 13:00 | Thailand | Thai League 1 | Buriram United vs Ayutthaya FC</t>
  </si>
  <si>
    <t>Kalmar FF</t>
  </si>
  <si>
    <t>12/04/2026 13:00 | Sweden | Allsvenskan | Djurgardens IF vs Kalmar FF</t>
  </si>
  <si>
    <t>12/04/2026 13:00 | Sweden | Allsvenskan | Halmstad vs Degerfors IF</t>
  </si>
  <si>
    <t>Spjelkavik</t>
  </si>
  <si>
    <t>Herd</t>
  </si>
  <si>
    <t>12/04/2026 13:00 | Norway | 3. Division - Girone 2 | Spjelkavik vs Herd</t>
  </si>
  <si>
    <t>Brann II</t>
  </si>
  <si>
    <t>12/04/2026 13:00 | Norway | 3. Division - Girone 3 | Brann II vs Djerv</t>
  </si>
  <si>
    <t>Haugesund II</t>
  </si>
  <si>
    <t>Staal Jørpeland</t>
  </si>
  <si>
    <t>12/04/2026 13:00 | Norway | 3. Division - Girone 4 | Haugesund II vs Staal Jørpeland</t>
  </si>
  <si>
    <t>Odd II</t>
  </si>
  <si>
    <t>Mandalskameratene</t>
  </si>
  <si>
    <t>12/04/2026 13:00 | Norway | 3. Division - Girone 4 | Odd II vs Mandalskameratene</t>
  </si>
  <si>
    <t>Skjetten</t>
  </si>
  <si>
    <t>Strømsgodset II</t>
  </si>
  <si>
    <t>12/04/2026 13:00 | Norway | 3. Division - Girone 5 | Skjetten vs Strømsgodset II</t>
  </si>
  <si>
    <t>Ulfstind</t>
  </si>
  <si>
    <t>Skedsmo</t>
  </si>
  <si>
    <t>12/04/2026 13:00 | Norway | 3. Division - Girone 5 | Ulfstind vs Skedsmo</t>
  </si>
  <si>
    <t>Sarpsborg 08 II</t>
  </si>
  <si>
    <t>Sandefjord II</t>
  </si>
  <si>
    <t>12/04/2026 13:00 | Norway | 3. Division - Girone 6 | Sarpsborg 08 II vs Sandefjord II</t>
  </si>
  <si>
    <t>12/04/2026 13:00 | Montenegro | First League | Sutjeska vs Buducnost Podgorica</t>
  </si>
  <si>
    <t>Syria</t>
  </si>
  <si>
    <t>Wathba</t>
  </si>
  <si>
    <t>Al Ittihad</t>
  </si>
  <si>
    <t>12/04/2026 13:00 | Syria | Premier League | Wathba vs Al Ittihad</t>
  </si>
  <si>
    <t>Piteå</t>
  </si>
  <si>
    <t>Assyriska FF</t>
  </si>
  <si>
    <t>12/04/2026 13:00 | Sweden | Ettan - Norra | Piteå vs Assyriska FF</t>
  </si>
  <si>
    <t>Motala</t>
  </si>
  <si>
    <t>Tord</t>
  </si>
  <si>
    <t>12/04/2026 13:00 | Sweden | Division 2 - Norra Götaland | Motala vs Tord</t>
  </si>
  <si>
    <t>Hestrafor</t>
  </si>
  <si>
    <t>12/04/2026 13:00 | Sweden | Division 2 - Västra Götaland | Åstorp vs Hestrafor</t>
  </si>
  <si>
    <t>12/04/2026 13:00 | Kenya | Super League | Migori Youth vs Naivas</t>
  </si>
  <si>
    <t>Fortune Sacco</t>
  </si>
  <si>
    <t>12/04/2026 13:00 | Kenya | Super League | 3K vs Fortune Sacco</t>
  </si>
  <si>
    <t>Nairobi City Stars</t>
  </si>
  <si>
    <t>12/04/2026 13:00 | Kenya | Super League | Kisumu All Stars vs Nairobi City Stars</t>
  </si>
  <si>
    <t>12/04/2026 13:00 | Kenya | Super League | Soy United vs Nzoia Sugar</t>
  </si>
  <si>
    <t>Dinamo Samarqand</t>
  </si>
  <si>
    <t>12/04/2026 13:00 | Uzbekistan | Super League | Dinamo Samarqand vs Lokomotiv</t>
  </si>
  <si>
    <t>Stuttgarter K'rs U19</t>
  </si>
  <si>
    <t>12/04/2026 13:00 | Germany | U19 Bundesliga | Kickers Offenbach U19 vs Stuttgarter K'rs U19</t>
  </si>
  <si>
    <t>Karlsruher SC U19</t>
  </si>
  <si>
    <t>12/04/2026 13:00 | Germany | U19 Bundesliga | Karlsruher SC U19 vs Jahn Regensburg U19</t>
  </si>
  <si>
    <t>PSPS</t>
  </si>
  <si>
    <t>Persikad Depok FC</t>
  </si>
  <si>
    <t>12/04/2026 13:00 | Indonesia | Liga 2 | PSPS vs Persikad Depok FC</t>
  </si>
  <si>
    <t>Sumsel United</t>
  </si>
  <si>
    <t>Bekasi City</t>
  </si>
  <si>
    <t>12/04/2026 13:00 | Indonesia | Liga 2 | Sumsel United vs Bekasi City</t>
  </si>
  <si>
    <t>Tornado Pekanbaru</t>
  </si>
  <si>
    <t>Persiba Balikpapan</t>
  </si>
  <si>
    <t>12/04/2026 13:00 | Indonesia | Liga 2 | Tornado Pekanbaru vs Persiba Balikpapan</t>
  </si>
  <si>
    <t>12/04/2026 13:00 | China | Super League | Sichuan Jiuniu vs Yunnan Yukun</t>
  </si>
  <si>
    <t>Sirens</t>
  </si>
  <si>
    <t>12/04/2026 13:00 | Malta | Challenge League | Sirens vs Pietà Hotspurs</t>
  </si>
  <si>
    <t>12/04/2026 13:00 | Russia | Second League A - Division A Gold | Rodina Moskva II vs Volgar Astrakhan</t>
  </si>
  <si>
    <t>12/04/2026 13:00 | Kazakhstan | Premier League | Kyzyl-Zhar vs Zhenys</t>
  </si>
  <si>
    <t>Kauno Žalgiris II</t>
  </si>
  <si>
    <t>Žalgiris II</t>
  </si>
  <si>
    <t>12/04/2026 13:00 | Lithuania | 1 Lyga | Kauno Žalgiris II vs Žalgiris II</t>
  </si>
  <si>
    <t>Silkeborg</t>
  </si>
  <si>
    <t>Odense</t>
  </si>
  <si>
    <t>12/04/2026 13:00 | Denmark | Superliga | Silkeborg vs Odense</t>
  </si>
  <si>
    <t>Sonderjyske</t>
  </si>
  <si>
    <t>Viborg</t>
  </si>
  <si>
    <t>12/04/2026 13:00 | Denmark | Superliga | Sonderjyske vs Viborg</t>
  </si>
  <si>
    <t>12/04/2026 13:00 | Brazil | Baiano U20 | Leonico U20 vs Vitória U20</t>
  </si>
  <si>
    <t>12/04/2026 13:00 | Russia | First League | Volga Ulyanovsk vs Shinnik Yaroslavl</t>
  </si>
  <si>
    <t>Dynamo Makhachkala II</t>
  </si>
  <si>
    <t>PSK Dinskaya</t>
  </si>
  <si>
    <t>12/04/2026 13:00 | Russia | Second League - Group 1 | Dynamo Makhachkala II vs PSK Dinskaya</t>
  </si>
  <si>
    <t>Baltika II</t>
  </si>
  <si>
    <t>Torpedo Vladimir</t>
  </si>
  <si>
    <t>12/04/2026 13:00 | Russia | Second League - Group 2 | Baltika II vs Torpedo Vladimir</t>
  </si>
  <si>
    <t>Izhevsk</t>
  </si>
  <si>
    <t>Khimik Dzerzhinsk</t>
  </si>
  <si>
    <t>12/04/2026 13:00 | Russia | Second League - Group 4 | Izhevsk vs Khimik Dzerzhinsk</t>
  </si>
  <si>
    <t>12/04/2026 13:15</t>
  </si>
  <si>
    <t>Hồng Lĩnh Hà Tĩnh</t>
  </si>
  <si>
    <t>12/04/2026 13:15 | Vietnam | V.League 1 | Ha Noi vs Hồng Lĩnh Hà Tĩnh</t>
  </si>
  <si>
    <t>12/04/2026 13:30</t>
  </si>
  <si>
    <t>12/04/2026 13:30 | Netherlands | Eredivisie | NEC Nijmegen vs Feyenoord</t>
  </si>
  <si>
    <t>Excelsior</t>
  </si>
  <si>
    <t>12/04/2026 13:30 | Netherlands | Eredivisie | PEC Zwolle vs Excelsior</t>
  </si>
  <si>
    <t>12/04/2026 13:30 | Poland | I Liga | Polonia Bytom vs Wisla Krakow</t>
  </si>
  <si>
    <t>12/04/2026 13:30 | Ukraine | Premier League | Zorya Luhansk vs Epitsentr Dunayivtsi</t>
  </si>
  <si>
    <t>Rekord Bielsko-Biała</t>
  </si>
  <si>
    <t>Podbeskidzie</t>
  </si>
  <si>
    <t>12/04/2026 13:30 | Poland | II Liga - East | Rekord Bielsko-Biała vs Podbeskidzie</t>
  </si>
  <si>
    <t>12/04/2026 13:30 | Germany | Oberliga - Westfalen | Gievenbeck vs Finnentrop / Bamenohl</t>
  </si>
  <si>
    <t>12/04/2026 13:30 | Germany | Oberliga - Bremen | Hemelingen vs Aumund-Vegesack</t>
  </si>
  <si>
    <t>Bassecourt</t>
  </si>
  <si>
    <t>Courtételle</t>
  </si>
  <si>
    <t>12/04/2026 13:30 | Switzerland | 1. Liga Classic - Group 2 | Bassecourt vs Courtételle</t>
  </si>
  <si>
    <t>Münsingen</t>
  </si>
  <si>
    <t>12/04/2026 13:30 | Switzerland | 1. Liga Classic - Group 2 | Münsingen vs Solothurn</t>
  </si>
  <si>
    <t>12/04/2026 13:30 | Netherlands | Derde Divisie - Saturday | Hsc 21 vs Hercules</t>
  </si>
  <si>
    <t>12/04/2026 13:30 | Netherlands | Derde Divisie - Sunday | Groene Ster vs Gemert</t>
  </si>
  <si>
    <t>12/04/2026 13:30 | Italy | Serie C - Girone C | Latina vs Casarano</t>
  </si>
  <si>
    <t>12/04/2026 13:30 | Italy | Serie C - Girone C | Trapani 1905 vs Salernitana</t>
  </si>
  <si>
    <t>12/04/2026 13:30 | Italy | Serie C - Girone C | Atalanta II vs SS Monopoli</t>
  </si>
  <si>
    <t>12/04/2026 13:30 | Italy | Serie C - Girone C | Team Altamura vs Giugliano</t>
  </si>
  <si>
    <t>12/04/2026 13:30 | Italy | Serie C - Girone C | Foggia vs Siracusa</t>
  </si>
  <si>
    <t>12/04/2026 13:30 | Italy | Serie C - Girone C | Casertana vs Audace Cerignola</t>
  </si>
  <si>
    <t>Serie D - Girone G</t>
  </si>
  <si>
    <t>Scafatese</t>
  </si>
  <si>
    <t>Olbia</t>
  </si>
  <si>
    <t>12/04/2026 13:30 | Italy | Serie D - Girone G | Scafatese vs Olbia</t>
  </si>
  <si>
    <t>Ischia</t>
  </si>
  <si>
    <t>Anzio</t>
  </si>
  <si>
    <t>12/04/2026 13:30 | Italy | Serie D - Girone G | Ischia vs Anzio</t>
  </si>
  <si>
    <t>12/04/2026 13:30 | Norway | Eliteserien | Rosenborg vs Sarpsborg 08 FF</t>
  </si>
  <si>
    <t>12/04/2026 13:30 | Kyrgyzstan | Premier League | Asiagoal vs Alay</t>
  </si>
  <si>
    <t>12/04/2026 13:30 | Austria | Bundesliga | Sturm Graz vs TSV Hartberg</t>
  </si>
  <si>
    <t>12/04/2026 13:30 | Philippines | PFL | Davao Aguilas vs Kaya</t>
  </si>
  <si>
    <t>Gzira United</t>
  </si>
  <si>
    <t>12/04/2026 13:30 | Malta | Premier League | Valletta FC vs Gzira United</t>
  </si>
  <si>
    <t>Pague Menos U20</t>
  </si>
  <si>
    <t>Juazeiro EC U20</t>
  </si>
  <si>
    <t>12/04/2026 13:30 | Brazil | Cearense U20 | Pague Menos U20 vs Juazeiro EC U20</t>
  </si>
  <si>
    <t>12/04/2026 13:45</t>
  </si>
  <si>
    <t>12/04/2026 13:45 | Poland | Ekstraklasa | Motor Lublin vs Raków Częstochowa</t>
  </si>
  <si>
    <t>12/04/2026 14:00</t>
  </si>
  <si>
    <t>12/04/2026 14:00 | Italy | Serie A | Parma vs Napoli</t>
  </si>
  <si>
    <t>Newcastle</t>
  </si>
  <si>
    <t>12/04/2026 14:00 | England | Premier League | Crystal Palace vs Newcastle</t>
  </si>
  <si>
    <t>Nottingham Forest</t>
  </si>
  <si>
    <t>12/04/2026 14:00 | England | Premier League | Nottingham Forest vs Aston Villa</t>
  </si>
  <si>
    <t>Tottenham</t>
  </si>
  <si>
    <t>12/04/2026 14:00 | England | Premier League | Sunderland vs Tottenham</t>
  </si>
  <si>
    <t>12/04/2026 14:00 | Slovenia | 2. SNL | Bistrica vs Tabor Sežana</t>
  </si>
  <si>
    <t>12/04/2026 14:00 | Portugal | Segunda Liga | Maritimo vs Portimonense</t>
  </si>
  <si>
    <t>12/04/2026 14:00 | Turkey | 1. Lig | Adana Demirspor vs Iğdır FK</t>
  </si>
  <si>
    <t>12/04/2026 14:00 | Austria | Regionalliga - West | Rheindorf Altach II vs Hohenems</t>
  </si>
  <si>
    <t>Ahrobiznes Volochysk</t>
  </si>
  <si>
    <t>12/04/2026 14:00 | Ukraine | Persha Liga | Ahrobiznes Volochysk vs Chornomorets</t>
  </si>
  <si>
    <t>Negeri Sembilan</t>
  </si>
  <si>
    <t>DPMM FC Brunei</t>
  </si>
  <si>
    <t>12/04/2026 14:00 | Malaysia | Super League | Negeri Sembilan vs DPMM FC Brunei</t>
  </si>
  <si>
    <t>12/04/2026 14:00 | Germany | Oberliga - Niederrhein | Schonnebeck vs SF Baumberg</t>
  </si>
  <si>
    <t>12/04/2026 14:00 | Germany | Oberliga - Niederrhein | Union Frintrop vs SW Essen</t>
  </si>
  <si>
    <t>Viktoria Jüchen-Garz.</t>
  </si>
  <si>
    <t>12/04/2026 14:00 | Germany | Oberliga - Niederrhein | Kleve vs Viktoria Jüchen-Garz.</t>
  </si>
  <si>
    <t>12/04/2026 14:00 | Germany | Oberliga - Niederrhein | BW Dingden vs Sonsbeck</t>
  </si>
  <si>
    <t>12/04/2026 14:00 | Germany | Oberliga - Niederrhein | Holzheimer SG vs Homberg</t>
  </si>
  <si>
    <t>12/04/2026 14:00 | Germany | Oberliga - Rheinland-Pfalz / Saar | Cosmos Koblenz vs Auersmacher</t>
  </si>
  <si>
    <t>12/04/2026 14:00 | Germany | Oberliga - Hessen | Eddersheim vs Fernwald</t>
  </si>
  <si>
    <t>1960 Hanau</t>
  </si>
  <si>
    <t>12/04/2026 14:00 | Germany | Oberliga - Hessen | Kassel vs 1960 Hanau</t>
  </si>
  <si>
    <t>Legia Warszawa II</t>
  </si>
  <si>
    <t>12/04/2026 14:00 | Poland | III Liga - Group 1 | Olimpia Elbląg vs Legia Warszawa II</t>
  </si>
  <si>
    <t>Eintracht Rheine</t>
  </si>
  <si>
    <t>12/04/2026 14:00 | Germany | Oberliga - Westfalen | Eintracht Rheine vs Victoria Clarholz</t>
  </si>
  <si>
    <t>12/04/2026 14:00 | Germany | Oberliga - Westfalen | Rot Weiss Ahlen vs Türkspor Dortmund</t>
  </si>
  <si>
    <t>12/04/2026 14:00 | Germany | Oberliga - Westfalen | Sprockhovel vs Ennepetal</t>
  </si>
  <si>
    <t>12/04/2026 14:00 | Germany | Oberliga - Westfalen | Westfalia Rhynern vs Lippstadt 08</t>
  </si>
  <si>
    <t>12/04/2026 14:00 | Germany | Oberliga - Westfalen | Hiltrup vs Vreden</t>
  </si>
  <si>
    <t>12/04/2026 14:00 | Germany | Oberliga - Westfalen | Schermbeck vs Erkenschwick</t>
  </si>
  <si>
    <t>12/04/2026 14:00 | Germany | Oberliga - Westfalen | Verl II vs SG Wattenscheid 09</t>
  </si>
  <si>
    <t>12/04/2026 14:00 | Germany | Oberliga - Niedersachsen | Lupo-Martini vs Germania Egestorf</t>
  </si>
  <si>
    <t>12/04/2026 14:00 | Germany | Oberliga - Niedersachsen | Heeslinger SC vs Borussia Hildesheim</t>
  </si>
  <si>
    <t>Nchanga Rangers</t>
  </si>
  <si>
    <t>Kansanshi Dynamos</t>
  </si>
  <si>
    <t>12/04/2026 14:00 | Zambia | Super League | Nchanga Rangers vs Kansanshi Dynamos</t>
  </si>
  <si>
    <t>Mufulira Wanderers</t>
  </si>
  <si>
    <t>Zanaco</t>
  </si>
  <si>
    <t>12/04/2026 14:00 | Zambia | Super League | Mufulira Wanderers vs Zanaco</t>
  </si>
  <si>
    <t>Man Utd Zambia Academy</t>
  </si>
  <si>
    <t>12/04/2026 14:00 | Zambia | Super League | ZESCO United vs Man Utd Zambia Academy</t>
  </si>
  <si>
    <t>Green Eagles</t>
  </si>
  <si>
    <t>Konkola Blades</t>
  </si>
  <si>
    <t>12/04/2026 14:00 | Zambia | Super League | Green Eagles vs Konkola Blades</t>
  </si>
  <si>
    <t>Red Arrows</t>
  </si>
  <si>
    <t>Kabwe Warriors</t>
  </si>
  <si>
    <t>12/04/2026 14:00 | Zambia | Super League | Red Arrows vs Kabwe Warriors</t>
  </si>
  <si>
    <t>12/04/2026 14:00 | Belgium | First Amateur Division | Cercle Brugge II vs Spouwen-Mopertingen</t>
  </si>
  <si>
    <t>Roeselare Daisel</t>
  </si>
  <si>
    <t>12/04/2026 14:00 | Belgium | First Amateur Division | Roeselare Daisel vs Diegem Sport</t>
  </si>
  <si>
    <t>12/04/2026 14:00 | Belgium | First Amateur Division | Tienen vs Dessel Sport</t>
  </si>
  <si>
    <t>12/04/2026 14:00 | San-Marino | Campionato | Cosmos vs Pennarossa</t>
  </si>
  <si>
    <t>12/04/2026 14:00 | San-Marino | Campionato | Juvenes / Dogana vs Folgore</t>
  </si>
  <si>
    <t>12/04/2026 14:00 | San-Marino | Campionato | Tre Fiori vs Libertas</t>
  </si>
  <si>
    <t>12/04/2026 14:00 | San-Marino | Campionato | Virtus vs Murata</t>
  </si>
  <si>
    <t>12/04/2026 14:00 | Italy | Serie B | Padova vs Empoli</t>
  </si>
  <si>
    <t>Bergisch Gladbach</t>
  </si>
  <si>
    <t>12/04/2026 14:00 | Germany | Oberliga - Mittelrhein | Düren Merzenich vs Bergisch Gladbach</t>
  </si>
  <si>
    <t>Saint-Malo</t>
  </si>
  <si>
    <t>12/04/2026 14:00 | France | National 2 - Group A | Saint-Malo vs La Roche VF</t>
  </si>
  <si>
    <t>Poitiers</t>
  </si>
  <si>
    <t>12/04/2026 14:00 | France | National 2 - Group A | Angoulême vs Poitiers</t>
  </si>
  <si>
    <t>Bayonne</t>
  </si>
  <si>
    <t>Granville</t>
  </si>
  <si>
    <t>12/04/2026 14:00 | France | National 2 - Group A | Bayonne vs Granville</t>
  </si>
  <si>
    <t>12/04/2026 14:00 | France | National 3 - Group G | Saran Municipal vs Orléans II</t>
  </si>
  <si>
    <t>Panazol</t>
  </si>
  <si>
    <t>12/04/2026 14:00 | France | National 3 - Group B | Panazol vs Les Sables</t>
  </si>
  <si>
    <t>12/04/2026 14:00 | France | National 3 - Group F | Strasbourg II vs Troyes II</t>
  </si>
  <si>
    <t>12/04/2026 14:00 | France | National 3 - Group H | Montpellier II vs Fos</t>
  </si>
  <si>
    <t>12/04/2026 14:00 | France | National 3 - Group H | Villefranche SJB vs Gallia Lucciana</t>
  </si>
  <si>
    <t>Bastia II</t>
  </si>
  <si>
    <t>12/04/2026 14:00 | France | National 3 - Group D | Havre Caucriauville vs Bastia II</t>
  </si>
  <si>
    <t>12/04/2026 14:00 | France | National 3 - Group D | Versailles II vs Oissel</t>
  </si>
  <si>
    <t>Balagne</t>
  </si>
  <si>
    <t>12/04/2026 14:00 | France | National 3 - Group E | Metz II vs Balagne</t>
  </si>
  <si>
    <t>12/04/2026 14:00 | South-Africa | Premier Soccer League | Kaizer Chiefs vs TS Galaxy</t>
  </si>
  <si>
    <t>Old Boys</t>
  </si>
  <si>
    <t>12/04/2026 14:00 | Switzerland | 1. Liga Classic - Group 2 | Grasshopper II vs Old Boys</t>
  </si>
  <si>
    <t>Portalban / Gletterens</t>
  </si>
  <si>
    <t>12/04/2026 14:00 | Switzerland | 1. Liga Classic - Group 1 | Portalban / Gletterens vs Prishtina Bern</t>
  </si>
  <si>
    <t>Kruger United</t>
  </si>
  <si>
    <t>12/04/2026 14:00 | South-Africa | 1st Division | Highbury vs Kruger United</t>
  </si>
  <si>
    <t>Upington City</t>
  </si>
  <si>
    <t>12/04/2026 14:00 | South-Africa | 1st Division | Upington City vs Cape Town City</t>
  </si>
  <si>
    <t>Kartal Bulvarspor</t>
  </si>
  <si>
    <t>12/04/2026 14:00 | Turkey | 3. Lig - Group 1 | Kartal Bulvarspor vs 1926 Polatlı Belediye</t>
  </si>
  <si>
    <t>Beykoz İshaklıspor</t>
  </si>
  <si>
    <t>12/04/2026 14:00 | Turkey | 3. Lig - Group 1 | Çankaya FK vs Beykoz İshaklıspor</t>
  </si>
  <si>
    <t>İnkılapspor</t>
  </si>
  <si>
    <t>12/04/2026 14:00 | Turkey | 3. Lig - Group 1 | Edirnespor vs İnkılapspor</t>
  </si>
  <si>
    <t>Yalova Yeşilovaspor</t>
  </si>
  <si>
    <t>Çorluspor 1947</t>
  </si>
  <si>
    <t>12/04/2026 14:00 | Turkey | 3. Lig - Group 1 | Yalova Yeşilovaspor vs Çorluspor 1947</t>
  </si>
  <si>
    <t>Galata</t>
  </si>
  <si>
    <t>12/04/2026 14:00 | Turkey | 3. Lig - Group 1 | Bursa Yıldırımspor vs Galata</t>
  </si>
  <si>
    <t>Kestel Çilek</t>
  </si>
  <si>
    <t>12/04/2026 14:00 | Turkey | 3. Lig - Group 1 | Kestel Çilek vs İnegöl Kafkas Gençlik</t>
  </si>
  <si>
    <t>12/04/2026 14:00 | Turkey | 3. Lig - Group 1 | Silivrispor vs Nilüfer Belediye</t>
  </si>
  <si>
    <t>Küçükçekmece Sinopspor</t>
  </si>
  <si>
    <t>12/04/2026 14:00 | Turkey | 3. Lig - Group 1 | Küçükçekmece Sinopspor vs Etimesgut SK</t>
  </si>
  <si>
    <t>Karsiyaka</t>
  </si>
  <si>
    <t>12/04/2026 14:00 | Turkey | 3. Lig - Group 4 | Karsiyaka vs Söke 1970</t>
  </si>
  <si>
    <t>Uşak Spor</t>
  </si>
  <si>
    <t>12/04/2026 14:00 | Turkey | 3. Lig - Group 4 | İzmir Çoruhlu FK vs Uşak Spor</t>
  </si>
  <si>
    <t>12/04/2026 14:00 | Turkey | 3. Lig - Group 4 | Kütahyaspor vs Bornova 1877</t>
  </si>
  <si>
    <t>Ayvalikgucu</t>
  </si>
  <si>
    <t>12/04/2026 14:00 | Turkey | 3. Lig - Group 4 | Anadolu Üniversitesi vs Ayvalikgucu</t>
  </si>
  <si>
    <t>Tire 2021 FK</t>
  </si>
  <si>
    <t>12/04/2026 14:00 | Turkey | 3. Lig - Group 4 | Afjet Afyonspor vs Tire 2021 FK</t>
  </si>
  <si>
    <t>12/04/2026 14:00 | Turkey | 3. Lig - Group 4 | Nazilli Spor vs Altay</t>
  </si>
  <si>
    <t>12/04/2026 14:00 | Turkey | 3. Lig - Group 4 | Balıkesirspor vs Eskişehirspor</t>
  </si>
  <si>
    <t>12/04/2026 14:00 | Turkey | 3. Lig - Group 4 | Alanya 1221 FK vs Denizli İYG</t>
  </si>
  <si>
    <t>12/04/2026 14:00 | Belgium | Second Amateur Division - ACFF | Acren-Lessines vs Tournai</t>
  </si>
  <si>
    <t>Sporting Bruxelles</t>
  </si>
  <si>
    <t>Entité Manageoise</t>
  </si>
  <si>
    <t>12/04/2026 14:00 | Belgium | Second Amateur Division - ACFF | Sporting Bruxelles vs Entité Manageoise</t>
  </si>
  <si>
    <t>12/04/2026 14:00 | Belgium | Second Amateur Division - ACFF | RUS Binche vs Stade Verviers</t>
  </si>
  <si>
    <t>Ganshoren</t>
  </si>
  <si>
    <t>12/04/2026 14:00 | Belgium | Second Amateur Division - ACFF | Ganshoren vs Aywaille</t>
  </si>
  <si>
    <t>12/04/2026 14:00 | Belgium | Second Amateur Division - ACFF | Raeren-Eynatten vs Ostiches</t>
  </si>
  <si>
    <t>Tilffois</t>
  </si>
  <si>
    <t>12/04/2026 14:00 | Belgium | Second Amateur Division - ACFF | Tilffois vs Jette</t>
  </si>
  <si>
    <t>12/04/2026 14:00 | Belgium | Second Amateur Division - ACFF | Richelle United vs Huy</t>
  </si>
  <si>
    <t>Torhout</t>
  </si>
  <si>
    <t>Mechelen II</t>
  </si>
  <si>
    <t>12/04/2026 14:00 | Belgium | Second Amateur Division - VFV A | Torhout vs Mechelen II</t>
  </si>
  <si>
    <t>Serie D - Girone A</t>
  </si>
  <si>
    <t>Celle Varazze</t>
  </si>
  <si>
    <t>Città di Varese</t>
  </si>
  <si>
    <t>12/04/2026 14:00 | Italy | Serie D - Girone A | Celle Varazze vs Città di Varese</t>
  </si>
  <si>
    <t>Chisola</t>
  </si>
  <si>
    <t>Ligorna</t>
  </si>
  <si>
    <t>12/04/2026 14:00 | Italy | Serie D - Girone A | Chisola vs Ligorna</t>
  </si>
  <si>
    <t>Valenzana</t>
  </si>
  <si>
    <t>Gozzano</t>
  </si>
  <si>
    <t>12/04/2026 14:00 | Italy | Serie D - Girone A | Valenzana vs Gozzano</t>
  </si>
  <si>
    <t>NovaRomentin</t>
  </si>
  <si>
    <t>Imperia</t>
  </si>
  <si>
    <t>12/04/2026 14:00 | Italy | Serie D - Girone A | NovaRomentin vs Imperia</t>
  </si>
  <si>
    <t>Asti</t>
  </si>
  <si>
    <t>Saluzzo</t>
  </si>
  <si>
    <t>12/04/2026 14:00 | Italy | Serie D - Girone A | Asti vs Saluzzo</t>
  </si>
  <si>
    <t>Biellese</t>
  </si>
  <si>
    <t>Sestri Levante</t>
  </si>
  <si>
    <t>12/04/2026 14:00 | Italy | Serie D - Girone A | Biellese vs Sestri Levante</t>
  </si>
  <si>
    <t>Lavagnese</t>
  </si>
  <si>
    <t>Vado</t>
  </si>
  <si>
    <t>12/04/2026 14:00 | Italy | Serie D - Girone A | Lavagnese vs Vado</t>
  </si>
  <si>
    <t>Cairese</t>
  </si>
  <si>
    <t>Club Milano</t>
  </si>
  <si>
    <t>12/04/2026 14:00 | Italy | Serie D - Girone A | Cairese vs Club Milano</t>
  </si>
  <si>
    <t>Sanremese</t>
  </si>
  <si>
    <t>Derthona</t>
  </si>
  <si>
    <t>12/04/2026 14:00 | Italy | Serie D - Girone A | Sanremese vs Derthona</t>
  </si>
  <si>
    <t>Varesina</t>
  </si>
  <si>
    <t>12/04/2026 14:00 | Italy | Serie D - Girone B | Varesina vs Chievo</t>
  </si>
  <si>
    <t>Brusaporto</t>
  </si>
  <si>
    <t>Milan II</t>
  </si>
  <si>
    <t>12/04/2026 14:00 | Italy | Serie D - Girone B | Brusaporto vs Milan II</t>
  </si>
  <si>
    <t>Virtus Ciserano Bergamo</t>
  </si>
  <si>
    <t>12/04/2026 14:00 | Italy | Serie D - Girone B | Villa Valle vs Virtus Ciserano Bergamo</t>
  </si>
  <si>
    <t>Sondrio</t>
  </si>
  <si>
    <t>Caldiero Terme</t>
  </si>
  <si>
    <t>12/04/2026 14:00 | Italy | Serie D - Girone B | Sondrio vs Caldiero Terme</t>
  </si>
  <si>
    <t>Pavia</t>
  </si>
  <si>
    <t>Scanzorosciate</t>
  </si>
  <si>
    <t>12/04/2026 14:00 | Italy | Serie D - Girone B | Pavia vs Scanzorosciate</t>
  </si>
  <si>
    <t>Real Calepina</t>
  </si>
  <si>
    <t>Breno</t>
  </si>
  <si>
    <t>12/04/2026 14:00 | Italy | Serie D - Girone B | Real Calepina vs Breno</t>
  </si>
  <si>
    <t>Castellanzese</t>
  </si>
  <si>
    <t>Leon Monza e Brianza</t>
  </si>
  <si>
    <t>12/04/2026 14:00 | Italy | Serie D - Girone B | Castellanzese vs Leon Monza e Brianza</t>
  </si>
  <si>
    <t>Campodarsego</t>
  </si>
  <si>
    <t>Bassano Virtus</t>
  </si>
  <si>
    <t>12/04/2026 14:00 | Italy | Serie D - Girone C | Campodarsego vs Bassano Virtus</t>
  </si>
  <si>
    <t>Luparense</t>
  </si>
  <si>
    <t>Mestre</t>
  </si>
  <si>
    <t>12/04/2026 14:00 | Italy | Serie D - Girone C | Luparense vs Mestre</t>
  </si>
  <si>
    <t>Altavilla</t>
  </si>
  <si>
    <t>12/04/2026 14:00 | Italy | Serie D - Girone C | Altavilla vs San Luigi</t>
  </si>
  <si>
    <t>Legnago Salus</t>
  </si>
  <si>
    <t>Este</t>
  </si>
  <si>
    <t>12/04/2026 14:00 | Italy | Serie D - Girone C | Legnago Salus vs Este</t>
  </si>
  <si>
    <t>Cjarlins Muzane</t>
  </si>
  <si>
    <t>FC Obermais</t>
  </si>
  <si>
    <t>12/04/2026 14:00 | Italy | Serie D - Girone C | Cjarlins Muzane vs FC Obermais</t>
  </si>
  <si>
    <t>Clodiense</t>
  </si>
  <si>
    <t>Vigasio</t>
  </si>
  <si>
    <t>12/04/2026 14:00 | Italy | Serie D - Girone C | Clodiense vs Vigasio</t>
  </si>
  <si>
    <t>Cittadella Vis Modena</t>
  </si>
  <si>
    <t>Rovato Vertovese</t>
  </si>
  <si>
    <t>12/04/2026 14:00 | Italy | Serie D - Girone D | Cittadella Vis Modena vs Rovato Vertovese</t>
  </si>
  <si>
    <t>Desenzano Calvina</t>
  </si>
  <si>
    <t>Sasso Marconi Zola</t>
  </si>
  <si>
    <t>12/04/2026 14:00 | Italy | Serie D - Girone D | Desenzano Calvina vs Sasso Marconi Zola</t>
  </si>
  <si>
    <t>Coriano</t>
  </si>
  <si>
    <t>12/04/2026 14:00 | Italy | Serie D - Girone D | Coriano vs Imolese</t>
  </si>
  <si>
    <t>Pro Sesto</t>
  </si>
  <si>
    <t>12/04/2026 14:00 | Italy | Serie D - Girone D | Pro Sesto vs Pistoiese</t>
  </si>
  <si>
    <t>Sant'Angelo</t>
  </si>
  <si>
    <t>Piacenza</t>
  </si>
  <si>
    <t>12/04/2026 14:00 | Italy | Serie D - Girone D | Sant'Angelo vs Piacenza</t>
  </si>
  <si>
    <t>Pro Palazzolo</t>
  </si>
  <si>
    <t>12/04/2026 14:00 | Italy | Serie D - Girone D | Trevigliese vs Pro Palazzolo</t>
  </si>
  <si>
    <t>Sangiuliano City</t>
  </si>
  <si>
    <t>12/04/2026 14:00 | Italy | Serie D - Girone D | Crema vs Sangiuliano City</t>
  </si>
  <si>
    <t>Lentigione</t>
  </si>
  <si>
    <t>Tuttocuoio</t>
  </si>
  <si>
    <t>12/04/2026 14:00 | Italy | Serie D - Girone D | Lentigione vs Tuttocuoio</t>
  </si>
  <si>
    <t>Serie D - Girone E</t>
  </si>
  <si>
    <t>San Donato Tavarnelle</t>
  </si>
  <si>
    <t>Ghivizzano Borgo Mozzano</t>
  </si>
  <si>
    <t>12/04/2026 14:00 | Italy | Serie D - Girone E | San Donato Tavarnelle vs Ghivizzano Borgo Mozzano</t>
  </si>
  <si>
    <t>Montevarchi Calcio</t>
  </si>
  <si>
    <t>Terranuova Traiana</t>
  </si>
  <si>
    <t>12/04/2026 14:00 | Italy | Serie D - Girone E | Montevarchi Calcio vs Terranuova Traiana</t>
  </si>
  <si>
    <t>Seravezza</t>
  </si>
  <si>
    <t>Robur Siena</t>
  </si>
  <si>
    <t>12/04/2026 14:00 | Italy | Serie D - Girone E | Seravezza vs Robur Siena</t>
  </si>
  <si>
    <t>Sporting Trestina</t>
  </si>
  <si>
    <t>Gavorrano</t>
  </si>
  <si>
    <t>12/04/2026 14:00 | Italy | Serie D - Girone E | Sporting Trestina vs Gavorrano</t>
  </si>
  <si>
    <t>Tau Altopascio</t>
  </si>
  <si>
    <t>Cannara</t>
  </si>
  <si>
    <t>12/04/2026 14:00 | Italy | Serie D - Girone E | Tau Altopascio vs Cannara</t>
  </si>
  <si>
    <t>Grosseto</t>
  </si>
  <si>
    <t>Sansepolcro</t>
  </si>
  <si>
    <t>12/04/2026 14:00 | Italy | Serie D - Girone E | Grosseto vs Sansepolcro</t>
  </si>
  <si>
    <t>Orvietana Calcio</t>
  </si>
  <si>
    <t>Scandicci</t>
  </si>
  <si>
    <t>12/04/2026 14:00 | Italy | Serie D - Girone E | Orvietana Calcio vs Scandicci</t>
  </si>
  <si>
    <t>Foligno Calcio</t>
  </si>
  <si>
    <t>Prato</t>
  </si>
  <si>
    <t>12/04/2026 14:00 | Italy | Serie D - Girone E | Foligno Calcio vs Prato</t>
  </si>
  <si>
    <t>Camaiore</t>
  </si>
  <si>
    <t>Poggibonsi</t>
  </si>
  <si>
    <t>12/04/2026 14:00 | Italy | Serie D - Girone E | Camaiore vs Poggibonsi</t>
  </si>
  <si>
    <t>Serie D - Girone F</t>
  </si>
  <si>
    <t>Fossombrone</t>
  </si>
  <si>
    <t>Ancona</t>
  </si>
  <si>
    <t>12/04/2026 14:00 | Italy | Serie D - Girone F | Fossombrone vs Ancona</t>
  </si>
  <si>
    <t>Vigor Senigallia</t>
  </si>
  <si>
    <t>Atletico Ascoli</t>
  </si>
  <si>
    <t>12/04/2026 14:00 | Italy | Serie D - Girone F | Vigor Senigallia vs Atletico Ascoli</t>
  </si>
  <si>
    <t>Chieti</t>
  </si>
  <si>
    <t>Unipomezia</t>
  </si>
  <si>
    <t>12/04/2026 14:00 | Italy | Serie D - Girone F | Chieti vs Unipomezia</t>
  </si>
  <si>
    <t>Notaresco</t>
  </si>
  <si>
    <t>Ostia Mare</t>
  </si>
  <si>
    <t>12/04/2026 14:00 | Italy | Serie D - Girone F | Notaresco vs Ostia Mare</t>
  </si>
  <si>
    <t>Sora</t>
  </si>
  <si>
    <t>Victor San Marino</t>
  </si>
  <si>
    <t>12/04/2026 14:00 | Italy | Serie D - Girone F | Sora vs Victor San Marino</t>
  </si>
  <si>
    <t>Maceratese</t>
  </si>
  <si>
    <t>Recanatese</t>
  </si>
  <si>
    <t>12/04/2026 14:00 | Italy | Serie D - Girone F | Maceratese vs Recanatese</t>
  </si>
  <si>
    <t>Teramo</t>
  </si>
  <si>
    <t>Termoli Calcio</t>
  </si>
  <si>
    <t>12/04/2026 14:00 | Italy | Serie D - Girone F | Teramo vs Termoli Calcio</t>
  </si>
  <si>
    <t>Real Giulianova</t>
  </si>
  <si>
    <t>Castelfidardo Calcio</t>
  </si>
  <si>
    <t>12/04/2026 14:00 | Italy | Serie D - Girone F | Real Giulianova vs Castelfidardo Calcio</t>
  </si>
  <si>
    <t>Flaminia</t>
  </si>
  <si>
    <t>Albalonga</t>
  </si>
  <si>
    <t>12/04/2026 14:00 | Italy | Serie D - Girone G | Flaminia vs Albalonga</t>
  </si>
  <si>
    <t>Atletico Lodigiani</t>
  </si>
  <si>
    <t>Nocerina</t>
  </si>
  <si>
    <t>12/04/2026 14:00 | Italy | Serie D - Girone G | Atletico Lodigiani vs Nocerina</t>
  </si>
  <si>
    <t>Sarrabus Ogliastra</t>
  </si>
  <si>
    <t>Budoni</t>
  </si>
  <si>
    <t>12/04/2026 14:00 | Italy | Serie D - Girone G | Sarrabus Ogliastra vs Budoni</t>
  </si>
  <si>
    <t>Valmontone</t>
  </si>
  <si>
    <t>Montespaccato</t>
  </si>
  <si>
    <t>12/04/2026 14:00 | Italy | Serie D - Girone G | Valmontone vs Montespaccato</t>
  </si>
  <si>
    <t>Latte Dolce</t>
  </si>
  <si>
    <t>USD Palmese</t>
  </si>
  <si>
    <t>12/04/2026 14:00 | Italy | Serie D - Girone G | Latte Dolce vs USD Palmese</t>
  </si>
  <si>
    <t>Real Monterotondo</t>
  </si>
  <si>
    <t>Cassino</t>
  </si>
  <si>
    <t>12/04/2026 14:00 | Italy | Serie D - Girone G | Real Monterotondo vs Cassino</t>
  </si>
  <si>
    <t>Monastir</t>
  </si>
  <si>
    <t>Trastevere</t>
  </si>
  <si>
    <t>12/04/2026 14:00 | Italy | Serie D - Girone G | Monastir vs Trastevere</t>
  </si>
  <si>
    <t>Pompei</t>
  </si>
  <si>
    <t>Heraclea</t>
  </si>
  <si>
    <t>12/04/2026 14:00 | Italy | Serie D - Girone H | Pompei vs Heraclea</t>
  </si>
  <si>
    <t>Martina Franca</t>
  </si>
  <si>
    <t>Real Normanna</t>
  </si>
  <si>
    <t>12/04/2026 14:00 | Italy | Serie D - Girone H | Martina Franca vs Real Normanna</t>
  </si>
  <si>
    <t>Francavilla</t>
  </si>
  <si>
    <t>Real Acerrana</t>
  </si>
  <si>
    <t>12/04/2026 14:00 | Italy | Serie D - Girone H | Francavilla vs Real Acerrana</t>
  </si>
  <si>
    <t>Sancataldese</t>
  </si>
  <si>
    <t>Gelbison</t>
  </si>
  <si>
    <t>12/04/2026 14:00 | Italy | Serie D - Girone I | Sancataldese vs Gelbison</t>
  </si>
  <si>
    <t>Paternò</t>
  </si>
  <si>
    <t>Milazzo</t>
  </si>
  <si>
    <t>12/04/2026 14:00 | Italy | Serie D - Girone I | Paternò vs Milazzo</t>
  </si>
  <si>
    <t>Vigor Lamezia</t>
  </si>
  <si>
    <t>Savoia</t>
  </si>
  <si>
    <t>12/04/2026 14:00 | Italy | Serie D - Girone I | Vigor Lamezia vs Savoia</t>
  </si>
  <si>
    <t>Nissa</t>
  </si>
  <si>
    <t>12/04/2026 14:00 | Italy | Serie D - Girone I | Acireale vs Nissa</t>
  </si>
  <si>
    <t>AC Palermo</t>
  </si>
  <si>
    <t>CastrumFavara</t>
  </si>
  <si>
    <t>12/04/2026 14:00 | Italy | Serie D - Girone I | AC Palermo vs CastrumFavara</t>
  </si>
  <si>
    <t>Gela</t>
  </si>
  <si>
    <t>12/04/2026 14:00 | Italy | Serie D - Girone I | Gela vs Reggina</t>
  </si>
  <si>
    <t>Messina</t>
  </si>
  <si>
    <t>Ragusa</t>
  </si>
  <si>
    <t>12/04/2026 14:00 | Italy | Serie D - Girone I | Messina vs Ragusa</t>
  </si>
  <si>
    <t>Igea Virtus</t>
  </si>
  <si>
    <t>Vibonese</t>
  </si>
  <si>
    <t>12/04/2026 14:00 | Italy | Serie D - Girone I | Igea Virtus vs Vibonese</t>
  </si>
  <si>
    <t>12/04/2026 14:00 | Czech-Republic | 4. liga - Divizie C | Slovan Hrádek nad Nisou vs Chlumec nad Cidlinou</t>
  </si>
  <si>
    <t>Dynamos</t>
  </si>
  <si>
    <t>12/04/2026 14:00 | Zimbabwe | Premier Soccer League | Dynamos vs Platinum</t>
  </si>
  <si>
    <t>Kariba</t>
  </si>
  <si>
    <t>12/04/2026 14:00 | Zimbabwe | Premier Soccer League | Highlanders vs Kariba</t>
  </si>
  <si>
    <t>Herentals</t>
  </si>
  <si>
    <t>12/04/2026 14:00 | Zimbabwe | Premier Soccer League | Manica Diamonds vs Herentals</t>
  </si>
  <si>
    <t>jerv</t>
  </si>
  <si>
    <t>12/04/2026 14:00 | Norway | 2. Division - Group 1 | jerv vs Mjondalen</t>
  </si>
  <si>
    <t>Ull/Kisa</t>
  </si>
  <si>
    <t>12/04/2026 14:00 | Norway | 2. Division - Group 2 | Tromsdalen Uil vs Ull/Kisa</t>
  </si>
  <si>
    <t>Førde</t>
  </si>
  <si>
    <t>Sogndal II</t>
  </si>
  <si>
    <t>12/04/2026 14:00 | Norway | 3. Division - Girone 3 | Førde vs Sogndal II</t>
  </si>
  <si>
    <t>Flekkerøy</t>
  </si>
  <si>
    <t>Viking II</t>
  </si>
  <si>
    <t>12/04/2026 14:00 | Norway | 3. Division - Girone 4 | Flekkerøy vs Viking II</t>
  </si>
  <si>
    <t>Harstad</t>
  </si>
  <si>
    <t>Finnsnes</t>
  </si>
  <si>
    <t>12/04/2026 14:00 | Norway | 3. Division - Girone 5 | Harstad vs Finnsnes</t>
  </si>
  <si>
    <t>12/04/2026 14:00 | Sweden | Superettan | IK brage vs Oddevold</t>
  </si>
  <si>
    <t>12/04/2026 14:00 | Sweden | Superettan | Landskrona BoIS vs Falkenbergs FF</t>
  </si>
  <si>
    <t>12/04/2026 14:00 | Montenegro | Second League | Otrant-Olympic vs Rudar</t>
  </si>
  <si>
    <t>12/04/2026 14:00 | Montenegro | First League | Arsenal Tivat vs Mornar</t>
  </si>
  <si>
    <t>12/04/2026 14:00 | Montenegro | First League | Jezero vs Petrovac</t>
  </si>
  <si>
    <t>12/04/2026 14:00 | Montenegro | First League | Mladost DG vs Bokelj</t>
  </si>
  <si>
    <t>Dynamik</t>
  </si>
  <si>
    <t>12/04/2026 14:00 | Burundi | Ligue A | Aigle Noir vs Dynamik</t>
  </si>
  <si>
    <t>Green Farmers FC</t>
  </si>
  <si>
    <t>12/04/2026 14:00 | Burundi | Ligue A | Green Farmers FC vs Bumamuru</t>
  </si>
  <si>
    <t>12/04/2026 14:00 | Burundi | Ligue A | Kayanza United vs Flambeau du Centre</t>
  </si>
  <si>
    <t>Inter Star</t>
  </si>
  <si>
    <t>12/04/2026 14:00 | Burundi | Ligue A | Musongati vs Inter Star</t>
  </si>
  <si>
    <t>Le Messager Ngozi</t>
  </si>
  <si>
    <t>Royal Vision</t>
  </si>
  <si>
    <t>12/04/2026 14:00 | Burundi | Ligue A | Le Messager Ngozi vs Royal Vision</t>
  </si>
  <si>
    <t>Olympic Star</t>
  </si>
  <si>
    <t>12/04/2026 14:00 | Burundi | Ligue A | Olympic Star vs Vital'O</t>
  </si>
  <si>
    <t>TP Mazembe</t>
  </si>
  <si>
    <t>Don Bosco</t>
  </si>
  <si>
    <t>12/04/2026 14:00 | Congo-DR | Ligue 1 | TP Mazembe vs Don Bosco</t>
  </si>
  <si>
    <t>Tshinkunku</t>
  </si>
  <si>
    <t>12/04/2026 14:00 | Congo-DR | Ligue 1 | Tanganyika vs Tshinkunku</t>
  </si>
  <si>
    <t>Al Mabarrah</t>
  </si>
  <si>
    <t>Al Ansar</t>
  </si>
  <si>
    <t>12/04/2026 14:00 | Lebanon | Premier League | Al Mabarrah vs Al Ansar</t>
  </si>
  <si>
    <t>Úrvalsdeild</t>
  </si>
  <si>
    <t>IBV Vestmannaeyjar</t>
  </si>
  <si>
    <t>FH hafnarfjordur</t>
  </si>
  <si>
    <t>12/04/2026 14:00 | Iceland | Úrvalsdeild | IBV Vestmannaeyjar vs FH hafnarfjordur</t>
  </si>
  <si>
    <t>Gute</t>
  </si>
  <si>
    <t>Korsnäs</t>
  </si>
  <si>
    <t>12/04/2026 14:00 | Sweden | Division 2 - Norra Svealand | Gute vs Korsnäs</t>
  </si>
  <si>
    <t>Helges</t>
  </si>
  <si>
    <t>Angby</t>
  </si>
  <si>
    <t>12/04/2026 14:00 | Sweden | Division 2 - Norra Svealand | Helges vs Angby</t>
  </si>
  <si>
    <t>Nosaby</t>
  </si>
  <si>
    <t>12/04/2026 14:00 | Sweden | Division 2 - Östra Götaland | IFK Trelleborg vs Nosaby</t>
  </si>
  <si>
    <t>Räppe</t>
  </si>
  <si>
    <t>Lilla Torg</t>
  </si>
  <si>
    <t>12/04/2026 14:00 | Sweden | Division 2 - Östra Götaland | Räppe vs Lilla Torg</t>
  </si>
  <si>
    <t>Rangers FC</t>
  </si>
  <si>
    <t>Moneni Pirates</t>
  </si>
  <si>
    <t>12/04/2026 14:00 | Eswatini | Premier League | Rangers FC vs Moneni Pirates</t>
  </si>
  <si>
    <t>Elite One</t>
  </si>
  <si>
    <t>Aigle Royal de Moungo</t>
  </si>
  <si>
    <t>Cotonsport</t>
  </si>
  <si>
    <t>12/04/2026 14:00 | Cameroon | Elite One | Aigle Royal de Moungo vs Cotonsport</t>
  </si>
  <si>
    <t>Aigle Royal</t>
  </si>
  <si>
    <t>Fortuna Mfou</t>
  </si>
  <si>
    <t>12/04/2026 14:00 | Cameroon | Elite One | Aigle Royal vs Fortuna Mfou</t>
  </si>
  <si>
    <t>Colombe</t>
  </si>
  <si>
    <t>Gazelle</t>
  </si>
  <si>
    <t>12/04/2026 14:00 | Cameroon | Elite One | Colombe vs Gazelle</t>
  </si>
  <si>
    <t>Jeunes Fauves</t>
  </si>
  <si>
    <t>Canon</t>
  </si>
  <si>
    <t>12/04/2026 14:00 | Cameroon | Elite One | Jeunes Fauves vs Canon</t>
  </si>
  <si>
    <t>Panthère</t>
  </si>
  <si>
    <t>Unisport Bafang</t>
  </si>
  <si>
    <t>12/04/2026 14:00 | Cameroon | Elite One | Panthère vs Unisport Bafang</t>
  </si>
  <si>
    <t>Stade Renard</t>
  </si>
  <si>
    <t>PWD Bamenda</t>
  </si>
  <si>
    <t>12/04/2026 14:00 | Cameroon | Elite One | Stade Renard vs PWD Bamenda</t>
  </si>
  <si>
    <t>Victoria United</t>
  </si>
  <si>
    <t>Dynamo de Douala</t>
  </si>
  <si>
    <t>12/04/2026 14:00 | Cameroon | Elite One | Victoria United vs Dynamo de Douala</t>
  </si>
  <si>
    <t>FK Liepaja</t>
  </si>
  <si>
    <t>12/04/2026 14:00 | Latvia | Virsliga | FK Liepaja vs FS Jelgava</t>
  </si>
  <si>
    <t>12/04/2026 14:00 | Belgium | First Amateur Division | Crossing Schaerbeek vs Stockay-Warfusée</t>
  </si>
  <si>
    <t>Union Namur</t>
  </si>
  <si>
    <t>12/04/2026 14:00 | Belgium | First Amateur Division | Standard Liège II vs Union Namur</t>
  </si>
  <si>
    <t>12/04/2026 14:00 | Belgium | First Amateur Division | Habay-la-Neuve vs Meux</t>
  </si>
  <si>
    <t>Sreenidi Deccan</t>
  </si>
  <si>
    <t>Rajasthan United</t>
  </si>
  <si>
    <t>12/04/2026 14:00 | India | I-League | Sreenidi Deccan vs Rajasthan United</t>
  </si>
  <si>
    <t>12/04/2026 14:00 | Tajikistan | Vysshaya Liga | Istaravshan vs Khatlon</t>
  </si>
  <si>
    <t>Istiqlol</t>
  </si>
  <si>
    <t>12/04/2026 14:00 | Tajikistan | Vysshaya Liga | Istiqlol vs Parvoz</t>
  </si>
  <si>
    <t>12/04/2026 14:00 | Kosovo | Liga E Pare | FC Besa Peja vs Suhareka</t>
  </si>
  <si>
    <t>12/04/2026 14:00 | Kosovo | Liga E Pare | Prizreni vs Tefik Canga</t>
  </si>
  <si>
    <t>12/04/2026 14:00 | Kosovo | Liga E Pare | Trepça'89 vs Kika</t>
  </si>
  <si>
    <t>12/04/2026 14:00 | Kosovo | Liga E Pare | Vëllaznimi vs Dinamo Ferizaj</t>
  </si>
  <si>
    <t>12 de Junio VH</t>
  </si>
  <si>
    <t>Fernando De La Mora</t>
  </si>
  <si>
    <t>12/04/2026 14:00 | Paraguay | Division Intermedia | 12 de Junio VH vs Fernando De La Mora</t>
  </si>
  <si>
    <t>Tacuary</t>
  </si>
  <si>
    <t>Resistencia</t>
  </si>
  <si>
    <t>12/04/2026 14:00 | Paraguay | Division Intermedia | Tacuary vs Resistencia</t>
  </si>
  <si>
    <t>Chertanovo Moscow</t>
  </si>
  <si>
    <t>Luki-Energiya</t>
  </si>
  <si>
    <t>12/04/2026 14:00 | Russia | Second League - Group 2 | Chertanovo Moscow vs Luki-Energiya</t>
  </si>
  <si>
    <t>Rubin Kazan 2</t>
  </si>
  <si>
    <t>Pobeda Nizhniy Novgorod</t>
  </si>
  <si>
    <t>12/04/2026 14:00 | Russia | Second League - Group 4 | Rubin Kazan 2 vs Pobeda Nizhniy Novgorod</t>
  </si>
  <si>
    <t>12/04/2026 14:00 | Uruguay | Primera División - Apertura | Central Espanol vs Danubio</t>
  </si>
  <si>
    <t>12/04/2026 14:00 | Kosovo | Superliga | Llapi vs Drenica Skënderaj</t>
  </si>
  <si>
    <t>12/04/2026 14:00 | Kosovo | Superliga | Ballkani vs Gjilani</t>
  </si>
  <si>
    <t>Drita</t>
  </si>
  <si>
    <t>12/04/2026 14:00 | Kosovo | Superliga | Drita vs Ferizaj</t>
  </si>
  <si>
    <t>12/04/2026 14:00 | Brazil | Paulista - A3 | XV de Jau vs Marília</t>
  </si>
  <si>
    <t>12/04/2026 14:00 | Lesotho | Premier League | LCS vs Maroala</t>
  </si>
  <si>
    <t>12/04/2026 14:00 | Lesotho | Premier League | LMPS vs LDF</t>
  </si>
  <si>
    <t>Thailand U20 W</t>
  </si>
  <si>
    <t>Korea Republic U20 W</t>
  </si>
  <si>
    <t>12/04/2026 14:00 | World | AFC U20 Asian Cup - Women | Thailand U20 W vs Korea Republic U20 W</t>
  </si>
  <si>
    <t>12/04/2026 14:15</t>
  </si>
  <si>
    <t>Andijan</t>
  </si>
  <si>
    <t>Olmaliq</t>
  </si>
  <si>
    <t>12/04/2026 14:15 | Uzbekistan | Super League | Andijan vs Olmaliq</t>
  </si>
  <si>
    <t>12/04/2026 14:30</t>
  </si>
  <si>
    <t>Sigma Olomouc</t>
  </si>
  <si>
    <t>12/04/2026 14:30 | Czech-Republic | Czech Liga | Pardubice vs Sigma Olomouc</t>
  </si>
  <si>
    <t>Mlada Boleslav</t>
  </si>
  <si>
    <t>Dukla Praha</t>
  </si>
  <si>
    <t>12/04/2026 14:30 | Czech-Republic | Czech Liga | Mlada Boleslav vs Dukla Praha</t>
  </si>
  <si>
    <t>Teplice</t>
  </si>
  <si>
    <t>12/04/2026 14:30 | Czech-Republic | Czech Liga | Teplice vs Sparta Praha</t>
  </si>
  <si>
    <t>12/04/2026 14:30 | Germany | Bundesliga | 1. FC Köln vs Werder Bremen</t>
  </si>
  <si>
    <t>Wolfsberger AC II</t>
  </si>
  <si>
    <t>Wallern / Marienkirchen</t>
  </si>
  <si>
    <t>12/04/2026 14:30 | Austria | Regionalliga - Mitte | Wolfsberger AC II vs Wallern / Marienkirchen</t>
  </si>
  <si>
    <t>12/04/2026 14:30 | Russia | Premier League | FC Rostov vs Spartak Moscow</t>
  </si>
  <si>
    <t>12/04/2026 14:30 | Russia | Premier League | Lokomotiv vs Dinamo Makhachkala</t>
  </si>
  <si>
    <t>12/04/2026 14:30 | Germany | Oberliga - Niederrhein | Hilden vs Büderich</t>
  </si>
  <si>
    <t>12/04/2026 14:30 | Germany | Oberliga - Niederrhein | SC St. Tönis vs Meerbusch</t>
  </si>
  <si>
    <t>12/04/2026 14:30 | Slovakia | 3. liga - West | Petržalka II vs Trenčín II</t>
  </si>
  <si>
    <t>Bornheim</t>
  </si>
  <si>
    <t>12/04/2026 14:30 | Germany | Oberliga - Mittelrhein | Bornheim vs Siegburger SV</t>
  </si>
  <si>
    <t>12/04/2026 14:30 | Germany | Oberliga - Mittelrhein | Eintracht Hohkeppel vs Porz</t>
  </si>
  <si>
    <t>12/04/2026 14:30 | Germany | Oberliga - Mittelrhein | VfL Vichttal vs SSV Merten</t>
  </si>
  <si>
    <t>12/04/2026 14:30 | Germany | Oberliga - Mittelrhein | TuS BW Königsdorf vs Teutonia Weiden</t>
  </si>
  <si>
    <t>Ferrandina</t>
  </si>
  <si>
    <t>Gravina</t>
  </si>
  <si>
    <t>12/04/2026 14:30 | Italy | Serie D - Girone H | Ferrandina vs Gravina</t>
  </si>
  <si>
    <t>Barletta</t>
  </si>
  <si>
    <t>Città di Fasano</t>
  </si>
  <si>
    <t>12/04/2026 14:30 | Italy | Serie D - Girone H | Barletta vs Città di Fasano</t>
  </si>
  <si>
    <t>Sarnese</t>
  </si>
  <si>
    <t>Nardò</t>
  </si>
  <si>
    <t>12/04/2026 14:30 | Italy | Serie D - Girone H | Sarnese vs Nardò</t>
  </si>
  <si>
    <t>Enna</t>
  </si>
  <si>
    <t>Sambiase</t>
  </si>
  <si>
    <t>12/04/2026 14:30 | Italy | Serie D - Girone I | Enna vs Sambiase</t>
  </si>
  <si>
    <t>Police XI</t>
  </si>
  <si>
    <t>Galaxy</t>
  </si>
  <si>
    <t>12/04/2026 14:30 | Botswana | Premier League | Police XI vs Galaxy</t>
  </si>
  <si>
    <t>12/04/2026 14:30 | Germany | Oberliga - Hessen | Rot-Weiß Walldorf vs Weidenhausen</t>
  </si>
  <si>
    <t>12/04/2026 14:30 | Czech-Republic | 4. liga - Divizie D | Dálnice Speřice vs Chotebor</t>
  </si>
  <si>
    <t>Sokol Tasovice</t>
  </si>
  <si>
    <t>12/04/2026 14:30 | Czech-Republic | 4. liga - Divizie D | Sokol Tasovice vs Kuřim</t>
  </si>
  <si>
    <t>12/04/2026 14:30 | Czech-Republic | 4. liga - Divizie E | Sokol Lanžhot vs Kozlovice</t>
  </si>
  <si>
    <t>Baťov</t>
  </si>
  <si>
    <t>12/04/2026 14:30 | Czech-Republic | 4. liga - Divizie E | Strání vs Baťov</t>
  </si>
  <si>
    <t>12/04/2026 14:30 | Czech-Republic | 4. liga - Divizie E | Tatran Všechovice vs Holešov</t>
  </si>
  <si>
    <t>Bílovec</t>
  </si>
  <si>
    <t>12/04/2026 14:30 | Czech-Republic | 4. liga - Divizie F | Bílovec vs Nový Jičín</t>
  </si>
  <si>
    <t>12/04/2026 14:30 | Czech-Republic | 4. liga - Divizie F | Frýdlant vs Jiskra Rýmařov</t>
  </si>
  <si>
    <t>Džiugas Telšiai</t>
  </si>
  <si>
    <t>Šiauliai</t>
  </si>
  <si>
    <t>12/04/2026 14:30 | Lithuania | A Lyga | Džiugas Telšiai vs Šiauliai</t>
  </si>
  <si>
    <t>12/04/2026 14:30 | Slovakia | Super Liga | Komárno vs FK Košice</t>
  </si>
  <si>
    <t>12/04/2026 14:30 | Russia | First League | Torpedo Moskva vs Arsenal Tula</t>
  </si>
  <si>
    <t>Thailand W</t>
  </si>
  <si>
    <t>New Caledonia W</t>
  </si>
  <si>
    <t>12/04/2026 14:30 | World | Friendlies Women | Thailand W vs New Caledonia W</t>
  </si>
  <si>
    <t>12/04/2026 14:30 | Lesotho | Premier League | Limkokwing University vs Machokha</t>
  </si>
  <si>
    <t>12/04/2026 14:40</t>
  </si>
  <si>
    <t>Sur</t>
  </si>
  <si>
    <t>Dhofar</t>
  </si>
  <si>
    <t>12/04/2026 14:40 | Oman | Professional League | Sur vs Dhofar</t>
  </si>
  <si>
    <t>12/04/2026 14:45</t>
  </si>
  <si>
    <t>12/04/2026 14:45 | Germany | Oberliga - Mittelrhein | Pesch vs Frechen</t>
  </si>
  <si>
    <t>12/04/2026 14:50</t>
  </si>
  <si>
    <t>Al Jazira Al Hamra</t>
  </si>
  <si>
    <t>Al Urooba</t>
  </si>
  <si>
    <t>12/04/2026 14:50 | United-Arab-Emirates | Division 1 | Al Jazira Al Hamra vs Al Urooba</t>
  </si>
  <si>
    <t>12/04/2026 14:55</t>
  </si>
  <si>
    <t>Al Hamriyah</t>
  </si>
  <si>
    <t>12/04/2026 14:55 | United-Arab-Emirates | Division 1 | Dubai City vs Al Hamriyah</t>
  </si>
  <si>
    <t>Al Bataeh U23</t>
  </si>
  <si>
    <t>Khorfakkan U23</t>
  </si>
  <si>
    <t>12/04/2026 14:55 | United-Arab-Emirates | Pro League U23 | Al Bataeh U23 vs Khorfakkan U23</t>
  </si>
  <si>
    <t>Al Nasr U23</t>
  </si>
  <si>
    <t>Al Dhafra U23</t>
  </si>
  <si>
    <t>12/04/2026 14:55 | United-Arab-Emirates | Pro League U23 | Al Nasr U23 vs Al Dhafra U23</t>
  </si>
  <si>
    <t>Al Wasl U23</t>
  </si>
  <si>
    <t>Ajman U23</t>
  </si>
  <si>
    <t>12/04/2026 14:55 | United-Arab-Emirates | Pro League U23 | Al Wasl U23 vs Ajman U23</t>
  </si>
  <si>
    <t>Dibba Al Fujairah U23</t>
  </si>
  <si>
    <t>Al Jazira U23</t>
  </si>
  <si>
    <t>12/04/2026 14:55 | United-Arab-Emirates | Pro League U23 | Dibba Al Fujairah U23 vs Al Jazira U23</t>
  </si>
  <si>
    <t>12/04/2026 15:00</t>
  </si>
  <si>
    <t>NK Osijek</t>
  </si>
  <si>
    <t>12/04/2026 15:00 | Croatia | HNL | HNK Rijeka vs NK Osijek</t>
  </si>
  <si>
    <t>NK Varazdin</t>
  </si>
  <si>
    <t>NK Slaven Belupo</t>
  </si>
  <si>
    <t>12/04/2026 15:00 | Croatia | HNL | NK Varazdin vs NK Slaven Belupo</t>
  </si>
  <si>
    <t>12/04/2026 15:00 | Luxembourg | National Division | F91 Dudelange vs US Hostert</t>
  </si>
  <si>
    <t>12/04/2026 15:00 | Luxembourg | National Division | Swift Hesperange vs FC Differdange 03</t>
  </si>
  <si>
    <t>12/04/2026 15:00 | Luxembourg | National Division | UN Kaerjeng 97 vs Atert Bissen</t>
  </si>
  <si>
    <t>12/04/2026 15:00 | Luxembourg | National Division | US Mondorf-les-bains vs AS Jeunesse Esch</t>
  </si>
  <si>
    <t>12/04/2026 15:00 | Luxembourg | National Division | UNA Strassen vs Racing FC Union Luxembourg</t>
  </si>
  <si>
    <t>12/04/2026 15:00 | Luxembourg | National Division | Rodange 91 vs Union Titus Petange</t>
  </si>
  <si>
    <t>12/04/2026 15:00 | Luxembourg | National Division | Victoria Rosport vs Jeunesse Canach</t>
  </si>
  <si>
    <t>Göztepe</t>
  </si>
  <si>
    <t>12/04/2026 15:00 | Turkey | Süper Lig | Göztepe vs Kasımpaşa</t>
  </si>
  <si>
    <t>12/04/2026 15:00 | Belgium | Challenger Pro League | KAA Gent II vs Liège</t>
  </si>
  <si>
    <t>Sokół Kleczew</t>
  </si>
  <si>
    <t>12/04/2026 15:00 | Poland | II Liga - East | Hutnik Kraków vs Sokół Kleczew</t>
  </si>
  <si>
    <t>Viktoriya Mykolaivka</t>
  </si>
  <si>
    <t>Vorskla Poltava</t>
  </si>
  <si>
    <t>12/04/2026 15:00 | Ukraine | Persha Liga | Viktoriya Mykolaivka vs Vorskla Poltava</t>
  </si>
  <si>
    <t>Monheim</t>
  </si>
  <si>
    <t>12/04/2026 15:00 | Germany | Oberliga - Niederrhein | Monheim vs KFC Uerdingen 05</t>
  </si>
  <si>
    <t>12/04/2026 15:00 | Germany | Oberliga - Schleswig-Holstein | Inter Türkspor Kiel vs SV Eichede</t>
  </si>
  <si>
    <t>12/04/2026 15:00 | Portugal | Campeonato de Portugal Prio - Group A | Vilaverdense vs Camacha</t>
  </si>
  <si>
    <t>12/04/2026 15:00 | Albania | Superliga | Tirana vs Egnatia Rrogozhinë</t>
  </si>
  <si>
    <t>12/04/2026 15:00 | Slovakia | 3. liga - Center | Fiľakovo vs Rimavská Sobota</t>
  </si>
  <si>
    <t>12/04/2026 15:00 | Spain | Primera División RFEF - Group 1 | Arenas Getxo vs Celta de Vigo II</t>
  </si>
  <si>
    <t>Arenteiro</t>
  </si>
  <si>
    <t>12/04/2026 15:00 | Spain | Primera División RFEF - Group 1 | Barakaldo vs Arenteiro</t>
  </si>
  <si>
    <t>CF Talavera</t>
  </si>
  <si>
    <t>12/04/2026 15:00 | Spain | Primera División RFEF - Group 1 | CF Talavera vs Zamora</t>
  </si>
  <si>
    <t>12/04/2026 15:00 | Spain | Primera División RFEF - Group 1 | Pontevedra vs Ponferradina</t>
  </si>
  <si>
    <t>12/04/2026 15:00 | Spain | Primera División RFEF - Group 1 | Unionistas de Salamanca vs Guadalajara</t>
  </si>
  <si>
    <t>Yeni Mersin Idmanyurdu</t>
  </si>
  <si>
    <t>12/04/2026 15:00 | Turkey | 2. Lig | Yeni Mersin Idmanyurdu vs Adanaspor</t>
  </si>
  <si>
    <t>12/04/2026 15:00 | Turkey | 2. Lig | Yeni Malatyaspor vs Kırklarelispor</t>
  </si>
  <si>
    <t>Sumqayıt</t>
  </si>
  <si>
    <t>12/04/2026 15:00 | Azerbaijan | Premyer Liqa | Turan vs Sumqayıt</t>
  </si>
  <si>
    <t>Sammaurese</t>
  </si>
  <si>
    <t>L'Aquila</t>
  </si>
  <si>
    <t>12/04/2026 15:00 | Italy | Serie D - Girone F | Sammaurese vs L'Aquila</t>
  </si>
  <si>
    <t>Virtus Francavilla</t>
  </si>
  <si>
    <t>Fidelis Andria</t>
  </si>
  <si>
    <t>12/04/2026 15:00 | Italy | Serie D - Girone H | Virtus Francavilla vs Fidelis Andria</t>
  </si>
  <si>
    <t>Manfredonia</t>
  </si>
  <si>
    <t>Nola 1925</t>
  </si>
  <si>
    <t>12/04/2026 15:00 | Italy | Serie D - Girone H | Manfredonia vs Nola 1925</t>
  </si>
  <si>
    <t>12/04/2026 15:00 | Slovakia | 3. liga - East | Spišské Podhradie vs Spartak Medzev</t>
  </si>
  <si>
    <t>12/04/2026 15:00 | Slovenia | 3. SNL - West | Vipava vs Šobec Lesce</t>
  </si>
  <si>
    <t>12/04/2026 15:00 | Czech-Republic | 4. liga - Divizie E | Kroměříž II vs Skaštice</t>
  </si>
  <si>
    <t>Atletico Paranaense</t>
  </si>
  <si>
    <t>12/04/2026 15:00 | Brazil | Serie A | Atletico Paranaense vs Chapecoense-sc</t>
  </si>
  <si>
    <t>Bjarg</t>
  </si>
  <si>
    <t>12/04/2026 15:00 | Norway | 2. Division - Group 1 | Arendal vs Bjarg</t>
  </si>
  <si>
    <t>Junkeren</t>
  </si>
  <si>
    <t>12/04/2026 15:00 | Norway | 2. Division - Group 2 | Skeid vs Junkeren</t>
  </si>
  <si>
    <t>Skjervøy</t>
  </si>
  <si>
    <t>Tromsø II</t>
  </si>
  <si>
    <t>12/04/2026 15:00 | Norway | 3. Division - Girone 5 | Skjervøy vs Tromsø II</t>
  </si>
  <si>
    <t>Brumunddal</t>
  </si>
  <si>
    <t>12/04/2026 15:00 | Norway | 3. Division - Girone 6 | Lyn II vs Brumunddal</t>
  </si>
  <si>
    <t>12/04/2026 15:00 | Montenegro | Second League | Mladost Lješkopolje vs Igalo</t>
  </si>
  <si>
    <t>12/04/2026 15:00 | Montenegro | Second League | Iskra vs Lovćen</t>
  </si>
  <si>
    <t>12/04/2026 15:00 | Montenegro | First League | Dečić vs Jedinstvo</t>
  </si>
  <si>
    <t>12/04/2026 15:00 | Sweden | Ettan - Södra | Jonkopings Sodra vs Utsikten</t>
  </si>
  <si>
    <t>12/04/2026 15:00 | Sweden | Ettan - Norra | Stockholm Internazionale vs IF Karlstad</t>
  </si>
  <si>
    <t>Vasalund</t>
  </si>
  <si>
    <t>12/04/2026 15:00 | Sweden | Ettan - Norra | Vasalund vs FBK Karlstad</t>
  </si>
  <si>
    <t>12/04/2026 15:00 | Faroe-Islands | Meistaradeildin | NSI Runavik vs 07 Vestur</t>
  </si>
  <si>
    <t>12/04/2026 15:00 | Faroe-Islands | Meistaradeildin | EB / Streymur vs HB Torshavn</t>
  </si>
  <si>
    <t>12/04/2026 15:00 | Faroe-Islands | Meistaradeildin | Vikingur Gota vs AB</t>
  </si>
  <si>
    <t>Falu BS</t>
  </si>
  <si>
    <t>Skiljebo</t>
  </si>
  <si>
    <t>12/04/2026 15:00 | Sweden | Division 2 - Norra Svealand | Falu BS vs Skiljebo</t>
  </si>
  <si>
    <t>Ezulwini United</t>
  </si>
  <si>
    <t>12/04/2026 15:00 | Eswatini | Premier League | Ezulwini United vs Mbabane Swallows</t>
  </si>
  <si>
    <t>Flora Tallinn</t>
  </si>
  <si>
    <t>12/04/2026 15:00 | Estonia | Meistriliiga | Flora Tallinn vs Vaprus</t>
  </si>
  <si>
    <t>Amora</t>
  </si>
  <si>
    <t>Caldas</t>
  </si>
  <si>
    <t>12/04/2026 15:00 | Portugal | Liga 3 | Amora vs Caldas</t>
  </si>
  <si>
    <t>Atlético CP</t>
  </si>
  <si>
    <t>12/04/2026 15:00 | Portugal | Liga 3 | SC Covilha vs Atlético CP</t>
  </si>
  <si>
    <t>12/04/2026 15:00 | Portugal | Liga 3 | Paredes vs SC Braga B</t>
  </si>
  <si>
    <t>12/04/2026 15:00 | Portugal | Liga 3 | São João Ver vs AD Marco 09</t>
  </si>
  <si>
    <t>12/04/2026 15:00 | Cameroon | Elite Two | Atlantic vs FAP</t>
  </si>
  <si>
    <t>12/04/2026 15:00 | Cameroon | Elite Two | Bamboutos vs Union Abong-Mbang</t>
  </si>
  <si>
    <t>ATK Mohun Bagan</t>
  </si>
  <si>
    <t>12/04/2026 15:00 | India | Indian Super League | ATK Mohun Bagan vs Minerva Punjab</t>
  </si>
  <si>
    <t>Vilkhivtsi</t>
  </si>
  <si>
    <t>12/04/2026 15:00 | Ukraine | Druha Liga | Vilkhivtsi vs Lisne</t>
  </si>
  <si>
    <t>Kolos Kovalivka II</t>
  </si>
  <si>
    <t>Oleksandria II</t>
  </si>
  <si>
    <t>12/04/2026 15:00 | Ukraine | Druha Liga | Kolos Kovalivka II vs Oleksandria II</t>
  </si>
  <si>
    <t>12/04/2026 15:00 | Kazakhstan | Premier League | Aktobe vs Kaspiy</t>
  </si>
  <si>
    <t>12/04/2026 15:00 | England | EFL Trophy | Luton vs Stockport County</t>
  </si>
  <si>
    <t>12/04/2026 15:00 | Serbia | Srpska Liga - Vojvodina | FK Mladost Omoljica vs Indjija</t>
  </si>
  <si>
    <t>12/04/2026 15:00 | Serbia | Srpska Liga - Vojvodina | Zeleznicar Inđija vs OFK Bačka</t>
  </si>
  <si>
    <t>12/04/2026 15:00 | Serbia | Srpska Liga - Vojvodina | Hajduk Divoš vs Omladinac NB</t>
  </si>
  <si>
    <t>Brondby</t>
  </si>
  <si>
    <t>12/04/2026 15:00 | Denmark | Superliga | Brondby vs FC Midtjylland</t>
  </si>
  <si>
    <t>FK Sokol Saratov</t>
  </si>
  <si>
    <t>12/04/2026 15:00 | Russia | First League | Rotor Volgograd vs FK Sokol Saratov</t>
  </si>
  <si>
    <t>Genk</t>
  </si>
  <si>
    <t>OH Leuven</t>
  </si>
  <si>
    <t>12/04/2026 15:00 | Belgium | Jupiler Pro League | Genk vs OH Leuven</t>
  </si>
  <si>
    <t>AS Soliman</t>
  </si>
  <si>
    <t>CS Sfaxien</t>
  </si>
  <si>
    <t>12/04/2026 15:00 | Tunisia | Ligue 1 | AS Soliman vs CS Sfaxien</t>
  </si>
  <si>
    <t>Duhok</t>
  </si>
  <si>
    <t>12/04/2026 15:00 | Iraq | Iraqi League | Baghdad vs Duhok</t>
  </si>
  <si>
    <t>12/04/2026 15:15</t>
  </si>
  <si>
    <t>12/04/2026 15:15 | Spain | La Liga | Mallorca vs Rayo Vallecano</t>
  </si>
  <si>
    <t>Huesca</t>
  </si>
  <si>
    <t>12/04/2026 15:15 | Spain | Segunda División | Huesca vs Deportivo La Coruna</t>
  </si>
  <si>
    <t>12/04/2026 15:15 | Wales | Welsh Cup | Caernarfon Town vs Flint Town United</t>
  </si>
  <si>
    <t>12/04/2026 15:30</t>
  </si>
  <si>
    <t>12/04/2026 15:30 | Germany | 3. Liga | Erzgebirge Aue vs Verl</t>
  </si>
  <si>
    <t>12/04/2026 15:30 | Portugal | Primeira Liga | Alverca vs Casa Pia</t>
  </si>
  <si>
    <t>Ried II</t>
  </si>
  <si>
    <t>Kalsdorf</t>
  </si>
  <si>
    <t>12/04/2026 15:30 | Austria | Regionalliga - Mitte | Ried II vs Kalsdorf</t>
  </si>
  <si>
    <t>12/04/2026 15:30 | Portugal | Segunda Liga | Leixoes vs Oliveirense</t>
  </si>
  <si>
    <t>Naprzód</t>
  </si>
  <si>
    <t>12/04/2026 15:30 | Poland | III Liga - Group 4 | Naprzód vs Sparta KW</t>
  </si>
  <si>
    <t>12/04/2026 15:30 | Portugal | Campeonato de Portugal Prio - Group A | Celoricense vs Machico</t>
  </si>
  <si>
    <t>12/04/2026 15:30 | Spain | Segunda División RFEF - Group 5 | Rayo Vallecano II vs Intercity</t>
  </si>
  <si>
    <t>Igman Konjic</t>
  </si>
  <si>
    <t>Tomislav</t>
  </si>
  <si>
    <t>12/04/2026 15:30 | Bosnia | 1st League - FBiH | Igman Konjic vs Tomislav</t>
  </si>
  <si>
    <t>TOŠK Tešanj</t>
  </si>
  <si>
    <t>Vitez</t>
  </si>
  <si>
    <t>12/04/2026 15:30 | Bosnia | 1st League - FBiH | TOŠK Tešanj vs Vitez</t>
  </si>
  <si>
    <t>Treviso</t>
  </si>
  <si>
    <t>Conegliano</t>
  </si>
  <si>
    <t>12/04/2026 15:30 | Italy | Serie D - Girone C | Treviso vs Conegliano</t>
  </si>
  <si>
    <t>Cartagena LU II</t>
  </si>
  <si>
    <t>12/04/2026 15:30 | Spain | Tercera División RFEF - Group 13 | Cartagena LU II vs Bala Azul</t>
  </si>
  <si>
    <t>12/04/2026 15:30 | Spain | Tercera División RFEF - Group 15 | Cirbonero vs Izarra</t>
  </si>
  <si>
    <t>Caspe</t>
  </si>
  <si>
    <t>12/04/2026 15:30 | Spain | Tercera División RFEF - Group 17 | Cariñena vs Caspe</t>
  </si>
  <si>
    <t>12/04/2026 15:30 | Austria | Landesliga - Niederosterreich | Ybbs vs St. Peter</t>
  </si>
  <si>
    <t>12/04/2026 15:30 | Austria | Landesliga - Niederosterreich | Ortmann vs Schrems</t>
  </si>
  <si>
    <t>12/04/2026 15:30 | Austria | Landesliga - Niederosterreich | St. Pölten II vs SC Wiener Neustadt</t>
  </si>
  <si>
    <t>12/04/2026 15:30 | Austria | Landesliga - Niederosterreich | Langenrohr vs Stockerau</t>
  </si>
  <si>
    <t>12/04/2026 15:30 | Austria | Landesliga - Niederosterreich | Scheiblingkirchen vs Admira II</t>
  </si>
  <si>
    <t>12/04/2026 15:30 | Austria | Landesliga - Niederosterreich | Korneuburg vs Wieselburg</t>
  </si>
  <si>
    <t>12/04/2026 15:30 | Austria | Landesliga - Niederosterreich | Ebreichsdorf vs Kilb</t>
  </si>
  <si>
    <t>12/04/2026 15:30 | Austria | Landesliga - Niederosterreich | Zwettl vs Ardagger</t>
  </si>
  <si>
    <t>Čarda Martjanci</t>
  </si>
  <si>
    <t>12/04/2026 15:30 | Slovenia | 3. SNL - East | Čarda Martjanci vs Hajdina</t>
  </si>
  <si>
    <t>12/04/2026 15:30 | Croatia | Third NL - Jug | Sibenik vs Primorac Biograd</t>
  </si>
  <si>
    <t>12/04/2026 15:30 | Czech-Republic | 3. liga - CFL B | Varnsdorf vs Neratovice-Byškovice</t>
  </si>
  <si>
    <t>12/04/2026 15:30 | Czech-Republic | 4. liga - Divizie C | Čáslav vs Hlinsko</t>
  </si>
  <si>
    <t>12/04/2026 15:30 | Czech-Republic | 4. liga - Divizie C | Trutnov vs Kosmonosy</t>
  </si>
  <si>
    <t>Gais</t>
  </si>
  <si>
    <t>12/04/2026 15:30 | Sweden | Allsvenskan | Malmo FF vs Gais</t>
  </si>
  <si>
    <t>FC Luzern</t>
  </si>
  <si>
    <t>12/04/2026 15:30 | Switzerland | Super League | FC Luzern vs FC ST. Gallen</t>
  </si>
  <si>
    <t>12/04/2026 15:30 | Switzerland | Super League | FC Sion vs Lausanne</t>
  </si>
  <si>
    <t>12/04/2026 15:30 | Switzerland | Super League | BSC Young Boys vs Servette FC</t>
  </si>
  <si>
    <t>Kubikenborg</t>
  </si>
  <si>
    <t>Friska Viljor</t>
  </si>
  <si>
    <t>12/04/2026 15:30 | Sweden | Division 2 - Norrland | Kubikenborg vs Friska Viljor</t>
  </si>
  <si>
    <t>Zurrieq</t>
  </si>
  <si>
    <t>12/04/2026 15:30 | Malta | Challenge League | Santa Lucía vs Zurrieq</t>
  </si>
  <si>
    <t>Talant</t>
  </si>
  <si>
    <t>Bars</t>
  </si>
  <si>
    <t>12/04/2026 15:30 | Kyrgyzstan | Premier League | Talant vs Bars</t>
  </si>
  <si>
    <t>Mons Calpe</t>
  </si>
  <si>
    <t>12/04/2026 15:30 | Gibraltar | Premier Division | Lynx vs Mons Calpe</t>
  </si>
  <si>
    <t>Dugopolje</t>
  </si>
  <si>
    <t>12/04/2026 15:30 | Croatia | First NL | Croatia Zmijavci vs Dugopolje</t>
  </si>
  <si>
    <t>Bitam</t>
  </si>
  <si>
    <t>12/04/2026 15:30 | Gabon | Championnat D1 | FC 105 vs Bitam</t>
  </si>
  <si>
    <t>12/04/2026 15:45</t>
  </si>
  <si>
    <t>AZ Alkmaar</t>
  </si>
  <si>
    <t>Heerenveen</t>
  </si>
  <si>
    <t>12/04/2026 15:45 | Netherlands | Eredivisie | AZ Alkmaar vs Heerenveen</t>
  </si>
  <si>
    <t>Almere City FC</t>
  </si>
  <si>
    <t>12/04/2026 15:45 | Netherlands | Eerste Divisie | Willem II vs Almere City FC</t>
  </si>
  <si>
    <t>12/04/2026 16:00</t>
  </si>
  <si>
    <t>12/04/2026 16:00 | Poland | I Liga | Znicz Pruszków vs Miedz Legnica</t>
  </si>
  <si>
    <t>Slovan Ljubljana</t>
  </si>
  <si>
    <t>12/04/2026 16:00 | Slovenia | 2. SNL | Slovan Ljubljana vs Krka</t>
  </si>
  <si>
    <t>12/04/2026 16:00 | Portugal | Campeonato de Portugal Prio - Group A | Chaves II vs Bragança</t>
  </si>
  <si>
    <t>12/04/2026 16:00 | Portugal | Campeonato de Portugal Prio - Group A | Mirandela vs AR São Martinho</t>
  </si>
  <si>
    <t>12/04/2026 16:00 | Portugal | Campeonato de Portugal Prio - Group A | Monção vs Vianense</t>
  </si>
  <si>
    <t>12/04/2026 16:00 | Portugal | Campeonato de Portugal Prio - Group A | Os Limianos vs Tirsense</t>
  </si>
  <si>
    <t>12/04/2026 16:00 | Portugal | Campeonato de Portugal Prio - Group B | Rebordosa vs Leça</t>
  </si>
  <si>
    <t>12/04/2026 16:00 | Portugal | Campeonato de Portugal Prio - Group B | Aparecida vs Florgrade</t>
  </si>
  <si>
    <t>12/04/2026 16:00 | Portugal | Campeonato de Portugal Prio - Group B | Salgueiros vs Alpendorada</t>
  </si>
  <si>
    <t>12/04/2026 16:00 | Portugal | Campeonato de Portugal Prio - Group B | Beira-Mar vs União Lamas</t>
  </si>
  <si>
    <t>12/04/2026 16:00 | Portugal | Campeonato de Portugal Prio - Group B | Vila Real vs Vila Meã</t>
  </si>
  <si>
    <t>12/04/2026 16:00 | Portugal | Campeonato de Portugal Prio - Group B | Anadia vs Gouveia</t>
  </si>
  <si>
    <t>12/04/2026 16:00 | Portugal | Campeonato de Portugal Prio - Group B | Resende vs Cinfães</t>
  </si>
  <si>
    <t>Os Marialvas</t>
  </si>
  <si>
    <t>12/04/2026 16:00 | Portugal | Campeonato de Portugal Prio - Group C | Os Marialvas vs Naval 1893</t>
  </si>
  <si>
    <t>12/04/2026 16:00 | Portugal | Campeonato de Portugal Prio - Group C | Benfica Castelo Branco vs Samora Correir</t>
  </si>
  <si>
    <t>12/04/2026 16:00 | Portugal | Campeonato de Portugal Prio - Group C | Vitória de Sernache vs Mortágua</t>
  </si>
  <si>
    <t>12/04/2026 16:00 | Portugal | Campeonato de Portugal Prio - Group C | Marinhense vs Lajense</t>
  </si>
  <si>
    <t>12/04/2026 16:00 | Portugal | Campeonato de Portugal Prio - Group C | Eléctrico vs Fátima</t>
  </si>
  <si>
    <t>Peniche</t>
  </si>
  <si>
    <t>12/04/2026 16:00 | Portugal | Campeonato de Portugal Prio - Group C | UD da Serra vs Peniche</t>
  </si>
  <si>
    <t>12/04/2026 16:00 | Portugal | Campeonato de Portugal Prio - Group D | FC Serpa vs FC Alverca II</t>
  </si>
  <si>
    <t>12/04/2026 16:00 | Portugal | Campeonato de Portugal Prio - Group D | Alcochetense vs Oriental Lisboa</t>
  </si>
  <si>
    <t>12/04/2026 16:00 | Portugal | Campeonato de Portugal Prio - Group D | Comércio Indústria vs O Elvas</t>
  </si>
  <si>
    <t>12/04/2026 16:00 | Portugal | Campeonato de Portugal Prio - Group D | Vasco da Gama Vidigueira vs Louletano</t>
  </si>
  <si>
    <t>12/04/2026 16:00 | Portugal | Campeonato de Portugal Prio - Group D | Portimonense B vs Lagoa</t>
  </si>
  <si>
    <t>12/04/2026 16:00 | Portugal | Campeonato de Portugal Prio - Group D | Moncarapachense vs Juventude Évora</t>
  </si>
  <si>
    <t>12/04/2026 16:00 | Portugal | Campeonato de Portugal Prio - Group D | Atlético Malveira vs Sintrense</t>
  </si>
  <si>
    <t>12/04/2026 16:00 | Spain | Segunda División RFEF - Group 1 | Burgos Promesas vs Coruxo</t>
  </si>
  <si>
    <t>12/04/2026 16:00 | Spain | Segunda División RFEF - Group 1 | Langreo vs Sámano</t>
  </si>
  <si>
    <t>12/04/2026 16:00 | Spain | Segunda División RFEF - Group 1 | Marino de Luanco vs Real Oviedo II</t>
  </si>
  <si>
    <t>Numancia</t>
  </si>
  <si>
    <t>12/04/2026 16:00 | Spain | Segunda División RFEF - Group 1 | Numancia vs Real Ávila</t>
  </si>
  <si>
    <t>12/04/2026 16:00 | Spain | Segunda División RFEF - Group 2 | Náxara vs SD Logroñés</t>
  </si>
  <si>
    <t>Sestao River</t>
  </si>
  <si>
    <t>12/04/2026 16:00 | Spain | Segunda División RFEF - Group 2 | UD Logroñés vs Sestao River</t>
  </si>
  <si>
    <t>12/04/2026 16:00 | Nigeria | NPFL | Ikorodu City vs Kano Pillars</t>
  </si>
  <si>
    <t>Wikki Tourist</t>
  </si>
  <si>
    <t>12/04/2026 16:00 | Nigeria | NPFL | Bayelsa United vs Wikki Tourist</t>
  </si>
  <si>
    <t>12/04/2026 16:00 | Nigeria | NPFL | Enyimba vs Katsina United</t>
  </si>
  <si>
    <t>12/04/2026 16:00 | Nigeria | NPFL | Shooting Stars vs Kwara United</t>
  </si>
  <si>
    <t>12/04/2026 16:00 | Nigeria | NPFL | Barau FC vs Remo Stars</t>
  </si>
  <si>
    <t>12/04/2026 16:00 | Nigeria | NPFL | Kun Khalifat FC vs Warri Wolves</t>
  </si>
  <si>
    <t>12/04/2026 16:00 | Nigeria | NPFL | Niger Tornadoes vs Enugu Rangers</t>
  </si>
  <si>
    <t>El Kanemi Warriors</t>
  </si>
  <si>
    <t>12/04/2026 16:00 | Nigeria | NPFL | El Kanemi Warriors vs Nasarawa United</t>
  </si>
  <si>
    <t>12/04/2026 16:00 | Nigeria | NPFL | Rivers United vs Plateau United</t>
  </si>
  <si>
    <t>12/04/2026 16:00 | Spain | Tercera División RFEF - Group 1 | Arosa vs Compostela</t>
  </si>
  <si>
    <t>Ceares</t>
  </si>
  <si>
    <t>12/04/2026 16:00 | Spain | Tercera División RFEF - Group 2 | Lenense vs Ceares</t>
  </si>
  <si>
    <t>12/04/2026 16:00 | Spain | Tercera División RFEF - Group 2 | Llanera vs Sporting Gijón II</t>
  </si>
  <si>
    <t>Colindres</t>
  </si>
  <si>
    <t>12/04/2026 16:00 | Spain | Tercera División RFEF - Group 3 | Noja vs Colindres</t>
  </si>
  <si>
    <t>12/04/2026 16:00 | Spain | Tercera División RFEF - Group 3 | Barquereño vs Selaya</t>
  </si>
  <si>
    <t>Guarnizo</t>
  </si>
  <si>
    <t>12/04/2026 16:00 | Spain | Tercera División RFEF - Group 3 | Castro vs Guarnizo</t>
  </si>
  <si>
    <t>12/04/2026 16:00 | Spain | Tercera División RFEF - Group 4 | Leioa vs Derio</t>
  </si>
  <si>
    <t>12/04/2026 16:00 | Spain | Tercera División RFEF - Group 5 | Lleida Esportiu vs San Cristóbal</t>
  </si>
  <si>
    <t>Vall de Uxó</t>
  </si>
  <si>
    <t>12/04/2026 16:00 | Spain | Tercera División RFEF - Group 6 | Vall de Uxó vs Roda</t>
  </si>
  <si>
    <t>12/04/2026 16:00 | Spain | Tercera División RFEF - Group 6 | La Nucía vs Hércules II</t>
  </si>
  <si>
    <t>Guijuelo</t>
  </si>
  <si>
    <t>12/04/2026 16:00 | Spain | Tercera División RFEF - Group 8 | Guijuelo vs Colegios Diocesanos</t>
  </si>
  <si>
    <t>Becerril Campos</t>
  </si>
  <si>
    <t>12/04/2026 16:00 | Spain | Tercera División RFEF - Group 8 | Becerril Campos vs Atlético Mansillés</t>
  </si>
  <si>
    <t>12/04/2026 16:00 | Spain | Tercera División RFEF - Group 10 | San Roque Lepe vs Atlético Central</t>
  </si>
  <si>
    <t>12/04/2026 16:00 | Spain | Tercera División RFEF - Group 11 | Cardassar vs Constància</t>
  </si>
  <si>
    <t>12/04/2026 16:00 | Spain | Tercera División RFEF - Group 13 | Yeclano II vs UD Caravaca</t>
  </si>
  <si>
    <t>12/04/2026 16:00 | Spain | Tercera División RFEF - Group 16 | Vianés vs Yagüe</t>
  </si>
  <si>
    <t>12/04/2026 16:00 | Spain | Tercera División RFEF - Group 16 | Peña Balsamaiso vs Haro Deportivo</t>
  </si>
  <si>
    <t>12/04/2026 16:00 | Spain | Tercera División RFEF - Group 16 | Arnedo vs Comillas</t>
  </si>
  <si>
    <t>12/04/2026 16:00 | Spain | Tercera División RFEF - Group 17 | Andorra CF vs Épila</t>
  </si>
  <si>
    <t>12/04/2026 16:00 | Spain | Tercera División RFEF - Group 17 | Calamocha vs Illueca</t>
  </si>
  <si>
    <t>UD Casetas</t>
  </si>
  <si>
    <t>12/04/2026 16:00 | Spain | Tercera División RFEF - Group 17 | Atlético Monzón vs UD Casetas</t>
  </si>
  <si>
    <t>Landesliga - Karnten</t>
  </si>
  <si>
    <t>Ferlach</t>
  </si>
  <si>
    <t>TSU Matrei</t>
  </si>
  <si>
    <t>12/04/2026 16:00 | Austria | Landesliga - Karnten | Ferlach vs TSU Matrei</t>
  </si>
  <si>
    <t>Spittal</t>
  </si>
  <si>
    <t>Grafenstein</t>
  </si>
  <si>
    <t>12/04/2026 16:00 | Austria | Landesliga - Karnten | Spittal vs Grafenstein</t>
  </si>
  <si>
    <t>Bleiburg</t>
  </si>
  <si>
    <t>Austria Klagenfurt II</t>
  </si>
  <si>
    <t>12/04/2026 16:00 | Austria | Landesliga - Karnten | Bleiburg vs Austria Klagenfurt II</t>
  </si>
  <si>
    <t>Dellach im Gailtal</t>
  </si>
  <si>
    <t>KAC</t>
  </si>
  <si>
    <t>12/04/2026 16:00 | Austria | Landesliga - Karnten | Dellach im Gailtal vs KAC</t>
  </si>
  <si>
    <t>Völkermarkt</t>
  </si>
  <si>
    <t>Wolfsberg</t>
  </si>
  <si>
    <t>12/04/2026 16:00 | Austria | Landesliga - Karnten | Völkermarkt vs Wolfsberg</t>
  </si>
  <si>
    <t>Nußdorf</t>
  </si>
  <si>
    <t>St. Veit / Glan</t>
  </si>
  <si>
    <t>12/04/2026 16:00 | Austria | Landesliga - Karnten | Nußdorf vs St. Veit / Glan</t>
  </si>
  <si>
    <t>Köttmannsdorf</t>
  </si>
  <si>
    <t>Lendorf</t>
  </si>
  <si>
    <t>12/04/2026 16:00 | Austria | Landesliga - Karnten | Köttmannsdorf vs Lendorf</t>
  </si>
  <si>
    <t>Donau Klagenfurt</t>
  </si>
  <si>
    <t>SAK Klagenfurt</t>
  </si>
  <si>
    <t>12/04/2026 16:00 | Austria | Landesliga - Karnten | Donau Klagenfurt vs SAK Klagenfurt</t>
  </si>
  <si>
    <t>Landesliga - Vorarlbergliga</t>
  </si>
  <si>
    <t>Göfis</t>
  </si>
  <si>
    <t>Lochau</t>
  </si>
  <si>
    <t>12/04/2026 16:00 | Austria | Landesliga - Vorarlbergliga | Göfis vs Lochau</t>
  </si>
  <si>
    <t>Dornbirner SV</t>
  </si>
  <si>
    <t>Austria Lustenau II</t>
  </si>
  <si>
    <t>12/04/2026 16:00 | Austria | Landesliga - Vorarlbergliga | Dornbirner SV vs Austria Lustenau II</t>
  </si>
  <si>
    <t>Ludesch</t>
  </si>
  <si>
    <t>Admira Dornbirn</t>
  </si>
  <si>
    <t>12/04/2026 16:00 | Austria | Landesliga - Vorarlbergliga | Ludesch vs Admira Dornbirn</t>
  </si>
  <si>
    <t>Bizau</t>
  </si>
  <si>
    <t>Wolfurt</t>
  </si>
  <si>
    <t>12/04/2026 16:00 | Austria | Landesliga - Vorarlbergliga | Bizau vs Wolfurt</t>
  </si>
  <si>
    <t>Blau-Weiß Feldkirch</t>
  </si>
  <si>
    <t>Nenzing</t>
  </si>
  <si>
    <t>12/04/2026 16:00 | Austria | Landesliga - Vorarlbergliga | Blau-Weiß Feldkirch vs Nenzing</t>
  </si>
  <si>
    <t>FC Egg</t>
  </si>
  <si>
    <t>12/04/2026 16:00 | Austria | Landesliga - Vorarlbergliga | FC Egg vs Hard</t>
  </si>
  <si>
    <t>Rotenberg</t>
  </si>
  <si>
    <t>Röthis</t>
  </si>
  <si>
    <t>12/04/2026 16:00 | Austria | Landesliga - Vorarlbergliga | Rotenberg vs Röthis</t>
  </si>
  <si>
    <t>12/04/2026 16:00 | Austria | Landesliga - Wien | Wienerberg vs Mauerwerk</t>
  </si>
  <si>
    <t>12/04/2026 16:00 | Austria | Landesliga - Wien | Vorwärts Brigittenau vs LAC-Inter</t>
  </si>
  <si>
    <t>12/04/2026 16:00 | Austria | Landesliga - Wien | Slovan HAC vs Stadlau</t>
  </si>
  <si>
    <t>12/04/2026 16:00 | Austria | Landesliga - Wien | First Vienna II vs Schwechat</t>
  </si>
  <si>
    <t>12/04/2026 16:00 | Austria | Landesliga - Wien | Red Star Penzing vs Simmeringer SC</t>
  </si>
  <si>
    <t>12/04/2026 16:00 | Austria | Landesliga - Wien | FAC Wien vs Dinamo Helfort</t>
  </si>
  <si>
    <t>12/04/2026 16:00 | Austria | Landesliga - Wien | Gerasdorf Stammersdorf vs Austria XIII</t>
  </si>
  <si>
    <t>12/04/2026 16:00 | Austria | Landesliga - Wien | Hellas Kagran vs 1980 Wien</t>
  </si>
  <si>
    <t>Nations</t>
  </si>
  <si>
    <t>12/04/2026 16:00 | Ghana | Premier League | Nations vs Basake Holy Stars</t>
  </si>
  <si>
    <t>Samartex</t>
  </si>
  <si>
    <t>Berekum Chelsea</t>
  </si>
  <si>
    <t>12/04/2026 16:00 | Ghana | Premier League | Samartex vs Berekum Chelsea</t>
  </si>
  <si>
    <t>12/04/2026 16:00 | Ghana | Premier League | Medeama vs Asante Kotoko</t>
  </si>
  <si>
    <t>Dreams</t>
  </si>
  <si>
    <t>12/04/2026 16:00 | Ghana | Premier League | Dreams vs Eleven Wonders</t>
  </si>
  <si>
    <t>Bechem United</t>
  </si>
  <si>
    <t>12/04/2026 16:00 | Ghana | Premier League | Hohoe United vs Bechem United</t>
  </si>
  <si>
    <t>12/04/2026 16:00 | Ghana | Premier League | Karela vs Heart of Lions</t>
  </si>
  <si>
    <t>12/04/2026 16:00 | Ghana | Premier League | Young Apostles vs Swedru All Blacks</t>
  </si>
  <si>
    <t>12/04/2026 16:00 | Angola | Girabola | Wiliete vs São Salvador</t>
  </si>
  <si>
    <t>Debibi United</t>
  </si>
  <si>
    <t>12/04/2026 16:00 | Ghana | Division One League | Debibi United vs Berekum Arsenal</t>
  </si>
  <si>
    <t>12/04/2026 16:00 | Ghana | Division One League | Ebusua Dwarfs vs Police National</t>
  </si>
  <si>
    <t>12/04/2026 16:00 | Ghana | Division One League | Great Olympics vs Golden Kicks</t>
  </si>
  <si>
    <t>12/04/2026 16:00 | Ghana | Division One League | Home Stars vs Nania</t>
  </si>
  <si>
    <t>True Democracy</t>
  </si>
  <si>
    <t>12/04/2026 16:00 | Ghana | Division One League | Inter Allies vs True Democracy</t>
  </si>
  <si>
    <t>King Faisal</t>
  </si>
  <si>
    <t>12/04/2026 16:00 | Ghana | Division One League | King Faisal vs Ebony FC</t>
  </si>
  <si>
    <t>Legon Cities</t>
  </si>
  <si>
    <t>12/04/2026 16:00 | Ghana | Division One League | Legon Cities vs Dormaa</t>
  </si>
  <si>
    <t>12/04/2026 16:00 | Ghana | Division One League | Nsuopun Fidelity vs Elmina Sharks</t>
  </si>
  <si>
    <t>Golden Warriors</t>
  </si>
  <si>
    <t>12/04/2026 16:00 | Ghana | Division One League | Okwawu vs Golden Warriors</t>
  </si>
  <si>
    <t>12/04/2026 16:00 | Ghana | Division One League | PAC Academy vs Future Stars</t>
  </si>
  <si>
    <t>Port City</t>
  </si>
  <si>
    <t>12/04/2026 16:00 | Ghana | Division One League | Port City vs Attram de Visser</t>
  </si>
  <si>
    <t>12/04/2026 16:00 | Ghana | Division One League | Skyy vs UCC Youngsters</t>
  </si>
  <si>
    <t>12/04/2026 16:00 | Ghana | Division One League | Soccer Intellectuals vs Sefwi All Stars</t>
  </si>
  <si>
    <t>Wa Power</t>
  </si>
  <si>
    <t>12/04/2026 16:00 | Ghana | Division One League | Wa Power vs TF Exponential</t>
  </si>
  <si>
    <t>Yapei</t>
  </si>
  <si>
    <t>12/04/2026 16:00 | Ghana | Division One League | Yapei vs Tamale City</t>
  </si>
  <si>
    <t>12/04/2026 16:00 | Czech-Republic | 4. liga - Divizie D | Líšeň II vs Pelhřimov</t>
  </si>
  <si>
    <t>KFUM Oslo</t>
  </si>
  <si>
    <t>12/04/2026 16:00 | Norway | Eliteserien | Aalesund vs KFUM Oslo</t>
  </si>
  <si>
    <t>Valerenga</t>
  </si>
  <si>
    <t>12/04/2026 16:00 | Norway | Eliteserien | Fredrikstad vs Valerenga</t>
  </si>
  <si>
    <t>12/04/2026 16:00 | Norway | Eliteserien | Molde vs Ham-Kam</t>
  </si>
  <si>
    <t>Ranheim</t>
  </si>
  <si>
    <t>12/04/2026 16:00 | Norway | 1. Division | Bryne vs Ranheim</t>
  </si>
  <si>
    <t>12/04/2026 16:00 | Norway | 1. Division | Moss vs hodd</t>
  </si>
  <si>
    <t>12/04/2026 16:00 | Norway | 1. Division | Stabaek vs Asane</t>
  </si>
  <si>
    <t>12/04/2026 16:00 | Sweden | Superettan | Sandviken vs Varbergs BoIS FC</t>
  </si>
  <si>
    <t>12/04/2026 16:00 | Mexico | Liga MX U21 | Toluca U21 vs Atl. San Luis U21</t>
  </si>
  <si>
    <t>Mazatlan FC U21</t>
  </si>
  <si>
    <t>12/04/2026 16:00 | Mexico | Liga MX U21 | UNAM Pumas U21 vs Mazatlan FC U21</t>
  </si>
  <si>
    <t>Leevon / PPK</t>
  </si>
  <si>
    <t>Mārupe</t>
  </si>
  <si>
    <t>12/04/2026 16:00 | Latvia | 1. Liga | Leevon / PPK vs Mārupe</t>
  </si>
  <si>
    <t>12/04/2026 16:00 | Austria | Bundesliga | Austria Vienna vs Rapid Vienna</t>
  </si>
  <si>
    <t>Arkadag</t>
  </si>
  <si>
    <t>Ahal</t>
  </si>
  <si>
    <t>12/04/2026 16:00 | Turkmenistan | Ýokary Liga | Arkadag vs Ahal</t>
  </si>
  <si>
    <t>12/04/2026 16:00 | Gabon | Championnat D1 | Dikaki vs US Oyem</t>
  </si>
  <si>
    <t>12/04/2026 16:15</t>
  </si>
  <si>
    <t>12/04/2026 16:15 | France | Ligue 1 | Nice vs Le Havre</t>
  </si>
  <si>
    <t>12/04/2026 16:15 | France | Ligue 1 | Toulouse vs Lille</t>
  </si>
  <si>
    <t>12/04/2026 16:15 | Italy | Serie B | Spezia vs Mantova</t>
  </si>
  <si>
    <t>Ceuta II</t>
  </si>
  <si>
    <t>12/04/2026 16:15 | Spain | Tercera División RFEF - Group 10 | Ceuta II vs Córdoba II</t>
  </si>
  <si>
    <t>12/04/2026 16:15 | Romania | Liga I | Unirea Slobozia vs Petrolul Ploiesti</t>
  </si>
  <si>
    <t>12/04/2026 16:30</t>
  </si>
  <si>
    <t>12/04/2026 16:30 | England | Premier League | Chelsea vs Manchester City</t>
  </si>
  <si>
    <t>Lech Poznan</t>
  </si>
  <si>
    <t>12/04/2026 16:30 | Poland | Ekstraklasa | Lech Poznan vs GKS Katowice</t>
  </si>
  <si>
    <t>VfB Stuttgart</t>
  </si>
  <si>
    <t>12/04/2026 16:30 | Germany | Bundesliga | VfB Stuttgart vs Hamburger SV</t>
  </si>
  <si>
    <t>Marumo Gallants</t>
  </si>
  <si>
    <t>Orbit College</t>
  </si>
  <si>
    <t>12/04/2026 16:30 | South-Africa | Premier Soccer League | Marumo Gallants vs Orbit College</t>
  </si>
  <si>
    <t>12/04/2026 16:30 | Spain | Segunda División RFEF - Group 5 | Conquense vs Socuéllamos</t>
  </si>
  <si>
    <t>Albinoleffe</t>
  </si>
  <si>
    <t>12/04/2026 16:30 | Italy | Serie C - Girone A | Ospitaletto vs Albinoleffe</t>
  </si>
  <si>
    <t>Cittadella</t>
  </si>
  <si>
    <t>Trento</t>
  </si>
  <si>
    <t>12/04/2026 16:30 | Italy | Serie C - Girone A | Cittadella vs Trento</t>
  </si>
  <si>
    <t>12/04/2026 16:30 | Italy | Serie C - Girone B | Vis Pesaro vs Athletic Carpi</t>
  </si>
  <si>
    <t>12/04/2026 16:30 | Italy | Serie C - Girone B | Pontedera vs Ravenna</t>
  </si>
  <si>
    <t>12/04/2026 16:30 | Italy | Serie C - Girone B | Arezzo vs Livorno</t>
  </si>
  <si>
    <t>12/04/2026 16:30 | Spain | Tercera División RFEF - Group 1 | Barbadás vs Celtiga</t>
  </si>
  <si>
    <t>12/04/2026 16:30 | Spain | Tercera División RFEF - Group 9 | Martos vs Mijas Las Lagunas</t>
  </si>
  <si>
    <t>12/04/2026 16:30 | Spain | Tercera División RFEF - Group 16 | Autol vs Anguiano</t>
  </si>
  <si>
    <t>12/04/2026 16:30 | Spain | Tercera División RFEF - Group 16 | La Calzada vs Villegas</t>
  </si>
  <si>
    <t>12/04/2026 16:30 | Spain | Tercera División RFEF - Group 16 | San Marcial vs Calahorra</t>
  </si>
  <si>
    <t>12/04/2026 16:30 | Spain | Tercera División RFEF - Group 17 | CDJ Tamarite vs Zuera</t>
  </si>
  <si>
    <t>12/04/2026 16:30 | Spain | Tercera División RFEF - Group 17 | Utrillas vs La Almunia</t>
  </si>
  <si>
    <t>Qatar</t>
  </si>
  <si>
    <t>Second Division</t>
  </si>
  <si>
    <t>Al Bidda SC</t>
  </si>
  <si>
    <t>Muaither SC</t>
  </si>
  <si>
    <t>12/04/2026 16:30 | Qatar | Second Division | Al Bidda SC vs Muaither SC</t>
  </si>
  <si>
    <t>Al Kharaitiyat</t>
  </si>
  <si>
    <t>Al-Khor</t>
  </si>
  <si>
    <t>12/04/2026 16:30 | Qatar | Second Division | Al Kharaitiyat vs Al-Khor</t>
  </si>
  <si>
    <t>Al Waab</t>
  </si>
  <si>
    <t>Al-Markhiya</t>
  </si>
  <si>
    <t>12/04/2026 16:30 | Qatar | Second Division | Al Waab vs Al-Markhiya</t>
  </si>
  <si>
    <t>Lusail City</t>
  </si>
  <si>
    <t>Al Mesaimeer</t>
  </si>
  <si>
    <t>12/04/2026 16:30 | Qatar | Second Division | Lusail City vs Al Mesaimeer</t>
  </si>
  <si>
    <t>Balzan FC</t>
  </si>
  <si>
    <t>12/04/2026 16:30 | Malta | Challenge League | Balzan FC vs Birzebbuga</t>
  </si>
  <si>
    <t>StaPa De Royale</t>
  </si>
  <si>
    <t>Loiske</t>
  </si>
  <si>
    <t>12/04/2026 16:30 | Finland | Suomen Cup | StaPa De Royale vs Loiske</t>
  </si>
  <si>
    <t>Karhu-Futis</t>
  </si>
  <si>
    <t>Leki</t>
  </si>
  <si>
    <t>12/04/2026 16:30 | Finland | Suomen Cup | Karhu-Futis vs Leki</t>
  </si>
  <si>
    <t>ASEC Mimosas</t>
  </si>
  <si>
    <t>12/04/2026 16:30 | Ivory-Coast | Ligue 1 | ASEC Mimosas vs Stella</t>
  </si>
  <si>
    <t>12/04/2026 17:00</t>
  </si>
  <si>
    <t>12/04/2026 17:00 | Italy | Serie A | Bologna vs Lecce</t>
  </si>
  <si>
    <t>12/04/2026 17:00 | Turkey | 1. Lig | Keçiörengücü vs Serik Spor</t>
  </si>
  <si>
    <t>12/04/2026 17:00 | Portugal | Campeonato de Portugal Prio - Group A | Ribeira Brava vs Brito</t>
  </si>
  <si>
    <t>12/04/2026 17:00 | Spain | Segunda División RFEF - Group 1 | Gimnástica Segoviana vs Salamanca UDS</t>
  </si>
  <si>
    <t>Real Valladolid II</t>
  </si>
  <si>
    <t>12/04/2026 17:00 | Spain | Segunda División RFEF - Group 1 | Lealtad vs Real Valladolid II</t>
  </si>
  <si>
    <t>12/04/2026 17:00 | Spain | Segunda División RFEF - Group 2 | Tudelano vs Alfaro</t>
  </si>
  <si>
    <t>12/04/2026 17:00 | Spain | Segunda División RFEF - Group 2 | Utebo vs Eibar II</t>
  </si>
  <si>
    <t>12/04/2026 17:00 | Spain | Segunda División RFEF - Group 4 | Extremadura 1924 vs Recreativo Huelva</t>
  </si>
  <si>
    <t>12/04/2026 17:00 | Spain | Segunda División RFEF - Group 4 | Real Jaén vs La Unión Atlético</t>
  </si>
  <si>
    <t>12/04/2026 17:00 | Spain | Segunda División RFEF - Group 4 | Lorca Deportiva vs Xerez</t>
  </si>
  <si>
    <t>12/04/2026 17:00 | Spain | Segunda División RFEF - Group 4 | Ucam Murcia vs Málaga II</t>
  </si>
  <si>
    <t>12/04/2026 17:00 | Spain | Segunda División RFEF - Group 5 | Rayo Majadahonda vs Quintanar del Rey</t>
  </si>
  <si>
    <t>12/04/2026 17:00 | Spain | Segunda División RFEF - Group 3 | Alcoyano vs Terrassa</t>
  </si>
  <si>
    <t>Viveiro</t>
  </si>
  <si>
    <t>12/04/2026 17:00 | Spain | Tercera División RFEF - Group 1 | Somozas vs Viveiro</t>
  </si>
  <si>
    <t>12/04/2026 17:00 | Spain | Tercera División RFEF - Group 1 | Noia vs Boiro</t>
  </si>
  <si>
    <t>12/04/2026 17:00 | Spain | Tercera División RFEF - Group 2 | Gijón Industrial vs Siero</t>
  </si>
  <si>
    <t>12/04/2026 17:00 | Spain | Tercera División RFEF - Group 6 | Villarreal III vs Castellonense</t>
  </si>
  <si>
    <t>12/04/2026 17:00 | Spain | Tercera División RFEF - Group 6 | Ontinyent 1931 vs Saguntino</t>
  </si>
  <si>
    <t>Atzeneta</t>
  </si>
  <si>
    <t>12/04/2026 17:00 | Spain | Tercera División RFEF - Group 6 | Crevillente vs Atzeneta</t>
  </si>
  <si>
    <t>12/04/2026 17:00 | Spain | Tercera División RFEF - Group 7 | Villanueva Pardillo vs Las Rozas</t>
  </si>
  <si>
    <t>12/04/2026 17:00 | Spain | Tercera División RFEF - Group 9 | Ciudad de Torredonjimeno vs Torreperogil</t>
  </si>
  <si>
    <t>12/04/2026 17:00 | Spain | Tercera División RFEF - Group 10 | Linense vs Cádiz II</t>
  </si>
  <si>
    <t>12/04/2026 17:00 | Spain | Tercera División RFEF - Group 10 | Bollullos vs Tomares</t>
  </si>
  <si>
    <t>12/04/2026 17:00 | Spain | Tercera División RFEF - Group 13 | Mazarrón FC vs El Palmar</t>
  </si>
  <si>
    <t>Muleño</t>
  </si>
  <si>
    <t>12/04/2026 17:00 | Spain | Tercera División RFEF - Group 13 | Olímpico Totana vs Muleño</t>
  </si>
  <si>
    <t>12/04/2026 17:00 | Spain | Tercera División RFEF - Group 14 | Atlético Pueblonuevo vs Jaraíz</t>
  </si>
  <si>
    <t>12/04/2026 17:00 | Spain | Tercera División RFEF - Group 14 | Llerenense vs Villanovense</t>
  </si>
  <si>
    <t>Subiza</t>
  </si>
  <si>
    <t>Cortes</t>
  </si>
  <si>
    <t>12/04/2026 17:00 | Spain | Tercera División RFEF - Group 15 | Subiza vs Cortes</t>
  </si>
  <si>
    <t>12/04/2026 17:00 | Spain | Tercera División RFEF - Group 18 | Calvo Sotelo vs Guadalajara II</t>
  </si>
  <si>
    <t>Villarrobledo</t>
  </si>
  <si>
    <t>12/04/2026 17:00 | Spain | Tercera División RFEF - Group 18 | Villarrobledo vs Albacete II</t>
  </si>
  <si>
    <t>12/04/2026 17:00 | Burkina-Faso | Ligue 1 | AJEB vs USFA</t>
  </si>
  <si>
    <t>12/04/2026 17:00 | Burkina-Faso | Ligue 1 | Rahimo vs Réal du Faso</t>
  </si>
  <si>
    <t>12/04/2026 17:00 | Burkina-Faso | Ligue 1 | Etoile Filante vs Majestic</t>
  </si>
  <si>
    <t>12/04/2026 17:00 | Spain | Segunda División RFEF - Group 3 | Valencia II vs Sant Andreu</t>
  </si>
  <si>
    <t>Al Faisaly</t>
  </si>
  <si>
    <t>Al Hussein</t>
  </si>
  <si>
    <t>12/04/2026 17:00 | Jordan | League | Al Faisaly vs Al Hussein</t>
  </si>
  <si>
    <t>Pakistan W</t>
  </si>
  <si>
    <t>Mauritania W</t>
  </si>
  <si>
    <t>12/04/2026 17:00 | World | Friendlies Women | Pakistan W vs Mauritania W</t>
  </si>
  <si>
    <t>12/04/2026 17:00 | Slovakia | Super Liga | Dunajska Streda vs Zemplín Michalovce</t>
  </si>
  <si>
    <t>Randers FC</t>
  </si>
  <si>
    <t>FC Copenhagen</t>
  </si>
  <si>
    <t>12/04/2026 17:00 | Denmark | Superliga | Randers FC vs FC Copenhagen</t>
  </si>
  <si>
    <t>Fenix</t>
  </si>
  <si>
    <t>12/04/2026 17:00 | Uruguay | Segunda División | Fenix vs Cerrito</t>
  </si>
  <si>
    <t>12/04/2026 17:00 | Ivory-Coast | Ligue 1 | Bouaké vs Stade d'Abidjan</t>
  </si>
  <si>
    <t>12/04/2026 17:00 | Ivory-Coast | Ligue 1 | Korhogo vs ISCA</t>
  </si>
  <si>
    <t>Olympique Sport d'Abobo</t>
  </si>
  <si>
    <t>ES Agboville</t>
  </si>
  <si>
    <t>12/04/2026 17:00 | Ivory-Coast | Ligue 1 | Olympique Sport d'Abobo vs ES Agboville</t>
  </si>
  <si>
    <t>ASFAG</t>
  </si>
  <si>
    <t>Ashanti GB</t>
  </si>
  <si>
    <t>12/04/2026 17:00 | Guinea | Ligue 1 | ASFAG vs Ashanti GB</t>
  </si>
  <si>
    <t>Afrique Football Élite</t>
  </si>
  <si>
    <t>Milo</t>
  </si>
  <si>
    <t>12/04/2026 17:00 | Guinea | Ligue 1 | Afrique Football Élite vs Milo</t>
  </si>
  <si>
    <t>RCC Kamsar</t>
  </si>
  <si>
    <t>CI Kamsar</t>
  </si>
  <si>
    <t>12/04/2026 17:00 | Guinea | Ligue 1 | RCC Kamsar vs CI Kamsar</t>
  </si>
  <si>
    <t>ASM Sangarédi</t>
  </si>
  <si>
    <t>Karfamoriah</t>
  </si>
  <si>
    <t>12/04/2026 17:00 | Guinea | Ligue 1 | ASM Sangarédi vs Karfamoriah</t>
  </si>
  <si>
    <t>12/04/2026 17:15</t>
  </si>
  <si>
    <t>12/04/2026 17:15 | Spain | Primera División RFEF - Group 2 | Europa Fc vs Teruel</t>
  </si>
  <si>
    <t>Mérida AD</t>
  </si>
  <si>
    <t>Tenerife</t>
  </si>
  <si>
    <t>12/04/2026 17:15 | Spain | Primera División RFEF - Group 1 | Mérida AD vs Tenerife</t>
  </si>
  <si>
    <t>12/04/2026 17:15 | Spain | Segunda División RFEF - Group 1 | Bergantiños vs Sarriana</t>
  </si>
  <si>
    <t>12/04/2026 17:15 | Spain | Tercera División RFEF - Group 9 | Granada II vs Churriana Vega</t>
  </si>
  <si>
    <t>Oman Club</t>
  </si>
  <si>
    <t>Sohar</t>
  </si>
  <si>
    <t>12/04/2026 17:15 | Oman | Professional League | Oman Club vs Sohar</t>
  </si>
  <si>
    <t>12/04/2026 17:30</t>
  </si>
  <si>
    <t>HNK Gorica</t>
  </si>
  <si>
    <t>12/04/2026 17:30 | Croatia | HNL | HNK Hajduk Split vs HNK Gorica</t>
  </si>
  <si>
    <t>12/04/2026 17:30 | Czech-Republic | Czech Liga | Slavia Praha vs Plzen</t>
  </si>
  <si>
    <t>Celta Vigo</t>
  </si>
  <si>
    <t>12/04/2026 17:30 | Spain | La Liga | Celta Vigo vs Oviedo</t>
  </si>
  <si>
    <t>Mirandes</t>
  </si>
  <si>
    <t>Castellón</t>
  </si>
  <si>
    <t>12/04/2026 17:30 | Spain | Segunda División | Mirandes vs Castellón</t>
  </si>
  <si>
    <t>12/04/2026 17:30 | Luxembourg | National Division | Progres Niederkorn vs Mamer</t>
  </si>
  <si>
    <t>12/04/2026 17:30 | Spain | Segunda División | Cadiz vs FC Andorra</t>
  </si>
  <si>
    <t>12/04/2026 17:30 | Russia | Premier League | Zenit vs FC Krasnodar</t>
  </si>
  <si>
    <t>12/04/2026 17:30 | Spain | Segunda División RFEF - Group 5 | CD Coria vs Navalcarnero</t>
  </si>
  <si>
    <t>12/04/2026 17:30 | Spain | Tercera División RFEF - Group 5 | Vic vs Can Vidalet</t>
  </si>
  <si>
    <t>12/04/2026 17:30 | Spain | Tercera División RFEF - Group 17 | Almudévar vs Binéfar</t>
  </si>
  <si>
    <t>12/04/2026 17:30 | Chile | Primera B | Deportes Copiapo vs Recoleta</t>
  </si>
  <si>
    <t>Gambia</t>
  </si>
  <si>
    <t>GFA League</t>
  </si>
  <si>
    <t>Greater Tomorrow</t>
  </si>
  <si>
    <t>Hart Acedemy</t>
  </si>
  <si>
    <t>12/04/2026 17:30 | Gambia | GFA League | Greater Tomorrow vs Hart Acedemy</t>
  </si>
  <si>
    <t>Medina United</t>
  </si>
  <si>
    <t>Brikama United</t>
  </si>
  <si>
    <t>12/04/2026 17:30 | Gambia | GFA League | Medina United vs Brikama United</t>
  </si>
  <si>
    <t>Steve Biko</t>
  </si>
  <si>
    <t>Bombada</t>
  </si>
  <si>
    <t>12/04/2026 17:30 | Gambia | GFA League | Steve Biko vs Bombada</t>
  </si>
  <si>
    <t>Team Rhino</t>
  </si>
  <si>
    <t>Samger</t>
  </si>
  <si>
    <t>12/04/2026 17:30 | Gambia | GFA League | Team Rhino vs Samger</t>
  </si>
  <si>
    <t>12/04/2026 17:30 | Belgium | Jupiler Pro League | Anderlecht vs Gent</t>
  </si>
  <si>
    <t>Pikine</t>
  </si>
  <si>
    <t>Gorée</t>
  </si>
  <si>
    <t>12/04/2026 17:30 | Senegal | Ligue 1 | Pikine vs Gorée</t>
  </si>
  <si>
    <t>12/04/2026 17:30 | Senegal | Ligue 1 | Sonacos vs La Linguère</t>
  </si>
  <si>
    <t>Teungueth</t>
  </si>
  <si>
    <t>12/04/2026 17:30 | Senegal | Ligue 1 | Teungueth vs Casa Sport</t>
  </si>
  <si>
    <t>12/04/2026 17:30 | Senegal | Ligue 1 | Stade de Mbour vs AS Camberene</t>
  </si>
  <si>
    <t>Quito</t>
  </si>
  <si>
    <t>12/04/2026 17:30 | Ecuador | Copa Ecuador | Quito vs Deportivo Cuenca Juniors</t>
  </si>
  <si>
    <t>Al Najaf</t>
  </si>
  <si>
    <t>Al-Karma</t>
  </si>
  <si>
    <t>12/04/2026 17:30 | Iraq | Iraqi League | Al Najaf vs Al-Karma</t>
  </si>
  <si>
    <t>Zakho</t>
  </si>
  <si>
    <t>Al Talaba</t>
  </si>
  <si>
    <t>12/04/2026 17:30 | Iraq | Iraqi League | Zakho vs Al Talaba</t>
  </si>
  <si>
    <t>12/04/2026 17:45</t>
  </si>
  <si>
    <t>Nouakchott Academie</t>
  </si>
  <si>
    <t>12/04/2026 17:45 | Mauritania | Premier League | Nouakchott Academie vs Police</t>
  </si>
  <si>
    <t>12/04/2026 18:00</t>
  </si>
  <si>
    <t>Maccabi Haifa</t>
  </si>
  <si>
    <t>Ironi Kiryat Shmona</t>
  </si>
  <si>
    <t>12/04/2026 18:00 | Israel | Ligat Ha'al | Maccabi Haifa vs Ironi Kiryat Shmona</t>
  </si>
  <si>
    <t>12/04/2026 18:00 | Israel | Ligat Ha'al | Hapoel Katamon vs Beitar Jerusalem</t>
  </si>
  <si>
    <t>Galatasaray</t>
  </si>
  <si>
    <t>12/04/2026 18:00 | Turkey | Süper Lig | Galatasaray vs Kocaelispor</t>
  </si>
  <si>
    <t>12/04/2026 18:00 | Portugal | Primeira Liga | Benfica vs Nacional</t>
  </si>
  <si>
    <t>12/04/2026 18:00 | Portugal | Primeira Liga | SC Braga vs Arouca</t>
  </si>
  <si>
    <t>12/04/2026 18:00 | Albania | Superliga | Vllaznia Shkodër vs Teuta Durrës</t>
  </si>
  <si>
    <t>12/04/2026 18:00 | Poland | III Liga - Group 1 | Wigry Suwałki vs Łomża</t>
  </si>
  <si>
    <t>GOŠK Gabela</t>
  </si>
  <si>
    <t>Budućnost Banovići</t>
  </si>
  <si>
    <t>12/04/2026 18:00 | Bosnia | 1st League - FBiH | GOŠK Gabela vs Budućnost Banovići</t>
  </si>
  <si>
    <t>Progresso</t>
  </si>
  <si>
    <t>Correggese</t>
  </si>
  <si>
    <t>12/04/2026 18:00 | Italy | Serie D - Girone D | Progresso vs Correggese</t>
  </si>
  <si>
    <t>12/04/2026 18:00 | Spain | Tercera División RFEF - Group 5 | Vilanova vs Mollerussa</t>
  </si>
  <si>
    <t>12/04/2026 18:00 | Spain | Tercera División RFEF - Group 14 | Badajoz vs Montehermoso</t>
  </si>
  <si>
    <t>KA Akureyri</t>
  </si>
  <si>
    <t>12/04/2026 18:00 | Iceland | Úrvalsdeild | KA Akureyri vs Stjarnan</t>
  </si>
  <si>
    <t>Keflavik</t>
  </si>
  <si>
    <t>12/04/2026 18:00 | Iceland | Úrvalsdeild | KR Reykjavik vs Keflavik</t>
  </si>
  <si>
    <t>Valur Reykjavik</t>
  </si>
  <si>
    <t>Thor Akureyri</t>
  </si>
  <si>
    <t>12/04/2026 18:00 | Iceland | Úrvalsdeild | Valur Reykjavik vs Thor Akureyri</t>
  </si>
  <si>
    <t>Crown Legacy</t>
  </si>
  <si>
    <t>12/04/2026 18:00 | USA | MLS Next Pro | Toronto II vs Crown Legacy</t>
  </si>
  <si>
    <t>12/04/2026 18:00 | Ecuador | Liga Pro | Tecnico Universitario vs Universidad Catolica</t>
  </si>
  <si>
    <t>Germany U23 W</t>
  </si>
  <si>
    <t>Belgium U23 W</t>
  </si>
  <si>
    <t>12/04/2026 18:00 | World | Friendlies Women | Germany U23 W vs Belgium U23 W</t>
  </si>
  <si>
    <t>Cde Juventud Italiana</t>
  </si>
  <si>
    <t>Atletico FC</t>
  </si>
  <si>
    <t>12/04/2026 18:00 | Ecuador | Copa Ecuador | Cde Juventud Italiana vs Atletico FC</t>
  </si>
  <si>
    <t>Portugal U23 W</t>
  </si>
  <si>
    <t>Italy U23 W</t>
  </si>
  <si>
    <t>12/04/2026 18:00 | World | Friendlies Women | Portugal U23 W vs Italy U23 W</t>
  </si>
  <si>
    <t>12/04/2026 18:15</t>
  </si>
  <si>
    <t>12/04/2026 18:15 | Norway | Eliteserien | Brann vs Sandefjord</t>
  </si>
  <si>
    <t>Dender</t>
  </si>
  <si>
    <t>12/04/2026 18:15 | Belgium | Jupiler Pro League | Dender vs Zulte Waregem</t>
  </si>
  <si>
    <t>12/04/2026 18:30</t>
  </si>
  <si>
    <t>FSV Mainz 05</t>
  </si>
  <si>
    <t>SC Freiburg</t>
  </si>
  <si>
    <t>12/04/2026 18:30 | Germany | Bundesliga | FSV Mainz 05 vs SC Freiburg</t>
  </si>
  <si>
    <t>TSV 1860 München</t>
  </si>
  <si>
    <t>12/04/2026 18:30 | Germany | 3. Liga | TSV 1860 München vs SSV Jahn Regensburg</t>
  </si>
  <si>
    <t>12/04/2026 18:30 | Poland | II Liga - East | Unia Skierniewice vs Sandecja Nowy Sącz</t>
  </si>
  <si>
    <t>Reggiana</t>
  </si>
  <si>
    <t>12/04/2026 18:30 | Italy | Serie B | Reggiana vs Carrarese</t>
  </si>
  <si>
    <t>12/04/2026 18:30 | Israel | Ligat Ha'al | Maccabi Tel Aviv vs Hapoel Beer Sheva</t>
  </si>
  <si>
    <t>12/04/2026 19:00</t>
  </si>
  <si>
    <t>12/04/2026 19:00 | Argentina | Liga Profesional Argentina | Newells Old Boys vs San Lorenzo</t>
  </si>
  <si>
    <t>12/04/2026 19:00 | Argentina | Liga Profesional Argentina | Platense vs Gimnasia M.</t>
  </si>
  <si>
    <t>U.N.A.M. - Pumas</t>
  </si>
  <si>
    <t>12/04/2026 19:00 | Mexico | Liga MX | U.N.A.M. - Pumas vs Mazatlán</t>
  </si>
  <si>
    <t>12/04/2026 19:00 | Argentina | Primera Nacional | Acassuso vs Los Andes</t>
  </si>
  <si>
    <t>12/04/2026 19:00 | Argentina | Primera Nacional | Chacarita Juniors vs Gimnasia Y Tiro</t>
  </si>
  <si>
    <t>12/04/2026 19:00 | Argentina | Primera Nacional | Defensores De Belgrano vs Ciudad de Bolívar</t>
  </si>
  <si>
    <t>12/04/2026 19:00 | Argentina | Primera Nacional | Ferro Carril Oeste vs CA Estudiantes</t>
  </si>
  <si>
    <t>Temperley</t>
  </si>
  <si>
    <t>12/04/2026 19:00 | Argentina | Primera Nacional | Temperley vs Quilmes</t>
  </si>
  <si>
    <t>Deportivo Camioneros</t>
  </si>
  <si>
    <t>Dock Sud</t>
  </si>
  <si>
    <t>12/04/2026 19:00 | Argentina | Primera B Metropolitana | Deportivo Camioneros vs Dock Sud</t>
  </si>
  <si>
    <t>Academica</t>
  </si>
  <si>
    <t>12/04/2026 19:00 | Portugal | Liga 3 | Academica vs Amarante</t>
  </si>
  <si>
    <t>Independiente del Valle</t>
  </si>
  <si>
    <t>12/04/2026 19:00 | Ecuador | Liga Pro | Deportivo Cuenca vs Independiente del Valle</t>
  </si>
  <si>
    <t>12/04/2026 19:00 | Malta | Challenge League | Mgarr United vs Gudja United</t>
  </si>
  <si>
    <t>Germinal de Rawson</t>
  </si>
  <si>
    <t>Villa Mitre</t>
  </si>
  <si>
    <t>12/04/2026 19:00 | Argentina | Torneo Federal A | Germinal de Rawson vs Villa Mitre</t>
  </si>
  <si>
    <t>12/04/2026 19:00 | Brazil | Baiano U20 | Galícia U20 vs Camacari U20</t>
  </si>
  <si>
    <t>12/04/2026 19:00 | Brazil | Baiano U20 | Vitória da Conquista U20 vs Serrano U20</t>
  </si>
  <si>
    <t>Sao Domingos AL</t>
  </si>
  <si>
    <t>12/04/2026 19:00 | Brazil | Alagoano - 2 | Zumbi vs Sao Domingos AL</t>
  </si>
  <si>
    <t>Aliança AL</t>
  </si>
  <si>
    <t>12/04/2026 19:00 | Brazil | Alagoano - 2 | Miguelense vs Aliança AL</t>
  </si>
  <si>
    <t>12/04/2026 19:00 | Romania | Liga I | CFR 1907 Cluj vs Dinamo Bucuresti</t>
  </si>
  <si>
    <t>Novo Hamburgo U20</t>
  </si>
  <si>
    <t>Esportivo U20</t>
  </si>
  <si>
    <t>12/04/2026 19:00 | Brazil | Estadual Junior U20 | Novo Hamburgo U20 vs Esportivo U20</t>
  </si>
  <si>
    <t>Caxias U20</t>
  </si>
  <si>
    <t>Apafut U20</t>
  </si>
  <si>
    <t>12/04/2026 19:00 | Brazil | Estadual Junior U20 | Caxias U20 vs Apafut U20</t>
  </si>
  <si>
    <t>Guarany de Bagé</t>
  </si>
  <si>
    <t>Joinville</t>
  </si>
  <si>
    <t>12/04/2026 19:00 | Brazil | Serie D | Guarany de Bagé vs Joinville</t>
  </si>
  <si>
    <t>Gnistan O35</t>
  </si>
  <si>
    <t>TiPS/U21</t>
  </si>
  <si>
    <t>12/04/2026 19:00 | Finland | Suomen Cup | Gnistan O35 vs TiPS/U21</t>
  </si>
  <si>
    <t>Chapecoense U20</t>
  </si>
  <si>
    <t>Avaí U20</t>
  </si>
  <si>
    <t>12/04/2026 19:00 | Brazil | Catarinense U20 | Chapecoense U20 vs Avaí U20</t>
  </si>
  <si>
    <t>Zoman</t>
  </si>
  <si>
    <t>12/04/2026 19:00 | Ivory-Coast | Ligue 1 | SOA vs Zoman</t>
  </si>
  <si>
    <t>12/04/2026 19:30</t>
  </si>
  <si>
    <t>12/04/2026 19:30 | Spain | Primera División RFEF - Group 2 | Hércules vs Sanluqueño</t>
  </si>
  <si>
    <t>Inter U23</t>
  </si>
  <si>
    <t>Arzignano Valchiampo</t>
  </si>
  <si>
    <t>12/04/2026 19:30 | Italy | Serie C - Girone A | Inter U23 vs Arzignano Valchiampo</t>
  </si>
  <si>
    <t>12/04/2026 19:30 | Italy | Serie C - Girone C | Potenza vs Sorrento</t>
  </si>
  <si>
    <t>Sportivo Barracas</t>
  </si>
  <si>
    <t>12/04/2026 19:30 | Argentina | Primera C | Claypole vs Sportivo Barracas</t>
  </si>
  <si>
    <t>Puerto Nuevo</t>
  </si>
  <si>
    <t>12/04/2026 19:30 | Argentina | Primera C | Puerto Nuevo vs Juventud Unida</t>
  </si>
  <si>
    <t>Victoriano Arenas</t>
  </si>
  <si>
    <t>Lugano</t>
  </si>
  <si>
    <t>12/04/2026 19:30 | Argentina | Primera C | Victoriano Arenas vs Lugano</t>
  </si>
  <si>
    <t>12/04/2026 19:30 | Brazil | Paranaense - 2 | Nacional PR vs Paranavaí</t>
  </si>
  <si>
    <t>Prudentópolis</t>
  </si>
  <si>
    <t>12/04/2026 19:30 | Brazil | Paranaense - 2 | Prudentópolis vs Araucária</t>
  </si>
  <si>
    <t>12/04/2026 19:30 | Argentina | Torneo Federal A | Cipolletti vs Costa Brava</t>
  </si>
  <si>
    <t>12/04/2026 19:30 | Argentina | Torneo Federal A | Juventud Unida Univ. vs Deportivo Rincon</t>
  </si>
  <si>
    <t>Olimpo Bahia Blanca</t>
  </si>
  <si>
    <t>Sol de Mayo</t>
  </si>
  <si>
    <t>12/04/2026 19:30 | Argentina | Torneo Federal A | Olimpo Bahia Blanca vs Sol de Mayo</t>
  </si>
  <si>
    <t>Progreso</t>
  </si>
  <si>
    <t>12/04/2026 19:30 | Uruguay | Primera División - Apertura | Juventud vs Progreso</t>
  </si>
  <si>
    <t>Blumenau</t>
  </si>
  <si>
    <t>Brasil DE Pelotas</t>
  </si>
  <si>
    <t>12/04/2026 19:30 | Brazil | Serie D | Blumenau vs Brasil DE Pelotas</t>
  </si>
  <si>
    <t>12/04/2026 19:45</t>
  </si>
  <si>
    <t>Como</t>
  </si>
  <si>
    <t>12/04/2026 19:45 | Italy | Serie A | Como vs Inter</t>
  </si>
  <si>
    <t>12/04/2026 19:45 | France | Ligue 1 | Lyon vs Lorient</t>
  </si>
  <si>
    <t>12/04/2026 20:00</t>
  </si>
  <si>
    <t>Athletic Club</t>
  </si>
  <si>
    <t>12/04/2026 20:00 | Spain | La Liga | Athletic Club vs Villarreal</t>
  </si>
  <si>
    <t>12/04/2026 20:00 | Spain | Segunda División | Racing Santander vs Almeria</t>
  </si>
  <si>
    <t>Brooklyn W</t>
  </si>
  <si>
    <t>12/04/2026 20:00 | USA | USL Super League | Brooklyn W vs Dallas Trinity W</t>
  </si>
  <si>
    <t>Aserri FC</t>
  </si>
  <si>
    <t>Cariari Pococi</t>
  </si>
  <si>
    <t>12/04/2026 20:00 | Costa-Rica | Liga de Ascenso | Aserri FC vs Cariari Pococi</t>
  </si>
  <si>
    <t>Municipal Grecia</t>
  </si>
  <si>
    <t>12/04/2026 20:00 | Costa-Rica | Liga de Ascenso | AD Sarchí vs Municipal Grecia</t>
  </si>
  <si>
    <t>Futbol Consultants Moravia</t>
  </si>
  <si>
    <t>12/04/2026 20:00 | Costa-Rica | Liga de Ascenso | Futbol Consultants Moravia vs Pitbulls Santa Barbara FC</t>
  </si>
  <si>
    <t>12/04/2026 20:00 | Costa-Rica | Liga de Ascenso | Deportivo Upala vs ADR Jicaral</t>
  </si>
  <si>
    <t>Quepos Cambute</t>
  </si>
  <si>
    <t>12/04/2026 20:00 | Costa-Rica | Liga de Ascenso | Quepos Cambute vs AD Cofutpa</t>
  </si>
  <si>
    <t>Coritiba</t>
  </si>
  <si>
    <t>12/04/2026 20:00 | Brazil | Serie A | Botafogo vs Coritiba</t>
  </si>
  <si>
    <t>12/04/2026 20:00 | Argentina | Primera Nacional | Agropecuario vs Gimnasia Jujuy</t>
  </si>
  <si>
    <t>12/04/2026 20:00 | Argentina | Primera Nacional | Deportivo Madryn vs Almirante Brown</t>
  </si>
  <si>
    <t>Santa Fe</t>
  </si>
  <si>
    <t>12/04/2026 20:00 | Colombia | Primera A | Millonarios vs Santa Fe</t>
  </si>
  <si>
    <t>12/04/2026 20:00 | Chile | Primera B | Santiago Wanderers vs San Luis</t>
  </si>
  <si>
    <t>12/04/2026 20:00 | USA | MLS Next Pro | Philadelphia Union II vs Carolina Core</t>
  </si>
  <si>
    <t>Maghreb Fès</t>
  </si>
  <si>
    <t>12/04/2026 20:00 | Morocco | Botola Pro | Maghreb Fès vs Wydad AC</t>
  </si>
  <si>
    <t>General Velásquez</t>
  </si>
  <si>
    <t>Santiago Morning</t>
  </si>
  <si>
    <t>12/04/2026 20:00 | Chile | Segunda División | General Velásquez vs Santiago Morning</t>
  </si>
  <si>
    <t>Argentino Monte Maíz</t>
  </si>
  <si>
    <t>12/04/2026 20:00 | Argentina | Torneo Federal A | Argentino Monte Maíz vs Fundacion Amigos</t>
  </si>
  <si>
    <t>Gimnasia Chivilcoy</t>
  </si>
  <si>
    <t>Sportivo Las Parejas</t>
  </si>
  <si>
    <t>12/04/2026 20:00 | Argentina | Torneo Federal A | Gimnasia Chivilcoy vs Sportivo Las Parejas</t>
  </si>
  <si>
    <t>Defensores de Belgrano VR</t>
  </si>
  <si>
    <t>12/04/2026 20:00 | Argentina | Torneo Federal A | Defensores de Belgrano VR vs Sportivo Belgrano</t>
  </si>
  <si>
    <t>Guarani De Juazeiro</t>
  </si>
  <si>
    <t>12/04/2026 20:00 | Brazil | Cearense - 2 | Guarani De Juazeiro vs Icasa</t>
  </si>
  <si>
    <t>12/04/2026 20:00 | Brazil | Estadual Junior U20 | Sao Luiz U20 vs Juventude U20</t>
  </si>
  <si>
    <t>12/04/2026 20:00 | World | CAF Champions League | ES Tunis vs Mamelodi Sundowns</t>
  </si>
  <si>
    <t>Laguna</t>
  </si>
  <si>
    <t>12/04/2026 20:00 | Brazil | Serie D | ABC vs Laguna</t>
  </si>
  <si>
    <t>Altos</t>
  </si>
  <si>
    <t>12/04/2026 20:00 | Brazil | Serie D | Altos vs Fluminense PI</t>
  </si>
  <si>
    <t>Atlético Alagoinhas</t>
  </si>
  <si>
    <t>Juazeirense</t>
  </si>
  <si>
    <t>12/04/2026 20:00 | Brazil | Serie D | Atlético Alagoinhas vs Juazeirense</t>
  </si>
  <si>
    <t>Araguaína</t>
  </si>
  <si>
    <t>12/04/2026 20:00 | Brazil | Serie D | Araguaína vs Guaporé</t>
  </si>
  <si>
    <t>Capital Brasilia</t>
  </si>
  <si>
    <t>CEOV Operário</t>
  </si>
  <si>
    <t>12/04/2026 20:00 | Brazil | Serie D | Capital Brasilia vs CEOV Operário</t>
  </si>
  <si>
    <t>Central SC</t>
  </si>
  <si>
    <t>12/04/2026 20:00 | Brazil | Serie D | Central SC vs America-RN</t>
  </si>
  <si>
    <t>12/04/2026 20:00 | Brazil | Serie D | CSE vs ASA</t>
  </si>
  <si>
    <t>12/04/2026 20:00 | Brazil | Serie D | Nova Iguaçu vs CFRJ / Maricá</t>
  </si>
  <si>
    <t>Parnahyba</t>
  </si>
  <si>
    <t>Iguatu</t>
  </si>
  <si>
    <t>12/04/2026 20:00 | Brazil | Serie D | Parnahyba vs Iguatu</t>
  </si>
  <si>
    <t>Maguary PE</t>
  </si>
  <si>
    <t>12/04/2026 20:00 | Brazil | Serie D | Sousa vs Maguary PE</t>
  </si>
  <si>
    <t>Tuna Luso</t>
  </si>
  <si>
    <t>12/04/2026 20:00 | Brazil | Serie D | Trem vs Tuna Luso</t>
  </si>
  <si>
    <t>Real Oruro</t>
  </si>
  <si>
    <t>Blooming</t>
  </si>
  <si>
    <t>12/04/2026 20:00 | Bolivia | Primera División | Real Oruro vs Blooming</t>
  </si>
  <si>
    <t>Colón</t>
  </si>
  <si>
    <t>CA River Plate</t>
  </si>
  <si>
    <t>12/04/2026 20:00 | Uruguay | Segunda División | Colón vs CA River Plate</t>
  </si>
  <si>
    <t>12/04/2026 20:30</t>
  </si>
  <si>
    <t>12/04/2026 20:30 | Portugal | Primeira Liga | Estoril vs FC Porto</t>
  </si>
  <si>
    <t>Fram Reykjavik</t>
  </si>
  <si>
    <t>IA Akranes</t>
  </si>
  <si>
    <t>12/04/2026 20:30 | Iceland | Úrvalsdeild | Fram Reykjavik vs IA Akranes</t>
  </si>
  <si>
    <t>12/04/2026 20:30 | Colombia | Liga Femenina | Atlético Nacional W vs Real Santander W</t>
  </si>
  <si>
    <t>Turks and Caicos Islands W</t>
  </si>
  <si>
    <t>Ivory Coast W</t>
  </si>
  <si>
    <t>12/04/2026 20:30 | World | Friendlies Women | Turks and Caicos Islands W vs Ivory Coast W</t>
  </si>
  <si>
    <t>Huracan Las Heras</t>
  </si>
  <si>
    <t>12/04/2026 20:30 | Argentina | Torneo Federal A | Atenas vs Huracan Las Heras</t>
  </si>
  <si>
    <t>Douglas Haig</t>
  </si>
  <si>
    <t>El Linqueño</t>
  </si>
  <si>
    <t>12/04/2026 20:30 | Argentina | Torneo Federal A | Douglas Haig vs El Linqueño</t>
  </si>
  <si>
    <t>San Martin Formosa</t>
  </si>
  <si>
    <t>Boca Unidos</t>
  </si>
  <si>
    <t>12/04/2026 20:30 | Argentina | Torneo Federal A | San Martin Formosa vs Boca Unidos</t>
  </si>
  <si>
    <t>Yaracuyanos FC</t>
  </si>
  <si>
    <t>12/04/2026 20:30 | Venezuela | Segunda División | Club Atletico Barinas vs Yaracuyanos FC</t>
  </si>
  <si>
    <t>12/04/2026 20:30 | Venezuela | Segunda División | Urena SC vs Deportivo Lara</t>
  </si>
  <si>
    <t>Monagas II</t>
  </si>
  <si>
    <t>12/04/2026 20:30 | Venezuela | Segunda División | Monagas II vs Aragua FC</t>
  </si>
  <si>
    <t>12/04/2026 21:00</t>
  </si>
  <si>
    <t>12/04/2026 21:00 | Costa-Rica | Liga de Ascenso | Limón Black Star vs Escorpiones Belén</t>
  </si>
  <si>
    <t>Santa Ana</t>
  </si>
  <si>
    <t>12/04/2026 21:00 | Costa-Rica | Liga de Ascenso | Santa Ana vs AD Carmelita</t>
  </si>
  <si>
    <t>Santa Cruz FC</t>
  </si>
  <si>
    <t>12/04/2026 21:00 | Costa-Rica | Liga de Ascenso | Santa Cruz FC vs Turrialba Fc</t>
  </si>
  <si>
    <t>12/04/2026 21:00 | Argentina | Primera Nacional | Central Norte vs Atletico Mitre</t>
  </si>
  <si>
    <t>Chaco For Ever</t>
  </si>
  <si>
    <t>All Boys</t>
  </si>
  <si>
    <t>12/04/2026 21:00 | Argentina | Primera Nacional | Chaco For Ever vs All Boys</t>
  </si>
  <si>
    <t>12/04/2026 21:00 | Argentina | Primera Nacional | Club Atlético Güemes vs San Martin Tucuman</t>
  </si>
  <si>
    <t>Guastatoya</t>
  </si>
  <si>
    <t>12/04/2026 21:00 | Guatemala | Liga Nacional | Cobán Imperial vs Guastatoya</t>
  </si>
  <si>
    <t>Paradise</t>
  </si>
  <si>
    <t>12/04/2026 21:00 | Barbados | Premier League | Paradise vs Bagatelle</t>
  </si>
  <si>
    <t>Cavalry FC</t>
  </si>
  <si>
    <t>Atlético Ottawa</t>
  </si>
  <si>
    <t>12/04/2026 21:00 | Canada | Canadian Premier League | Cavalry FC vs Atlético Ottawa</t>
  </si>
  <si>
    <t>Anápolis</t>
  </si>
  <si>
    <t>Inter De Limeira</t>
  </si>
  <si>
    <t>12/04/2026 21:00 | Brazil | Serie C | Anápolis vs Inter De Limeira</t>
  </si>
  <si>
    <t>Brusque</t>
  </si>
  <si>
    <t>12/04/2026 21:00 | Brazil | Serie C | Paysandu vs Brusque</t>
  </si>
  <si>
    <t>Caxias</t>
  </si>
  <si>
    <t>Confiança</t>
  </si>
  <si>
    <t>12/04/2026 21:00 | Brazil | Serie C | Caxias vs Confiança</t>
  </si>
  <si>
    <t>Atletico Escobar</t>
  </si>
  <si>
    <t>12/04/2026 21:00 | Argentina | Torneo Federal A | 9 de Julio Rafaela vs Atletico Escobar</t>
  </si>
  <si>
    <t>Lota Schwager</t>
  </si>
  <si>
    <t>Deportes Rengo</t>
  </si>
  <si>
    <t>12/04/2026 21:00 | Chile | Segunda División | Lota Schwager vs Deportes Rengo</t>
  </si>
  <si>
    <t>12/04/2026 21:00 | Dominican-Republic | Liga Mayor | Delfines Del Este vs Universidad O&amp;M</t>
  </si>
  <si>
    <t>Manaus FC</t>
  </si>
  <si>
    <t>12/04/2026 21:00 | Brazil | Serie D | Nacional AM vs Manaus FC</t>
  </si>
  <si>
    <t>Porto Velho</t>
  </si>
  <si>
    <t>12/04/2026 21:00 | Brazil | Serie D | Porto Velho vs Galvez</t>
  </si>
  <si>
    <t>Primavera MG</t>
  </si>
  <si>
    <t>Aparecidense</t>
  </si>
  <si>
    <t>12/04/2026 21:00 | Brazil | Serie D | Primavera MG vs Aparecidense</t>
  </si>
  <si>
    <t>Rio Branco ES</t>
  </si>
  <si>
    <t>Democrata GV</t>
  </si>
  <si>
    <t>12/04/2026 21:00 | Brazil | Serie D | Rio Branco ES vs Democrata GV</t>
  </si>
  <si>
    <t>Venezuela U17</t>
  </si>
  <si>
    <t>12/04/2026 21:00 | World | CONMEBOL - U17 | Brazil U17 vs Venezuela U17</t>
  </si>
  <si>
    <t>Bolivia U17</t>
  </si>
  <si>
    <t>12/04/2026 21:00 | World | CONMEBOL - U17 | Argentina U17 vs Bolivia U17</t>
  </si>
  <si>
    <t>La Unión</t>
  </si>
  <si>
    <t>Cumbayá</t>
  </si>
  <si>
    <t>12/04/2026 21:00 | Ecuador | Copa Ecuador | La Unión vs Cumbayá</t>
  </si>
  <si>
    <t>Dinamo de Puerto La Cruz</t>
  </si>
  <si>
    <t>12/04/2026 21:00 | Venezuela | Segunda División | Dinamo de Puerto La Cruz vs Marítimo</t>
  </si>
  <si>
    <t>12/04/2026 21:00 | Venezuela | Segunda División | Petare FC vs Bolívar</t>
  </si>
  <si>
    <t>12/04/2026 21:30</t>
  </si>
  <si>
    <t>12/04/2026 21:30 | Argentina | Liga Profesional Argentina | Atletico Tucuman vs Tigre</t>
  </si>
  <si>
    <t>Huracan</t>
  </si>
  <si>
    <t>Rosario Central</t>
  </si>
  <si>
    <t>12/04/2026 21:30 | Argentina | Liga Profesional Argentina | Huracan vs Rosario Central</t>
  </si>
  <si>
    <t>Guayaquil City FC</t>
  </si>
  <si>
    <t>12/04/2026 21:30 | Ecuador | Liga Pro | Guayaquil City FC vs Macara</t>
  </si>
  <si>
    <t>Orsomarso W</t>
  </si>
  <si>
    <t>12/04/2026 21:30 | Colombia | Liga Femenina | Atlético Bucaramanga W vs Orsomarso W</t>
  </si>
  <si>
    <t>Llaneros W</t>
  </si>
  <si>
    <t>Internacional Palmira W</t>
  </si>
  <si>
    <t>12/04/2026 21:30 | Colombia | Liga Femenina | Llaneros W vs Internacional Palmira W</t>
  </si>
  <si>
    <t>12/04/2026 21:30 | Jamaica | Premier League | Arnett Gardens vs Dunbeholden</t>
  </si>
  <si>
    <t>12/04/2026 21:30 | Jamaica | Premier League | Molynes United vs Portmore United</t>
  </si>
  <si>
    <t>12/04/2026 21:30 | Jamaica | Premier League | Montego Bay United vs Spanish Town Police</t>
  </si>
  <si>
    <t>12/04/2026 21:30 | Jamaica | Premier League | Mount Pleasant Academy vs Tivoli Gardens</t>
  </si>
  <si>
    <t>12/04/2026 21:30 | Jamaica | Premier League | Racing United vs Waterhouse</t>
  </si>
  <si>
    <t>12/04/2026 21:30 | Jamaica | Premier League | Harbour View vs Treasure Beach</t>
  </si>
  <si>
    <t>Retrô</t>
  </si>
  <si>
    <t>Serra Branca</t>
  </si>
  <si>
    <t>12/04/2026 21:30 | Brazil | Serie D | Retrô vs Serra Branca</t>
  </si>
  <si>
    <t>12/04/2026 22:00</t>
  </si>
  <si>
    <t>12/04/2026 22:00 | Costa-Rica | Primera División | Deportivo Saprissa vs Municipal Liberia</t>
  </si>
  <si>
    <t>12/04/2026 22:00 | USA | USL Championship | Birmingham Legion vs Pittsburgh Riverhounds</t>
  </si>
  <si>
    <t>12/04/2026 22:00 | El-Salvador | Primera Division | Águila vs Zacatecoluca</t>
  </si>
  <si>
    <t>12/04/2026 22:00 | El-Salvador | Primera Division | Fuerte San Francisco vs Municipal Limeño</t>
  </si>
  <si>
    <t>12/04/2026 22:00 | El-Salvador | Primera Division | Hércules vs Inter</t>
  </si>
  <si>
    <t>Carabobo FC</t>
  </si>
  <si>
    <t>12/04/2026 22:00 | Venezuela | Primera División | Carabobo FC vs UCV</t>
  </si>
  <si>
    <t>Herrera</t>
  </si>
  <si>
    <t>Veraguas</t>
  </si>
  <si>
    <t>12/04/2026 22:00 | Panama | Liga Panameña de Fútbol | Herrera vs Veraguas</t>
  </si>
  <si>
    <t>America Mineiro</t>
  </si>
  <si>
    <t>12/04/2026 22:00 | Brazil | Serie B | America Mineiro vs Novorizontino</t>
  </si>
  <si>
    <t>12/04/2026 22:00 | Brazil | Serie B | Operario-PR vs Cuiaba</t>
  </si>
  <si>
    <t>CD Marathon</t>
  </si>
  <si>
    <t>Olancho</t>
  </si>
  <si>
    <t>12/04/2026 22:00 | Honduras | Liga Nacional | CD Marathon vs Olancho</t>
  </si>
  <si>
    <t>CRAC</t>
  </si>
  <si>
    <t>12/04/2026 22:00 | Brazil | Serie D | CRAC vs Operario Ferroviario</t>
  </si>
  <si>
    <t>12/04/2026 22:00 | Brazil | Serie D | GAS vs Sao Raimundo</t>
  </si>
  <si>
    <t>Independência</t>
  </si>
  <si>
    <t>12/04/2026 22:00 | Brazil | Serie D | Independência vs Humaitá</t>
  </si>
  <si>
    <t>12/04/2026 22:10</t>
  </si>
  <si>
    <t>Deportivo Cali</t>
  </si>
  <si>
    <t>12/04/2026 22:10 | Colombia | Primera A | Deportivo Cali vs Llaneros</t>
  </si>
  <si>
    <t>12/04/2026 22:15</t>
  </si>
  <si>
    <t>12/04/2026 22:15 | El-Salvador | Primera Division | Platense vs Firpo</t>
  </si>
  <si>
    <t>12/04/2026 22:15 | Paraguay | Division Profesional - Apertura | Rubio NU vs Olimpia</t>
  </si>
  <si>
    <t>The Strongest</t>
  </si>
  <si>
    <t>San Antonio Bulo Bulo</t>
  </si>
  <si>
    <t>12/04/2026 22:15 | Bolivia | Primera División | The Strongest vs San Antonio Bulo Bulo</t>
  </si>
  <si>
    <t>12/04/2026 22:30</t>
  </si>
  <si>
    <t>Corinthians</t>
  </si>
  <si>
    <t>12/04/2026 22:30 | Brazil | Serie A | Corinthians vs Palmeiras</t>
  </si>
  <si>
    <t>12/04/2026 22:30 | Brazil | Serie A | Cruzeiro vs RB Bragantino</t>
  </si>
  <si>
    <t>Colegiales</t>
  </si>
  <si>
    <t>12/04/2026 22:30 | Argentina | Primera Nacional | Deportivo Maipu vs Colegiales</t>
  </si>
  <si>
    <t>12/04/2026 22:30 | Chile | Primera División | Nublense vs Universidad de Chile</t>
  </si>
  <si>
    <t>Estudiantes de Merida FC</t>
  </si>
  <si>
    <t>12/04/2026 22:30 | Venezuela | Primera División | Trujillanos FC vs Estudiantes de Merida FC</t>
  </si>
  <si>
    <t>Antofagasta</t>
  </si>
  <si>
    <t>12/04/2026 22:30 | Chile | Primera B | Deportes Temuco vs Antofagasta</t>
  </si>
  <si>
    <t>12/04/2026 22:30 | Brazil | Serie B | São Bernardo vs Fortaleza EC</t>
  </si>
  <si>
    <t>Guarani Campinas</t>
  </si>
  <si>
    <t>Volta Redonda</t>
  </si>
  <si>
    <t>12/04/2026 22:30 | Brazil | Serie C | Guarani Campinas vs Volta Redonda</t>
  </si>
  <si>
    <t>12/04/2026 22:30 | Uruguay | Primera División - Apertura | Wanderers vs Racing Montevideo</t>
  </si>
  <si>
    <t>12/04/2026 23:00</t>
  </si>
  <si>
    <t>12/04/2026 23:00 | Guatemala | Liga Nacional | Achuapa vs Malacateco</t>
  </si>
  <si>
    <t>12/04/2026 23:00 | Colombia | Primera B | Leones FC vs Real Santander</t>
  </si>
  <si>
    <t>Quindio</t>
  </si>
  <si>
    <t>Depor FC</t>
  </si>
  <si>
    <t>12/04/2026 23:00 | Colombia | Primera B | Quindio vs Depor FC</t>
  </si>
  <si>
    <t>UWI Blackbirds</t>
  </si>
  <si>
    <t>12/04/2026 23:00 | Barbados | Premier League | UWI Blackbirds vs Ellerton</t>
  </si>
  <si>
    <t>Ituano</t>
  </si>
  <si>
    <t>12/04/2026 23:00 | Brazil | Serie C | Amazonas vs Ituano</t>
  </si>
  <si>
    <t>Ypiranga-RS</t>
  </si>
  <si>
    <t>12/04/2026 23:00 | Brazil | Serie C | AO Itabaiana vs Ypiranga-RS</t>
  </si>
  <si>
    <t>12/04/2026 23:00 | Chile | Segunda División | Trasandino vs Provincial Ovalle</t>
  </si>
  <si>
    <t>Sarmiento de La Banda</t>
  </si>
  <si>
    <t>12/04/2026 23:00 | Argentina | Torneo Federal A | Sarmiento de La Banda vs Juventud Antoniana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</si>
</sst>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Rockwell"/>
      <family val="1"/>
    </font>
    <font>
      <b/>
      <sz val="16"/>
      <name val="Rockwell"/>
      <family val="1"/>
    </font>
    <font>
      <b/>
      <sz val="11"/>
      <name val="Calibri"/>
      <family val="2"/>
      <scheme val="minor"/>
    </font>
    <font>
      <b/>
      <sz val="14"/>
      <color theme="0"/>
      <name val="Rockwell"/>
      <family val="1"/>
    </font>
    <font>
      <b/>
      <sz val="18"/>
      <color theme="0"/>
      <name val="Rockwell"/>
      <family val="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Rockwell"/>
      <family val="1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haroni"/>
      <charset val="177"/>
    </font>
    <font>
      <b/>
      <sz val="11"/>
      <color theme="0"/>
      <name val="Aharoni"/>
      <charset val="177"/>
    </font>
    <font>
      <sz val="11"/>
      <name val="Calibri"/>
      <family val="2"/>
      <scheme val="minor"/>
    </font>
    <font>
      <sz val="18"/>
      <color theme="0"/>
      <name val="Aharoni"/>
      <charset val="177"/>
    </font>
    <font>
      <sz val="11"/>
      <color theme="0"/>
      <name val="Aharoni"/>
      <charset val="177"/>
    </font>
    <font>
      <sz val="24"/>
      <name val="Calibri"/>
      <family val="2"/>
      <scheme val="minor"/>
    </font>
    <font>
      <b/>
      <sz val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1" fillId="10" borderId="1" xfId="0" applyFont="1" applyFill="1" applyBorder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9" fillId="13" borderId="0" xfId="0" applyFont="1" applyFill="1" applyAlignment="1">
      <alignment vertical="center"/>
    </xf>
    <xf numFmtId="9" fontId="0" fillId="13" borderId="0" xfId="2" applyFont="1" applyFill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1" xfId="1" applyNumberFormat="1" applyFont="1" applyFill="1" applyBorder="1" applyAlignment="1">
      <alignment horizontal="center" vertical="center"/>
    </xf>
    <xf numFmtId="9" fontId="0" fillId="15" borderId="1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17" fontId="0" fillId="0" borderId="0" xfId="0" applyNumberFormat="1"/>
    <xf numFmtId="16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9" fontId="0" fillId="16" borderId="1" xfId="2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9" fillId="19" borderId="0" xfId="0" applyFont="1" applyFill="1" applyAlignment="1">
      <alignment vertical="center"/>
    </xf>
    <xf numFmtId="0" fontId="0" fillId="19" borderId="0" xfId="0" applyFill="1" applyAlignment="1">
      <alignment vertical="center"/>
    </xf>
    <xf numFmtId="0" fontId="7" fillId="19" borderId="0" xfId="0" applyFont="1" applyFill="1" applyAlignment="1">
      <alignment vertical="center"/>
    </xf>
    <xf numFmtId="0" fontId="6" fillId="19" borderId="0" xfId="0" applyFont="1" applyFill="1" applyAlignment="1">
      <alignment vertical="center" wrapText="1"/>
    </xf>
    <xf numFmtId="0" fontId="6" fillId="19" borderId="0" xfId="0" applyFont="1" applyFill="1" applyAlignment="1">
      <alignment vertical="center"/>
    </xf>
    <xf numFmtId="0" fontId="1" fillId="19" borderId="0" xfId="0" applyFont="1" applyFill="1" applyAlignment="1">
      <alignment vertical="center"/>
    </xf>
    <xf numFmtId="0" fontId="13" fillId="19" borderId="0" xfId="0" applyFont="1" applyFill="1" applyAlignment="1">
      <alignment vertical="center" wrapText="1"/>
    </xf>
    <xf numFmtId="0" fontId="15" fillId="19" borderId="0" xfId="0" applyFont="1" applyFill="1" applyAlignment="1">
      <alignment vertical="center"/>
    </xf>
    <xf numFmtId="22" fontId="0" fillId="16" borderId="9" xfId="0" applyNumberFormat="1" applyFill="1" applyBorder="1" applyAlignment="1">
      <alignment horizontal="center" vertical="center"/>
    </xf>
    <xf numFmtId="0" fontId="0" fillId="16" borderId="9" xfId="0" applyFill="1" applyBorder="1" applyAlignment="1">
      <alignment vertical="center"/>
    </xf>
    <xf numFmtId="0" fontId="0" fillId="16" borderId="2" xfId="0" applyFill="1" applyBorder="1" applyAlignment="1">
      <alignment vertical="center"/>
    </xf>
    <xf numFmtId="22" fontId="0" fillId="16" borderId="9" xfId="0" applyNumberFormat="1" applyFill="1" applyBorder="1" applyAlignment="1">
      <alignment vertical="center"/>
    </xf>
    <xf numFmtId="22" fontId="0" fillId="16" borderId="1" xfId="0" applyNumberFormat="1" applyFill="1" applyBorder="1" applyAlignment="1">
      <alignment horizontal="center" vertical="center"/>
    </xf>
    <xf numFmtId="0" fontId="9" fillId="19" borderId="0" xfId="0" applyFont="1" applyFill="1"/>
    <xf numFmtId="0" fontId="9" fillId="19" borderId="16" xfId="0" applyFont="1" applyFill="1" applyBorder="1"/>
    <xf numFmtId="165" fontId="9" fillId="19" borderId="16" xfId="0" applyNumberFormat="1" applyFont="1" applyFill="1" applyBorder="1"/>
    <xf numFmtId="22" fontId="9" fillId="19" borderId="16" xfId="0" applyNumberFormat="1" applyFont="1" applyFill="1" applyBorder="1"/>
    <xf numFmtId="0" fontId="7" fillId="3" borderId="9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0" fillId="14" borderId="1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22" fontId="5" fillId="2" borderId="5" xfId="0" applyNumberFormat="1" applyFont="1" applyFill="1" applyBorder="1" applyAlignment="1">
      <alignment horizontal="center" vertical="center"/>
    </xf>
    <xf numFmtId="22" fontId="5" fillId="2" borderId="6" xfId="0" applyNumberFormat="1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9" fontId="11" fillId="0" borderId="1" xfId="2" applyFont="1" applyBorder="1" applyAlignment="1">
      <alignment horizontal="center" vertical="center"/>
    </xf>
    <xf numFmtId="2" fontId="11" fillId="15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9" fontId="2" fillId="12" borderId="1" xfId="2" applyFont="1" applyFill="1" applyBorder="1" applyAlignment="1">
      <alignment horizontal="center" vertical="center" wrapText="1"/>
    </xf>
    <xf numFmtId="9" fontId="14" fillId="11" borderId="1" xfId="2" applyFont="1" applyFill="1" applyBorder="1" applyAlignment="1">
      <alignment horizontal="center" vertical="center" wrapText="1"/>
    </xf>
    <xf numFmtId="0" fontId="18" fillId="18" borderId="0" xfId="0" applyFont="1" applyFill="1" applyAlignment="1">
      <alignment horizontal="center" vertical="center"/>
    </xf>
    <xf numFmtId="9" fontId="0" fillId="16" borderId="9" xfId="2" applyFont="1" applyFill="1" applyBorder="1" applyAlignment="1">
      <alignment horizontal="center" vertical="center"/>
    </xf>
    <xf numFmtId="9" fontId="0" fillId="16" borderId="2" xfId="2" applyFont="1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7" borderId="14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9" fontId="0" fillId="12" borderId="1" xfId="2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0" fillId="0" borderId="0" xfId="0" applyNumberFormat="1"/>
    <xf numFmtId="0" fontId="1" fillId="3" borderId="3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12" xfId="0" applyFont="1" applyFill="1" applyBorder="1" applyAlignment="1">
      <alignment horizontal="center" vertical="center" wrapText="1"/>
    </xf>
    <xf numFmtId="0" fontId="10" fillId="14" borderId="14" xfId="0" applyFont="1" applyFill="1" applyBorder="1" applyAlignment="1">
      <alignment horizontal="center" vertical="center" wrapText="1"/>
    </xf>
    <xf numFmtId="0" fontId="10" fillId="14" borderId="15" xfId="0" applyFont="1" applyFill="1" applyBorder="1" applyAlignment="1">
      <alignment horizontal="center" vertical="center" wrapText="1"/>
    </xf>
    <xf numFmtId="0" fontId="10" fillId="14" borderId="5" xfId="0" applyFont="1" applyFill="1" applyBorder="1" applyAlignment="1">
      <alignment horizontal="center" vertical="center" wrapText="1"/>
    </xf>
    <xf numFmtId="0" fontId="10" fillId="14" borderId="13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bgColor theme="5" tint="0.79998168889431442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3" dropStyle="combo" dx="22" fmlaLink="Control!$D$4" fmlaRange="Control!$C$4:$C$6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57150</xdr:rowOff>
        </xdr:from>
        <xdr:to>
          <xdr:col>3</xdr:col>
          <xdr:colOff>95250</xdr:colOff>
          <xdr:row>2</xdr:row>
          <xdr:rowOff>47625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174826</xdr:colOff>
      <xdr:row>0</xdr:row>
      <xdr:rowOff>17834</xdr:rowOff>
    </xdr:from>
    <xdr:to>
      <xdr:col>5</xdr:col>
      <xdr:colOff>152655</xdr:colOff>
      <xdr:row>2</xdr:row>
      <xdr:rowOff>111403</xdr:rowOff>
    </xdr:to>
    <xdr:sp macro="[0]!UPDATE_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3F479CC-19E4-55D5-7ECC-E9529C5EDB9A}"/>
            </a:ext>
          </a:extLst>
        </xdr:cNvPr>
        <xdr:cNvSpPr/>
      </xdr:nvSpPr>
      <xdr:spPr>
        <a:xfrm>
          <a:off x="1998762" y="17834"/>
          <a:ext cx="1193787" cy="474569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latin typeface="Rockwell" panose="02060603020205020403" pitchFamily="18" charset="0"/>
            </a:rPr>
            <a:t>UPDATE LIST</a:t>
          </a:r>
        </a:p>
      </xdr:txBody>
    </xdr:sp>
    <xdr:clientData/>
  </xdr:twoCellAnchor>
  <xdr:twoCellAnchor>
    <xdr:from>
      <xdr:col>0</xdr:col>
      <xdr:colOff>95250</xdr:colOff>
      <xdr:row>37</xdr:row>
      <xdr:rowOff>128838</xdr:rowOff>
    </xdr:from>
    <xdr:to>
      <xdr:col>8</xdr:col>
      <xdr:colOff>111293</xdr:colOff>
      <xdr:row>39</xdr:row>
      <xdr:rowOff>85726</xdr:rowOff>
    </xdr:to>
    <xdr:sp macro="[0]!UPDATE_GAM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7F8A1E-3651-266F-5D06-2723FA6A3C3D}"/>
            </a:ext>
          </a:extLst>
        </xdr:cNvPr>
        <xdr:cNvSpPr/>
      </xdr:nvSpPr>
      <xdr:spPr>
        <a:xfrm>
          <a:off x="95250" y="7177338"/>
          <a:ext cx="4926710" cy="3378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Rockwell" panose="02060603020205020403" pitchFamily="18" charset="0"/>
            </a:rPr>
            <a:t>UPDATE</a:t>
          </a:r>
          <a:r>
            <a:rPr lang="en-GB" sz="1400" b="1" baseline="0">
              <a:solidFill>
                <a:sysClr val="windowText" lastClr="000000"/>
              </a:solidFill>
              <a:latin typeface="Rockwell" panose="02060603020205020403" pitchFamily="18" charset="0"/>
            </a:rPr>
            <a:t> GAME</a:t>
          </a:r>
          <a:endParaRPr lang="en-GB" sz="1400" b="1">
            <a:solidFill>
              <a:sysClr val="windowText" lastClr="000000"/>
            </a:solidFill>
            <a:latin typeface="Rockwell" panose="02060603020205020403" pitchFamily="18" charset="0"/>
          </a:endParaRPr>
        </a:p>
      </xdr:txBody>
    </xdr:sp>
    <xdr:clientData/>
  </xdr:twoCellAnchor>
  <xdr:twoCellAnchor>
    <xdr:from>
      <xdr:col>0</xdr:col>
      <xdr:colOff>93764</xdr:colOff>
      <xdr:row>3</xdr:row>
      <xdr:rowOff>3024</xdr:rowOff>
    </xdr:from>
    <xdr:to>
      <xdr:col>5</xdr:col>
      <xdr:colOff>155643</xdr:colOff>
      <xdr:row>5</xdr:row>
      <xdr:rowOff>3024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6A531E56-6C96-3B16-349C-9EFDA2E11B24}"/>
            </a:ext>
          </a:extLst>
        </xdr:cNvPr>
        <xdr:cNvGrpSpPr/>
      </xdr:nvGrpSpPr>
      <xdr:grpSpPr>
        <a:xfrm>
          <a:off x="93764" y="562740"/>
          <a:ext cx="3105951" cy="373145"/>
          <a:chOff x="-716773" y="6737012"/>
          <a:chExt cx="3657600" cy="38100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122F2CF4-A849-68E8-9E01-B96BDF9C1EE9}"/>
              </a:ext>
            </a:extLst>
          </xdr:cNvPr>
          <xdr:cNvSpPr/>
        </xdr:nvSpPr>
        <xdr:spPr>
          <a:xfrm>
            <a:off x="-716773" y="6737012"/>
            <a:ext cx="3657600" cy="381000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 b="1"/>
              <a:t>Search for</a:t>
            </a:r>
            <a:r>
              <a:rPr lang="en-GB" sz="1100" b="1" baseline="0"/>
              <a:t> match</a:t>
            </a:r>
            <a:endParaRPr lang="en-GB" sz="11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txtSearch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200-000006080000}"/>
                  </a:ext>
                </a:extLst>
              </xdr:cNvPr>
              <xdr:cNvSpPr/>
            </xdr:nvSpPr>
            <xdr:spPr bwMode="auto">
              <a:xfrm>
                <a:off x="632793" y="6782415"/>
                <a:ext cx="2187119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5</xdr:row>
          <xdr:rowOff>95250</xdr:rowOff>
        </xdr:from>
        <xdr:to>
          <xdr:col>8</xdr:col>
          <xdr:colOff>114300</xdr:colOff>
          <xdr:row>37</xdr:row>
          <xdr:rowOff>47625</xdr:rowOff>
        </xdr:to>
        <xdr:sp macro="" textlink="">
          <xdr:nvSpPr>
            <xdr:cNvPr id="2055" name="lstMatche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26550</xdr:colOff>
      <xdr:row>4</xdr:row>
      <xdr:rowOff>97230</xdr:rowOff>
    </xdr:from>
    <xdr:to>
      <xdr:col>11</xdr:col>
      <xdr:colOff>261257</xdr:colOff>
      <xdr:row>5</xdr:row>
      <xdr:rowOff>111884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D047BDC-6A54-DD3A-3891-0FA9D4AA9491}"/>
            </a:ext>
          </a:extLst>
        </xdr:cNvPr>
        <xdr:cNvSpPr/>
      </xdr:nvSpPr>
      <xdr:spPr>
        <a:xfrm>
          <a:off x="5082964" y="859230"/>
          <a:ext cx="996707" cy="205154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>
              <a:latin typeface="Rockwell Extra Bold" panose="02060903040505020403" pitchFamily="18" charset="0"/>
            </a:rPr>
            <a:t>HIGH VALUE</a:t>
          </a:r>
        </a:p>
      </xdr:txBody>
    </xdr:sp>
    <xdr:clientData/>
  </xdr:twoCellAnchor>
  <xdr:twoCellAnchor>
    <xdr:from>
      <xdr:col>11</xdr:col>
      <xdr:colOff>309466</xdr:colOff>
      <xdr:row>4</xdr:row>
      <xdr:rowOff>97276</xdr:rowOff>
    </xdr:from>
    <xdr:to>
      <xdr:col>15</xdr:col>
      <xdr:colOff>130628</xdr:colOff>
      <xdr:row>5</xdr:row>
      <xdr:rowOff>111930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17C628C-0D1E-4BDE-83BA-F4BF2644E8A6}"/>
            </a:ext>
          </a:extLst>
        </xdr:cNvPr>
        <xdr:cNvSpPr/>
      </xdr:nvSpPr>
      <xdr:spPr>
        <a:xfrm>
          <a:off x="6127880" y="859276"/>
          <a:ext cx="1143777" cy="205154"/>
        </a:xfrm>
        <a:prstGeom prst="round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700">
              <a:solidFill>
                <a:sysClr val="windowText" lastClr="000000"/>
              </a:solidFill>
              <a:latin typeface="Rockwell Extra Bold" panose="02060903040505020403" pitchFamily="18" charset="0"/>
            </a:rPr>
            <a:t>MODERATE RISK</a:t>
          </a:r>
        </a:p>
      </xdr:txBody>
    </xdr:sp>
    <xdr:clientData/>
  </xdr:twoCellAnchor>
  <xdr:twoCellAnchor>
    <xdr:from>
      <xdr:col>15</xdr:col>
      <xdr:colOff>184682</xdr:colOff>
      <xdr:row>4</xdr:row>
      <xdr:rowOff>96322</xdr:rowOff>
    </xdr:from>
    <xdr:to>
      <xdr:col>17</xdr:col>
      <xdr:colOff>378602</xdr:colOff>
      <xdr:row>5</xdr:row>
      <xdr:rowOff>110976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1117550D-ABDC-4952-9266-E6E6E60D9DC0}"/>
            </a:ext>
          </a:extLst>
        </xdr:cNvPr>
        <xdr:cNvSpPr/>
      </xdr:nvSpPr>
      <xdr:spPr>
        <a:xfrm>
          <a:off x="7325711" y="858322"/>
          <a:ext cx="955920" cy="20515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>
              <a:latin typeface="Rockwell Extra Bold" panose="02060903040505020403" pitchFamily="18" charset="0"/>
            </a:rPr>
            <a:t>NO BET</a:t>
          </a:r>
          <a:endParaRPr lang="en-GB" sz="1100">
            <a:latin typeface="Rockwell Extra Bold" panose="02060903040505020403" pitchFamily="18" charset="0"/>
          </a:endParaRPr>
        </a:p>
      </xdr:txBody>
    </xdr:sp>
    <xdr:clientData/>
  </xdr:twoCellAnchor>
  <xdr:twoCellAnchor editAs="oneCell">
    <xdr:from>
      <xdr:col>5</xdr:col>
      <xdr:colOff>570652</xdr:colOff>
      <xdr:row>0</xdr:row>
      <xdr:rowOff>38524</xdr:rowOff>
    </xdr:from>
    <xdr:to>
      <xdr:col>7</xdr:col>
      <xdr:colOff>502920</xdr:colOff>
      <xdr:row>5</xdr:row>
      <xdr:rowOff>80213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60F4F7-128A-2B03-030E-18F55616D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52" y="38524"/>
          <a:ext cx="1151468" cy="9941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9525</xdr:colOff>
      <xdr:row>10</xdr:row>
      <xdr:rowOff>19050</xdr:rowOff>
    </xdr:from>
    <xdr:to>
      <xdr:col>28</xdr:col>
      <xdr:colOff>466725</xdr:colOff>
      <xdr:row>24</xdr:row>
      <xdr:rowOff>57149</xdr:rowOff>
    </xdr:to>
    <xdr:sp macro="[0]!GENERATE_SLI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E36C2A-97A0-3CF3-DD2B-FD9527407FA8}"/>
            </a:ext>
          </a:extLst>
        </xdr:cNvPr>
        <xdr:cNvSpPr/>
      </xdr:nvSpPr>
      <xdr:spPr>
        <a:xfrm>
          <a:off x="10096500" y="1924050"/>
          <a:ext cx="1066800" cy="270509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n-GB" sz="1200">
              <a:latin typeface="Aharoni" panose="02010803020104030203" pitchFamily="2" charset="-79"/>
              <a:cs typeface="Aharoni" panose="02010803020104030203" pitchFamily="2" charset="-79"/>
            </a:rPr>
            <a:t>GENERATE SLIP</a:t>
          </a:r>
        </a:p>
      </xdr:txBody>
    </xdr:sp>
    <xdr:clientData/>
  </xdr:twoCellAnchor>
  <xdr:twoCellAnchor editAs="oneCell">
    <xdr:from>
      <xdr:col>24</xdr:col>
      <xdr:colOff>161925</xdr:colOff>
      <xdr:row>4</xdr:row>
      <xdr:rowOff>95250</xdr:rowOff>
    </xdr:from>
    <xdr:to>
      <xdr:col>28</xdr:col>
      <xdr:colOff>522818</xdr:colOff>
      <xdr:row>9</xdr:row>
      <xdr:rowOff>136939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532212-6553-4CAF-8638-B55E9BD87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857250"/>
          <a:ext cx="1151468" cy="994189"/>
        </a:xfrm>
        <a:prstGeom prst="rect">
          <a:avLst/>
        </a:prstGeom>
      </xdr:spPr>
    </xdr:pic>
    <xdr:clientData/>
  </xdr:twoCellAnchor>
  <xdr:twoCellAnchor>
    <xdr:from>
      <xdr:col>27</xdr:col>
      <xdr:colOff>19050</xdr:colOff>
      <xdr:row>24</xdr:row>
      <xdr:rowOff>180974</xdr:rowOff>
    </xdr:from>
    <xdr:to>
      <xdr:col>28</xdr:col>
      <xdr:colOff>476250</xdr:colOff>
      <xdr:row>28</xdr:row>
      <xdr:rowOff>190499</xdr:rowOff>
    </xdr:to>
    <xdr:sp macro="[0]!SG_ClearMatch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69D123-45E3-79A4-674A-B9194033E317}"/>
            </a:ext>
          </a:extLst>
        </xdr:cNvPr>
        <xdr:cNvSpPr/>
      </xdr:nvSpPr>
      <xdr:spPr>
        <a:xfrm>
          <a:off x="10106025" y="4752974"/>
          <a:ext cx="1066800" cy="771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DELETE</a:t>
          </a:r>
          <a:r>
            <a:rPr lang="en-GB" sz="1400" baseline="0">
              <a:solidFill>
                <a:sysClr val="windowText" lastClr="000000"/>
              </a:solidFill>
              <a:latin typeface="Aharoni" panose="02010803020104030203" pitchFamily="2" charset="-79"/>
              <a:cs typeface="Aharoni" panose="02010803020104030203" pitchFamily="2" charset="-79"/>
            </a:rPr>
            <a:t> MATCH LIST</a:t>
          </a:r>
          <a:endParaRPr lang="en-GB" sz="14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27</xdr:col>
      <xdr:colOff>19050</xdr:colOff>
      <xdr:row>29</xdr:row>
      <xdr:rowOff>142875</xdr:rowOff>
    </xdr:from>
    <xdr:to>
      <xdr:col>28</xdr:col>
      <xdr:colOff>476250</xdr:colOff>
      <xdr:row>33</xdr:row>
      <xdr:rowOff>85725</xdr:rowOff>
    </xdr:to>
    <xdr:sp macro="[0]!SG_ClearGeneratedSli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898128F-890E-485B-A23F-3B2364B1035C}"/>
            </a:ext>
          </a:extLst>
        </xdr:cNvPr>
        <xdr:cNvSpPr/>
      </xdr:nvSpPr>
      <xdr:spPr>
        <a:xfrm>
          <a:off x="10106025" y="5667375"/>
          <a:ext cx="1066800" cy="7048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haroni" panose="02010803020104030203" pitchFamily="2" charset="-79"/>
              <a:cs typeface="Aharoni" panose="02010803020104030203" pitchFamily="2" charset="-79"/>
            </a:rPr>
            <a:t>RESET GENERATED SLIP</a:t>
          </a:r>
          <a:endParaRPr lang="en-GB" sz="1100">
            <a:solidFill>
              <a:sysClr val="windowText" lastClr="00000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10914257-1C1D-4046-8147-ADE4FD2F9A67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CF1599B6-FE19-40F5-B025-71D8BF75E822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8A535F8-780C-4FE2-8FE7-339AD91C065B}" autoFormatId="16" applyNumberFormats="0" applyBorderFormats="0" applyFontFormats="0" applyPatternFormats="0" applyAlignmentFormats="0" applyWidthHeightFormats="0">
  <queryTableRefresh nextId="9">
    <queryTableFields count="8">
      <queryTableField id="1" name="fixture_id" tableColumnId="1"/>
      <queryTableField id="2" name="fixture_date" tableColumnId="2"/>
      <queryTableField id="3" name="status_long" tableColumnId="3"/>
      <queryTableField id="4" name="league_country" tableColumnId="4"/>
      <queryTableField id="5" name="league_name" tableColumnId="5"/>
      <queryTableField id="6" name="home_name" tableColumnId="6"/>
      <queryTableField id="7" name="away_name" tableColumnId="7"/>
      <queryTableField id="8" name="Display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5B50563F-8572-4E9B-A591-719F738163A2}" autoFormatId="16" applyNumberFormats="0" applyBorderFormats="0" applyFontFormats="0" applyPatternFormats="0" applyAlignmentFormats="0" applyWidthHeightFormats="0">
  <queryTableRefresh nextId="21">
    <queryTableFields count="11">
      <queryTableField id="1" name="rank" tableColumnId="1"/>
      <queryTableField id="2" name="team_name" tableColumnId="2"/>
      <queryTableField id="6" name="all_played" tableColumnId="6"/>
      <queryTableField id="7" name="all_win" tableColumnId="7"/>
      <queryTableField id="8" name="all_draw" tableColumnId="8"/>
      <queryTableField id="9" name="all_lose" tableColumnId="9"/>
      <queryTableField id="10" name="all_gf" tableColumnId="10"/>
      <queryTableField id="11" name="all_ga" tableColumnId="11"/>
      <queryTableField id="12" name="goalsDiff" tableColumnId="12"/>
      <queryTableField id="5" name="points" tableColumnId="5"/>
      <queryTableField id="4" name="form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27364DBB-DE33-4FD0-8B02-18585FAFA46D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CF03A4C5-59D1-4513-9370-26F694DF5160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1E189DD8-F616-421A-A28B-48B604648AF3}" autoFormatId="16" applyNumberFormats="0" applyBorderFormats="0" applyFontFormats="0" applyPatternFormats="0" applyAlignmentFormats="0" applyWidthHeightFormats="0">
  <queryTableRefresh nextId="53">
    <queryTableFields count="52">
      <queryTableField id="1" name="fixture_id" tableColumnId="1"/>
      <queryTableField id="2" name="kickoff" tableColumnId="2"/>
      <queryTableField id="3" name="league_country" tableColumnId="3"/>
      <queryTableField id="4" name="league_name" tableColumnId="4"/>
      <queryTableField id="5" name="home_logo" tableColumnId="5"/>
      <queryTableField id="6" name="home_name" tableColumnId="6"/>
      <queryTableField id="7" name="away_logo" tableColumnId="7"/>
      <queryTableField id="8" name="opponent" tableColumnId="8"/>
      <queryTableField id="9" name="league_logo" tableColumnId="9"/>
      <queryTableField id="10" name="league_flag" tableColumnId="10"/>
      <queryTableField id="11" name="home_goals" tableColumnId="11"/>
      <queryTableField id="12" name="away_goals" tableColumnId="12"/>
      <queryTableField id="13" name="ht_home" tableColumnId="13"/>
      <queryTableField id="14" name="ht_away" tableColumnId="14"/>
      <queryTableField id="15" name="ft_home" tableColumnId="15"/>
      <queryTableField id="16" name="ft_away" tableColumnId="16"/>
      <queryTableField id="17" name="Home_ShotsOnGoal" tableColumnId="17"/>
      <queryTableField id="18" name="Away_ShotsOnGoal" tableColumnId="18"/>
      <queryTableField id="19" name="Home_ShotsOffGoal" tableColumnId="19"/>
      <queryTableField id="20" name="Away_ShotsOffGoal" tableColumnId="20"/>
      <queryTableField id="21" name="Home_TotalShots" tableColumnId="21"/>
      <queryTableField id="22" name="Away_TotalShots" tableColumnId="22"/>
      <queryTableField id="23" name="Home_BlockedShots" tableColumnId="23"/>
      <queryTableField id="24" name="Away_BlockedShots" tableColumnId="24"/>
      <queryTableField id="25" name="Home_ShotsInsideBox" tableColumnId="25"/>
      <queryTableField id="26" name="Away_ShotsInsideBox" tableColumnId="26"/>
      <queryTableField id="27" name="Home_ShotsOutsideBox" tableColumnId="27"/>
      <queryTableField id="28" name="Away_ShotsOutsideBox" tableColumnId="28"/>
      <queryTableField id="29" name="Home_Fouls" tableColumnId="29"/>
      <queryTableField id="30" name="Away_Fouls" tableColumnId="30"/>
      <queryTableField id="31" name="Home_CornerKicks" tableColumnId="31"/>
      <queryTableField id="32" name="Away_CornerKicks" tableColumnId="32"/>
      <queryTableField id="33" name="Home_Offsides" tableColumnId="33"/>
      <queryTableField id="34" name="Away_Offsides" tableColumnId="34"/>
      <queryTableField id="35" name="Home_BallPossession" tableColumnId="35"/>
      <queryTableField id="36" name="Away_BallPossession" tableColumnId="36"/>
      <queryTableField id="37" name="Home_YellowCards" tableColumnId="37"/>
      <queryTableField id="38" name="Away_YellowCards" tableColumnId="38"/>
      <queryTableField id="39" name="Home_RedCards" tableColumnId="39"/>
      <queryTableField id="40" name="Away_RedCards" tableColumnId="40"/>
      <queryTableField id="41" name="Home_GoalkeeperSaves" tableColumnId="41"/>
      <queryTableField id="42" name="Away_GoalkeeperSaves" tableColumnId="42"/>
      <queryTableField id="43" name="Home_TotalPasses" tableColumnId="43"/>
      <queryTableField id="44" name="Away_TotalPasses" tableColumnId="44"/>
      <queryTableField id="45" name="Home_PassesAccurate" tableColumnId="45"/>
      <queryTableField id="46" name="Away_PassesAccurate" tableColumnId="46"/>
      <queryTableField id="47" name="Home_PassesPct" tableColumnId="47"/>
      <queryTableField id="48" name="Away_PassesPct" tableColumnId="48"/>
      <queryTableField id="49" name="Home_ExpectedGoals" tableColumnId="49"/>
      <queryTableField id="50" name="Away_ExpectedGoals" tableColumnId="50"/>
      <queryTableField id="51" name="Home_GoalsPrevented" tableColumnId="51"/>
      <queryTableField id="52" name="Away_GoalsPrevented" tableColumnId="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7E095-C51D-4793-B89C-81427143213A}" name="Q_Fixtures_Prematch_Today" displayName="Q_Fixtures_Prematch_Today" ref="A1:H1685" tableType="queryTable" totalsRowShown="0">
  <autoFilter ref="A1:H1685" xr:uid="{70D7E095-C51D-4793-B89C-81427143213A}"/>
  <tableColumns count="8">
    <tableColumn id="1" xr3:uid="{9A543A52-8AC5-4E2B-9F02-328A33C9D0B6}" uniqueName="1" name="fixture_id" queryTableFieldId="1"/>
    <tableColumn id="2" xr3:uid="{0F512E45-7A00-4E35-AD1E-09794EF05000}" uniqueName="2" name="fixture_date" queryTableFieldId="2" dataDxfId="67"/>
    <tableColumn id="3" xr3:uid="{6ECCAC44-BCC2-49E9-8CE7-8A7F2B7716E5}" uniqueName="3" name="status_long" queryTableFieldId="3"/>
    <tableColumn id="4" xr3:uid="{6FBB96B1-2A75-4FB2-B59A-5B7CC6131399}" uniqueName="4" name="league_country" queryTableFieldId="4"/>
    <tableColumn id="5" xr3:uid="{E2B85908-F034-4A4C-AD6C-FDB8A7BC80A9}" uniqueName="5" name="league_name" queryTableFieldId="5"/>
    <tableColumn id="6" xr3:uid="{6E4263DD-E908-4F36-A5F6-4968415D575E}" uniqueName="6" name="home_name" queryTableFieldId="6"/>
    <tableColumn id="7" xr3:uid="{97EBAEE5-BD54-4EE8-80C7-74E1110F186C}" uniqueName="7" name="away_name" queryTableFieldId="7"/>
    <tableColumn id="8" xr3:uid="{73A6498D-3346-431A-8039-C95D942484C3}" uniqueName="8" name="Display" queryTableFieldId="8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2C130C-3C90-48E6-A68F-4558F2C1FD59}" name="Q_Fixtures_Prematch_Tomorrow" displayName="Q_Fixtures_Prematch_Tomorrow" ref="A1:H1700" tableType="queryTable" totalsRowShown="0">
  <autoFilter ref="A1:H1700" xr:uid="{F52C130C-3C90-48E6-A68F-4558F2C1FD59}"/>
  <tableColumns count="8">
    <tableColumn id="1" xr3:uid="{66C5E7EE-786D-42FC-8B3D-443F0EBA50C7}" uniqueName="1" name="fixture_id" queryTableFieldId="1"/>
    <tableColumn id="2" xr3:uid="{E48ED6E4-E52F-4415-9789-2BD3738A6659}" uniqueName="2" name="fixture_date" queryTableFieldId="2" dataDxfId="1"/>
    <tableColumn id="3" xr3:uid="{C15A7323-15A2-4543-A07A-4E92E24FE53E}" uniqueName="3" name="status_long" queryTableFieldId="3"/>
    <tableColumn id="4" xr3:uid="{8B2AF35D-9105-4E72-A321-3FB74A404293}" uniqueName="4" name="league_country" queryTableFieldId="4"/>
    <tableColumn id="5" xr3:uid="{D21F67FC-9573-445F-A93B-B592D2FFB912}" uniqueName="5" name="league_name" queryTableFieldId="5"/>
    <tableColumn id="6" xr3:uid="{651D6F3C-A92E-49FF-93E2-3DC8A6328310}" uniqueName="6" name="home_name" queryTableFieldId="6"/>
    <tableColumn id="7" xr3:uid="{8CDAE258-45EC-4559-BE4D-F5F2EFF3A1D8}" uniqueName="7" name="away_name" queryTableFieldId="7"/>
    <tableColumn id="8" xr3:uid="{34A68761-F099-4A6F-BCE5-C6B5FA87AFAE}" uniqueName="8" name="Display" queryTableFieldId="8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4741F1-41D3-4663-AFDE-D9D93481611F}" name="Q_Fixtures_Prematch_DayAfter" displayName="Q_Fixtures_Prematch_DayAfter" ref="A1:H1237" tableType="queryTable" totalsRowShown="0">
  <autoFilter ref="A1:H1237" xr:uid="{744741F1-41D3-4663-AFDE-D9D93481611F}"/>
  <tableColumns count="8">
    <tableColumn id="1" xr3:uid="{C09D9F29-F771-41A6-B766-02E6D18FE546}" uniqueName="1" name="fixture_id" queryTableFieldId="1"/>
    <tableColumn id="2" xr3:uid="{FC3BDABC-33A9-4633-AE11-96561AE4AC0A}" uniqueName="2" name="fixture_date" queryTableFieldId="2" dataDxfId="3"/>
    <tableColumn id="3" xr3:uid="{D332108F-8EA2-4047-8901-1E14763C5D34}" uniqueName="3" name="status_long" queryTableFieldId="3"/>
    <tableColumn id="4" xr3:uid="{D612039F-F916-4FE8-895F-110752BE5B7D}" uniqueName="4" name="league_country" queryTableFieldId="4"/>
    <tableColumn id="5" xr3:uid="{B3D6AD61-2B1D-43D7-BDBA-6BE13AB7F512}" uniqueName="5" name="league_name" queryTableFieldId="5"/>
    <tableColumn id="6" xr3:uid="{FEB15CA4-C10E-49C6-B5A4-AF554FE16C3B}" uniqueName="6" name="home_name" queryTableFieldId="6"/>
    <tableColumn id="7" xr3:uid="{63E4377F-14AC-4484-8FDA-634C7BCF9C05}" uniqueName="7" name="away_name" queryTableFieldId="7"/>
    <tableColumn id="8" xr3:uid="{E14C4392-ED05-451F-A8FA-EB4DE82B1CA5}" uniqueName="8" name="Display" queryTableFieldId="8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CD37FB-8366-4474-9D67-151B41DD5AC1}" name="tblStandings" displayName="tblStandings" ref="A1:K25" tableType="queryTable" totalsRowShown="0">
  <autoFilter ref="A1:K25" xr:uid="{3ACD37FB-8366-4474-9D67-151B41DD5AC1}"/>
  <tableColumns count="11">
    <tableColumn id="1" xr3:uid="{83B8683A-64E8-44DB-8AA3-CE2C83CD5FF1}" uniqueName="1" name="rank" queryTableFieldId="1"/>
    <tableColumn id="2" xr3:uid="{3FD8E6BA-FF58-41F7-946B-B0888EE73D80}" uniqueName="2" name="team_name" queryTableFieldId="2"/>
    <tableColumn id="6" xr3:uid="{48EF7F1A-1FC8-445F-ABED-0935059C4782}" uniqueName="6" name="all_played" queryTableFieldId="6"/>
    <tableColumn id="7" xr3:uid="{73BFD0ED-B6DA-48CC-8C95-E5F497F18692}" uniqueName="7" name="all_win" queryTableFieldId="7"/>
    <tableColumn id="8" xr3:uid="{AA02E5A7-DA75-44A5-A308-BED6457291AC}" uniqueName="8" name="all_draw" queryTableFieldId="8"/>
    <tableColumn id="9" xr3:uid="{3B5E3853-D55A-44B6-B7E9-0CCBA99F8AA2}" uniqueName="9" name="all_lose" queryTableFieldId="9"/>
    <tableColumn id="10" xr3:uid="{5102913F-5774-4FEC-8641-B5C6DAA0F582}" uniqueName="10" name="all_gf" queryTableFieldId="10"/>
    <tableColumn id="11" xr3:uid="{3651A523-2E07-4AA8-A1AF-9B313B7238BF}" uniqueName="11" name="all_ga" queryTableFieldId="11"/>
    <tableColumn id="12" xr3:uid="{636D294C-FFBB-4D63-97C9-10DAB5F36EFB}" uniqueName="12" name="goalsDiff" queryTableFieldId="12"/>
    <tableColumn id="5" xr3:uid="{B176D666-A6B6-44DB-8E62-237C1793986A}" uniqueName="5" name="points" queryTableFieldId="5"/>
    <tableColumn id="4" xr3:uid="{89B6E883-1497-43B3-B92A-9656B36D5650}" uniqueName="4" name="form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D675BF-F358-481D-86AB-FED80F03A1FB}" name="Q_Last10Home_Stats_All" displayName="Q_Last10Home_Stats_All" ref="A1:AZ11" tableType="queryTable" totalsRowShown="0">
  <autoFilter ref="A1:AZ11" xr:uid="{B6D675BF-F358-481D-86AB-FED80F03A1FB}"/>
  <tableColumns count="52">
    <tableColumn id="1" xr3:uid="{4B8B698F-74FD-43B2-8342-FFA7D9DA80FB}" uniqueName="1" name="fixture_id" queryTableFieldId="1"/>
    <tableColumn id="2" xr3:uid="{0DE1E7F5-191E-46D3-8C67-0F8727E96AE6}" uniqueName="2" name="kickoff" queryTableFieldId="2"/>
    <tableColumn id="3" xr3:uid="{4095FAE2-D8E9-4036-ACD2-D232242DD224}" uniqueName="3" name="league_country" queryTableFieldId="3"/>
    <tableColumn id="4" xr3:uid="{98DA83E2-2F64-4194-938C-222694A01FBA}" uniqueName="4" name="league_name" queryTableFieldId="4"/>
    <tableColumn id="5" xr3:uid="{EF1ABB13-F39B-4A62-BA02-D84ADE22ECB3}" uniqueName="5" name="home_logo" queryTableFieldId="5"/>
    <tableColumn id="6" xr3:uid="{254356B0-6514-413E-867A-41429968FAD0}" uniqueName="6" name="home_name" queryTableFieldId="6"/>
    <tableColumn id="7" xr3:uid="{B9222945-9B26-4816-B287-27F7334447CF}" uniqueName="7" name="away_logo" queryTableFieldId="7"/>
    <tableColumn id="8" xr3:uid="{B9998205-545A-4129-A946-057C9462F95B}" uniqueName="8" name="opponent" queryTableFieldId="8"/>
    <tableColumn id="9" xr3:uid="{5EAD9360-5617-4412-8CED-17CFA3C31CC2}" uniqueName="9" name="league_logo" queryTableFieldId="9"/>
    <tableColumn id="10" xr3:uid="{7929DD70-5953-4B8B-ACB8-04D9AEBA8629}" uniqueName="10" name="league_flag" queryTableFieldId="10"/>
    <tableColumn id="11" xr3:uid="{42A76E50-5D3C-41AB-A1CD-2ED2893FC9BF}" uniqueName="11" name="home_goals" queryTableFieldId="11"/>
    <tableColumn id="12" xr3:uid="{1DD5EC5B-09EE-4560-B0B4-878A25C8A9D5}" uniqueName="12" name="away_goals" queryTableFieldId="12"/>
    <tableColumn id="13" xr3:uid="{A5D418CD-6CB2-41E4-937D-263D69B27F3C}" uniqueName="13" name="ht_home" queryTableFieldId="13"/>
    <tableColumn id="14" xr3:uid="{61879A74-71C4-4A25-84B8-94853DE617F0}" uniqueName="14" name="ht_away" queryTableFieldId="14"/>
    <tableColumn id="15" xr3:uid="{61CD373E-7EAB-4B6C-A718-BADDA989CB7B}" uniqueName="15" name="ft_home" queryTableFieldId="15"/>
    <tableColumn id="16" xr3:uid="{6B4A20A9-1677-4029-8FA4-1398588ED1C6}" uniqueName="16" name="ft_away" queryTableFieldId="16"/>
    <tableColumn id="17" xr3:uid="{FF87E580-D2D1-4CB8-843A-84B3920787DD}" uniqueName="17" name="Home_ShotsOnGoal" queryTableFieldId="17"/>
    <tableColumn id="18" xr3:uid="{4572694C-303B-4E6B-B657-1EC6A3C9A4A4}" uniqueName="18" name="Away_ShotsOnGoal" queryTableFieldId="18"/>
    <tableColumn id="19" xr3:uid="{E53AF8AD-CD98-4562-B4BE-A25845A42586}" uniqueName="19" name="Home_ShotsOffGoal" queryTableFieldId="19"/>
    <tableColumn id="20" xr3:uid="{11B4B3C2-ABA5-4F39-937A-26CD08AC399A}" uniqueName="20" name="Away_ShotsOffGoal" queryTableFieldId="20"/>
    <tableColumn id="21" xr3:uid="{18CFF873-1A55-4267-B306-86917C3A41E1}" uniqueName="21" name="Home_TotalShots" queryTableFieldId="21"/>
    <tableColumn id="22" xr3:uid="{0C420069-C78E-44B9-9BED-8207F37B01C4}" uniqueName="22" name="Away_TotalShots" queryTableFieldId="22"/>
    <tableColumn id="23" xr3:uid="{464C752F-D84C-46B0-8BFF-D101EBB59293}" uniqueName="23" name="Home_BlockedShots" queryTableFieldId="23"/>
    <tableColumn id="24" xr3:uid="{0887DE4A-1323-42D3-99C0-A4E16CFF46C8}" uniqueName="24" name="Away_BlockedShots" queryTableFieldId="24"/>
    <tableColumn id="25" xr3:uid="{28E79655-F5F6-4C1B-80F5-2ADAF868F0FE}" uniqueName="25" name="Home_ShotsInsideBox" queryTableFieldId="25"/>
    <tableColumn id="26" xr3:uid="{AFE3142B-1B58-4FFF-A921-E92C0A2972C1}" uniqueName="26" name="Away_ShotsInsideBox" queryTableFieldId="26"/>
    <tableColumn id="27" xr3:uid="{67E30742-DDAC-42AC-8B38-C53B111E2319}" uniqueName="27" name="Home_ShotsOutsideBox" queryTableFieldId="27"/>
    <tableColumn id="28" xr3:uid="{BB4B7D27-F2E7-4290-8A82-E0A4AAD2CBC4}" uniqueName="28" name="Away_ShotsOutsideBox" queryTableFieldId="28"/>
    <tableColumn id="29" xr3:uid="{D343035B-3066-43CF-BFD6-BE3BCB3A8ED6}" uniqueName="29" name="Home_Fouls" queryTableFieldId="29"/>
    <tableColumn id="30" xr3:uid="{E78321D0-3419-40B0-99C9-FE2419D1E390}" uniqueName="30" name="Away_Fouls" queryTableFieldId="30"/>
    <tableColumn id="31" xr3:uid="{C1A3BDE2-3B84-44A0-B42B-0BF29C7E10ED}" uniqueName="31" name="Home_CornerKicks" queryTableFieldId="31"/>
    <tableColumn id="32" xr3:uid="{01464BC4-3B1F-4389-98B3-93FFDB4D424D}" uniqueName="32" name="Away_CornerKicks" queryTableFieldId="32"/>
    <tableColumn id="33" xr3:uid="{FBB909BA-57ED-4802-AE2F-9C61A827F9D0}" uniqueName="33" name="Home_Offsides" queryTableFieldId="33"/>
    <tableColumn id="34" xr3:uid="{282F22EC-A87A-48B2-9C76-B4FA13BD50C8}" uniqueName="34" name="Away_Offsides" queryTableFieldId="34"/>
    <tableColumn id="35" xr3:uid="{9A57E6CE-9FBA-4834-8FE6-7D4DCA6C05C0}" uniqueName="35" name="Home_BallPossession" queryTableFieldId="35"/>
    <tableColumn id="36" xr3:uid="{8FCADF99-C935-4428-B1CA-1A12305D2707}" uniqueName="36" name="Away_BallPossession" queryTableFieldId="36"/>
    <tableColumn id="37" xr3:uid="{9F12D231-1FC5-4DF5-81EB-CFDF2D837942}" uniqueName="37" name="Home_YellowCards" queryTableFieldId="37"/>
    <tableColumn id="38" xr3:uid="{4C3EE175-CD8A-4632-9E9C-9022D848229C}" uniqueName="38" name="Away_YellowCards" queryTableFieldId="38"/>
    <tableColumn id="39" xr3:uid="{61ACF331-626B-4A21-B373-BC75ABD5E4D6}" uniqueName="39" name="Home_RedCards" queryTableFieldId="39"/>
    <tableColumn id="40" xr3:uid="{B9B809EF-1204-4E65-86A1-C6C5A80C1C53}" uniqueName="40" name="Away_RedCards" queryTableFieldId="40"/>
    <tableColumn id="41" xr3:uid="{739E5280-C947-4308-A5B6-5A97371D4718}" uniqueName="41" name="Home_GoalkeeperSaves" queryTableFieldId="41"/>
    <tableColumn id="42" xr3:uid="{8512DAA7-0C58-4B06-BD0A-CBC45E7BE0D2}" uniqueName="42" name="Away_GoalkeeperSaves" queryTableFieldId="42"/>
    <tableColumn id="43" xr3:uid="{EC4E1756-2DA7-457B-88A8-4FDB069B4E17}" uniqueName="43" name="Home_TotalPasses" queryTableFieldId="43"/>
    <tableColumn id="44" xr3:uid="{52408809-D440-4A59-B05E-F7A81C561457}" uniqueName="44" name="Away_TotalPasses" queryTableFieldId="44"/>
    <tableColumn id="45" xr3:uid="{C6466907-0FC8-4B3F-BCBD-5C80FA59B860}" uniqueName="45" name="Home_PassesAccurate" queryTableFieldId="45"/>
    <tableColumn id="46" xr3:uid="{295F9701-332D-4C35-A6A3-0C9A10F675B4}" uniqueName="46" name="Away_PassesAccurate" queryTableFieldId="46"/>
    <tableColumn id="47" xr3:uid="{B7D2DFF6-40A6-46D6-9782-2D18BD6D8353}" uniqueName="47" name="Home_PassesPct" queryTableFieldId="47"/>
    <tableColumn id="48" xr3:uid="{7E7754EC-70A8-4BC6-BFA0-817319747F70}" uniqueName="48" name="Away_PassesPct" queryTableFieldId="48"/>
    <tableColumn id="49" xr3:uid="{50367B3F-B506-4430-91D3-96CF9E5305E7}" uniqueName="49" name="Home_ExpectedGoals" queryTableFieldId="49"/>
    <tableColumn id="50" xr3:uid="{0BF2D973-CCF9-4EC6-960A-0EA3A77A7E70}" uniqueName="50" name="Away_ExpectedGoals" queryTableFieldId="50"/>
    <tableColumn id="51" xr3:uid="{97B860BB-7761-491C-AF2D-A20C72D12A84}" uniqueName="51" name="Home_GoalsPrevented" queryTableFieldId="51"/>
    <tableColumn id="52" xr3:uid="{2F35D92A-FD02-4A39-B388-15B60943A64D}" uniqueName="52" name="Away_GoalsPrevented" queryTableField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7332FF-575E-451F-8366-D43097C7442D}" name="Q_Last10Away_Stats_All" displayName="Q_Last10Away_Stats_All" ref="A1:AZ11" tableType="queryTable" totalsRowShown="0">
  <autoFilter ref="A1:AZ11" xr:uid="{4A7332FF-575E-451F-8366-D43097C7442D}"/>
  <tableColumns count="52">
    <tableColumn id="1" xr3:uid="{95E3BFD9-27C7-4877-A8F8-643E2949FE21}" uniqueName="1" name="fixture_id" queryTableFieldId="1"/>
    <tableColumn id="2" xr3:uid="{FC85BCAD-3B77-49E9-8B63-C4A0C5E994E7}" uniqueName="2" name="kickoff" queryTableFieldId="2"/>
    <tableColumn id="3" xr3:uid="{5A3DBB87-7AF3-4DC7-9B1F-0D73D9D570AB}" uniqueName="3" name="league_country" queryTableFieldId="3"/>
    <tableColumn id="4" xr3:uid="{866DA35E-FCCC-40FB-AF1C-6BCDECC2B197}" uniqueName="4" name="league_name" queryTableFieldId="4"/>
    <tableColumn id="5" xr3:uid="{2B72BE25-26BF-4805-9F2D-661145D54DBE}" uniqueName="5" name="home_logo" queryTableFieldId="5"/>
    <tableColumn id="6" xr3:uid="{89827BD2-2AC3-4AF1-B830-9854E39FF9F5}" uniqueName="6" name="home_name" queryTableFieldId="6"/>
    <tableColumn id="7" xr3:uid="{074534D8-9A8E-4B8E-998C-F76F0E2C2D04}" uniqueName="7" name="away_logo" queryTableFieldId="7"/>
    <tableColumn id="8" xr3:uid="{EF330BE3-F44B-445D-B61F-BB82B501EC81}" uniqueName="8" name="opponent" queryTableFieldId="8"/>
    <tableColumn id="9" xr3:uid="{FB2FC1ED-1F10-4A35-9FAE-A6EC41D15B18}" uniqueName="9" name="league_logo" queryTableFieldId="9"/>
    <tableColumn id="10" xr3:uid="{3B34534C-CD24-45D9-BCAE-FA7305355C0A}" uniqueName="10" name="league_flag" queryTableFieldId="10"/>
    <tableColumn id="11" xr3:uid="{B6C123E6-76A7-467E-AE6E-188035E2F4DA}" uniqueName="11" name="home_goals" queryTableFieldId="11"/>
    <tableColumn id="12" xr3:uid="{CD0679F1-0471-4D0A-AA03-34CE49FB597E}" uniqueName="12" name="away_goals" queryTableFieldId="12"/>
    <tableColumn id="13" xr3:uid="{556CD797-17FC-4611-91E7-D8F8367638F6}" uniqueName="13" name="ht_home" queryTableFieldId="13"/>
    <tableColumn id="14" xr3:uid="{2C894C3E-F303-417F-BC41-F90FBF06603C}" uniqueName="14" name="ht_away" queryTableFieldId="14"/>
    <tableColumn id="15" xr3:uid="{F7A54810-CF28-491F-81DF-5DB661D033B1}" uniqueName="15" name="ft_home" queryTableFieldId="15"/>
    <tableColumn id="16" xr3:uid="{3EE93061-5BD2-49F2-8A17-41E6515E5E34}" uniqueName="16" name="ft_away" queryTableFieldId="16"/>
    <tableColumn id="17" xr3:uid="{787F6500-74D7-4EF4-A029-6C76B979F457}" uniqueName="17" name="Home_ShotsOnGoal" queryTableFieldId="17"/>
    <tableColumn id="18" xr3:uid="{9DC70AA4-0531-4413-94A4-2E8BC86B15AB}" uniqueName="18" name="Away_ShotsOnGoal" queryTableFieldId="18"/>
    <tableColumn id="19" xr3:uid="{3077CF56-CCD3-47E7-A5B1-3C8D54880AA2}" uniqueName="19" name="Home_ShotsOffGoal" queryTableFieldId="19"/>
    <tableColumn id="20" xr3:uid="{AD0ADF23-5F89-4509-9024-255A6BDEA406}" uniqueName="20" name="Away_ShotsOffGoal" queryTableFieldId="20"/>
    <tableColumn id="21" xr3:uid="{5CC61270-DBD0-42BB-80DD-482B6C9D8413}" uniqueName="21" name="Home_TotalShots" queryTableFieldId="21"/>
    <tableColumn id="22" xr3:uid="{98FE4865-A24E-4EB7-981E-09B5426A1A34}" uniqueName="22" name="Away_TotalShots" queryTableFieldId="22"/>
    <tableColumn id="23" xr3:uid="{CC583B7C-83B0-4ABC-B7F8-6EF99F383FFE}" uniqueName="23" name="Home_BlockedShots" queryTableFieldId="23"/>
    <tableColumn id="24" xr3:uid="{E4FCB737-999C-49BF-AB09-937F15698C0F}" uniqueName="24" name="Away_BlockedShots" queryTableFieldId="24"/>
    <tableColumn id="25" xr3:uid="{6658163C-FD1F-4AA0-B010-CFCBA6FC52E7}" uniqueName="25" name="Home_ShotsInsideBox" queryTableFieldId="25"/>
    <tableColumn id="26" xr3:uid="{65893342-35FD-455A-BB53-9968F89FC93F}" uniqueName="26" name="Away_ShotsInsideBox" queryTableFieldId="26"/>
    <tableColumn id="27" xr3:uid="{6CAF2335-6D81-4DE5-845F-1DED044F92FA}" uniqueName="27" name="Home_ShotsOutsideBox" queryTableFieldId="27"/>
    <tableColumn id="28" xr3:uid="{51C9B50E-CDFA-44EE-A1DA-D9B3C097E5C6}" uniqueName="28" name="Away_ShotsOutsideBox" queryTableFieldId="28"/>
    <tableColumn id="29" xr3:uid="{5004CE12-1355-4BB1-81AD-8BA676A8B0FF}" uniqueName="29" name="Home_Fouls" queryTableFieldId="29"/>
    <tableColumn id="30" xr3:uid="{3EF429CC-8F88-44BB-8959-ABD373AE5AE1}" uniqueName="30" name="Away_Fouls" queryTableFieldId="30"/>
    <tableColumn id="31" xr3:uid="{77EAF0F5-FBFF-4FC0-A7EE-F3BFA5D01D83}" uniqueName="31" name="Home_CornerKicks" queryTableFieldId="31"/>
    <tableColumn id="32" xr3:uid="{03D6E6FE-ABAE-40D1-BEAD-19498116838D}" uniqueName="32" name="Away_CornerKicks" queryTableFieldId="32"/>
    <tableColumn id="33" xr3:uid="{FEFE9795-6D51-4D7E-A3FA-E238CFE217E0}" uniqueName="33" name="Home_Offsides" queryTableFieldId="33"/>
    <tableColumn id="34" xr3:uid="{E4097B51-E0CE-46DC-9FBE-1E9AEDF80D79}" uniqueName="34" name="Away_Offsides" queryTableFieldId="34"/>
    <tableColumn id="35" xr3:uid="{1CC6DCA6-F6D3-4FF5-BD7D-6BA527F59CE4}" uniqueName="35" name="Home_BallPossession" queryTableFieldId="35"/>
    <tableColumn id="36" xr3:uid="{09DB94C3-1A80-44C4-9996-691803868BBD}" uniqueName="36" name="Away_BallPossession" queryTableFieldId="36"/>
    <tableColumn id="37" xr3:uid="{54680E3A-8622-4AF4-8BAA-FF0EE8A6C5E8}" uniqueName="37" name="Home_YellowCards" queryTableFieldId="37"/>
    <tableColumn id="38" xr3:uid="{EBD3B390-3D62-4280-8662-573DAC44287E}" uniqueName="38" name="Away_YellowCards" queryTableFieldId="38"/>
    <tableColumn id="39" xr3:uid="{0E115CF7-DD13-4AC4-AA71-9539054351AB}" uniqueName="39" name="Home_RedCards" queryTableFieldId="39"/>
    <tableColumn id="40" xr3:uid="{BDBAF835-2B08-4D82-9635-794CD8093CD3}" uniqueName="40" name="Away_RedCards" queryTableFieldId="40"/>
    <tableColumn id="41" xr3:uid="{B25FA127-794F-4D8B-B169-C66A28687EF6}" uniqueName="41" name="Home_GoalkeeperSaves" queryTableFieldId="41"/>
    <tableColumn id="42" xr3:uid="{29BEEFA4-EDB0-424C-8C44-F1A9B34DE822}" uniqueName="42" name="Away_GoalkeeperSaves" queryTableFieldId="42"/>
    <tableColumn id="43" xr3:uid="{1D3EC6BD-6A8E-4E43-86D2-3F3160F0787F}" uniqueName="43" name="Home_TotalPasses" queryTableFieldId="43"/>
    <tableColumn id="44" xr3:uid="{B40B2606-2AAA-4E77-BAB6-6F480511DDB8}" uniqueName="44" name="Away_TotalPasses" queryTableFieldId="44"/>
    <tableColumn id="45" xr3:uid="{2A9C80ED-4FBF-4D45-847E-AF2D7F2EED3F}" uniqueName="45" name="Home_PassesAccurate" queryTableFieldId="45"/>
    <tableColumn id="46" xr3:uid="{C4114866-F506-471E-949E-ED043EE6FC38}" uniqueName="46" name="Away_PassesAccurate" queryTableFieldId="46"/>
    <tableColumn id="47" xr3:uid="{47CD640B-1046-4659-9B95-32D85C5B3E17}" uniqueName="47" name="Home_PassesPct" queryTableFieldId="47"/>
    <tableColumn id="48" xr3:uid="{B7B23CFC-C9FB-4AC1-A99C-6D47EDD9CC1E}" uniqueName="48" name="Away_PassesPct" queryTableFieldId="48"/>
    <tableColumn id="49" xr3:uid="{444BF43E-18A7-4A0D-B507-BA650DD89CA9}" uniqueName="49" name="Home_ExpectedGoals" queryTableFieldId="49"/>
    <tableColumn id="50" xr3:uid="{D7936EE2-AF4D-4469-8EAA-9B93A1ED1D9B}" uniqueName="50" name="Away_ExpectedGoals" queryTableFieldId="50"/>
    <tableColumn id="51" xr3:uid="{8A322C31-4931-460D-9BFC-AFC8ACEA3E21}" uniqueName="51" name="Home_GoalsPrevented" queryTableFieldId="51"/>
    <tableColumn id="52" xr3:uid="{98F6BF41-EC7D-461A-AFF9-4DD56D9ABF9D}" uniqueName="52" name="Away_GoalsPrevented" queryTableField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C412EF2-D7ED-4779-92C1-B660C01DA49C}" name="Q_H2H_Last5_Stats_All" displayName="Q_H2H_Last5_Stats_All" ref="A1:AZ6" tableType="queryTable" totalsRowShown="0">
  <autoFilter ref="A1:AZ6" xr:uid="{2C412EF2-D7ED-4779-92C1-B660C01DA49C}"/>
  <tableColumns count="52">
    <tableColumn id="1" xr3:uid="{C6DEE2F9-32E6-4917-AFD1-9725321F048C}" uniqueName="1" name="fixture_id" queryTableFieldId="1"/>
    <tableColumn id="2" xr3:uid="{A718AA6C-D346-4CEA-A57D-F05A533CEBBA}" uniqueName="2" name="kickoff" queryTableFieldId="2"/>
    <tableColumn id="3" xr3:uid="{49E2528C-ACB8-4853-A3FD-F0694DD7C740}" uniqueName="3" name="league_country" queryTableFieldId="3"/>
    <tableColumn id="4" xr3:uid="{43C7EDD8-4348-40A0-995E-FDB8CB7E20B2}" uniqueName="4" name="league_name" queryTableFieldId="4"/>
    <tableColumn id="5" xr3:uid="{729E96DD-AF3F-41F8-A1DD-90AD058A2CCE}" uniqueName="5" name="home_logo" queryTableFieldId="5"/>
    <tableColumn id="6" xr3:uid="{EDA255B6-ABD9-46EF-9429-6AEB12E02F9B}" uniqueName="6" name="home_name" queryTableFieldId="6"/>
    <tableColumn id="7" xr3:uid="{8B0D5897-C33A-42DF-B76B-F7D5FAFD5BCE}" uniqueName="7" name="away_logo" queryTableFieldId="7"/>
    <tableColumn id="8" xr3:uid="{E674170D-6AA3-423E-9EC0-23F7D3FECCBC}" uniqueName="8" name="opponent" queryTableFieldId="8"/>
    <tableColumn id="9" xr3:uid="{5C6BEE90-0206-40A7-AF87-D321DF9C3151}" uniqueName="9" name="league_logo" queryTableFieldId="9"/>
    <tableColumn id="10" xr3:uid="{55ACFEED-7AD8-415D-BE8A-45AAABFF558E}" uniqueName="10" name="league_flag" queryTableFieldId="10"/>
    <tableColumn id="11" xr3:uid="{89F39291-1C0C-4C3B-80B7-A78ECC1A76D3}" uniqueName="11" name="home_goals" queryTableFieldId="11"/>
    <tableColumn id="12" xr3:uid="{542E468D-829A-4B02-8688-27760390BE19}" uniqueName="12" name="away_goals" queryTableFieldId="12"/>
    <tableColumn id="13" xr3:uid="{E7948A14-C9C3-45D1-9E30-591B48FB2EA8}" uniqueName="13" name="ht_home" queryTableFieldId="13"/>
    <tableColumn id="14" xr3:uid="{7D5C1792-C31D-466D-8882-8A0D2C1FC16E}" uniqueName="14" name="ht_away" queryTableFieldId="14"/>
    <tableColumn id="15" xr3:uid="{62060667-0D59-424C-B75F-FDDAFDE1AD6F}" uniqueName="15" name="ft_home" queryTableFieldId="15"/>
    <tableColumn id="16" xr3:uid="{4A855B58-F440-4583-8728-3B0DC54810A2}" uniqueName="16" name="ft_away" queryTableFieldId="16"/>
    <tableColumn id="17" xr3:uid="{36182B62-0216-4F7E-97D7-2518A2B29CA0}" uniqueName="17" name="Home_ShotsOnGoal" queryTableFieldId="17"/>
    <tableColumn id="18" xr3:uid="{99996AA8-0B5E-4271-BD86-0C1AE1576734}" uniqueName="18" name="Away_ShotsOnGoal" queryTableFieldId="18"/>
    <tableColumn id="19" xr3:uid="{637B316C-01E3-4D01-B866-323D180B1F17}" uniqueName="19" name="Home_ShotsOffGoal" queryTableFieldId="19"/>
    <tableColumn id="20" xr3:uid="{5B4ED9BD-C01F-4E58-BDEB-C5B4090DD5D3}" uniqueName="20" name="Away_ShotsOffGoal" queryTableFieldId="20"/>
    <tableColumn id="21" xr3:uid="{C6F5D492-7F60-416B-AAF7-1876CB134E9A}" uniqueName="21" name="Home_TotalShots" queryTableFieldId="21"/>
    <tableColumn id="22" xr3:uid="{A1DFE3D2-1ADB-44BF-815B-91CC49E01B86}" uniqueName="22" name="Away_TotalShots" queryTableFieldId="22"/>
    <tableColumn id="23" xr3:uid="{527DE84F-82A3-481F-9C0B-891C1AAD1AE3}" uniqueName="23" name="Home_BlockedShots" queryTableFieldId="23"/>
    <tableColumn id="24" xr3:uid="{B8B959CF-3111-43E2-8B96-D7B5498F08FD}" uniqueName="24" name="Away_BlockedShots" queryTableFieldId="24"/>
    <tableColumn id="25" xr3:uid="{F109E4C2-19B3-4FA1-A713-3A9FB6386EFE}" uniqueName="25" name="Home_ShotsInsideBox" queryTableFieldId="25"/>
    <tableColumn id="26" xr3:uid="{E13668D4-39CE-4A3F-B909-9190512E1403}" uniqueName="26" name="Away_ShotsInsideBox" queryTableFieldId="26"/>
    <tableColumn id="27" xr3:uid="{4F044EA1-158A-4223-87BB-FD91E64DA95E}" uniqueName="27" name="Home_ShotsOutsideBox" queryTableFieldId="27"/>
    <tableColumn id="28" xr3:uid="{05150F31-E80F-454C-99C0-405724EF9A87}" uniqueName="28" name="Away_ShotsOutsideBox" queryTableFieldId="28"/>
    <tableColumn id="29" xr3:uid="{B369A480-B015-4FF6-A6A0-807056168478}" uniqueName="29" name="Home_Fouls" queryTableFieldId="29"/>
    <tableColumn id="30" xr3:uid="{4C7F1FBA-2270-42EF-AAA6-8C271C3D2AE4}" uniqueName="30" name="Away_Fouls" queryTableFieldId="30"/>
    <tableColumn id="31" xr3:uid="{FEFCB045-C907-4DFA-918C-908A581BF6FB}" uniqueName="31" name="Home_CornerKicks" queryTableFieldId="31"/>
    <tableColumn id="32" xr3:uid="{6B8335DA-0923-4181-8E42-ED144AAE5694}" uniqueName="32" name="Away_CornerKicks" queryTableFieldId="32"/>
    <tableColumn id="33" xr3:uid="{47B9956B-1AB0-4919-8B64-73E911FC4D32}" uniqueName="33" name="Home_Offsides" queryTableFieldId="33"/>
    <tableColumn id="34" xr3:uid="{65F4A3C2-106E-476C-BF01-E4D3DAB6C2F2}" uniqueName="34" name="Away_Offsides" queryTableFieldId="34"/>
    <tableColumn id="35" xr3:uid="{63120B5A-437D-40F0-BA12-3A1B40109734}" uniqueName="35" name="Home_BallPossession" queryTableFieldId="35"/>
    <tableColumn id="36" xr3:uid="{724808BC-6A15-4A07-8A3D-3BE1999BD268}" uniqueName="36" name="Away_BallPossession" queryTableFieldId="36"/>
    <tableColumn id="37" xr3:uid="{305ADFE7-EE8F-4B2C-A5F7-A0909CE44C01}" uniqueName="37" name="Home_YellowCards" queryTableFieldId="37"/>
    <tableColumn id="38" xr3:uid="{82FD3A5E-1129-4A04-AAA0-FBAA4DD5E73C}" uniqueName="38" name="Away_YellowCards" queryTableFieldId="38"/>
    <tableColumn id="39" xr3:uid="{5A342B77-A581-48C4-AB90-D0644A0D416A}" uniqueName="39" name="Home_RedCards" queryTableFieldId="39"/>
    <tableColumn id="40" xr3:uid="{256A84C7-E5E2-476D-A338-03FB20D26458}" uniqueName="40" name="Away_RedCards" queryTableFieldId="40"/>
    <tableColumn id="41" xr3:uid="{0091B211-A35B-4537-865A-3583B534F2EC}" uniqueName="41" name="Home_GoalkeeperSaves" queryTableFieldId="41"/>
    <tableColumn id="42" xr3:uid="{E877B0B6-B64B-4B50-9BF0-3716A73FDC75}" uniqueName="42" name="Away_GoalkeeperSaves" queryTableFieldId="42"/>
    <tableColumn id="43" xr3:uid="{CFB1AF44-256A-4D8F-B97F-A1038572F553}" uniqueName="43" name="Home_TotalPasses" queryTableFieldId="43"/>
    <tableColumn id="44" xr3:uid="{59DA5E2B-D7E7-4A6A-8E00-F528E45024A5}" uniqueName="44" name="Away_TotalPasses" queryTableFieldId="44"/>
    <tableColumn id="45" xr3:uid="{8B825579-A869-4780-856C-6C69B2155F15}" uniqueName="45" name="Home_PassesAccurate" queryTableFieldId="45"/>
    <tableColumn id="46" xr3:uid="{07403584-443D-4F02-AAEB-F2A1A0137E8F}" uniqueName="46" name="Away_PassesAccurate" queryTableFieldId="46"/>
    <tableColumn id="47" xr3:uid="{C9E1CCEF-1C24-4FE0-8789-B0B175398510}" uniqueName="47" name="Home_PassesPct" queryTableFieldId="47"/>
    <tableColumn id="48" xr3:uid="{CB90849E-919C-46C6-A4F9-79D06749B351}" uniqueName="48" name="Away_PassesPct" queryTableFieldId="48"/>
    <tableColumn id="49" xr3:uid="{4A3D5291-3E09-4667-9959-9FF70E3D63E9}" uniqueName="49" name="Home_ExpectedGoals" queryTableFieldId="49"/>
    <tableColumn id="50" xr3:uid="{09B38158-3592-4E04-8333-4B95498C81BC}" uniqueName="50" name="Away_ExpectedGoals" queryTableFieldId="50"/>
    <tableColumn id="51" xr3:uid="{95E552F9-93D9-4F4B-B7EB-FBC50EAF2AA0}" uniqueName="51" name="Home_GoalsPrevented" queryTableFieldId="51"/>
    <tableColumn id="52" xr3:uid="{61160A65-DF70-4AFB-85B9-52E9509961E0}" uniqueName="52" name="Away_GoalsPrevented" queryTableField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DBA55-CB81-4257-BE3C-8492513A2D46}">
  <sheetPr codeName="Sheet2">
    <tabColor theme="1"/>
  </sheetPr>
  <dimension ref="A1:DD1700"/>
  <sheetViews>
    <sheetView zoomScale="115" zoomScaleNormal="115" workbookViewId="0">
      <selection activeCell="DD2" sqref="DD2"/>
    </sheetView>
  </sheetViews>
  <sheetFormatPr defaultRowHeight="15" x14ac:dyDescent="0.25"/>
  <cols>
    <col min="1" max="1" width="51.5703125" style="1" bestFit="1" customWidth="1"/>
    <col min="2" max="2" width="38.5703125" style="1" bestFit="1" customWidth="1"/>
    <col min="3" max="3" width="29.5703125" style="1" bestFit="1" customWidth="1"/>
    <col min="4" max="4" width="2" style="1" bestFit="1" customWidth="1"/>
    <col min="5" max="5" width="11.85546875" style="1" bestFit="1" customWidth="1"/>
    <col min="6" max="6" width="18.5703125" style="1" bestFit="1" customWidth="1"/>
    <col min="7" max="7" width="9.140625" style="1"/>
    <col min="8" max="8" width="9.7109375" style="1" bestFit="1" customWidth="1"/>
    <col min="9" max="9" width="17.5703125" style="1" bestFit="1" customWidth="1"/>
    <col min="10" max="10" width="11.140625" style="1" bestFit="1" customWidth="1"/>
    <col min="11" max="11" width="20.42578125" style="1" bestFit="1" customWidth="1"/>
    <col min="12" max="12" width="35" style="1" bestFit="1" customWidth="1"/>
    <col min="13" max="13" width="23.7109375" style="1" bestFit="1" customWidth="1"/>
    <col min="14" max="14" width="23.85546875" style="1" bestFit="1" customWidth="1"/>
    <col min="15" max="15" width="108.5703125" style="1" bestFit="1" customWidth="1"/>
    <col min="16" max="16" width="9.140625" style="1"/>
    <col min="17" max="17" width="9.7109375" style="1" bestFit="1" customWidth="1"/>
    <col min="18" max="18" width="15.85546875" style="1" bestFit="1" customWidth="1"/>
    <col min="19" max="19" width="14.85546875" style="1" bestFit="1" customWidth="1"/>
    <col min="20" max="20" width="15.28515625" style="1" bestFit="1" customWidth="1"/>
    <col min="21" max="21" width="48.28515625" style="1" bestFit="1" customWidth="1"/>
    <col min="22" max="22" width="16.7109375" style="1" bestFit="1" customWidth="1"/>
    <col min="23" max="23" width="49.28515625" style="1" bestFit="1" customWidth="1"/>
    <col min="24" max="24" width="17.7109375" style="1" bestFit="1" customWidth="1"/>
    <col min="25" max="25" width="49.7109375" style="1" bestFit="1" customWidth="1"/>
    <col min="26" max="26" width="37.140625" style="1" bestFit="1" customWidth="1"/>
    <col min="27" max="27" width="11.7109375" style="1" bestFit="1" customWidth="1"/>
    <col min="28" max="28" width="11.140625" style="1" bestFit="1" customWidth="1"/>
    <col min="29" max="29" width="9" style="1" bestFit="1" customWidth="1"/>
    <col min="30" max="30" width="8.42578125" style="1" bestFit="1" customWidth="1"/>
    <col min="31" max="31" width="8.5703125" style="1" bestFit="1" customWidth="1"/>
    <col min="32" max="32" width="8" style="1" bestFit="1" customWidth="1"/>
    <col min="33" max="33" width="19" style="1" bestFit="1" customWidth="1"/>
    <col min="34" max="34" width="18.5703125" style="1" bestFit="1" customWidth="1"/>
    <col min="35" max="35" width="19.28515625" style="1" bestFit="1" customWidth="1"/>
    <col min="36" max="36" width="18.85546875" style="1" bestFit="1" customWidth="1"/>
    <col min="37" max="37" width="16.7109375" style="1" bestFit="1" customWidth="1"/>
    <col min="38" max="38" width="16.28515625" style="1" bestFit="1" customWidth="1"/>
    <col min="39" max="39" width="19.42578125" style="1" bestFit="1" customWidth="1"/>
    <col min="40" max="40" width="19" style="1" bestFit="1" customWidth="1"/>
    <col min="41" max="41" width="21.140625" style="1" bestFit="1" customWidth="1"/>
    <col min="42" max="42" width="20.7109375" style="1" bestFit="1" customWidth="1"/>
    <col min="43" max="43" width="22.85546875" style="1" bestFit="1" customWidth="1"/>
    <col min="44" max="44" width="22.42578125" style="1" bestFit="1" customWidth="1"/>
    <col min="45" max="45" width="12" style="1" bestFit="1" customWidth="1"/>
    <col min="46" max="46" width="11.5703125" style="1" bestFit="1" customWidth="1"/>
    <col min="47" max="47" width="18" style="1" bestFit="1" customWidth="1"/>
    <col min="48" max="48" width="17.5703125" style="1" bestFit="1" customWidth="1"/>
    <col min="49" max="49" width="14.85546875" style="1" bestFit="1" customWidth="1"/>
    <col min="50" max="50" width="14.42578125" style="1" bestFit="1" customWidth="1"/>
    <col min="51" max="51" width="20.5703125" style="1" bestFit="1" customWidth="1"/>
    <col min="52" max="52" width="20.140625" style="1" bestFit="1" customWidth="1"/>
    <col min="53" max="53" width="18.42578125" style="1" bestFit="1" customWidth="1"/>
    <col min="54" max="54" width="18" style="1" bestFit="1" customWidth="1"/>
    <col min="55" max="55" width="15.7109375" style="1" bestFit="1" customWidth="1"/>
    <col min="56" max="56" width="15.28515625" style="1" bestFit="1" customWidth="1"/>
    <col min="57" max="57" width="23" style="1" bestFit="1" customWidth="1"/>
    <col min="58" max="58" width="22.5703125" style="1" bestFit="1" customWidth="1"/>
    <col min="59" max="59" width="17.85546875" style="1" bestFit="1" customWidth="1"/>
    <col min="60" max="60" width="17.42578125" style="1" bestFit="1" customWidth="1"/>
    <col min="61" max="61" width="21.140625" style="1" bestFit="1" customWidth="1"/>
    <col min="62" max="62" width="20.7109375" style="1" bestFit="1" customWidth="1"/>
    <col min="63" max="63" width="16" style="1" bestFit="1" customWidth="1"/>
    <col min="64" max="64" width="15.5703125" style="1" bestFit="1" customWidth="1"/>
    <col min="65" max="65" width="20.5703125" style="1" bestFit="1" customWidth="1"/>
    <col min="66" max="66" width="20.140625" style="1" bestFit="1" customWidth="1"/>
    <col min="67" max="67" width="21.85546875" style="1" bestFit="1" customWidth="1"/>
    <col min="68" max="68" width="21.42578125" style="1" bestFit="1" customWidth="1"/>
    <col min="69" max="73" width="9.140625" style="1"/>
    <col min="74" max="74" width="5" style="1" bestFit="1" customWidth="1"/>
    <col min="75" max="75" width="20.140625" style="1" bestFit="1" customWidth="1"/>
    <col min="76" max="76" width="10.140625" style="1" bestFit="1" customWidth="1"/>
    <col min="77" max="77" width="7.42578125" style="1" bestFit="1" customWidth="1"/>
    <col min="78" max="78" width="8.5703125" style="1" bestFit="1" customWidth="1"/>
    <col min="79" max="79" width="7.85546875" style="1" bestFit="1" customWidth="1"/>
    <col min="80" max="80" width="5.85546875" style="1" bestFit="1" customWidth="1"/>
    <col min="81" max="81" width="6.140625" style="1" bestFit="1" customWidth="1"/>
    <col min="82" max="82" width="8.85546875" style="1" bestFit="1" customWidth="1"/>
    <col min="83" max="83" width="6.5703125" style="1" bestFit="1" customWidth="1"/>
    <col min="84" max="84" width="10.42578125" style="1" bestFit="1" customWidth="1"/>
    <col min="85" max="90" width="9.140625" style="1"/>
    <col min="91" max="91" width="16.85546875" style="1" bestFit="1" customWidth="1"/>
    <col min="92" max="92" width="16.42578125" style="1" bestFit="1" customWidth="1"/>
    <col min="93" max="95" width="9.140625" style="1"/>
    <col min="96" max="96" width="18.28515625" style="1" bestFit="1" customWidth="1"/>
    <col min="97" max="97" width="9.140625" style="1"/>
    <col min="98" max="98" width="29.28515625" style="1" bestFit="1" customWidth="1"/>
    <col min="99" max="103" width="9.140625" style="1"/>
    <col min="104" max="104" width="11.5703125" style="1" bestFit="1" customWidth="1"/>
    <col min="105" max="105" width="9.140625" style="1"/>
    <col min="106" max="106" width="10.5703125" style="1" bestFit="1" customWidth="1"/>
    <col min="107" max="107" width="9.140625" style="1"/>
    <col min="108" max="108" width="12.5703125" style="1" bestFit="1" customWidth="1"/>
    <col min="109" max="16384" width="9.140625" style="1"/>
  </cols>
  <sheetData>
    <row r="1" spans="1:108" x14ac:dyDescent="0.25">
      <c r="A1" s="1" t="s">
        <v>0</v>
      </c>
      <c r="B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Q1" s="1" t="str">
        <f>IFERROR(Last10Home_Stats_All!A1,"")</f>
        <v>fixture_id</v>
      </c>
      <c r="R1" s="1" t="str">
        <f>IFERROR(Last10Home_Stats_All!B1,"")</f>
        <v>kickoff</v>
      </c>
      <c r="S1" s="1" t="str">
        <f>IFERROR(Last10Home_Stats_All!C1,"")</f>
        <v>league_country</v>
      </c>
      <c r="T1" s="1" t="str">
        <f>IFERROR(Last10Home_Stats_All!D1,"")</f>
        <v>league_name</v>
      </c>
      <c r="U1" s="1" t="str">
        <f>IFERROR(Last10Home_Stats_All!E1,"")</f>
        <v>home_logo</v>
      </c>
      <c r="V1" s="1" t="str">
        <f>IFERROR(Last10Home_Stats_All!F1,"")</f>
        <v>home_name</v>
      </c>
      <c r="W1" s="1" t="str">
        <f>IFERROR(Last10Home_Stats_All!G1,"")</f>
        <v>away_logo</v>
      </c>
      <c r="X1" s="1" t="str">
        <f>IFERROR(Last10Home_Stats_All!H1,"")</f>
        <v>opponent</v>
      </c>
      <c r="Y1" s="1" t="str">
        <f>IFERROR(Last10Home_Stats_All!I1,"")</f>
        <v>league_logo</v>
      </c>
      <c r="Z1" s="1" t="str">
        <f>IFERROR(Last10Home_Stats_All!J1,"")</f>
        <v>league_flag</v>
      </c>
      <c r="AA1" s="1" t="str">
        <f>IFERROR(Last10Home_Stats_All!K1,"")</f>
        <v>home_goals</v>
      </c>
      <c r="AB1" s="1" t="str">
        <f>IFERROR(Last10Home_Stats_All!L1,"")</f>
        <v>away_goals</v>
      </c>
      <c r="AC1" s="1" t="str">
        <f>IFERROR(Last10Home_Stats_All!M1,"")</f>
        <v>ht_home</v>
      </c>
      <c r="AD1" s="1" t="str">
        <f>IFERROR(Last10Home_Stats_All!N1,"")</f>
        <v>ht_away</v>
      </c>
      <c r="AE1" s="1" t="str">
        <f>IFERROR(Last10Home_Stats_All!O1,"")</f>
        <v>ft_home</v>
      </c>
      <c r="AF1" s="1" t="str">
        <f>IFERROR(Last10Home_Stats_All!P1,"")</f>
        <v>ft_away</v>
      </c>
      <c r="AG1" s="1" t="str">
        <f>IFERROR(Last10Home_Stats_All!Q1,"")</f>
        <v>Home_ShotsOnGoal</v>
      </c>
      <c r="AH1" s="1" t="str">
        <f>IFERROR(Last10Home_Stats_All!R1,"")</f>
        <v>Away_ShotsOnGoal</v>
      </c>
      <c r="AI1" s="1" t="str">
        <f>IFERROR(Last10Home_Stats_All!S1,"")</f>
        <v>Home_ShotsOffGoal</v>
      </c>
      <c r="AJ1" s="1" t="str">
        <f>IFERROR(Last10Home_Stats_All!T1,"")</f>
        <v>Away_ShotsOffGoal</v>
      </c>
      <c r="AK1" s="1" t="str">
        <f>IFERROR(Last10Home_Stats_All!U1,"")</f>
        <v>Home_TotalShots</v>
      </c>
      <c r="AL1" s="1" t="str">
        <f>IFERROR(Last10Home_Stats_All!V1,"")</f>
        <v>Away_TotalShots</v>
      </c>
      <c r="AM1" s="1" t="str">
        <f>IFERROR(Last10Home_Stats_All!W1,"")</f>
        <v>Home_BlockedShots</v>
      </c>
      <c r="AN1" s="1" t="str">
        <f>IFERROR(Last10Home_Stats_All!X1,"")</f>
        <v>Away_BlockedShots</v>
      </c>
      <c r="AO1" s="1" t="str">
        <f>IFERROR(Last10Home_Stats_All!Y1,"")</f>
        <v>Home_ShotsInsideBox</v>
      </c>
      <c r="AP1" s="1" t="str">
        <f>IFERROR(Last10Home_Stats_All!Z1,"")</f>
        <v>Away_ShotsInsideBox</v>
      </c>
      <c r="AQ1" s="1" t="str">
        <f>IFERROR(Last10Home_Stats_All!AA1,"")</f>
        <v>Home_ShotsOutsideBox</v>
      </c>
      <c r="AR1" s="1" t="str">
        <f>IFERROR(Last10Home_Stats_All!AB1,"")</f>
        <v>Away_ShotsOutsideBox</v>
      </c>
      <c r="AS1" s="1" t="str">
        <f>IFERROR(Last10Home_Stats_All!AC1,"")</f>
        <v>Home_Fouls</v>
      </c>
      <c r="AT1" s="1" t="str">
        <f>IFERROR(Last10Home_Stats_All!AD1,"")</f>
        <v>Away_Fouls</v>
      </c>
      <c r="AU1" s="1" t="str">
        <f>IFERROR(Last10Home_Stats_All!AE1,"")</f>
        <v>Home_CornerKicks</v>
      </c>
      <c r="AV1" s="1" t="str">
        <f>IFERROR(Last10Home_Stats_All!AF1,"")</f>
        <v>Away_CornerKicks</v>
      </c>
      <c r="AW1" s="1" t="str">
        <f>IFERROR(Last10Home_Stats_All!AG1,"")</f>
        <v>Home_Offsides</v>
      </c>
      <c r="AX1" s="1" t="str">
        <f>IFERROR(Last10Home_Stats_All!AH1,"")</f>
        <v>Away_Offsides</v>
      </c>
      <c r="AY1" s="1" t="str">
        <f>IFERROR(Last10Home_Stats_All!AI1,"")</f>
        <v>Home_BallPossession</v>
      </c>
      <c r="AZ1" s="1" t="str">
        <f>IFERROR(Last10Home_Stats_All!AJ1,"")</f>
        <v>Away_BallPossession</v>
      </c>
      <c r="BA1" s="1" t="str">
        <f>IFERROR(Last10Home_Stats_All!AK1,"")</f>
        <v>Home_YellowCards</v>
      </c>
      <c r="BB1" s="1" t="str">
        <f>IFERROR(Last10Home_Stats_All!AL1,"")</f>
        <v>Away_YellowCards</v>
      </c>
      <c r="BC1" s="1" t="str">
        <f>IFERROR(Last10Home_Stats_All!AM1,"")</f>
        <v>Home_RedCards</v>
      </c>
      <c r="BD1" s="1" t="str">
        <f>IFERROR(Last10Home_Stats_All!AN1,"")</f>
        <v>Away_RedCards</v>
      </c>
      <c r="BE1" s="1" t="str">
        <f>IFERROR(Last10Home_Stats_All!AO1,"")</f>
        <v>Home_GoalkeeperSaves</v>
      </c>
      <c r="BF1" s="1" t="str">
        <f>IFERROR(Last10Home_Stats_All!AP1,"")</f>
        <v>Away_GoalkeeperSaves</v>
      </c>
      <c r="BG1" s="1" t="str">
        <f>IFERROR(Last10Home_Stats_All!AQ1,"")</f>
        <v>Home_TotalPasses</v>
      </c>
      <c r="BH1" s="1" t="str">
        <f>IFERROR(Last10Home_Stats_All!AR1,"")</f>
        <v>Away_TotalPasses</v>
      </c>
      <c r="BI1" s="1" t="str">
        <f>IFERROR(Last10Home_Stats_All!AS1,"")</f>
        <v>Home_PassesAccurate</v>
      </c>
      <c r="BJ1" s="1" t="str">
        <f>IFERROR(Last10Home_Stats_All!AT1,"")</f>
        <v>Away_PassesAccurate</v>
      </c>
      <c r="BK1" s="1" t="str">
        <f>IFERROR(Last10Home_Stats_All!AU1,"")</f>
        <v>Home_PassesPct</v>
      </c>
      <c r="BL1" s="1" t="str">
        <f>IFERROR(Last10Home_Stats_All!AV1,"")</f>
        <v>Away_PassesPct</v>
      </c>
      <c r="BM1" s="1" t="str">
        <f>IFERROR(Last10Home_Stats_All!AW1,"")</f>
        <v>Home_ExpectedGoals</v>
      </c>
      <c r="BN1" s="1" t="str">
        <f>IFERROR(Last10Home_Stats_All!AX1,"")</f>
        <v>Away_ExpectedGoals</v>
      </c>
      <c r="BO1" s="1" t="str">
        <f>IFERROR(Last10Home_Stats_All!AY1,"")</f>
        <v>Home_GoalsPrevented</v>
      </c>
      <c r="BP1" s="1" t="str">
        <f>IFERROR(Last10Home_Stats_All!AZ1,"")</f>
        <v>Away_GoalsPrevented</v>
      </c>
      <c r="BR1" s="1" t="s">
        <v>213</v>
      </c>
      <c r="BS1" s="1" t="s">
        <v>214</v>
      </c>
      <c r="BT1" s="1" t="s">
        <v>215</v>
      </c>
      <c r="BV1" s="1" t="str">
        <f>IFERROR(INDEX(tblStandings[#All],ROW(A1),COLUMN(A1)),"")</f>
        <v>rank</v>
      </c>
      <c r="BW1" s="1" t="str">
        <f>IFERROR(INDEX(tblStandings[#All],ROW(B1),COLUMN(B1)),"")</f>
        <v>team_name</v>
      </c>
      <c r="BX1" s="1" t="str">
        <f>IFERROR(INDEX(tblStandings[#All],ROW(C1),COLUMN(C1)),"")</f>
        <v>all_played</v>
      </c>
      <c r="BY1" s="1" t="str">
        <f>IFERROR(INDEX(tblStandings[#All],ROW(D1),COLUMN(D1)),"")</f>
        <v>all_win</v>
      </c>
      <c r="BZ1" s="1" t="str">
        <f>IFERROR(INDEX(tblStandings[#All],ROW(E1),COLUMN(E1)),"")</f>
        <v>all_draw</v>
      </c>
      <c r="CA1" s="1" t="str">
        <f>IFERROR(INDEX(tblStandings[#All],ROW(F1),COLUMN(F1)),"")</f>
        <v>all_lose</v>
      </c>
      <c r="CB1" s="1" t="str">
        <f>IFERROR(INDEX(tblStandings[#All],ROW(G1),COLUMN(G1)),"")</f>
        <v>all_gf</v>
      </c>
      <c r="CC1" s="1" t="str">
        <f>IFERROR(INDEX(tblStandings[#All],ROW(H1),COLUMN(H1)),"")</f>
        <v>all_ga</v>
      </c>
      <c r="CD1" s="1" t="str">
        <f>IFERROR(INDEX(tblStandings[#All],ROW(I1),COLUMN(I1)),"")</f>
        <v>goalsDiff</v>
      </c>
      <c r="CE1" s="1" t="str">
        <f>IFERROR(INDEX(tblStandings[#All],ROW(J1),COLUMN(J1)),"")</f>
        <v>points</v>
      </c>
      <c r="CF1" s="1" t="str">
        <f>IFERROR(INDEX(tblStandings[#All],ROW(K1),COLUMN(K1)),"")</f>
        <v>form</v>
      </c>
      <c r="CM1" s="1" t="s">
        <v>218</v>
      </c>
      <c r="CN1" s="1" t="s">
        <v>221</v>
      </c>
      <c r="CP1" s="1" t="s">
        <v>225</v>
      </c>
      <c r="CR1" s="1" t="s">
        <v>229</v>
      </c>
      <c r="CT1" s="1" t="s">
        <v>233</v>
      </c>
      <c r="CV1" s="1">
        <v>1</v>
      </c>
      <c r="CX1" s="1" t="s">
        <v>184</v>
      </c>
      <c r="CZ1" s="1">
        <v>1</v>
      </c>
      <c r="DB1" s="1">
        <v>1</v>
      </c>
      <c r="DD1" s="1" t="s">
        <v>256</v>
      </c>
    </row>
    <row r="2" spans="1:108" x14ac:dyDescent="0.25">
      <c r="A2" s="1" t="s">
        <v>1</v>
      </c>
      <c r="B2" s="1" t="s">
        <v>2</v>
      </c>
      <c r="H2" s="1">
        <v>1483031</v>
      </c>
      <c r="I2" s="4">
        <v>46330</v>
      </c>
      <c r="J2" s="1" t="s">
        <v>32</v>
      </c>
      <c r="K2" s="1" t="s">
        <v>21</v>
      </c>
      <c r="L2" s="1" t="s">
        <v>7144</v>
      </c>
      <c r="M2" s="1" t="s">
        <v>7145</v>
      </c>
      <c r="N2" s="1" t="s">
        <v>7146</v>
      </c>
      <c r="O2" s="1" t="s">
        <v>7147</v>
      </c>
      <c r="Q2" s="1">
        <f>IF(INDEX(Last10Home_Stats_All!$A:$A,ROW()-ROW($Q$2)+2)="","",
IFERROR(
INDEX(Last10Home_Stats_All!$A:$ZZ,ROW()-ROW($Q$2)+2,COLUMN()-COLUMN($Q$2)+1),
""))</f>
        <v>1386476</v>
      </c>
      <c r="R2" s="1" t="str">
        <f>IF(INDEX(Last10Home_Stats_All!$A:$A,ROW()-ROW($Q$2)+2)="","",
IFERROR(
INDEX(Last10Home_Stats_All!$A:$ZZ,ROW()-ROW($Q$2)+2,COLUMN()-COLUMN($Q$2)+1),
""))</f>
        <v>03/04/2026 15:00</v>
      </c>
      <c r="S2" s="1" t="str">
        <f>IF(INDEX(Last10Home_Stats_All!$A:$A,ROW()-ROW($Q$2)+2)="","",
IFERROR(
INDEX(Last10Home_Stats_All!$A:$ZZ,ROW()-ROW($Q$2)+2,COLUMN()-COLUMN($Q$2)+1),
""))</f>
        <v>England</v>
      </c>
      <c r="T2" s="1" t="str">
        <f>IF(INDEX(Last10Home_Stats_All!$A:$A,ROW()-ROW($Q$2)+2)="","",
IFERROR(
INDEX(Last10Home_Stats_All!$A:$ZZ,ROW()-ROW($Q$2)+2,COLUMN()-COLUMN($Q$2)+1),
""))</f>
        <v>League Two</v>
      </c>
      <c r="U2" s="1" t="str">
        <f>IF(INDEX(Last10Home_Stats_All!$A:$A,ROW()-ROW($Q$2)+2)="","",
IFERROR(
INDEX(Last10Home_Stats_All!$A:$ZZ,ROW()-ROW($Q$2)+2,COLUMN()-COLUMN($Q$2)+1),
""))</f>
        <v>https://media.api-sports.io/football/teams/1360.png</v>
      </c>
      <c r="V2" s="1" t="str">
        <f>IF(INDEX(Last10Home_Stats_All!$A:$A,ROW()-ROW($Q$2)+2)="","",
IFERROR(
INDEX(Last10Home_Stats_All!$A:$ZZ,ROW()-ROW($Q$2)+2,COLUMN()-COLUMN($Q$2)+1),
""))</f>
        <v>Accrington ST</v>
      </c>
      <c r="W2" s="1" t="str">
        <f>IF(INDEX(Last10Home_Stats_All!$A:$A,ROW()-ROW($Q$2)+2)="","",
IFERROR(
INDEX(Last10Home_Stats_All!$A:$ZZ,ROW()-ROW($Q$2)+2,COLUMN()-COLUMN($Q$2)+1),
""))</f>
        <v>https://media.api-sports.io/football/teams/1363.png</v>
      </c>
      <c r="X2" s="1" t="str">
        <f>IF(INDEX(Last10Home_Stats_All!$A:$A,ROW()-ROW($Q$2)+2)="","",
IFERROR(
INDEX(Last10Home_Stats_All!$A:$ZZ,ROW()-ROW($Q$2)+2,COLUMN()-COLUMN($Q$2)+1),
""))</f>
        <v>Crewe</v>
      </c>
      <c r="Y2" s="1" t="str">
        <f>IF(INDEX(Last10Home_Stats_All!$A:$A,ROW()-ROW($Q$2)+2)="","",
IFERROR(
INDEX(Last10Home_Stats_All!$A:$ZZ,ROW()-ROW($Q$2)+2,COLUMN()-COLUMN($Q$2)+1),
""))</f>
        <v>https://media.api-sports.io/football/leagues/42.png</v>
      </c>
      <c r="Z2" s="1" t="str">
        <f>IF(INDEX(Last10Home_Stats_All!$A:$A,ROW()-ROW($Q$2)+2)="","",
IFERROR(
INDEX(Last10Home_Stats_All!$A:$ZZ,ROW()-ROW($Q$2)+2,COLUMN()-COLUMN($Q$2)+1),
""))</f>
        <v>https://media.api-sports.io/flags/gb-eng.svg</v>
      </c>
      <c r="AA2" s="1">
        <f>IF(INDEX(Last10Home_Stats_All!$A:$A,ROW()-ROW($Q$2)+2)="","",
IFERROR(
INDEX(Last10Home_Stats_All!$A:$ZZ,ROW()-ROW($Q$2)+2,COLUMN()-COLUMN($Q$2)+1),
""))</f>
        <v>2</v>
      </c>
      <c r="AB2" s="1">
        <f>IF(INDEX(Last10Home_Stats_All!$A:$A,ROW()-ROW($Q$2)+2)="","",
IFERROR(
INDEX(Last10Home_Stats_All!$A:$ZZ,ROW()-ROW($Q$2)+2,COLUMN()-COLUMN($Q$2)+1),
""))</f>
        <v>0</v>
      </c>
      <c r="AC2" s="1">
        <f>IF(INDEX(Last10Home_Stats_All!$A:$A,ROW()-ROW($Q$2)+2)="","",
IFERROR(
INDEX(Last10Home_Stats_All!$A:$ZZ,ROW()-ROW($Q$2)+2,COLUMN()-COLUMN($Q$2)+1),
""))</f>
        <v>0</v>
      </c>
      <c r="AD2" s="1">
        <f>IF(INDEX(Last10Home_Stats_All!$A:$A,ROW()-ROW($Q$2)+2)="","",
IFERROR(
INDEX(Last10Home_Stats_All!$A:$ZZ,ROW()-ROW($Q$2)+2,COLUMN()-COLUMN($Q$2)+1),
""))</f>
        <v>0</v>
      </c>
      <c r="AE2" s="1">
        <f>IF(INDEX(Last10Home_Stats_All!$A:$A,ROW()-ROW($Q$2)+2)="","",
IFERROR(
INDEX(Last10Home_Stats_All!$A:$ZZ,ROW()-ROW($Q$2)+2,COLUMN()-COLUMN($Q$2)+1),
""))</f>
        <v>2</v>
      </c>
      <c r="AF2" s="1">
        <f>IF(INDEX(Last10Home_Stats_All!$A:$A,ROW()-ROW($Q$2)+2)="","",
IFERROR(
INDEX(Last10Home_Stats_All!$A:$ZZ,ROW()-ROW($Q$2)+2,COLUMN()-COLUMN($Q$2)+1),
""))</f>
        <v>0</v>
      </c>
      <c r="AG2" s="1">
        <f>IF(INDEX(Last10Home_Stats_All!$A:$A,ROW()-ROW($Q$2)+2)="","",
IFERROR(
INDEX(Last10Home_Stats_All!$A:$ZZ,ROW()-ROW($Q$2)+2,COLUMN()-COLUMN($Q$2)+1),
""))</f>
        <v>4</v>
      </c>
      <c r="AH2" s="1">
        <f>IF(INDEX(Last10Home_Stats_All!$A:$A,ROW()-ROW($Q$2)+2)="","",
IFERROR(
INDEX(Last10Home_Stats_All!$A:$ZZ,ROW()-ROW($Q$2)+2,COLUMN()-COLUMN($Q$2)+1),
""))</f>
        <v>1</v>
      </c>
      <c r="AI2" s="1">
        <f>IF(INDEX(Last10Home_Stats_All!$A:$A,ROW()-ROW($Q$2)+2)="","",
IFERROR(
INDEX(Last10Home_Stats_All!$A:$ZZ,ROW()-ROW($Q$2)+2,COLUMN()-COLUMN($Q$2)+1),
""))</f>
        <v>6</v>
      </c>
      <c r="AJ2" s="1">
        <f>IF(INDEX(Last10Home_Stats_All!$A:$A,ROW()-ROW($Q$2)+2)="","",
IFERROR(
INDEX(Last10Home_Stats_All!$A:$ZZ,ROW()-ROW($Q$2)+2,COLUMN()-COLUMN($Q$2)+1),
""))</f>
        <v>1</v>
      </c>
      <c r="AK2" s="1">
        <f>IF(INDEX(Last10Home_Stats_All!$A:$A,ROW()-ROW($Q$2)+2)="","",
IFERROR(
INDEX(Last10Home_Stats_All!$A:$ZZ,ROW()-ROW($Q$2)+2,COLUMN()-COLUMN($Q$2)+1),
""))</f>
        <v>14</v>
      </c>
      <c r="AL2" s="1">
        <f>IF(INDEX(Last10Home_Stats_All!$A:$A,ROW()-ROW($Q$2)+2)="","",
IFERROR(
INDEX(Last10Home_Stats_All!$A:$ZZ,ROW()-ROW($Q$2)+2,COLUMN()-COLUMN($Q$2)+1),
""))</f>
        <v>3</v>
      </c>
      <c r="AM2" s="1">
        <f>IF(INDEX(Last10Home_Stats_All!$A:$A,ROW()-ROW($Q$2)+2)="","",
IFERROR(
INDEX(Last10Home_Stats_All!$A:$ZZ,ROW()-ROW($Q$2)+2,COLUMN()-COLUMN($Q$2)+1),
""))</f>
        <v>4</v>
      </c>
      <c r="AN2" s="1">
        <f>IF(INDEX(Last10Home_Stats_All!$A:$A,ROW()-ROW($Q$2)+2)="","",
IFERROR(
INDEX(Last10Home_Stats_All!$A:$ZZ,ROW()-ROW($Q$2)+2,COLUMN()-COLUMN($Q$2)+1),
""))</f>
        <v>1</v>
      </c>
      <c r="AO2" s="1">
        <f>IF(INDEX(Last10Home_Stats_All!$A:$A,ROW()-ROW($Q$2)+2)="","",
IFERROR(
INDEX(Last10Home_Stats_All!$A:$ZZ,ROW()-ROW($Q$2)+2,COLUMN()-COLUMN($Q$2)+1),
""))</f>
        <v>9</v>
      </c>
      <c r="AP2" s="1">
        <f>IF(INDEX(Last10Home_Stats_All!$A:$A,ROW()-ROW($Q$2)+2)="","",
IFERROR(
INDEX(Last10Home_Stats_All!$A:$ZZ,ROW()-ROW($Q$2)+2,COLUMN()-COLUMN($Q$2)+1),
""))</f>
        <v>2</v>
      </c>
      <c r="AQ2" s="1">
        <f>IF(INDEX(Last10Home_Stats_All!$A:$A,ROW()-ROW($Q$2)+2)="","",
IFERROR(
INDEX(Last10Home_Stats_All!$A:$ZZ,ROW()-ROW($Q$2)+2,COLUMN()-COLUMN($Q$2)+1),
""))</f>
        <v>5</v>
      </c>
      <c r="AR2" s="1">
        <f>IF(INDEX(Last10Home_Stats_All!$A:$A,ROW()-ROW($Q$2)+2)="","",
IFERROR(
INDEX(Last10Home_Stats_All!$A:$ZZ,ROW()-ROW($Q$2)+2,COLUMN()-COLUMN($Q$2)+1),
""))</f>
        <v>1</v>
      </c>
      <c r="AS2" s="1">
        <f>IF(INDEX(Last10Home_Stats_All!$A:$A,ROW()-ROW($Q$2)+2)="","",
IFERROR(
INDEX(Last10Home_Stats_All!$A:$ZZ,ROW()-ROW($Q$2)+2,COLUMN()-COLUMN($Q$2)+1),
""))</f>
        <v>16</v>
      </c>
      <c r="AT2" s="1">
        <f>IF(INDEX(Last10Home_Stats_All!$A:$A,ROW()-ROW($Q$2)+2)="","",
IFERROR(
INDEX(Last10Home_Stats_All!$A:$ZZ,ROW()-ROW($Q$2)+2,COLUMN()-COLUMN($Q$2)+1),
""))</f>
        <v>10</v>
      </c>
      <c r="AU2" s="1">
        <f>IF(INDEX(Last10Home_Stats_All!$A:$A,ROW()-ROW($Q$2)+2)="","",
IFERROR(
INDEX(Last10Home_Stats_All!$A:$ZZ,ROW()-ROW($Q$2)+2,COLUMN()-COLUMN($Q$2)+1),
""))</f>
        <v>4</v>
      </c>
      <c r="AV2" s="1">
        <f>IF(INDEX(Last10Home_Stats_All!$A:$A,ROW()-ROW($Q$2)+2)="","",
IFERROR(
INDEX(Last10Home_Stats_All!$A:$ZZ,ROW()-ROW($Q$2)+2,COLUMN()-COLUMN($Q$2)+1),
""))</f>
        <v>7</v>
      </c>
      <c r="AW2" s="1">
        <f>IF(INDEX(Last10Home_Stats_All!$A:$A,ROW()-ROW($Q$2)+2)="","",
IFERROR(
INDEX(Last10Home_Stats_All!$A:$ZZ,ROW()-ROW($Q$2)+2,COLUMN()-COLUMN($Q$2)+1),
""))</f>
        <v>0</v>
      </c>
      <c r="AX2" s="1">
        <f>IF(INDEX(Last10Home_Stats_All!$A:$A,ROW()-ROW($Q$2)+2)="","",
IFERROR(
INDEX(Last10Home_Stats_All!$A:$ZZ,ROW()-ROW($Q$2)+2,COLUMN()-COLUMN($Q$2)+1),
""))</f>
        <v>3</v>
      </c>
      <c r="AY2" s="1">
        <f>IF(INDEX(Last10Home_Stats_All!$A:$A,ROW()-ROW($Q$2)+2)="","",
IFERROR(
INDEX(Last10Home_Stats_All!$A:$ZZ,ROW()-ROW($Q$2)+2,COLUMN()-COLUMN($Q$2)+1),
""))</f>
        <v>40</v>
      </c>
      <c r="AZ2" s="1">
        <f>IF(INDEX(Last10Home_Stats_All!$A:$A,ROW()-ROW($Q$2)+2)="","",
IFERROR(
INDEX(Last10Home_Stats_All!$A:$ZZ,ROW()-ROW($Q$2)+2,COLUMN()-COLUMN($Q$2)+1),
""))</f>
        <v>60</v>
      </c>
      <c r="BA2" s="1">
        <f>IF(INDEX(Last10Home_Stats_All!$A:$A,ROW()-ROW($Q$2)+2)="","",
IFERROR(
INDEX(Last10Home_Stats_All!$A:$ZZ,ROW()-ROW($Q$2)+2,COLUMN()-COLUMN($Q$2)+1),
""))</f>
        <v>3</v>
      </c>
      <c r="BB2" s="1">
        <f>IF(INDEX(Last10Home_Stats_All!$A:$A,ROW()-ROW($Q$2)+2)="","",
IFERROR(
INDEX(Last10Home_Stats_All!$A:$ZZ,ROW()-ROW($Q$2)+2,COLUMN()-COLUMN($Q$2)+1),
""))</f>
        <v>1</v>
      </c>
      <c r="BC2" s="1">
        <f>IF(INDEX(Last10Home_Stats_All!$A:$A,ROW()-ROW($Q$2)+2)="","",
IFERROR(
INDEX(Last10Home_Stats_All!$A:$ZZ,ROW()-ROW($Q$2)+2,COLUMN()-COLUMN($Q$2)+1),
""))</f>
        <v>0</v>
      </c>
      <c r="BD2" s="1">
        <f>IF(INDEX(Last10Home_Stats_All!$A:$A,ROW()-ROW($Q$2)+2)="","",
IFERROR(
INDEX(Last10Home_Stats_All!$A:$ZZ,ROW()-ROW($Q$2)+2,COLUMN()-COLUMN($Q$2)+1),
""))</f>
        <v>0</v>
      </c>
      <c r="BE2" s="1">
        <f>IF(INDEX(Last10Home_Stats_All!$A:$A,ROW()-ROW($Q$2)+2)="","",
IFERROR(
INDEX(Last10Home_Stats_All!$A:$ZZ,ROW()-ROW($Q$2)+2,COLUMN()-COLUMN($Q$2)+1),
""))</f>
        <v>1</v>
      </c>
      <c r="BF2" s="1">
        <f>IF(INDEX(Last10Home_Stats_All!$A:$A,ROW()-ROW($Q$2)+2)="","",
IFERROR(
INDEX(Last10Home_Stats_All!$A:$ZZ,ROW()-ROW($Q$2)+2,COLUMN()-COLUMN($Q$2)+1),
""))</f>
        <v>2</v>
      </c>
      <c r="BG2" s="1">
        <f>IF(INDEX(Last10Home_Stats_All!$A:$A,ROW()-ROW($Q$2)+2)="","",
IFERROR(
INDEX(Last10Home_Stats_All!$A:$ZZ,ROW()-ROW($Q$2)+2,COLUMN()-COLUMN($Q$2)+1),
""))</f>
        <v>267</v>
      </c>
      <c r="BH2" s="1">
        <f>IF(INDEX(Last10Home_Stats_All!$A:$A,ROW()-ROW($Q$2)+2)="","",
IFERROR(
INDEX(Last10Home_Stats_All!$A:$ZZ,ROW()-ROW($Q$2)+2,COLUMN()-COLUMN($Q$2)+1),
""))</f>
        <v>393</v>
      </c>
      <c r="BI2" s="1">
        <f>IF(INDEX(Last10Home_Stats_All!$A:$A,ROW()-ROW($Q$2)+2)="","",
IFERROR(
INDEX(Last10Home_Stats_All!$A:$ZZ,ROW()-ROW($Q$2)+2,COLUMN()-COLUMN($Q$2)+1),
""))</f>
        <v>173</v>
      </c>
      <c r="BJ2" s="1">
        <f>IF(INDEX(Last10Home_Stats_All!$A:$A,ROW()-ROW($Q$2)+2)="","",
IFERROR(
INDEX(Last10Home_Stats_All!$A:$ZZ,ROW()-ROW($Q$2)+2,COLUMN()-COLUMN($Q$2)+1),
""))</f>
        <v>290</v>
      </c>
      <c r="BK2" s="1">
        <f>IF(INDEX(Last10Home_Stats_All!$A:$A,ROW()-ROW($Q$2)+2)="","",
IFERROR(
INDEX(Last10Home_Stats_All!$A:$ZZ,ROW()-ROW($Q$2)+2,COLUMN()-COLUMN($Q$2)+1),
""))</f>
        <v>65</v>
      </c>
      <c r="BL2" s="1">
        <f>IF(INDEX(Last10Home_Stats_All!$A:$A,ROW()-ROW($Q$2)+2)="","",
IFERROR(
INDEX(Last10Home_Stats_All!$A:$ZZ,ROW()-ROW($Q$2)+2,COLUMN()-COLUMN($Q$2)+1),
""))</f>
        <v>74</v>
      </c>
      <c r="BM2" s="1">
        <f>IF(INDEX(Last10Home_Stats_All!$A:$A,ROW()-ROW($Q$2)+2)="","",
IFERROR(
INDEX(Last10Home_Stats_All!$A:$ZZ,ROW()-ROW($Q$2)+2,COLUMN()-COLUMN($Q$2)+1),
""))</f>
        <v>0</v>
      </c>
      <c r="BN2" s="1">
        <f>IF(INDEX(Last10Home_Stats_All!$A:$A,ROW()-ROW($Q$2)+2)="","",
IFERROR(
INDEX(Last10Home_Stats_All!$A:$ZZ,ROW()-ROW($Q$2)+2,COLUMN()-COLUMN($Q$2)+1),
""))</f>
        <v>0</v>
      </c>
      <c r="BO2" s="1">
        <f>IF(INDEX(Last10Home_Stats_All!$A:$A,ROW()-ROW($Q$2)+2)="","",
IFERROR(
INDEX(Last10Home_Stats_All!$A:$ZZ,ROW()-ROW($Q$2)+2,COLUMN()-COLUMN($Q$2)+1),
""))</f>
        <v>0</v>
      </c>
      <c r="BP2" s="1">
        <f>IF(INDEX(Last10Home_Stats_All!$A:$A,ROW()-ROW($Q$2)+2)="","",
IFERROR(
INDEX(Last10Home_Stats_All!$A:$ZZ,ROW()-ROW($Q$2)+2,COLUMN()-COLUMN($Q$2)+1),
""))</f>
        <v>0</v>
      </c>
      <c r="BR2" s="1" t="str">
        <f>IF(OR(Control!AC2="",Control!AD2=""),"",Control!AC2&amp;" : "&amp;Control!AD2)</f>
        <v>0 : 0</v>
      </c>
      <c r="BS2" s="1" t="str">
        <f>IF(OR(Control!AE2="",Control!AF2=""),"",Control!AE2&amp;" : "&amp;Control!AF2)</f>
        <v>2 : 0</v>
      </c>
      <c r="BT2" s="1" t="str">
        <f>IF(OR(Control!AU2="",Control!AV2=""),"",Control!AU2&amp;" : "&amp;Control!AV2)</f>
        <v>4 : 7</v>
      </c>
      <c r="BV2" s="1">
        <f>IFERROR(INDEX(tblStandings[#All],ROW(A2),COLUMN(A2)),"")</f>
        <v>1</v>
      </c>
      <c r="BW2" s="1" t="str">
        <f>IFERROR(INDEX(tblStandings[#All],ROW(B2),COLUMN(B2)),"")</f>
        <v>Bromley</v>
      </c>
      <c r="BX2" s="1">
        <f>IFERROR(INDEX(tblStandings[#All],ROW(C2),COLUMN(C2)),"")</f>
        <v>42</v>
      </c>
      <c r="BY2" s="1">
        <f>IFERROR(INDEX(tblStandings[#All],ROW(D2),COLUMN(D2)),"")</f>
        <v>23</v>
      </c>
      <c r="BZ2" s="1">
        <f>IFERROR(INDEX(tblStandings[#All],ROW(E2),COLUMN(E2)),"")</f>
        <v>14</v>
      </c>
      <c r="CA2" s="1">
        <f>IFERROR(INDEX(tblStandings[#All],ROW(F2),COLUMN(F2)),"")</f>
        <v>5</v>
      </c>
      <c r="CB2" s="1">
        <f>IFERROR(INDEX(tblStandings[#All],ROW(G2),COLUMN(G2)),"")</f>
        <v>67</v>
      </c>
      <c r="CC2" s="1">
        <f>IFERROR(INDEX(tblStandings[#All],ROW(H2),COLUMN(H2)),"")</f>
        <v>41</v>
      </c>
      <c r="CD2" s="1">
        <f>IFERROR(INDEX(tblStandings[#All],ROW(I2),COLUMN(I2)),"")</f>
        <v>26</v>
      </c>
      <c r="CE2" s="1">
        <f>IFERROR(INDEX(tblStandings[#All],ROW(J2),COLUMN(J2)),"")</f>
        <v>83</v>
      </c>
      <c r="CF2" s="1" t="str">
        <f>IFERROR(INDEX(tblStandings[#All],ROW(K2),COLUMN(K2)),"")</f>
        <v>WDLWW</v>
      </c>
      <c r="CG2" s="1" t="str">
        <f>IFERROR(MID($CF2,1,1),"")</f>
        <v>W</v>
      </c>
      <c r="CH2" s="1" t="str">
        <f>IFERROR(MID($CF2,2,1),"")</f>
        <v>D</v>
      </c>
      <c r="CI2" s="1" t="str">
        <f>IFERROR(MID($CF2,3,1),"")</f>
        <v>L</v>
      </c>
      <c r="CJ2" s="1" t="str">
        <f>IFERROR(MID($CF2,4,1),"")</f>
        <v>W</v>
      </c>
      <c r="CK2" s="1" t="str">
        <f>IFERROR(MID($CF2,5,1),"")</f>
        <v>W</v>
      </c>
      <c r="CM2" s="3">
        <f ca="1">IFERROR(
IF(
AND(
SUMPRODUCT(--ISNUMBER($AC$31:$AC$35),--ISNUMBER($AD$31:$AD$35))&gt;0,
COUNT($R$31:$R$35)&gt;0,
MAX($R$31:$R$35)&gt;=EDATE(TODAY(),-24)
),
(
(
IF(SUMPRODUCT(--ISNUMBER($AC$2:$AC$11),--ISNUMBER($AD$2:$AD$11))=0,0,
SUMPRODUCT(--ISNUMBER($AC$2:$AC$11),--ISNUMBER($AD$2:$AD$11),--(($AC$2:$AC$11+$AD$2:$AD$11)&gt;=1))/
SUMPRODUCT(--ISNUMBER($AC$2:$AC$11),--ISNUMBER($AD$2:$AD$11))
)
)
*
(1-(0.2+0.075*(SUMPRODUCT(--ISNUMBER($AC$31:$AC$35),--ISNUMBER($AD$31:$AD$35))-1)))/2
+
(
IF(SUMPRODUCT(--ISNUMBER($AC$16:$AC$25),--ISNUMBER($AD$16:$AD$25))=0,0,
SUMPRODUCT(--ISNUMBER($AC$16:$AC$25),--ISNUMBER($AD$16:$AD$25),--(($AC$16:$AC$25+$AD$16:$AD$25)&gt;=1))/
SUMPRODUCT(--ISNUMBER($AC$16:$AC$25),--ISNUMBER($AD$16:$AD$25))
)
)
*
(1-(0.2+0.075*(SUMPRODUCT(--ISNUMBER($AC$31:$AC$35),--ISNUMBER($AD$31:$AD$35))-1)))/2
+
(
IF(SUMPRODUCT(--ISNUMBER($AC$31:$AC$35),--ISNUMBER($AD$31:$AD$35))=0,0,
SUMPRODUCT(--ISNUMBER($AC$31:$AC$35),--ISNUMBER($AD$31:$AD$35),--(($AC$31:$AC$35+$AD$31:$AD$35)&gt;=1))/
SUMPRODUCT(--ISNUMBER($AC$31:$AC$35),--ISNUMBER($AD$31:$AD$35))
)
)
*
(0.2+0.075*(SUMPRODUCT(--ISNUMBER($AC$31:$AC$35),--ISNUMBER($AD$31:$AD$35))-1))
),
(
0.5*
IF(SUMPRODUCT(--ISNUMBER($AC$2:$AC$11),--ISNUMBER($AD$2:$AD$11))=0,0,
SUMPRODUCT(--ISNUMBER($AC$2:$AC$11),--ISNUMBER($AD$2:$AD$11),--(($AC$2:$AC$11+$AD$2:$AD$11)&gt;=1))/
SUMPRODUCT(--ISNUMBER($AC$2:$AC$11),--ISNUMBER($AD$2:$AD$11))
)
+
0.5*
IF(SUMPRODUCT(--ISNUMBER($AC$16:$AC$25),--ISNUMBER($AD$16:$AD$25))=0,0,
SUMPRODUCT(--ISNUMBER($AC$16:$AC$25),--ISNUMBER($AD$16:$AD$25),--(($AC$16:$AC$25+$AD$16:$AD$25)&gt;=1))/
SUMPRODUCT(--ISNUMBER($AC$16:$AC$25),--ISNUMBER($AD$16:$AD$25))
)
)
),
"")</f>
        <v>0.7</v>
      </c>
      <c r="CN2" s="3">
        <f ca="1">IFERROR(
IF(
AND(
SUMPRODUCT(--ISNUMBER($AE$31:$AE$35),--ISNUMBER($AF$31:$AF$35))&gt;0,
COUNT($R$31:$R$35)&gt;0,
MAX($R$31:$R$35)&gt;=EDATE(TODAY(),-24)
),
(
(
IF(SUMPRODUCT(--ISNUMBER($AE$2:$AE$11),--ISNUMBER($AF$2:$AF$11))=0,0,
SUMPRODUCT(--ISNUMBER($AE$2:$AE$11),--ISNUMBER($AF$2:$AF$11),--(($AE$2:$AE$11+$AF$2:$AF$11)&gt;=2))/
SUMPRODUCT(--ISNUMBER($AE$2:$AE$11),--ISNUMBER($AF$2:$AF$11))
)
)
*
(1-(0.2+0.075*(SUMPRODUCT(--ISNUMBER($AE$31:$AE$35),--ISNUMBER($AF$31:$AF$35))-1)))/2
+
(
IF(SUMPRODUCT(--ISNUMBER($AE$16:$AE$25),--ISNUMBER($AF$16:$AF$25))=0,0,
SUMPRODUCT(--ISNUMBER($AE$16:$AE$25),--ISNUMBER($AF$16:$AF$25),--(($AE$16:$AE$25+$AF$16:$AF$25)&gt;=2))/
SUMPRODUCT(--ISNUMBER($AE$16:$AE$25),--ISNUMBER($AF$16:$AF$25))
)
)
*
(1-(0.2+0.075*(SUMPRODUCT(--ISNUMBER($AE$31:$AE$35),--ISNUMBER($AF$31:$AF$35))-1)))/2
+
(
IF(SUMPRODUCT(--ISNUMBER($AE$31:$AE$35),--ISNUMBER($AF$31:$AF$35))=0,0,
SUMPRODUCT(--ISNUMBER($AE$31:$AE$35),--ISNUMBER($AF$31:$AF$35),--(($AE$31:$AE$35+$AF$31:$AF$35)&gt;=2))/
SUMPRODUCT(--ISNUMBER($AE$31:$AE$35),--ISNUMBER($AF$31:$AF$35))
)
)
*
(0.2+0.075*(SUMPRODUCT(--ISNUMBER($AE$31:$AE$35),--ISNUMBER($AF$31:$AF$35))-1))
),
(
0.5*
IF(SUMPRODUCT(--ISNUMBER($AE$2:$AE$11),--ISNUMBER($AF$2:$AF$11))=0,0,
SUMPRODUCT(--ISNUMBER($AE$2:$AE$11),--ISNUMBER($AF$2:$AF$11),--(($AE$2:$AE$11+$AF$2:$AF$11)&gt;=2))/
SUMPRODUCT(--ISNUMBER($AE$2:$AE$11),--ISNUMBER($AF$2:$AF$11))
)
+
0.5*
IF(SUMPRODUCT(--ISNUMBER($AE$16:$AE$25),--ISNUMBER($AF$16:$AF$25))=0,0,
SUMPRODUCT(--ISNUMBER($AE$16:$AE$25),--ISNUMBER($AF$16:$AF$25),--(($AE$16:$AE$25+$AF$16:$AF$25)&gt;=2))/
SUMPRODUCT(--ISNUMBER($AE$16:$AE$25),--ISNUMBER($AF$16:$AF$25))
)
)
),
"")</f>
        <v>0.6</v>
      </c>
      <c r="CP2" s="3">
        <f>IFERROR(
IF(
COUNT($AC$2:$AC$11)=0,
"",
AVERAGE($AC$2:$AC$11)
),"")</f>
        <v>0.5</v>
      </c>
      <c r="CR2" s="3">
        <f ca="1">IFERROR(
IF(
AND(
SUMPRODUCT(--ISNUMBER($AU$31:$AU$35),--ISNUMBER($AV$31:$AV$35))&gt;0,
COUNT($R$31:$R$35)&gt;0,
MAX($R$31:$R$35)&gt;=EDATE(TODAY(),-24)
),
(
(
IF(SUMPRODUCT(--ISNUMBER($AU$2:$AU$11),--ISNUMBER($AV$2:$AV$11))=0,0,
SUMPRODUCT(--ISNUMBER($AU$2:$AU$11),--ISNUMBER($AV$2:$AV$11),--(($AU$2:$AU$11+$AV$2:$AV$11)&gt;=8))/
SUMPRODUCT(--ISNUMBER($AU$2:$AU$11),--ISNUMBER($AV$2:$AV$11))
)
)
*
(1-(0.2+0.075*(SUMPRODUCT(--ISNUMBER($AU$31:$AU$35),--ISNUMBER($AV$31:$AV$35))-1)))/2
+
(
IF(SUMPRODUCT(--ISNUMBER($AU$16:$AU$25),--ISNUMBER($AV$16:$AV$25))=0,0,
SUMPRODUCT(--ISNUMBER($AU$16:$AU$25),--ISNUMBER($AV$16:$AV$25),--(($AU$16:$AU$25+$AV$16:$AV$25)&gt;=8))/
SUMPRODUCT(--ISNUMBER($AU$16:$AU$25),--ISNUMBER($AV$16:$AV$25))
)
)
*
(1-(0.2+0.075*(SUMPRODUCT(--ISNUMBER($AU$31:$AU$35),--ISNUMBER($AV$31:$AV$35))-1)))/2
+
(
IF(SUMPRODUCT(--ISNUMBER($AU$31:$AU$35),--ISNUMBER($AV$31:$AV$35))=0,0,
SUMPRODUCT(--ISNUMBER($AU$31:$AU$35),--ISNUMBER($AV$31:$AV$35),--(($AU$31:$AU$35+$AV$31:$AV$35)&gt;=8))/
SUMPRODUCT(--ISNUMBER($AU$31:$AU$35),--ISNUMBER($AV$31:$AV$35))
)
)
*
(0.2+0.075*(SUMPRODUCT(--ISNUMBER($AU$31:$AU$35),--ISNUMBER($AV$31:$AV$35))-1))
),
(
0.5*
IF(SUMPRODUCT(--ISNUMBER($AU$2:$AU$11),--ISNUMBER($AV$2:$AV$11))=0,0,
SUMPRODUCT(--ISNUMBER($AU$2:$AU$11),--ISNUMBER($AV$2:$AV$11),--(($AU$2:$AU$11+$AV$2:$AV$11)&gt;=8))/
SUMPRODUCT(--ISNUMBER($AU$2:$AU$11),--ISNUMBER($AV$2:$AV$11))
)
+
0.5*
IF(SUMPRODUCT(--ISNUMBER($AU$16:$AU$25),--ISNUMBER($AV$16:$AV$25))=0,0,
SUMPRODUCT(--ISNUMBER($AU$16:$AU$25),--ISNUMBER($AV$16:$AV$25),--(($AU$16:$AU$25+$AV$16:$AV$25)&gt;=8))/
SUMPRODUCT(--ISNUMBER($AU$16:$AU$25),--ISNUMBER($AV$16:$AV$25))
)
)
),
"")</f>
        <v>0.75</v>
      </c>
      <c r="CT2" s="1" t="s">
        <v>169</v>
      </c>
      <c r="CV2" s="3">
        <f>IFERROR(
CX2 / SUMPRODUCT(--ISNUMBER($AE$31:$AE$35),--ISNUMBER($AF$31:$AF$35)),"")</f>
        <v>0</v>
      </c>
      <c r="CX2" s="3">
        <f>IFERROR(SUMPRODUCT(--ISNUMBER($AE$31:$AE$35),--ISNUMBER($AF$31:$AF$35),--($AE$31:$AE$35&gt;$AF$31:$AF$35)),"")</f>
        <v>0</v>
      </c>
      <c r="CZ2" s="3">
        <f>IFERROR(SUMPRODUCT(--ISNUMBER($AE$2:$AE$11),--ISNUMBER($AF$2:$AF$11),--($AE$2:$AE$11&gt;$AF$2:$AF$11)),"")</f>
        <v>4</v>
      </c>
      <c r="DB2" s="3">
        <f>IFERROR(SUMPRODUCT(--ISNUMBER($AE$16:$AE$25),--ISNUMBER($AF$16:$AF$25),--($AF$16:$AF$25&gt;$AE$16:$AE$25)),"")</f>
        <v>3</v>
      </c>
      <c r="DD2" s="3">
        <f>IFERROR(
ROUND(
SUMPRODUCT(--ISNUMBER($AC$31:$AC$35),$AC$31:$AC$35) /
SUMPRODUCT(--ISNUMBER($AC$31:$AC$35)),2),
"")</f>
        <v>0.8</v>
      </c>
    </row>
    <row r="3" spans="1:108" x14ac:dyDescent="0.25">
      <c r="H3" s="1">
        <v>1499356</v>
      </c>
      <c r="I3" s="4">
        <v>46330</v>
      </c>
      <c r="J3" s="1" t="s">
        <v>32</v>
      </c>
      <c r="K3" s="1" t="s">
        <v>28</v>
      </c>
      <c r="L3" s="1" t="s">
        <v>6473</v>
      </c>
      <c r="M3" s="1" t="s">
        <v>6606</v>
      </c>
      <c r="N3" s="1" t="s">
        <v>7148</v>
      </c>
      <c r="O3" s="1" t="s">
        <v>7149</v>
      </c>
      <c r="Q3" s="1">
        <f>IF(INDEX(Last10Home_Stats_All!$A:$A,ROW()-ROW($Q$2)+2)="","",
IFERROR(
INDEX(Last10Home_Stats_All!$A:$ZZ,ROW()-ROW($Q$2)+2,COLUMN()-COLUMN($Q$2)+1),
""))</f>
        <v>1386452</v>
      </c>
      <c r="R3" s="1" t="str">
        <f>IF(INDEX(Last10Home_Stats_All!$A:$A,ROW()-ROW($Q$2)+2)="","",
IFERROR(
INDEX(Last10Home_Stats_All!$A:$ZZ,ROW()-ROW($Q$2)+2,COLUMN()-COLUMN($Q$2)+1),
""))</f>
        <v>21/03/2026 15:00</v>
      </c>
      <c r="S3" s="1" t="str">
        <f>IF(INDEX(Last10Home_Stats_All!$A:$A,ROW()-ROW($Q$2)+2)="","",
IFERROR(
INDEX(Last10Home_Stats_All!$A:$ZZ,ROW()-ROW($Q$2)+2,COLUMN()-COLUMN($Q$2)+1),
""))</f>
        <v>England</v>
      </c>
      <c r="T3" s="1" t="str">
        <f>IF(INDEX(Last10Home_Stats_All!$A:$A,ROW()-ROW($Q$2)+2)="","",
IFERROR(
INDEX(Last10Home_Stats_All!$A:$ZZ,ROW()-ROW($Q$2)+2,COLUMN()-COLUMN($Q$2)+1),
""))</f>
        <v>League Two</v>
      </c>
      <c r="U3" s="1" t="str">
        <f>IF(INDEX(Last10Home_Stats_All!$A:$A,ROW()-ROW($Q$2)+2)="","",
IFERROR(
INDEX(Last10Home_Stats_All!$A:$ZZ,ROW()-ROW($Q$2)+2,COLUMN()-COLUMN($Q$2)+1),
""))</f>
        <v>https://media.api-sports.io/football/teams/1360.png</v>
      </c>
      <c r="V3" s="1" t="str">
        <f>IF(INDEX(Last10Home_Stats_All!$A:$A,ROW()-ROW($Q$2)+2)="","",
IFERROR(
INDEX(Last10Home_Stats_All!$A:$ZZ,ROW()-ROW($Q$2)+2,COLUMN()-COLUMN($Q$2)+1),
""))</f>
        <v>Accrington ST</v>
      </c>
      <c r="W3" s="1" t="str">
        <f>IF(INDEX(Last10Home_Stats_All!$A:$A,ROW()-ROW($Q$2)+2)="","",
IFERROR(
INDEX(Last10Home_Stats_All!$A:$ZZ,ROW()-ROW($Q$2)+2,COLUMN()-COLUMN($Q$2)+1),
""))</f>
        <v>https://media.api-sports.io/football/teams/1345.png</v>
      </c>
      <c r="X3" s="1" t="str">
        <f>IF(INDEX(Last10Home_Stats_All!$A:$A,ROW()-ROW($Q$2)+2)="","",
IFERROR(
INDEX(Last10Home_Stats_All!$A:$ZZ,ROW()-ROW($Q$2)+2,COLUMN()-COLUMN($Q$2)+1),
""))</f>
        <v>Chesterfield</v>
      </c>
      <c r="Y3" s="1" t="str">
        <f>IF(INDEX(Last10Home_Stats_All!$A:$A,ROW()-ROW($Q$2)+2)="","",
IFERROR(
INDEX(Last10Home_Stats_All!$A:$ZZ,ROW()-ROW($Q$2)+2,COLUMN()-COLUMN($Q$2)+1),
""))</f>
        <v>https://media.api-sports.io/football/leagues/42.png</v>
      </c>
      <c r="Z3" s="1" t="str">
        <f>IF(INDEX(Last10Home_Stats_All!$A:$A,ROW()-ROW($Q$2)+2)="","",
IFERROR(
INDEX(Last10Home_Stats_All!$A:$ZZ,ROW()-ROW($Q$2)+2,COLUMN()-COLUMN($Q$2)+1),
""))</f>
        <v>https://media.api-sports.io/flags/gb-eng.svg</v>
      </c>
      <c r="AA3" s="1">
        <f>IF(INDEX(Last10Home_Stats_All!$A:$A,ROW()-ROW($Q$2)+2)="","",
IFERROR(
INDEX(Last10Home_Stats_All!$A:$ZZ,ROW()-ROW($Q$2)+2,COLUMN()-COLUMN($Q$2)+1),
""))</f>
        <v>0</v>
      </c>
      <c r="AB3" s="1">
        <f>IF(INDEX(Last10Home_Stats_All!$A:$A,ROW()-ROW($Q$2)+2)="","",
IFERROR(
INDEX(Last10Home_Stats_All!$A:$ZZ,ROW()-ROW($Q$2)+2,COLUMN()-COLUMN($Q$2)+1),
""))</f>
        <v>1</v>
      </c>
      <c r="AC3" s="1">
        <f>IF(INDEX(Last10Home_Stats_All!$A:$A,ROW()-ROW($Q$2)+2)="","",
IFERROR(
INDEX(Last10Home_Stats_All!$A:$ZZ,ROW()-ROW($Q$2)+2,COLUMN()-COLUMN($Q$2)+1),
""))</f>
        <v>0</v>
      </c>
      <c r="AD3" s="1">
        <f>IF(INDEX(Last10Home_Stats_All!$A:$A,ROW()-ROW($Q$2)+2)="","",
IFERROR(
INDEX(Last10Home_Stats_All!$A:$ZZ,ROW()-ROW($Q$2)+2,COLUMN()-COLUMN($Q$2)+1),
""))</f>
        <v>0</v>
      </c>
      <c r="AE3" s="1">
        <f>IF(INDEX(Last10Home_Stats_All!$A:$A,ROW()-ROW($Q$2)+2)="","",
IFERROR(
INDEX(Last10Home_Stats_All!$A:$ZZ,ROW()-ROW($Q$2)+2,COLUMN()-COLUMN($Q$2)+1),
""))</f>
        <v>0</v>
      </c>
      <c r="AF3" s="1">
        <f>IF(INDEX(Last10Home_Stats_All!$A:$A,ROW()-ROW($Q$2)+2)="","",
IFERROR(
INDEX(Last10Home_Stats_All!$A:$ZZ,ROW()-ROW($Q$2)+2,COLUMN()-COLUMN($Q$2)+1),
""))</f>
        <v>1</v>
      </c>
      <c r="AG3" s="1">
        <f>IF(INDEX(Last10Home_Stats_All!$A:$A,ROW()-ROW($Q$2)+2)="","",
IFERROR(
INDEX(Last10Home_Stats_All!$A:$ZZ,ROW()-ROW($Q$2)+2,COLUMN()-COLUMN($Q$2)+1),
""))</f>
        <v>6</v>
      </c>
      <c r="AH3" s="1">
        <f>IF(INDEX(Last10Home_Stats_All!$A:$A,ROW()-ROW($Q$2)+2)="","",
IFERROR(
INDEX(Last10Home_Stats_All!$A:$ZZ,ROW()-ROW($Q$2)+2,COLUMN()-COLUMN($Q$2)+1),
""))</f>
        <v>3</v>
      </c>
      <c r="AI3" s="1">
        <f>IF(INDEX(Last10Home_Stats_All!$A:$A,ROW()-ROW($Q$2)+2)="","",
IFERROR(
INDEX(Last10Home_Stats_All!$A:$ZZ,ROW()-ROW($Q$2)+2,COLUMN()-COLUMN($Q$2)+1),
""))</f>
        <v>4</v>
      </c>
      <c r="AJ3" s="1">
        <f>IF(INDEX(Last10Home_Stats_All!$A:$A,ROW()-ROW($Q$2)+2)="","",
IFERROR(
INDEX(Last10Home_Stats_All!$A:$ZZ,ROW()-ROW($Q$2)+2,COLUMN()-COLUMN($Q$2)+1),
""))</f>
        <v>4</v>
      </c>
      <c r="AK3" s="1">
        <f>IF(INDEX(Last10Home_Stats_All!$A:$A,ROW()-ROW($Q$2)+2)="","",
IFERROR(
INDEX(Last10Home_Stats_All!$A:$ZZ,ROW()-ROW($Q$2)+2,COLUMN()-COLUMN($Q$2)+1),
""))</f>
        <v>14</v>
      </c>
      <c r="AL3" s="1">
        <f>IF(INDEX(Last10Home_Stats_All!$A:$A,ROW()-ROW($Q$2)+2)="","",
IFERROR(
INDEX(Last10Home_Stats_All!$A:$ZZ,ROW()-ROW($Q$2)+2,COLUMN()-COLUMN($Q$2)+1),
""))</f>
        <v>13</v>
      </c>
      <c r="AM3" s="1">
        <f>IF(INDEX(Last10Home_Stats_All!$A:$A,ROW()-ROW($Q$2)+2)="","",
IFERROR(
INDEX(Last10Home_Stats_All!$A:$ZZ,ROW()-ROW($Q$2)+2,COLUMN()-COLUMN($Q$2)+1),
""))</f>
        <v>4</v>
      </c>
      <c r="AN3" s="1">
        <f>IF(INDEX(Last10Home_Stats_All!$A:$A,ROW()-ROW($Q$2)+2)="","",
IFERROR(
INDEX(Last10Home_Stats_All!$A:$ZZ,ROW()-ROW($Q$2)+2,COLUMN()-COLUMN($Q$2)+1),
""))</f>
        <v>6</v>
      </c>
      <c r="AO3" s="1">
        <f>IF(INDEX(Last10Home_Stats_All!$A:$A,ROW()-ROW($Q$2)+2)="","",
IFERROR(
INDEX(Last10Home_Stats_All!$A:$ZZ,ROW()-ROW($Q$2)+2,COLUMN()-COLUMN($Q$2)+1),
""))</f>
        <v>6</v>
      </c>
      <c r="AP3" s="1">
        <f>IF(INDEX(Last10Home_Stats_All!$A:$A,ROW()-ROW($Q$2)+2)="","",
IFERROR(
INDEX(Last10Home_Stats_All!$A:$ZZ,ROW()-ROW($Q$2)+2,COLUMN()-COLUMN($Q$2)+1),
""))</f>
        <v>11</v>
      </c>
      <c r="AQ3" s="1">
        <f>IF(INDEX(Last10Home_Stats_All!$A:$A,ROW()-ROW($Q$2)+2)="","",
IFERROR(
INDEX(Last10Home_Stats_All!$A:$ZZ,ROW()-ROW($Q$2)+2,COLUMN()-COLUMN($Q$2)+1),
""))</f>
        <v>8</v>
      </c>
      <c r="AR3" s="1">
        <f>IF(INDEX(Last10Home_Stats_All!$A:$A,ROW()-ROW($Q$2)+2)="","",
IFERROR(
INDEX(Last10Home_Stats_All!$A:$ZZ,ROW()-ROW($Q$2)+2,COLUMN()-COLUMN($Q$2)+1),
""))</f>
        <v>2</v>
      </c>
      <c r="AS3" s="1">
        <f>IF(INDEX(Last10Home_Stats_All!$A:$A,ROW()-ROW($Q$2)+2)="","",
IFERROR(
INDEX(Last10Home_Stats_All!$A:$ZZ,ROW()-ROW($Q$2)+2,COLUMN()-COLUMN($Q$2)+1),
""))</f>
        <v>10</v>
      </c>
      <c r="AT3" s="1">
        <f>IF(INDEX(Last10Home_Stats_All!$A:$A,ROW()-ROW($Q$2)+2)="","",
IFERROR(
INDEX(Last10Home_Stats_All!$A:$ZZ,ROW()-ROW($Q$2)+2,COLUMN()-COLUMN($Q$2)+1),
""))</f>
        <v>13</v>
      </c>
      <c r="AU3" s="1">
        <f>IF(INDEX(Last10Home_Stats_All!$A:$A,ROW()-ROW($Q$2)+2)="","",
IFERROR(
INDEX(Last10Home_Stats_All!$A:$ZZ,ROW()-ROW($Q$2)+2,COLUMN()-COLUMN($Q$2)+1),
""))</f>
        <v>4</v>
      </c>
      <c r="AV3" s="1">
        <f>IF(INDEX(Last10Home_Stats_All!$A:$A,ROW()-ROW($Q$2)+2)="","",
IFERROR(
INDEX(Last10Home_Stats_All!$A:$ZZ,ROW()-ROW($Q$2)+2,COLUMN()-COLUMN($Q$2)+1),
""))</f>
        <v>7</v>
      </c>
      <c r="AW3" s="1">
        <f>IF(INDEX(Last10Home_Stats_All!$A:$A,ROW()-ROW($Q$2)+2)="","",
IFERROR(
INDEX(Last10Home_Stats_All!$A:$ZZ,ROW()-ROW($Q$2)+2,COLUMN()-COLUMN($Q$2)+1),
""))</f>
        <v>2</v>
      </c>
      <c r="AX3" s="1">
        <f>IF(INDEX(Last10Home_Stats_All!$A:$A,ROW()-ROW($Q$2)+2)="","",
IFERROR(
INDEX(Last10Home_Stats_All!$A:$ZZ,ROW()-ROW($Q$2)+2,COLUMN()-COLUMN($Q$2)+1),
""))</f>
        <v>0</v>
      </c>
      <c r="AY3" s="1">
        <f>IF(INDEX(Last10Home_Stats_All!$A:$A,ROW()-ROW($Q$2)+2)="","",
IFERROR(
INDEX(Last10Home_Stats_All!$A:$ZZ,ROW()-ROW($Q$2)+2,COLUMN()-COLUMN($Q$2)+1),
""))</f>
        <v>47</v>
      </c>
      <c r="AZ3" s="1">
        <f>IF(INDEX(Last10Home_Stats_All!$A:$A,ROW()-ROW($Q$2)+2)="","",
IFERROR(
INDEX(Last10Home_Stats_All!$A:$ZZ,ROW()-ROW($Q$2)+2,COLUMN()-COLUMN($Q$2)+1),
""))</f>
        <v>53</v>
      </c>
      <c r="BA3" s="1">
        <f>IF(INDEX(Last10Home_Stats_All!$A:$A,ROW()-ROW($Q$2)+2)="","",
IFERROR(
INDEX(Last10Home_Stats_All!$A:$ZZ,ROW()-ROW($Q$2)+2,COLUMN()-COLUMN($Q$2)+1),
""))</f>
        <v>2</v>
      </c>
      <c r="BB3" s="1">
        <f>IF(INDEX(Last10Home_Stats_All!$A:$A,ROW()-ROW($Q$2)+2)="","",
IFERROR(
INDEX(Last10Home_Stats_All!$A:$ZZ,ROW()-ROW($Q$2)+2,COLUMN()-COLUMN($Q$2)+1),
""))</f>
        <v>1</v>
      </c>
      <c r="BC3" s="1">
        <f>IF(INDEX(Last10Home_Stats_All!$A:$A,ROW()-ROW($Q$2)+2)="","",
IFERROR(
INDEX(Last10Home_Stats_All!$A:$ZZ,ROW()-ROW($Q$2)+2,COLUMN()-COLUMN($Q$2)+1),
""))</f>
        <v>0</v>
      </c>
      <c r="BD3" s="1">
        <f>IF(INDEX(Last10Home_Stats_All!$A:$A,ROW()-ROW($Q$2)+2)="","",
IFERROR(
INDEX(Last10Home_Stats_All!$A:$ZZ,ROW()-ROW($Q$2)+2,COLUMN()-COLUMN($Q$2)+1),
""))</f>
        <v>0</v>
      </c>
      <c r="BE3" s="1">
        <f>IF(INDEX(Last10Home_Stats_All!$A:$A,ROW()-ROW($Q$2)+2)="","",
IFERROR(
INDEX(Last10Home_Stats_All!$A:$ZZ,ROW()-ROW($Q$2)+2,COLUMN()-COLUMN($Q$2)+1),
""))</f>
        <v>3</v>
      </c>
      <c r="BF3" s="1">
        <f>IF(INDEX(Last10Home_Stats_All!$A:$A,ROW()-ROW($Q$2)+2)="","",
IFERROR(
INDEX(Last10Home_Stats_All!$A:$ZZ,ROW()-ROW($Q$2)+2,COLUMN()-COLUMN($Q$2)+1),
""))</f>
        <v>6</v>
      </c>
      <c r="BG3" s="1">
        <f>IF(INDEX(Last10Home_Stats_All!$A:$A,ROW()-ROW($Q$2)+2)="","",
IFERROR(
INDEX(Last10Home_Stats_All!$A:$ZZ,ROW()-ROW($Q$2)+2,COLUMN()-COLUMN($Q$2)+1),
""))</f>
        <v>352</v>
      </c>
      <c r="BH3" s="1">
        <f>IF(INDEX(Last10Home_Stats_All!$A:$A,ROW()-ROW($Q$2)+2)="","",
IFERROR(
INDEX(Last10Home_Stats_All!$A:$ZZ,ROW()-ROW($Q$2)+2,COLUMN()-COLUMN($Q$2)+1),
""))</f>
        <v>382</v>
      </c>
      <c r="BI3" s="1">
        <f>IF(INDEX(Last10Home_Stats_All!$A:$A,ROW()-ROW($Q$2)+2)="","",
IFERROR(
INDEX(Last10Home_Stats_All!$A:$ZZ,ROW()-ROW($Q$2)+2,COLUMN()-COLUMN($Q$2)+1),
""))</f>
        <v>246</v>
      </c>
      <c r="BJ3" s="1">
        <f>IF(INDEX(Last10Home_Stats_All!$A:$A,ROW()-ROW($Q$2)+2)="","",
IFERROR(
INDEX(Last10Home_Stats_All!$A:$ZZ,ROW()-ROW($Q$2)+2,COLUMN()-COLUMN($Q$2)+1),
""))</f>
        <v>275</v>
      </c>
      <c r="BK3" s="1">
        <f>IF(INDEX(Last10Home_Stats_All!$A:$A,ROW()-ROW($Q$2)+2)="","",
IFERROR(
INDEX(Last10Home_Stats_All!$A:$ZZ,ROW()-ROW($Q$2)+2,COLUMN()-COLUMN($Q$2)+1),
""))</f>
        <v>70</v>
      </c>
      <c r="BL3" s="1">
        <f>IF(INDEX(Last10Home_Stats_All!$A:$A,ROW()-ROW($Q$2)+2)="","",
IFERROR(
INDEX(Last10Home_Stats_All!$A:$ZZ,ROW()-ROW($Q$2)+2,COLUMN()-COLUMN($Q$2)+1),
""))</f>
        <v>72</v>
      </c>
      <c r="BM3" s="1">
        <f>IF(INDEX(Last10Home_Stats_All!$A:$A,ROW()-ROW($Q$2)+2)="","",
IFERROR(
INDEX(Last10Home_Stats_All!$A:$ZZ,ROW()-ROW($Q$2)+2,COLUMN()-COLUMN($Q$2)+1),
""))</f>
        <v>0.92</v>
      </c>
      <c r="BN3" s="1">
        <f>IF(INDEX(Last10Home_Stats_All!$A:$A,ROW()-ROW($Q$2)+2)="","",
IFERROR(
INDEX(Last10Home_Stats_All!$A:$ZZ,ROW()-ROW($Q$2)+2,COLUMN()-COLUMN($Q$2)+1),
""))</f>
        <v>2.87</v>
      </c>
      <c r="BO3" s="1">
        <f>IF(INDEX(Last10Home_Stats_All!$A:$A,ROW()-ROW($Q$2)+2)="","",
IFERROR(
INDEX(Last10Home_Stats_All!$A:$ZZ,ROW()-ROW($Q$2)+2,COLUMN()-COLUMN($Q$2)+1),
""))</f>
        <v>0</v>
      </c>
      <c r="BP3" s="1">
        <f>IF(INDEX(Last10Home_Stats_All!$A:$A,ROW()-ROW($Q$2)+2)="","",
IFERROR(
INDEX(Last10Home_Stats_All!$A:$ZZ,ROW()-ROW($Q$2)+2,COLUMN()-COLUMN($Q$2)+1),
""))</f>
        <v>0</v>
      </c>
      <c r="BR3" s="1" t="str">
        <f>IF(OR(Control!AC3="",Control!AD3=""),"",Control!AC3&amp;" : "&amp;Control!AD3)</f>
        <v>0 : 0</v>
      </c>
      <c r="BS3" s="1" t="str">
        <f>IF(OR(Control!AE3="",Control!AF3=""),"",Control!AE3&amp;" : "&amp;Control!AF3)</f>
        <v>0 : 1</v>
      </c>
      <c r="BT3" s="1" t="str">
        <f>IF(OR(Control!AU3="",Control!AV3=""),"",Control!AU3&amp;" : "&amp;Control!AV3)</f>
        <v>4 : 7</v>
      </c>
      <c r="BV3" s="1">
        <f>IFERROR(INDEX(tblStandings[#All],ROW(A3),COLUMN(A3)),"")</f>
        <v>2</v>
      </c>
      <c r="BW3" s="1" t="str">
        <f>IFERROR(INDEX(tblStandings[#All],ROW(B3),COLUMN(B3)),"")</f>
        <v>Milton Keynes Dons</v>
      </c>
      <c r="BX3" s="1">
        <f>IFERROR(INDEX(tblStandings[#All],ROW(C3),COLUMN(C3)),"")</f>
        <v>42</v>
      </c>
      <c r="BY3" s="1">
        <f>IFERROR(INDEX(tblStandings[#All],ROW(D3),COLUMN(D3)),"")</f>
        <v>21</v>
      </c>
      <c r="BZ3" s="1">
        <f>IFERROR(INDEX(tblStandings[#All],ROW(E3),COLUMN(E3)),"")</f>
        <v>13</v>
      </c>
      <c r="CA3" s="1">
        <f>IFERROR(INDEX(tblStandings[#All],ROW(F3),COLUMN(F3)),"")</f>
        <v>8</v>
      </c>
      <c r="CB3" s="1">
        <f>IFERROR(INDEX(tblStandings[#All],ROW(G3),COLUMN(G3)),"")</f>
        <v>77</v>
      </c>
      <c r="CC3" s="1">
        <f>IFERROR(INDEX(tblStandings[#All],ROW(H3),COLUMN(H3)),"")</f>
        <v>42</v>
      </c>
      <c r="CD3" s="1">
        <f>IFERROR(INDEX(tblStandings[#All],ROW(I3),COLUMN(I3)),"")</f>
        <v>35</v>
      </c>
      <c r="CE3" s="1">
        <f>IFERROR(INDEX(tblStandings[#All],ROW(J3),COLUMN(J3)),"")</f>
        <v>76</v>
      </c>
      <c r="CF3" s="1" t="str">
        <f>IFERROR(INDEX(tblStandings[#All],ROW(K3),COLUMN(K3)),"")</f>
        <v>DDLLW</v>
      </c>
      <c r="CG3" s="1" t="str">
        <f t="shared" ref="CG3:CG50" si="0">IFERROR(MID($CF3,1,1),"")</f>
        <v>D</v>
      </c>
      <c r="CH3" s="1" t="str">
        <f t="shared" ref="CH3:CH50" si="1">IFERROR(MID($CF3,2,1),"")</f>
        <v>D</v>
      </c>
      <c r="CI3" s="1" t="str">
        <f t="shared" ref="CI3:CI50" si="2">IFERROR(MID($CF3,3,1),"")</f>
        <v>L</v>
      </c>
      <c r="CJ3" s="1" t="str">
        <f t="shared" ref="CJ3:CJ50" si="3">IFERROR(MID($CF3,4,1),"")</f>
        <v>L</v>
      </c>
      <c r="CK3" s="1" t="str">
        <f t="shared" ref="CK3:CK50" si="4">IFERROR(MID($CF3,5,1),"")</f>
        <v>W</v>
      </c>
      <c r="CT3" s="3">
        <f>IFERROR(ROUND(
(
IF(COUNT($BA$2:$BA$11)=0,0,AVERAGE($BA$2:$BA$11)) +
IF(COUNT($BB$16:$BB$25)=0,0,AVERAGE($BB$16:$BB$25)) +
IF(COUNT($BA$31:$BA$35)=0,0,AVERAGE($BA$31:$BA$35))
)
/
(
--(COUNT($BA$2:$BA$11)&gt;0) + --(COUNT($BB$16:$BB$25)&gt;0) + --(COUNT($BA$31:$BA$35)&gt;0)
),2),"")</f>
        <v>2.23</v>
      </c>
      <c r="CV3" s="1" t="s">
        <v>244</v>
      </c>
      <c r="CX3" s="1" t="s">
        <v>185</v>
      </c>
      <c r="CZ3" s="1" t="s">
        <v>244</v>
      </c>
      <c r="DB3" s="1" t="s">
        <v>244</v>
      </c>
      <c r="DD3" s="1" t="s">
        <v>257</v>
      </c>
    </row>
    <row r="4" spans="1:108" x14ac:dyDescent="0.25">
      <c r="A4" s="1" t="s">
        <v>3</v>
      </c>
      <c r="B4" s="2">
        <f ca="1">TODAY()</f>
        <v>46122</v>
      </c>
      <c r="C4" s="1" t="str">
        <f ca="1">TEXT(B4,"dd/mm/yyyy dddd")</f>
        <v>10/04/2026 Friday</v>
      </c>
      <c r="D4" s="1">
        <v>2</v>
      </c>
      <c r="E4" s="2">
        <f ca="1">IFERROR(INDEX($B$4:$B$6,$D$4),"")</f>
        <v>46123</v>
      </c>
      <c r="F4" s="1" t="str">
        <f ca="1">IFERROR(INDEX($C$4:$C$6,$D$4),"")</f>
        <v>11/04/2026 Saturday</v>
      </c>
      <c r="H4" s="1">
        <v>1513022</v>
      </c>
      <c r="I4" s="4">
        <v>46330</v>
      </c>
      <c r="J4" s="1" t="s">
        <v>32</v>
      </c>
      <c r="K4" s="1" t="s">
        <v>362</v>
      </c>
      <c r="L4" s="1" t="s">
        <v>363</v>
      </c>
      <c r="M4" s="1" t="s">
        <v>2440</v>
      </c>
      <c r="N4" s="1" t="s">
        <v>441</v>
      </c>
      <c r="O4" s="1" t="s">
        <v>7150</v>
      </c>
      <c r="Q4" s="1">
        <f>IF(INDEX(Last10Home_Stats_All!$A:$A,ROW()-ROW($Q$2)+2)="","",
IFERROR(
INDEX(Last10Home_Stats_All!$A:$ZZ,ROW()-ROW($Q$2)+2,COLUMN()-COLUMN($Q$2)+1),
""))</f>
        <v>1386441</v>
      </c>
      <c r="R4" s="1" t="str">
        <f>IF(INDEX(Last10Home_Stats_All!$A:$A,ROW()-ROW($Q$2)+2)="","",
IFERROR(
INDEX(Last10Home_Stats_All!$A:$ZZ,ROW()-ROW($Q$2)+2,COLUMN()-COLUMN($Q$2)+1),
""))</f>
        <v>17/03/2026 19:45</v>
      </c>
      <c r="S4" s="1" t="str">
        <f>IF(INDEX(Last10Home_Stats_All!$A:$A,ROW()-ROW($Q$2)+2)="","",
IFERROR(
INDEX(Last10Home_Stats_All!$A:$ZZ,ROW()-ROW($Q$2)+2,COLUMN()-COLUMN($Q$2)+1),
""))</f>
        <v>England</v>
      </c>
      <c r="T4" s="1" t="str">
        <f>IF(INDEX(Last10Home_Stats_All!$A:$A,ROW()-ROW($Q$2)+2)="","",
IFERROR(
INDEX(Last10Home_Stats_All!$A:$ZZ,ROW()-ROW($Q$2)+2,COLUMN()-COLUMN($Q$2)+1),
""))</f>
        <v>League Two</v>
      </c>
      <c r="U4" s="1" t="str">
        <f>IF(INDEX(Last10Home_Stats_All!$A:$A,ROW()-ROW($Q$2)+2)="","",
IFERROR(
INDEX(Last10Home_Stats_All!$A:$ZZ,ROW()-ROW($Q$2)+2,COLUMN()-COLUMN($Q$2)+1),
""))</f>
        <v>https://media.api-sports.io/football/teams/1360.png</v>
      </c>
      <c r="V4" s="1" t="str">
        <f>IF(INDEX(Last10Home_Stats_All!$A:$A,ROW()-ROW($Q$2)+2)="","",
IFERROR(
INDEX(Last10Home_Stats_All!$A:$ZZ,ROW()-ROW($Q$2)+2,COLUMN()-COLUMN($Q$2)+1),
""))</f>
        <v>Accrington ST</v>
      </c>
      <c r="W4" s="1" t="str">
        <f>IF(INDEX(Last10Home_Stats_All!$A:$A,ROW()-ROW($Q$2)+2)="","",
IFERROR(
INDEX(Last10Home_Stats_All!$A:$ZZ,ROW()-ROW($Q$2)+2,COLUMN()-COLUMN($Q$2)+1),
""))</f>
        <v>https://media.api-sports.io/football/teams/1376.png</v>
      </c>
      <c r="X4" s="1" t="str">
        <f>IF(INDEX(Last10Home_Stats_All!$A:$A,ROW()-ROW($Q$2)+2)="","",
IFERROR(
INDEX(Last10Home_Stats_All!$A:$ZZ,ROW()-ROW($Q$2)+2,COLUMN()-COLUMN($Q$2)+1),
""))</f>
        <v>Notts County</v>
      </c>
      <c r="Y4" s="1" t="str">
        <f>IF(INDEX(Last10Home_Stats_All!$A:$A,ROW()-ROW($Q$2)+2)="","",
IFERROR(
INDEX(Last10Home_Stats_All!$A:$ZZ,ROW()-ROW($Q$2)+2,COLUMN()-COLUMN($Q$2)+1),
""))</f>
        <v>https://media.api-sports.io/football/leagues/42.png</v>
      </c>
      <c r="Z4" s="1" t="str">
        <f>IF(INDEX(Last10Home_Stats_All!$A:$A,ROW()-ROW($Q$2)+2)="","",
IFERROR(
INDEX(Last10Home_Stats_All!$A:$ZZ,ROW()-ROW($Q$2)+2,COLUMN()-COLUMN($Q$2)+1),
""))</f>
        <v>https://media.api-sports.io/flags/gb-eng.svg</v>
      </c>
      <c r="AA4" s="1">
        <f>IF(INDEX(Last10Home_Stats_All!$A:$A,ROW()-ROW($Q$2)+2)="","",
IFERROR(
INDEX(Last10Home_Stats_All!$A:$ZZ,ROW()-ROW($Q$2)+2,COLUMN()-COLUMN($Q$2)+1),
""))</f>
        <v>0</v>
      </c>
      <c r="AB4" s="1">
        <f>IF(INDEX(Last10Home_Stats_All!$A:$A,ROW()-ROW($Q$2)+2)="","",
IFERROR(
INDEX(Last10Home_Stats_All!$A:$ZZ,ROW()-ROW($Q$2)+2,COLUMN()-COLUMN($Q$2)+1),
""))</f>
        <v>4</v>
      </c>
      <c r="AC4" s="1">
        <f>IF(INDEX(Last10Home_Stats_All!$A:$A,ROW()-ROW($Q$2)+2)="","",
IFERROR(
INDEX(Last10Home_Stats_All!$A:$ZZ,ROW()-ROW($Q$2)+2,COLUMN()-COLUMN($Q$2)+1),
""))</f>
        <v>0</v>
      </c>
      <c r="AD4" s="1">
        <f>IF(INDEX(Last10Home_Stats_All!$A:$A,ROW()-ROW($Q$2)+2)="","",
IFERROR(
INDEX(Last10Home_Stats_All!$A:$ZZ,ROW()-ROW($Q$2)+2,COLUMN()-COLUMN($Q$2)+1),
""))</f>
        <v>2</v>
      </c>
      <c r="AE4" s="1">
        <f>IF(INDEX(Last10Home_Stats_All!$A:$A,ROW()-ROW($Q$2)+2)="","",
IFERROR(
INDEX(Last10Home_Stats_All!$A:$ZZ,ROW()-ROW($Q$2)+2,COLUMN()-COLUMN($Q$2)+1),
""))</f>
        <v>0</v>
      </c>
      <c r="AF4" s="1">
        <f>IF(INDEX(Last10Home_Stats_All!$A:$A,ROW()-ROW($Q$2)+2)="","",
IFERROR(
INDEX(Last10Home_Stats_All!$A:$ZZ,ROW()-ROW($Q$2)+2,COLUMN()-COLUMN($Q$2)+1),
""))</f>
        <v>4</v>
      </c>
      <c r="AG4" s="1">
        <f>IF(INDEX(Last10Home_Stats_All!$A:$A,ROW()-ROW($Q$2)+2)="","",
IFERROR(
INDEX(Last10Home_Stats_All!$A:$ZZ,ROW()-ROW($Q$2)+2,COLUMN()-COLUMN($Q$2)+1),
""))</f>
        <v>3</v>
      </c>
      <c r="AH4" s="1">
        <f>IF(INDEX(Last10Home_Stats_All!$A:$A,ROW()-ROW($Q$2)+2)="","",
IFERROR(
INDEX(Last10Home_Stats_All!$A:$ZZ,ROW()-ROW($Q$2)+2,COLUMN()-COLUMN($Q$2)+1),
""))</f>
        <v>9</v>
      </c>
      <c r="AI4" s="1">
        <f>IF(INDEX(Last10Home_Stats_All!$A:$A,ROW()-ROW($Q$2)+2)="","",
IFERROR(
INDEX(Last10Home_Stats_All!$A:$ZZ,ROW()-ROW($Q$2)+2,COLUMN()-COLUMN($Q$2)+1),
""))</f>
        <v>4</v>
      </c>
      <c r="AJ4" s="1">
        <f>IF(INDEX(Last10Home_Stats_All!$A:$A,ROW()-ROW($Q$2)+2)="","",
IFERROR(
INDEX(Last10Home_Stats_All!$A:$ZZ,ROW()-ROW($Q$2)+2,COLUMN()-COLUMN($Q$2)+1),
""))</f>
        <v>2</v>
      </c>
      <c r="AK4" s="1">
        <f>IF(INDEX(Last10Home_Stats_All!$A:$A,ROW()-ROW($Q$2)+2)="","",
IFERROR(
INDEX(Last10Home_Stats_All!$A:$ZZ,ROW()-ROW($Q$2)+2,COLUMN()-COLUMN($Q$2)+1),
""))</f>
        <v>10</v>
      </c>
      <c r="AL4" s="1">
        <f>IF(INDEX(Last10Home_Stats_All!$A:$A,ROW()-ROW($Q$2)+2)="","",
IFERROR(
INDEX(Last10Home_Stats_All!$A:$ZZ,ROW()-ROW($Q$2)+2,COLUMN()-COLUMN($Q$2)+1),
""))</f>
        <v>19</v>
      </c>
      <c r="AM4" s="1">
        <f>IF(INDEX(Last10Home_Stats_All!$A:$A,ROW()-ROW($Q$2)+2)="","",
IFERROR(
INDEX(Last10Home_Stats_All!$A:$ZZ,ROW()-ROW($Q$2)+2,COLUMN()-COLUMN($Q$2)+1),
""))</f>
        <v>3</v>
      </c>
      <c r="AN4" s="1">
        <f>IF(INDEX(Last10Home_Stats_All!$A:$A,ROW()-ROW($Q$2)+2)="","",
IFERROR(
INDEX(Last10Home_Stats_All!$A:$ZZ,ROW()-ROW($Q$2)+2,COLUMN()-COLUMN($Q$2)+1),
""))</f>
        <v>8</v>
      </c>
      <c r="AO4" s="1">
        <f>IF(INDEX(Last10Home_Stats_All!$A:$A,ROW()-ROW($Q$2)+2)="","",
IFERROR(
INDEX(Last10Home_Stats_All!$A:$ZZ,ROW()-ROW($Q$2)+2,COLUMN()-COLUMN($Q$2)+1),
""))</f>
        <v>4</v>
      </c>
      <c r="AP4" s="1">
        <f>IF(INDEX(Last10Home_Stats_All!$A:$A,ROW()-ROW($Q$2)+2)="","",
IFERROR(
INDEX(Last10Home_Stats_All!$A:$ZZ,ROW()-ROW($Q$2)+2,COLUMN()-COLUMN($Q$2)+1),
""))</f>
        <v>15</v>
      </c>
      <c r="AQ4" s="1">
        <f>IF(INDEX(Last10Home_Stats_All!$A:$A,ROW()-ROW($Q$2)+2)="","",
IFERROR(
INDEX(Last10Home_Stats_All!$A:$ZZ,ROW()-ROW($Q$2)+2,COLUMN()-COLUMN($Q$2)+1),
""))</f>
        <v>6</v>
      </c>
      <c r="AR4" s="1">
        <f>IF(INDEX(Last10Home_Stats_All!$A:$A,ROW()-ROW($Q$2)+2)="","",
IFERROR(
INDEX(Last10Home_Stats_All!$A:$ZZ,ROW()-ROW($Q$2)+2,COLUMN()-COLUMN($Q$2)+1),
""))</f>
        <v>4</v>
      </c>
      <c r="AS4" s="1">
        <f>IF(INDEX(Last10Home_Stats_All!$A:$A,ROW()-ROW($Q$2)+2)="","",
IFERROR(
INDEX(Last10Home_Stats_All!$A:$ZZ,ROW()-ROW($Q$2)+2,COLUMN()-COLUMN($Q$2)+1),
""))</f>
        <v>10</v>
      </c>
      <c r="AT4" s="1">
        <f>IF(INDEX(Last10Home_Stats_All!$A:$A,ROW()-ROW($Q$2)+2)="","",
IFERROR(
INDEX(Last10Home_Stats_All!$A:$ZZ,ROW()-ROW($Q$2)+2,COLUMN()-COLUMN($Q$2)+1),
""))</f>
        <v>12</v>
      </c>
      <c r="AU4" s="1">
        <f>IF(INDEX(Last10Home_Stats_All!$A:$A,ROW()-ROW($Q$2)+2)="","",
IFERROR(
INDEX(Last10Home_Stats_All!$A:$ZZ,ROW()-ROW($Q$2)+2,COLUMN()-COLUMN($Q$2)+1),
""))</f>
        <v>3</v>
      </c>
      <c r="AV4" s="1">
        <f>IF(INDEX(Last10Home_Stats_All!$A:$A,ROW()-ROW($Q$2)+2)="","",
IFERROR(
INDEX(Last10Home_Stats_All!$A:$ZZ,ROW()-ROW($Q$2)+2,COLUMN()-COLUMN($Q$2)+1),
""))</f>
        <v>12</v>
      </c>
      <c r="AW4" s="1">
        <f>IF(INDEX(Last10Home_Stats_All!$A:$A,ROW()-ROW($Q$2)+2)="","",
IFERROR(
INDEX(Last10Home_Stats_All!$A:$ZZ,ROW()-ROW($Q$2)+2,COLUMN()-COLUMN($Q$2)+1),
""))</f>
        <v>3</v>
      </c>
      <c r="AX4" s="1">
        <f>IF(INDEX(Last10Home_Stats_All!$A:$A,ROW()-ROW($Q$2)+2)="","",
IFERROR(
INDEX(Last10Home_Stats_All!$A:$ZZ,ROW()-ROW($Q$2)+2,COLUMN()-COLUMN($Q$2)+1),
""))</f>
        <v>0</v>
      </c>
      <c r="AY4" s="1">
        <f>IF(INDEX(Last10Home_Stats_All!$A:$A,ROW()-ROW($Q$2)+2)="","",
IFERROR(
INDEX(Last10Home_Stats_All!$A:$ZZ,ROW()-ROW($Q$2)+2,COLUMN()-COLUMN($Q$2)+1),
""))</f>
        <v>39</v>
      </c>
      <c r="AZ4" s="1">
        <f>IF(INDEX(Last10Home_Stats_All!$A:$A,ROW()-ROW($Q$2)+2)="","",
IFERROR(
INDEX(Last10Home_Stats_All!$A:$ZZ,ROW()-ROW($Q$2)+2,COLUMN()-COLUMN($Q$2)+1),
""))</f>
        <v>61</v>
      </c>
      <c r="BA4" s="1">
        <f>IF(INDEX(Last10Home_Stats_All!$A:$A,ROW()-ROW($Q$2)+2)="","",
IFERROR(
INDEX(Last10Home_Stats_All!$A:$ZZ,ROW()-ROW($Q$2)+2,COLUMN()-COLUMN($Q$2)+1),
""))</f>
        <v>1</v>
      </c>
      <c r="BB4" s="1">
        <f>IF(INDEX(Last10Home_Stats_All!$A:$A,ROW()-ROW($Q$2)+2)="","",
IFERROR(
INDEX(Last10Home_Stats_All!$A:$ZZ,ROW()-ROW($Q$2)+2,COLUMN()-COLUMN($Q$2)+1),
""))</f>
        <v>1</v>
      </c>
      <c r="BC4" s="1">
        <f>IF(INDEX(Last10Home_Stats_All!$A:$A,ROW()-ROW($Q$2)+2)="","",
IFERROR(
INDEX(Last10Home_Stats_All!$A:$ZZ,ROW()-ROW($Q$2)+2,COLUMN()-COLUMN($Q$2)+1),
""))</f>
        <v>0</v>
      </c>
      <c r="BD4" s="1">
        <f>IF(INDEX(Last10Home_Stats_All!$A:$A,ROW()-ROW($Q$2)+2)="","",
IFERROR(
INDEX(Last10Home_Stats_All!$A:$ZZ,ROW()-ROW($Q$2)+2,COLUMN()-COLUMN($Q$2)+1),
""))</f>
        <v>0</v>
      </c>
      <c r="BE4" s="1">
        <f>IF(INDEX(Last10Home_Stats_All!$A:$A,ROW()-ROW($Q$2)+2)="","",
IFERROR(
INDEX(Last10Home_Stats_All!$A:$ZZ,ROW()-ROW($Q$2)+2,COLUMN()-COLUMN($Q$2)+1),
""))</f>
        <v>5</v>
      </c>
      <c r="BF4" s="1">
        <f>IF(INDEX(Last10Home_Stats_All!$A:$A,ROW()-ROW($Q$2)+2)="","",
IFERROR(
INDEX(Last10Home_Stats_All!$A:$ZZ,ROW()-ROW($Q$2)+2,COLUMN()-COLUMN($Q$2)+1),
""))</f>
        <v>3</v>
      </c>
      <c r="BG4" s="1">
        <f>IF(INDEX(Last10Home_Stats_All!$A:$A,ROW()-ROW($Q$2)+2)="","",
IFERROR(
INDEX(Last10Home_Stats_All!$A:$ZZ,ROW()-ROW($Q$2)+2,COLUMN()-COLUMN($Q$2)+1),
""))</f>
        <v>309</v>
      </c>
      <c r="BH4" s="1">
        <f>IF(INDEX(Last10Home_Stats_All!$A:$A,ROW()-ROW($Q$2)+2)="","",
IFERROR(
INDEX(Last10Home_Stats_All!$A:$ZZ,ROW()-ROW($Q$2)+2,COLUMN()-COLUMN($Q$2)+1),
""))</f>
        <v>481</v>
      </c>
      <c r="BI4" s="1">
        <f>IF(INDEX(Last10Home_Stats_All!$A:$A,ROW()-ROW($Q$2)+2)="","",
IFERROR(
INDEX(Last10Home_Stats_All!$A:$ZZ,ROW()-ROW($Q$2)+2,COLUMN()-COLUMN($Q$2)+1),
""))</f>
        <v>189</v>
      </c>
      <c r="BJ4" s="1">
        <f>IF(INDEX(Last10Home_Stats_All!$A:$A,ROW()-ROW($Q$2)+2)="","",
IFERROR(
INDEX(Last10Home_Stats_All!$A:$ZZ,ROW()-ROW($Q$2)+2,COLUMN()-COLUMN($Q$2)+1),
""))</f>
        <v>368</v>
      </c>
      <c r="BK4" s="1">
        <f>IF(INDEX(Last10Home_Stats_All!$A:$A,ROW()-ROW($Q$2)+2)="","",
IFERROR(
INDEX(Last10Home_Stats_All!$A:$ZZ,ROW()-ROW($Q$2)+2,COLUMN()-COLUMN($Q$2)+1),
""))</f>
        <v>61</v>
      </c>
      <c r="BL4" s="1">
        <f>IF(INDEX(Last10Home_Stats_All!$A:$A,ROW()-ROW($Q$2)+2)="","",
IFERROR(
INDEX(Last10Home_Stats_All!$A:$ZZ,ROW()-ROW($Q$2)+2,COLUMN()-COLUMN($Q$2)+1),
""))</f>
        <v>77</v>
      </c>
      <c r="BM4" s="1">
        <f>IF(INDEX(Last10Home_Stats_All!$A:$A,ROW()-ROW($Q$2)+2)="","",
IFERROR(
INDEX(Last10Home_Stats_All!$A:$ZZ,ROW()-ROW($Q$2)+2,COLUMN()-COLUMN($Q$2)+1),
""))</f>
        <v>0.67</v>
      </c>
      <c r="BN4" s="1">
        <f>IF(INDEX(Last10Home_Stats_All!$A:$A,ROW()-ROW($Q$2)+2)="","",
IFERROR(
INDEX(Last10Home_Stats_All!$A:$ZZ,ROW()-ROW($Q$2)+2,COLUMN()-COLUMN($Q$2)+1),
""))</f>
        <v>2.4</v>
      </c>
      <c r="BO4" s="1">
        <f>IF(INDEX(Last10Home_Stats_All!$A:$A,ROW()-ROW($Q$2)+2)="","",
IFERROR(
INDEX(Last10Home_Stats_All!$A:$ZZ,ROW()-ROW($Q$2)+2,COLUMN()-COLUMN($Q$2)+1),
""))</f>
        <v>0</v>
      </c>
      <c r="BP4" s="1">
        <f>IF(INDEX(Last10Home_Stats_All!$A:$A,ROW()-ROW($Q$2)+2)="","",
IFERROR(
INDEX(Last10Home_Stats_All!$A:$ZZ,ROW()-ROW($Q$2)+2,COLUMN()-COLUMN($Q$2)+1),
""))</f>
        <v>0</v>
      </c>
      <c r="BR4" s="1" t="str">
        <f>IF(OR(Control!AC4="",Control!AD4=""),"",Control!AC4&amp;" : "&amp;Control!AD4)</f>
        <v>0 : 2</v>
      </c>
      <c r="BS4" s="1" t="str">
        <f>IF(OR(Control!AE4="",Control!AF4=""),"",Control!AE4&amp;" : "&amp;Control!AF4)</f>
        <v>0 : 4</v>
      </c>
      <c r="BT4" s="1" t="str">
        <f>IF(OR(Control!AU4="",Control!AV4=""),"",Control!AU4&amp;" : "&amp;Control!AV4)</f>
        <v>3 : 12</v>
      </c>
      <c r="BV4" s="1">
        <f>IFERROR(INDEX(tblStandings[#All],ROW(A4),COLUMN(A4)),"")</f>
        <v>3</v>
      </c>
      <c r="BW4" s="1" t="str">
        <f>IFERROR(INDEX(tblStandings[#All],ROW(B4),COLUMN(B4)),"")</f>
        <v>Notts County</v>
      </c>
      <c r="BX4" s="1">
        <f>IFERROR(INDEX(tblStandings[#All],ROW(C4),COLUMN(C4)),"")</f>
        <v>42</v>
      </c>
      <c r="BY4" s="1">
        <f>IFERROR(INDEX(tblStandings[#All],ROW(D4),COLUMN(D4)),"")</f>
        <v>23</v>
      </c>
      <c r="BZ4" s="1">
        <f>IFERROR(INDEX(tblStandings[#All],ROW(E4),COLUMN(E4)),"")</f>
        <v>7</v>
      </c>
      <c r="CA4" s="1">
        <f>IFERROR(INDEX(tblStandings[#All],ROW(F4),COLUMN(F4)),"")</f>
        <v>12</v>
      </c>
      <c r="CB4" s="1">
        <f>IFERROR(INDEX(tblStandings[#All],ROW(G4),COLUMN(G4)),"")</f>
        <v>71</v>
      </c>
      <c r="CC4" s="1">
        <f>IFERROR(INDEX(tblStandings[#All],ROW(H4),COLUMN(H4)),"")</f>
        <v>45</v>
      </c>
      <c r="CD4" s="1">
        <f>IFERROR(INDEX(tblStandings[#All],ROW(I4),COLUMN(I4)),"")</f>
        <v>26</v>
      </c>
      <c r="CE4" s="1">
        <f>IFERROR(INDEX(tblStandings[#All],ROW(J4),COLUMN(J4)),"")</f>
        <v>76</v>
      </c>
      <c r="CF4" s="1" t="str">
        <f>IFERROR(INDEX(tblStandings[#All],ROW(K4),COLUMN(K4)),"")</f>
        <v>WLWLW</v>
      </c>
      <c r="CG4" s="1" t="str">
        <f t="shared" si="0"/>
        <v>W</v>
      </c>
      <c r="CH4" s="1" t="str">
        <f t="shared" si="1"/>
        <v>L</v>
      </c>
      <c r="CI4" s="1" t="str">
        <f t="shared" si="2"/>
        <v>W</v>
      </c>
      <c r="CJ4" s="1" t="str">
        <f t="shared" si="3"/>
        <v>L</v>
      </c>
      <c r="CK4" s="1" t="str">
        <f t="shared" si="4"/>
        <v>W</v>
      </c>
      <c r="CM4" s="1" t="s">
        <v>222</v>
      </c>
      <c r="CN4" s="1" t="s">
        <v>223</v>
      </c>
      <c r="CP4" s="1" t="s">
        <v>226</v>
      </c>
      <c r="CR4" s="1" t="s">
        <v>230</v>
      </c>
      <c r="CT4" s="1" t="s">
        <v>170</v>
      </c>
      <c r="CV4" s="3">
        <f>IFERROR(
CX4 / SUMPRODUCT(--ISNUMBER($AE$31:$AE$35),--ISNUMBER($AF$31:$AF$35)),"")</f>
        <v>0.4</v>
      </c>
      <c r="CX4" s="3">
        <f>IFERROR(SUMPRODUCT(--ISNUMBER($AE$31:$AE$35),--ISNUMBER($AF$31:$AF$35),--($AE$31:$AE$35=$AF$31:$AF$35)),"")</f>
        <v>2</v>
      </c>
      <c r="CZ4" s="3">
        <f>IFERROR(SUMPRODUCT(--ISNUMBER($AE$2:$AE$11),--ISNUMBER($AF$2:$AF$11),--($AE$2:$AE$11=$AF$2:$AF$11)),"")</f>
        <v>1</v>
      </c>
      <c r="DB4" s="3">
        <f>IFERROR(SUMPRODUCT(--ISNUMBER($AE$16:$AE$25),--ISNUMBER($AF$16:$AF$25),--($AE$16:$AE$25=$AF$16:$AF$25)),"")</f>
        <v>3</v>
      </c>
      <c r="DD4" s="3">
        <f>IFERROR(
ROUND(
SUMPRODUCT(--ISNUMBER($AD$31:$AD$35),$AD$31:$AD$35) /
SUMPRODUCT(--ISNUMBER($AD$31:$AD$35)),2),
"")</f>
        <v>0.8</v>
      </c>
    </row>
    <row r="5" spans="1:108" x14ac:dyDescent="0.25">
      <c r="A5" s="1" t="s">
        <v>4</v>
      </c>
      <c r="B5" s="2">
        <f ca="1">TODAY()+1</f>
        <v>46123</v>
      </c>
      <c r="C5" s="1" t="str">
        <f t="shared" ref="C5:C6" ca="1" si="5">TEXT(B5,"dd/mm/yyyy dddd")</f>
        <v>11/04/2026 Saturday</v>
      </c>
      <c r="H5" s="1">
        <v>1527430</v>
      </c>
      <c r="I5" s="4">
        <v>46330</v>
      </c>
      <c r="J5" s="1" t="s">
        <v>32</v>
      </c>
      <c r="K5" s="1" t="s">
        <v>20</v>
      </c>
      <c r="L5" s="1" t="s">
        <v>685</v>
      </c>
      <c r="M5" s="1" t="s">
        <v>2293</v>
      </c>
      <c r="N5" s="1" t="s">
        <v>686</v>
      </c>
      <c r="O5" s="1" t="s">
        <v>7151</v>
      </c>
      <c r="Q5" s="1">
        <f>IF(INDEX(Last10Home_Stats_All!$A:$A,ROW()-ROW($Q$2)+2)="","",
IFERROR(
INDEX(Last10Home_Stats_All!$A:$ZZ,ROW()-ROW($Q$2)+2,COLUMN()-COLUMN($Q$2)+1),
""))</f>
        <v>1386416</v>
      </c>
      <c r="R5" s="1" t="str">
        <f>IF(INDEX(Last10Home_Stats_All!$A:$A,ROW()-ROW($Q$2)+2)="","",
IFERROR(
INDEX(Last10Home_Stats_All!$A:$ZZ,ROW()-ROW($Q$2)+2,COLUMN()-COLUMN($Q$2)+1),
""))</f>
        <v>07/03/2026 15:00</v>
      </c>
      <c r="S5" s="1" t="str">
        <f>IF(INDEX(Last10Home_Stats_All!$A:$A,ROW()-ROW($Q$2)+2)="","",
IFERROR(
INDEX(Last10Home_Stats_All!$A:$ZZ,ROW()-ROW($Q$2)+2,COLUMN()-COLUMN($Q$2)+1),
""))</f>
        <v>England</v>
      </c>
      <c r="T5" s="1" t="str">
        <f>IF(INDEX(Last10Home_Stats_All!$A:$A,ROW()-ROW($Q$2)+2)="","",
IFERROR(
INDEX(Last10Home_Stats_All!$A:$ZZ,ROW()-ROW($Q$2)+2,COLUMN()-COLUMN($Q$2)+1),
""))</f>
        <v>League Two</v>
      </c>
      <c r="U5" s="1" t="str">
        <f>IF(INDEX(Last10Home_Stats_All!$A:$A,ROW()-ROW($Q$2)+2)="","",
IFERROR(
INDEX(Last10Home_Stats_All!$A:$ZZ,ROW()-ROW($Q$2)+2,COLUMN()-COLUMN($Q$2)+1),
""))</f>
        <v>https://media.api-sports.io/football/teams/1360.png</v>
      </c>
      <c r="V5" s="1" t="str">
        <f>IF(INDEX(Last10Home_Stats_All!$A:$A,ROW()-ROW($Q$2)+2)="","",
IFERROR(
INDEX(Last10Home_Stats_All!$A:$ZZ,ROW()-ROW($Q$2)+2,COLUMN()-COLUMN($Q$2)+1),
""))</f>
        <v>Accrington ST</v>
      </c>
      <c r="W5" s="1" t="str">
        <f>IF(INDEX(Last10Home_Stats_All!$A:$A,ROW()-ROW($Q$2)+2)="","",
IFERROR(
INDEX(Last10Home_Stats_All!$A:$ZZ,ROW()-ROW($Q$2)+2,COLUMN()-COLUMN($Q$2)+1),
""))</f>
        <v>https://media.api-sports.io/football/teams/1370.png</v>
      </c>
      <c r="X5" s="1" t="str">
        <f>IF(INDEX(Last10Home_Stats_All!$A:$A,ROW()-ROW($Q$2)+2)="","",
IFERROR(
INDEX(Last10Home_Stats_All!$A:$ZZ,ROW()-ROW($Q$2)+2,COLUMN()-COLUMN($Q$2)+1),
""))</f>
        <v>Cambridge United</v>
      </c>
      <c r="Y5" s="1" t="str">
        <f>IF(INDEX(Last10Home_Stats_All!$A:$A,ROW()-ROW($Q$2)+2)="","",
IFERROR(
INDEX(Last10Home_Stats_All!$A:$ZZ,ROW()-ROW($Q$2)+2,COLUMN()-COLUMN($Q$2)+1),
""))</f>
        <v>https://media.api-sports.io/football/leagues/42.png</v>
      </c>
      <c r="Z5" s="1" t="str">
        <f>IF(INDEX(Last10Home_Stats_All!$A:$A,ROW()-ROW($Q$2)+2)="","",
IFERROR(
INDEX(Last10Home_Stats_All!$A:$ZZ,ROW()-ROW($Q$2)+2,COLUMN()-COLUMN($Q$2)+1),
""))</f>
        <v>https://media.api-sports.io/flags/gb-eng.svg</v>
      </c>
      <c r="AA5" s="1">
        <f>IF(INDEX(Last10Home_Stats_All!$A:$A,ROW()-ROW($Q$2)+2)="","",
IFERROR(
INDEX(Last10Home_Stats_All!$A:$ZZ,ROW()-ROW($Q$2)+2,COLUMN()-COLUMN($Q$2)+1),
""))</f>
        <v>1</v>
      </c>
      <c r="AB5" s="1">
        <f>IF(INDEX(Last10Home_Stats_All!$A:$A,ROW()-ROW($Q$2)+2)="","",
IFERROR(
INDEX(Last10Home_Stats_All!$A:$ZZ,ROW()-ROW($Q$2)+2,COLUMN()-COLUMN($Q$2)+1),
""))</f>
        <v>1</v>
      </c>
      <c r="AC5" s="1">
        <f>IF(INDEX(Last10Home_Stats_All!$A:$A,ROW()-ROW($Q$2)+2)="","",
IFERROR(
INDEX(Last10Home_Stats_All!$A:$ZZ,ROW()-ROW($Q$2)+2,COLUMN()-COLUMN($Q$2)+1),
""))</f>
        <v>1</v>
      </c>
      <c r="AD5" s="1">
        <f>IF(INDEX(Last10Home_Stats_All!$A:$A,ROW()-ROW($Q$2)+2)="","",
IFERROR(
INDEX(Last10Home_Stats_All!$A:$ZZ,ROW()-ROW($Q$2)+2,COLUMN()-COLUMN($Q$2)+1),
""))</f>
        <v>0</v>
      </c>
      <c r="AE5" s="1">
        <f>IF(INDEX(Last10Home_Stats_All!$A:$A,ROW()-ROW($Q$2)+2)="","",
IFERROR(
INDEX(Last10Home_Stats_All!$A:$ZZ,ROW()-ROW($Q$2)+2,COLUMN()-COLUMN($Q$2)+1),
""))</f>
        <v>1</v>
      </c>
      <c r="AF5" s="1">
        <f>IF(INDEX(Last10Home_Stats_All!$A:$A,ROW()-ROW($Q$2)+2)="","",
IFERROR(
INDEX(Last10Home_Stats_All!$A:$ZZ,ROW()-ROW($Q$2)+2,COLUMN()-COLUMN($Q$2)+1),
""))</f>
        <v>1</v>
      </c>
      <c r="AG5" s="1">
        <f>IF(INDEX(Last10Home_Stats_All!$A:$A,ROW()-ROW($Q$2)+2)="","",
IFERROR(
INDEX(Last10Home_Stats_All!$A:$ZZ,ROW()-ROW($Q$2)+2,COLUMN()-COLUMN($Q$2)+1),
""))</f>
        <v>1</v>
      </c>
      <c r="AH5" s="1">
        <f>IF(INDEX(Last10Home_Stats_All!$A:$A,ROW()-ROW($Q$2)+2)="","",
IFERROR(
INDEX(Last10Home_Stats_All!$A:$ZZ,ROW()-ROW($Q$2)+2,COLUMN()-COLUMN($Q$2)+1),
""))</f>
        <v>3</v>
      </c>
      <c r="AI5" s="1">
        <f>IF(INDEX(Last10Home_Stats_All!$A:$A,ROW()-ROW($Q$2)+2)="","",
IFERROR(
INDEX(Last10Home_Stats_All!$A:$ZZ,ROW()-ROW($Q$2)+2,COLUMN()-COLUMN($Q$2)+1),
""))</f>
        <v>1</v>
      </c>
      <c r="AJ5" s="1">
        <f>IF(INDEX(Last10Home_Stats_All!$A:$A,ROW()-ROW($Q$2)+2)="","",
IFERROR(
INDEX(Last10Home_Stats_All!$A:$ZZ,ROW()-ROW($Q$2)+2,COLUMN()-COLUMN($Q$2)+1),
""))</f>
        <v>8</v>
      </c>
      <c r="AK5" s="1">
        <f>IF(INDEX(Last10Home_Stats_All!$A:$A,ROW()-ROW($Q$2)+2)="","",
IFERROR(
INDEX(Last10Home_Stats_All!$A:$ZZ,ROW()-ROW($Q$2)+2,COLUMN()-COLUMN($Q$2)+1),
""))</f>
        <v>5</v>
      </c>
      <c r="AL5" s="1">
        <f>IF(INDEX(Last10Home_Stats_All!$A:$A,ROW()-ROW($Q$2)+2)="","",
IFERROR(
INDEX(Last10Home_Stats_All!$A:$ZZ,ROW()-ROW($Q$2)+2,COLUMN()-COLUMN($Q$2)+1),
""))</f>
        <v>14</v>
      </c>
      <c r="AM5" s="1">
        <f>IF(INDEX(Last10Home_Stats_All!$A:$A,ROW()-ROW($Q$2)+2)="","",
IFERROR(
INDEX(Last10Home_Stats_All!$A:$ZZ,ROW()-ROW($Q$2)+2,COLUMN()-COLUMN($Q$2)+1),
""))</f>
        <v>3</v>
      </c>
      <c r="AN5" s="1">
        <f>IF(INDEX(Last10Home_Stats_All!$A:$A,ROW()-ROW($Q$2)+2)="","",
IFERROR(
INDEX(Last10Home_Stats_All!$A:$ZZ,ROW()-ROW($Q$2)+2,COLUMN()-COLUMN($Q$2)+1),
""))</f>
        <v>3</v>
      </c>
      <c r="AO5" s="1">
        <f>IF(INDEX(Last10Home_Stats_All!$A:$A,ROW()-ROW($Q$2)+2)="","",
IFERROR(
INDEX(Last10Home_Stats_All!$A:$ZZ,ROW()-ROW($Q$2)+2,COLUMN()-COLUMN($Q$2)+1),
""))</f>
        <v>5</v>
      </c>
      <c r="AP5" s="1">
        <f>IF(INDEX(Last10Home_Stats_All!$A:$A,ROW()-ROW($Q$2)+2)="","",
IFERROR(
INDEX(Last10Home_Stats_All!$A:$ZZ,ROW()-ROW($Q$2)+2,COLUMN()-COLUMN($Q$2)+1),
""))</f>
        <v>11</v>
      </c>
      <c r="AQ5" s="1">
        <f>IF(INDEX(Last10Home_Stats_All!$A:$A,ROW()-ROW($Q$2)+2)="","",
IFERROR(
INDEX(Last10Home_Stats_All!$A:$ZZ,ROW()-ROW($Q$2)+2,COLUMN()-COLUMN($Q$2)+1),
""))</f>
        <v>0</v>
      </c>
      <c r="AR5" s="1">
        <f>IF(INDEX(Last10Home_Stats_All!$A:$A,ROW()-ROW($Q$2)+2)="","",
IFERROR(
INDEX(Last10Home_Stats_All!$A:$ZZ,ROW()-ROW($Q$2)+2,COLUMN()-COLUMN($Q$2)+1),
""))</f>
        <v>3</v>
      </c>
      <c r="AS5" s="1">
        <f>IF(INDEX(Last10Home_Stats_All!$A:$A,ROW()-ROW($Q$2)+2)="","",
IFERROR(
INDEX(Last10Home_Stats_All!$A:$ZZ,ROW()-ROW($Q$2)+2,COLUMN()-COLUMN($Q$2)+1),
""))</f>
        <v>8</v>
      </c>
      <c r="AT5" s="1">
        <f>IF(INDEX(Last10Home_Stats_All!$A:$A,ROW()-ROW($Q$2)+2)="","",
IFERROR(
INDEX(Last10Home_Stats_All!$A:$ZZ,ROW()-ROW($Q$2)+2,COLUMN()-COLUMN($Q$2)+1),
""))</f>
        <v>3</v>
      </c>
      <c r="AU5" s="1">
        <f>IF(INDEX(Last10Home_Stats_All!$A:$A,ROW()-ROW($Q$2)+2)="","",
IFERROR(
INDEX(Last10Home_Stats_All!$A:$ZZ,ROW()-ROW($Q$2)+2,COLUMN()-COLUMN($Q$2)+1),
""))</f>
        <v>0</v>
      </c>
      <c r="AV5" s="1">
        <f>IF(INDEX(Last10Home_Stats_All!$A:$A,ROW()-ROW($Q$2)+2)="","",
IFERROR(
INDEX(Last10Home_Stats_All!$A:$ZZ,ROW()-ROW($Q$2)+2,COLUMN()-COLUMN($Q$2)+1),
""))</f>
        <v>12</v>
      </c>
      <c r="AW5" s="1">
        <f>IF(INDEX(Last10Home_Stats_All!$A:$A,ROW()-ROW($Q$2)+2)="","",
IFERROR(
INDEX(Last10Home_Stats_All!$A:$ZZ,ROW()-ROW($Q$2)+2,COLUMN()-COLUMN($Q$2)+1),
""))</f>
        <v>2</v>
      </c>
      <c r="AX5" s="1">
        <f>IF(INDEX(Last10Home_Stats_All!$A:$A,ROW()-ROW($Q$2)+2)="","",
IFERROR(
INDEX(Last10Home_Stats_All!$A:$ZZ,ROW()-ROW($Q$2)+2,COLUMN()-COLUMN($Q$2)+1),
""))</f>
        <v>0</v>
      </c>
      <c r="AY5" s="1">
        <f>IF(INDEX(Last10Home_Stats_All!$A:$A,ROW()-ROW($Q$2)+2)="","",
IFERROR(
INDEX(Last10Home_Stats_All!$A:$ZZ,ROW()-ROW($Q$2)+2,COLUMN()-COLUMN($Q$2)+1),
""))</f>
        <v>24</v>
      </c>
      <c r="AZ5" s="1">
        <f>IF(INDEX(Last10Home_Stats_All!$A:$A,ROW()-ROW($Q$2)+2)="","",
IFERROR(
INDEX(Last10Home_Stats_All!$A:$ZZ,ROW()-ROW($Q$2)+2,COLUMN()-COLUMN($Q$2)+1),
""))</f>
        <v>76</v>
      </c>
      <c r="BA5" s="1">
        <f>IF(INDEX(Last10Home_Stats_All!$A:$A,ROW()-ROW($Q$2)+2)="","",
IFERROR(
INDEX(Last10Home_Stats_All!$A:$ZZ,ROW()-ROW($Q$2)+2,COLUMN()-COLUMN($Q$2)+1),
""))</f>
        <v>2</v>
      </c>
      <c r="BB5" s="1">
        <f>IF(INDEX(Last10Home_Stats_All!$A:$A,ROW()-ROW($Q$2)+2)="","",
IFERROR(
INDEX(Last10Home_Stats_All!$A:$ZZ,ROW()-ROW($Q$2)+2,COLUMN()-COLUMN($Q$2)+1),
""))</f>
        <v>0</v>
      </c>
      <c r="BC5" s="1">
        <f>IF(INDEX(Last10Home_Stats_All!$A:$A,ROW()-ROW($Q$2)+2)="","",
IFERROR(
INDEX(Last10Home_Stats_All!$A:$ZZ,ROW()-ROW($Q$2)+2,COLUMN()-COLUMN($Q$2)+1),
""))</f>
        <v>0</v>
      </c>
      <c r="BD5" s="1">
        <f>IF(INDEX(Last10Home_Stats_All!$A:$A,ROW()-ROW($Q$2)+2)="","",
IFERROR(
INDEX(Last10Home_Stats_All!$A:$ZZ,ROW()-ROW($Q$2)+2,COLUMN()-COLUMN($Q$2)+1),
""))</f>
        <v>0</v>
      </c>
      <c r="BE5" s="1">
        <f>IF(INDEX(Last10Home_Stats_All!$A:$A,ROW()-ROW($Q$2)+2)="","",
IFERROR(
INDEX(Last10Home_Stats_All!$A:$ZZ,ROW()-ROW($Q$2)+2,COLUMN()-COLUMN($Q$2)+1),
""))</f>
        <v>2</v>
      </c>
      <c r="BF5" s="1">
        <f>IF(INDEX(Last10Home_Stats_All!$A:$A,ROW()-ROW($Q$2)+2)="","",
IFERROR(
INDEX(Last10Home_Stats_All!$A:$ZZ,ROW()-ROW($Q$2)+2,COLUMN()-COLUMN($Q$2)+1),
""))</f>
        <v>0</v>
      </c>
      <c r="BG5" s="1">
        <f>IF(INDEX(Last10Home_Stats_All!$A:$A,ROW()-ROW($Q$2)+2)="","",
IFERROR(
INDEX(Last10Home_Stats_All!$A:$ZZ,ROW()-ROW($Q$2)+2,COLUMN()-COLUMN($Q$2)+1),
""))</f>
        <v>202</v>
      </c>
      <c r="BH5" s="1">
        <f>IF(INDEX(Last10Home_Stats_All!$A:$A,ROW()-ROW($Q$2)+2)="","",
IFERROR(
INDEX(Last10Home_Stats_All!$A:$ZZ,ROW()-ROW($Q$2)+2,COLUMN()-COLUMN($Q$2)+1),
""))</f>
        <v>599</v>
      </c>
      <c r="BI5" s="1">
        <f>IF(INDEX(Last10Home_Stats_All!$A:$A,ROW()-ROW($Q$2)+2)="","",
IFERROR(
INDEX(Last10Home_Stats_All!$A:$ZZ,ROW()-ROW($Q$2)+2,COLUMN()-COLUMN($Q$2)+1),
""))</f>
        <v>100</v>
      </c>
      <c r="BJ5" s="1">
        <f>IF(INDEX(Last10Home_Stats_All!$A:$A,ROW()-ROW($Q$2)+2)="","",
IFERROR(
INDEX(Last10Home_Stats_All!$A:$ZZ,ROW()-ROW($Q$2)+2,COLUMN()-COLUMN($Q$2)+1),
""))</f>
        <v>478</v>
      </c>
      <c r="BK5" s="1">
        <f>IF(INDEX(Last10Home_Stats_All!$A:$A,ROW()-ROW($Q$2)+2)="","",
IFERROR(
INDEX(Last10Home_Stats_All!$A:$ZZ,ROW()-ROW($Q$2)+2,COLUMN()-COLUMN($Q$2)+1),
""))</f>
        <v>50</v>
      </c>
      <c r="BL5" s="1">
        <f>IF(INDEX(Last10Home_Stats_All!$A:$A,ROW()-ROW($Q$2)+2)="","",
IFERROR(
INDEX(Last10Home_Stats_All!$A:$ZZ,ROW()-ROW($Q$2)+2,COLUMN()-COLUMN($Q$2)+1),
""))</f>
        <v>80</v>
      </c>
      <c r="BM5" s="1">
        <f>IF(INDEX(Last10Home_Stats_All!$A:$A,ROW()-ROW($Q$2)+2)="","",
IFERROR(
INDEX(Last10Home_Stats_All!$A:$ZZ,ROW()-ROW($Q$2)+2,COLUMN()-COLUMN($Q$2)+1),
""))</f>
        <v>0.56999999999999995</v>
      </c>
      <c r="BN5" s="1">
        <f>IF(INDEX(Last10Home_Stats_All!$A:$A,ROW()-ROW($Q$2)+2)="","",
IFERROR(
INDEX(Last10Home_Stats_All!$A:$ZZ,ROW()-ROW($Q$2)+2,COLUMN()-COLUMN($Q$2)+1),
""))</f>
        <v>1.41</v>
      </c>
      <c r="BO5" s="1">
        <f>IF(INDEX(Last10Home_Stats_All!$A:$A,ROW()-ROW($Q$2)+2)="","",
IFERROR(
INDEX(Last10Home_Stats_All!$A:$ZZ,ROW()-ROW($Q$2)+2,COLUMN()-COLUMN($Q$2)+1),
""))</f>
        <v>0</v>
      </c>
      <c r="BP5" s="1">
        <f>IF(INDEX(Last10Home_Stats_All!$A:$A,ROW()-ROW($Q$2)+2)="","",
IFERROR(
INDEX(Last10Home_Stats_All!$A:$ZZ,ROW()-ROW($Q$2)+2,COLUMN()-COLUMN($Q$2)+1),
""))</f>
        <v>0</v>
      </c>
      <c r="BR5" s="1" t="str">
        <f>IF(OR(Control!AC5="",Control!AD5=""),"",Control!AC5&amp;" : "&amp;Control!AD5)</f>
        <v>1 : 0</v>
      </c>
      <c r="BS5" s="1" t="str">
        <f>IF(OR(Control!AE5="",Control!AF5=""),"",Control!AE5&amp;" : "&amp;Control!AF5)</f>
        <v>1 : 1</v>
      </c>
      <c r="BT5" s="1" t="str">
        <f>IF(OR(Control!AU5="",Control!AV5=""),"",Control!AU5&amp;" : "&amp;Control!AV5)</f>
        <v>0 : 12</v>
      </c>
      <c r="BV5" s="1">
        <f>IFERROR(INDEX(tblStandings[#All],ROW(A5),COLUMN(A5)),"")</f>
        <v>4</v>
      </c>
      <c r="BW5" s="1" t="str">
        <f>IFERROR(INDEX(tblStandings[#All],ROW(B5),COLUMN(B5)),"")</f>
        <v>Swindon Town</v>
      </c>
      <c r="BX5" s="1">
        <f>IFERROR(INDEX(tblStandings[#All],ROW(C5),COLUMN(C5)),"")</f>
        <v>43</v>
      </c>
      <c r="BY5" s="1">
        <f>IFERROR(INDEX(tblStandings[#All],ROW(D5),COLUMN(D5)),"")</f>
        <v>22</v>
      </c>
      <c r="BZ5" s="1">
        <f>IFERROR(INDEX(tblStandings[#All],ROW(E5),COLUMN(E5)),"")</f>
        <v>9</v>
      </c>
      <c r="CA5" s="1">
        <f>IFERROR(INDEX(tblStandings[#All],ROW(F5),COLUMN(F5)),"")</f>
        <v>12</v>
      </c>
      <c r="CB5" s="1">
        <f>IFERROR(INDEX(tblStandings[#All],ROW(G5),COLUMN(G5)),"")</f>
        <v>67</v>
      </c>
      <c r="CC5" s="1">
        <f>IFERROR(INDEX(tblStandings[#All],ROW(H5),COLUMN(H5)),"")</f>
        <v>48</v>
      </c>
      <c r="CD5" s="1">
        <f>IFERROR(INDEX(tblStandings[#All],ROW(I5),COLUMN(I5)),"")</f>
        <v>19</v>
      </c>
      <c r="CE5" s="1">
        <f>IFERROR(INDEX(tblStandings[#All],ROW(J5),COLUMN(J5)),"")</f>
        <v>75</v>
      </c>
      <c r="CF5" s="1" t="str">
        <f>IFERROR(INDEX(tblStandings[#All],ROW(K5),COLUMN(K5)),"")</f>
        <v>WDDWW</v>
      </c>
      <c r="CG5" s="1" t="str">
        <f t="shared" si="0"/>
        <v>W</v>
      </c>
      <c r="CH5" s="1" t="str">
        <f t="shared" si="1"/>
        <v>D</v>
      </c>
      <c r="CI5" s="1" t="str">
        <f t="shared" si="2"/>
        <v>D</v>
      </c>
      <c r="CJ5" s="1" t="str">
        <f t="shared" si="3"/>
        <v>W</v>
      </c>
      <c r="CK5" s="1" t="str">
        <f t="shared" si="4"/>
        <v>W</v>
      </c>
      <c r="CM5" s="3">
        <f ca="1">IFERROR(
IF(
AND(
SUMPRODUCT(--ISNUMBER($AC$31:$AC$35),--ISNUMBER($AD$31:$AD$35))&gt;0,
COUNT($R$31:$R$35)&gt;0,
MAX($R$31:$R$35)&gt;=EDATE(TODAY(),-24)
),
(
(
IF(SUMPRODUCT(--ISNUMBER($AC$2:$AC$11),--ISNUMBER($AD$2:$AD$11))=0,0,
SUMPRODUCT(--ISNUMBER($AC$2:$AC$11),--ISNUMBER($AD$2:$AD$11),--(($AC$2:$AC$11+$AD$2:$AD$11)&gt;=2))/
SUMPRODUCT(--ISNUMBER($AC$2:$AC$11),--ISNUMBER($AD$2:$AD$11))
)
)
*
(1-(0.2+0.075*(SUMPRODUCT(--ISNUMBER($AC$31:$AC$35),--ISNUMBER($AD$31:$AD$35))-1)))/2
+
(
IF(SUMPRODUCT(--ISNUMBER($AC$16:$AC$25),--ISNUMBER($AD$16:$AD$25))=0,0,
SUMPRODUCT(--ISNUMBER($AC$16:$AC$25),--ISNUMBER($AD$16:$AD$25),--(($AC$16:$AC$25+$AD$16:$AD$25)&gt;=2))/
SUMPRODUCT(--ISNUMBER($AC$16:$AC$25),--ISNUMBER($AD$16:$AD$25))
)
)
*
(1-(0.2+0.075*(SUMPRODUCT(--ISNUMBER($AC$31:$AC$35),--ISNUMBER($AD$31:$AD$35))-1)))/2
+
(
IF(SUMPRODUCT(--ISNUMBER($AC$31:$AC$35),--ISNUMBER($AD$31:$AD$35))=0,0,
SUMPRODUCT(--ISNUMBER($AC$31:$AC$35),--ISNUMBER($AD$31:$AD$35),--(($AC$31:$AC$35+$AD$31:$AD$35)&gt;=2))/
SUMPRODUCT(--ISNUMBER($AC$31:$AC$35),--ISNUMBER($AD$31:$AD$35))
)
)
*
(0.2+0.075*(SUMPRODUCT(--ISNUMBER($AC$31:$AC$35),--ISNUMBER($AD$31:$AD$35))-1))
),
(
0.5*
IF(SUMPRODUCT(--ISNUMBER($AC$2:$AC$11),--ISNUMBER($AD$2:$AD$11))=0,0,
SUMPRODUCT(--ISNUMBER($AC$2:$AC$11),--ISNUMBER($AD$2:$AD$11),--(($AC$2:$AC$11+$AD$2:$AD$11)&gt;=2))/
SUMPRODUCT(--ISNUMBER($AC$2:$AC$11),--ISNUMBER($AD$2:$AD$11))
)
+
0.5*
IF(SUMPRODUCT(--ISNUMBER($AC$16:$AC$25),--ISNUMBER($AD$16:$AD$25))=0,0,
SUMPRODUCT(--ISNUMBER($AC$16:$AC$25),--ISNUMBER($AD$16:$AD$25),--(($AC$16:$AC$25+$AD$16:$AD$25)&gt;=2))/
SUMPRODUCT(--ISNUMBER($AC$16:$AC$25),--ISNUMBER($AD$16:$AD$25))
)
)
),
"")</f>
        <v>0.2</v>
      </c>
      <c r="CN5" s="3">
        <f ca="1">IFERROR(
IF(
AND(
SUMPRODUCT(--ISNUMBER($AE$31:$AE$35),--ISNUMBER($AF$31:$AF$35))&gt;0,
COUNT($R$31:$R$35)&gt;0,
MAX($R$31:$R$35)&gt;=EDATE(TODAY(),-24)
),
(
(
IF(SUMPRODUCT(--ISNUMBER($AE$2:$AE$11),--ISNUMBER($AF$2:$AF$11))=0,0,
SUMPRODUCT(--ISNUMBER($AE$2:$AE$11),--ISNUMBER($AF$2:$AF$11),--(($AE$2:$AE$11+$AF$2:$AF$11)&gt;=3))/
SUMPRODUCT(--ISNUMBER($AE$2:$AE$11),--ISNUMBER($AF$2:$AF$11))
)
)
*
(1-(0.2+0.075*(SUMPRODUCT(--ISNUMBER($AE$31:$AE$35),--ISNUMBER($AF$31:$AF$35))-1)))/2
+
(
IF(SUMPRODUCT(--ISNUMBER($AE$16:$AE$25),--ISNUMBER($AF$16:$AF$25))=0,0,
SUMPRODUCT(--ISNUMBER($AE$16:$AE$25),--ISNUMBER($AF$16:$AF$25),--(($AE$16:$AE$25+$AF$16:$AF$25)&gt;=3))/
SUMPRODUCT(--ISNUMBER($AE$16:$AE$25),--ISNUMBER($AF$16:$AF$25))
)
)
*
(1-(0.2+0.075*(SUMPRODUCT(--ISNUMBER($AE$31:$AE$35),--ISNUMBER($AF$31:$AF$35))-1)))/2
+
(
IF(SUMPRODUCT(--ISNUMBER($AE$31:$AE$35),--ISNUMBER($AF$31:$AF$35))=0,0,
SUMPRODUCT(--ISNUMBER($AE$31:$AE$35),--ISNUMBER($AF$31:$AF$35),--(($AE$31:$AE$35+$AF$31:$AF$35)&gt;=3))/
SUMPRODUCT(--ISNUMBER($AE$31:$AE$35),--ISNUMBER($AF$31:$AF$35))
)
)
*
(0.2+0.075*(SUMPRODUCT(--ISNUMBER($AE$31:$AE$35),--ISNUMBER($AF$31:$AF$35))-1))
),
(
0.5*
IF(SUMPRODUCT(--ISNUMBER($AE$2:$AE$11),--ISNUMBER($AF$2:$AF$11))=0,0,
SUMPRODUCT(--ISNUMBER($AE$2:$AE$11),--ISNUMBER($AF$2:$AF$11),--(($AE$2:$AE$11+$AF$2:$AF$11)&gt;=3))/
SUMPRODUCT(--ISNUMBER($AE$2:$AE$11),--ISNUMBER($AF$2:$AF$11))
)
+
0.5*
IF(SUMPRODUCT(--ISNUMBER($AE$16:$AE$25),--ISNUMBER($AF$16:$AF$25))=0,0,
SUMPRODUCT(--ISNUMBER($AE$16:$AE$25),--ISNUMBER($AF$16:$AF$25),--(($AE$16:$AE$25+$AF$16:$AF$25)&gt;=3))/
SUMPRODUCT(--ISNUMBER($AE$16:$AE$25),--ISNUMBER($AF$16:$AF$25))
)
)
),
"")</f>
        <v>0.25</v>
      </c>
      <c r="CP5" s="3">
        <f>IFERROR(
IF(
COUNT($AD$16:$AD$25)=0,
"",
AVERAGE($AD$16:$AD$25)
),"")</f>
        <v>0.4</v>
      </c>
      <c r="CR5" s="3">
        <f ca="1">IFERROR(
IF(
AND(
SUMPRODUCT(--ISNUMBER($AU$31:$AU$35),--ISNUMBER($AV$31:$AV$35))&gt;0,
COUNT($R$31:$R$35)&gt;0,
MAX($R$31:$R$35)&gt;=EDATE(TODAY(),-24)
),
(
(
IF(SUMPRODUCT(--ISNUMBER($AU$2:$AU$11),--ISNUMBER($AV$2:$AV$11))=0,0,
SUMPRODUCT(--ISNUMBER($AU$2:$AU$11),--ISNUMBER($AV$2:$AV$11),--(($AU$2:$AU$11+$AV$2:$AV$11)&gt;=9))/
SUMPRODUCT(--ISNUMBER($AU$2:$AU$11),--ISNUMBER($AV$2:$AV$11))
)
)
*
(1-(0.2+0.075*(SUMPRODUCT(--ISNUMBER($AU$31:$AU$35),--ISNUMBER($AV$31:$AV$35))-1)))/2
+
(
IF(SUMPRODUCT(--ISNUMBER($AU$16:$AU$25),--ISNUMBER($AV$16:$AV$25))=0,0,
SUMPRODUCT(--ISNUMBER($AU$16:$AU$25),--ISNUMBER($AV$16:$AV$25),--(($AU$16:$AU$25+$AV$16:$AV$25)&gt;=9))/
SUMPRODUCT(--ISNUMBER($AU$16:$AU$25),--ISNUMBER($AV$16:$AV$25))
)
)
*
(1-(0.2+0.075*(SUMPRODUCT(--ISNUMBER($AU$31:$AU$35),--ISNUMBER($AV$31:$AV$35))-1)))/2
+
(
IF(SUMPRODUCT(--ISNUMBER($AU$31:$AU$35),--ISNUMBER($AV$31:$AV$35))=0,0,
SUMPRODUCT(--ISNUMBER($AU$31:$AU$35),--ISNUMBER($AV$31:$AV$35),--(($AU$31:$AU$35+$AV$31:$AV$35)&gt;=9))/
SUMPRODUCT(--ISNUMBER($AU$31:$AU$35),--ISNUMBER($AV$31:$AV$35))
)
)
*
(0.2+0.075*(SUMPRODUCT(--ISNUMBER($AU$31:$AU$35),--ISNUMBER($AV$31:$AV$35))-1))
),
(
0.5*
IF(SUMPRODUCT(--ISNUMBER($AU$2:$AU$11),--ISNUMBER($AV$2:$AV$11))=0,0,
SUMPRODUCT(--ISNUMBER($AU$2:$AU$11),--ISNUMBER($AV$2:$AV$11),--(($AU$2:$AU$11+$AV$2:$AV$11)&gt;=9))/
SUMPRODUCT(--ISNUMBER($AU$2:$AU$11),--ISNUMBER($AV$2:$AV$11))
)
+
0.5*
IF(SUMPRODUCT(--ISNUMBER($AU$16:$AU$25),--ISNUMBER($AV$16:$AV$25))=0,0,
SUMPRODUCT(--ISNUMBER($AU$16:$AU$25),--ISNUMBER($AV$16:$AV$25),--(($AU$16:$AU$25+$AV$16:$AV$25)&gt;=9))/
SUMPRODUCT(--ISNUMBER($AU$16:$AU$25),--ISNUMBER($AV$16:$AV$25))
)
)
),
"")</f>
        <v>0.7</v>
      </c>
      <c r="CT5" s="3">
        <f>IFERROR(ROUND(
(
IF(COUNT($BB$2:$BB$11)=0,0,AVERAGE($BB$2:$BB$11)) +
IF(COUNT($BA$16:$BA$25)=0,0,AVERAGE($BA$16:$BA$25)) +
IF(COUNT($BB$31:$BB$35)=0,0,AVERAGE($BB$31:$BB$35))
)
/
(
--(COUNT($BB$2:$BB$11)&gt;0) + --(COUNT($BA$16:$BA$25)&gt;0) + --(COUNT($BB$31:$BB$35)&gt;0)
),2),"")</f>
        <v>1.77</v>
      </c>
      <c r="CV5" s="1">
        <v>2</v>
      </c>
      <c r="CX5" s="1" t="s">
        <v>186</v>
      </c>
      <c r="CZ5" s="1">
        <v>2</v>
      </c>
      <c r="DB5" s="1">
        <v>2</v>
      </c>
      <c r="DD5" s="1" t="s">
        <v>258</v>
      </c>
    </row>
    <row r="6" spans="1:108" x14ac:dyDescent="0.25">
      <c r="A6" s="1" t="s">
        <v>5</v>
      </c>
      <c r="B6" s="2">
        <f ca="1">TODAY()+2</f>
        <v>46124</v>
      </c>
      <c r="C6" s="1" t="str">
        <f t="shared" ca="1" si="5"/>
        <v>12/04/2026 Sunday</v>
      </c>
      <c r="H6" s="1">
        <v>1537240</v>
      </c>
      <c r="I6" s="4">
        <v>46330</v>
      </c>
      <c r="J6" s="1" t="s">
        <v>32</v>
      </c>
      <c r="K6" s="1" t="s">
        <v>72</v>
      </c>
      <c r="L6" s="1" t="s">
        <v>73</v>
      </c>
      <c r="M6" s="1" t="s">
        <v>2560</v>
      </c>
      <c r="N6" s="1" t="s">
        <v>1356</v>
      </c>
      <c r="O6" s="1" t="s">
        <v>7152</v>
      </c>
      <c r="Q6" s="1">
        <f>IF(INDEX(Last10Home_Stats_All!$A:$A,ROW()-ROW($Q$2)+2)="","",
IFERROR(
INDEX(Last10Home_Stats_All!$A:$ZZ,ROW()-ROW($Q$2)+2,COLUMN()-COLUMN($Q$2)+1),
""))</f>
        <v>1386296</v>
      </c>
      <c r="R6" s="1" t="str">
        <f>IF(INDEX(Last10Home_Stats_All!$A:$A,ROW()-ROW($Q$2)+2)="","",
IFERROR(
INDEX(Last10Home_Stats_All!$A:$ZZ,ROW()-ROW($Q$2)+2,COLUMN()-COLUMN($Q$2)+1),
""))</f>
        <v>24/02/2026 19:45</v>
      </c>
      <c r="S6" s="1" t="str">
        <f>IF(INDEX(Last10Home_Stats_All!$A:$A,ROW()-ROW($Q$2)+2)="","",
IFERROR(
INDEX(Last10Home_Stats_All!$A:$ZZ,ROW()-ROW($Q$2)+2,COLUMN()-COLUMN($Q$2)+1),
""))</f>
        <v>England</v>
      </c>
      <c r="T6" s="1" t="str">
        <f>IF(INDEX(Last10Home_Stats_All!$A:$A,ROW()-ROW($Q$2)+2)="","",
IFERROR(
INDEX(Last10Home_Stats_All!$A:$ZZ,ROW()-ROW($Q$2)+2,COLUMN()-COLUMN($Q$2)+1),
""))</f>
        <v>League Two</v>
      </c>
      <c r="U6" s="1" t="str">
        <f>IF(INDEX(Last10Home_Stats_All!$A:$A,ROW()-ROW($Q$2)+2)="","",
IFERROR(
INDEX(Last10Home_Stats_All!$A:$ZZ,ROW()-ROW($Q$2)+2,COLUMN()-COLUMN($Q$2)+1),
""))</f>
        <v>https://media.api-sports.io/football/teams/1360.png</v>
      </c>
      <c r="V6" s="1" t="str">
        <f>IF(INDEX(Last10Home_Stats_All!$A:$A,ROW()-ROW($Q$2)+2)="","",
IFERROR(
INDEX(Last10Home_Stats_All!$A:$ZZ,ROW()-ROW($Q$2)+2,COLUMN()-COLUMN($Q$2)+1),
""))</f>
        <v>Accrington ST</v>
      </c>
      <c r="W6" s="1" t="str">
        <f>IF(INDEX(Last10Home_Stats_All!$A:$A,ROW()-ROW($Q$2)+2)="","",
IFERROR(
INDEX(Last10Home_Stats_All!$A:$ZZ,ROW()-ROW($Q$2)+2,COLUMN()-COLUMN($Q$2)+1),
""))</f>
        <v>https://media.api-sports.io/football/teams/1369.png</v>
      </c>
      <c r="X6" s="1" t="str">
        <f>IF(INDEX(Last10Home_Stats_All!$A:$A,ROW()-ROW($Q$2)+2)="","",
IFERROR(
INDEX(Last10Home_Stats_All!$A:$ZZ,ROW()-ROW($Q$2)+2,COLUMN()-COLUMN($Q$2)+1),
""))</f>
        <v>Barnet</v>
      </c>
      <c r="Y6" s="1" t="str">
        <f>IF(INDEX(Last10Home_Stats_All!$A:$A,ROW()-ROW($Q$2)+2)="","",
IFERROR(
INDEX(Last10Home_Stats_All!$A:$ZZ,ROW()-ROW($Q$2)+2,COLUMN()-COLUMN($Q$2)+1),
""))</f>
        <v>https://media.api-sports.io/football/leagues/42.png</v>
      </c>
      <c r="Z6" s="1" t="str">
        <f>IF(INDEX(Last10Home_Stats_All!$A:$A,ROW()-ROW($Q$2)+2)="","",
IFERROR(
INDEX(Last10Home_Stats_All!$A:$ZZ,ROW()-ROW($Q$2)+2,COLUMN()-COLUMN($Q$2)+1),
""))</f>
        <v>https://media.api-sports.io/flags/gb-eng.svg</v>
      </c>
      <c r="AA6" s="1">
        <f>IF(INDEX(Last10Home_Stats_All!$A:$A,ROW()-ROW($Q$2)+2)="","",
IFERROR(
INDEX(Last10Home_Stats_All!$A:$ZZ,ROW()-ROW($Q$2)+2,COLUMN()-COLUMN($Q$2)+1),
""))</f>
        <v>0</v>
      </c>
      <c r="AB6" s="1">
        <f>IF(INDEX(Last10Home_Stats_All!$A:$A,ROW()-ROW($Q$2)+2)="","",
IFERROR(
INDEX(Last10Home_Stats_All!$A:$ZZ,ROW()-ROW($Q$2)+2,COLUMN()-COLUMN($Q$2)+1),
""))</f>
        <v>1</v>
      </c>
      <c r="AC6" s="1">
        <f>IF(INDEX(Last10Home_Stats_All!$A:$A,ROW()-ROW($Q$2)+2)="","",
IFERROR(
INDEX(Last10Home_Stats_All!$A:$ZZ,ROW()-ROW($Q$2)+2,COLUMN()-COLUMN($Q$2)+1),
""))</f>
        <v>0</v>
      </c>
      <c r="AD6" s="1">
        <f>IF(INDEX(Last10Home_Stats_All!$A:$A,ROW()-ROW($Q$2)+2)="","",
IFERROR(
INDEX(Last10Home_Stats_All!$A:$ZZ,ROW()-ROW($Q$2)+2,COLUMN()-COLUMN($Q$2)+1),
""))</f>
        <v>0</v>
      </c>
      <c r="AE6" s="1">
        <f>IF(INDEX(Last10Home_Stats_All!$A:$A,ROW()-ROW($Q$2)+2)="","",
IFERROR(
INDEX(Last10Home_Stats_All!$A:$ZZ,ROW()-ROW($Q$2)+2,COLUMN()-COLUMN($Q$2)+1),
""))</f>
        <v>0</v>
      </c>
      <c r="AF6" s="1">
        <f>IF(INDEX(Last10Home_Stats_All!$A:$A,ROW()-ROW($Q$2)+2)="","",
IFERROR(
INDEX(Last10Home_Stats_All!$A:$ZZ,ROW()-ROW($Q$2)+2,COLUMN()-COLUMN($Q$2)+1),
""))</f>
        <v>1</v>
      </c>
      <c r="AG6" s="1">
        <f>IF(INDEX(Last10Home_Stats_All!$A:$A,ROW()-ROW($Q$2)+2)="","",
IFERROR(
INDEX(Last10Home_Stats_All!$A:$ZZ,ROW()-ROW($Q$2)+2,COLUMN()-COLUMN($Q$2)+1),
""))</f>
        <v>1</v>
      </c>
      <c r="AH6" s="1">
        <f>IF(INDEX(Last10Home_Stats_All!$A:$A,ROW()-ROW($Q$2)+2)="","",
IFERROR(
INDEX(Last10Home_Stats_All!$A:$ZZ,ROW()-ROW($Q$2)+2,COLUMN()-COLUMN($Q$2)+1),
""))</f>
        <v>4</v>
      </c>
      <c r="AI6" s="1">
        <f>IF(INDEX(Last10Home_Stats_All!$A:$A,ROW()-ROW($Q$2)+2)="","",
IFERROR(
INDEX(Last10Home_Stats_All!$A:$ZZ,ROW()-ROW($Q$2)+2,COLUMN()-COLUMN($Q$2)+1),
""))</f>
        <v>0</v>
      </c>
      <c r="AJ6" s="1">
        <f>IF(INDEX(Last10Home_Stats_All!$A:$A,ROW()-ROW($Q$2)+2)="","",
IFERROR(
INDEX(Last10Home_Stats_All!$A:$ZZ,ROW()-ROW($Q$2)+2,COLUMN()-COLUMN($Q$2)+1),
""))</f>
        <v>9</v>
      </c>
      <c r="AK6" s="1">
        <f>IF(INDEX(Last10Home_Stats_All!$A:$A,ROW()-ROW($Q$2)+2)="","",
IFERROR(
INDEX(Last10Home_Stats_All!$A:$ZZ,ROW()-ROW($Q$2)+2,COLUMN()-COLUMN($Q$2)+1),
""))</f>
        <v>3</v>
      </c>
      <c r="AL6" s="1">
        <f>IF(INDEX(Last10Home_Stats_All!$A:$A,ROW()-ROW($Q$2)+2)="","",
IFERROR(
INDEX(Last10Home_Stats_All!$A:$ZZ,ROW()-ROW($Q$2)+2,COLUMN()-COLUMN($Q$2)+1),
""))</f>
        <v>21</v>
      </c>
      <c r="AM6" s="1">
        <f>IF(INDEX(Last10Home_Stats_All!$A:$A,ROW()-ROW($Q$2)+2)="","",
IFERROR(
INDEX(Last10Home_Stats_All!$A:$ZZ,ROW()-ROW($Q$2)+2,COLUMN()-COLUMN($Q$2)+1),
""))</f>
        <v>2</v>
      </c>
      <c r="AN6" s="1">
        <f>IF(INDEX(Last10Home_Stats_All!$A:$A,ROW()-ROW($Q$2)+2)="","",
IFERROR(
INDEX(Last10Home_Stats_All!$A:$ZZ,ROW()-ROW($Q$2)+2,COLUMN()-COLUMN($Q$2)+1),
""))</f>
        <v>8</v>
      </c>
      <c r="AO6" s="1">
        <f>IF(INDEX(Last10Home_Stats_All!$A:$A,ROW()-ROW($Q$2)+2)="","",
IFERROR(
INDEX(Last10Home_Stats_All!$A:$ZZ,ROW()-ROW($Q$2)+2,COLUMN()-COLUMN($Q$2)+1),
""))</f>
        <v>0</v>
      </c>
      <c r="AP6" s="1">
        <f>IF(INDEX(Last10Home_Stats_All!$A:$A,ROW()-ROW($Q$2)+2)="","",
IFERROR(
INDEX(Last10Home_Stats_All!$A:$ZZ,ROW()-ROW($Q$2)+2,COLUMN()-COLUMN($Q$2)+1),
""))</f>
        <v>10</v>
      </c>
      <c r="AQ6" s="1">
        <f>IF(INDEX(Last10Home_Stats_All!$A:$A,ROW()-ROW($Q$2)+2)="","",
IFERROR(
INDEX(Last10Home_Stats_All!$A:$ZZ,ROW()-ROW($Q$2)+2,COLUMN()-COLUMN($Q$2)+1),
""))</f>
        <v>3</v>
      </c>
      <c r="AR6" s="1">
        <f>IF(INDEX(Last10Home_Stats_All!$A:$A,ROW()-ROW($Q$2)+2)="","",
IFERROR(
INDEX(Last10Home_Stats_All!$A:$ZZ,ROW()-ROW($Q$2)+2,COLUMN()-COLUMN($Q$2)+1),
""))</f>
        <v>11</v>
      </c>
      <c r="AS6" s="1">
        <f>IF(INDEX(Last10Home_Stats_All!$A:$A,ROW()-ROW($Q$2)+2)="","",
IFERROR(
INDEX(Last10Home_Stats_All!$A:$ZZ,ROW()-ROW($Q$2)+2,COLUMN()-COLUMN($Q$2)+1),
""))</f>
        <v>11</v>
      </c>
      <c r="AT6" s="1">
        <f>IF(INDEX(Last10Home_Stats_All!$A:$A,ROW()-ROW($Q$2)+2)="","",
IFERROR(
INDEX(Last10Home_Stats_All!$A:$ZZ,ROW()-ROW($Q$2)+2,COLUMN()-COLUMN($Q$2)+1),
""))</f>
        <v>7</v>
      </c>
      <c r="AU6" s="1">
        <f>IF(INDEX(Last10Home_Stats_All!$A:$A,ROW()-ROW($Q$2)+2)="","",
IFERROR(
INDEX(Last10Home_Stats_All!$A:$ZZ,ROW()-ROW($Q$2)+2,COLUMN()-COLUMN($Q$2)+1),
""))</f>
        <v>2</v>
      </c>
      <c r="AV6" s="1">
        <f>IF(INDEX(Last10Home_Stats_All!$A:$A,ROW()-ROW($Q$2)+2)="","",
IFERROR(
INDEX(Last10Home_Stats_All!$A:$ZZ,ROW()-ROW($Q$2)+2,COLUMN()-COLUMN($Q$2)+1),
""))</f>
        <v>3</v>
      </c>
      <c r="AW6" s="1">
        <f>IF(INDEX(Last10Home_Stats_All!$A:$A,ROW()-ROW($Q$2)+2)="","",
IFERROR(
INDEX(Last10Home_Stats_All!$A:$ZZ,ROW()-ROW($Q$2)+2,COLUMN()-COLUMN($Q$2)+1),
""))</f>
        <v>4</v>
      </c>
      <c r="AX6" s="1">
        <f>IF(INDEX(Last10Home_Stats_All!$A:$A,ROW()-ROW($Q$2)+2)="","",
IFERROR(
INDEX(Last10Home_Stats_All!$A:$ZZ,ROW()-ROW($Q$2)+2,COLUMN()-COLUMN($Q$2)+1),
""))</f>
        <v>1</v>
      </c>
      <c r="AY6" s="1">
        <f>IF(INDEX(Last10Home_Stats_All!$A:$A,ROW()-ROW($Q$2)+2)="","",
IFERROR(
INDEX(Last10Home_Stats_All!$A:$ZZ,ROW()-ROW($Q$2)+2,COLUMN()-COLUMN($Q$2)+1),
""))</f>
        <v>46</v>
      </c>
      <c r="AZ6" s="1">
        <f>IF(INDEX(Last10Home_Stats_All!$A:$A,ROW()-ROW($Q$2)+2)="","",
IFERROR(
INDEX(Last10Home_Stats_All!$A:$ZZ,ROW()-ROW($Q$2)+2,COLUMN()-COLUMN($Q$2)+1),
""))</f>
        <v>54</v>
      </c>
      <c r="BA6" s="1">
        <f>IF(INDEX(Last10Home_Stats_All!$A:$A,ROW()-ROW($Q$2)+2)="","",
IFERROR(
INDEX(Last10Home_Stats_All!$A:$ZZ,ROW()-ROW($Q$2)+2,COLUMN()-COLUMN($Q$2)+1),
""))</f>
        <v>1</v>
      </c>
      <c r="BB6" s="1">
        <f>IF(INDEX(Last10Home_Stats_All!$A:$A,ROW()-ROW($Q$2)+2)="","",
IFERROR(
INDEX(Last10Home_Stats_All!$A:$ZZ,ROW()-ROW($Q$2)+2,COLUMN()-COLUMN($Q$2)+1),
""))</f>
        <v>0</v>
      </c>
      <c r="BC6" s="1">
        <f>IF(INDEX(Last10Home_Stats_All!$A:$A,ROW()-ROW($Q$2)+2)="","",
IFERROR(
INDEX(Last10Home_Stats_All!$A:$ZZ,ROW()-ROW($Q$2)+2,COLUMN()-COLUMN($Q$2)+1),
""))</f>
        <v>0</v>
      </c>
      <c r="BD6" s="1">
        <f>IF(INDEX(Last10Home_Stats_All!$A:$A,ROW()-ROW($Q$2)+2)="","",
IFERROR(
INDEX(Last10Home_Stats_All!$A:$ZZ,ROW()-ROW($Q$2)+2,COLUMN()-COLUMN($Q$2)+1),
""))</f>
        <v>0</v>
      </c>
      <c r="BE6" s="1">
        <f>IF(INDEX(Last10Home_Stats_All!$A:$A,ROW()-ROW($Q$2)+2)="","",
IFERROR(
INDEX(Last10Home_Stats_All!$A:$ZZ,ROW()-ROW($Q$2)+2,COLUMN()-COLUMN($Q$2)+1),
""))</f>
        <v>3</v>
      </c>
      <c r="BF6" s="1">
        <f>IF(INDEX(Last10Home_Stats_All!$A:$A,ROW()-ROW($Q$2)+2)="","",
IFERROR(
INDEX(Last10Home_Stats_All!$A:$ZZ,ROW()-ROW($Q$2)+2,COLUMN()-COLUMN($Q$2)+1),
""))</f>
        <v>1</v>
      </c>
      <c r="BG6" s="1">
        <f>IF(INDEX(Last10Home_Stats_All!$A:$A,ROW()-ROW($Q$2)+2)="","",
IFERROR(
INDEX(Last10Home_Stats_All!$A:$ZZ,ROW()-ROW($Q$2)+2,COLUMN()-COLUMN($Q$2)+1),
""))</f>
        <v>265</v>
      </c>
      <c r="BH6" s="1">
        <f>IF(INDEX(Last10Home_Stats_All!$A:$A,ROW()-ROW($Q$2)+2)="","",
IFERROR(
INDEX(Last10Home_Stats_All!$A:$ZZ,ROW()-ROW($Q$2)+2,COLUMN()-COLUMN($Q$2)+1),
""))</f>
        <v>319</v>
      </c>
      <c r="BI6" s="1">
        <f>IF(INDEX(Last10Home_Stats_All!$A:$A,ROW()-ROW($Q$2)+2)="","",
IFERROR(
INDEX(Last10Home_Stats_All!$A:$ZZ,ROW()-ROW($Q$2)+2,COLUMN()-COLUMN($Q$2)+1),
""))</f>
        <v>149</v>
      </c>
      <c r="BJ6" s="1">
        <f>IF(INDEX(Last10Home_Stats_All!$A:$A,ROW()-ROW($Q$2)+2)="","",
IFERROR(
INDEX(Last10Home_Stats_All!$A:$ZZ,ROW()-ROW($Q$2)+2,COLUMN()-COLUMN($Q$2)+1),
""))</f>
        <v>209</v>
      </c>
      <c r="BK6" s="1">
        <f>IF(INDEX(Last10Home_Stats_All!$A:$A,ROW()-ROW($Q$2)+2)="","",
IFERROR(
INDEX(Last10Home_Stats_All!$A:$ZZ,ROW()-ROW($Q$2)+2,COLUMN()-COLUMN($Q$2)+1),
""))</f>
        <v>56</v>
      </c>
      <c r="BL6" s="1">
        <f>IF(INDEX(Last10Home_Stats_All!$A:$A,ROW()-ROW($Q$2)+2)="","",
IFERROR(
INDEX(Last10Home_Stats_All!$A:$ZZ,ROW()-ROW($Q$2)+2,COLUMN()-COLUMN($Q$2)+1),
""))</f>
        <v>66</v>
      </c>
      <c r="BM6" s="1">
        <f>IF(INDEX(Last10Home_Stats_All!$A:$A,ROW()-ROW($Q$2)+2)="","",
IFERROR(
INDEX(Last10Home_Stats_All!$A:$ZZ,ROW()-ROW($Q$2)+2,COLUMN()-COLUMN($Q$2)+1),
""))</f>
        <v>0</v>
      </c>
      <c r="BN6" s="1">
        <f>IF(INDEX(Last10Home_Stats_All!$A:$A,ROW()-ROW($Q$2)+2)="","",
IFERROR(
INDEX(Last10Home_Stats_All!$A:$ZZ,ROW()-ROW($Q$2)+2,COLUMN()-COLUMN($Q$2)+1),
""))</f>
        <v>0</v>
      </c>
      <c r="BO6" s="1">
        <f>IF(INDEX(Last10Home_Stats_All!$A:$A,ROW()-ROW($Q$2)+2)="","",
IFERROR(
INDEX(Last10Home_Stats_All!$A:$ZZ,ROW()-ROW($Q$2)+2,COLUMN()-COLUMN($Q$2)+1),
""))</f>
        <v>0</v>
      </c>
      <c r="BP6" s="1">
        <f>IF(INDEX(Last10Home_Stats_All!$A:$A,ROW()-ROW($Q$2)+2)="","",
IFERROR(
INDEX(Last10Home_Stats_All!$A:$ZZ,ROW()-ROW($Q$2)+2,COLUMN()-COLUMN($Q$2)+1),
""))</f>
        <v>0</v>
      </c>
      <c r="BR6" s="1" t="str">
        <f>IF(OR(Control!AC6="",Control!AD6=""),"",Control!AC6&amp;" : "&amp;Control!AD6)</f>
        <v>0 : 0</v>
      </c>
      <c r="BS6" s="1" t="str">
        <f>IF(OR(Control!AE6="",Control!AF6=""),"",Control!AE6&amp;" : "&amp;Control!AF6)</f>
        <v>0 : 1</v>
      </c>
      <c r="BT6" s="1" t="str">
        <f>IF(OR(Control!AU6="",Control!AV6=""),"",Control!AU6&amp;" : "&amp;Control!AV6)</f>
        <v>2 : 3</v>
      </c>
      <c r="BV6" s="1">
        <f>IFERROR(INDEX(tblStandings[#All],ROW(A6),COLUMN(A6)),"")</f>
        <v>5</v>
      </c>
      <c r="BW6" s="1" t="str">
        <f>IFERROR(INDEX(tblStandings[#All],ROW(B6),COLUMN(B6)),"")</f>
        <v>Cambridge United</v>
      </c>
      <c r="BX6" s="1">
        <f>IFERROR(INDEX(tblStandings[#All],ROW(C6),COLUMN(C6)),"")</f>
        <v>41</v>
      </c>
      <c r="BY6" s="1">
        <f>IFERROR(INDEX(tblStandings[#All],ROW(D6),COLUMN(D6)),"")</f>
        <v>20</v>
      </c>
      <c r="BZ6" s="1">
        <f>IFERROR(INDEX(tblStandings[#All],ROW(E6),COLUMN(E6)),"")</f>
        <v>14</v>
      </c>
      <c r="CA6" s="1">
        <f>IFERROR(INDEX(tblStandings[#All],ROW(F6),COLUMN(F6)),"")</f>
        <v>7</v>
      </c>
      <c r="CB6" s="1">
        <f>IFERROR(INDEX(tblStandings[#All],ROW(G6),COLUMN(G6)),"")</f>
        <v>58</v>
      </c>
      <c r="CC6" s="1">
        <f>IFERROR(INDEX(tblStandings[#All],ROW(H6),COLUMN(H6)),"")</f>
        <v>31</v>
      </c>
      <c r="CD6" s="1">
        <f>IFERROR(INDEX(tblStandings[#All],ROW(I6),COLUMN(I6)),"")</f>
        <v>27</v>
      </c>
      <c r="CE6" s="1">
        <f>IFERROR(INDEX(tblStandings[#All],ROW(J6),COLUMN(J6)),"")</f>
        <v>74</v>
      </c>
      <c r="CF6" s="1" t="str">
        <f>IFERROR(INDEX(tblStandings[#All],ROW(K6),COLUMN(K6)),"")</f>
        <v>DDLWD</v>
      </c>
      <c r="CG6" s="1" t="str">
        <f t="shared" si="0"/>
        <v>D</v>
      </c>
      <c r="CH6" s="1" t="str">
        <f t="shared" si="1"/>
        <v>D</v>
      </c>
      <c r="CI6" s="1" t="str">
        <f t="shared" si="2"/>
        <v>L</v>
      </c>
      <c r="CJ6" s="1" t="str">
        <f t="shared" si="3"/>
        <v>W</v>
      </c>
      <c r="CK6" s="1" t="str">
        <f t="shared" si="4"/>
        <v>D</v>
      </c>
      <c r="CT6" s="1" t="s">
        <v>187</v>
      </c>
      <c r="CV6" s="3">
        <f>IFERROR(
CX6 / SUMPRODUCT(--ISNUMBER($AE$31:$AE$35),--ISNUMBER($AF$31:$AF$35)),"")</f>
        <v>0.6</v>
      </c>
      <c r="CX6" s="3">
        <f>IFERROR(SUMPRODUCT(--ISNUMBER($AE$31:$AE$35),--ISNUMBER($AF$31:$AF$35),--($AE$31:$AE$35&lt;$AF$31:$AF$35)),"")</f>
        <v>3</v>
      </c>
      <c r="CZ6" s="3">
        <f>IFERROR(SUMPRODUCT(--ISNUMBER($AE$2:$AE$11),--ISNUMBER($AF$2:$AF$11),--($AE$2:$AE$11&lt;$AF$2:$AF$11)),"")</f>
        <v>5</v>
      </c>
      <c r="DB6" s="3">
        <f>IFERROR(SUMPRODUCT(--ISNUMBER($AE$16:$AE$25),--ISNUMBER($AF$16:$AF$25),--($AF$16:$AF$25&lt;$AE$16:$AE$25)),"")</f>
        <v>4</v>
      </c>
      <c r="DD6" s="3">
        <f>IFERROR(
ROUND(
SUMPRODUCT(--ISNUMBER($AE$31:$AE$35),$AE$31:$AE$35) /
SUMPRODUCT(--ISNUMBER($AE$31:$AE$35)),2),
"")</f>
        <v>1.4</v>
      </c>
    </row>
    <row r="7" spans="1:108" x14ac:dyDescent="0.25">
      <c r="H7" s="1">
        <v>1539575</v>
      </c>
      <c r="I7" s="4">
        <v>46330</v>
      </c>
      <c r="J7" s="1" t="s">
        <v>32</v>
      </c>
      <c r="K7" s="1" t="s">
        <v>21</v>
      </c>
      <c r="L7" s="1" t="s">
        <v>7153</v>
      </c>
      <c r="M7" s="1" t="s">
        <v>7154</v>
      </c>
      <c r="N7" s="1" t="s">
        <v>7155</v>
      </c>
      <c r="O7" s="1" t="s">
        <v>7156</v>
      </c>
      <c r="Q7" s="1">
        <f>IF(INDEX(Last10Home_Stats_All!$A:$A,ROW()-ROW($Q$2)+2)="","",
IFERROR(
INDEX(Last10Home_Stats_All!$A:$ZZ,ROW()-ROW($Q$2)+2,COLUMN()-COLUMN($Q$2)+1),
""))</f>
        <v>1386392</v>
      </c>
      <c r="R7" s="1" t="str">
        <f>IF(INDEX(Last10Home_Stats_All!$A:$A,ROW()-ROW($Q$2)+2)="","",
IFERROR(
INDEX(Last10Home_Stats_All!$A:$ZZ,ROW()-ROW($Q$2)+2,COLUMN()-COLUMN($Q$2)+1),
""))</f>
        <v>21/02/2026 15:00</v>
      </c>
      <c r="S7" s="1" t="str">
        <f>IF(INDEX(Last10Home_Stats_All!$A:$A,ROW()-ROW($Q$2)+2)="","",
IFERROR(
INDEX(Last10Home_Stats_All!$A:$ZZ,ROW()-ROW($Q$2)+2,COLUMN()-COLUMN($Q$2)+1),
""))</f>
        <v>England</v>
      </c>
      <c r="T7" s="1" t="str">
        <f>IF(INDEX(Last10Home_Stats_All!$A:$A,ROW()-ROW($Q$2)+2)="","",
IFERROR(
INDEX(Last10Home_Stats_All!$A:$ZZ,ROW()-ROW($Q$2)+2,COLUMN()-COLUMN($Q$2)+1),
""))</f>
        <v>League Two</v>
      </c>
      <c r="U7" s="1" t="str">
        <f>IF(INDEX(Last10Home_Stats_All!$A:$A,ROW()-ROW($Q$2)+2)="","",
IFERROR(
INDEX(Last10Home_Stats_All!$A:$ZZ,ROW()-ROW($Q$2)+2,COLUMN()-COLUMN($Q$2)+1),
""))</f>
        <v>https://media.api-sports.io/football/teams/1360.png</v>
      </c>
      <c r="V7" s="1" t="str">
        <f>IF(INDEX(Last10Home_Stats_All!$A:$A,ROW()-ROW($Q$2)+2)="","",
IFERROR(
INDEX(Last10Home_Stats_All!$A:$ZZ,ROW()-ROW($Q$2)+2,COLUMN()-COLUMN($Q$2)+1),
""))</f>
        <v>Accrington ST</v>
      </c>
      <c r="W7" s="1" t="str">
        <f>IF(INDEX(Last10Home_Stats_All!$A:$A,ROW()-ROW($Q$2)+2)="","",
IFERROR(
INDEX(Last10Home_Stats_All!$A:$ZZ,ROW()-ROW($Q$2)+2,COLUMN()-COLUMN($Q$2)+1),
""))</f>
        <v>https://media.api-sports.io/football/teams/1352.png</v>
      </c>
      <c r="X7" s="1" t="str">
        <f>IF(INDEX(Last10Home_Stats_All!$A:$A,ROW()-ROW($Q$2)+2)="","",
IFERROR(
INDEX(Last10Home_Stats_All!$A:$ZZ,ROW()-ROW($Q$2)+2,COLUMN()-COLUMN($Q$2)+1),
""))</f>
        <v>Shrewsbury</v>
      </c>
      <c r="Y7" s="1" t="str">
        <f>IF(INDEX(Last10Home_Stats_All!$A:$A,ROW()-ROW($Q$2)+2)="","",
IFERROR(
INDEX(Last10Home_Stats_All!$A:$ZZ,ROW()-ROW($Q$2)+2,COLUMN()-COLUMN($Q$2)+1),
""))</f>
        <v>https://media.api-sports.io/football/leagues/42.png</v>
      </c>
      <c r="Z7" s="1" t="str">
        <f>IF(INDEX(Last10Home_Stats_All!$A:$A,ROW()-ROW($Q$2)+2)="","",
IFERROR(
INDEX(Last10Home_Stats_All!$A:$ZZ,ROW()-ROW($Q$2)+2,COLUMN()-COLUMN($Q$2)+1),
""))</f>
        <v>https://media.api-sports.io/flags/gb-eng.svg</v>
      </c>
      <c r="AA7" s="1">
        <f>IF(INDEX(Last10Home_Stats_All!$A:$A,ROW()-ROW($Q$2)+2)="","",
IFERROR(
INDEX(Last10Home_Stats_All!$A:$ZZ,ROW()-ROW($Q$2)+2,COLUMN()-COLUMN($Q$2)+1),
""))</f>
        <v>0</v>
      </c>
      <c r="AB7" s="1">
        <f>IF(INDEX(Last10Home_Stats_All!$A:$A,ROW()-ROW($Q$2)+2)="","",
IFERROR(
INDEX(Last10Home_Stats_All!$A:$ZZ,ROW()-ROW($Q$2)+2,COLUMN()-COLUMN($Q$2)+1),
""))</f>
        <v>2</v>
      </c>
      <c r="AC7" s="1">
        <f>IF(INDEX(Last10Home_Stats_All!$A:$A,ROW()-ROW($Q$2)+2)="","",
IFERROR(
INDEX(Last10Home_Stats_All!$A:$ZZ,ROW()-ROW($Q$2)+2,COLUMN()-COLUMN($Q$2)+1),
""))</f>
        <v>0</v>
      </c>
      <c r="AD7" s="1">
        <f>IF(INDEX(Last10Home_Stats_All!$A:$A,ROW()-ROW($Q$2)+2)="","",
IFERROR(
INDEX(Last10Home_Stats_All!$A:$ZZ,ROW()-ROW($Q$2)+2,COLUMN()-COLUMN($Q$2)+1),
""))</f>
        <v>1</v>
      </c>
      <c r="AE7" s="1">
        <f>IF(INDEX(Last10Home_Stats_All!$A:$A,ROW()-ROW($Q$2)+2)="","",
IFERROR(
INDEX(Last10Home_Stats_All!$A:$ZZ,ROW()-ROW($Q$2)+2,COLUMN()-COLUMN($Q$2)+1),
""))</f>
        <v>0</v>
      </c>
      <c r="AF7" s="1">
        <f>IF(INDEX(Last10Home_Stats_All!$A:$A,ROW()-ROW($Q$2)+2)="","",
IFERROR(
INDEX(Last10Home_Stats_All!$A:$ZZ,ROW()-ROW($Q$2)+2,COLUMN()-COLUMN($Q$2)+1),
""))</f>
        <v>2</v>
      </c>
      <c r="AG7" s="1">
        <f>IF(INDEX(Last10Home_Stats_All!$A:$A,ROW()-ROW($Q$2)+2)="","",
IFERROR(
INDEX(Last10Home_Stats_All!$A:$ZZ,ROW()-ROW($Q$2)+2,COLUMN()-COLUMN($Q$2)+1),
""))</f>
        <v>5</v>
      </c>
      <c r="AH7" s="1">
        <f>IF(INDEX(Last10Home_Stats_All!$A:$A,ROW()-ROW($Q$2)+2)="","",
IFERROR(
INDEX(Last10Home_Stats_All!$A:$ZZ,ROW()-ROW($Q$2)+2,COLUMN()-COLUMN($Q$2)+1),
""))</f>
        <v>3</v>
      </c>
      <c r="AI7" s="1">
        <f>IF(INDEX(Last10Home_Stats_All!$A:$A,ROW()-ROW($Q$2)+2)="","",
IFERROR(
INDEX(Last10Home_Stats_All!$A:$ZZ,ROW()-ROW($Q$2)+2,COLUMN()-COLUMN($Q$2)+1),
""))</f>
        <v>5</v>
      </c>
      <c r="AJ7" s="1">
        <f>IF(INDEX(Last10Home_Stats_All!$A:$A,ROW()-ROW($Q$2)+2)="","",
IFERROR(
INDEX(Last10Home_Stats_All!$A:$ZZ,ROW()-ROW($Q$2)+2,COLUMN()-COLUMN($Q$2)+1),
""))</f>
        <v>3</v>
      </c>
      <c r="AK7" s="1">
        <f>IF(INDEX(Last10Home_Stats_All!$A:$A,ROW()-ROW($Q$2)+2)="","",
IFERROR(
INDEX(Last10Home_Stats_All!$A:$ZZ,ROW()-ROW($Q$2)+2,COLUMN()-COLUMN($Q$2)+1),
""))</f>
        <v>12</v>
      </c>
      <c r="AL7" s="1">
        <f>IF(INDEX(Last10Home_Stats_All!$A:$A,ROW()-ROW($Q$2)+2)="","",
IFERROR(
INDEX(Last10Home_Stats_All!$A:$ZZ,ROW()-ROW($Q$2)+2,COLUMN()-COLUMN($Q$2)+1),
""))</f>
        <v>10</v>
      </c>
      <c r="AM7" s="1">
        <f>IF(INDEX(Last10Home_Stats_All!$A:$A,ROW()-ROW($Q$2)+2)="","",
IFERROR(
INDEX(Last10Home_Stats_All!$A:$ZZ,ROW()-ROW($Q$2)+2,COLUMN()-COLUMN($Q$2)+1),
""))</f>
        <v>2</v>
      </c>
      <c r="AN7" s="1">
        <f>IF(INDEX(Last10Home_Stats_All!$A:$A,ROW()-ROW($Q$2)+2)="","",
IFERROR(
INDEX(Last10Home_Stats_All!$A:$ZZ,ROW()-ROW($Q$2)+2,COLUMN()-COLUMN($Q$2)+1),
""))</f>
        <v>4</v>
      </c>
      <c r="AO7" s="1">
        <f>IF(INDEX(Last10Home_Stats_All!$A:$A,ROW()-ROW($Q$2)+2)="","",
IFERROR(
INDEX(Last10Home_Stats_All!$A:$ZZ,ROW()-ROW($Q$2)+2,COLUMN()-COLUMN($Q$2)+1),
""))</f>
        <v>7</v>
      </c>
      <c r="AP7" s="1">
        <f>IF(INDEX(Last10Home_Stats_All!$A:$A,ROW()-ROW($Q$2)+2)="","",
IFERROR(
INDEX(Last10Home_Stats_All!$A:$ZZ,ROW()-ROW($Q$2)+2,COLUMN()-COLUMN($Q$2)+1),
""))</f>
        <v>3</v>
      </c>
      <c r="AQ7" s="1">
        <f>IF(INDEX(Last10Home_Stats_All!$A:$A,ROW()-ROW($Q$2)+2)="","",
IFERROR(
INDEX(Last10Home_Stats_All!$A:$ZZ,ROW()-ROW($Q$2)+2,COLUMN()-COLUMN($Q$2)+1),
""))</f>
        <v>5</v>
      </c>
      <c r="AR7" s="1">
        <f>IF(INDEX(Last10Home_Stats_All!$A:$A,ROW()-ROW($Q$2)+2)="","",
IFERROR(
INDEX(Last10Home_Stats_All!$A:$ZZ,ROW()-ROW($Q$2)+2,COLUMN()-COLUMN($Q$2)+1),
""))</f>
        <v>7</v>
      </c>
      <c r="AS7" s="1">
        <f>IF(INDEX(Last10Home_Stats_All!$A:$A,ROW()-ROW($Q$2)+2)="","",
IFERROR(
INDEX(Last10Home_Stats_All!$A:$ZZ,ROW()-ROW($Q$2)+2,COLUMN()-COLUMN($Q$2)+1),
""))</f>
        <v>12</v>
      </c>
      <c r="AT7" s="1">
        <f>IF(INDEX(Last10Home_Stats_All!$A:$A,ROW()-ROW($Q$2)+2)="","",
IFERROR(
INDEX(Last10Home_Stats_All!$A:$ZZ,ROW()-ROW($Q$2)+2,COLUMN()-COLUMN($Q$2)+1),
""))</f>
        <v>9</v>
      </c>
      <c r="AU7" s="1">
        <f>IF(INDEX(Last10Home_Stats_All!$A:$A,ROW()-ROW($Q$2)+2)="","",
IFERROR(
INDEX(Last10Home_Stats_All!$A:$ZZ,ROW()-ROW($Q$2)+2,COLUMN()-COLUMN($Q$2)+1),
""))</f>
        <v>6</v>
      </c>
      <c r="AV7" s="1">
        <f>IF(INDEX(Last10Home_Stats_All!$A:$A,ROW()-ROW($Q$2)+2)="","",
IFERROR(
INDEX(Last10Home_Stats_All!$A:$ZZ,ROW()-ROW($Q$2)+2,COLUMN()-COLUMN($Q$2)+1),
""))</f>
        <v>3</v>
      </c>
      <c r="AW7" s="1">
        <f>IF(INDEX(Last10Home_Stats_All!$A:$A,ROW()-ROW($Q$2)+2)="","",
IFERROR(
INDEX(Last10Home_Stats_All!$A:$ZZ,ROW()-ROW($Q$2)+2,COLUMN()-COLUMN($Q$2)+1),
""))</f>
        <v>2</v>
      </c>
      <c r="AX7" s="1">
        <f>IF(INDEX(Last10Home_Stats_All!$A:$A,ROW()-ROW($Q$2)+2)="","",
IFERROR(
INDEX(Last10Home_Stats_All!$A:$ZZ,ROW()-ROW($Q$2)+2,COLUMN()-COLUMN($Q$2)+1),
""))</f>
        <v>1</v>
      </c>
      <c r="AY7" s="1">
        <f>IF(INDEX(Last10Home_Stats_All!$A:$A,ROW()-ROW($Q$2)+2)="","",
IFERROR(
INDEX(Last10Home_Stats_All!$A:$ZZ,ROW()-ROW($Q$2)+2,COLUMN()-COLUMN($Q$2)+1),
""))</f>
        <v>61</v>
      </c>
      <c r="AZ7" s="1">
        <f>IF(INDEX(Last10Home_Stats_All!$A:$A,ROW()-ROW($Q$2)+2)="","",
IFERROR(
INDEX(Last10Home_Stats_All!$A:$ZZ,ROW()-ROW($Q$2)+2,COLUMN()-COLUMN($Q$2)+1),
""))</f>
        <v>39</v>
      </c>
      <c r="BA7" s="1">
        <f>IF(INDEX(Last10Home_Stats_All!$A:$A,ROW()-ROW($Q$2)+2)="","",
IFERROR(
INDEX(Last10Home_Stats_All!$A:$ZZ,ROW()-ROW($Q$2)+2,COLUMN()-COLUMN($Q$2)+1),
""))</f>
        <v>3</v>
      </c>
      <c r="BB7" s="1">
        <f>IF(INDEX(Last10Home_Stats_All!$A:$A,ROW()-ROW($Q$2)+2)="","",
IFERROR(
INDEX(Last10Home_Stats_All!$A:$ZZ,ROW()-ROW($Q$2)+2,COLUMN()-COLUMN($Q$2)+1),
""))</f>
        <v>0</v>
      </c>
      <c r="BC7" s="1">
        <f>IF(INDEX(Last10Home_Stats_All!$A:$A,ROW()-ROW($Q$2)+2)="","",
IFERROR(
INDEX(Last10Home_Stats_All!$A:$ZZ,ROW()-ROW($Q$2)+2,COLUMN()-COLUMN($Q$2)+1),
""))</f>
        <v>0</v>
      </c>
      <c r="BD7" s="1">
        <f>IF(INDEX(Last10Home_Stats_All!$A:$A,ROW()-ROW($Q$2)+2)="","",
IFERROR(
INDEX(Last10Home_Stats_All!$A:$ZZ,ROW()-ROW($Q$2)+2,COLUMN()-COLUMN($Q$2)+1),
""))</f>
        <v>0</v>
      </c>
      <c r="BE7" s="1">
        <f>IF(INDEX(Last10Home_Stats_All!$A:$A,ROW()-ROW($Q$2)+2)="","",
IFERROR(
INDEX(Last10Home_Stats_All!$A:$ZZ,ROW()-ROW($Q$2)+2,COLUMN()-COLUMN($Q$2)+1),
""))</f>
        <v>1</v>
      </c>
      <c r="BF7" s="1">
        <f>IF(INDEX(Last10Home_Stats_All!$A:$A,ROW()-ROW($Q$2)+2)="","",
IFERROR(
INDEX(Last10Home_Stats_All!$A:$ZZ,ROW()-ROW($Q$2)+2,COLUMN()-COLUMN($Q$2)+1),
""))</f>
        <v>5</v>
      </c>
      <c r="BG7" s="1">
        <f>IF(INDEX(Last10Home_Stats_All!$A:$A,ROW()-ROW($Q$2)+2)="","",
IFERROR(
INDEX(Last10Home_Stats_All!$A:$ZZ,ROW()-ROW($Q$2)+2,COLUMN()-COLUMN($Q$2)+1),
""))</f>
        <v>401</v>
      </c>
      <c r="BH7" s="1">
        <f>IF(INDEX(Last10Home_Stats_All!$A:$A,ROW()-ROW($Q$2)+2)="","",
IFERROR(
INDEX(Last10Home_Stats_All!$A:$ZZ,ROW()-ROW($Q$2)+2,COLUMN()-COLUMN($Q$2)+1),
""))</f>
        <v>268</v>
      </c>
      <c r="BI7" s="1">
        <f>IF(INDEX(Last10Home_Stats_All!$A:$A,ROW()-ROW($Q$2)+2)="","",
IFERROR(
INDEX(Last10Home_Stats_All!$A:$ZZ,ROW()-ROW($Q$2)+2,COLUMN()-COLUMN($Q$2)+1),
""))</f>
        <v>288</v>
      </c>
      <c r="BJ7" s="1">
        <f>IF(INDEX(Last10Home_Stats_All!$A:$A,ROW()-ROW($Q$2)+2)="","",
IFERROR(
INDEX(Last10Home_Stats_All!$A:$ZZ,ROW()-ROW($Q$2)+2,COLUMN()-COLUMN($Q$2)+1),
""))</f>
        <v>134</v>
      </c>
      <c r="BK7" s="1">
        <f>IF(INDEX(Last10Home_Stats_All!$A:$A,ROW()-ROW($Q$2)+2)="","",
IFERROR(
INDEX(Last10Home_Stats_All!$A:$ZZ,ROW()-ROW($Q$2)+2,COLUMN()-COLUMN($Q$2)+1),
""))</f>
        <v>72</v>
      </c>
      <c r="BL7" s="1">
        <f>IF(INDEX(Last10Home_Stats_All!$A:$A,ROW()-ROW($Q$2)+2)="","",
IFERROR(
INDEX(Last10Home_Stats_All!$A:$ZZ,ROW()-ROW($Q$2)+2,COLUMN()-COLUMN($Q$2)+1),
""))</f>
        <v>50</v>
      </c>
      <c r="BM7" s="1">
        <f>IF(INDEX(Last10Home_Stats_All!$A:$A,ROW()-ROW($Q$2)+2)="","",
IFERROR(
INDEX(Last10Home_Stats_All!$A:$ZZ,ROW()-ROW($Q$2)+2,COLUMN()-COLUMN($Q$2)+1),
""))</f>
        <v>0.72</v>
      </c>
      <c r="BN7" s="1">
        <f>IF(INDEX(Last10Home_Stats_All!$A:$A,ROW()-ROW($Q$2)+2)="","",
IFERROR(
INDEX(Last10Home_Stats_All!$A:$ZZ,ROW()-ROW($Q$2)+2,COLUMN()-COLUMN($Q$2)+1),
""))</f>
        <v>0.47</v>
      </c>
      <c r="BO7" s="1">
        <f>IF(INDEX(Last10Home_Stats_All!$A:$A,ROW()-ROW($Q$2)+2)="","",
IFERROR(
INDEX(Last10Home_Stats_All!$A:$ZZ,ROW()-ROW($Q$2)+2,COLUMN()-COLUMN($Q$2)+1),
""))</f>
        <v>0</v>
      </c>
      <c r="BP7" s="1">
        <f>IF(INDEX(Last10Home_Stats_All!$A:$A,ROW()-ROW($Q$2)+2)="","",
IFERROR(
INDEX(Last10Home_Stats_All!$A:$ZZ,ROW()-ROW($Q$2)+2,COLUMN()-COLUMN($Q$2)+1),
""))</f>
        <v>0</v>
      </c>
      <c r="BR7" s="1" t="str">
        <f>IF(OR(Control!AC7="",Control!AD7=""),"",Control!AC7&amp;" : "&amp;Control!AD7)</f>
        <v>0 : 1</v>
      </c>
      <c r="BS7" s="1" t="str">
        <f>IF(OR(Control!AE7="",Control!AF7=""),"",Control!AE7&amp;" : "&amp;Control!AF7)</f>
        <v>0 : 2</v>
      </c>
      <c r="BT7" s="1" t="str">
        <f>IF(OR(Control!AU7="",Control!AV7=""),"",Control!AU7&amp;" : "&amp;Control!AV7)</f>
        <v>6 : 3</v>
      </c>
      <c r="BV7" s="1">
        <f>IFERROR(INDEX(tblStandings[#All],ROW(A7),COLUMN(A7)),"")</f>
        <v>6</v>
      </c>
      <c r="BW7" s="1" t="str">
        <f>IFERROR(INDEX(tblStandings[#All],ROW(B7),COLUMN(B7)),"")</f>
        <v>Salford City</v>
      </c>
      <c r="BX7" s="1">
        <f>IFERROR(INDEX(tblStandings[#All],ROW(C7),COLUMN(C7)),"")</f>
        <v>42</v>
      </c>
      <c r="BY7" s="1">
        <f>IFERROR(INDEX(tblStandings[#All],ROW(D7),COLUMN(D7)),"")</f>
        <v>23</v>
      </c>
      <c r="BZ7" s="1">
        <f>IFERROR(INDEX(tblStandings[#All],ROW(E7),COLUMN(E7)),"")</f>
        <v>4</v>
      </c>
      <c r="CA7" s="1">
        <f>IFERROR(INDEX(tblStandings[#All],ROW(F7),COLUMN(F7)),"")</f>
        <v>15</v>
      </c>
      <c r="CB7" s="1">
        <f>IFERROR(INDEX(tblStandings[#All],ROW(G7),COLUMN(G7)),"")</f>
        <v>57</v>
      </c>
      <c r="CC7" s="1">
        <f>IFERROR(INDEX(tblStandings[#All],ROW(H7),COLUMN(H7)),"")</f>
        <v>50</v>
      </c>
      <c r="CD7" s="1">
        <f>IFERROR(INDEX(tblStandings[#All],ROW(I7),COLUMN(I7)),"")</f>
        <v>7</v>
      </c>
      <c r="CE7" s="1">
        <f>IFERROR(INDEX(tblStandings[#All],ROW(J7),COLUMN(J7)),"")</f>
        <v>73</v>
      </c>
      <c r="CF7" s="1" t="str">
        <f>IFERROR(INDEX(tblStandings[#All],ROW(K7),COLUMN(K7)),"")</f>
        <v>LWWLW</v>
      </c>
      <c r="CG7" s="1" t="str">
        <f t="shared" si="0"/>
        <v>L</v>
      </c>
      <c r="CH7" s="1" t="str">
        <f t="shared" si="1"/>
        <v>W</v>
      </c>
      <c r="CI7" s="1" t="str">
        <f t="shared" si="2"/>
        <v>W</v>
      </c>
      <c r="CJ7" s="1" t="str">
        <f t="shared" si="3"/>
        <v>L</v>
      </c>
      <c r="CK7" s="1" t="str">
        <f t="shared" si="4"/>
        <v>W</v>
      </c>
      <c r="CN7" s="1" t="s">
        <v>224</v>
      </c>
      <c r="CP7" s="1" t="s">
        <v>227</v>
      </c>
      <c r="CR7" s="1" t="s">
        <v>231</v>
      </c>
      <c r="CT7" s="3">
        <f>IFERROR(ROUND(
(
IF(SUMPRODUCT(--ISNUMBER($BA$2:$BA$11),--ISNUMBER($BB$2:$BB$11))=0,0,
SUMPRODUCT(--ISNUMBER($BA$2:$BA$11),--ISNUMBER($BB$2:$BB$11),($BA$2:$BA$11+$BB$2:$BB$11))
/
SUMPRODUCT(--ISNUMBER($BA$2:$BA$11),--ISNUMBER($BB$2:$BB$11))
)
+
IF(SUMPRODUCT(--ISNUMBER($BA$16:$BA$25),--ISNUMBER($BB$16:$BB$25))=0,0,
SUMPRODUCT(--ISNUMBER($BA$16:$BA$25),--ISNUMBER($BB$16:$BB$25),($BA$16:$BA$25+$BB$16:$BB$25))
/
SUMPRODUCT(--ISNUMBER($BA$16:$BA$25),--ISNUMBER($BB$16:$BB$25))
)
+
IF(SUMPRODUCT(--ISNUMBER($BA$31:$BA$35),--ISNUMBER($BB$31:$BB$35))=0,0,
SUMPRODUCT(--ISNUMBER($BA$31:$BA$35),--ISNUMBER($BB$31:$BB$35),($BA$31:$BA$35+$BB$31:$BB$35))
/
SUMPRODUCT(--ISNUMBER($BA$31:$BA$35),--ISNUMBER($BB$31:$BB$35))
)
)
/
(
--(SUMPRODUCT(--ISNUMBER($BA$2:$BA$11),--ISNUMBER($BB$2:$BB$11))&gt;0) +
--(SUMPRODUCT(--ISNUMBER($BA$16:$BA$25),--ISNUMBER($BB$16:$BB$25))&gt;0) +
--(SUMPRODUCT(--ISNUMBER($BA$31:$BA$35),--ISNUMBER($BB$31:$BB$35))&gt;0)
),2),"")</f>
        <v>4</v>
      </c>
      <c r="DD7" s="1" t="s">
        <v>259</v>
      </c>
    </row>
    <row r="8" spans="1:108" x14ac:dyDescent="0.25">
      <c r="A8" s="1" t="s">
        <v>6</v>
      </c>
      <c r="B8" s="3">
        <v>496</v>
      </c>
      <c r="H8" s="1">
        <v>1539741</v>
      </c>
      <c r="I8" s="4">
        <v>46330</v>
      </c>
      <c r="J8" s="1" t="s">
        <v>32</v>
      </c>
      <c r="K8" s="1" t="s">
        <v>20</v>
      </c>
      <c r="L8" s="1" t="s">
        <v>681</v>
      </c>
      <c r="M8" s="1" t="s">
        <v>6637</v>
      </c>
      <c r="N8" s="1" t="s">
        <v>7051</v>
      </c>
      <c r="O8" s="1" t="s">
        <v>7157</v>
      </c>
      <c r="Q8" s="1">
        <f>IF(INDEX(Last10Home_Stats_All!$A:$A,ROW()-ROW($Q$2)+2)="","",
IFERROR(
INDEX(Last10Home_Stats_All!$A:$ZZ,ROW()-ROW($Q$2)+2,COLUMN()-COLUMN($Q$2)+1),
""))</f>
        <v>1386356</v>
      </c>
      <c r="R8" s="1" t="str">
        <f>IF(INDEX(Last10Home_Stats_All!$A:$A,ROW()-ROW($Q$2)+2)="","",
IFERROR(
INDEX(Last10Home_Stats_All!$A:$ZZ,ROW()-ROW($Q$2)+2,COLUMN()-COLUMN($Q$2)+1),
""))</f>
        <v>05/02/2026 20:01</v>
      </c>
      <c r="S8" s="1" t="str">
        <f>IF(INDEX(Last10Home_Stats_All!$A:$A,ROW()-ROW($Q$2)+2)="","",
IFERROR(
INDEX(Last10Home_Stats_All!$A:$ZZ,ROW()-ROW($Q$2)+2,COLUMN()-COLUMN($Q$2)+1),
""))</f>
        <v>England</v>
      </c>
      <c r="T8" s="1" t="str">
        <f>IF(INDEX(Last10Home_Stats_All!$A:$A,ROW()-ROW($Q$2)+2)="","",
IFERROR(
INDEX(Last10Home_Stats_All!$A:$ZZ,ROW()-ROW($Q$2)+2,COLUMN()-COLUMN($Q$2)+1),
""))</f>
        <v>League Two</v>
      </c>
      <c r="U8" s="1" t="str">
        <f>IF(INDEX(Last10Home_Stats_All!$A:$A,ROW()-ROW($Q$2)+2)="","",
IFERROR(
INDEX(Last10Home_Stats_All!$A:$ZZ,ROW()-ROW($Q$2)+2,COLUMN()-COLUMN($Q$2)+1),
""))</f>
        <v>https://media.api-sports.io/football/teams/1360.png</v>
      </c>
      <c r="V8" s="1" t="str">
        <f>IF(INDEX(Last10Home_Stats_All!$A:$A,ROW()-ROW($Q$2)+2)="","",
IFERROR(
INDEX(Last10Home_Stats_All!$A:$ZZ,ROW()-ROW($Q$2)+2,COLUMN()-COLUMN($Q$2)+1),
""))</f>
        <v>Accrington ST</v>
      </c>
      <c r="W8" s="1" t="str">
        <f>IF(INDEX(Last10Home_Stats_All!$A:$A,ROW()-ROW($Q$2)+2)="","",
IFERROR(
INDEX(Last10Home_Stats_All!$A:$ZZ,ROW()-ROW($Q$2)+2,COLUMN()-COLUMN($Q$2)+1),
""))</f>
        <v>https://media.api-sports.io/football/teams/1844.png</v>
      </c>
      <c r="X8" s="1" t="str">
        <f>IF(INDEX(Last10Home_Stats_All!$A:$A,ROW()-ROW($Q$2)+2)="","",
IFERROR(
INDEX(Last10Home_Stats_All!$A:$ZZ,ROW()-ROW($Q$2)+2,COLUMN()-COLUMN($Q$2)+1),
""))</f>
        <v>Salford City</v>
      </c>
      <c r="Y8" s="1" t="str">
        <f>IF(INDEX(Last10Home_Stats_All!$A:$A,ROW()-ROW($Q$2)+2)="","",
IFERROR(
INDEX(Last10Home_Stats_All!$A:$ZZ,ROW()-ROW($Q$2)+2,COLUMN()-COLUMN($Q$2)+1),
""))</f>
        <v>https://media.api-sports.io/football/leagues/42.png</v>
      </c>
      <c r="Z8" s="1" t="str">
        <f>IF(INDEX(Last10Home_Stats_All!$A:$A,ROW()-ROW($Q$2)+2)="","",
IFERROR(
INDEX(Last10Home_Stats_All!$A:$ZZ,ROW()-ROW($Q$2)+2,COLUMN()-COLUMN($Q$2)+1),
""))</f>
        <v>https://media.api-sports.io/flags/gb-eng.svg</v>
      </c>
      <c r="AA8" s="1">
        <f>IF(INDEX(Last10Home_Stats_All!$A:$A,ROW()-ROW($Q$2)+2)="","",
IFERROR(
INDEX(Last10Home_Stats_All!$A:$ZZ,ROW()-ROW($Q$2)+2,COLUMN()-COLUMN($Q$2)+1),
""))</f>
        <v>1</v>
      </c>
      <c r="AB8" s="1">
        <f>IF(INDEX(Last10Home_Stats_All!$A:$A,ROW()-ROW($Q$2)+2)="","",
IFERROR(
INDEX(Last10Home_Stats_All!$A:$ZZ,ROW()-ROW($Q$2)+2,COLUMN()-COLUMN($Q$2)+1),
""))</f>
        <v>0</v>
      </c>
      <c r="AC8" s="1">
        <f>IF(INDEX(Last10Home_Stats_All!$A:$A,ROW()-ROW($Q$2)+2)="","",
IFERROR(
INDEX(Last10Home_Stats_All!$A:$ZZ,ROW()-ROW($Q$2)+2,COLUMN()-COLUMN($Q$2)+1),
""))</f>
        <v>1</v>
      </c>
      <c r="AD8" s="1">
        <f>IF(INDEX(Last10Home_Stats_All!$A:$A,ROW()-ROW($Q$2)+2)="","",
IFERROR(
INDEX(Last10Home_Stats_All!$A:$ZZ,ROW()-ROW($Q$2)+2,COLUMN()-COLUMN($Q$2)+1),
""))</f>
        <v>0</v>
      </c>
      <c r="AE8" s="1">
        <f>IF(INDEX(Last10Home_Stats_All!$A:$A,ROW()-ROW($Q$2)+2)="","",
IFERROR(
INDEX(Last10Home_Stats_All!$A:$ZZ,ROW()-ROW($Q$2)+2,COLUMN()-COLUMN($Q$2)+1),
""))</f>
        <v>1</v>
      </c>
      <c r="AF8" s="1">
        <f>IF(INDEX(Last10Home_Stats_All!$A:$A,ROW()-ROW($Q$2)+2)="","",
IFERROR(
INDEX(Last10Home_Stats_All!$A:$ZZ,ROW()-ROW($Q$2)+2,COLUMN()-COLUMN($Q$2)+1),
""))</f>
        <v>0</v>
      </c>
      <c r="AG8" s="1">
        <f>IF(INDEX(Last10Home_Stats_All!$A:$A,ROW()-ROW($Q$2)+2)="","",
IFERROR(
INDEX(Last10Home_Stats_All!$A:$ZZ,ROW()-ROW($Q$2)+2,COLUMN()-COLUMN($Q$2)+1),
""))</f>
        <v>5</v>
      </c>
      <c r="AH8" s="1">
        <f>IF(INDEX(Last10Home_Stats_All!$A:$A,ROW()-ROW($Q$2)+2)="","",
IFERROR(
INDEX(Last10Home_Stats_All!$A:$ZZ,ROW()-ROW($Q$2)+2,COLUMN()-COLUMN($Q$2)+1),
""))</f>
        <v>6</v>
      </c>
      <c r="AI8" s="1">
        <f>IF(INDEX(Last10Home_Stats_All!$A:$A,ROW()-ROW($Q$2)+2)="","",
IFERROR(
INDEX(Last10Home_Stats_All!$A:$ZZ,ROW()-ROW($Q$2)+2,COLUMN()-COLUMN($Q$2)+1),
""))</f>
        <v>7</v>
      </c>
      <c r="AJ8" s="1">
        <f>IF(INDEX(Last10Home_Stats_All!$A:$A,ROW()-ROW($Q$2)+2)="","",
IFERROR(
INDEX(Last10Home_Stats_All!$A:$ZZ,ROW()-ROW($Q$2)+2,COLUMN()-COLUMN($Q$2)+1),
""))</f>
        <v>4</v>
      </c>
      <c r="AK8" s="1">
        <f>IF(INDEX(Last10Home_Stats_All!$A:$A,ROW()-ROW($Q$2)+2)="","",
IFERROR(
INDEX(Last10Home_Stats_All!$A:$ZZ,ROW()-ROW($Q$2)+2,COLUMN()-COLUMN($Q$2)+1),
""))</f>
        <v>14</v>
      </c>
      <c r="AL8" s="1">
        <f>IF(INDEX(Last10Home_Stats_All!$A:$A,ROW()-ROW($Q$2)+2)="","",
IFERROR(
INDEX(Last10Home_Stats_All!$A:$ZZ,ROW()-ROW($Q$2)+2,COLUMN()-COLUMN($Q$2)+1),
""))</f>
        <v>15</v>
      </c>
      <c r="AM8" s="1">
        <f>IF(INDEX(Last10Home_Stats_All!$A:$A,ROW()-ROW($Q$2)+2)="","",
IFERROR(
INDEX(Last10Home_Stats_All!$A:$ZZ,ROW()-ROW($Q$2)+2,COLUMN()-COLUMN($Q$2)+1),
""))</f>
        <v>2</v>
      </c>
      <c r="AN8" s="1">
        <f>IF(INDEX(Last10Home_Stats_All!$A:$A,ROW()-ROW($Q$2)+2)="","",
IFERROR(
INDEX(Last10Home_Stats_All!$A:$ZZ,ROW()-ROW($Q$2)+2,COLUMN()-COLUMN($Q$2)+1),
""))</f>
        <v>5</v>
      </c>
      <c r="AO8" s="1">
        <f>IF(INDEX(Last10Home_Stats_All!$A:$A,ROW()-ROW($Q$2)+2)="","",
IFERROR(
INDEX(Last10Home_Stats_All!$A:$ZZ,ROW()-ROW($Q$2)+2,COLUMN()-COLUMN($Q$2)+1),
""))</f>
        <v>6</v>
      </c>
      <c r="AP8" s="1">
        <f>IF(INDEX(Last10Home_Stats_All!$A:$A,ROW()-ROW($Q$2)+2)="","",
IFERROR(
INDEX(Last10Home_Stats_All!$A:$ZZ,ROW()-ROW($Q$2)+2,COLUMN()-COLUMN($Q$2)+1),
""))</f>
        <v>11</v>
      </c>
      <c r="AQ8" s="1">
        <f>IF(INDEX(Last10Home_Stats_All!$A:$A,ROW()-ROW($Q$2)+2)="","",
IFERROR(
INDEX(Last10Home_Stats_All!$A:$ZZ,ROW()-ROW($Q$2)+2,COLUMN()-COLUMN($Q$2)+1),
""))</f>
        <v>8</v>
      </c>
      <c r="AR8" s="1">
        <f>IF(INDEX(Last10Home_Stats_All!$A:$A,ROW()-ROW($Q$2)+2)="","",
IFERROR(
INDEX(Last10Home_Stats_All!$A:$ZZ,ROW()-ROW($Q$2)+2,COLUMN()-COLUMN($Q$2)+1),
""))</f>
        <v>4</v>
      </c>
      <c r="AS8" s="1">
        <f>IF(INDEX(Last10Home_Stats_All!$A:$A,ROW()-ROW($Q$2)+2)="","",
IFERROR(
INDEX(Last10Home_Stats_All!$A:$ZZ,ROW()-ROW($Q$2)+2,COLUMN()-COLUMN($Q$2)+1),
""))</f>
        <v>10</v>
      </c>
      <c r="AT8" s="1">
        <f>IF(INDEX(Last10Home_Stats_All!$A:$A,ROW()-ROW($Q$2)+2)="","",
IFERROR(
INDEX(Last10Home_Stats_All!$A:$ZZ,ROW()-ROW($Q$2)+2,COLUMN()-COLUMN($Q$2)+1),
""))</f>
        <v>9</v>
      </c>
      <c r="AU8" s="1">
        <f>IF(INDEX(Last10Home_Stats_All!$A:$A,ROW()-ROW($Q$2)+2)="","",
IFERROR(
INDEX(Last10Home_Stats_All!$A:$ZZ,ROW()-ROW($Q$2)+2,COLUMN()-COLUMN($Q$2)+1),
""))</f>
        <v>2</v>
      </c>
      <c r="AV8" s="1">
        <f>IF(INDEX(Last10Home_Stats_All!$A:$A,ROW()-ROW($Q$2)+2)="","",
IFERROR(
INDEX(Last10Home_Stats_All!$A:$ZZ,ROW()-ROW($Q$2)+2,COLUMN()-COLUMN($Q$2)+1),
""))</f>
        <v>5</v>
      </c>
      <c r="AW8" s="1">
        <f>IF(INDEX(Last10Home_Stats_All!$A:$A,ROW()-ROW($Q$2)+2)="","",
IFERROR(
INDEX(Last10Home_Stats_All!$A:$ZZ,ROW()-ROW($Q$2)+2,COLUMN()-COLUMN($Q$2)+1),
""))</f>
        <v>4</v>
      </c>
      <c r="AX8" s="1">
        <f>IF(INDEX(Last10Home_Stats_All!$A:$A,ROW()-ROW($Q$2)+2)="","",
IFERROR(
INDEX(Last10Home_Stats_All!$A:$ZZ,ROW()-ROW($Q$2)+2,COLUMN()-COLUMN($Q$2)+1),
""))</f>
        <v>1</v>
      </c>
      <c r="AY8" s="1">
        <f>IF(INDEX(Last10Home_Stats_All!$A:$A,ROW()-ROW($Q$2)+2)="","",
IFERROR(
INDEX(Last10Home_Stats_All!$A:$ZZ,ROW()-ROW($Q$2)+2,COLUMN()-COLUMN($Q$2)+1),
""))</f>
        <v>44</v>
      </c>
      <c r="AZ8" s="1">
        <f>IF(INDEX(Last10Home_Stats_All!$A:$A,ROW()-ROW($Q$2)+2)="","",
IFERROR(
INDEX(Last10Home_Stats_All!$A:$ZZ,ROW()-ROW($Q$2)+2,COLUMN()-COLUMN($Q$2)+1),
""))</f>
        <v>56</v>
      </c>
      <c r="BA8" s="1">
        <f>IF(INDEX(Last10Home_Stats_All!$A:$A,ROW()-ROW($Q$2)+2)="","",
IFERROR(
INDEX(Last10Home_Stats_All!$A:$ZZ,ROW()-ROW($Q$2)+2,COLUMN()-COLUMN($Q$2)+1),
""))</f>
        <v>1</v>
      </c>
      <c r="BB8" s="1">
        <f>IF(INDEX(Last10Home_Stats_All!$A:$A,ROW()-ROW($Q$2)+2)="","",
IFERROR(
INDEX(Last10Home_Stats_All!$A:$ZZ,ROW()-ROW($Q$2)+2,COLUMN()-COLUMN($Q$2)+1),
""))</f>
        <v>1</v>
      </c>
      <c r="BC8" s="1">
        <f>IF(INDEX(Last10Home_Stats_All!$A:$A,ROW()-ROW($Q$2)+2)="","",
IFERROR(
INDEX(Last10Home_Stats_All!$A:$ZZ,ROW()-ROW($Q$2)+2,COLUMN()-COLUMN($Q$2)+1),
""))</f>
        <v>0</v>
      </c>
      <c r="BD8" s="1">
        <f>IF(INDEX(Last10Home_Stats_All!$A:$A,ROW()-ROW($Q$2)+2)="","",
IFERROR(
INDEX(Last10Home_Stats_All!$A:$ZZ,ROW()-ROW($Q$2)+2,COLUMN()-COLUMN($Q$2)+1),
""))</f>
        <v>0</v>
      </c>
      <c r="BE8" s="1">
        <f>IF(INDEX(Last10Home_Stats_All!$A:$A,ROW()-ROW($Q$2)+2)="","",
IFERROR(
INDEX(Last10Home_Stats_All!$A:$ZZ,ROW()-ROW($Q$2)+2,COLUMN()-COLUMN($Q$2)+1),
""))</f>
        <v>6</v>
      </c>
      <c r="BF8" s="1">
        <f>IF(INDEX(Last10Home_Stats_All!$A:$A,ROW()-ROW($Q$2)+2)="","",
IFERROR(
INDEX(Last10Home_Stats_All!$A:$ZZ,ROW()-ROW($Q$2)+2,COLUMN()-COLUMN($Q$2)+1),
""))</f>
        <v>4</v>
      </c>
      <c r="BG8" s="1">
        <f>IF(INDEX(Last10Home_Stats_All!$A:$A,ROW()-ROW($Q$2)+2)="","",
IFERROR(
INDEX(Last10Home_Stats_All!$A:$ZZ,ROW()-ROW($Q$2)+2,COLUMN()-COLUMN($Q$2)+1),
""))</f>
        <v>273</v>
      </c>
      <c r="BH8" s="1">
        <f>IF(INDEX(Last10Home_Stats_All!$A:$A,ROW()-ROW($Q$2)+2)="","",
IFERROR(
INDEX(Last10Home_Stats_All!$A:$ZZ,ROW()-ROW($Q$2)+2,COLUMN()-COLUMN($Q$2)+1),
""))</f>
        <v>362</v>
      </c>
      <c r="BI8" s="1">
        <f>IF(INDEX(Last10Home_Stats_All!$A:$A,ROW()-ROW($Q$2)+2)="","",
IFERROR(
INDEX(Last10Home_Stats_All!$A:$ZZ,ROW()-ROW($Q$2)+2,COLUMN()-COLUMN($Q$2)+1),
""))</f>
        <v>160</v>
      </c>
      <c r="BJ8" s="1">
        <f>IF(INDEX(Last10Home_Stats_All!$A:$A,ROW()-ROW($Q$2)+2)="","",
IFERROR(
INDEX(Last10Home_Stats_All!$A:$ZZ,ROW()-ROW($Q$2)+2,COLUMN()-COLUMN($Q$2)+1),
""))</f>
        <v>255</v>
      </c>
      <c r="BK8" s="1">
        <f>IF(INDEX(Last10Home_Stats_All!$A:$A,ROW()-ROW($Q$2)+2)="","",
IFERROR(
INDEX(Last10Home_Stats_All!$A:$ZZ,ROW()-ROW($Q$2)+2,COLUMN()-COLUMN($Q$2)+1),
""))</f>
        <v>59</v>
      </c>
      <c r="BL8" s="1">
        <f>IF(INDEX(Last10Home_Stats_All!$A:$A,ROW()-ROW($Q$2)+2)="","",
IFERROR(
INDEX(Last10Home_Stats_All!$A:$ZZ,ROW()-ROW($Q$2)+2,COLUMN()-COLUMN($Q$2)+1),
""))</f>
        <v>70</v>
      </c>
      <c r="BM8" s="1">
        <f>IF(INDEX(Last10Home_Stats_All!$A:$A,ROW()-ROW($Q$2)+2)="","",
IFERROR(
INDEX(Last10Home_Stats_All!$A:$ZZ,ROW()-ROW($Q$2)+2,COLUMN()-COLUMN($Q$2)+1),
""))</f>
        <v>0</v>
      </c>
      <c r="BN8" s="1">
        <f>IF(INDEX(Last10Home_Stats_All!$A:$A,ROW()-ROW($Q$2)+2)="","",
IFERROR(
INDEX(Last10Home_Stats_All!$A:$ZZ,ROW()-ROW($Q$2)+2,COLUMN()-COLUMN($Q$2)+1),
""))</f>
        <v>0</v>
      </c>
      <c r="BO8" s="1">
        <f>IF(INDEX(Last10Home_Stats_All!$A:$A,ROW()-ROW($Q$2)+2)="","",
IFERROR(
INDEX(Last10Home_Stats_All!$A:$ZZ,ROW()-ROW($Q$2)+2,COLUMN()-COLUMN($Q$2)+1),
""))</f>
        <v>0</v>
      </c>
      <c r="BP8" s="1">
        <f>IF(INDEX(Last10Home_Stats_All!$A:$A,ROW()-ROW($Q$2)+2)="","",
IFERROR(
INDEX(Last10Home_Stats_All!$A:$ZZ,ROW()-ROW($Q$2)+2,COLUMN()-COLUMN($Q$2)+1),
""))</f>
        <v>0</v>
      </c>
      <c r="BR8" s="1" t="str">
        <f>IF(OR(Control!AC8="",Control!AD8=""),"",Control!AC8&amp;" : "&amp;Control!AD8)</f>
        <v>1 : 0</v>
      </c>
      <c r="BS8" s="1" t="str">
        <f>IF(OR(Control!AE8="",Control!AF8=""),"",Control!AE8&amp;" : "&amp;Control!AF8)</f>
        <v>1 : 0</v>
      </c>
      <c r="BT8" s="1" t="str">
        <f>IF(OR(Control!AU8="",Control!AV8=""),"",Control!AU8&amp;" : "&amp;Control!AV8)</f>
        <v>2 : 5</v>
      </c>
      <c r="BV8" s="1">
        <f>IFERROR(INDEX(tblStandings[#All],ROW(A8),COLUMN(A8)),"")</f>
        <v>7</v>
      </c>
      <c r="BW8" s="1" t="str">
        <f>IFERROR(INDEX(tblStandings[#All],ROW(B8),COLUMN(B8)),"")</f>
        <v>Chesterfield</v>
      </c>
      <c r="BX8" s="1">
        <f>IFERROR(INDEX(tblStandings[#All],ROW(C8),COLUMN(C8)),"")</f>
        <v>41</v>
      </c>
      <c r="BY8" s="1">
        <f>IFERROR(INDEX(tblStandings[#All],ROW(D8),COLUMN(D8)),"")</f>
        <v>18</v>
      </c>
      <c r="BZ8" s="1">
        <f>IFERROR(INDEX(tblStandings[#All],ROW(E8),COLUMN(E8)),"")</f>
        <v>14</v>
      </c>
      <c r="CA8" s="1">
        <f>IFERROR(INDEX(tblStandings[#All],ROW(F8),COLUMN(F8)),"")</f>
        <v>9</v>
      </c>
      <c r="CB8" s="1">
        <f>IFERROR(INDEX(tblStandings[#All],ROW(G8),COLUMN(G8)),"")</f>
        <v>63</v>
      </c>
      <c r="CC8" s="1">
        <f>IFERROR(INDEX(tblStandings[#All],ROW(H8),COLUMN(H8)),"")</f>
        <v>52</v>
      </c>
      <c r="CD8" s="1">
        <f>IFERROR(INDEX(tblStandings[#All],ROW(I8),COLUMN(I8)),"")</f>
        <v>11</v>
      </c>
      <c r="CE8" s="1">
        <f>IFERROR(INDEX(tblStandings[#All],ROW(J8),COLUMN(J8)),"")</f>
        <v>68</v>
      </c>
      <c r="CF8" s="1" t="str">
        <f>IFERROR(INDEX(tblStandings[#All],ROW(K8),COLUMN(K8)),"")</f>
        <v>WWWLW</v>
      </c>
      <c r="CG8" s="1" t="str">
        <f t="shared" si="0"/>
        <v>W</v>
      </c>
      <c r="CH8" s="1" t="str">
        <f t="shared" si="1"/>
        <v>W</v>
      </c>
      <c r="CI8" s="1" t="str">
        <f t="shared" si="2"/>
        <v>W</v>
      </c>
      <c r="CJ8" s="1" t="str">
        <f t="shared" si="3"/>
        <v>L</v>
      </c>
      <c r="CK8" s="1" t="str">
        <f t="shared" si="4"/>
        <v>W</v>
      </c>
      <c r="CN8" s="3">
        <f ca="1">IFERROR(
IF(
AND(
SUMPRODUCT(--ISNUMBER($AE$31:$AE$35),--ISNUMBER($AF$31:$AF$35))&gt;0,
COUNT($R$31:$R$35)&gt;0,
MAX($R$31:$R$35)&gt;=EDATE(TODAY(),-24)
),
(
(
IF(SUMPRODUCT(--ISNUMBER($AE$2:$AE$11),--ISNUMBER($AF$2:$AF$11))=0,0,
SUMPRODUCT(--ISNUMBER($AE$2:$AE$11),--ISNUMBER($AF$2:$AF$11),--(($AE$2:$AE$11+$AF$2:$AF$11)&gt;=4))/
SUMPRODUCT(--ISNUMBER($AE$2:$AE$11),--ISNUMBER($AF$2:$AF$11))
)
)
*
(1-(0.2+0.075*(SUMPRODUCT(--ISNUMBER($AE$31:$AE$35),--ISNUMBER($AF$31:$AF$35))-1)))/2
+
(
IF(SUMPRODUCT(--ISNUMBER($AE$16:$AE$25),--ISNUMBER($AF$16:$AF$25))=0,0,
SUMPRODUCT(--ISNUMBER($AE$16:$AE$25),--ISNUMBER($AF$16:$AF$25),--(($AE$16:$AE$25+$AF$16:$AF$25)&gt;=4))/
SUMPRODUCT(--ISNUMBER($AE$16:$AE$25),--ISNUMBER($AF$16:$AF$25))
)
)
*
(1-(0.2+0.075*(SUMPRODUCT(--ISNUMBER($AE$31:$AE$35),--ISNUMBER($AF$31:$AF$35))-1)))/2
+
(
IF(SUMPRODUCT(--ISNUMBER($AE$31:$AE$35),--ISNUMBER($AF$31:$AF$35))=0,0,
SUMPRODUCT(--ISNUMBER($AE$31:$AE$35),--ISNUMBER($AF$31:$AF$35),--(($AE$31:$AE$35+$AF$31:$AF$35)&gt;=4))/
SUMPRODUCT(--ISNUMBER($AE$31:$AE$35),--ISNUMBER($AF$31:$AF$35))
)
)
*
(0.2+0.075*(SUMPRODUCT(--ISNUMBER($AE$31:$AE$35),--ISNUMBER($AF$31:$AF$35))-1))
),
(
0.5*
IF(SUMPRODUCT(--ISNUMBER($AE$2:$AE$11),--ISNUMBER($AF$2:$AF$11))=0,0,
SUMPRODUCT(--ISNUMBER($AE$2:$AE$11),--ISNUMBER($AF$2:$AF$11),--(($AE$2:$AE$11+$AF$2:$AF$11)&gt;=4))/
SUMPRODUCT(--ISNUMBER($AE$2:$AE$11),--ISNUMBER($AF$2:$AF$11))
)
+
0.5*
IF(SUMPRODUCT(--ISNUMBER($AE$16:$AE$25),--ISNUMBER($AF$16:$AF$25))=0,0,
SUMPRODUCT(--ISNUMBER($AE$16:$AE$25),--ISNUMBER($AF$16:$AF$25),--(($AE$16:$AE$25+$AF$16:$AF$25)&gt;=4))/
SUMPRODUCT(--ISNUMBER($AE$16:$AE$25),--ISNUMBER($AF$16:$AF$25))
)
)
),
"")</f>
        <v>0.15000000000000002</v>
      </c>
      <c r="CP8" s="3">
        <f>IFERROR(
IF(
COUNT($AE$2:$AE$11)=0,
"",
AVERAGE($AE$2:$AE$11)
),"")</f>
        <v>0.8</v>
      </c>
      <c r="CR8" s="3">
        <f ca="1">IFERROR(
IF(
AND(
SUMPRODUCT(--ISNUMBER($AU$31:$AU$35),--ISNUMBER($AV$31:$AV$35))&gt;0,
COUNT($R$31:$R$35)&gt;0,
MAX($R$31:$R$35)&gt;=EDATE(TODAY(),-24)
),
(
(
IF(SUMPRODUCT(--ISNUMBER($AU$2:$AU$11),--ISNUMBER($AV$2:$AV$11))=0,0,
SUMPRODUCT(--ISNUMBER($AU$2:$AU$11),--ISNUMBER($AV$2:$AV$11),--(($AU$2:$AU$11+$AV$2:$AV$11)&gt;=10))/
SUMPRODUCT(--ISNUMBER($AU$2:$AU$11),--ISNUMBER($AV$2:$AV$11))
)
)
*
(1-(0.2+0.075*(SUMPRODUCT(--ISNUMBER($AU$31:$AU$35),--ISNUMBER($AV$31:$AV$35))-1)))/2
+
(
IF(SUMPRODUCT(--ISNUMBER($AU$16:$AU$25),--ISNUMBER($AV$16:$AV$25))=0,0,
SUMPRODUCT(--ISNUMBER($AU$16:$AU$25),--ISNUMBER($AV$16:$AV$25),--(($AU$16:$AU$25+$AV$16:$AV$25)&gt;=10))/
SUMPRODUCT(--ISNUMBER($AU$16:$AU$25),--ISNUMBER($AV$16:$AV$25))
)
)
*
(1-(0.2+0.075*(SUMPRODUCT(--ISNUMBER($AU$31:$AU$35),--ISNUMBER($AV$31:$AV$35))-1)))/2
+
(
IF(SUMPRODUCT(--ISNUMBER($AU$31:$AU$35),--ISNUMBER($AV$31:$AV$35))=0,0,
SUMPRODUCT(--ISNUMBER($AU$31:$AU$35),--ISNUMBER($AV$31:$AV$35),--(($AU$31:$AU$35+$AV$31:$AV$35)&gt;=10))/
SUMPRODUCT(--ISNUMBER($AU$31:$AU$35),--ISNUMBER($AV$31:$AV$35))
)
)
*
(0.2+0.075*(SUMPRODUCT(--ISNUMBER($AU$31:$AU$35),--ISNUMBER($AV$31:$AV$35))-1))
),
(
0.5*
IF(SUMPRODUCT(--ISNUMBER($AU$2:$AU$11),--ISNUMBER($AV$2:$AV$11))=0,0,
SUMPRODUCT(--ISNUMBER($AU$2:$AU$11),--ISNUMBER($AV$2:$AV$11),--(($AU$2:$AU$11+$AV$2:$AV$11)&gt;=10))/
SUMPRODUCT(--ISNUMBER($AU$2:$AU$11),--ISNUMBER($AV$2:$AV$11))
)
+
0.5*
IF(SUMPRODUCT(--ISNUMBER($AU$16:$AU$25),--ISNUMBER($AV$16:$AV$25))=0,0,
SUMPRODUCT(--ISNUMBER($AU$16:$AU$25),--ISNUMBER($AV$16:$AV$25),--(($AU$16:$AU$25+$AV$16:$AV$25)&gt;=10))/
SUMPRODUCT(--ISNUMBER($AU$16:$AU$25),--ISNUMBER($AV$16:$AV$25))
)
)
),
"")</f>
        <v>0.55000000000000004</v>
      </c>
      <c r="CV8" s="97" t="s">
        <v>243</v>
      </c>
      <c r="CW8" s="97"/>
      <c r="CX8" s="97"/>
      <c r="CZ8" s="1" t="s">
        <v>254</v>
      </c>
      <c r="DB8" s="1" t="s">
        <v>255</v>
      </c>
      <c r="DD8" s="3">
        <f>IFERROR(
ROUND(
SUMPRODUCT(--ISNUMBER($AF$31:$AF$35),$AF$31:$AF$35) /
SUMPRODUCT(--ISNUMBER($AF$31:$AF$35)),2),
"")</f>
        <v>2.8</v>
      </c>
    </row>
    <row r="9" spans="1:108" x14ac:dyDescent="0.25">
      <c r="H9" s="1">
        <v>1505053</v>
      </c>
      <c r="I9" s="4">
        <v>46330.020833333336</v>
      </c>
      <c r="J9" s="1" t="s">
        <v>32</v>
      </c>
      <c r="K9" s="1" t="s">
        <v>355</v>
      </c>
      <c r="L9" s="1" t="s">
        <v>356</v>
      </c>
      <c r="M9" s="1" t="s">
        <v>480</v>
      </c>
      <c r="N9" s="1" t="s">
        <v>7024</v>
      </c>
      <c r="O9" s="1" t="s">
        <v>7159</v>
      </c>
      <c r="Q9" s="1">
        <f>IF(INDEX(Last10Home_Stats_All!$A:$A,ROW()-ROW($Q$2)+2)="","",
IFERROR(
INDEX(Last10Home_Stats_All!$A:$ZZ,ROW()-ROW($Q$2)+2,COLUMN()-COLUMN($Q$2)+1),
""))</f>
        <v>1386344</v>
      </c>
      <c r="R9" s="1" t="str">
        <f>IF(INDEX(Last10Home_Stats_All!$A:$A,ROW()-ROW($Q$2)+2)="","",
IFERROR(
INDEX(Last10Home_Stats_All!$A:$ZZ,ROW()-ROW($Q$2)+2,COLUMN()-COLUMN($Q$2)+1),
""))</f>
        <v>31/01/2026 15:00</v>
      </c>
      <c r="S9" s="1" t="str">
        <f>IF(INDEX(Last10Home_Stats_All!$A:$A,ROW()-ROW($Q$2)+2)="","",
IFERROR(
INDEX(Last10Home_Stats_All!$A:$ZZ,ROW()-ROW($Q$2)+2,COLUMN()-COLUMN($Q$2)+1),
""))</f>
        <v>England</v>
      </c>
      <c r="T9" s="1" t="str">
        <f>IF(INDEX(Last10Home_Stats_All!$A:$A,ROW()-ROW($Q$2)+2)="","",
IFERROR(
INDEX(Last10Home_Stats_All!$A:$ZZ,ROW()-ROW($Q$2)+2,COLUMN()-COLUMN($Q$2)+1),
""))</f>
        <v>League Two</v>
      </c>
      <c r="U9" s="1" t="str">
        <f>IF(INDEX(Last10Home_Stats_All!$A:$A,ROW()-ROW($Q$2)+2)="","",
IFERROR(
INDEX(Last10Home_Stats_All!$A:$ZZ,ROW()-ROW($Q$2)+2,COLUMN()-COLUMN($Q$2)+1),
""))</f>
        <v>https://media.api-sports.io/football/teams/1360.png</v>
      </c>
      <c r="V9" s="1" t="str">
        <f>IF(INDEX(Last10Home_Stats_All!$A:$A,ROW()-ROW($Q$2)+2)="","",
IFERROR(
INDEX(Last10Home_Stats_All!$A:$ZZ,ROW()-ROW($Q$2)+2,COLUMN()-COLUMN($Q$2)+1),
""))</f>
        <v>Accrington ST</v>
      </c>
      <c r="W9" s="1" t="str">
        <f>IF(INDEX(Last10Home_Stats_All!$A:$A,ROW()-ROW($Q$2)+2)="","",
IFERROR(
INDEX(Last10Home_Stats_All!$A:$ZZ,ROW()-ROW($Q$2)+2,COLUMN()-COLUMN($Q$2)+1),
""))</f>
        <v>https://media.api-sports.io/football/teams/1372.png</v>
      </c>
      <c r="X9" s="1" t="str">
        <f>IF(INDEX(Last10Home_Stats_All!$A:$A,ROW()-ROW($Q$2)+2)="","",
IFERROR(
INDEX(Last10Home_Stats_All!$A:$ZZ,ROW()-ROW($Q$2)+2,COLUMN()-COLUMN($Q$2)+1),
""))</f>
        <v>Cheltenham</v>
      </c>
      <c r="Y9" s="1" t="str">
        <f>IF(INDEX(Last10Home_Stats_All!$A:$A,ROW()-ROW($Q$2)+2)="","",
IFERROR(
INDEX(Last10Home_Stats_All!$A:$ZZ,ROW()-ROW($Q$2)+2,COLUMN()-COLUMN($Q$2)+1),
""))</f>
        <v>https://media.api-sports.io/football/leagues/42.png</v>
      </c>
      <c r="Z9" s="1" t="str">
        <f>IF(INDEX(Last10Home_Stats_All!$A:$A,ROW()-ROW($Q$2)+2)="","",
IFERROR(
INDEX(Last10Home_Stats_All!$A:$ZZ,ROW()-ROW($Q$2)+2,COLUMN()-COLUMN($Q$2)+1),
""))</f>
        <v>https://media.api-sports.io/flags/gb-eng.svg</v>
      </c>
      <c r="AA9" s="1">
        <f>IF(INDEX(Last10Home_Stats_All!$A:$A,ROW()-ROW($Q$2)+2)="","",
IFERROR(
INDEX(Last10Home_Stats_All!$A:$ZZ,ROW()-ROW($Q$2)+2,COLUMN()-COLUMN($Q$2)+1),
""))</f>
        <v>3</v>
      </c>
      <c r="AB9" s="1">
        <f>IF(INDEX(Last10Home_Stats_All!$A:$A,ROW()-ROW($Q$2)+2)="","",
IFERROR(
INDEX(Last10Home_Stats_All!$A:$ZZ,ROW()-ROW($Q$2)+2,COLUMN()-COLUMN($Q$2)+1),
""))</f>
        <v>1</v>
      </c>
      <c r="AC9" s="1">
        <f>IF(INDEX(Last10Home_Stats_All!$A:$A,ROW()-ROW($Q$2)+2)="","",
IFERROR(
INDEX(Last10Home_Stats_All!$A:$ZZ,ROW()-ROW($Q$2)+2,COLUMN()-COLUMN($Q$2)+1),
""))</f>
        <v>2</v>
      </c>
      <c r="AD9" s="1">
        <f>IF(INDEX(Last10Home_Stats_All!$A:$A,ROW()-ROW($Q$2)+2)="","",
IFERROR(
INDEX(Last10Home_Stats_All!$A:$ZZ,ROW()-ROW($Q$2)+2,COLUMN()-COLUMN($Q$2)+1),
""))</f>
        <v>0</v>
      </c>
      <c r="AE9" s="1">
        <f>IF(INDEX(Last10Home_Stats_All!$A:$A,ROW()-ROW($Q$2)+2)="","",
IFERROR(
INDEX(Last10Home_Stats_All!$A:$ZZ,ROW()-ROW($Q$2)+2,COLUMN()-COLUMN($Q$2)+1),
""))</f>
        <v>3</v>
      </c>
      <c r="AF9" s="1">
        <f>IF(INDEX(Last10Home_Stats_All!$A:$A,ROW()-ROW($Q$2)+2)="","",
IFERROR(
INDEX(Last10Home_Stats_All!$A:$ZZ,ROW()-ROW($Q$2)+2,COLUMN()-COLUMN($Q$2)+1),
""))</f>
        <v>1</v>
      </c>
      <c r="AG9" s="1">
        <f>IF(INDEX(Last10Home_Stats_All!$A:$A,ROW()-ROW($Q$2)+2)="","",
IFERROR(
INDEX(Last10Home_Stats_All!$A:$ZZ,ROW()-ROW($Q$2)+2,COLUMN()-COLUMN($Q$2)+1),
""))</f>
        <v>8</v>
      </c>
      <c r="AH9" s="1">
        <f>IF(INDEX(Last10Home_Stats_All!$A:$A,ROW()-ROW($Q$2)+2)="","",
IFERROR(
INDEX(Last10Home_Stats_All!$A:$ZZ,ROW()-ROW($Q$2)+2,COLUMN()-COLUMN($Q$2)+1),
""))</f>
        <v>4</v>
      </c>
      <c r="AI9" s="1">
        <f>IF(INDEX(Last10Home_Stats_All!$A:$A,ROW()-ROW($Q$2)+2)="","",
IFERROR(
INDEX(Last10Home_Stats_All!$A:$ZZ,ROW()-ROW($Q$2)+2,COLUMN()-COLUMN($Q$2)+1),
""))</f>
        <v>4</v>
      </c>
      <c r="AJ9" s="1">
        <f>IF(INDEX(Last10Home_Stats_All!$A:$A,ROW()-ROW($Q$2)+2)="","",
IFERROR(
INDEX(Last10Home_Stats_All!$A:$ZZ,ROW()-ROW($Q$2)+2,COLUMN()-COLUMN($Q$2)+1),
""))</f>
        <v>6</v>
      </c>
      <c r="AK9" s="1">
        <f>IF(INDEX(Last10Home_Stats_All!$A:$A,ROW()-ROW($Q$2)+2)="","",
IFERROR(
INDEX(Last10Home_Stats_All!$A:$ZZ,ROW()-ROW($Q$2)+2,COLUMN()-COLUMN($Q$2)+1),
""))</f>
        <v>16</v>
      </c>
      <c r="AL9" s="1">
        <f>IF(INDEX(Last10Home_Stats_All!$A:$A,ROW()-ROW($Q$2)+2)="","",
IFERROR(
INDEX(Last10Home_Stats_All!$A:$ZZ,ROW()-ROW($Q$2)+2,COLUMN()-COLUMN($Q$2)+1),
""))</f>
        <v>13</v>
      </c>
      <c r="AM9" s="1">
        <f>IF(INDEX(Last10Home_Stats_All!$A:$A,ROW()-ROW($Q$2)+2)="","",
IFERROR(
INDEX(Last10Home_Stats_All!$A:$ZZ,ROW()-ROW($Q$2)+2,COLUMN()-COLUMN($Q$2)+1),
""))</f>
        <v>4</v>
      </c>
      <c r="AN9" s="1">
        <f>IF(INDEX(Last10Home_Stats_All!$A:$A,ROW()-ROW($Q$2)+2)="","",
IFERROR(
INDEX(Last10Home_Stats_All!$A:$ZZ,ROW()-ROW($Q$2)+2,COLUMN()-COLUMN($Q$2)+1),
""))</f>
        <v>3</v>
      </c>
      <c r="AO9" s="1">
        <f>IF(INDEX(Last10Home_Stats_All!$A:$A,ROW()-ROW($Q$2)+2)="","",
IFERROR(
INDEX(Last10Home_Stats_All!$A:$ZZ,ROW()-ROW($Q$2)+2,COLUMN()-COLUMN($Q$2)+1),
""))</f>
        <v>6</v>
      </c>
      <c r="AP9" s="1">
        <f>IF(INDEX(Last10Home_Stats_All!$A:$A,ROW()-ROW($Q$2)+2)="","",
IFERROR(
INDEX(Last10Home_Stats_All!$A:$ZZ,ROW()-ROW($Q$2)+2,COLUMN()-COLUMN($Q$2)+1),
""))</f>
        <v>10</v>
      </c>
      <c r="AQ9" s="1">
        <f>IF(INDEX(Last10Home_Stats_All!$A:$A,ROW()-ROW($Q$2)+2)="","",
IFERROR(
INDEX(Last10Home_Stats_All!$A:$ZZ,ROW()-ROW($Q$2)+2,COLUMN()-COLUMN($Q$2)+1),
""))</f>
        <v>10</v>
      </c>
      <c r="AR9" s="1">
        <f>IF(INDEX(Last10Home_Stats_All!$A:$A,ROW()-ROW($Q$2)+2)="","",
IFERROR(
INDEX(Last10Home_Stats_All!$A:$ZZ,ROW()-ROW($Q$2)+2,COLUMN()-COLUMN($Q$2)+1),
""))</f>
        <v>3</v>
      </c>
      <c r="AS9" s="1">
        <f>IF(INDEX(Last10Home_Stats_All!$A:$A,ROW()-ROW($Q$2)+2)="","",
IFERROR(
INDEX(Last10Home_Stats_All!$A:$ZZ,ROW()-ROW($Q$2)+2,COLUMN()-COLUMN($Q$2)+1),
""))</f>
        <v>7</v>
      </c>
      <c r="AT9" s="1">
        <f>IF(INDEX(Last10Home_Stats_All!$A:$A,ROW()-ROW($Q$2)+2)="","",
IFERROR(
INDEX(Last10Home_Stats_All!$A:$ZZ,ROW()-ROW($Q$2)+2,COLUMN()-COLUMN($Q$2)+1),
""))</f>
        <v>10</v>
      </c>
      <c r="AU9" s="1">
        <f>IF(INDEX(Last10Home_Stats_All!$A:$A,ROW()-ROW($Q$2)+2)="","",
IFERROR(
INDEX(Last10Home_Stats_All!$A:$ZZ,ROW()-ROW($Q$2)+2,COLUMN()-COLUMN($Q$2)+1),
""))</f>
        <v>10</v>
      </c>
      <c r="AV9" s="1">
        <f>IF(INDEX(Last10Home_Stats_All!$A:$A,ROW()-ROW($Q$2)+2)="","",
IFERROR(
INDEX(Last10Home_Stats_All!$A:$ZZ,ROW()-ROW($Q$2)+2,COLUMN()-COLUMN($Q$2)+1),
""))</f>
        <v>8</v>
      </c>
      <c r="AW9" s="1">
        <f>IF(INDEX(Last10Home_Stats_All!$A:$A,ROW()-ROW($Q$2)+2)="","",
IFERROR(
INDEX(Last10Home_Stats_All!$A:$ZZ,ROW()-ROW($Q$2)+2,COLUMN()-COLUMN($Q$2)+1),
""))</f>
        <v>0</v>
      </c>
      <c r="AX9" s="1">
        <f>IF(INDEX(Last10Home_Stats_All!$A:$A,ROW()-ROW($Q$2)+2)="","",
IFERROR(
INDEX(Last10Home_Stats_All!$A:$ZZ,ROW()-ROW($Q$2)+2,COLUMN()-COLUMN($Q$2)+1),
""))</f>
        <v>0</v>
      </c>
      <c r="AY9" s="1">
        <f>IF(INDEX(Last10Home_Stats_All!$A:$A,ROW()-ROW($Q$2)+2)="","",
IFERROR(
INDEX(Last10Home_Stats_All!$A:$ZZ,ROW()-ROW($Q$2)+2,COLUMN()-COLUMN($Q$2)+1),
""))</f>
        <v>43</v>
      </c>
      <c r="AZ9" s="1">
        <f>IF(INDEX(Last10Home_Stats_All!$A:$A,ROW()-ROW($Q$2)+2)="","",
IFERROR(
INDEX(Last10Home_Stats_All!$A:$ZZ,ROW()-ROW($Q$2)+2,COLUMN()-COLUMN($Q$2)+1),
""))</f>
        <v>57</v>
      </c>
      <c r="BA9" s="1">
        <f>IF(INDEX(Last10Home_Stats_All!$A:$A,ROW()-ROW($Q$2)+2)="","",
IFERROR(
INDEX(Last10Home_Stats_All!$A:$ZZ,ROW()-ROW($Q$2)+2,COLUMN()-COLUMN($Q$2)+1),
""))</f>
        <v>1</v>
      </c>
      <c r="BB9" s="1">
        <f>IF(INDEX(Last10Home_Stats_All!$A:$A,ROW()-ROW($Q$2)+2)="","",
IFERROR(
INDEX(Last10Home_Stats_All!$A:$ZZ,ROW()-ROW($Q$2)+2,COLUMN()-COLUMN($Q$2)+1),
""))</f>
        <v>2</v>
      </c>
      <c r="BC9" s="1">
        <f>IF(INDEX(Last10Home_Stats_All!$A:$A,ROW()-ROW($Q$2)+2)="","",
IFERROR(
INDEX(Last10Home_Stats_All!$A:$ZZ,ROW()-ROW($Q$2)+2,COLUMN()-COLUMN($Q$2)+1),
""))</f>
        <v>0</v>
      </c>
      <c r="BD9" s="1">
        <f>IF(INDEX(Last10Home_Stats_All!$A:$A,ROW()-ROW($Q$2)+2)="","",
IFERROR(
INDEX(Last10Home_Stats_All!$A:$ZZ,ROW()-ROW($Q$2)+2,COLUMN()-COLUMN($Q$2)+1),
""))</f>
        <v>0</v>
      </c>
      <c r="BE9" s="1">
        <f>IF(INDEX(Last10Home_Stats_All!$A:$A,ROW()-ROW($Q$2)+2)="","",
IFERROR(
INDEX(Last10Home_Stats_All!$A:$ZZ,ROW()-ROW($Q$2)+2,COLUMN()-COLUMN($Q$2)+1),
""))</f>
        <v>3</v>
      </c>
      <c r="BF9" s="1">
        <f>IF(INDEX(Last10Home_Stats_All!$A:$A,ROW()-ROW($Q$2)+2)="","",
IFERROR(
INDEX(Last10Home_Stats_All!$A:$ZZ,ROW()-ROW($Q$2)+2,COLUMN()-COLUMN($Q$2)+1),
""))</f>
        <v>5</v>
      </c>
      <c r="BG9" s="1">
        <f>IF(INDEX(Last10Home_Stats_All!$A:$A,ROW()-ROW($Q$2)+2)="","",
IFERROR(
INDEX(Last10Home_Stats_All!$A:$ZZ,ROW()-ROW($Q$2)+2,COLUMN()-COLUMN($Q$2)+1),
""))</f>
        <v>299</v>
      </c>
      <c r="BH9" s="1">
        <f>IF(INDEX(Last10Home_Stats_All!$A:$A,ROW()-ROW($Q$2)+2)="","",
IFERROR(
INDEX(Last10Home_Stats_All!$A:$ZZ,ROW()-ROW($Q$2)+2,COLUMN()-COLUMN($Q$2)+1),
""))</f>
        <v>400</v>
      </c>
      <c r="BI9" s="1">
        <f>IF(INDEX(Last10Home_Stats_All!$A:$A,ROW()-ROW($Q$2)+2)="","",
IFERROR(
INDEX(Last10Home_Stats_All!$A:$ZZ,ROW()-ROW($Q$2)+2,COLUMN()-COLUMN($Q$2)+1),
""))</f>
        <v>191</v>
      </c>
      <c r="BJ9" s="1">
        <f>IF(INDEX(Last10Home_Stats_All!$A:$A,ROW()-ROW($Q$2)+2)="","",
IFERROR(
INDEX(Last10Home_Stats_All!$A:$ZZ,ROW()-ROW($Q$2)+2,COLUMN()-COLUMN($Q$2)+1),
""))</f>
        <v>282</v>
      </c>
      <c r="BK9" s="1">
        <f>IF(INDEX(Last10Home_Stats_All!$A:$A,ROW()-ROW($Q$2)+2)="","",
IFERROR(
INDEX(Last10Home_Stats_All!$A:$ZZ,ROW()-ROW($Q$2)+2,COLUMN()-COLUMN($Q$2)+1),
""))</f>
        <v>64</v>
      </c>
      <c r="BL9" s="1">
        <f>IF(INDEX(Last10Home_Stats_All!$A:$A,ROW()-ROW($Q$2)+2)="","",
IFERROR(
INDEX(Last10Home_Stats_All!$A:$ZZ,ROW()-ROW($Q$2)+2,COLUMN()-COLUMN($Q$2)+1),
""))</f>
        <v>71</v>
      </c>
      <c r="BM9" s="1">
        <f>IF(INDEX(Last10Home_Stats_All!$A:$A,ROW()-ROW($Q$2)+2)="","",
IFERROR(
INDEX(Last10Home_Stats_All!$A:$ZZ,ROW()-ROW($Q$2)+2,COLUMN()-COLUMN($Q$2)+1),
""))</f>
        <v>0.67</v>
      </c>
      <c r="BN9" s="1">
        <f>IF(INDEX(Last10Home_Stats_All!$A:$A,ROW()-ROW($Q$2)+2)="","",
IFERROR(
INDEX(Last10Home_Stats_All!$A:$ZZ,ROW()-ROW($Q$2)+2,COLUMN()-COLUMN($Q$2)+1),
""))</f>
        <v>1.2</v>
      </c>
      <c r="BO9" s="1">
        <f>IF(INDEX(Last10Home_Stats_All!$A:$A,ROW()-ROW($Q$2)+2)="","",
IFERROR(
INDEX(Last10Home_Stats_All!$A:$ZZ,ROW()-ROW($Q$2)+2,COLUMN()-COLUMN($Q$2)+1),
""))</f>
        <v>0</v>
      </c>
      <c r="BP9" s="1">
        <f>IF(INDEX(Last10Home_Stats_All!$A:$A,ROW()-ROW($Q$2)+2)="","",
IFERROR(
INDEX(Last10Home_Stats_All!$A:$ZZ,ROW()-ROW($Q$2)+2,COLUMN()-COLUMN($Q$2)+1),
""))</f>
        <v>0</v>
      </c>
      <c r="BR9" s="1" t="str">
        <f>IF(OR(Control!AC9="",Control!AD9=""),"",Control!AC9&amp;" : "&amp;Control!AD9)</f>
        <v>2 : 0</v>
      </c>
      <c r="BS9" s="1" t="str">
        <f>IF(OR(Control!AE9="",Control!AF9=""),"",Control!AE9&amp;" : "&amp;Control!AF9)</f>
        <v>3 : 1</v>
      </c>
      <c r="BT9" s="1" t="str">
        <f>IF(OR(Control!AU9="",Control!AV9=""),"",Control!AU9&amp;" : "&amp;Control!AV9)</f>
        <v>10 : 8</v>
      </c>
      <c r="BV9" s="1">
        <f>IFERROR(INDEX(tblStandings[#All],ROW(A9),COLUMN(A9)),"")</f>
        <v>8</v>
      </c>
      <c r="BW9" s="1" t="str">
        <f>IFERROR(INDEX(tblStandings[#All],ROW(B9),COLUMN(B9)),"")</f>
        <v>Crewe</v>
      </c>
      <c r="BX9" s="1">
        <f>IFERROR(INDEX(tblStandings[#All],ROW(C9),COLUMN(C9)),"")</f>
        <v>42</v>
      </c>
      <c r="BY9" s="1">
        <f>IFERROR(INDEX(tblStandings[#All],ROW(D9),COLUMN(D9)),"")</f>
        <v>19</v>
      </c>
      <c r="BZ9" s="1">
        <f>IFERROR(INDEX(tblStandings[#All],ROW(E9),COLUMN(E9)),"")</f>
        <v>9</v>
      </c>
      <c r="CA9" s="1">
        <f>IFERROR(INDEX(tblStandings[#All],ROW(F9),COLUMN(F9)),"")</f>
        <v>14</v>
      </c>
      <c r="CB9" s="1">
        <f>IFERROR(INDEX(tblStandings[#All],ROW(G9),COLUMN(G9)),"")</f>
        <v>61</v>
      </c>
      <c r="CC9" s="1">
        <f>IFERROR(INDEX(tblStandings[#All],ROW(H9),COLUMN(H9)),"")</f>
        <v>50</v>
      </c>
      <c r="CD9" s="1">
        <f>IFERROR(INDEX(tblStandings[#All],ROW(I9),COLUMN(I9)),"")</f>
        <v>11</v>
      </c>
      <c r="CE9" s="1">
        <f>IFERROR(INDEX(tblStandings[#All],ROW(J9),COLUMN(J9)),"")</f>
        <v>66</v>
      </c>
      <c r="CF9" s="1" t="str">
        <f>IFERROR(INDEX(tblStandings[#All],ROW(K9),COLUMN(K9)),"")</f>
        <v>WLWWD</v>
      </c>
      <c r="CG9" s="1" t="str">
        <f t="shared" si="0"/>
        <v>W</v>
      </c>
      <c r="CH9" s="1" t="str">
        <f t="shared" si="1"/>
        <v>L</v>
      </c>
      <c r="CI9" s="1" t="str">
        <f t="shared" si="2"/>
        <v>W</v>
      </c>
      <c r="CJ9" s="1" t="str">
        <f t="shared" si="3"/>
        <v>W</v>
      </c>
      <c r="CK9" s="1" t="str">
        <f t="shared" si="4"/>
        <v>D</v>
      </c>
    </row>
    <row r="10" spans="1:108" x14ac:dyDescent="0.25">
      <c r="A10" s="1" t="s">
        <v>7</v>
      </c>
      <c r="B10" s="1">
        <v>1386500</v>
      </c>
      <c r="H10" s="1">
        <v>1520634</v>
      </c>
      <c r="I10" s="4">
        <v>46330.020833333336</v>
      </c>
      <c r="J10" s="1" t="s">
        <v>32</v>
      </c>
      <c r="K10" s="1" t="s">
        <v>20</v>
      </c>
      <c r="L10" s="1" t="s">
        <v>348</v>
      </c>
      <c r="M10" s="1" t="s">
        <v>7160</v>
      </c>
      <c r="N10" s="1" t="s">
        <v>7067</v>
      </c>
      <c r="O10" s="1" t="s">
        <v>7161</v>
      </c>
      <c r="Q10" s="1">
        <f>IF(INDEX(Last10Home_Stats_All!$A:$A,ROW()-ROW($Q$2)+2)="","",
IFERROR(
INDEX(Last10Home_Stats_All!$A:$ZZ,ROW()-ROW($Q$2)+2,COLUMN()-COLUMN($Q$2)+1),
""))</f>
        <v>1386308</v>
      </c>
      <c r="R10" s="1" t="str">
        <f>IF(INDEX(Last10Home_Stats_All!$A:$A,ROW()-ROW($Q$2)+2)="","",
IFERROR(
INDEX(Last10Home_Stats_All!$A:$ZZ,ROW()-ROW($Q$2)+2,COLUMN()-COLUMN($Q$2)+1),
""))</f>
        <v>17/01/2026 15:00</v>
      </c>
      <c r="S10" s="1" t="str">
        <f>IF(INDEX(Last10Home_Stats_All!$A:$A,ROW()-ROW($Q$2)+2)="","",
IFERROR(
INDEX(Last10Home_Stats_All!$A:$ZZ,ROW()-ROW($Q$2)+2,COLUMN()-COLUMN($Q$2)+1),
""))</f>
        <v>England</v>
      </c>
      <c r="T10" s="1" t="str">
        <f>IF(INDEX(Last10Home_Stats_All!$A:$A,ROW()-ROW($Q$2)+2)="","",
IFERROR(
INDEX(Last10Home_Stats_All!$A:$ZZ,ROW()-ROW($Q$2)+2,COLUMN()-COLUMN($Q$2)+1),
""))</f>
        <v>League Two</v>
      </c>
      <c r="U10" s="1" t="str">
        <f>IF(INDEX(Last10Home_Stats_All!$A:$A,ROW()-ROW($Q$2)+2)="","",
IFERROR(
INDEX(Last10Home_Stats_All!$A:$ZZ,ROW()-ROW($Q$2)+2,COLUMN()-COLUMN($Q$2)+1),
""))</f>
        <v>https://media.api-sports.io/football/teams/1360.png</v>
      </c>
      <c r="V10" s="1" t="str">
        <f>IF(INDEX(Last10Home_Stats_All!$A:$A,ROW()-ROW($Q$2)+2)="","",
IFERROR(
INDEX(Last10Home_Stats_All!$A:$ZZ,ROW()-ROW($Q$2)+2,COLUMN()-COLUMN($Q$2)+1),
""))</f>
        <v>Accrington ST</v>
      </c>
      <c r="W10" s="1" t="str">
        <f>IF(INDEX(Last10Home_Stats_All!$A:$A,ROW()-ROW($Q$2)+2)="","",
IFERROR(
INDEX(Last10Home_Stats_All!$A:$ZZ,ROW()-ROW($Q$2)+2,COLUMN()-COLUMN($Q$2)+1),
""))</f>
        <v>https://media.api-sports.io/football/teams/1348.png</v>
      </c>
      <c r="X10" s="1" t="str">
        <f>IF(INDEX(Last10Home_Stats_All!$A:$A,ROW()-ROW($Q$2)+2)="","",
IFERROR(
INDEX(Last10Home_Stats_All!$A:$ZZ,ROW()-ROW($Q$2)+2,COLUMN()-COLUMN($Q$2)+1),
""))</f>
        <v>Milton Keynes Dons</v>
      </c>
      <c r="Y10" s="1" t="str">
        <f>IF(INDEX(Last10Home_Stats_All!$A:$A,ROW()-ROW($Q$2)+2)="","",
IFERROR(
INDEX(Last10Home_Stats_All!$A:$ZZ,ROW()-ROW($Q$2)+2,COLUMN()-COLUMN($Q$2)+1),
""))</f>
        <v>https://media.api-sports.io/football/leagues/42.png</v>
      </c>
      <c r="Z10" s="1" t="str">
        <f>IF(INDEX(Last10Home_Stats_All!$A:$A,ROW()-ROW($Q$2)+2)="","",
IFERROR(
INDEX(Last10Home_Stats_All!$A:$ZZ,ROW()-ROW($Q$2)+2,COLUMN()-COLUMN($Q$2)+1),
""))</f>
        <v>https://media.api-sports.io/flags/gb-eng.svg</v>
      </c>
      <c r="AA10" s="1">
        <f>IF(INDEX(Last10Home_Stats_All!$A:$A,ROW()-ROW($Q$2)+2)="","",
IFERROR(
INDEX(Last10Home_Stats_All!$A:$ZZ,ROW()-ROW($Q$2)+2,COLUMN()-COLUMN($Q$2)+1),
""))</f>
        <v>0</v>
      </c>
      <c r="AB10" s="1">
        <f>IF(INDEX(Last10Home_Stats_All!$A:$A,ROW()-ROW($Q$2)+2)="","",
IFERROR(
INDEX(Last10Home_Stats_All!$A:$ZZ,ROW()-ROW($Q$2)+2,COLUMN()-COLUMN($Q$2)+1),
""))</f>
        <v>2</v>
      </c>
      <c r="AC10" s="1">
        <f>IF(INDEX(Last10Home_Stats_All!$A:$A,ROW()-ROW($Q$2)+2)="","",
IFERROR(
INDEX(Last10Home_Stats_All!$A:$ZZ,ROW()-ROW($Q$2)+2,COLUMN()-COLUMN($Q$2)+1),
""))</f>
        <v>0</v>
      </c>
      <c r="AD10" s="1">
        <f>IF(INDEX(Last10Home_Stats_All!$A:$A,ROW()-ROW($Q$2)+2)="","",
IFERROR(
INDEX(Last10Home_Stats_All!$A:$ZZ,ROW()-ROW($Q$2)+2,COLUMN()-COLUMN($Q$2)+1),
""))</f>
        <v>2</v>
      </c>
      <c r="AE10" s="1">
        <f>IF(INDEX(Last10Home_Stats_All!$A:$A,ROW()-ROW($Q$2)+2)="","",
IFERROR(
INDEX(Last10Home_Stats_All!$A:$ZZ,ROW()-ROW($Q$2)+2,COLUMN()-COLUMN($Q$2)+1),
""))</f>
        <v>0</v>
      </c>
      <c r="AF10" s="1">
        <f>IF(INDEX(Last10Home_Stats_All!$A:$A,ROW()-ROW($Q$2)+2)="","",
IFERROR(
INDEX(Last10Home_Stats_All!$A:$ZZ,ROW()-ROW($Q$2)+2,COLUMN()-COLUMN($Q$2)+1),
""))</f>
        <v>2</v>
      </c>
      <c r="AG10" s="1">
        <f>IF(INDEX(Last10Home_Stats_All!$A:$A,ROW()-ROW($Q$2)+2)="","",
IFERROR(
INDEX(Last10Home_Stats_All!$A:$ZZ,ROW()-ROW($Q$2)+2,COLUMN()-COLUMN($Q$2)+1),
""))</f>
        <v>4</v>
      </c>
      <c r="AH10" s="1">
        <f>IF(INDEX(Last10Home_Stats_All!$A:$A,ROW()-ROW($Q$2)+2)="","",
IFERROR(
INDEX(Last10Home_Stats_All!$A:$ZZ,ROW()-ROW($Q$2)+2,COLUMN()-COLUMN($Q$2)+1),
""))</f>
        <v>2</v>
      </c>
      <c r="AI10" s="1">
        <f>IF(INDEX(Last10Home_Stats_All!$A:$A,ROW()-ROW($Q$2)+2)="","",
IFERROR(
INDEX(Last10Home_Stats_All!$A:$ZZ,ROW()-ROW($Q$2)+2,COLUMN()-COLUMN($Q$2)+1),
""))</f>
        <v>7</v>
      </c>
      <c r="AJ10" s="1">
        <f>IF(INDEX(Last10Home_Stats_All!$A:$A,ROW()-ROW($Q$2)+2)="","",
IFERROR(
INDEX(Last10Home_Stats_All!$A:$ZZ,ROW()-ROW($Q$2)+2,COLUMN()-COLUMN($Q$2)+1),
""))</f>
        <v>5</v>
      </c>
      <c r="AK10" s="1">
        <f>IF(INDEX(Last10Home_Stats_All!$A:$A,ROW()-ROW($Q$2)+2)="","",
IFERROR(
INDEX(Last10Home_Stats_All!$A:$ZZ,ROW()-ROW($Q$2)+2,COLUMN()-COLUMN($Q$2)+1),
""))</f>
        <v>13</v>
      </c>
      <c r="AL10" s="1">
        <f>IF(INDEX(Last10Home_Stats_All!$A:$A,ROW()-ROW($Q$2)+2)="","",
IFERROR(
INDEX(Last10Home_Stats_All!$A:$ZZ,ROW()-ROW($Q$2)+2,COLUMN()-COLUMN($Q$2)+1),
""))</f>
        <v>11</v>
      </c>
      <c r="AM10" s="1">
        <f>IF(INDEX(Last10Home_Stats_All!$A:$A,ROW()-ROW($Q$2)+2)="","",
IFERROR(
INDEX(Last10Home_Stats_All!$A:$ZZ,ROW()-ROW($Q$2)+2,COLUMN()-COLUMN($Q$2)+1),
""))</f>
        <v>2</v>
      </c>
      <c r="AN10" s="1">
        <f>IF(INDEX(Last10Home_Stats_All!$A:$A,ROW()-ROW($Q$2)+2)="","",
IFERROR(
INDEX(Last10Home_Stats_All!$A:$ZZ,ROW()-ROW($Q$2)+2,COLUMN()-COLUMN($Q$2)+1),
""))</f>
        <v>4</v>
      </c>
      <c r="AO10" s="1">
        <f>IF(INDEX(Last10Home_Stats_All!$A:$A,ROW()-ROW($Q$2)+2)="","",
IFERROR(
INDEX(Last10Home_Stats_All!$A:$ZZ,ROW()-ROW($Q$2)+2,COLUMN()-COLUMN($Q$2)+1),
""))</f>
        <v>4</v>
      </c>
      <c r="AP10" s="1">
        <f>IF(INDEX(Last10Home_Stats_All!$A:$A,ROW()-ROW($Q$2)+2)="","",
IFERROR(
INDEX(Last10Home_Stats_All!$A:$ZZ,ROW()-ROW($Q$2)+2,COLUMN()-COLUMN($Q$2)+1),
""))</f>
        <v>5</v>
      </c>
      <c r="AQ10" s="1">
        <f>IF(INDEX(Last10Home_Stats_All!$A:$A,ROW()-ROW($Q$2)+2)="","",
IFERROR(
INDEX(Last10Home_Stats_All!$A:$ZZ,ROW()-ROW($Q$2)+2,COLUMN()-COLUMN($Q$2)+1),
""))</f>
        <v>9</v>
      </c>
      <c r="AR10" s="1">
        <f>IF(INDEX(Last10Home_Stats_All!$A:$A,ROW()-ROW($Q$2)+2)="","",
IFERROR(
INDEX(Last10Home_Stats_All!$A:$ZZ,ROW()-ROW($Q$2)+2,COLUMN()-COLUMN($Q$2)+1),
""))</f>
        <v>6</v>
      </c>
      <c r="AS10" s="1">
        <f>IF(INDEX(Last10Home_Stats_All!$A:$A,ROW()-ROW($Q$2)+2)="","",
IFERROR(
INDEX(Last10Home_Stats_All!$A:$ZZ,ROW()-ROW($Q$2)+2,COLUMN()-COLUMN($Q$2)+1),
""))</f>
        <v>13</v>
      </c>
      <c r="AT10" s="1">
        <f>IF(INDEX(Last10Home_Stats_All!$A:$A,ROW()-ROW($Q$2)+2)="","",
IFERROR(
INDEX(Last10Home_Stats_All!$A:$ZZ,ROW()-ROW($Q$2)+2,COLUMN()-COLUMN($Q$2)+1),
""))</f>
        <v>14</v>
      </c>
      <c r="AU10" s="1">
        <f>IF(INDEX(Last10Home_Stats_All!$A:$A,ROW()-ROW($Q$2)+2)="","",
IFERROR(
INDEX(Last10Home_Stats_All!$A:$ZZ,ROW()-ROW($Q$2)+2,COLUMN()-COLUMN($Q$2)+1),
""))</f>
        <v>2</v>
      </c>
      <c r="AV10" s="1">
        <f>IF(INDEX(Last10Home_Stats_All!$A:$A,ROW()-ROW($Q$2)+2)="","",
IFERROR(
INDEX(Last10Home_Stats_All!$A:$ZZ,ROW()-ROW($Q$2)+2,COLUMN()-COLUMN($Q$2)+1),
""))</f>
        <v>3</v>
      </c>
      <c r="AW10" s="1">
        <f>IF(INDEX(Last10Home_Stats_All!$A:$A,ROW()-ROW($Q$2)+2)="","",
IFERROR(
INDEX(Last10Home_Stats_All!$A:$ZZ,ROW()-ROW($Q$2)+2,COLUMN()-COLUMN($Q$2)+1),
""))</f>
        <v>1</v>
      </c>
      <c r="AX10" s="1">
        <f>IF(INDEX(Last10Home_Stats_All!$A:$A,ROW()-ROW($Q$2)+2)="","",
IFERROR(
INDEX(Last10Home_Stats_All!$A:$ZZ,ROW()-ROW($Q$2)+2,COLUMN()-COLUMN($Q$2)+1),
""))</f>
        <v>3</v>
      </c>
      <c r="AY10" s="1">
        <f>IF(INDEX(Last10Home_Stats_All!$A:$A,ROW()-ROW($Q$2)+2)="","",
IFERROR(
INDEX(Last10Home_Stats_All!$A:$ZZ,ROW()-ROW($Q$2)+2,COLUMN()-COLUMN($Q$2)+1),
""))</f>
        <v>65</v>
      </c>
      <c r="AZ10" s="1">
        <f>IF(INDEX(Last10Home_Stats_All!$A:$A,ROW()-ROW($Q$2)+2)="","",
IFERROR(
INDEX(Last10Home_Stats_All!$A:$ZZ,ROW()-ROW($Q$2)+2,COLUMN()-COLUMN($Q$2)+1),
""))</f>
        <v>35</v>
      </c>
      <c r="BA10" s="1">
        <f>IF(INDEX(Last10Home_Stats_All!$A:$A,ROW()-ROW($Q$2)+2)="","",
IFERROR(
INDEX(Last10Home_Stats_All!$A:$ZZ,ROW()-ROW($Q$2)+2,COLUMN()-COLUMN($Q$2)+1),
""))</f>
        <v>2</v>
      </c>
      <c r="BB10" s="1">
        <f>IF(INDEX(Last10Home_Stats_All!$A:$A,ROW()-ROW($Q$2)+2)="","",
IFERROR(
INDEX(Last10Home_Stats_All!$A:$ZZ,ROW()-ROW($Q$2)+2,COLUMN()-COLUMN($Q$2)+1),
""))</f>
        <v>2</v>
      </c>
      <c r="BC10" s="1">
        <f>IF(INDEX(Last10Home_Stats_All!$A:$A,ROW()-ROW($Q$2)+2)="","",
IFERROR(
INDEX(Last10Home_Stats_All!$A:$ZZ,ROW()-ROW($Q$2)+2,COLUMN()-COLUMN($Q$2)+1),
""))</f>
        <v>0</v>
      </c>
      <c r="BD10" s="1">
        <f>IF(INDEX(Last10Home_Stats_All!$A:$A,ROW()-ROW($Q$2)+2)="","",
IFERROR(
INDEX(Last10Home_Stats_All!$A:$ZZ,ROW()-ROW($Q$2)+2,COLUMN()-COLUMN($Q$2)+1),
""))</f>
        <v>0</v>
      </c>
      <c r="BE10" s="1">
        <f>IF(INDEX(Last10Home_Stats_All!$A:$A,ROW()-ROW($Q$2)+2)="","",
IFERROR(
INDEX(Last10Home_Stats_All!$A:$ZZ,ROW()-ROW($Q$2)+2,COLUMN()-COLUMN($Q$2)+1),
""))</f>
        <v>0</v>
      </c>
      <c r="BF10" s="1">
        <f>IF(INDEX(Last10Home_Stats_All!$A:$A,ROW()-ROW($Q$2)+2)="","",
IFERROR(
INDEX(Last10Home_Stats_All!$A:$ZZ,ROW()-ROW($Q$2)+2,COLUMN()-COLUMN($Q$2)+1),
""))</f>
        <v>4</v>
      </c>
      <c r="BG10" s="1">
        <f>IF(INDEX(Last10Home_Stats_All!$A:$A,ROW()-ROW($Q$2)+2)="","",
IFERROR(
INDEX(Last10Home_Stats_All!$A:$ZZ,ROW()-ROW($Q$2)+2,COLUMN()-COLUMN($Q$2)+1),
""))</f>
        <v>467</v>
      </c>
      <c r="BH10" s="1">
        <f>IF(INDEX(Last10Home_Stats_All!$A:$A,ROW()-ROW($Q$2)+2)="","",
IFERROR(
INDEX(Last10Home_Stats_All!$A:$ZZ,ROW()-ROW($Q$2)+2,COLUMN()-COLUMN($Q$2)+1),
""))</f>
        <v>254</v>
      </c>
      <c r="BI10" s="1">
        <f>IF(INDEX(Last10Home_Stats_All!$A:$A,ROW()-ROW($Q$2)+2)="","",
IFERROR(
INDEX(Last10Home_Stats_All!$A:$ZZ,ROW()-ROW($Q$2)+2,COLUMN()-COLUMN($Q$2)+1),
""))</f>
        <v>320</v>
      </c>
      <c r="BJ10" s="1">
        <f>IF(INDEX(Last10Home_Stats_All!$A:$A,ROW()-ROW($Q$2)+2)="","",
IFERROR(
INDEX(Last10Home_Stats_All!$A:$ZZ,ROW()-ROW($Q$2)+2,COLUMN()-COLUMN($Q$2)+1),
""))</f>
        <v>120</v>
      </c>
      <c r="BK10" s="1">
        <f>IF(INDEX(Last10Home_Stats_All!$A:$A,ROW()-ROW($Q$2)+2)="","",
IFERROR(
INDEX(Last10Home_Stats_All!$A:$ZZ,ROW()-ROW($Q$2)+2,COLUMN()-COLUMN($Q$2)+1),
""))</f>
        <v>69</v>
      </c>
      <c r="BL10" s="1">
        <f>IF(INDEX(Last10Home_Stats_All!$A:$A,ROW()-ROW($Q$2)+2)="","",
IFERROR(
INDEX(Last10Home_Stats_All!$A:$ZZ,ROW()-ROW($Q$2)+2,COLUMN()-COLUMN($Q$2)+1),
""))</f>
        <v>47</v>
      </c>
      <c r="BM10" s="1">
        <f>IF(INDEX(Last10Home_Stats_All!$A:$A,ROW()-ROW($Q$2)+2)="","",
IFERROR(
INDEX(Last10Home_Stats_All!$A:$ZZ,ROW()-ROW($Q$2)+2,COLUMN()-COLUMN($Q$2)+1),
""))</f>
        <v>0.42</v>
      </c>
      <c r="BN10" s="1">
        <f>IF(INDEX(Last10Home_Stats_All!$A:$A,ROW()-ROW($Q$2)+2)="","",
IFERROR(
INDEX(Last10Home_Stats_All!$A:$ZZ,ROW()-ROW($Q$2)+2,COLUMN()-COLUMN($Q$2)+1),
""))</f>
        <v>0.78</v>
      </c>
      <c r="BO10" s="1">
        <f>IF(INDEX(Last10Home_Stats_All!$A:$A,ROW()-ROW($Q$2)+2)="","",
IFERROR(
INDEX(Last10Home_Stats_All!$A:$ZZ,ROW()-ROW($Q$2)+2,COLUMN()-COLUMN($Q$2)+1),
""))</f>
        <v>0</v>
      </c>
      <c r="BP10" s="1">
        <f>IF(INDEX(Last10Home_Stats_All!$A:$A,ROW()-ROW($Q$2)+2)="","",
IFERROR(
INDEX(Last10Home_Stats_All!$A:$ZZ,ROW()-ROW($Q$2)+2,COLUMN()-COLUMN($Q$2)+1),
""))</f>
        <v>0</v>
      </c>
      <c r="BR10" s="1" t="str">
        <f>IF(OR(Control!AC10="",Control!AD10=""),"",Control!AC10&amp;" : "&amp;Control!AD10)</f>
        <v>0 : 2</v>
      </c>
      <c r="BS10" s="1" t="str">
        <f>IF(OR(Control!AE10="",Control!AF10=""),"",Control!AE10&amp;" : "&amp;Control!AF10)</f>
        <v>0 : 2</v>
      </c>
      <c r="BT10" s="1" t="str">
        <f>IF(OR(Control!AU10="",Control!AV10=""),"",Control!AU10&amp;" : "&amp;Control!AV10)</f>
        <v>2 : 3</v>
      </c>
      <c r="BV10" s="1">
        <f>IFERROR(INDEX(tblStandings[#All],ROW(A10),COLUMN(A10)),"")</f>
        <v>9</v>
      </c>
      <c r="BW10" s="1" t="str">
        <f>IFERROR(INDEX(tblStandings[#All],ROW(B10),COLUMN(B10)),"")</f>
        <v>Oldham</v>
      </c>
      <c r="BX10" s="1">
        <f>IFERROR(INDEX(tblStandings[#All],ROW(C10),COLUMN(C10)),"")</f>
        <v>41</v>
      </c>
      <c r="BY10" s="1">
        <f>IFERROR(INDEX(tblStandings[#All],ROW(D10),COLUMN(D10)),"")</f>
        <v>17</v>
      </c>
      <c r="BZ10" s="1">
        <f>IFERROR(INDEX(tblStandings[#All],ROW(E10),COLUMN(E10)),"")</f>
        <v>14</v>
      </c>
      <c r="CA10" s="1">
        <f>IFERROR(INDEX(tblStandings[#All],ROW(F10),COLUMN(F10)),"")</f>
        <v>10</v>
      </c>
      <c r="CB10" s="1">
        <f>IFERROR(INDEX(tblStandings[#All],ROW(G10),COLUMN(G10)),"")</f>
        <v>52</v>
      </c>
      <c r="CC10" s="1">
        <f>IFERROR(INDEX(tblStandings[#All],ROW(H10),COLUMN(H10)),"")</f>
        <v>35</v>
      </c>
      <c r="CD10" s="1">
        <f>IFERROR(INDEX(tblStandings[#All],ROW(I10),COLUMN(I10)),"")</f>
        <v>17</v>
      </c>
      <c r="CE10" s="1">
        <f>IFERROR(INDEX(tblStandings[#All],ROW(J10),COLUMN(J10)),"")</f>
        <v>65</v>
      </c>
      <c r="CF10" s="1" t="str">
        <f>IFERROR(INDEX(tblStandings[#All],ROW(K10),COLUMN(K10)),"")</f>
        <v>DWLWW</v>
      </c>
      <c r="CG10" s="1" t="str">
        <f t="shared" si="0"/>
        <v>D</v>
      </c>
      <c r="CH10" s="1" t="str">
        <f t="shared" si="1"/>
        <v>W</v>
      </c>
      <c r="CI10" s="1" t="str">
        <f t="shared" si="2"/>
        <v>L</v>
      </c>
      <c r="CJ10" s="1" t="str">
        <f t="shared" si="3"/>
        <v>W</v>
      </c>
      <c r="CK10" s="1" t="str">
        <f t="shared" si="4"/>
        <v>W</v>
      </c>
      <c r="CN10" s="1" t="s">
        <v>177</v>
      </c>
      <c r="CP10" s="1" t="s">
        <v>228</v>
      </c>
    </row>
    <row r="11" spans="1:108" x14ac:dyDescent="0.25">
      <c r="H11" s="1">
        <v>1483029</v>
      </c>
      <c r="I11" s="4">
        <v>46330.041666666664</v>
      </c>
      <c r="J11" s="1" t="s">
        <v>32</v>
      </c>
      <c r="K11" s="1" t="s">
        <v>21</v>
      </c>
      <c r="L11" s="1" t="s">
        <v>7144</v>
      </c>
      <c r="M11" s="1" t="s">
        <v>7163</v>
      </c>
      <c r="N11" s="1" t="s">
        <v>7164</v>
      </c>
      <c r="O11" s="1" t="s">
        <v>7165</v>
      </c>
      <c r="Q11" s="1">
        <f>IF(INDEX(Last10Home_Stats_All!$A:$A,ROW()-ROW($Q$2)+2)="","",
IFERROR(
INDEX(Last10Home_Stats_All!$A:$ZZ,ROW()-ROW($Q$2)+2,COLUMN()-COLUMN($Q$2)+1),
""))</f>
        <v>1386261</v>
      </c>
      <c r="R11" s="1" t="str">
        <f>IF(INDEX(Last10Home_Stats_All!$A:$A,ROW()-ROW($Q$2)+2)="","",
IFERROR(
INDEX(Last10Home_Stats_All!$A:$ZZ,ROW()-ROW($Q$2)+2,COLUMN()-COLUMN($Q$2)+1),
""))</f>
        <v>29/12/2025 19:45</v>
      </c>
      <c r="S11" s="1" t="str">
        <f>IF(INDEX(Last10Home_Stats_All!$A:$A,ROW()-ROW($Q$2)+2)="","",
IFERROR(
INDEX(Last10Home_Stats_All!$A:$ZZ,ROW()-ROW($Q$2)+2,COLUMN()-COLUMN($Q$2)+1),
""))</f>
        <v>England</v>
      </c>
      <c r="T11" s="1" t="str">
        <f>IF(INDEX(Last10Home_Stats_All!$A:$A,ROW()-ROW($Q$2)+2)="","",
IFERROR(
INDEX(Last10Home_Stats_All!$A:$ZZ,ROW()-ROW($Q$2)+2,COLUMN()-COLUMN($Q$2)+1),
""))</f>
        <v>League Two</v>
      </c>
      <c r="U11" s="1" t="str">
        <f>IF(INDEX(Last10Home_Stats_All!$A:$A,ROW()-ROW($Q$2)+2)="","",
IFERROR(
INDEX(Last10Home_Stats_All!$A:$ZZ,ROW()-ROW($Q$2)+2,COLUMN()-COLUMN($Q$2)+1),
""))</f>
        <v>https://media.api-sports.io/football/teams/1360.png</v>
      </c>
      <c r="V11" s="1" t="str">
        <f>IF(INDEX(Last10Home_Stats_All!$A:$A,ROW()-ROW($Q$2)+2)="","",
IFERROR(
INDEX(Last10Home_Stats_All!$A:$ZZ,ROW()-ROW($Q$2)+2,COLUMN()-COLUMN($Q$2)+1),
""))</f>
        <v>Accrington ST</v>
      </c>
      <c r="W11" s="1" t="str">
        <f>IF(INDEX(Last10Home_Stats_All!$A:$A,ROW()-ROW($Q$2)+2)="","",
IFERROR(
INDEX(Last10Home_Stats_All!$A:$ZZ,ROW()-ROW($Q$2)+2,COLUMN()-COLUMN($Q$2)+1),
""))</f>
        <v>https://media.api-sports.io/football/teams/1842.png</v>
      </c>
      <c r="X11" s="1" t="str">
        <f>IF(INDEX(Last10Home_Stats_All!$A:$A,ROW()-ROW($Q$2)+2)="","",
IFERROR(
INDEX(Last10Home_Stats_All!$A:$ZZ,ROW()-ROW($Q$2)+2,COLUMN()-COLUMN($Q$2)+1),
""))</f>
        <v>Harrogate Town</v>
      </c>
      <c r="Y11" s="1" t="str">
        <f>IF(INDEX(Last10Home_Stats_All!$A:$A,ROW()-ROW($Q$2)+2)="","",
IFERROR(
INDEX(Last10Home_Stats_All!$A:$ZZ,ROW()-ROW($Q$2)+2,COLUMN()-COLUMN($Q$2)+1),
""))</f>
        <v>https://media.api-sports.io/football/leagues/42.png</v>
      </c>
      <c r="Z11" s="1" t="str">
        <f>IF(INDEX(Last10Home_Stats_All!$A:$A,ROW()-ROW($Q$2)+2)="","",
IFERROR(
INDEX(Last10Home_Stats_All!$A:$ZZ,ROW()-ROW($Q$2)+2,COLUMN()-COLUMN($Q$2)+1),
""))</f>
        <v>https://media.api-sports.io/flags/gb-eng.svg</v>
      </c>
      <c r="AA11" s="1">
        <f>IF(INDEX(Last10Home_Stats_All!$A:$A,ROW()-ROW($Q$2)+2)="","",
IFERROR(
INDEX(Last10Home_Stats_All!$A:$ZZ,ROW()-ROW($Q$2)+2,COLUMN()-COLUMN($Q$2)+1),
""))</f>
        <v>1</v>
      </c>
      <c r="AB11" s="1">
        <f>IF(INDEX(Last10Home_Stats_All!$A:$A,ROW()-ROW($Q$2)+2)="","",
IFERROR(
INDEX(Last10Home_Stats_All!$A:$ZZ,ROW()-ROW($Q$2)+2,COLUMN()-COLUMN($Q$2)+1),
""))</f>
        <v>0</v>
      </c>
      <c r="AC11" s="1">
        <f>IF(INDEX(Last10Home_Stats_All!$A:$A,ROW()-ROW($Q$2)+2)="","",
IFERROR(
INDEX(Last10Home_Stats_All!$A:$ZZ,ROW()-ROW($Q$2)+2,COLUMN()-COLUMN($Q$2)+1),
""))</f>
        <v>1</v>
      </c>
      <c r="AD11" s="1">
        <f>IF(INDEX(Last10Home_Stats_All!$A:$A,ROW()-ROW($Q$2)+2)="","",
IFERROR(
INDEX(Last10Home_Stats_All!$A:$ZZ,ROW()-ROW($Q$2)+2,COLUMN()-COLUMN($Q$2)+1),
""))</f>
        <v>0</v>
      </c>
      <c r="AE11" s="1">
        <f>IF(INDEX(Last10Home_Stats_All!$A:$A,ROW()-ROW($Q$2)+2)="","",
IFERROR(
INDEX(Last10Home_Stats_All!$A:$ZZ,ROW()-ROW($Q$2)+2,COLUMN()-COLUMN($Q$2)+1),
""))</f>
        <v>1</v>
      </c>
      <c r="AF11" s="1">
        <f>IF(INDEX(Last10Home_Stats_All!$A:$A,ROW()-ROW($Q$2)+2)="","",
IFERROR(
INDEX(Last10Home_Stats_All!$A:$ZZ,ROW()-ROW($Q$2)+2,COLUMN()-COLUMN($Q$2)+1),
""))</f>
        <v>0</v>
      </c>
      <c r="AG11" s="1">
        <f>IF(INDEX(Last10Home_Stats_All!$A:$A,ROW()-ROW($Q$2)+2)="","",
IFERROR(
INDEX(Last10Home_Stats_All!$A:$ZZ,ROW()-ROW($Q$2)+2,COLUMN()-COLUMN($Q$2)+1),
""))</f>
        <v>8</v>
      </c>
      <c r="AH11" s="1">
        <f>IF(INDEX(Last10Home_Stats_All!$A:$A,ROW()-ROW($Q$2)+2)="","",
IFERROR(
INDEX(Last10Home_Stats_All!$A:$ZZ,ROW()-ROW($Q$2)+2,COLUMN()-COLUMN($Q$2)+1),
""))</f>
        <v>3</v>
      </c>
      <c r="AI11" s="1">
        <f>IF(INDEX(Last10Home_Stats_All!$A:$A,ROW()-ROW($Q$2)+2)="","",
IFERROR(
INDEX(Last10Home_Stats_All!$A:$ZZ,ROW()-ROW($Q$2)+2,COLUMN()-COLUMN($Q$2)+1),
""))</f>
        <v>10</v>
      </c>
      <c r="AJ11" s="1">
        <f>IF(INDEX(Last10Home_Stats_All!$A:$A,ROW()-ROW($Q$2)+2)="","",
IFERROR(
INDEX(Last10Home_Stats_All!$A:$ZZ,ROW()-ROW($Q$2)+2,COLUMN()-COLUMN($Q$2)+1),
""))</f>
        <v>4</v>
      </c>
      <c r="AK11" s="1">
        <f>IF(INDEX(Last10Home_Stats_All!$A:$A,ROW()-ROW($Q$2)+2)="","",
IFERROR(
INDEX(Last10Home_Stats_All!$A:$ZZ,ROW()-ROW($Q$2)+2,COLUMN()-COLUMN($Q$2)+1),
""))</f>
        <v>25</v>
      </c>
      <c r="AL11" s="1">
        <f>IF(INDEX(Last10Home_Stats_All!$A:$A,ROW()-ROW($Q$2)+2)="","",
IFERROR(
INDEX(Last10Home_Stats_All!$A:$ZZ,ROW()-ROW($Q$2)+2,COLUMN()-COLUMN($Q$2)+1),
""))</f>
        <v>8</v>
      </c>
      <c r="AM11" s="1">
        <f>IF(INDEX(Last10Home_Stats_All!$A:$A,ROW()-ROW($Q$2)+2)="","",
IFERROR(
INDEX(Last10Home_Stats_All!$A:$ZZ,ROW()-ROW($Q$2)+2,COLUMN()-COLUMN($Q$2)+1),
""))</f>
        <v>7</v>
      </c>
      <c r="AN11" s="1">
        <f>IF(INDEX(Last10Home_Stats_All!$A:$A,ROW()-ROW($Q$2)+2)="","",
IFERROR(
INDEX(Last10Home_Stats_All!$A:$ZZ,ROW()-ROW($Q$2)+2,COLUMN()-COLUMN($Q$2)+1),
""))</f>
        <v>1</v>
      </c>
      <c r="AO11" s="1">
        <f>IF(INDEX(Last10Home_Stats_All!$A:$A,ROW()-ROW($Q$2)+2)="","",
IFERROR(
INDEX(Last10Home_Stats_All!$A:$ZZ,ROW()-ROW($Q$2)+2,COLUMN()-COLUMN($Q$2)+1),
""))</f>
        <v>11</v>
      </c>
      <c r="AP11" s="1">
        <f>IF(INDEX(Last10Home_Stats_All!$A:$A,ROW()-ROW($Q$2)+2)="","",
IFERROR(
INDEX(Last10Home_Stats_All!$A:$ZZ,ROW()-ROW($Q$2)+2,COLUMN()-COLUMN($Q$2)+1),
""))</f>
        <v>4</v>
      </c>
      <c r="AQ11" s="1">
        <f>IF(INDEX(Last10Home_Stats_All!$A:$A,ROW()-ROW($Q$2)+2)="","",
IFERROR(
INDEX(Last10Home_Stats_All!$A:$ZZ,ROW()-ROW($Q$2)+2,COLUMN()-COLUMN($Q$2)+1),
""))</f>
        <v>14</v>
      </c>
      <c r="AR11" s="1">
        <f>IF(INDEX(Last10Home_Stats_All!$A:$A,ROW()-ROW($Q$2)+2)="","",
IFERROR(
INDEX(Last10Home_Stats_All!$A:$ZZ,ROW()-ROW($Q$2)+2,COLUMN()-COLUMN($Q$2)+1),
""))</f>
        <v>4</v>
      </c>
      <c r="AS11" s="1">
        <f>IF(INDEX(Last10Home_Stats_All!$A:$A,ROW()-ROW($Q$2)+2)="","",
IFERROR(
INDEX(Last10Home_Stats_All!$A:$ZZ,ROW()-ROW($Q$2)+2,COLUMN()-COLUMN($Q$2)+1),
""))</f>
        <v>10</v>
      </c>
      <c r="AT11" s="1">
        <f>IF(INDEX(Last10Home_Stats_All!$A:$A,ROW()-ROW($Q$2)+2)="","",
IFERROR(
INDEX(Last10Home_Stats_All!$A:$ZZ,ROW()-ROW($Q$2)+2,COLUMN()-COLUMN($Q$2)+1),
""))</f>
        <v>9</v>
      </c>
      <c r="AU11" s="1">
        <f>IF(INDEX(Last10Home_Stats_All!$A:$A,ROW()-ROW($Q$2)+2)="","",
IFERROR(
INDEX(Last10Home_Stats_All!$A:$ZZ,ROW()-ROW($Q$2)+2,COLUMN()-COLUMN($Q$2)+1),
""))</f>
        <v>8</v>
      </c>
      <c r="AV11" s="1">
        <f>IF(INDEX(Last10Home_Stats_All!$A:$A,ROW()-ROW($Q$2)+2)="","",
IFERROR(
INDEX(Last10Home_Stats_All!$A:$ZZ,ROW()-ROW($Q$2)+2,COLUMN()-COLUMN($Q$2)+1),
""))</f>
        <v>3</v>
      </c>
      <c r="AW11" s="1">
        <f>IF(INDEX(Last10Home_Stats_All!$A:$A,ROW()-ROW($Q$2)+2)="","",
IFERROR(
INDEX(Last10Home_Stats_All!$A:$ZZ,ROW()-ROW($Q$2)+2,COLUMN()-COLUMN($Q$2)+1),
""))</f>
        <v>1</v>
      </c>
      <c r="AX11" s="1">
        <f>IF(INDEX(Last10Home_Stats_All!$A:$A,ROW()-ROW($Q$2)+2)="","",
IFERROR(
INDEX(Last10Home_Stats_All!$A:$ZZ,ROW()-ROW($Q$2)+2,COLUMN()-COLUMN($Q$2)+1),
""))</f>
        <v>0</v>
      </c>
      <c r="AY11" s="1">
        <f>IF(INDEX(Last10Home_Stats_All!$A:$A,ROW()-ROW($Q$2)+2)="","",
IFERROR(
INDEX(Last10Home_Stats_All!$A:$ZZ,ROW()-ROW($Q$2)+2,COLUMN()-COLUMN($Q$2)+1),
""))</f>
        <v>55</v>
      </c>
      <c r="AZ11" s="1">
        <f>IF(INDEX(Last10Home_Stats_All!$A:$A,ROW()-ROW($Q$2)+2)="","",
IFERROR(
INDEX(Last10Home_Stats_All!$A:$ZZ,ROW()-ROW($Q$2)+2,COLUMN()-COLUMN($Q$2)+1),
""))</f>
        <v>45</v>
      </c>
      <c r="BA11" s="1">
        <f>IF(INDEX(Last10Home_Stats_All!$A:$A,ROW()-ROW($Q$2)+2)="","",
IFERROR(
INDEX(Last10Home_Stats_All!$A:$ZZ,ROW()-ROW($Q$2)+2,COLUMN()-COLUMN($Q$2)+1),
""))</f>
        <v>1</v>
      </c>
      <c r="BB11" s="1">
        <f>IF(INDEX(Last10Home_Stats_All!$A:$A,ROW()-ROW($Q$2)+2)="","",
IFERROR(
INDEX(Last10Home_Stats_All!$A:$ZZ,ROW()-ROW($Q$2)+2,COLUMN()-COLUMN($Q$2)+1),
""))</f>
        <v>0</v>
      </c>
      <c r="BC11" s="1">
        <f>IF(INDEX(Last10Home_Stats_All!$A:$A,ROW()-ROW($Q$2)+2)="","",
IFERROR(
INDEX(Last10Home_Stats_All!$A:$ZZ,ROW()-ROW($Q$2)+2,COLUMN()-COLUMN($Q$2)+1),
""))</f>
        <v>0</v>
      </c>
      <c r="BD11" s="1">
        <f>IF(INDEX(Last10Home_Stats_All!$A:$A,ROW()-ROW($Q$2)+2)="","",
IFERROR(
INDEX(Last10Home_Stats_All!$A:$ZZ,ROW()-ROW($Q$2)+2,COLUMN()-COLUMN($Q$2)+1),
""))</f>
        <v>1</v>
      </c>
      <c r="BE11" s="1">
        <f>IF(INDEX(Last10Home_Stats_All!$A:$A,ROW()-ROW($Q$2)+2)="","",
IFERROR(
INDEX(Last10Home_Stats_All!$A:$ZZ,ROW()-ROW($Q$2)+2,COLUMN()-COLUMN($Q$2)+1),
""))</f>
        <v>3</v>
      </c>
      <c r="BF11" s="1">
        <f>IF(INDEX(Last10Home_Stats_All!$A:$A,ROW()-ROW($Q$2)+2)="","",
IFERROR(
INDEX(Last10Home_Stats_All!$A:$ZZ,ROW()-ROW($Q$2)+2,COLUMN()-COLUMN($Q$2)+1),
""))</f>
        <v>7</v>
      </c>
      <c r="BG11" s="1">
        <f>IF(INDEX(Last10Home_Stats_All!$A:$A,ROW()-ROW($Q$2)+2)="","",
IFERROR(
INDEX(Last10Home_Stats_All!$A:$ZZ,ROW()-ROW($Q$2)+2,COLUMN()-COLUMN($Q$2)+1),
""))</f>
        <v>444</v>
      </c>
      <c r="BH11" s="1">
        <f>IF(INDEX(Last10Home_Stats_All!$A:$A,ROW()-ROW($Q$2)+2)="","",
IFERROR(
INDEX(Last10Home_Stats_All!$A:$ZZ,ROW()-ROW($Q$2)+2,COLUMN()-COLUMN($Q$2)+1),
""))</f>
        <v>371</v>
      </c>
      <c r="BI11" s="1">
        <f>IF(INDEX(Last10Home_Stats_All!$A:$A,ROW()-ROW($Q$2)+2)="","",
IFERROR(
INDEX(Last10Home_Stats_All!$A:$ZZ,ROW()-ROW($Q$2)+2,COLUMN()-COLUMN($Q$2)+1),
""))</f>
        <v>287</v>
      </c>
      <c r="BJ11" s="1">
        <f>IF(INDEX(Last10Home_Stats_All!$A:$A,ROW()-ROW($Q$2)+2)="","",
IFERROR(
INDEX(Last10Home_Stats_All!$A:$ZZ,ROW()-ROW($Q$2)+2,COLUMN()-COLUMN($Q$2)+1),
""))</f>
        <v>214</v>
      </c>
      <c r="BK11" s="1">
        <f>IF(INDEX(Last10Home_Stats_All!$A:$A,ROW()-ROW($Q$2)+2)="","",
IFERROR(
INDEX(Last10Home_Stats_All!$A:$ZZ,ROW()-ROW($Q$2)+2,COLUMN()-COLUMN($Q$2)+1),
""))</f>
        <v>65</v>
      </c>
      <c r="BL11" s="1">
        <f>IF(INDEX(Last10Home_Stats_All!$A:$A,ROW()-ROW($Q$2)+2)="","",
IFERROR(
INDEX(Last10Home_Stats_All!$A:$ZZ,ROW()-ROW($Q$2)+2,COLUMN()-COLUMN($Q$2)+1),
""))</f>
        <v>58</v>
      </c>
      <c r="BM11" s="1">
        <f>IF(INDEX(Last10Home_Stats_All!$A:$A,ROW()-ROW($Q$2)+2)="","",
IFERROR(
INDEX(Last10Home_Stats_All!$A:$ZZ,ROW()-ROW($Q$2)+2,COLUMN()-COLUMN($Q$2)+1),
""))</f>
        <v>2.52</v>
      </c>
      <c r="BN11" s="1">
        <f>IF(INDEX(Last10Home_Stats_All!$A:$A,ROW()-ROW($Q$2)+2)="","",
IFERROR(
INDEX(Last10Home_Stats_All!$A:$ZZ,ROW()-ROW($Q$2)+2,COLUMN()-COLUMN($Q$2)+1),
""))</f>
        <v>0.68</v>
      </c>
      <c r="BO11" s="1">
        <f>IF(INDEX(Last10Home_Stats_All!$A:$A,ROW()-ROW($Q$2)+2)="","",
IFERROR(
INDEX(Last10Home_Stats_All!$A:$ZZ,ROW()-ROW($Q$2)+2,COLUMN()-COLUMN($Q$2)+1),
""))</f>
        <v>0</v>
      </c>
      <c r="BP11" s="1">
        <f>IF(INDEX(Last10Home_Stats_All!$A:$A,ROW()-ROW($Q$2)+2)="","",
IFERROR(
INDEX(Last10Home_Stats_All!$A:$ZZ,ROW()-ROW($Q$2)+2,COLUMN()-COLUMN($Q$2)+1),
""))</f>
        <v>0</v>
      </c>
      <c r="BR11" s="1" t="str">
        <f>IF(OR(Control!AC11="",Control!AD11=""),"",Control!AC11&amp;" : "&amp;Control!AD11)</f>
        <v>1 : 0</v>
      </c>
      <c r="BS11" s="1" t="str">
        <f>IF(OR(Control!AE11="",Control!AF11=""),"",Control!AE11&amp;" : "&amp;Control!AF11)</f>
        <v>1 : 0</v>
      </c>
      <c r="BT11" s="1" t="str">
        <f>IF(OR(Control!AU11="",Control!AV11=""),"",Control!AU11&amp;" : "&amp;Control!AV11)</f>
        <v>8 : 3</v>
      </c>
      <c r="BV11" s="1">
        <f>IFERROR(INDEX(tblStandings[#All],ROW(A11),COLUMN(A11)),"")</f>
        <v>10</v>
      </c>
      <c r="BW11" s="1" t="str">
        <f>IFERROR(INDEX(tblStandings[#All],ROW(B11),COLUMN(B11)),"")</f>
        <v>Grimsby</v>
      </c>
      <c r="BX11" s="1">
        <f>IFERROR(INDEX(tblStandings[#All],ROW(C11),COLUMN(C11)),"")</f>
        <v>40</v>
      </c>
      <c r="BY11" s="1">
        <f>IFERROR(INDEX(tblStandings[#All],ROW(D11),COLUMN(D11)),"")</f>
        <v>18</v>
      </c>
      <c r="BZ11" s="1">
        <f>IFERROR(INDEX(tblStandings[#All],ROW(E11),COLUMN(E11)),"")</f>
        <v>11</v>
      </c>
      <c r="CA11" s="1">
        <f>IFERROR(INDEX(tblStandings[#All],ROW(F11),COLUMN(F11)),"")</f>
        <v>11</v>
      </c>
      <c r="CB11" s="1">
        <f>IFERROR(INDEX(tblStandings[#All],ROW(G11),COLUMN(G11)),"")</f>
        <v>59</v>
      </c>
      <c r="CC11" s="1">
        <f>IFERROR(INDEX(tblStandings[#All],ROW(H11),COLUMN(H11)),"")</f>
        <v>43</v>
      </c>
      <c r="CD11" s="1">
        <f>IFERROR(INDEX(tblStandings[#All],ROW(I11),COLUMN(I11)),"")</f>
        <v>16</v>
      </c>
      <c r="CE11" s="1">
        <f>IFERROR(INDEX(tblStandings[#All],ROW(J11),COLUMN(J11)),"")</f>
        <v>65</v>
      </c>
      <c r="CF11" s="1" t="str">
        <f>IFERROR(INDEX(tblStandings[#All],ROW(K11),COLUMN(K11)),"")</f>
        <v>WLWWL</v>
      </c>
      <c r="CG11" s="1" t="str">
        <f t="shared" si="0"/>
        <v>W</v>
      </c>
      <c r="CH11" s="1" t="str">
        <f t="shared" si="1"/>
        <v>L</v>
      </c>
      <c r="CI11" s="1" t="str">
        <f t="shared" si="2"/>
        <v>W</v>
      </c>
      <c r="CJ11" s="1" t="str">
        <f t="shared" si="3"/>
        <v>W</v>
      </c>
      <c r="CK11" s="1" t="str">
        <f t="shared" si="4"/>
        <v>L</v>
      </c>
      <c r="CN11" s="3">
        <f ca="1">IFERROR(
IF(
AND(
SUMPRODUCT(--ISNUMBER($AA$31:$AA$35),--ISNUMBER($AB$31:$AB$35))&gt;0,
COUNT($R$31:$R$35)&gt;0,
MAX($R$31:$R$35)&gt;=EDATE(TODAY(),-24)
),
(
(
IF(SUMPRODUCT(--ISNUMBER($AA$2:$AA$11),--ISNUMBER($AB$2:$AB$11))=0,0,
SUMPRODUCT(--ISNUMBER($AA$2:$AA$11),--ISNUMBER($AB$2:$AB$11),--($AA$2:$AA$11&gt;=1),--($AB$2:$AB$11&gt;=1))/
SUMPRODUCT(--ISNUMBER($AA$2:$AA$11),--ISNUMBER($AB$2:$AB$11))
)
)
*
(1-(0.2+0.075*(SUMPRODUCT(--ISNUMBER($AA$31:$AA$35),--ISNUMBER($AB$31:$AB$35))-1)))/2
+
(
IF(SUMPRODUCT(--ISNUMBER($AA$16:$AA$25),--ISNUMBER($AB$16:$AB$25))=0,0,
SUMPRODUCT(--ISNUMBER($AA$16:$AA$25),--ISNUMBER($AB$16:$AB$25),--($AA$16:$AA$25&gt;=1),--($AB$16:$AB$25&gt;=1))/
SUMPRODUCT(--ISNUMBER($AA$16:$AA$25),--ISNUMBER($AB$16:$AB$25))
)
)
*
(1-(0.2+0.075*(SUMPRODUCT(--ISNUMBER($AA$31:$AA$35),--ISNUMBER($AB$31:$AB$35))-1)))/2
+
(
IF(SUMPRODUCT(--ISNUMBER($AA$31:$AA$35),--ISNUMBER($AB$31:$AB$35))=0,0,
SUMPRODUCT(--ISNUMBER($AA$31:$AA$35),--ISNUMBER($AB$31:$AB$35),--($AA$31:$AA$35&gt;=1),--($AB$31:$AB$35&gt;=1))/
SUMPRODUCT(--ISNUMBER($AA$31:$AA$35),--ISNUMBER($AB$31:$AB$35))
)
)
*
(0.2+0.075*(SUMPRODUCT(--ISNUMBER($AA$31:$AA$35),--ISNUMBER($AB$31:$AB$35))-1))
),
(
0.5*
IF(SUMPRODUCT(--ISNUMBER($AA$2:$AA$11),--ISNUMBER($AB$2:$AB$11))=0,0,
SUMPRODUCT(--ISNUMBER($AA$2:$AA$11),--ISNUMBER($AB$2:$AB$11),--($AA$2:$AA$11&gt;=1),--($AB$2:$AB$11&gt;=1))/
SUMPRODUCT(--ISNUMBER($AA$2:$AA$11),--ISNUMBER($AB$2:$AB$11))
)
+
0.5*
IF(SUMPRODUCT(--ISNUMBER($AA$16:$AA$25),--ISNUMBER($AB$16:$AB$25))=0,0,
SUMPRODUCT(--ISNUMBER($AA$16:$AA$25),--ISNUMBER($AB$16:$AB$25),--($AA$16:$AA$25&gt;=1),--($AB$16:$AB$25&gt;=1))/
SUMPRODUCT(--ISNUMBER($AA$16:$AA$25),--ISNUMBER($AB$16:$AB$25))
)
)
),
"")</f>
        <v>0.4</v>
      </c>
      <c r="CP11" s="3">
        <f>IFERROR(
IF(
COUNT($AF$16:$AF$25)=0,
"",
AVERAGE($AF$16:$AF$25)
),"")</f>
        <v>0.9</v>
      </c>
    </row>
    <row r="12" spans="1:108" x14ac:dyDescent="0.25">
      <c r="A12" s="1" t="s">
        <v>204</v>
      </c>
      <c r="B12" s="4">
        <f>IFERROR(INDEX($I:$I, MATCH($B$10, $H:$H, 0)), "")</f>
        <v>46330.625</v>
      </c>
      <c r="H12" s="1">
        <v>1488306</v>
      </c>
      <c r="I12" s="4">
        <v>46330.041666666664</v>
      </c>
      <c r="J12" s="1" t="s">
        <v>32</v>
      </c>
      <c r="K12" s="1" t="s">
        <v>21</v>
      </c>
      <c r="L12" s="1" t="s">
        <v>361</v>
      </c>
      <c r="M12" s="1" t="s">
        <v>7166</v>
      </c>
      <c r="N12" s="1" t="s">
        <v>7167</v>
      </c>
      <c r="O12" s="1" t="s">
        <v>7168</v>
      </c>
      <c r="BR12" s="1" t="str">
        <f>IF(OR(Control!AC12="",Control!AD12=""),"",Control!AC12&amp;" : "&amp;Control!AD12)</f>
        <v/>
      </c>
      <c r="BS12" s="1" t="str">
        <f>IF(OR(Control!AE12="",Control!AF12=""),"",Control!AE12&amp;" : "&amp;Control!AF12)</f>
        <v/>
      </c>
      <c r="BT12" s="1" t="str">
        <f>IF(OR(Control!AU12="",Control!AV12=""),"",Control!AU12&amp;" : "&amp;Control!AV12)</f>
        <v/>
      </c>
      <c r="BV12" s="1">
        <f>IFERROR(INDEX(tblStandings[#All],ROW(A12),COLUMN(A12)),"")</f>
        <v>11</v>
      </c>
      <c r="BW12" s="1" t="str">
        <f>IFERROR(INDEX(tblStandings[#All],ROW(B12),COLUMN(B12)),"")</f>
        <v>Barnet</v>
      </c>
      <c r="BX12" s="1">
        <f>IFERROR(INDEX(tblStandings[#All],ROW(C12),COLUMN(C12)),"")</f>
        <v>42</v>
      </c>
      <c r="BY12" s="1">
        <f>IFERROR(INDEX(tblStandings[#All],ROW(D12),COLUMN(D12)),"")</f>
        <v>17</v>
      </c>
      <c r="BZ12" s="1">
        <f>IFERROR(INDEX(tblStandings[#All],ROW(E12),COLUMN(E12)),"")</f>
        <v>13</v>
      </c>
      <c r="CA12" s="1">
        <f>IFERROR(INDEX(tblStandings[#All],ROW(F12),COLUMN(F12)),"")</f>
        <v>12</v>
      </c>
      <c r="CB12" s="1">
        <f>IFERROR(INDEX(tblStandings[#All],ROW(G12),COLUMN(G12)),"")</f>
        <v>57</v>
      </c>
      <c r="CC12" s="1">
        <f>IFERROR(INDEX(tblStandings[#All],ROW(H12),COLUMN(H12)),"")</f>
        <v>47</v>
      </c>
      <c r="CD12" s="1">
        <f>IFERROR(INDEX(tblStandings[#All],ROW(I12),COLUMN(I12)),"")</f>
        <v>10</v>
      </c>
      <c r="CE12" s="1">
        <f>IFERROR(INDEX(tblStandings[#All],ROW(J12),COLUMN(J12)),"")</f>
        <v>64</v>
      </c>
      <c r="CF12" s="1" t="str">
        <f>IFERROR(INDEX(tblStandings[#All],ROW(K12),COLUMN(K12)),"")</f>
        <v>WDWWD</v>
      </c>
      <c r="CG12" s="1" t="str">
        <f t="shared" si="0"/>
        <v>W</v>
      </c>
      <c r="CH12" s="1" t="str">
        <f t="shared" si="1"/>
        <v>D</v>
      </c>
      <c r="CI12" s="1" t="str">
        <f t="shared" si="2"/>
        <v>W</v>
      </c>
      <c r="CJ12" s="1" t="str">
        <f t="shared" si="3"/>
        <v>W</v>
      </c>
      <c r="CK12" s="1" t="str">
        <f t="shared" si="4"/>
        <v>D</v>
      </c>
    </row>
    <row r="13" spans="1:108" x14ac:dyDescent="0.25">
      <c r="H13" s="1">
        <v>1488307</v>
      </c>
      <c r="I13" s="4">
        <v>46330.041666666664</v>
      </c>
      <c r="J13" s="1" t="s">
        <v>32</v>
      </c>
      <c r="K13" s="1" t="s">
        <v>21</v>
      </c>
      <c r="L13" s="1" t="s">
        <v>361</v>
      </c>
      <c r="M13" s="1" t="s">
        <v>7169</v>
      </c>
      <c r="N13" s="1" t="s">
        <v>7170</v>
      </c>
      <c r="O13" s="1" t="s">
        <v>7171</v>
      </c>
      <c r="BR13" s="1" t="str">
        <f>IF(OR(Control!AC13="",Control!AD13=""),"",Control!AC13&amp;" : "&amp;Control!AD13)</f>
        <v/>
      </c>
      <c r="BS13" s="1" t="str">
        <f>IF(OR(Control!AE13="",Control!AF13=""),"",Control!AE13&amp;" : "&amp;Control!AF13)</f>
        <v/>
      </c>
      <c r="BT13" s="1" t="str">
        <f>IF(OR(Control!AU13="",Control!AV13=""),"",Control!AU13&amp;" : "&amp;Control!AV13)</f>
        <v/>
      </c>
      <c r="BV13" s="1">
        <f>IFERROR(INDEX(tblStandings[#All],ROW(A13),COLUMN(A13)),"")</f>
        <v>12</v>
      </c>
      <c r="BW13" s="1" t="str">
        <f>IFERROR(INDEX(tblStandings[#All],ROW(B13),COLUMN(B13)),"")</f>
        <v>Walsall</v>
      </c>
      <c r="BX13" s="1">
        <f>IFERROR(INDEX(tblStandings[#All],ROW(C13),COLUMN(C13)),"")</f>
        <v>42</v>
      </c>
      <c r="BY13" s="1">
        <f>IFERROR(INDEX(tblStandings[#All],ROW(D13),COLUMN(D13)),"")</f>
        <v>17</v>
      </c>
      <c r="BZ13" s="1">
        <f>IFERROR(INDEX(tblStandings[#All],ROW(E13),COLUMN(E13)),"")</f>
        <v>11</v>
      </c>
      <c r="CA13" s="1">
        <f>IFERROR(INDEX(tblStandings[#All],ROW(F13),COLUMN(F13)),"")</f>
        <v>14</v>
      </c>
      <c r="CB13" s="1">
        <f>IFERROR(INDEX(tblStandings[#All],ROW(G13),COLUMN(G13)),"")</f>
        <v>52</v>
      </c>
      <c r="CC13" s="1">
        <f>IFERROR(INDEX(tblStandings[#All],ROW(H13),COLUMN(H13)),"")</f>
        <v>46</v>
      </c>
      <c r="CD13" s="1">
        <f>IFERROR(INDEX(tblStandings[#All],ROW(I13),COLUMN(I13)),"")</f>
        <v>6</v>
      </c>
      <c r="CE13" s="1">
        <f>IFERROR(INDEX(tblStandings[#All],ROW(J13),COLUMN(J13)),"")</f>
        <v>62</v>
      </c>
      <c r="CF13" s="1" t="str">
        <f>IFERROR(INDEX(tblStandings[#All],ROW(K13),COLUMN(K13)),"")</f>
        <v>LDDWD</v>
      </c>
      <c r="CG13" s="1" t="str">
        <f t="shared" si="0"/>
        <v>L</v>
      </c>
      <c r="CH13" s="1" t="str">
        <f t="shared" si="1"/>
        <v>D</v>
      </c>
      <c r="CI13" s="1" t="str">
        <f t="shared" si="2"/>
        <v>D</v>
      </c>
      <c r="CJ13" s="1" t="str">
        <f t="shared" si="3"/>
        <v>W</v>
      </c>
      <c r="CK13" s="1" t="str">
        <f t="shared" si="4"/>
        <v>D</v>
      </c>
    </row>
    <row r="14" spans="1:108" x14ac:dyDescent="0.25">
      <c r="A14" s="1" t="s">
        <v>205</v>
      </c>
      <c r="B14" s="1" t="str">
        <f>IFERROR(INDEX($J:$J, MATCH($B$10, $H:$H, 0)), "")</f>
        <v>Not Started</v>
      </c>
      <c r="H14" s="1">
        <v>1492014</v>
      </c>
      <c r="I14" s="4">
        <v>46330.041666666664</v>
      </c>
      <c r="J14" s="1" t="s">
        <v>32</v>
      </c>
      <c r="K14" s="1" t="s">
        <v>28</v>
      </c>
      <c r="L14" s="1" t="s">
        <v>2588</v>
      </c>
      <c r="M14" s="1" t="s">
        <v>7172</v>
      </c>
      <c r="N14" s="1" t="s">
        <v>7173</v>
      </c>
      <c r="O14" s="1" t="s">
        <v>7174</v>
      </c>
      <c r="BR14" s="1" t="str">
        <f>IF(OR(Control!AC14="",Control!AD14=""),"",Control!AC14&amp;" : "&amp;Control!AD14)</f>
        <v/>
      </c>
      <c r="BS14" s="1" t="str">
        <f>IF(OR(Control!AE14="",Control!AF14=""),"",Control!AE14&amp;" : "&amp;Control!AF14)</f>
        <v/>
      </c>
      <c r="BT14" s="1" t="str">
        <f>IF(OR(Control!AU14="",Control!AV14=""),"",Control!AU14&amp;" : "&amp;Control!AV14)</f>
        <v/>
      </c>
      <c r="BV14" s="1">
        <f>IFERROR(INDEX(tblStandings[#All],ROW(A14),COLUMN(A14)),"")</f>
        <v>13</v>
      </c>
      <c r="BW14" s="1" t="str">
        <f>IFERROR(INDEX(tblStandings[#All],ROW(B14),COLUMN(B14)),"")</f>
        <v>Colchester</v>
      </c>
      <c r="BX14" s="1">
        <f>IFERROR(INDEX(tblStandings[#All],ROW(C14),COLUMN(C14)),"")</f>
        <v>42</v>
      </c>
      <c r="BY14" s="1">
        <f>IFERROR(INDEX(tblStandings[#All],ROW(D14),COLUMN(D14)),"")</f>
        <v>15</v>
      </c>
      <c r="BZ14" s="1">
        <f>IFERROR(INDEX(tblStandings[#All],ROW(E14),COLUMN(E14)),"")</f>
        <v>13</v>
      </c>
      <c r="CA14" s="1">
        <f>IFERROR(INDEX(tblStandings[#All],ROW(F14),COLUMN(F14)),"")</f>
        <v>14</v>
      </c>
      <c r="CB14" s="1">
        <f>IFERROR(INDEX(tblStandings[#All],ROW(G14),COLUMN(G14)),"")</f>
        <v>53</v>
      </c>
      <c r="CC14" s="1">
        <f>IFERROR(INDEX(tblStandings[#All],ROW(H14),COLUMN(H14)),"")</f>
        <v>45</v>
      </c>
      <c r="CD14" s="1">
        <f>IFERROR(INDEX(tblStandings[#All],ROW(I14),COLUMN(I14)),"")</f>
        <v>8</v>
      </c>
      <c r="CE14" s="1">
        <f>IFERROR(INDEX(tblStandings[#All],ROW(J14),COLUMN(J14)),"")</f>
        <v>58</v>
      </c>
      <c r="CF14" s="1" t="str">
        <f>IFERROR(INDEX(tblStandings[#All],ROW(K14),COLUMN(K14)),"")</f>
        <v>WLDLL</v>
      </c>
      <c r="CG14" s="1" t="str">
        <f t="shared" si="0"/>
        <v>W</v>
      </c>
      <c r="CH14" s="1" t="str">
        <f t="shared" si="1"/>
        <v>L</v>
      </c>
      <c r="CI14" s="1" t="str">
        <f t="shared" si="2"/>
        <v>D</v>
      </c>
      <c r="CJ14" s="1" t="str">
        <f t="shared" si="3"/>
        <v>L</v>
      </c>
      <c r="CK14" s="1" t="str">
        <f t="shared" si="4"/>
        <v>L</v>
      </c>
    </row>
    <row r="15" spans="1:108" x14ac:dyDescent="0.25">
      <c r="H15" s="1">
        <v>1505415</v>
      </c>
      <c r="I15" s="4">
        <v>46330.041666666664</v>
      </c>
      <c r="J15" s="1" t="s">
        <v>32</v>
      </c>
      <c r="K15" s="1" t="s">
        <v>354</v>
      </c>
      <c r="L15" s="1" t="s">
        <v>27</v>
      </c>
      <c r="M15" s="1" t="s">
        <v>7175</v>
      </c>
      <c r="N15" s="1" t="s">
        <v>5935</v>
      </c>
      <c r="O15" s="1" t="s">
        <v>7176</v>
      </c>
      <c r="Q15" s="1" t="str">
        <f>IFERROR(Last10Away_Stats_All!A1,"")</f>
        <v>fixture_id</v>
      </c>
      <c r="R15" s="1" t="str">
        <f>IFERROR(Last10Away_Stats_All!B1,"")</f>
        <v>kickoff</v>
      </c>
      <c r="S15" s="1" t="str">
        <f>IFERROR(Last10Away_Stats_All!C1,"")</f>
        <v>league_country</v>
      </c>
      <c r="T15" s="1" t="str">
        <f>IFERROR(Last10Away_Stats_All!D1,"")</f>
        <v>league_name</v>
      </c>
      <c r="U15" s="1" t="str">
        <f>IFERROR(Last10Away_Stats_All!E1,"")</f>
        <v>home_logo</v>
      </c>
      <c r="V15" s="1" t="str">
        <f>IFERROR(Last10Away_Stats_All!F1,"")</f>
        <v>home_name</v>
      </c>
      <c r="W15" s="1" t="str">
        <f>IFERROR(Last10Away_Stats_All!G1,"")</f>
        <v>away_logo</v>
      </c>
      <c r="X15" s="1" t="str">
        <f>IFERROR(Last10Away_Stats_All!H1,"")</f>
        <v>opponent</v>
      </c>
      <c r="Y15" s="1" t="str">
        <f>IFERROR(Last10Away_Stats_All!I1,"")</f>
        <v>league_logo</v>
      </c>
      <c r="Z15" s="1" t="str">
        <f>IFERROR(Last10Away_Stats_All!J1,"")</f>
        <v>league_flag</v>
      </c>
      <c r="AA15" s="1" t="str">
        <f>IFERROR(Last10Away_Stats_All!K1,"")</f>
        <v>home_goals</v>
      </c>
      <c r="AB15" s="1" t="str">
        <f>IFERROR(Last10Away_Stats_All!L1,"")</f>
        <v>away_goals</v>
      </c>
      <c r="AC15" s="1" t="str">
        <f>IFERROR(Last10Away_Stats_All!M1,"")</f>
        <v>ht_home</v>
      </c>
      <c r="AD15" s="1" t="str">
        <f>IFERROR(Last10Away_Stats_All!N1,"")</f>
        <v>ht_away</v>
      </c>
      <c r="AE15" s="1" t="str">
        <f>IFERROR(Last10Away_Stats_All!O1,"")</f>
        <v>ft_home</v>
      </c>
      <c r="AF15" s="1" t="str">
        <f>IFERROR(Last10Away_Stats_All!P1,"")</f>
        <v>ft_away</v>
      </c>
      <c r="AG15" s="1" t="str">
        <f>IFERROR(Last10Away_Stats_All!Q1,"")</f>
        <v>Home_ShotsOnGoal</v>
      </c>
      <c r="AH15" s="1" t="str">
        <f>IFERROR(Last10Away_Stats_All!R1,"")</f>
        <v>Away_ShotsOnGoal</v>
      </c>
      <c r="AI15" s="1" t="str">
        <f>IFERROR(Last10Away_Stats_All!S1,"")</f>
        <v>Home_ShotsOffGoal</v>
      </c>
      <c r="AJ15" s="1" t="str">
        <f>IFERROR(Last10Away_Stats_All!T1,"")</f>
        <v>Away_ShotsOffGoal</v>
      </c>
      <c r="AK15" s="1" t="str">
        <f>IFERROR(Last10Away_Stats_All!U1,"")</f>
        <v>Home_TotalShots</v>
      </c>
      <c r="AL15" s="1" t="str">
        <f>IFERROR(Last10Away_Stats_All!V1,"")</f>
        <v>Away_TotalShots</v>
      </c>
      <c r="AM15" s="1" t="str">
        <f>IFERROR(Last10Away_Stats_All!W1,"")</f>
        <v>Home_BlockedShots</v>
      </c>
      <c r="AN15" s="1" t="str">
        <f>IFERROR(Last10Away_Stats_All!X1,"")</f>
        <v>Away_BlockedShots</v>
      </c>
      <c r="AO15" s="1" t="str">
        <f>IFERROR(Last10Away_Stats_All!Y1,"")</f>
        <v>Home_ShotsInsideBox</v>
      </c>
      <c r="AP15" s="1" t="str">
        <f>IFERROR(Last10Away_Stats_All!Z1,"")</f>
        <v>Away_ShotsInsideBox</v>
      </c>
      <c r="AQ15" s="1" t="str">
        <f>IFERROR(Last10Away_Stats_All!AA1,"")</f>
        <v>Home_ShotsOutsideBox</v>
      </c>
      <c r="AR15" s="1" t="str">
        <f>IFERROR(Last10Away_Stats_All!AB1,"")</f>
        <v>Away_ShotsOutsideBox</v>
      </c>
      <c r="AS15" s="1" t="str">
        <f>IFERROR(Last10Away_Stats_All!AC1,"")</f>
        <v>Home_Fouls</v>
      </c>
      <c r="AT15" s="1" t="str">
        <f>IFERROR(Last10Away_Stats_All!AD1,"")</f>
        <v>Away_Fouls</v>
      </c>
      <c r="AU15" s="1" t="str">
        <f>IFERROR(Last10Away_Stats_All!AE1,"")</f>
        <v>Home_CornerKicks</v>
      </c>
      <c r="AV15" s="1" t="str">
        <f>IFERROR(Last10Away_Stats_All!AF1,"")</f>
        <v>Away_CornerKicks</v>
      </c>
      <c r="AW15" s="1" t="str">
        <f>IFERROR(Last10Away_Stats_All!AG1,"")</f>
        <v>Home_Offsides</v>
      </c>
      <c r="AX15" s="1" t="str">
        <f>IFERROR(Last10Away_Stats_All!AH1,"")</f>
        <v>Away_Offsides</v>
      </c>
      <c r="AY15" s="1" t="str">
        <f>IFERROR(Last10Away_Stats_All!AI1,"")</f>
        <v>Home_BallPossession</v>
      </c>
      <c r="AZ15" s="1" t="str">
        <f>IFERROR(Last10Away_Stats_All!AJ1,"")</f>
        <v>Away_BallPossession</v>
      </c>
      <c r="BA15" s="1" t="str">
        <f>IFERROR(Last10Away_Stats_All!AK1,"")</f>
        <v>Home_YellowCards</v>
      </c>
      <c r="BB15" s="1" t="str">
        <f>IFERROR(Last10Away_Stats_All!AL1,"")</f>
        <v>Away_YellowCards</v>
      </c>
      <c r="BC15" s="1" t="str">
        <f>IFERROR(Last10Away_Stats_All!AM1,"")</f>
        <v>Home_RedCards</v>
      </c>
      <c r="BD15" s="1" t="str">
        <f>IFERROR(Last10Away_Stats_All!AN1,"")</f>
        <v>Away_RedCards</v>
      </c>
      <c r="BE15" s="1" t="str">
        <f>IFERROR(Last10Away_Stats_All!AO1,"")</f>
        <v>Home_GoalkeeperSaves</v>
      </c>
      <c r="BF15" s="1" t="str">
        <f>IFERROR(Last10Away_Stats_All!AP1,"")</f>
        <v>Away_GoalkeeperSaves</v>
      </c>
      <c r="BG15" s="1" t="str">
        <f>IFERROR(Last10Away_Stats_All!AQ1,"")</f>
        <v>Home_TotalPasses</v>
      </c>
      <c r="BH15" s="1" t="str">
        <f>IFERROR(Last10Away_Stats_All!AR1,"")</f>
        <v>Away_TotalPasses</v>
      </c>
      <c r="BI15" s="1" t="str">
        <f>IFERROR(Last10Away_Stats_All!AS1,"")</f>
        <v>Home_PassesAccurate</v>
      </c>
      <c r="BJ15" s="1" t="str">
        <f>IFERROR(Last10Away_Stats_All!AT1,"")</f>
        <v>Away_PassesAccurate</v>
      </c>
      <c r="BK15" s="1" t="str">
        <f>IFERROR(Last10Away_Stats_All!AU1,"")</f>
        <v>Home_PassesPct</v>
      </c>
      <c r="BL15" s="1" t="str">
        <f>IFERROR(Last10Away_Stats_All!AV1,"")</f>
        <v>Away_PassesPct</v>
      </c>
      <c r="BM15" s="1" t="str">
        <f>IFERROR(Last10Away_Stats_All!AW1,"")</f>
        <v>Home_ExpectedGoals</v>
      </c>
      <c r="BN15" s="1" t="str">
        <f>IFERROR(Last10Away_Stats_All!AX1,"")</f>
        <v>Away_ExpectedGoals</v>
      </c>
      <c r="BO15" s="1" t="str">
        <f>IFERROR(Last10Away_Stats_All!AY1,"")</f>
        <v>Home_GoalsPrevented</v>
      </c>
      <c r="BP15" s="1" t="str">
        <f>IFERROR(Last10Away_Stats_All!AZ1,"")</f>
        <v>Away_GoalsPrevented</v>
      </c>
      <c r="BR15" s="1" t="s">
        <v>213</v>
      </c>
      <c r="BS15" s="1" t="s">
        <v>214</v>
      </c>
      <c r="BT15" s="1" t="s">
        <v>215</v>
      </c>
      <c r="BV15" s="1">
        <f>IFERROR(INDEX(tblStandings[#All],ROW(A15),COLUMN(A15)),"")</f>
        <v>14</v>
      </c>
      <c r="BW15" s="1" t="str">
        <f>IFERROR(INDEX(tblStandings[#All],ROW(B15),COLUMN(B15)),"")</f>
        <v>Fleetwood Town</v>
      </c>
      <c r="BX15" s="1">
        <f>IFERROR(INDEX(tblStandings[#All],ROW(C15),COLUMN(C15)),"")</f>
        <v>42</v>
      </c>
      <c r="BY15" s="1">
        <f>IFERROR(INDEX(tblStandings[#All],ROW(D15),COLUMN(D15)),"")</f>
        <v>14</v>
      </c>
      <c r="BZ15" s="1">
        <f>IFERROR(INDEX(tblStandings[#All],ROW(E15),COLUMN(E15)),"")</f>
        <v>13</v>
      </c>
      <c r="CA15" s="1">
        <f>IFERROR(INDEX(tblStandings[#All],ROW(F15),COLUMN(F15)),"")</f>
        <v>15</v>
      </c>
      <c r="CB15" s="1">
        <f>IFERROR(INDEX(tblStandings[#All],ROW(G15),COLUMN(G15)),"")</f>
        <v>51</v>
      </c>
      <c r="CC15" s="1">
        <f>IFERROR(INDEX(tblStandings[#All],ROW(H15),COLUMN(H15)),"")</f>
        <v>53</v>
      </c>
      <c r="CD15" s="1">
        <f>IFERROR(INDEX(tblStandings[#All],ROW(I15),COLUMN(I15)),"")</f>
        <v>-2</v>
      </c>
      <c r="CE15" s="1">
        <f>IFERROR(INDEX(tblStandings[#All],ROW(J15),COLUMN(J15)),"")</f>
        <v>55</v>
      </c>
      <c r="CF15" s="1" t="str">
        <f>IFERROR(INDEX(tblStandings[#All],ROW(K15),COLUMN(K15)),"")</f>
        <v>LLDWL</v>
      </c>
      <c r="CG15" s="1" t="str">
        <f t="shared" si="0"/>
        <v>L</v>
      </c>
      <c r="CH15" s="1" t="str">
        <f t="shared" si="1"/>
        <v>L</v>
      </c>
      <c r="CI15" s="1" t="str">
        <f t="shared" si="2"/>
        <v>D</v>
      </c>
      <c r="CJ15" s="1" t="str">
        <f t="shared" si="3"/>
        <v>W</v>
      </c>
      <c r="CK15" s="1" t="str">
        <f t="shared" si="4"/>
        <v>L</v>
      </c>
    </row>
    <row r="16" spans="1:108" x14ac:dyDescent="0.25">
      <c r="A16" s="1" t="s">
        <v>208</v>
      </c>
      <c r="B16" s="1" t="str">
        <f>IFERROR(INDEX($K:$K, MATCH($B$10, $H:$H, 0)), "")</f>
        <v>England</v>
      </c>
      <c r="H16" s="1">
        <v>1511544</v>
      </c>
      <c r="I16" s="4">
        <v>46330.041666666664</v>
      </c>
      <c r="J16" s="1" t="s">
        <v>32</v>
      </c>
      <c r="K16" s="1" t="s">
        <v>354</v>
      </c>
      <c r="L16" s="1" t="s">
        <v>102</v>
      </c>
      <c r="M16" s="1" t="s">
        <v>7177</v>
      </c>
      <c r="N16" s="1" t="s">
        <v>7178</v>
      </c>
      <c r="O16" s="1" t="s">
        <v>7179</v>
      </c>
      <c r="Q16" s="1">
        <f>IF(INDEX(Last10Away_Stats_All!$A:$A,ROW()-ROW($Q$16)+2)="","",
IFERROR(
INDEX(Last10Away_Stats_All!$A:$ZZ,ROW()-ROW($Q$16)+2,COLUMN()-COLUMN($Q$16)+1),
""))</f>
        <v>1386478</v>
      </c>
      <c r="R16" s="1" t="str">
        <f>IF(INDEX(Last10Away_Stats_All!$A:$A,ROW()-ROW($Q$16)+2)="","",
IFERROR(
INDEX(Last10Away_Stats_All!$A:$ZZ,ROW()-ROW($Q$16)+2,COLUMN()-COLUMN($Q$16)+1),
""))</f>
        <v>03/04/2026 15:00</v>
      </c>
      <c r="S16" s="1" t="str">
        <f>IF(INDEX(Last10Away_Stats_All!$A:$A,ROW()-ROW($Q$16)+2)="","",
IFERROR(
INDEX(Last10Away_Stats_All!$A:$ZZ,ROW()-ROW($Q$16)+2,COLUMN()-COLUMN($Q$16)+1),
""))</f>
        <v>England</v>
      </c>
      <c r="T16" s="1" t="str">
        <f>IF(INDEX(Last10Away_Stats_All!$A:$A,ROW()-ROW($Q$16)+2)="","",
IFERROR(
INDEX(Last10Away_Stats_All!$A:$ZZ,ROW()-ROW($Q$16)+2,COLUMN()-COLUMN($Q$16)+1),
""))</f>
        <v>League Two</v>
      </c>
      <c r="U16" s="1" t="str">
        <f>IF(INDEX(Last10Away_Stats_All!$A:$A,ROW()-ROW($Q$16)+2)="","",
IFERROR(
INDEX(Last10Away_Stats_All!$A:$ZZ,ROW()-ROW($Q$16)+2,COLUMN()-COLUMN($Q$16)+1),
""))</f>
        <v>https://media.api-sports.io/football/teams/1334.png</v>
      </c>
      <c r="V16" s="1" t="str">
        <f>IF(INDEX(Last10Away_Stats_All!$A:$A,ROW()-ROW($Q$16)+2)="","",
IFERROR(
INDEX(Last10Away_Stats_All!$A:$ZZ,ROW()-ROW($Q$16)+2,COLUMN()-COLUMN($Q$16)+1),
""))</f>
        <v>Bristol Rovers</v>
      </c>
      <c r="W16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16" s="1" t="str">
        <f>IF(INDEX(Last10Away_Stats_All!$A:$A,ROW()-ROW($Q$16)+2)="","",
IFERROR(
INDEX(Last10Away_Stats_All!$A:$ZZ,ROW()-ROW($Q$16)+2,COLUMN()-COLUMN($Q$16)+1),
""))</f>
        <v>Fleetwood Town</v>
      </c>
      <c r="Y16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16" s="1" t="str">
        <f>IF(INDEX(Last10Away_Stats_All!$A:$A,ROW()-ROW($Q$16)+2)="","",
IFERROR(
INDEX(Last10Away_Stats_All!$A:$ZZ,ROW()-ROW($Q$16)+2,COLUMN()-COLUMN($Q$16)+1),
""))</f>
        <v>https://media.api-sports.io/flags/gb-eng.svg</v>
      </c>
      <c r="AA16" s="1">
        <f>IF(INDEX(Last10Away_Stats_All!$A:$A,ROW()-ROW($Q$16)+2)="","",
IFERROR(
INDEX(Last10Away_Stats_All!$A:$ZZ,ROW()-ROW($Q$16)+2,COLUMN()-COLUMN($Q$16)+1),
""))</f>
        <v>1</v>
      </c>
      <c r="AB16" s="1">
        <f>IF(INDEX(Last10Away_Stats_All!$A:$A,ROW()-ROW($Q$16)+2)="","",
IFERROR(
INDEX(Last10Away_Stats_All!$A:$ZZ,ROW()-ROW($Q$16)+2,COLUMN()-COLUMN($Q$16)+1),
""))</f>
        <v>0</v>
      </c>
      <c r="AC16" s="1">
        <f>IF(INDEX(Last10Away_Stats_All!$A:$A,ROW()-ROW($Q$16)+2)="","",
IFERROR(
INDEX(Last10Away_Stats_All!$A:$ZZ,ROW()-ROW($Q$16)+2,COLUMN()-COLUMN($Q$16)+1),
""))</f>
        <v>0</v>
      </c>
      <c r="AD16" s="1">
        <f>IF(INDEX(Last10Away_Stats_All!$A:$A,ROW()-ROW($Q$16)+2)="","",
IFERROR(
INDEX(Last10Away_Stats_All!$A:$ZZ,ROW()-ROW($Q$16)+2,COLUMN()-COLUMN($Q$16)+1),
""))</f>
        <v>0</v>
      </c>
      <c r="AE16" s="1">
        <f>IF(INDEX(Last10Away_Stats_All!$A:$A,ROW()-ROW($Q$16)+2)="","",
IFERROR(
INDEX(Last10Away_Stats_All!$A:$ZZ,ROW()-ROW($Q$16)+2,COLUMN()-COLUMN($Q$16)+1),
""))</f>
        <v>1</v>
      </c>
      <c r="AF16" s="1">
        <f>IF(INDEX(Last10Away_Stats_All!$A:$A,ROW()-ROW($Q$16)+2)="","",
IFERROR(
INDEX(Last10Away_Stats_All!$A:$ZZ,ROW()-ROW($Q$16)+2,COLUMN()-COLUMN($Q$16)+1),
""))</f>
        <v>0</v>
      </c>
      <c r="AG16" s="1">
        <f>IF(INDEX(Last10Away_Stats_All!$A:$A,ROW()-ROW($Q$16)+2)="","",
IFERROR(
INDEX(Last10Away_Stats_All!$A:$ZZ,ROW()-ROW($Q$16)+2,COLUMN()-COLUMN($Q$16)+1),
""))</f>
        <v>2</v>
      </c>
      <c r="AH16" s="1">
        <f>IF(INDEX(Last10Away_Stats_All!$A:$A,ROW()-ROW($Q$16)+2)="","",
IFERROR(
INDEX(Last10Away_Stats_All!$A:$ZZ,ROW()-ROW($Q$16)+2,COLUMN()-COLUMN($Q$16)+1),
""))</f>
        <v>2</v>
      </c>
      <c r="AI16" s="1">
        <f>IF(INDEX(Last10Away_Stats_All!$A:$A,ROW()-ROW($Q$16)+2)="","",
IFERROR(
INDEX(Last10Away_Stats_All!$A:$ZZ,ROW()-ROW($Q$16)+2,COLUMN()-COLUMN($Q$16)+1),
""))</f>
        <v>4</v>
      </c>
      <c r="AJ16" s="1">
        <f>IF(INDEX(Last10Away_Stats_All!$A:$A,ROW()-ROW($Q$16)+2)="","",
IFERROR(
INDEX(Last10Away_Stats_All!$A:$ZZ,ROW()-ROW($Q$16)+2,COLUMN()-COLUMN($Q$16)+1),
""))</f>
        <v>7</v>
      </c>
      <c r="AK16" s="1">
        <f>IF(INDEX(Last10Away_Stats_All!$A:$A,ROW()-ROW($Q$16)+2)="","",
IFERROR(
INDEX(Last10Away_Stats_All!$A:$ZZ,ROW()-ROW($Q$16)+2,COLUMN()-COLUMN($Q$16)+1),
""))</f>
        <v>11</v>
      </c>
      <c r="AL16" s="1">
        <f>IF(INDEX(Last10Away_Stats_All!$A:$A,ROW()-ROW($Q$16)+2)="","",
IFERROR(
INDEX(Last10Away_Stats_All!$A:$ZZ,ROW()-ROW($Q$16)+2,COLUMN()-COLUMN($Q$16)+1),
""))</f>
        <v>14</v>
      </c>
      <c r="AM16" s="1">
        <f>IF(INDEX(Last10Away_Stats_All!$A:$A,ROW()-ROW($Q$16)+2)="","",
IFERROR(
INDEX(Last10Away_Stats_All!$A:$ZZ,ROW()-ROW($Q$16)+2,COLUMN()-COLUMN($Q$16)+1),
""))</f>
        <v>5</v>
      </c>
      <c r="AN16" s="1">
        <f>IF(INDEX(Last10Away_Stats_All!$A:$A,ROW()-ROW($Q$16)+2)="","",
IFERROR(
INDEX(Last10Away_Stats_All!$A:$ZZ,ROW()-ROW($Q$16)+2,COLUMN()-COLUMN($Q$16)+1),
""))</f>
        <v>5</v>
      </c>
      <c r="AO16" s="1">
        <f>IF(INDEX(Last10Away_Stats_All!$A:$A,ROW()-ROW($Q$16)+2)="","",
IFERROR(
INDEX(Last10Away_Stats_All!$A:$ZZ,ROW()-ROW($Q$16)+2,COLUMN()-COLUMN($Q$16)+1),
""))</f>
        <v>8</v>
      </c>
      <c r="AP16" s="1">
        <f>IF(INDEX(Last10Away_Stats_All!$A:$A,ROW()-ROW($Q$16)+2)="","",
IFERROR(
INDEX(Last10Away_Stats_All!$A:$ZZ,ROW()-ROW($Q$16)+2,COLUMN()-COLUMN($Q$16)+1),
""))</f>
        <v>9</v>
      </c>
      <c r="AQ16" s="1">
        <f>IF(INDEX(Last10Away_Stats_All!$A:$A,ROW()-ROW($Q$16)+2)="","",
IFERROR(
INDEX(Last10Away_Stats_All!$A:$ZZ,ROW()-ROW($Q$16)+2,COLUMN()-COLUMN($Q$16)+1),
""))</f>
        <v>3</v>
      </c>
      <c r="AR16" s="1">
        <f>IF(INDEX(Last10Away_Stats_All!$A:$A,ROW()-ROW($Q$16)+2)="","",
IFERROR(
INDEX(Last10Away_Stats_All!$A:$ZZ,ROW()-ROW($Q$16)+2,COLUMN()-COLUMN($Q$16)+1),
""))</f>
        <v>5</v>
      </c>
      <c r="AS16" s="1">
        <f>IF(INDEX(Last10Away_Stats_All!$A:$A,ROW()-ROW($Q$16)+2)="","",
IFERROR(
INDEX(Last10Away_Stats_All!$A:$ZZ,ROW()-ROW($Q$16)+2,COLUMN()-COLUMN($Q$16)+1),
""))</f>
        <v>14</v>
      </c>
      <c r="AT16" s="1">
        <f>IF(INDEX(Last10Away_Stats_All!$A:$A,ROW()-ROW($Q$16)+2)="","",
IFERROR(
INDEX(Last10Away_Stats_All!$A:$ZZ,ROW()-ROW($Q$16)+2,COLUMN()-COLUMN($Q$16)+1),
""))</f>
        <v>15</v>
      </c>
      <c r="AU16" s="1">
        <f>IF(INDEX(Last10Away_Stats_All!$A:$A,ROW()-ROW($Q$16)+2)="","",
IFERROR(
INDEX(Last10Away_Stats_All!$A:$ZZ,ROW()-ROW($Q$16)+2,COLUMN()-COLUMN($Q$16)+1),
""))</f>
        <v>5</v>
      </c>
      <c r="AV16" s="1">
        <f>IF(INDEX(Last10Away_Stats_All!$A:$A,ROW()-ROW($Q$16)+2)="","",
IFERROR(
INDEX(Last10Away_Stats_All!$A:$ZZ,ROW()-ROW($Q$16)+2,COLUMN()-COLUMN($Q$16)+1),
""))</f>
        <v>4</v>
      </c>
      <c r="AW16" s="1">
        <f>IF(INDEX(Last10Away_Stats_All!$A:$A,ROW()-ROW($Q$16)+2)="","",
IFERROR(
INDEX(Last10Away_Stats_All!$A:$ZZ,ROW()-ROW($Q$16)+2,COLUMN()-COLUMN($Q$16)+1),
""))</f>
        <v>2</v>
      </c>
      <c r="AX16" s="1">
        <f>IF(INDEX(Last10Away_Stats_All!$A:$A,ROW()-ROW($Q$16)+2)="","",
IFERROR(
INDEX(Last10Away_Stats_All!$A:$ZZ,ROW()-ROW($Q$16)+2,COLUMN()-COLUMN($Q$16)+1),
""))</f>
        <v>0</v>
      </c>
      <c r="AY16" s="1">
        <f>IF(INDEX(Last10Away_Stats_All!$A:$A,ROW()-ROW($Q$16)+2)="","",
IFERROR(
INDEX(Last10Away_Stats_All!$A:$ZZ,ROW()-ROW($Q$16)+2,COLUMN()-COLUMN($Q$16)+1),
""))</f>
        <v>44</v>
      </c>
      <c r="AZ16" s="1">
        <f>IF(INDEX(Last10Away_Stats_All!$A:$A,ROW()-ROW($Q$16)+2)="","",
IFERROR(
INDEX(Last10Away_Stats_All!$A:$ZZ,ROW()-ROW($Q$16)+2,COLUMN()-COLUMN($Q$16)+1),
""))</f>
        <v>56</v>
      </c>
      <c r="BA16" s="1">
        <f>IF(INDEX(Last10Away_Stats_All!$A:$A,ROW()-ROW($Q$16)+2)="","",
IFERROR(
INDEX(Last10Away_Stats_All!$A:$ZZ,ROW()-ROW($Q$16)+2,COLUMN()-COLUMN($Q$16)+1),
""))</f>
        <v>4</v>
      </c>
      <c r="BB16" s="1">
        <f>IF(INDEX(Last10Away_Stats_All!$A:$A,ROW()-ROW($Q$16)+2)="","",
IFERROR(
INDEX(Last10Away_Stats_All!$A:$ZZ,ROW()-ROW($Q$16)+2,COLUMN()-COLUMN($Q$16)+1),
""))</f>
        <v>4</v>
      </c>
      <c r="BC16" s="1">
        <f>IF(INDEX(Last10Away_Stats_All!$A:$A,ROW()-ROW($Q$16)+2)="","",
IFERROR(
INDEX(Last10Away_Stats_All!$A:$ZZ,ROW()-ROW($Q$16)+2,COLUMN()-COLUMN($Q$16)+1),
""))</f>
        <v>0</v>
      </c>
      <c r="BD16" s="1">
        <f>IF(INDEX(Last10Away_Stats_All!$A:$A,ROW()-ROW($Q$16)+2)="","",
IFERROR(
INDEX(Last10Away_Stats_All!$A:$ZZ,ROW()-ROW($Q$16)+2,COLUMN()-COLUMN($Q$16)+1),
""))</f>
        <v>0</v>
      </c>
      <c r="BE16" s="1">
        <f>IF(INDEX(Last10Away_Stats_All!$A:$A,ROW()-ROW($Q$16)+2)="","",
IFERROR(
INDEX(Last10Away_Stats_All!$A:$ZZ,ROW()-ROW($Q$16)+2,COLUMN()-COLUMN($Q$16)+1),
""))</f>
        <v>2</v>
      </c>
      <c r="BF16" s="1">
        <f>IF(INDEX(Last10Away_Stats_All!$A:$A,ROW()-ROW($Q$16)+2)="","",
IFERROR(
INDEX(Last10Away_Stats_All!$A:$ZZ,ROW()-ROW($Q$16)+2,COLUMN()-COLUMN($Q$16)+1),
""))</f>
        <v>1</v>
      </c>
      <c r="BG16" s="1">
        <f>IF(INDEX(Last10Away_Stats_All!$A:$A,ROW()-ROW($Q$16)+2)="","",
IFERROR(
INDEX(Last10Away_Stats_All!$A:$ZZ,ROW()-ROW($Q$16)+2,COLUMN()-COLUMN($Q$16)+1),
""))</f>
        <v>265</v>
      </c>
      <c r="BH16" s="1">
        <f>IF(INDEX(Last10Away_Stats_All!$A:$A,ROW()-ROW($Q$16)+2)="","",
IFERROR(
INDEX(Last10Away_Stats_All!$A:$ZZ,ROW()-ROW($Q$16)+2,COLUMN()-COLUMN($Q$16)+1),
""))</f>
        <v>338</v>
      </c>
      <c r="BI16" s="1">
        <f>IF(INDEX(Last10Away_Stats_All!$A:$A,ROW()-ROW($Q$16)+2)="","",
IFERROR(
INDEX(Last10Away_Stats_All!$A:$ZZ,ROW()-ROW($Q$16)+2,COLUMN()-COLUMN($Q$16)+1),
""))</f>
        <v>154</v>
      </c>
      <c r="BJ16" s="1">
        <f>IF(INDEX(Last10Away_Stats_All!$A:$A,ROW()-ROW($Q$16)+2)="","",
IFERROR(
INDEX(Last10Away_Stats_All!$A:$ZZ,ROW()-ROW($Q$16)+2,COLUMN()-COLUMN($Q$16)+1),
""))</f>
        <v>225</v>
      </c>
      <c r="BK16" s="1">
        <f>IF(INDEX(Last10Away_Stats_All!$A:$A,ROW()-ROW($Q$16)+2)="","",
IFERROR(
INDEX(Last10Away_Stats_All!$A:$ZZ,ROW()-ROW($Q$16)+2,COLUMN()-COLUMN($Q$16)+1),
""))</f>
        <v>58</v>
      </c>
      <c r="BL16" s="1">
        <f>IF(INDEX(Last10Away_Stats_All!$A:$A,ROW()-ROW($Q$16)+2)="","",
IFERROR(
INDEX(Last10Away_Stats_All!$A:$ZZ,ROW()-ROW($Q$16)+2,COLUMN()-COLUMN($Q$16)+1),
""))</f>
        <v>67</v>
      </c>
      <c r="BM16" s="1">
        <f>IF(INDEX(Last10Away_Stats_All!$A:$A,ROW()-ROW($Q$16)+2)="","",
IFERROR(
INDEX(Last10Away_Stats_All!$A:$ZZ,ROW()-ROW($Q$16)+2,COLUMN()-COLUMN($Q$16)+1),
""))</f>
        <v>0</v>
      </c>
      <c r="BN16" s="1">
        <f>IF(INDEX(Last10Away_Stats_All!$A:$A,ROW()-ROW($Q$16)+2)="","",
IFERROR(
INDEX(Last10Away_Stats_All!$A:$ZZ,ROW()-ROW($Q$16)+2,COLUMN()-COLUMN($Q$16)+1),
""))</f>
        <v>0</v>
      </c>
      <c r="BO16" s="1">
        <f>IF(INDEX(Last10Away_Stats_All!$A:$A,ROW()-ROW($Q$16)+2)="","",
IFERROR(
INDEX(Last10Away_Stats_All!$A:$ZZ,ROW()-ROW($Q$16)+2,COLUMN()-COLUMN($Q$16)+1),
""))</f>
        <v>0</v>
      </c>
      <c r="BP16" s="1">
        <f>IF(INDEX(Last10Away_Stats_All!$A:$A,ROW()-ROW($Q$16)+2)="","",
IFERROR(
INDEX(Last10Away_Stats_All!$A:$ZZ,ROW()-ROW($Q$16)+2,COLUMN()-COLUMN($Q$16)+1),
""))</f>
        <v>0</v>
      </c>
      <c r="BR16" s="1" t="str">
        <f>IF(OR(Control!AC16="",Control!AD16=""),"",Control!AC16&amp;" : "&amp;Control!AD16)</f>
        <v>0 : 0</v>
      </c>
      <c r="BS16" s="1" t="str">
        <f>IF(OR(Control!AE16="",Control!AF16=""),"",Control!AE16&amp;" : "&amp;Control!AF16)</f>
        <v>1 : 0</v>
      </c>
      <c r="BT16" s="1" t="str">
        <f>IF(OR(Control!AU16="",Control!AV16=""),"",Control!AU16&amp;" : "&amp;Control!AV16)</f>
        <v>5 : 4</v>
      </c>
      <c r="BV16" s="1">
        <f>IFERROR(INDEX(tblStandings[#All],ROW(A16),COLUMN(A16)),"")</f>
        <v>15</v>
      </c>
      <c r="BW16" s="1" t="str">
        <f>IFERROR(INDEX(tblStandings[#All],ROW(B16),COLUMN(B16)),"")</f>
        <v>Bristol Rovers</v>
      </c>
      <c r="BX16" s="1">
        <f>IFERROR(INDEX(tblStandings[#All],ROW(C16),COLUMN(C16)),"")</f>
        <v>42</v>
      </c>
      <c r="BY16" s="1">
        <f>IFERROR(INDEX(tblStandings[#All],ROW(D16),COLUMN(D16)),"")</f>
        <v>16</v>
      </c>
      <c r="BZ16" s="1">
        <f>IFERROR(INDEX(tblStandings[#All],ROW(E16),COLUMN(E16)),"")</f>
        <v>4</v>
      </c>
      <c r="CA16" s="1">
        <f>IFERROR(INDEX(tblStandings[#All],ROW(F16),COLUMN(F16)),"")</f>
        <v>22</v>
      </c>
      <c r="CB16" s="1">
        <f>IFERROR(INDEX(tblStandings[#All],ROW(G16),COLUMN(G16)),"")</f>
        <v>46</v>
      </c>
      <c r="CC16" s="1">
        <f>IFERROR(INDEX(tblStandings[#All],ROW(H16),COLUMN(H16)),"")</f>
        <v>62</v>
      </c>
      <c r="CD16" s="1">
        <f>IFERROR(INDEX(tblStandings[#All],ROW(I16),COLUMN(I16)),"")</f>
        <v>-16</v>
      </c>
      <c r="CE16" s="1">
        <f>IFERROR(INDEX(tblStandings[#All],ROW(J16),COLUMN(J16)),"")</f>
        <v>52</v>
      </c>
      <c r="CF16" s="1" t="str">
        <f>IFERROR(INDEX(tblStandings[#All],ROW(K16),COLUMN(K16)),"")</f>
        <v>WWWWW</v>
      </c>
      <c r="CG16" s="1" t="str">
        <f t="shared" si="0"/>
        <v>W</v>
      </c>
      <c r="CH16" s="1" t="str">
        <f t="shared" si="1"/>
        <v>W</v>
      </c>
      <c r="CI16" s="1" t="str">
        <f t="shared" si="2"/>
        <v>W</v>
      </c>
      <c r="CJ16" s="1" t="str">
        <f t="shared" si="3"/>
        <v>W</v>
      </c>
      <c r="CK16" s="1" t="str">
        <f t="shared" si="4"/>
        <v>W</v>
      </c>
    </row>
    <row r="17" spans="1:89" x14ac:dyDescent="0.25">
      <c r="H17" s="1">
        <v>1513023</v>
      </c>
      <c r="I17" s="4">
        <v>46330.041666666664</v>
      </c>
      <c r="J17" s="1" t="s">
        <v>32</v>
      </c>
      <c r="K17" s="1" t="s">
        <v>362</v>
      </c>
      <c r="L17" s="1" t="s">
        <v>363</v>
      </c>
      <c r="M17" s="1" t="s">
        <v>2383</v>
      </c>
      <c r="N17" s="1" t="s">
        <v>438</v>
      </c>
      <c r="O17" s="1" t="s">
        <v>7180</v>
      </c>
      <c r="Q17" s="1">
        <f>IF(INDEX(Last10Away_Stats_All!$A:$A,ROW()-ROW($Q$16)+2)="","",
IFERROR(
INDEX(Last10Away_Stats_All!$A:$ZZ,ROW()-ROW($Q$16)+2,COLUMN()-COLUMN($Q$16)+1),
""))</f>
        <v>1386474</v>
      </c>
      <c r="R17" s="1" t="str">
        <f>IF(INDEX(Last10Away_Stats_All!$A:$A,ROW()-ROW($Q$16)+2)="","",
IFERROR(
INDEX(Last10Away_Stats_All!$A:$ZZ,ROW()-ROW($Q$16)+2,COLUMN()-COLUMN($Q$16)+1),
""))</f>
        <v>28/03/2026 15:00</v>
      </c>
      <c r="S17" s="1" t="str">
        <f>IF(INDEX(Last10Away_Stats_All!$A:$A,ROW()-ROW($Q$16)+2)="","",
IFERROR(
INDEX(Last10Away_Stats_All!$A:$ZZ,ROW()-ROW($Q$16)+2,COLUMN()-COLUMN($Q$16)+1),
""))</f>
        <v>England</v>
      </c>
      <c r="T17" s="1" t="str">
        <f>IF(INDEX(Last10Away_Stats_All!$A:$A,ROW()-ROW($Q$16)+2)="","",
IFERROR(
INDEX(Last10Away_Stats_All!$A:$ZZ,ROW()-ROW($Q$16)+2,COLUMN()-COLUMN($Q$16)+1),
""))</f>
        <v>League Two</v>
      </c>
      <c r="U17" s="1" t="str">
        <f>IF(INDEX(Last10Away_Stats_All!$A:$A,ROW()-ROW($Q$16)+2)="","",
IFERROR(
INDEX(Last10Away_Stats_All!$A:$ZZ,ROW()-ROW($Q$16)+2,COLUMN()-COLUMN($Q$16)+1),
""))</f>
        <v>https://media.api-sports.io/football/teams/1353.png</v>
      </c>
      <c r="V17" s="1" t="str">
        <f>IF(INDEX(Last10Away_Stats_All!$A:$A,ROW()-ROW($Q$16)+2)="","",
IFERROR(
INDEX(Last10Away_Stats_All!$A:$ZZ,ROW()-ROW($Q$16)+2,COLUMN()-COLUMN($Q$16)+1),
""))</f>
        <v>Swindon Town</v>
      </c>
      <c r="W17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17" s="1" t="str">
        <f>IF(INDEX(Last10Away_Stats_All!$A:$A,ROW()-ROW($Q$16)+2)="","",
IFERROR(
INDEX(Last10Away_Stats_All!$A:$ZZ,ROW()-ROW($Q$16)+2,COLUMN()-COLUMN($Q$16)+1),
""))</f>
        <v>Fleetwood Town</v>
      </c>
      <c r="Y17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17" s="1" t="str">
        <f>IF(INDEX(Last10Away_Stats_All!$A:$A,ROW()-ROW($Q$16)+2)="","",
IFERROR(
INDEX(Last10Away_Stats_All!$A:$ZZ,ROW()-ROW($Q$16)+2,COLUMN()-COLUMN($Q$16)+1),
""))</f>
        <v>https://media.api-sports.io/flags/gb-eng.svg</v>
      </c>
      <c r="AA17" s="1">
        <f>IF(INDEX(Last10Away_Stats_All!$A:$A,ROW()-ROW($Q$16)+2)="","",
IFERROR(
INDEX(Last10Away_Stats_All!$A:$ZZ,ROW()-ROW($Q$16)+2,COLUMN()-COLUMN($Q$16)+1),
""))</f>
        <v>1</v>
      </c>
      <c r="AB17" s="1">
        <f>IF(INDEX(Last10Away_Stats_All!$A:$A,ROW()-ROW($Q$16)+2)="","",
IFERROR(
INDEX(Last10Away_Stats_All!$A:$ZZ,ROW()-ROW($Q$16)+2,COLUMN()-COLUMN($Q$16)+1),
""))</f>
        <v>1</v>
      </c>
      <c r="AC17" s="1">
        <f>IF(INDEX(Last10Away_Stats_All!$A:$A,ROW()-ROW($Q$16)+2)="","",
IFERROR(
INDEX(Last10Away_Stats_All!$A:$ZZ,ROW()-ROW($Q$16)+2,COLUMN()-COLUMN($Q$16)+1),
""))</f>
        <v>1</v>
      </c>
      <c r="AD17" s="1">
        <f>IF(INDEX(Last10Away_Stats_All!$A:$A,ROW()-ROW($Q$16)+2)="","",
IFERROR(
INDEX(Last10Away_Stats_All!$A:$ZZ,ROW()-ROW($Q$16)+2,COLUMN()-COLUMN($Q$16)+1),
""))</f>
        <v>0</v>
      </c>
      <c r="AE17" s="1">
        <f>IF(INDEX(Last10Away_Stats_All!$A:$A,ROW()-ROW($Q$16)+2)="","",
IFERROR(
INDEX(Last10Away_Stats_All!$A:$ZZ,ROW()-ROW($Q$16)+2,COLUMN()-COLUMN($Q$16)+1),
""))</f>
        <v>1</v>
      </c>
      <c r="AF17" s="1">
        <f>IF(INDEX(Last10Away_Stats_All!$A:$A,ROW()-ROW($Q$16)+2)="","",
IFERROR(
INDEX(Last10Away_Stats_All!$A:$ZZ,ROW()-ROW($Q$16)+2,COLUMN()-COLUMN($Q$16)+1),
""))</f>
        <v>1</v>
      </c>
      <c r="AG17" s="1">
        <f>IF(INDEX(Last10Away_Stats_All!$A:$A,ROW()-ROW($Q$16)+2)="","",
IFERROR(
INDEX(Last10Away_Stats_All!$A:$ZZ,ROW()-ROW($Q$16)+2,COLUMN()-COLUMN($Q$16)+1),
""))</f>
        <v>3</v>
      </c>
      <c r="AH17" s="1">
        <f>IF(INDEX(Last10Away_Stats_All!$A:$A,ROW()-ROW($Q$16)+2)="","",
IFERROR(
INDEX(Last10Away_Stats_All!$A:$ZZ,ROW()-ROW($Q$16)+2,COLUMN()-COLUMN($Q$16)+1),
""))</f>
        <v>4</v>
      </c>
      <c r="AI17" s="1">
        <f>IF(INDEX(Last10Away_Stats_All!$A:$A,ROW()-ROW($Q$16)+2)="","",
IFERROR(
INDEX(Last10Away_Stats_All!$A:$ZZ,ROW()-ROW($Q$16)+2,COLUMN()-COLUMN($Q$16)+1),
""))</f>
        <v>5</v>
      </c>
      <c r="AJ17" s="1">
        <f>IF(INDEX(Last10Away_Stats_All!$A:$A,ROW()-ROW($Q$16)+2)="","",
IFERROR(
INDEX(Last10Away_Stats_All!$A:$ZZ,ROW()-ROW($Q$16)+2,COLUMN()-COLUMN($Q$16)+1),
""))</f>
        <v>4</v>
      </c>
      <c r="AK17" s="1">
        <f>IF(INDEX(Last10Away_Stats_All!$A:$A,ROW()-ROW($Q$16)+2)="","",
IFERROR(
INDEX(Last10Away_Stats_All!$A:$ZZ,ROW()-ROW($Q$16)+2,COLUMN()-COLUMN($Q$16)+1),
""))</f>
        <v>9</v>
      </c>
      <c r="AL17" s="1">
        <f>IF(INDEX(Last10Away_Stats_All!$A:$A,ROW()-ROW($Q$16)+2)="","",
IFERROR(
INDEX(Last10Away_Stats_All!$A:$ZZ,ROW()-ROW($Q$16)+2,COLUMN()-COLUMN($Q$16)+1),
""))</f>
        <v>15</v>
      </c>
      <c r="AM17" s="1">
        <f>IF(INDEX(Last10Away_Stats_All!$A:$A,ROW()-ROW($Q$16)+2)="","",
IFERROR(
INDEX(Last10Away_Stats_All!$A:$ZZ,ROW()-ROW($Q$16)+2,COLUMN()-COLUMN($Q$16)+1),
""))</f>
        <v>1</v>
      </c>
      <c r="AN17" s="1">
        <f>IF(INDEX(Last10Away_Stats_All!$A:$A,ROW()-ROW($Q$16)+2)="","",
IFERROR(
INDEX(Last10Away_Stats_All!$A:$ZZ,ROW()-ROW($Q$16)+2,COLUMN()-COLUMN($Q$16)+1),
""))</f>
        <v>7</v>
      </c>
      <c r="AO17" s="1">
        <f>IF(INDEX(Last10Away_Stats_All!$A:$A,ROW()-ROW($Q$16)+2)="","",
IFERROR(
INDEX(Last10Away_Stats_All!$A:$ZZ,ROW()-ROW($Q$16)+2,COLUMN()-COLUMN($Q$16)+1),
""))</f>
        <v>6</v>
      </c>
      <c r="AP17" s="1">
        <f>IF(INDEX(Last10Away_Stats_All!$A:$A,ROW()-ROW($Q$16)+2)="","",
IFERROR(
INDEX(Last10Away_Stats_All!$A:$ZZ,ROW()-ROW($Q$16)+2,COLUMN()-COLUMN($Q$16)+1),
""))</f>
        <v>9</v>
      </c>
      <c r="AQ17" s="1">
        <f>IF(INDEX(Last10Away_Stats_All!$A:$A,ROW()-ROW($Q$16)+2)="","",
IFERROR(
INDEX(Last10Away_Stats_All!$A:$ZZ,ROW()-ROW($Q$16)+2,COLUMN()-COLUMN($Q$16)+1),
""))</f>
        <v>3</v>
      </c>
      <c r="AR17" s="1">
        <f>IF(INDEX(Last10Away_Stats_All!$A:$A,ROW()-ROW($Q$16)+2)="","",
IFERROR(
INDEX(Last10Away_Stats_All!$A:$ZZ,ROW()-ROW($Q$16)+2,COLUMN()-COLUMN($Q$16)+1),
""))</f>
        <v>6</v>
      </c>
      <c r="AS17" s="1">
        <f>IF(INDEX(Last10Away_Stats_All!$A:$A,ROW()-ROW($Q$16)+2)="","",
IFERROR(
INDEX(Last10Away_Stats_All!$A:$ZZ,ROW()-ROW($Q$16)+2,COLUMN()-COLUMN($Q$16)+1),
""))</f>
        <v>8</v>
      </c>
      <c r="AT17" s="1">
        <f>IF(INDEX(Last10Away_Stats_All!$A:$A,ROW()-ROW($Q$16)+2)="","",
IFERROR(
INDEX(Last10Away_Stats_All!$A:$ZZ,ROW()-ROW($Q$16)+2,COLUMN()-COLUMN($Q$16)+1),
""))</f>
        <v>17</v>
      </c>
      <c r="AU17" s="1">
        <f>IF(INDEX(Last10Away_Stats_All!$A:$A,ROW()-ROW($Q$16)+2)="","",
IFERROR(
INDEX(Last10Away_Stats_All!$A:$ZZ,ROW()-ROW($Q$16)+2,COLUMN()-COLUMN($Q$16)+1),
""))</f>
        <v>6</v>
      </c>
      <c r="AV17" s="1">
        <f>IF(INDEX(Last10Away_Stats_All!$A:$A,ROW()-ROW($Q$16)+2)="","",
IFERROR(
INDEX(Last10Away_Stats_All!$A:$ZZ,ROW()-ROW($Q$16)+2,COLUMN()-COLUMN($Q$16)+1),
""))</f>
        <v>9</v>
      </c>
      <c r="AW17" s="1">
        <f>IF(INDEX(Last10Away_Stats_All!$A:$A,ROW()-ROW($Q$16)+2)="","",
IFERROR(
INDEX(Last10Away_Stats_All!$A:$ZZ,ROW()-ROW($Q$16)+2,COLUMN()-COLUMN($Q$16)+1),
""))</f>
        <v>1</v>
      </c>
      <c r="AX17" s="1">
        <f>IF(INDEX(Last10Away_Stats_All!$A:$A,ROW()-ROW($Q$16)+2)="","",
IFERROR(
INDEX(Last10Away_Stats_All!$A:$ZZ,ROW()-ROW($Q$16)+2,COLUMN()-COLUMN($Q$16)+1),
""))</f>
        <v>1</v>
      </c>
      <c r="AY17" s="1">
        <f>IF(INDEX(Last10Away_Stats_All!$A:$A,ROW()-ROW($Q$16)+2)="","",
IFERROR(
INDEX(Last10Away_Stats_All!$A:$ZZ,ROW()-ROW($Q$16)+2,COLUMN()-COLUMN($Q$16)+1),
""))</f>
        <v>55</v>
      </c>
      <c r="AZ17" s="1">
        <f>IF(INDEX(Last10Away_Stats_All!$A:$A,ROW()-ROW($Q$16)+2)="","",
IFERROR(
INDEX(Last10Away_Stats_All!$A:$ZZ,ROW()-ROW($Q$16)+2,COLUMN()-COLUMN($Q$16)+1),
""))</f>
        <v>45</v>
      </c>
      <c r="BA17" s="1">
        <f>IF(INDEX(Last10Away_Stats_All!$A:$A,ROW()-ROW($Q$16)+2)="","",
IFERROR(
INDEX(Last10Away_Stats_All!$A:$ZZ,ROW()-ROW($Q$16)+2,COLUMN()-COLUMN($Q$16)+1),
""))</f>
        <v>3</v>
      </c>
      <c r="BB17" s="1">
        <f>IF(INDEX(Last10Away_Stats_All!$A:$A,ROW()-ROW($Q$16)+2)="","",
IFERROR(
INDEX(Last10Away_Stats_All!$A:$ZZ,ROW()-ROW($Q$16)+2,COLUMN()-COLUMN($Q$16)+1),
""))</f>
        <v>4</v>
      </c>
      <c r="BC17" s="1">
        <f>IF(INDEX(Last10Away_Stats_All!$A:$A,ROW()-ROW($Q$16)+2)="","",
IFERROR(
INDEX(Last10Away_Stats_All!$A:$ZZ,ROW()-ROW($Q$16)+2,COLUMN()-COLUMN($Q$16)+1),
""))</f>
        <v>0</v>
      </c>
      <c r="BD17" s="1">
        <f>IF(INDEX(Last10Away_Stats_All!$A:$A,ROW()-ROW($Q$16)+2)="","",
IFERROR(
INDEX(Last10Away_Stats_All!$A:$ZZ,ROW()-ROW($Q$16)+2,COLUMN()-COLUMN($Q$16)+1),
""))</f>
        <v>0</v>
      </c>
      <c r="BE17" s="1">
        <f>IF(INDEX(Last10Away_Stats_All!$A:$A,ROW()-ROW($Q$16)+2)="","",
IFERROR(
INDEX(Last10Away_Stats_All!$A:$ZZ,ROW()-ROW($Q$16)+2,COLUMN()-COLUMN($Q$16)+1),
""))</f>
        <v>3</v>
      </c>
      <c r="BF17" s="1">
        <f>IF(INDEX(Last10Away_Stats_All!$A:$A,ROW()-ROW($Q$16)+2)="","",
IFERROR(
INDEX(Last10Away_Stats_All!$A:$ZZ,ROW()-ROW($Q$16)+2,COLUMN()-COLUMN($Q$16)+1),
""))</f>
        <v>2</v>
      </c>
      <c r="BG17" s="1">
        <f>IF(INDEX(Last10Away_Stats_All!$A:$A,ROW()-ROW($Q$16)+2)="","",
IFERROR(
INDEX(Last10Away_Stats_All!$A:$ZZ,ROW()-ROW($Q$16)+2,COLUMN()-COLUMN($Q$16)+1),
""))</f>
        <v>370</v>
      </c>
      <c r="BH17" s="1">
        <f>IF(INDEX(Last10Away_Stats_All!$A:$A,ROW()-ROW($Q$16)+2)="","",
IFERROR(
INDEX(Last10Away_Stats_All!$A:$ZZ,ROW()-ROW($Q$16)+2,COLUMN()-COLUMN($Q$16)+1),
""))</f>
        <v>288</v>
      </c>
      <c r="BI17" s="1">
        <f>IF(INDEX(Last10Away_Stats_All!$A:$A,ROW()-ROW($Q$16)+2)="","",
IFERROR(
INDEX(Last10Away_Stats_All!$A:$ZZ,ROW()-ROW($Q$16)+2,COLUMN()-COLUMN($Q$16)+1),
""))</f>
        <v>255</v>
      </c>
      <c r="BJ17" s="1">
        <f>IF(INDEX(Last10Away_Stats_All!$A:$A,ROW()-ROW($Q$16)+2)="","",
IFERROR(
INDEX(Last10Away_Stats_All!$A:$ZZ,ROW()-ROW($Q$16)+2,COLUMN()-COLUMN($Q$16)+1),
""))</f>
        <v>176</v>
      </c>
      <c r="BK17" s="1">
        <f>IF(INDEX(Last10Away_Stats_All!$A:$A,ROW()-ROW($Q$16)+2)="","",
IFERROR(
INDEX(Last10Away_Stats_All!$A:$ZZ,ROW()-ROW($Q$16)+2,COLUMN()-COLUMN($Q$16)+1),
""))</f>
        <v>69</v>
      </c>
      <c r="BL17" s="1">
        <f>IF(INDEX(Last10Away_Stats_All!$A:$A,ROW()-ROW($Q$16)+2)="","",
IFERROR(
INDEX(Last10Away_Stats_All!$A:$ZZ,ROW()-ROW($Q$16)+2,COLUMN()-COLUMN($Q$16)+1),
""))</f>
        <v>61</v>
      </c>
      <c r="BM17" s="1">
        <f>IF(INDEX(Last10Away_Stats_All!$A:$A,ROW()-ROW($Q$16)+2)="","",
IFERROR(
INDEX(Last10Away_Stats_All!$A:$ZZ,ROW()-ROW($Q$16)+2,COLUMN()-COLUMN($Q$16)+1),
""))</f>
        <v>1.26</v>
      </c>
      <c r="BN17" s="1">
        <f>IF(INDEX(Last10Away_Stats_All!$A:$A,ROW()-ROW($Q$16)+2)="","",
IFERROR(
INDEX(Last10Away_Stats_All!$A:$ZZ,ROW()-ROW($Q$16)+2,COLUMN()-COLUMN($Q$16)+1),
""))</f>
        <v>0.59</v>
      </c>
      <c r="BO17" s="1">
        <f>IF(INDEX(Last10Away_Stats_All!$A:$A,ROW()-ROW($Q$16)+2)="","",
IFERROR(
INDEX(Last10Away_Stats_All!$A:$ZZ,ROW()-ROW($Q$16)+2,COLUMN()-COLUMN($Q$16)+1),
""))</f>
        <v>0</v>
      </c>
      <c r="BP17" s="1">
        <f>IF(INDEX(Last10Away_Stats_All!$A:$A,ROW()-ROW($Q$16)+2)="","",
IFERROR(
INDEX(Last10Away_Stats_All!$A:$ZZ,ROW()-ROW($Q$16)+2,COLUMN()-COLUMN($Q$16)+1),
""))</f>
        <v>0</v>
      </c>
      <c r="BR17" s="1" t="str">
        <f>IF(OR(Control!AC17="",Control!AD17=""),"",Control!AC17&amp;" : "&amp;Control!AD17)</f>
        <v>1 : 0</v>
      </c>
      <c r="BS17" s="1" t="str">
        <f>IF(OR(Control!AE17="",Control!AF17=""),"",Control!AE17&amp;" : "&amp;Control!AF17)</f>
        <v>1 : 1</v>
      </c>
      <c r="BT17" s="1" t="str">
        <f>IF(OR(Control!AU17="",Control!AV17=""),"",Control!AU17&amp;" : "&amp;Control!AV17)</f>
        <v>6 : 9</v>
      </c>
      <c r="BV17" s="1">
        <f>IFERROR(INDEX(tblStandings[#All],ROW(A17),COLUMN(A17)),"")</f>
        <v>16</v>
      </c>
      <c r="BW17" s="1" t="str">
        <f>IFERROR(INDEX(tblStandings[#All],ROW(B17),COLUMN(B17)),"")</f>
        <v>Accrington ST</v>
      </c>
      <c r="BX17" s="1">
        <f>IFERROR(INDEX(tblStandings[#All],ROW(C17),COLUMN(C17)),"")</f>
        <v>41</v>
      </c>
      <c r="BY17" s="1">
        <f>IFERROR(INDEX(tblStandings[#All],ROW(D17),COLUMN(D17)),"")</f>
        <v>14</v>
      </c>
      <c r="BZ17" s="1">
        <f>IFERROR(INDEX(tblStandings[#All],ROW(E17),COLUMN(E17)),"")</f>
        <v>9</v>
      </c>
      <c r="CA17" s="1">
        <f>IFERROR(INDEX(tblStandings[#All],ROW(F17),COLUMN(F17)),"")</f>
        <v>18</v>
      </c>
      <c r="CB17" s="1">
        <f>IFERROR(INDEX(tblStandings[#All],ROW(G17),COLUMN(G17)),"")</f>
        <v>40</v>
      </c>
      <c r="CC17" s="1">
        <f>IFERROR(INDEX(tblStandings[#All],ROW(H17),COLUMN(H17)),"")</f>
        <v>46</v>
      </c>
      <c r="CD17" s="1">
        <f>IFERROR(INDEX(tblStandings[#All],ROW(I17),COLUMN(I17)),"")</f>
        <v>-6</v>
      </c>
      <c r="CE17" s="1">
        <f>IFERROR(INDEX(tblStandings[#All],ROW(J17),COLUMN(J17)),"")</f>
        <v>51</v>
      </c>
      <c r="CF17" s="1" t="str">
        <f>IFERROR(INDEX(tblStandings[#All],ROW(K17),COLUMN(K17)),"")</f>
        <v>LWLLL</v>
      </c>
      <c r="CG17" s="1" t="str">
        <f t="shared" si="0"/>
        <v>L</v>
      </c>
      <c r="CH17" s="1" t="str">
        <f t="shared" si="1"/>
        <v>W</v>
      </c>
      <c r="CI17" s="1" t="str">
        <f t="shared" si="2"/>
        <v>L</v>
      </c>
      <c r="CJ17" s="1" t="str">
        <f t="shared" si="3"/>
        <v>L</v>
      </c>
      <c r="CK17" s="1" t="str">
        <f t="shared" si="4"/>
        <v>L</v>
      </c>
    </row>
    <row r="18" spans="1:89" x14ac:dyDescent="0.25">
      <c r="A18" s="1" t="s">
        <v>209</v>
      </c>
      <c r="B18" s="1" t="str">
        <f>IFERROR(INDEX($L:$L, MATCH($B$10, $H:$H, 0)), "")</f>
        <v>League Two</v>
      </c>
      <c r="H18" s="1">
        <v>1519313</v>
      </c>
      <c r="I18" s="4">
        <v>46330.041666666664</v>
      </c>
      <c r="J18" s="1" t="s">
        <v>32</v>
      </c>
      <c r="K18" s="1" t="s">
        <v>366</v>
      </c>
      <c r="L18" s="1" t="s">
        <v>367</v>
      </c>
      <c r="M18" s="1" t="s">
        <v>7181</v>
      </c>
      <c r="N18" s="1" t="s">
        <v>2386</v>
      </c>
      <c r="O18" s="1" t="s">
        <v>7182</v>
      </c>
      <c r="Q18" s="1">
        <f>IF(INDEX(Last10Away_Stats_All!$A:$A,ROW()-ROW($Q$16)+2)="","",
IFERROR(
INDEX(Last10Away_Stats_All!$A:$ZZ,ROW()-ROW($Q$16)+2,COLUMN()-COLUMN($Q$16)+1),
""))</f>
        <v>1386447</v>
      </c>
      <c r="R18" s="1" t="str">
        <f>IF(INDEX(Last10Away_Stats_All!$A:$A,ROW()-ROW($Q$16)+2)="","",
IFERROR(
INDEX(Last10Away_Stats_All!$A:$ZZ,ROW()-ROW($Q$16)+2,COLUMN()-COLUMN($Q$16)+1),
""))</f>
        <v>17/03/2026 19:45</v>
      </c>
      <c r="S18" s="1" t="str">
        <f>IF(INDEX(Last10Away_Stats_All!$A:$A,ROW()-ROW($Q$16)+2)="","",
IFERROR(
INDEX(Last10Away_Stats_All!$A:$ZZ,ROW()-ROW($Q$16)+2,COLUMN()-COLUMN($Q$16)+1),
""))</f>
        <v>England</v>
      </c>
      <c r="T18" s="1" t="str">
        <f>IF(INDEX(Last10Away_Stats_All!$A:$A,ROW()-ROW($Q$16)+2)="","",
IFERROR(
INDEX(Last10Away_Stats_All!$A:$ZZ,ROW()-ROW($Q$16)+2,COLUMN()-COLUMN($Q$16)+1),
""))</f>
        <v>League Two</v>
      </c>
      <c r="U18" s="1" t="str">
        <f>IF(INDEX(Last10Away_Stats_All!$A:$A,ROW()-ROW($Q$16)+2)="","",
IFERROR(
INDEX(Last10Away_Stats_All!$A:$ZZ,ROW()-ROW($Q$16)+2,COLUMN()-COLUMN($Q$16)+1),
""))</f>
        <v>https://media.api-sports.io/football/teams/1365.png</v>
      </c>
      <c r="V18" s="1" t="str">
        <f>IF(INDEX(Last10Away_Stats_All!$A:$A,ROW()-ROW($Q$16)+2)="","",
IFERROR(
INDEX(Last10Away_Stats_All!$A:$ZZ,ROW()-ROW($Q$16)+2,COLUMN()-COLUMN($Q$16)+1),
""))</f>
        <v>Grimsby</v>
      </c>
      <c r="W18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18" s="1" t="str">
        <f>IF(INDEX(Last10Away_Stats_All!$A:$A,ROW()-ROW($Q$16)+2)="","",
IFERROR(
INDEX(Last10Away_Stats_All!$A:$ZZ,ROW()-ROW($Q$16)+2,COLUMN()-COLUMN($Q$16)+1),
""))</f>
        <v>Fleetwood Town</v>
      </c>
      <c r="Y18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18" s="1" t="str">
        <f>IF(INDEX(Last10Away_Stats_All!$A:$A,ROW()-ROW($Q$16)+2)="","",
IFERROR(
INDEX(Last10Away_Stats_All!$A:$ZZ,ROW()-ROW($Q$16)+2,COLUMN()-COLUMN($Q$16)+1),
""))</f>
        <v>https://media.api-sports.io/flags/gb-eng.svg</v>
      </c>
      <c r="AA18" s="1">
        <f>IF(INDEX(Last10Away_Stats_All!$A:$A,ROW()-ROW($Q$16)+2)="","",
IFERROR(
INDEX(Last10Away_Stats_All!$A:$ZZ,ROW()-ROW($Q$16)+2,COLUMN()-COLUMN($Q$16)+1),
""))</f>
        <v>1</v>
      </c>
      <c r="AB18" s="1">
        <f>IF(INDEX(Last10Away_Stats_All!$A:$A,ROW()-ROW($Q$16)+2)="","",
IFERROR(
INDEX(Last10Away_Stats_All!$A:$ZZ,ROW()-ROW($Q$16)+2,COLUMN()-COLUMN($Q$16)+1),
""))</f>
        <v>0</v>
      </c>
      <c r="AC18" s="1">
        <f>IF(INDEX(Last10Away_Stats_All!$A:$A,ROW()-ROW($Q$16)+2)="","",
IFERROR(
INDEX(Last10Away_Stats_All!$A:$ZZ,ROW()-ROW($Q$16)+2,COLUMN()-COLUMN($Q$16)+1),
""))</f>
        <v>0</v>
      </c>
      <c r="AD18" s="1">
        <f>IF(INDEX(Last10Away_Stats_All!$A:$A,ROW()-ROW($Q$16)+2)="","",
IFERROR(
INDEX(Last10Away_Stats_All!$A:$ZZ,ROW()-ROW($Q$16)+2,COLUMN()-COLUMN($Q$16)+1),
""))</f>
        <v>0</v>
      </c>
      <c r="AE18" s="1">
        <f>IF(INDEX(Last10Away_Stats_All!$A:$A,ROW()-ROW($Q$16)+2)="","",
IFERROR(
INDEX(Last10Away_Stats_All!$A:$ZZ,ROW()-ROW($Q$16)+2,COLUMN()-COLUMN($Q$16)+1),
""))</f>
        <v>1</v>
      </c>
      <c r="AF18" s="1">
        <f>IF(INDEX(Last10Away_Stats_All!$A:$A,ROW()-ROW($Q$16)+2)="","",
IFERROR(
INDEX(Last10Away_Stats_All!$A:$ZZ,ROW()-ROW($Q$16)+2,COLUMN()-COLUMN($Q$16)+1),
""))</f>
        <v>0</v>
      </c>
      <c r="AG18" s="1">
        <f>IF(INDEX(Last10Away_Stats_All!$A:$A,ROW()-ROW($Q$16)+2)="","",
IFERROR(
INDEX(Last10Away_Stats_All!$A:$ZZ,ROW()-ROW($Q$16)+2,COLUMN()-COLUMN($Q$16)+1),
""))</f>
        <v>5</v>
      </c>
      <c r="AH18" s="1">
        <f>IF(INDEX(Last10Away_Stats_All!$A:$A,ROW()-ROW($Q$16)+2)="","",
IFERROR(
INDEX(Last10Away_Stats_All!$A:$ZZ,ROW()-ROW($Q$16)+2,COLUMN()-COLUMN($Q$16)+1),
""))</f>
        <v>1</v>
      </c>
      <c r="AI18" s="1">
        <f>IF(INDEX(Last10Away_Stats_All!$A:$A,ROW()-ROW($Q$16)+2)="","",
IFERROR(
INDEX(Last10Away_Stats_All!$A:$ZZ,ROW()-ROW($Q$16)+2,COLUMN()-COLUMN($Q$16)+1),
""))</f>
        <v>6</v>
      </c>
      <c r="AJ18" s="1">
        <f>IF(INDEX(Last10Away_Stats_All!$A:$A,ROW()-ROW($Q$16)+2)="","",
IFERROR(
INDEX(Last10Away_Stats_All!$A:$ZZ,ROW()-ROW($Q$16)+2,COLUMN()-COLUMN($Q$16)+1),
""))</f>
        <v>2</v>
      </c>
      <c r="AK18" s="1">
        <f>IF(INDEX(Last10Away_Stats_All!$A:$A,ROW()-ROW($Q$16)+2)="","",
IFERROR(
INDEX(Last10Away_Stats_All!$A:$ZZ,ROW()-ROW($Q$16)+2,COLUMN()-COLUMN($Q$16)+1),
""))</f>
        <v>19</v>
      </c>
      <c r="AL18" s="1">
        <f>IF(INDEX(Last10Away_Stats_All!$A:$A,ROW()-ROW($Q$16)+2)="","",
IFERROR(
INDEX(Last10Away_Stats_All!$A:$ZZ,ROW()-ROW($Q$16)+2,COLUMN()-COLUMN($Q$16)+1),
""))</f>
        <v>5</v>
      </c>
      <c r="AM18" s="1">
        <f>IF(INDEX(Last10Away_Stats_All!$A:$A,ROW()-ROW($Q$16)+2)="","",
IFERROR(
INDEX(Last10Away_Stats_All!$A:$ZZ,ROW()-ROW($Q$16)+2,COLUMN()-COLUMN($Q$16)+1),
""))</f>
        <v>8</v>
      </c>
      <c r="AN18" s="1">
        <f>IF(INDEX(Last10Away_Stats_All!$A:$A,ROW()-ROW($Q$16)+2)="","",
IFERROR(
INDEX(Last10Away_Stats_All!$A:$ZZ,ROW()-ROW($Q$16)+2,COLUMN()-COLUMN($Q$16)+1),
""))</f>
        <v>2</v>
      </c>
      <c r="AO18" s="1">
        <f>IF(INDEX(Last10Away_Stats_All!$A:$A,ROW()-ROW($Q$16)+2)="","",
IFERROR(
INDEX(Last10Away_Stats_All!$A:$ZZ,ROW()-ROW($Q$16)+2,COLUMN()-COLUMN($Q$16)+1),
""))</f>
        <v>15</v>
      </c>
      <c r="AP18" s="1">
        <f>IF(INDEX(Last10Away_Stats_All!$A:$A,ROW()-ROW($Q$16)+2)="","",
IFERROR(
INDEX(Last10Away_Stats_All!$A:$ZZ,ROW()-ROW($Q$16)+2,COLUMN()-COLUMN($Q$16)+1),
""))</f>
        <v>3</v>
      </c>
      <c r="AQ18" s="1">
        <f>IF(INDEX(Last10Away_Stats_All!$A:$A,ROW()-ROW($Q$16)+2)="","",
IFERROR(
INDEX(Last10Away_Stats_All!$A:$ZZ,ROW()-ROW($Q$16)+2,COLUMN()-COLUMN($Q$16)+1),
""))</f>
        <v>4</v>
      </c>
      <c r="AR18" s="1">
        <f>IF(INDEX(Last10Away_Stats_All!$A:$A,ROW()-ROW($Q$16)+2)="","",
IFERROR(
INDEX(Last10Away_Stats_All!$A:$ZZ,ROW()-ROW($Q$16)+2,COLUMN()-COLUMN($Q$16)+1),
""))</f>
        <v>2</v>
      </c>
      <c r="AS18" s="1">
        <f>IF(INDEX(Last10Away_Stats_All!$A:$A,ROW()-ROW($Q$16)+2)="","",
IFERROR(
INDEX(Last10Away_Stats_All!$A:$ZZ,ROW()-ROW($Q$16)+2,COLUMN()-COLUMN($Q$16)+1),
""))</f>
        <v>6</v>
      </c>
      <c r="AT18" s="1">
        <f>IF(INDEX(Last10Away_Stats_All!$A:$A,ROW()-ROW($Q$16)+2)="","",
IFERROR(
INDEX(Last10Away_Stats_All!$A:$ZZ,ROW()-ROW($Q$16)+2,COLUMN()-COLUMN($Q$16)+1),
""))</f>
        <v>15</v>
      </c>
      <c r="AU18" s="1">
        <f>IF(INDEX(Last10Away_Stats_All!$A:$A,ROW()-ROW($Q$16)+2)="","",
IFERROR(
INDEX(Last10Away_Stats_All!$A:$ZZ,ROW()-ROW($Q$16)+2,COLUMN()-COLUMN($Q$16)+1),
""))</f>
        <v>10</v>
      </c>
      <c r="AV18" s="1">
        <f>IF(INDEX(Last10Away_Stats_All!$A:$A,ROW()-ROW($Q$16)+2)="","",
IFERROR(
INDEX(Last10Away_Stats_All!$A:$ZZ,ROW()-ROW($Q$16)+2,COLUMN()-COLUMN($Q$16)+1),
""))</f>
        <v>1</v>
      </c>
      <c r="AW18" s="1">
        <f>IF(INDEX(Last10Away_Stats_All!$A:$A,ROW()-ROW($Q$16)+2)="","",
IFERROR(
INDEX(Last10Away_Stats_All!$A:$ZZ,ROW()-ROW($Q$16)+2,COLUMN()-COLUMN($Q$16)+1),
""))</f>
        <v>1</v>
      </c>
      <c r="AX18" s="1">
        <f>IF(INDEX(Last10Away_Stats_All!$A:$A,ROW()-ROW($Q$16)+2)="","",
IFERROR(
INDEX(Last10Away_Stats_All!$A:$ZZ,ROW()-ROW($Q$16)+2,COLUMN()-COLUMN($Q$16)+1),
""))</f>
        <v>2</v>
      </c>
      <c r="AY18" s="1">
        <f>IF(INDEX(Last10Away_Stats_All!$A:$A,ROW()-ROW($Q$16)+2)="","",
IFERROR(
INDEX(Last10Away_Stats_All!$A:$ZZ,ROW()-ROW($Q$16)+2,COLUMN()-COLUMN($Q$16)+1),
""))</f>
        <v>61</v>
      </c>
      <c r="AZ18" s="1">
        <f>IF(INDEX(Last10Away_Stats_All!$A:$A,ROW()-ROW($Q$16)+2)="","",
IFERROR(
INDEX(Last10Away_Stats_All!$A:$ZZ,ROW()-ROW($Q$16)+2,COLUMN()-COLUMN($Q$16)+1),
""))</f>
        <v>39</v>
      </c>
      <c r="BA18" s="1">
        <f>IF(INDEX(Last10Away_Stats_All!$A:$A,ROW()-ROW($Q$16)+2)="","",
IFERROR(
INDEX(Last10Away_Stats_All!$A:$ZZ,ROW()-ROW($Q$16)+2,COLUMN()-COLUMN($Q$16)+1),
""))</f>
        <v>1</v>
      </c>
      <c r="BB18" s="1">
        <f>IF(INDEX(Last10Away_Stats_All!$A:$A,ROW()-ROW($Q$16)+2)="","",
IFERROR(
INDEX(Last10Away_Stats_All!$A:$ZZ,ROW()-ROW($Q$16)+2,COLUMN()-COLUMN($Q$16)+1),
""))</f>
        <v>5</v>
      </c>
      <c r="BC18" s="1">
        <f>IF(INDEX(Last10Away_Stats_All!$A:$A,ROW()-ROW($Q$16)+2)="","",
IFERROR(
INDEX(Last10Away_Stats_All!$A:$ZZ,ROW()-ROW($Q$16)+2,COLUMN()-COLUMN($Q$16)+1),
""))</f>
        <v>0</v>
      </c>
      <c r="BD18" s="1">
        <f>IF(INDEX(Last10Away_Stats_All!$A:$A,ROW()-ROW($Q$16)+2)="","",
IFERROR(
INDEX(Last10Away_Stats_All!$A:$ZZ,ROW()-ROW($Q$16)+2,COLUMN()-COLUMN($Q$16)+1),
""))</f>
        <v>0</v>
      </c>
      <c r="BE18" s="1">
        <f>IF(INDEX(Last10Away_Stats_All!$A:$A,ROW()-ROW($Q$16)+2)="","",
IFERROR(
INDEX(Last10Away_Stats_All!$A:$ZZ,ROW()-ROW($Q$16)+2,COLUMN()-COLUMN($Q$16)+1),
""))</f>
        <v>1</v>
      </c>
      <c r="BF18" s="1">
        <f>IF(INDEX(Last10Away_Stats_All!$A:$A,ROW()-ROW($Q$16)+2)="","",
IFERROR(
INDEX(Last10Away_Stats_All!$A:$ZZ,ROW()-ROW($Q$16)+2,COLUMN()-COLUMN($Q$16)+1),
""))</f>
        <v>4</v>
      </c>
      <c r="BG18" s="1">
        <f>IF(INDEX(Last10Away_Stats_All!$A:$A,ROW()-ROW($Q$16)+2)="","",
IFERROR(
INDEX(Last10Away_Stats_All!$A:$ZZ,ROW()-ROW($Q$16)+2,COLUMN()-COLUMN($Q$16)+1),
""))</f>
        <v>369</v>
      </c>
      <c r="BH18" s="1">
        <f>IF(INDEX(Last10Away_Stats_All!$A:$A,ROW()-ROW($Q$16)+2)="","",
IFERROR(
INDEX(Last10Away_Stats_All!$A:$ZZ,ROW()-ROW($Q$16)+2,COLUMN()-COLUMN($Q$16)+1),
""))</f>
        <v>252</v>
      </c>
      <c r="BI18" s="1">
        <f>IF(INDEX(Last10Away_Stats_All!$A:$A,ROW()-ROW($Q$16)+2)="","",
IFERROR(
INDEX(Last10Away_Stats_All!$A:$ZZ,ROW()-ROW($Q$16)+2,COLUMN()-COLUMN($Q$16)+1),
""))</f>
        <v>234</v>
      </c>
      <c r="BJ18" s="1">
        <f>IF(INDEX(Last10Away_Stats_All!$A:$A,ROW()-ROW($Q$16)+2)="","",
IFERROR(
INDEX(Last10Away_Stats_All!$A:$ZZ,ROW()-ROW($Q$16)+2,COLUMN()-COLUMN($Q$16)+1),
""))</f>
        <v>135</v>
      </c>
      <c r="BK18" s="1">
        <f>IF(INDEX(Last10Away_Stats_All!$A:$A,ROW()-ROW($Q$16)+2)="","",
IFERROR(
INDEX(Last10Away_Stats_All!$A:$ZZ,ROW()-ROW($Q$16)+2,COLUMN()-COLUMN($Q$16)+1),
""))</f>
        <v>63</v>
      </c>
      <c r="BL18" s="1">
        <f>IF(INDEX(Last10Away_Stats_All!$A:$A,ROW()-ROW($Q$16)+2)="","",
IFERROR(
INDEX(Last10Away_Stats_All!$A:$ZZ,ROW()-ROW($Q$16)+2,COLUMN()-COLUMN($Q$16)+1),
""))</f>
        <v>54</v>
      </c>
      <c r="BM18" s="1">
        <f>IF(INDEX(Last10Away_Stats_All!$A:$A,ROW()-ROW($Q$16)+2)="","",
IFERROR(
INDEX(Last10Away_Stats_All!$A:$ZZ,ROW()-ROW($Q$16)+2,COLUMN()-COLUMN($Q$16)+1),
""))</f>
        <v>2.8</v>
      </c>
      <c r="BN18" s="1">
        <f>IF(INDEX(Last10Away_Stats_All!$A:$A,ROW()-ROW($Q$16)+2)="","",
IFERROR(
INDEX(Last10Away_Stats_All!$A:$ZZ,ROW()-ROW($Q$16)+2,COLUMN()-COLUMN($Q$16)+1),
""))</f>
        <v>0.51</v>
      </c>
      <c r="BO18" s="1">
        <f>IF(INDEX(Last10Away_Stats_All!$A:$A,ROW()-ROW($Q$16)+2)="","",
IFERROR(
INDEX(Last10Away_Stats_All!$A:$ZZ,ROW()-ROW($Q$16)+2,COLUMN()-COLUMN($Q$16)+1),
""))</f>
        <v>0</v>
      </c>
      <c r="BP18" s="1">
        <f>IF(INDEX(Last10Away_Stats_All!$A:$A,ROW()-ROW($Q$16)+2)="","",
IFERROR(
INDEX(Last10Away_Stats_All!$A:$ZZ,ROW()-ROW($Q$16)+2,COLUMN()-COLUMN($Q$16)+1),
""))</f>
        <v>0</v>
      </c>
      <c r="BR18" s="1" t="str">
        <f>IF(OR(Control!AC18="",Control!AD18=""),"",Control!AC18&amp;" : "&amp;Control!AD18)</f>
        <v>0 : 0</v>
      </c>
      <c r="BS18" s="1" t="str">
        <f>IF(OR(Control!AE18="",Control!AF18=""),"",Control!AE18&amp;" : "&amp;Control!AF18)</f>
        <v>1 : 0</v>
      </c>
      <c r="BT18" s="1" t="str">
        <f>IF(OR(Control!AU18="",Control!AV18=""),"",Control!AU18&amp;" : "&amp;Control!AV18)</f>
        <v>10 : 1</v>
      </c>
      <c r="BV18" s="1">
        <f>IFERROR(INDEX(tblStandings[#All],ROW(A18),COLUMN(A18)),"")</f>
        <v>17</v>
      </c>
      <c r="BW18" s="1" t="str">
        <f>IFERROR(INDEX(tblStandings[#All],ROW(B18),COLUMN(B18)),"")</f>
        <v>Gillingham</v>
      </c>
      <c r="BX18" s="1">
        <f>IFERROR(INDEX(tblStandings[#All],ROW(C18),COLUMN(C18)),"")</f>
        <v>41</v>
      </c>
      <c r="BY18" s="1">
        <f>IFERROR(INDEX(tblStandings[#All],ROW(D18),COLUMN(D18)),"")</f>
        <v>12</v>
      </c>
      <c r="BZ18" s="1">
        <f>IFERROR(INDEX(tblStandings[#All],ROW(E18),COLUMN(E18)),"")</f>
        <v>13</v>
      </c>
      <c r="CA18" s="1">
        <f>IFERROR(INDEX(tblStandings[#All],ROW(F18),COLUMN(F18)),"")</f>
        <v>16</v>
      </c>
      <c r="CB18" s="1">
        <f>IFERROR(INDEX(tblStandings[#All],ROW(G18),COLUMN(G18)),"")</f>
        <v>48</v>
      </c>
      <c r="CC18" s="1">
        <f>IFERROR(INDEX(tblStandings[#All],ROW(H18),COLUMN(H18)),"")</f>
        <v>60</v>
      </c>
      <c r="CD18" s="1">
        <f>IFERROR(INDEX(tblStandings[#All],ROW(I18),COLUMN(I18)),"")</f>
        <v>-12</v>
      </c>
      <c r="CE18" s="1">
        <f>IFERROR(INDEX(tblStandings[#All],ROW(J18),COLUMN(J18)),"")</f>
        <v>49</v>
      </c>
      <c r="CF18" s="1" t="str">
        <f>IFERROR(INDEX(tblStandings[#All],ROW(K18),COLUMN(K18)),"")</f>
        <v>WDLLL</v>
      </c>
      <c r="CG18" s="1" t="str">
        <f t="shared" si="0"/>
        <v>W</v>
      </c>
      <c r="CH18" s="1" t="str">
        <f t="shared" si="1"/>
        <v>D</v>
      </c>
      <c r="CI18" s="1" t="str">
        <f t="shared" si="2"/>
        <v>L</v>
      </c>
      <c r="CJ18" s="1" t="str">
        <f t="shared" si="3"/>
        <v>L</v>
      </c>
      <c r="CK18" s="1" t="str">
        <f t="shared" si="4"/>
        <v>L</v>
      </c>
    </row>
    <row r="19" spans="1:89" x14ac:dyDescent="0.25">
      <c r="H19" s="1">
        <v>1519314</v>
      </c>
      <c r="I19" s="4">
        <v>46330.041666666664</v>
      </c>
      <c r="J19" s="1" t="s">
        <v>32</v>
      </c>
      <c r="K19" s="1" t="s">
        <v>366</v>
      </c>
      <c r="L19" s="1" t="s">
        <v>367</v>
      </c>
      <c r="M19" s="1" t="s">
        <v>6832</v>
      </c>
      <c r="N19" s="1" t="s">
        <v>713</v>
      </c>
      <c r="O19" s="1" t="s">
        <v>7183</v>
      </c>
      <c r="Q19" s="1">
        <f>IF(INDEX(Last10Away_Stats_All!$A:$A,ROW()-ROW($Q$16)+2)="","",
IFERROR(
INDEX(Last10Away_Stats_All!$A:$ZZ,ROW()-ROW($Q$16)+2,COLUMN()-COLUMN($Q$16)+1),
""))</f>
        <v>1386421</v>
      </c>
      <c r="R19" s="1" t="str">
        <f>IF(INDEX(Last10Away_Stats_All!$A:$A,ROW()-ROW($Q$16)+2)="","",
IFERROR(
INDEX(Last10Away_Stats_All!$A:$ZZ,ROW()-ROW($Q$16)+2,COLUMN()-COLUMN($Q$16)+1),
""))</f>
        <v>07/03/2026 15:00</v>
      </c>
      <c r="S19" s="1" t="str">
        <f>IF(INDEX(Last10Away_Stats_All!$A:$A,ROW()-ROW($Q$16)+2)="","",
IFERROR(
INDEX(Last10Away_Stats_All!$A:$ZZ,ROW()-ROW($Q$16)+2,COLUMN()-COLUMN($Q$16)+1),
""))</f>
        <v>England</v>
      </c>
      <c r="T19" s="1" t="str">
        <f>IF(INDEX(Last10Away_Stats_All!$A:$A,ROW()-ROW($Q$16)+2)="","",
IFERROR(
INDEX(Last10Away_Stats_All!$A:$ZZ,ROW()-ROW($Q$16)+2,COLUMN()-COLUMN($Q$16)+1),
""))</f>
        <v>League Two</v>
      </c>
      <c r="U19" s="1" t="str">
        <f>IF(INDEX(Last10Away_Stats_All!$A:$A,ROW()-ROW($Q$16)+2)="","",
IFERROR(
INDEX(Last10Away_Stats_All!$A:$ZZ,ROW()-ROW($Q$16)+2,COLUMN()-COLUMN($Q$16)+1),
""))</f>
        <v>https://media.api-sports.io/football/teams/1347.png</v>
      </c>
      <c r="V19" s="1" t="str">
        <f>IF(INDEX(Last10Away_Stats_All!$A:$A,ROW()-ROW($Q$16)+2)="","",
IFERROR(
INDEX(Last10Away_Stats_All!$A:$ZZ,ROW()-ROW($Q$16)+2,COLUMN()-COLUMN($Q$16)+1),
""))</f>
        <v>Gillingham</v>
      </c>
      <c r="W19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19" s="1" t="str">
        <f>IF(INDEX(Last10Away_Stats_All!$A:$A,ROW()-ROW($Q$16)+2)="","",
IFERROR(
INDEX(Last10Away_Stats_All!$A:$ZZ,ROW()-ROW($Q$16)+2,COLUMN()-COLUMN($Q$16)+1),
""))</f>
        <v>Fleetwood Town</v>
      </c>
      <c r="Y19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19" s="1" t="str">
        <f>IF(INDEX(Last10Away_Stats_All!$A:$A,ROW()-ROW($Q$16)+2)="","",
IFERROR(
INDEX(Last10Away_Stats_All!$A:$ZZ,ROW()-ROW($Q$16)+2,COLUMN()-COLUMN($Q$16)+1),
""))</f>
        <v>https://media.api-sports.io/flags/gb-eng.svg</v>
      </c>
      <c r="AA19" s="1">
        <f>IF(INDEX(Last10Away_Stats_All!$A:$A,ROW()-ROW($Q$16)+2)="","",
IFERROR(
INDEX(Last10Away_Stats_All!$A:$ZZ,ROW()-ROW($Q$16)+2,COLUMN()-COLUMN($Q$16)+1),
""))</f>
        <v>1</v>
      </c>
      <c r="AB19" s="1">
        <f>IF(INDEX(Last10Away_Stats_All!$A:$A,ROW()-ROW($Q$16)+2)="","",
IFERROR(
INDEX(Last10Away_Stats_All!$A:$ZZ,ROW()-ROW($Q$16)+2,COLUMN()-COLUMN($Q$16)+1),
""))</f>
        <v>1</v>
      </c>
      <c r="AC19" s="1">
        <f>IF(INDEX(Last10Away_Stats_All!$A:$A,ROW()-ROW($Q$16)+2)="","",
IFERROR(
INDEX(Last10Away_Stats_All!$A:$ZZ,ROW()-ROW($Q$16)+2,COLUMN()-COLUMN($Q$16)+1),
""))</f>
        <v>0</v>
      </c>
      <c r="AD19" s="1">
        <f>IF(INDEX(Last10Away_Stats_All!$A:$A,ROW()-ROW($Q$16)+2)="","",
IFERROR(
INDEX(Last10Away_Stats_All!$A:$ZZ,ROW()-ROW($Q$16)+2,COLUMN()-COLUMN($Q$16)+1),
""))</f>
        <v>0</v>
      </c>
      <c r="AE19" s="1">
        <f>IF(INDEX(Last10Away_Stats_All!$A:$A,ROW()-ROW($Q$16)+2)="","",
IFERROR(
INDEX(Last10Away_Stats_All!$A:$ZZ,ROW()-ROW($Q$16)+2,COLUMN()-COLUMN($Q$16)+1),
""))</f>
        <v>1</v>
      </c>
      <c r="AF19" s="1">
        <f>IF(INDEX(Last10Away_Stats_All!$A:$A,ROW()-ROW($Q$16)+2)="","",
IFERROR(
INDEX(Last10Away_Stats_All!$A:$ZZ,ROW()-ROW($Q$16)+2,COLUMN()-COLUMN($Q$16)+1),
""))</f>
        <v>1</v>
      </c>
      <c r="AG19" s="1">
        <f>IF(INDEX(Last10Away_Stats_All!$A:$A,ROW()-ROW($Q$16)+2)="","",
IFERROR(
INDEX(Last10Away_Stats_All!$A:$ZZ,ROW()-ROW($Q$16)+2,COLUMN()-COLUMN($Q$16)+1),
""))</f>
        <v>3</v>
      </c>
      <c r="AH19" s="1">
        <f>IF(INDEX(Last10Away_Stats_All!$A:$A,ROW()-ROW($Q$16)+2)="","",
IFERROR(
INDEX(Last10Away_Stats_All!$A:$ZZ,ROW()-ROW($Q$16)+2,COLUMN()-COLUMN($Q$16)+1),
""))</f>
        <v>5</v>
      </c>
      <c r="AI19" s="1">
        <f>IF(INDEX(Last10Away_Stats_All!$A:$A,ROW()-ROW($Q$16)+2)="","",
IFERROR(
INDEX(Last10Away_Stats_All!$A:$ZZ,ROW()-ROW($Q$16)+2,COLUMN()-COLUMN($Q$16)+1),
""))</f>
        <v>1</v>
      </c>
      <c r="AJ19" s="1">
        <f>IF(INDEX(Last10Away_Stats_All!$A:$A,ROW()-ROW($Q$16)+2)="","",
IFERROR(
INDEX(Last10Away_Stats_All!$A:$ZZ,ROW()-ROW($Q$16)+2,COLUMN()-COLUMN($Q$16)+1),
""))</f>
        <v>6</v>
      </c>
      <c r="AK19" s="1">
        <f>IF(INDEX(Last10Away_Stats_All!$A:$A,ROW()-ROW($Q$16)+2)="","",
IFERROR(
INDEX(Last10Away_Stats_All!$A:$ZZ,ROW()-ROW($Q$16)+2,COLUMN()-COLUMN($Q$16)+1),
""))</f>
        <v>6</v>
      </c>
      <c r="AL19" s="1">
        <f>IF(INDEX(Last10Away_Stats_All!$A:$A,ROW()-ROW($Q$16)+2)="","",
IFERROR(
INDEX(Last10Away_Stats_All!$A:$ZZ,ROW()-ROW($Q$16)+2,COLUMN()-COLUMN($Q$16)+1),
""))</f>
        <v>14</v>
      </c>
      <c r="AM19" s="1">
        <f>IF(INDEX(Last10Away_Stats_All!$A:$A,ROW()-ROW($Q$16)+2)="","",
IFERROR(
INDEX(Last10Away_Stats_All!$A:$ZZ,ROW()-ROW($Q$16)+2,COLUMN()-COLUMN($Q$16)+1),
""))</f>
        <v>2</v>
      </c>
      <c r="AN19" s="1">
        <f>IF(INDEX(Last10Away_Stats_All!$A:$A,ROW()-ROW($Q$16)+2)="","",
IFERROR(
INDEX(Last10Away_Stats_All!$A:$ZZ,ROW()-ROW($Q$16)+2,COLUMN()-COLUMN($Q$16)+1),
""))</f>
        <v>3</v>
      </c>
      <c r="AO19" s="1">
        <f>IF(INDEX(Last10Away_Stats_All!$A:$A,ROW()-ROW($Q$16)+2)="","",
IFERROR(
INDEX(Last10Away_Stats_All!$A:$ZZ,ROW()-ROW($Q$16)+2,COLUMN()-COLUMN($Q$16)+1),
""))</f>
        <v>4</v>
      </c>
      <c r="AP19" s="1">
        <f>IF(INDEX(Last10Away_Stats_All!$A:$A,ROW()-ROW($Q$16)+2)="","",
IFERROR(
INDEX(Last10Away_Stats_All!$A:$ZZ,ROW()-ROW($Q$16)+2,COLUMN()-COLUMN($Q$16)+1),
""))</f>
        <v>9</v>
      </c>
      <c r="AQ19" s="1">
        <f>IF(INDEX(Last10Away_Stats_All!$A:$A,ROW()-ROW($Q$16)+2)="","",
IFERROR(
INDEX(Last10Away_Stats_All!$A:$ZZ,ROW()-ROW($Q$16)+2,COLUMN()-COLUMN($Q$16)+1),
""))</f>
        <v>2</v>
      </c>
      <c r="AR19" s="1">
        <f>IF(INDEX(Last10Away_Stats_All!$A:$A,ROW()-ROW($Q$16)+2)="","",
IFERROR(
INDEX(Last10Away_Stats_All!$A:$ZZ,ROW()-ROW($Q$16)+2,COLUMN()-COLUMN($Q$16)+1),
""))</f>
        <v>5</v>
      </c>
      <c r="AS19" s="1">
        <f>IF(INDEX(Last10Away_Stats_All!$A:$A,ROW()-ROW($Q$16)+2)="","",
IFERROR(
INDEX(Last10Away_Stats_All!$A:$ZZ,ROW()-ROW($Q$16)+2,COLUMN()-COLUMN($Q$16)+1),
""))</f>
        <v>12</v>
      </c>
      <c r="AT19" s="1">
        <f>IF(INDEX(Last10Away_Stats_All!$A:$A,ROW()-ROW($Q$16)+2)="","",
IFERROR(
INDEX(Last10Away_Stats_All!$A:$ZZ,ROW()-ROW($Q$16)+2,COLUMN()-COLUMN($Q$16)+1),
""))</f>
        <v>7</v>
      </c>
      <c r="AU19" s="1">
        <f>IF(INDEX(Last10Away_Stats_All!$A:$A,ROW()-ROW($Q$16)+2)="","",
IFERROR(
INDEX(Last10Away_Stats_All!$A:$ZZ,ROW()-ROW($Q$16)+2,COLUMN()-COLUMN($Q$16)+1),
""))</f>
        <v>1</v>
      </c>
      <c r="AV19" s="1">
        <f>IF(INDEX(Last10Away_Stats_All!$A:$A,ROW()-ROW($Q$16)+2)="","",
IFERROR(
INDEX(Last10Away_Stats_All!$A:$ZZ,ROW()-ROW($Q$16)+2,COLUMN()-COLUMN($Q$16)+1),
""))</f>
        <v>3</v>
      </c>
      <c r="AW19" s="1">
        <f>IF(INDEX(Last10Away_Stats_All!$A:$A,ROW()-ROW($Q$16)+2)="","",
IFERROR(
INDEX(Last10Away_Stats_All!$A:$ZZ,ROW()-ROW($Q$16)+2,COLUMN()-COLUMN($Q$16)+1),
""))</f>
        <v>5</v>
      </c>
      <c r="AX19" s="1">
        <f>IF(INDEX(Last10Away_Stats_All!$A:$A,ROW()-ROW($Q$16)+2)="","",
IFERROR(
INDEX(Last10Away_Stats_All!$A:$ZZ,ROW()-ROW($Q$16)+2,COLUMN()-COLUMN($Q$16)+1),
""))</f>
        <v>4</v>
      </c>
      <c r="AY19" s="1">
        <f>IF(INDEX(Last10Away_Stats_All!$A:$A,ROW()-ROW($Q$16)+2)="","",
IFERROR(
INDEX(Last10Away_Stats_All!$A:$ZZ,ROW()-ROW($Q$16)+2,COLUMN()-COLUMN($Q$16)+1),
""))</f>
        <v>36</v>
      </c>
      <c r="AZ19" s="1">
        <f>IF(INDEX(Last10Away_Stats_All!$A:$A,ROW()-ROW($Q$16)+2)="","",
IFERROR(
INDEX(Last10Away_Stats_All!$A:$ZZ,ROW()-ROW($Q$16)+2,COLUMN()-COLUMN($Q$16)+1),
""))</f>
        <v>64</v>
      </c>
      <c r="BA19" s="1">
        <f>IF(INDEX(Last10Away_Stats_All!$A:$A,ROW()-ROW($Q$16)+2)="","",
IFERROR(
INDEX(Last10Away_Stats_All!$A:$ZZ,ROW()-ROW($Q$16)+2,COLUMN()-COLUMN($Q$16)+1),
""))</f>
        <v>2</v>
      </c>
      <c r="BB19" s="1">
        <f>IF(INDEX(Last10Away_Stats_All!$A:$A,ROW()-ROW($Q$16)+2)="","",
IFERROR(
INDEX(Last10Away_Stats_All!$A:$ZZ,ROW()-ROW($Q$16)+2,COLUMN()-COLUMN($Q$16)+1),
""))</f>
        <v>1</v>
      </c>
      <c r="BC19" s="1">
        <f>IF(INDEX(Last10Away_Stats_All!$A:$A,ROW()-ROW($Q$16)+2)="","",
IFERROR(
INDEX(Last10Away_Stats_All!$A:$ZZ,ROW()-ROW($Q$16)+2,COLUMN()-COLUMN($Q$16)+1),
""))</f>
        <v>0</v>
      </c>
      <c r="BD19" s="1">
        <f>IF(INDEX(Last10Away_Stats_All!$A:$A,ROW()-ROW($Q$16)+2)="","",
IFERROR(
INDEX(Last10Away_Stats_All!$A:$ZZ,ROW()-ROW($Q$16)+2,COLUMN()-COLUMN($Q$16)+1),
""))</f>
        <v>0</v>
      </c>
      <c r="BE19" s="1">
        <f>IF(INDEX(Last10Away_Stats_All!$A:$A,ROW()-ROW($Q$16)+2)="","",
IFERROR(
INDEX(Last10Away_Stats_All!$A:$ZZ,ROW()-ROW($Q$16)+2,COLUMN()-COLUMN($Q$16)+1),
""))</f>
        <v>4</v>
      </c>
      <c r="BF19" s="1">
        <f>IF(INDEX(Last10Away_Stats_All!$A:$A,ROW()-ROW($Q$16)+2)="","",
IFERROR(
INDEX(Last10Away_Stats_All!$A:$ZZ,ROW()-ROW($Q$16)+2,COLUMN()-COLUMN($Q$16)+1),
""))</f>
        <v>2</v>
      </c>
      <c r="BG19" s="1">
        <f>IF(INDEX(Last10Away_Stats_All!$A:$A,ROW()-ROW($Q$16)+2)="","",
IFERROR(
INDEX(Last10Away_Stats_All!$A:$ZZ,ROW()-ROW($Q$16)+2,COLUMN()-COLUMN($Q$16)+1),
""))</f>
        <v>247</v>
      </c>
      <c r="BH19" s="1">
        <f>IF(INDEX(Last10Away_Stats_All!$A:$A,ROW()-ROW($Q$16)+2)="","",
IFERROR(
INDEX(Last10Away_Stats_All!$A:$ZZ,ROW()-ROW($Q$16)+2,COLUMN()-COLUMN($Q$16)+1),
""))</f>
        <v>430</v>
      </c>
      <c r="BI19" s="1">
        <f>IF(INDEX(Last10Away_Stats_All!$A:$A,ROW()-ROW($Q$16)+2)="","",
IFERROR(
INDEX(Last10Away_Stats_All!$A:$ZZ,ROW()-ROW($Q$16)+2,COLUMN()-COLUMN($Q$16)+1),
""))</f>
        <v>126</v>
      </c>
      <c r="BJ19" s="1">
        <f>IF(INDEX(Last10Away_Stats_All!$A:$A,ROW()-ROW($Q$16)+2)="","",
IFERROR(
INDEX(Last10Away_Stats_All!$A:$ZZ,ROW()-ROW($Q$16)+2,COLUMN()-COLUMN($Q$16)+1),
""))</f>
        <v>309</v>
      </c>
      <c r="BK19" s="1">
        <f>IF(INDEX(Last10Away_Stats_All!$A:$A,ROW()-ROW($Q$16)+2)="","",
IFERROR(
INDEX(Last10Away_Stats_All!$A:$ZZ,ROW()-ROW($Q$16)+2,COLUMN()-COLUMN($Q$16)+1),
""))</f>
        <v>51</v>
      </c>
      <c r="BL19" s="1">
        <f>IF(INDEX(Last10Away_Stats_All!$A:$A,ROW()-ROW($Q$16)+2)="","",
IFERROR(
INDEX(Last10Away_Stats_All!$A:$ZZ,ROW()-ROW($Q$16)+2,COLUMN()-COLUMN($Q$16)+1),
""))</f>
        <v>72</v>
      </c>
      <c r="BM19" s="1">
        <f>IF(INDEX(Last10Away_Stats_All!$A:$A,ROW()-ROW($Q$16)+2)="","",
IFERROR(
INDEX(Last10Away_Stats_All!$A:$ZZ,ROW()-ROW($Q$16)+2,COLUMN()-COLUMN($Q$16)+1),
""))</f>
        <v>0.71</v>
      </c>
      <c r="BN19" s="1">
        <f>IF(INDEX(Last10Away_Stats_All!$A:$A,ROW()-ROW($Q$16)+2)="","",
IFERROR(
INDEX(Last10Away_Stats_All!$A:$ZZ,ROW()-ROW($Q$16)+2,COLUMN()-COLUMN($Q$16)+1),
""))</f>
        <v>1.48</v>
      </c>
      <c r="BO19" s="1">
        <f>IF(INDEX(Last10Away_Stats_All!$A:$A,ROW()-ROW($Q$16)+2)="","",
IFERROR(
INDEX(Last10Away_Stats_All!$A:$ZZ,ROW()-ROW($Q$16)+2,COLUMN()-COLUMN($Q$16)+1),
""))</f>
        <v>0</v>
      </c>
      <c r="BP19" s="1">
        <f>IF(INDEX(Last10Away_Stats_All!$A:$A,ROW()-ROW($Q$16)+2)="","",
IFERROR(
INDEX(Last10Away_Stats_All!$A:$ZZ,ROW()-ROW($Q$16)+2,COLUMN()-COLUMN($Q$16)+1),
""))</f>
        <v>0</v>
      </c>
      <c r="BR19" s="1" t="str">
        <f>IF(OR(Control!AC19="",Control!AD19=""),"",Control!AC19&amp;" : "&amp;Control!AD19)</f>
        <v>0 : 0</v>
      </c>
      <c r="BS19" s="1" t="str">
        <f>IF(OR(Control!AE19="",Control!AF19=""),"",Control!AE19&amp;" : "&amp;Control!AF19)</f>
        <v>1 : 1</v>
      </c>
      <c r="BT19" s="1" t="str">
        <f>IF(OR(Control!AU19="",Control!AV19=""),"",Control!AU19&amp;" : "&amp;Control!AV19)</f>
        <v>1 : 3</v>
      </c>
      <c r="BV19" s="1">
        <f>IFERROR(INDEX(tblStandings[#All],ROW(A19),COLUMN(A19)),"")</f>
        <v>18</v>
      </c>
      <c r="BW19" s="1" t="str">
        <f>IFERROR(INDEX(tblStandings[#All],ROW(B19),COLUMN(B19)),"")</f>
        <v>Shrewsbury</v>
      </c>
      <c r="BX19" s="1">
        <f>IFERROR(INDEX(tblStandings[#All],ROW(C19),COLUMN(C19)),"")</f>
        <v>42</v>
      </c>
      <c r="BY19" s="1">
        <f>IFERROR(INDEX(tblStandings[#All],ROW(D19),COLUMN(D19)),"")</f>
        <v>12</v>
      </c>
      <c r="BZ19" s="1">
        <f>IFERROR(INDEX(tblStandings[#All],ROW(E19),COLUMN(E19)),"")</f>
        <v>8</v>
      </c>
      <c r="CA19" s="1">
        <f>IFERROR(INDEX(tblStandings[#All],ROW(F19),COLUMN(F19)),"")</f>
        <v>22</v>
      </c>
      <c r="CB19" s="1">
        <f>IFERROR(INDEX(tblStandings[#All],ROW(G19),COLUMN(G19)),"")</f>
        <v>39</v>
      </c>
      <c r="CC19" s="1">
        <f>IFERROR(INDEX(tblStandings[#All],ROW(H19),COLUMN(H19)),"")</f>
        <v>66</v>
      </c>
      <c r="CD19" s="1">
        <f>IFERROR(INDEX(tblStandings[#All],ROW(I19),COLUMN(I19)),"")</f>
        <v>-27</v>
      </c>
      <c r="CE19" s="1">
        <f>IFERROR(INDEX(tblStandings[#All],ROW(J19),COLUMN(J19)),"")</f>
        <v>44</v>
      </c>
      <c r="CF19" s="1" t="str">
        <f>IFERROR(INDEX(tblStandings[#All],ROW(K19),COLUMN(K19)),"")</f>
        <v>LWLLL</v>
      </c>
      <c r="CG19" s="1" t="str">
        <f t="shared" si="0"/>
        <v>L</v>
      </c>
      <c r="CH19" s="1" t="str">
        <f t="shared" si="1"/>
        <v>W</v>
      </c>
      <c r="CI19" s="1" t="str">
        <f t="shared" si="2"/>
        <v>L</v>
      </c>
      <c r="CJ19" s="1" t="str">
        <f t="shared" si="3"/>
        <v>L</v>
      </c>
      <c r="CK19" s="1" t="str">
        <f t="shared" si="4"/>
        <v>L</v>
      </c>
    </row>
    <row r="20" spans="1:89" x14ac:dyDescent="0.25">
      <c r="A20" s="1" t="s">
        <v>206</v>
      </c>
      <c r="B20" s="1" t="str">
        <f>IFERROR(INDEX($M:$M, MATCH($B$10, $H:$H, 0)), "")</f>
        <v>Accrington ST</v>
      </c>
      <c r="C20" s="1">
        <f>IFERROR(
INDEX(Game_Standings_ByFixtureID!$A:$A,
MATCH($B$20,Game_Standings_ByFixtureID!$B:$B,0)
),
"")</f>
        <v>16</v>
      </c>
      <c r="H20" s="1">
        <v>1538333</v>
      </c>
      <c r="I20" s="4">
        <v>46330.041666666664</v>
      </c>
      <c r="J20" s="1" t="s">
        <v>32</v>
      </c>
      <c r="K20" s="1" t="s">
        <v>302</v>
      </c>
      <c r="L20" s="1" t="s">
        <v>27</v>
      </c>
      <c r="M20" s="1" t="s">
        <v>7184</v>
      </c>
      <c r="N20" s="1" t="s">
        <v>7185</v>
      </c>
      <c r="O20" s="1" t="s">
        <v>7186</v>
      </c>
      <c r="Q20" s="1">
        <f>IF(INDEX(Last10Away_Stats_All!$A:$A,ROW()-ROW($Q$16)+2)="","",
IFERROR(
INDEX(Last10Away_Stats_All!$A:$ZZ,ROW()-ROW($Q$16)+2,COLUMN()-COLUMN($Q$16)+1),
""))</f>
        <v>1386294</v>
      </c>
      <c r="R20" s="1" t="str">
        <f>IF(INDEX(Last10Away_Stats_All!$A:$A,ROW()-ROW($Q$16)+2)="","",
IFERROR(
INDEX(Last10Away_Stats_All!$A:$ZZ,ROW()-ROW($Q$16)+2,COLUMN()-COLUMN($Q$16)+1),
""))</f>
        <v>03/03/2026 19:45</v>
      </c>
      <c r="S20" s="1" t="str">
        <f>IF(INDEX(Last10Away_Stats_All!$A:$A,ROW()-ROW($Q$16)+2)="","",
IFERROR(
INDEX(Last10Away_Stats_All!$A:$ZZ,ROW()-ROW($Q$16)+2,COLUMN()-COLUMN($Q$16)+1),
""))</f>
        <v>England</v>
      </c>
      <c r="T20" s="1" t="str">
        <f>IF(INDEX(Last10Away_Stats_All!$A:$A,ROW()-ROW($Q$16)+2)="","",
IFERROR(
INDEX(Last10Away_Stats_All!$A:$ZZ,ROW()-ROW($Q$16)+2,COLUMN()-COLUMN($Q$16)+1),
""))</f>
        <v>League Two</v>
      </c>
      <c r="U20" s="1" t="str">
        <f>IF(INDEX(Last10Away_Stats_All!$A:$A,ROW()-ROW($Q$16)+2)="","",
IFERROR(
INDEX(Last10Away_Stats_All!$A:$ZZ,ROW()-ROW($Q$16)+2,COLUMN()-COLUMN($Q$16)+1),
""))</f>
        <v>https://media.api-sports.io/football/teams/1342.png</v>
      </c>
      <c r="V20" s="1" t="str">
        <f>IF(INDEX(Last10Away_Stats_All!$A:$A,ROW()-ROW($Q$16)+2)="","",
IFERROR(
INDEX(Last10Away_Stats_All!$A:$ZZ,ROW()-ROW($Q$16)+2,COLUMN()-COLUMN($Q$16)+1),
""))</f>
        <v>Walsall</v>
      </c>
      <c r="W20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0" s="1" t="str">
        <f>IF(INDEX(Last10Away_Stats_All!$A:$A,ROW()-ROW($Q$16)+2)="","",
IFERROR(
INDEX(Last10Away_Stats_All!$A:$ZZ,ROW()-ROW($Q$16)+2,COLUMN()-COLUMN($Q$16)+1),
""))</f>
        <v>Fleetwood Town</v>
      </c>
      <c r="Y20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20" s="1" t="str">
        <f>IF(INDEX(Last10Away_Stats_All!$A:$A,ROW()-ROW($Q$16)+2)="","",
IFERROR(
INDEX(Last10Away_Stats_All!$A:$ZZ,ROW()-ROW($Q$16)+2,COLUMN()-COLUMN($Q$16)+1),
""))</f>
        <v>https://media.api-sports.io/flags/gb-eng.svg</v>
      </c>
      <c r="AA20" s="1">
        <f>IF(INDEX(Last10Away_Stats_All!$A:$A,ROW()-ROW($Q$16)+2)="","",
IFERROR(
INDEX(Last10Away_Stats_All!$A:$ZZ,ROW()-ROW($Q$16)+2,COLUMN()-COLUMN($Q$16)+1),
""))</f>
        <v>0</v>
      </c>
      <c r="AB20" s="1">
        <f>IF(INDEX(Last10Away_Stats_All!$A:$A,ROW()-ROW($Q$16)+2)="","",
IFERROR(
INDEX(Last10Away_Stats_All!$A:$ZZ,ROW()-ROW($Q$16)+2,COLUMN()-COLUMN($Q$16)+1),
""))</f>
        <v>1</v>
      </c>
      <c r="AC20" s="1">
        <f>IF(INDEX(Last10Away_Stats_All!$A:$A,ROW()-ROW($Q$16)+2)="","",
IFERROR(
INDEX(Last10Away_Stats_All!$A:$ZZ,ROW()-ROW($Q$16)+2,COLUMN()-COLUMN($Q$16)+1),
""))</f>
        <v>0</v>
      </c>
      <c r="AD20" s="1">
        <f>IF(INDEX(Last10Away_Stats_All!$A:$A,ROW()-ROW($Q$16)+2)="","",
IFERROR(
INDEX(Last10Away_Stats_All!$A:$ZZ,ROW()-ROW($Q$16)+2,COLUMN()-COLUMN($Q$16)+1),
""))</f>
        <v>1</v>
      </c>
      <c r="AE20" s="1">
        <f>IF(INDEX(Last10Away_Stats_All!$A:$A,ROW()-ROW($Q$16)+2)="","",
IFERROR(
INDEX(Last10Away_Stats_All!$A:$ZZ,ROW()-ROW($Q$16)+2,COLUMN()-COLUMN($Q$16)+1),
""))</f>
        <v>0</v>
      </c>
      <c r="AF20" s="1">
        <f>IF(INDEX(Last10Away_Stats_All!$A:$A,ROW()-ROW($Q$16)+2)="","",
IFERROR(
INDEX(Last10Away_Stats_All!$A:$ZZ,ROW()-ROW($Q$16)+2,COLUMN()-COLUMN($Q$16)+1),
""))</f>
        <v>1</v>
      </c>
      <c r="AG20" s="1">
        <f>IF(INDEX(Last10Away_Stats_All!$A:$A,ROW()-ROW($Q$16)+2)="","",
IFERROR(
INDEX(Last10Away_Stats_All!$A:$ZZ,ROW()-ROW($Q$16)+2,COLUMN()-COLUMN($Q$16)+1),
""))</f>
        <v>4</v>
      </c>
      <c r="AH20" s="1">
        <f>IF(INDEX(Last10Away_Stats_All!$A:$A,ROW()-ROW($Q$16)+2)="","",
IFERROR(
INDEX(Last10Away_Stats_All!$A:$ZZ,ROW()-ROW($Q$16)+2,COLUMN()-COLUMN($Q$16)+1),
""))</f>
        <v>1</v>
      </c>
      <c r="AI20" s="1">
        <f>IF(INDEX(Last10Away_Stats_All!$A:$A,ROW()-ROW($Q$16)+2)="","",
IFERROR(
INDEX(Last10Away_Stats_All!$A:$ZZ,ROW()-ROW($Q$16)+2,COLUMN()-COLUMN($Q$16)+1),
""))</f>
        <v>11</v>
      </c>
      <c r="AJ20" s="1">
        <f>IF(INDEX(Last10Away_Stats_All!$A:$A,ROW()-ROW($Q$16)+2)="","",
IFERROR(
INDEX(Last10Away_Stats_All!$A:$ZZ,ROW()-ROW($Q$16)+2,COLUMN()-COLUMN($Q$16)+1),
""))</f>
        <v>3</v>
      </c>
      <c r="AK20" s="1">
        <f>IF(INDEX(Last10Away_Stats_All!$A:$A,ROW()-ROW($Q$16)+2)="","",
IFERROR(
INDEX(Last10Away_Stats_All!$A:$ZZ,ROW()-ROW($Q$16)+2,COLUMN()-COLUMN($Q$16)+1),
""))</f>
        <v>18</v>
      </c>
      <c r="AL20" s="1">
        <f>IF(INDEX(Last10Away_Stats_All!$A:$A,ROW()-ROW($Q$16)+2)="","",
IFERROR(
INDEX(Last10Away_Stats_All!$A:$ZZ,ROW()-ROW($Q$16)+2,COLUMN()-COLUMN($Q$16)+1),
""))</f>
        <v>6</v>
      </c>
      <c r="AM20" s="1">
        <f>IF(INDEX(Last10Away_Stats_All!$A:$A,ROW()-ROW($Q$16)+2)="","",
IFERROR(
INDEX(Last10Away_Stats_All!$A:$ZZ,ROW()-ROW($Q$16)+2,COLUMN()-COLUMN($Q$16)+1),
""))</f>
        <v>3</v>
      </c>
      <c r="AN20" s="1">
        <f>IF(INDEX(Last10Away_Stats_All!$A:$A,ROW()-ROW($Q$16)+2)="","",
IFERROR(
INDEX(Last10Away_Stats_All!$A:$ZZ,ROW()-ROW($Q$16)+2,COLUMN()-COLUMN($Q$16)+1),
""))</f>
        <v>2</v>
      </c>
      <c r="AO20" s="1">
        <f>IF(INDEX(Last10Away_Stats_All!$A:$A,ROW()-ROW($Q$16)+2)="","",
IFERROR(
INDEX(Last10Away_Stats_All!$A:$ZZ,ROW()-ROW($Q$16)+2,COLUMN()-COLUMN($Q$16)+1),
""))</f>
        <v>12</v>
      </c>
      <c r="AP20" s="1">
        <f>IF(INDEX(Last10Away_Stats_All!$A:$A,ROW()-ROW($Q$16)+2)="","",
IFERROR(
INDEX(Last10Away_Stats_All!$A:$ZZ,ROW()-ROW($Q$16)+2,COLUMN()-COLUMN($Q$16)+1),
""))</f>
        <v>4</v>
      </c>
      <c r="AQ20" s="1">
        <f>IF(INDEX(Last10Away_Stats_All!$A:$A,ROW()-ROW($Q$16)+2)="","",
IFERROR(
INDEX(Last10Away_Stats_All!$A:$ZZ,ROW()-ROW($Q$16)+2,COLUMN()-COLUMN($Q$16)+1),
""))</f>
        <v>6</v>
      </c>
      <c r="AR20" s="1">
        <f>IF(INDEX(Last10Away_Stats_All!$A:$A,ROW()-ROW($Q$16)+2)="","",
IFERROR(
INDEX(Last10Away_Stats_All!$A:$ZZ,ROW()-ROW($Q$16)+2,COLUMN()-COLUMN($Q$16)+1),
""))</f>
        <v>2</v>
      </c>
      <c r="AS20" s="1">
        <f>IF(INDEX(Last10Away_Stats_All!$A:$A,ROW()-ROW($Q$16)+2)="","",
IFERROR(
INDEX(Last10Away_Stats_All!$A:$ZZ,ROW()-ROW($Q$16)+2,COLUMN()-COLUMN($Q$16)+1),
""))</f>
        <v>6</v>
      </c>
      <c r="AT20" s="1">
        <f>IF(INDEX(Last10Away_Stats_All!$A:$A,ROW()-ROW($Q$16)+2)="","",
IFERROR(
INDEX(Last10Away_Stats_All!$A:$ZZ,ROW()-ROW($Q$16)+2,COLUMN()-COLUMN($Q$16)+1),
""))</f>
        <v>14</v>
      </c>
      <c r="AU20" s="1">
        <f>IF(INDEX(Last10Away_Stats_All!$A:$A,ROW()-ROW($Q$16)+2)="","",
IFERROR(
INDEX(Last10Away_Stats_All!$A:$ZZ,ROW()-ROW($Q$16)+2,COLUMN()-COLUMN($Q$16)+1),
""))</f>
        <v>5</v>
      </c>
      <c r="AV20" s="1">
        <f>IF(INDEX(Last10Away_Stats_All!$A:$A,ROW()-ROW($Q$16)+2)="","",
IFERROR(
INDEX(Last10Away_Stats_All!$A:$ZZ,ROW()-ROW($Q$16)+2,COLUMN()-COLUMN($Q$16)+1),
""))</f>
        <v>5</v>
      </c>
      <c r="AW20" s="1">
        <f>IF(INDEX(Last10Away_Stats_All!$A:$A,ROW()-ROW($Q$16)+2)="","",
IFERROR(
INDEX(Last10Away_Stats_All!$A:$ZZ,ROW()-ROW($Q$16)+2,COLUMN()-COLUMN($Q$16)+1),
""))</f>
        <v>2</v>
      </c>
      <c r="AX20" s="1">
        <f>IF(INDEX(Last10Away_Stats_All!$A:$A,ROW()-ROW($Q$16)+2)="","",
IFERROR(
INDEX(Last10Away_Stats_All!$A:$ZZ,ROW()-ROW($Q$16)+2,COLUMN()-COLUMN($Q$16)+1),
""))</f>
        <v>1</v>
      </c>
      <c r="AY20" s="1">
        <f>IF(INDEX(Last10Away_Stats_All!$A:$A,ROW()-ROW($Q$16)+2)="","",
IFERROR(
INDEX(Last10Away_Stats_All!$A:$ZZ,ROW()-ROW($Q$16)+2,COLUMN()-COLUMN($Q$16)+1),
""))</f>
        <v>59</v>
      </c>
      <c r="AZ20" s="1">
        <f>IF(INDEX(Last10Away_Stats_All!$A:$A,ROW()-ROW($Q$16)+2)="","",
IFERROR(
INDEX(Last10Away_Stats_All!$A:$ZZ,ROW()-ROW($Q$16)+2,COLUMN()-COLUMN($Q$16)+1),
""))</f>
        <v>41</v>
      </c>
      <c r="BA20" s="1">
        <f>IF(INDEX(Last10Away_Stats_All!$A:$A,ROW()-ROW($Q$16)+2)="","",
IFERROR(
INDEX(Last10Away_Stats_All!$A:$ZZ,ROW()-ROW($Q$16)+2,COLUMN()-COLUMN($Q$16)+1),
""))</f>
        <v>0</v>
      </c>
      <c r="BB20" s="1">
        <f>IF(INDEX(Last10Away_Stats_All!$A:$A,ROW()-ROW($Q$16)+2)="","",
IFERROR(
INDEX(Last10Away_Stats_All!$A:$ZZ,ROW()-ROW($Q$16)+2,COLUMN()-COLUMN($Q$16)+1),
""))</f>
        <v>2</v>
      </c>
      <c r="BC20" s="1">
        <f>IF(INDEX(Last10Away_Stats_All!$A:$A,ROW()-ROW($Q$16)+2)="","",
IFERROR(
INDEX(Last10Away_Stats_All!$A:$ZZ,ROW()-ROW($Q$16)+2,COLUMN()-COLUMN($Q$16)+1),
""))</f>
        <v>0</v>
      </c>
      <c r="BD20" s="1">
        <f>IF(INDEX(Last10Away_Stats_All!$A:$A,ROW()-ROW($Q$16)+2)="","",
IFERROR(
INDEX(Last10Away_Stats_All!$A:$ZZ,ROW()-ROW($Q$16)+2,COLUMN()-COLUMN($Q$16)+1),
""))</f>
        <v>0</v>
      </c>
      <c r="BE20" s="1">
        <f>IF(INDEX(Last10Away_Stats_All!$A:$A,ROW()-ROW($Q$16)+2)="","",
IFERROR(
INDEX(Last10Away_Stats_All!$A:$ZZ,ROW()-ROW($Q$16)+2,COLUMN()-COLUMN($Q$16)+1),
""))</f>
        <v>1</v>
      </c>
      <c r="BF20" s="1">
        <f>IF(INDEX(Last10Away_Stats_All!$A:$A,ROW()-ROW($Q$16)+2)="","",
IFERROR(
INDEX(Last10Away_Stats_All!$A:$ZZ,ROW()-ROW($Q$16)+2,COLUMN()-COLUMN($Q$16)+1),
""))</f>
        <v>4</v>
      </c>
      <c r="BG20" s="1">
        <f>IF(INDEX(Last10Away_Stats_All!$A:$A,ROW()-ROW($Q$16)+2)="","",
IFERROR(
INDEX(Last10Away_Stats_All!$A:$ZZ,ROW()-ROW($Q$16)+2,COLUMN()-COLUMN($Q$16)+1),
""))</f>
        <v>422</v>
      </c>
      <c r="BH20" s="1">
        <f>IF(INDEX(Last10Away_Stats_All!$A:$A,ROW()-ROW($Q$16)+2)="","",
IFERROR(
INDEX(Last10Away_Stats_All!$A:$ZZ,ROW()-ROW($Q$16)+2,COLUMN()-COLUMN($Q$16)+1),
""))</f>
        <v>299</v>
      </c>
      <c r="BI20" s="1">
        <f>IF(INDEX(Last10Away_Stats_All!$A:$A,ROW()-ROW($Q$16)+2)="","",
IFERROR(
INDEX(Last10Away_Stats_All!$A:$ZZ,ROW()-ROW($Q$16)+2,COLUMN()-COLUMN($Q$16)+1),
""))</f>
        <v>312</v>
      </c>
      <c r="BJ20" s="1">
        <f>IF(INDEX(Last10Away_Stats_All!$A:$A,ROW()-ROW($Q$16)+2)="","",
IFERROR(
INDEX(Last10Away_Stats_All!$A:$ZZ,ROW()-ROW($Q$16)+2,COLUMN()-COLUMN($Q$16)+1),
""))</f>
        <v>187</v>
      </c>
      <c r="BK20" s="1">
        <f>IF(INDEX(Last10Away_Stats_All!$A:$A,ROW()-ROW($Q$16)+2)="","",
IFERROR(
INDEX(Last10Away_Stats_All!$A:$ZZ,ROW()-ROW($Q$16)+2,COLUMN()-COLUMN($Q$16)+1),
""))</f>
        <v>74</v>
      </c>
      <c r="BL20" s="1">
        <f>IF(INDEX(Last10Away_Stats_All!$A:$A,ROW()-ROW($Q$16)+2)="","",
IFERROR(
INDEX(Last10Away_Stats_All!$A:$ZZ,ROW()-ROW($Q$16)+2,COLUMN()-COLUMN($Q$16)+1),
""))</f>
        <v>63</v>
      </c>
      <c r="BM20" s="1">
        <f>IF(INDEX(Last10Away_Stats_All!$A:$A,ROW()-ROW($Q$16)+2)="","",
IFERROR(
INDEX(Last10Away_Stats_All!$A:$ZZ,ROW()-ROW($Q$16)+2,COLUMN()-COLUMN($Q$16)+1),
""))</f>
        <v>0</v>
      </c>
      <c r="BN20" s="1">
        <f>IF(INDEX(Last10Away_Stats_All!$A:$A,ROW()-ROW($Q$16)+2)="","",
IFERROR(
INDEX(Last10Away_Stats_All!$A:$ZZ,ROW()-ROW($Q$16)+2,COLUMN()-COLUMN($Q$16)+1),
""))</f>
        <v>0</v>
      </c>
      <c r="BO20" s="1">
        <f>IF(INDEX(Last10Away_Stats_All!$A:$A,ROW()-ROW($Q$16)+2)="","",
IFERROR(
INDEX(Last10Away_Stats_All!$A:$ZZ,ROW()-ROW($Q$16)+2,COLUMN()-COLUMN($Q$16)+1),
""))</f>
        <v>0</v>
      </c>
      <c r="BP20" s="1">
        <f>IF(INDEX(Last10Away_Stats_All!$A:$A,ROW()-ROW($Q$16)+2)="","",
IFERROR(
INDEX(Last10Away_Stats_All!$A:$ZZ,ROW()-ROW($Q$16)+2,COLUMN()-COLUMN($Q$16)+1),
""))</f>
        <v>0</v>
      </c>
      <c r="BR20" s="1" t="str">
        <f>IF(OR(Control!AC20="",Control!AD20=""),"",Control!AC20&amp;" : "&amp;Control!AD20)</f>
        <v>0 : 1</v>
      </c>
      <c r="BS20" s="1" t="str">
        <f>IF(OR(Control!AE20="",Control!AF20=""),"",Control!AE20&amp;" : "&amp;Control!AF20)</f>
        <v>0 : 1</v>
      </c>
      <c r="BT20" s="1" t="str">
        <f>IF(OR(Control!AU20="",Control!AV20=""),"",Control!AU20&amp;" : "&amp;Control!AV20)</f>
        <v>5 : 5</v>
      </c>
      <c r="BV20" s="1">
        <f>IFERROR(INDEX(tblStandings[#All],ROW(A20),COLUMN(A20)),"")</f>
        <v>19</v>
      </c>
      <c r="BW20" s="1" t="str">
        <f>IFERROR(INDEX(tblStandings[#All],ROW(B20),COLUMN(B20)),"")</f>
        <v>Cheltenham</v>
      </c>
      <c r="BX20" s="1">
        <f>IFERROR(INDEX(tblStandings[#All],ROW(C20),COLUMN(C20)),"")</f>
        <v>40</v>
      </c>
      <c r="BY20" s="1">
        <f>IFERROR(INDEX(tblStandings[#All],ROW(D20),COLUMN(D20)),"")</f>
        <v>11</v>
      </c>
      <c r="BZ20" s="1">
        <f>IFERROR(INDEX(tblStandings[#All],ROW(E20),COLUMN(E20)),"")</f>
        <v>10</v>
      </c>
      <c r="CA20" s="1">
        <f>IFERROR(INDEX(tblStandings[#All],ROW(F20),COLUMN(F20)),"")</f>
        <v>19</v>
      </c>
      <c r="CB20" s="1">
        <f>IFERROR(INDEX(tblStandings[#All],ROW(G20),COLUMN(G20)),"")</f>
        <v>44</v>
      </c>
      <c r="CC20" s="1">
        <f>IFERROR(INDEX(tblStandings[#All],ROW(H20),COLUMN(H20)),"")</f>
        <v>67</v>
      </c>
      <c r="CD20" s="1">
        <f>IFERROR(INDEX(tblStandings[#All],ROW(I20),COLUMN(I20)),"")</f>
        <v>-23</v>
      </c>
      <c r="CE20" s="1">
        <f>IFERROR(INDEX(tblStandings[#All],ROW(J20),COLUMN(J20)),"")</f>
        <v>43</v>
      </c>
      <c r="CF20" s="1" t="str">
        <f>IFERROR(INDEX(tblStandings[#All],ROW(K20),COLUMN(K20)),"")</f>
        <v>DLLDW</v>
      </c>
      <c r="CG20" s="1" t="str">
        <f t="shared" si="0"/>
        <v>D</v>
      </c>
      <c r="CH20" s="1" t="str">
        <f t="shared" si="1"/>
        <v>L</v>
      </c>
      <c r="CI20" s="1" t="str">
        <f t="shared" si="2"/>
        <v>L</v>
      </c>
      <c r="CJ20" s="1" t="str">
        <f t="shared" si="3"/>
        <v>D</v>
      </c>
      <c r="CK20" s="1" t="str">
        <f t="shared" si="4"/>
        <v>W</v>
      </c>
    </row>
    <row r="21" spans="1:89" x14ac:dyDescent="0.25">
      <c r="H21" s="1">
        <v>1513024</v>
      </c>
      <c r="I21" s="4">
        <v>46330.0625</v>
      </c>
      <c r="J21" s="1" t="s">
        <v>32</v>
      </c>
      <c r="K21" s="1" t="s">
        <v>362</v>
      </c>
      <c r="L21" s="1" t="s">
        <v>363</v>
      </c>
      <c r="M21" s="1" t="s">
        <v>754</v>
      </c>
      <c r="N21" s="1" t="s">
        <v>2441</v>
      </c>
      <c r="O21" s="1" t="s">
        <v>7188</v>
      </c>
      <c r="Q21" s="1">
        <f>IF(INDEX(Last10Away_Stats_All!$A:$A,ROW()-ROW($Q$16)+2)="","",
IFERROR(
INDEX(Last10Away_Stats_All!$A:$ZZ,ROW()-ROW($Q$16)+2,COLUMN()-COLUMN($Q$16)+1),
""))</f>
        <v>1386385</v>
      </c>
      <c r="R21" s="1" t="str">
        <f>IF(INDEX(Last10Away_Stats_All!$A:$A,ROW()-ROW($Q$16)+2)="","",
IFERROR(
INDEX(Last10Away_Stats_All!$A:$ZZ,ROW()-ROW($Q$16)+2,COLUMN()-COLUMN($Q$16)+1),
""))</f>
        <v>17/02/2026 19:45</v>
      </c>
      <c r="S21" s="1" t="str">
        <f>IF(INDEX(Last10Away_Stats_All!$A:$A,ROW()-ROW($Q$16)+2)="","",
IFERROR(
INDEX(Last10Away_Stats_All!$A:$ZZ,ROW()-ROW($Q$16)+2,COLUMN()-COLUMN($Q$16)+1),
""))</f>
        <v>England</v>
      </c>
      <c r="T21" s="1" t="str">
        <f>IF(INDEX(Last10Away_Stats_All!$A:$A,ROW()-ROW($Q$16)+2)="","",
IFERROR(
INDEX(Last10Away_Stats_All!$A:$ZZ,ROW()-ROW($Q$16)+2,COLUMN()-COLUMN($Q$16)+1),
""))</f>
        <v>League Two</v>
      </c>
      <c r="U21" s="1" t="str">
        <f>IF(INDEX(Last10Away_Stats_All!$A:$A,ROW()-ROW($Q$16)+2)="","",
IFERROR(
INDEX(Last10Away_Stats_All!$A:$ZZ,ROW()-ROW($Q$16)+2,COLUMN()-COLUMN($Q$16)+1),
""))</f>
        <v>https://media.api-sports.io/football/teams/1363.png</v>
      </c>
      <c r="V21" s="1" t="str">
        <f>IF(INDEX(Last10Away_Stats_All!$A:$A,ROW()-ROW($Q$16)+2)="","",
IFERROR(
INDEX(Last10Away_Stats_All!$A:$ZZ,ROW()-ROW($Q$16)+2,COLUMN()-COLUMN($Q$16)+1),
""))</f>
        <v>Crewe</v>
      </c>
      <c r="W21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1" s="1" t="str">
        <f>IF(INDEX(Last10Away_Stats_All!$A:$A,ROW()-ROW($Q$16)+2)="","",
IFERROR(
INDEX(Last10Away_Stats_All!$A:$ZZ,ROW()-ROW($Q$16)+2,COLUMN()-COLUMN($Q$16)+1),
""))</f>
        <v>Fleetwood Town</v>
      </c>
      <c r="Y21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21" s="1" t="str">
        <f>IF(INDEX(Last10Away_Stats_All!$A:$A,ROW()-ROW($Q$16)+2)="","",
IFERROR(
INDEX(Last10Away_Stats_All!$A:$ZZ,ROW()-ROW($Q$16)+2,COLUMN()-COLUMN($Q$16)+1),
""))</f>
        <v>https://media.api-sports.io/flags/gb-eng.svg</v>
      </c>
      <c r="AA21" s="1">
        <f>IF(INDEX(Last10Away_Stats_All!$A:$A,ROW()-ROW($Q$16)+2)="","",
IFERROR(
INDEX(Last10Away_Stats_All!$A:$ZZ,ROW()-ROW($Q$16)+2,COLUMN()-COLUMN($Q$16)+1),
""))</f>
        <v>0</v>
      </c>
      <c r="AB21" s="1">
        <f>IF(INDEX(Last10Away_Stats_All!$A:$A,ROW()-ROW($Q$16)+2)="","",
IFERROR(
INDEX(Last10Away_Stats_All!$A:$ZZ,ROW()-ROW($Q$16)+2,COLUMN()-COLUMN($Q$16)+1),
""))</f>
        <v>1</v>
      </c>
      <c r="AC21" s="1">
        <f>IF(INDEX(Last10Away_Stats_All!$A:$A,ROW()-ROW($Q$16)+2)="","",
IFERROR(
INDEX(Last10Away_Stats_All!$A:$ZZ,ROW()-ROW($Q$16)+2,COLUMN()-COLUMN($Q$16)+1),
""))</f>
        <v>0</v>
      </c>
      <c r="AD21" s="1">
        <f>IF(INDEX(Last10Away_Stats_All!$A:$A,ROW()-ROW($Q$16)+2)="","",
IFERROR(
INDEX(Last10Away_Stats_All!$A:$ZZ,ROW()-ROW($Q$16)+2,COLUMN()-COLUMN($Q$16)+1),
""))</f>
        <v>1</v>
      </c>
      <c r="AE21" s="1">
        <f>IF(INDEX(Last10Away_Stats_All!$A:$A,ROW()-ROW($Q$16)+2)="","",
IFERROR(
INDEX(Last10Away_Stats_All!$A:$ZZ,ROW()-ROW($Q$16)+2,COLUMN()-COLUMN($Q$16)+1),
""))</f>
        <v>0</v>
      </c>
      <c r="AF21" s="1">
        <f>IF(INDEX(Last10Away_Stats_All!$A:$A,ROW()-ROW($Q$16)+2)="","",
IFERROR(
INDEX(Last10Away_Stats_All!$A:$ZZ,ROW()-ROW($Q$16)+2,COLUMN()-COLUMN($Q$16)+1),
""))</f>
        <v>1</v>
      </c>
      <c r="AG21" s="1">
        <f>IF(INDEX(Last10Away_Stats_All!$A:$A,ROW()-ROW($Q$16)+2)="","",
IFERROR(
INDEX(Last10Away_Stats_All!$A:$ZZ,ROW()-ROW($Q$16)+2,COLUMN()-COLUMN($Q$16)+1),
""))</f>
        <v>1</v>
      </c>
      <c r="AH21" s="1">
        <f>IF(INDEX(Last10Away_Stats_All!$A:$A,ROW()-ROW($Q$16)+2)="","",
IFERROR(
INDEX(Last10Away_Stats_All!$A:$ZZ,ROW()-ROW($Q$16)+2,COLUMN()-COLUMN($Q$16)+1),
""))</f>
        <v>5</v>
      </c>
      <c r="AI21" s="1">
        <f>IF(INDEX(Last10Away_Stats_All!$A:$A,ROW()-ROW($Q$16)+2)="","",
IFERROR(
INDEX(Last10Away_Stats_All!$A:$ZZ,ROW()-ROW($Q$16)+2,COLUMN()-COLUMN($Q$16)+1),
""))</f>
        <v>2</v>
      </c>
      <c r="AJ21" s="1">
        <f>IF(INDEX(Last10Away_Stats_All!$A:$A,ROW()-ROW($Q$16)+2)="","",
IFERROR(
INDEX(Last10Away_Stats_All!$A:$ZZ,ROW()-ROW($Q$16)+2,COLUMN()-COLUMN($Q$16)+1),
""))</f>
        <v>9</v>
      </c>
      <c r="AK21" s="1">
        <f>IF(INDEX(Last10Away_Stats_All!$A:$A,ROW()-ROW($Q$16)+2)="","",
IFERROR(
INDEX(Last10Away_Stats_All!$A:$ZZ,ROW()-ROW($Q$16)+2,COLUMN()-COLUMN($Q$16)+1),
""))</f>
        <v>7</v>
      </c>
      <c r="AL21" s="1">
        <f>IF(INDEX(Last10Away_Stats_All!$A:$A,ROW()-ROW($Q$16)+2)="","",
IFERROR(
INDEX(Last10Away_Stats_All!$A:$ZZ,ROW()-ROW($Q$16)+2,COLUMN()-COLUMN($Q$16)+1),
""))</f>
        <v>17</v>
      </c>
      <c r="AM21" s="1">
        <f>IF(INDEX(Last10Away_Stats_All!$A:$A,ROW()-ROW($Q$16)+2)="","",
IFERROR(
INDEX(Last10Away_Stats_All!$A:$ZZ,ROW()-ROW($Q$16)+2,COLUMN()-COLUMN($Q$16)+1),
""))</f>
        <v>5</v>
      </c>
      <c r="AN21" s="1">
        <f>IF(INDEX(Last10Away_Stats_All!$A:$A,ROW()-ROW($Q$16)+2)="","",
IFERROR(
INDEX(Last10Away_Stats_All!$A:$ZZ,ROW()-ROW($Q$16)+2,COLUMN()-COLUMN($Q$16)+1),
""))</f>
        <v>3</v>
      </c>
      <c r="AO21" s="1">
        <f>IF(INDEX(Last10Away_Stats_All!$A:$A,ROW()-ROW($Q$16)+2)="","",
IFERROR(
INDEX(Last10Away_Stats_All!$A:$ZZ,ROW()-ROW($Q$16)+2,COLUMN()-COLUMN($Q$16)+1),
""))</f>
        <v>6</v>
      </c>
      <c r="AP21" s="1">
        <f>IF(INDEX(Last10Away_Stats_All!$A:$A,ROW()-ROW($Q$16)+2)="","",
IFERROR(
INDEX(Last10Away_Stats_All!$A:$ZZ,ROW()-ROW($Q$16)+2,COLUMN()-COLUMN($Q$16)+1),
""))</f>
        <v>10</v>
      </c>
      <c r="AQ21" s="1">
        <f>IF(INDEX(Last10Away_Stats_All!$A:$A,ROW()-ROW($Q$16)+2)="","",
IFERROR(
INDEX(Last10Away_Stats_All!$A:$ZZ,ROW()-ROW($Q$16)+2,COLUMN()-COLUMN($Q$16)+1),
""))</f>
        <v>1</v>
      </c>
      <c r="AR21" s="1">
        <f>IF(INDEX(Last10Away_Stats_All!$A:$A,ROW()-ROW($Q$16)+2)="","",
IFERROR(
INDEX(Last10Away_Stats_All!$A:$ZZ,ROW()-ROW($Q$16)+2,COLUMN()-COLUMN($Q$16)+1),
""))</f>
        <v>7</v>
      </c>
      <c r="AS21" s="1">
        <f>IF(INDEX(Last10Away_Stats_All!$A:$A,ROW()-ROW($Q$16)+2)="","",
IFERROR(
INDEX(Last10Away_Stats_All!$A:$ZZ,ROW()-ROW($Q$16)+2,COLUMN()-COLUMN($Q$16)+1),
""))</f>
        <v>7</v>
      </c>
      <c r="AT21" s="1">
        <f>IF(INDEX(Last10Away_Stats_All!$A:$A,ROW()-ROW($Q$16)+2)="","",
IFERROR(
INDEX(Last10Away_Stats_All!$A:$ZZ,ROW()-ROW($Q$16)+2,COLUMN()-COLUMN($Q$16)+1),
""))</f>
        <v>18</v>
      </c>
      <c r="AU21" s="1">
        <f>IF(INDEX(Last10Away_Stats_All!$A:$A,ROW()-ROW($Q$16)+2)="","",
IFERROR(
INDEX(Last10Away_Stats_All!$A:$ZZ,ROW()-ROW($Q$16)+2,COLUMN()-COLUMN($Q$16)+1),
""))</f>
        <v>3</v>
      </c>
      <c r="AV21" s="1">
        <f>IF(INDEX(Last10Away_Stats_All!$A:$A,ROW()-ROW($Q$16)+2)="","",
IFERROR(
INDEX(Last10Away_Stats_All!$A:$ZZ,ROW()-ROW($Q$16)+2,COLUMN()-COLUMN($Q$16)+1),
""))</f>
        <v>5</v>
      </c>
      <c r="AW21" s="1">
        <f>IF(INDEX(Last10Away_Stats_All!$A:$A,ROW()-ROW($Q$16)+2)="","",
IFERROR(
INDEX(Last10Away_Stats_All!$A:$ZZ,ROW()-ROW($Q$16)+2,COLUMN()-COLUMN($Q$16)+1),
""))</f>
        <v>4</v>
      </c>
      <c r="AX21" s="1">
        <f>IF(INDEX(Last10Away_Stats_All!$A:$A,ROW()-ROW($Q$16)+2)="","",
IFERROR(
INDEX(Last10Away_Stats_All!$A:$ZZ,ROW()-ROW($Q$16)+2,COLUMN()-COLUMN($Q$16)+1),
""))</f>
        <v>1</v>
      </c>
      <c r="AY21" s="1">
        <f>IF(INDEX(Last10Away_Stats_All!$A:$A,ROW()-ROW($Q$16)+2)="","",
IFERROR(
INDEX(Last10Away_Stats_All!$A:$ZZ,ROW()-ROW($Q$16)+2,COLUMN()-COLUMN($Q$16)+1),
""))</f>
        <v>52</v>
      </c>
      <c r="AZ21" s="1">
        <f>IF(INDEX(Last10Away_Stats_All!$A:$A,ROW()-ROW($Q$16)+2)="","",
IFERROR(
INDEX(Last10Away_Stats_All!$A:$ZZ,ROW()-ROW($Q$16)+2,COLUMN()-COLUMN($Q$16)+1),
""))</f>
        <v>48</v>
      </c>
      <c r="BA21" s="1">
        <f>IF(INDEX(Last10Away_Stats_All!$A:$A,ROW()-ROW($Q$16)+2)="","",
IFERROR(
INDEX(Last10Away_Stats_All!$A:$ZZ,ROW()-ROW($Q$16)+2,COLUMN()-COLUMN($Q$16)+1),
""))</f>
        <v>0</v>
      </c>
      <c r="BB21" s="1">
        <f>IF(INDEX(Last10Away_Stats_All!$A:$A,ROW()-ROW($Q$16)+2)="","",
IFERROR(
INDEX(Last10Away_Stats_All!$A:$ZZ,ROW()-ROW($Q$16)+2,COLUMN()-COLUMN($Q$16)+1),
""))</f>
        <v>3</v>
      </c>
      <c r="BC21" s="1">
        <f>IF(INDEX(Last10Away_Stats_All!$A:$A,ROW()-ROW($Q$16)+2)="","",
IFERROR(
INDEX(Last10Away_Stats_All!$A:$ZZ,ROW()-ROW($Q$16)+2,COLUMN()-COLUMN($Q$16)+1),
""))</f>
        <v>0</v>
      </c>
      <c r="BD21" s="1">
        <f>IF(INDEX(Last10Away_Stats_All!$A:$A,ROW()-ROW($Q$16)+2)="","",
IFERROR(
INDEX(Last10Away_Stats_All!$A:$ZZ,ROW()-ROW($Q$16)+2,COLUMN()-COLUMN($Q$16)+1),
""))</f>
        <v>0</v>
      </c>
      <c r="BE21" s="1">
        <f>IF(INDEX(Last10Away_Stats_All!$A:$A,ROW()-ROW($Q$16)+2)="","",
IFERROR(
INDEX(Last10Away_Stats_All!$A:$ZZ,ROW()-ROW($Q$16)+2,COLUMN()-COLUMN($Q$16)+1),
""))</f>
        <v>4</v>
      </c>
      <c r="BF21" s="1">
        <f>IF(INDEX(Last10Away_Stats_All!$A:$A,ROW()-ROW($Q$16)+2)="","",
IFERROR(
INDEX(Last10Away_Stats_All!$A:$ZZ,ROW()-ROW($Q$16)+2,COLUMN()-COLUMN($Q$16)+1),
""))</f>
        <v>0</v>
      </c>
      <c r="BG21" s="1">
        <f>IF(INDEX(Last10Away_Stats_All!$A:$A,ROW()-ROW($Q$16)+2)="","",
IFERROR(
INDEX(Last10Away_Stats_All!$A:$ZZ,ROW()-ROW($Q$16)+2,COLUMN()-COLUMN($Q$16)+1),
""))</f>
        <v>364</v>
      </c>
      <c r="BH21" s="1">
        <f>IF(INDEX(Last10Away_Stats_All!$A:$A,ROW()-ROW($Q$16)+2)="","",
IFERROR(
INDEX(Last10Away_Stats_All!$A:$ZZ,ROW()-ROW($Q$16)+2,COLUMN()-COLUMN($Q$16)+1),
""))</f>
        <v>351</v>
      </c>
      <c r="BI21" s="1">
        <f>IF(INDEX(Last10Away_Stats_All!$A:$A,ROW()-ROW($Q$16)+2)="","",
IFERROR(
INDEX(Last10Away_Stats_All!$A:$ZZ,ROW()-ROW($Q$16)+2,COLUMN()-COLUMN($Q$16)+1),
""))</f>
        <v>262</v>
      </c>
      <c r="BJ21" s="1">
        <f>IF(INDEX(Last10Away_Stats_All!$A:$A,ROW()-ROW($Q$16)+2)="","",
IFERROR(
INDEX(Last10Away_Stats_All!$A:$ZZ,ROW()-ROW($Q$16)+2,COLUMN()-COLUMN($Q$16)+1),
""))</f>
        <v>239</v>
      </c>
      <c r="BK21" s="1">
        <f>IF(INDEX(Last10Away_Stats_All!$A:$A,ROW()-ROW($Q$16)+2)="","",
IFERROR(
INDEX(Last10Away_Stats_All!$A:$ZZ,ROW()-ROW($Q$16)+2,COLUMN()-COLUMN($Q$16)+1),
""))</f>
        <v>72</v>
      </c>
      <c r="BL21" s="1">
        <f>IF(INDEX(Last10Away_Stats_All!$A:$A,ROW()-ROW($Q$16)+2)="","",
IFERROR(
INDEX(Last10Away_Stats_All!$A:$ZZ,ROW()-ROW($Q$16)+2,COLUMN()-COLUMN($Q$16)+1),
""))</f>
        <v>68</v>
      </c>
      <c r="BM21" s="1">
        <f>IF(INDEX(Last10Away_Stats_All!$A:$A,ROW()-ROW($Q$16)+2)="","",
IFERROR(
INDEX(Last10Away_Stats_All!$A:$ZZ,ROW()-ROW($Q$16)+2,COLUMN()-COLUMN($Q$16)+1),
""))</f>
        <v>0</v>
      </c>
      <c r="BN21" s="1">
        <f>IF(INDEX(Last10Away_Stats_All!$A:$A,ROW()-ROW($Q$16)+2)="","",
IFERROR(
INDEX(Last10Away_Stats_All!$A:$ZZ,ROW()-ROW($Q$16)+2,COLUMN()-COLUMN($Q$16)+1),
""))</f>
        <v>0</v>
      </c>
      <c r="BO21" s="1">
        <f>IF(INDEX(Last10Away_Stats_All!$A:$A,ROW()-ROW($Q$16)+2)="","",
IFERROR(
INDEX(Last10Away_Stats_All!$A:$ZZ,ROW()-ROW($Q$16)+2,COLUMN()-COLUMN($Q$16)+1),
""))</f>
        <v>0</v>
      </c>
      <c r="BP21" s="1">
        <f>IF(INDEX(Last10Away_Stats_All!$A:$A,ROW()-ROW($Q$16)+2)="","",
IFERROR(
INDEX(Last10Away_Stats_All!$A:$ZZ,ROW()-ROW($Q$16)+2,COLUMN()-COLUMN($Q$16)+1),
""))</f>
        <v>0</v>
      </c>
      <c r="BR21" s="1" t="str">
        <f>IF(OR(Control!AC21="",Control!AD21=""),"",Control!AC21&amp;" : "&amp;Control!AD21)</f>
        <v>0 : 1</v>
      </c>
      <c r="BS21" s="1" t="str">
        <f>IF(OR(Control!AE21="",Control!AF21=""),"",Control!AE21&amp;" : "&amp;Control!AF21)</f>
        <v>0 : 1</v>
      </c>
      <c r="BT21" s="1" t="str">
        <f>IF(OR(Control!AU21="",Control!AV21=""),"",Control!AU21&amp;" : "&amp;Control!AV21)</f>
        <v>3 : 5</v>
      </c>
      <c r="BV21" s="1">
        <f>IFERROR(INDEX(tblStandings[#All],ROW(A21),COLUMN(A21)),"")</f>
        <v>20</v>
      </c>
      <c r="BW21" s="1" t="str">
        <f>IFERROR(INDEX(tblStandings[#All],ROW(B21),COLUMN(B21)),"")</f>
        <v>Crawley Town</v>
      </c>
      <c r="BX21" s="1">
        <f>IFERROR(INDEX(tblStandings[#All],ROW(C21),COLUMN(C21)),"")</f>
        <v>42</v>
      </c>
      <c r="BY21" s="1">
        <f>IFERROR(INDEX(tblStandings[#All],ROW(D21),COLUMN(D21)),"")</f>
        <v>8</v>
      </c>
      <c r="BZ21" s="1">
        <f>IFERROR(INDEX(tblStandings[#All],ROW(E21),COLUMN(E21)),"")</f>
        <v>13</v>
      </c>
      <c r="CA21" s="1">
        <f>IFERROR(INDEX(tblStandings[#All],ROW(F21),COLUMN(F21)),"")</f>
        <v>21</v>
      </c>
      <c r="CB21" s="1">
        <f>IFERROR(INDEX(tblStandings[#All],ROW(G21),COLUMN(G21)),"")</f>
        <v>40</v>
      </c>
      <c r="CC21" s="1">
        <f>IFERROR(INDEX(tblStandings[#All],ROW(H21),COLUMN(H21)),"")</f>
        <v>62</v>
      </c>
      <c r="CD21" s="1">
        <f>IFERROR(INDEX(tblStandings[#All],ROW(I21),COLUMN(I21)),"")</f>
        <v>-22</v>
      </c>
      <c r="CE21" s="1">
        <f>IFERROR(INDEX(tblStandings[#All],ROW(J21),COLUMN(J21)),"")</f>
        <v>37</v>
      </c>
      <c r="CF21" s="1" t="str">
        <f>IFERROR(INDEX(tblStandings[#All],ROW(K21),COLUMN(K21)),"")</f>
        <v>LWWLD</v>
      </c>
      <c r="CG21" s="1" t="str">
        <f t="shared" si="0"/>
        <v>L</v>
      </c>
      <c r="CH21" s="1" t="str">
        <f t="shared" si="1"/>
        <v>W</v>
      </c>
      <c r="CI21" s="1" t="str">
        <f t="shared" si="2"/>
        <v>W</v>
      </c>
      <c r="CJ21" s="1" t="str">
        <f t="shared" si="3"/>
        <v>L</v>
      </c>
      <c r="CK21" s="1" t="str">
        <f t="shared" si="4"/>
        <v>D</v>
      </c>
    </row>
    <row r="22" spans="1:89" x14ac:dyDescent="0.25">
      <c r="A22" s="1" t="s">
        <v>207</v>
      </c>
      <c r="B22" s="1" t="str">
        <f>IFERROR(INDEX($N:$N, MATCH($B$10, $H:$H, 0)), "")</f>
        <v>Fleetwood Town</v>
      </c>
      <c r="C22" s="1">
        <f>IFERROR(
INDEX(Game_Standings_ByFixtureID!$A:$A,
MATCH($B$22,Game_Standings_ByFixtureID!$B:$B,0)
),
"")</f>
        <v>14</v>
      </c>
      <c r="H22" s="1">
        <v>1530500</v>
      </c>
      <c r="I22" s="4">
        <v>46330.0625</v>
      </c>
      <c r="J22" s="1" t="s">
        <v>32</v>
      </c>
      <c r="K22" s="1" t="s">
        <v>364</v>
      </c>
      <c r="L22" s="1" t="s">
        <v>365</v>
      </c>
      <c r="M22" s="1" t="s">
        <v>434</v>
      </c>
      <c r="N22" s="1" t="s">
        <v>2411</v>
      </c>
      <c r="O22" s="1" t="s">
        <v>7189</v>
      </c>
      <c r="Q22" s="1">
        <f>IF(INDEX(Last10Away_Stats_All!$A:$A,ROW()-ROW($Q$16)+2)="","",
IFERROR(
INDEX(Last10Away_Stats_All!$A:$ZZ,ROW()-ROW($Q$16)+2,COLUMN()-COLUMN($Q$16)+1),
""))</f>
        <v>1386375</v>
      </c>
      <c r="R22" s="1" t="str">
        <f>IF(INDEX(Last10Away_Stats_All!$A:$A,ROW()-ROW($Q$16)+2)="","",
IFERROR(
INDEX(Last10Away_Stats_All!$A:$ZZ,ROW()-ROW($Q$16)+2,COLUMN()-COLUMN($Q$16)+1),
""))</f>
        <v>14/02/2026 15:00</v>
      </c>
      <c r="S22" s="1" t="str">
        <f>IF(INDEX(Last10Away_Stats_All!$A:$A,ROW()-ROW($Q$16)+2)="","",
IFERROR(
INDEX(Last10Away_Stats_All!$A:$ZZ,ROW()-ROW($Q$16)+2,COLUMN()-COLUMN($Q$16)+1),
""))</f>
        <v>England</v>
      </c>
      <c r="T22" s="1" t="str">
        <f>IF(INDEX(Last10Away_Stats_All!$A:$A,ROW()-ROW($Q$16)+2)="","",
IFERROR(
INDEX(Last10Away_Stats_All!$A:$ZZ,ROW()-ROW($Q$16)+2,COLUMN()-COLUMN($Q$16)+1),
""))</f>
        <v>League Two</v>
      </c>
      <c r="U22" s="1" t="str">
        <f>IF(INDEX(Last10Away_Stats_All!$A:$A,ROW()-ROW($Q$16)+2)="","",
IFERROR(
INDEX(Last10Away_Stats_All!$A:$ZZ,ROW()-ROW($Q$16)+2,COLUMN()-COLUMN($Q$16)+1),
""))</f>
        <v>https://media.api-sports.io/football/teams/1349.png</v>
      </c>
      <c r="V22" s="1" t="str">
        <f>IF(INDEX(Last10Away_Stats_All!$A:$A,ROW()-ROW($Q$16)+2)="","",
IFERROR(
INDEX(Last10Away_Stats_All!$A:$ZZ,ROW()-ROW($Q$16)+2,COLUMN()-COLUMN($Q$16)+1),
""))</f>
        <v>Oldham</v>
      </c>
      <c r="W22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2" s="1" t="str">
        <f>IF(INDEX(Last10Away_Stats_All!$A:$A,ROW()-ROW($Q$16)+2)="","",
IFERROR(
INDEX(Last10Away_Stats_All!$A:$ZZ,ROW()-ROW($Q$16)+2,COLUMN()-COLUMN($Q$16)+1),
""))</f>
        <v>Fleetwood Town</v>
      </c>
      <c r="Y22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22" s="1" t="str">
        <f>IF(INDEX(Last10Away_Stats_All!$A:$A,ROW()-ROW($Q$16)+2)="","",
IFERROR(
INDEX(Last10Away_Stats_All!$A:$ZZ,ROW()-ROW($Q$16)+2,COLUMN()-COLUMN($Q$16)+1),
""))</f>
        <v>https://media.api-sports.io/flags/gb-eng.svg</v>
      </c>
      <c r="AA22" s="1">
        <f>IF(INDEX(Last10Away_Stats_All!$A:$A,ROW()-ROW($Q$16)+2)="","",
IFERROR(
INDEX(Last10Away_Stats_All!$A:$ZZ,ROW()-ROW($Q$16)+2,COLUMN()-COLUMN($Q$16)+1),
""))</f>
        <v>1</v>
      </c>
      <c r="AB22" s="1">
        <f>IF(INDEX(Last10Away_Stats_All!$A:$A,ROW()-ROW($Q$16)+2)="","",
IFERROR(
INDEX(Last10Away_Stats_All!$A:$ZZ,ROW()-ROW($Q$16)+2,COLUMN()-COLUMN($Q$16)+1),
""))</f>
        <v>1</v>
      </c>
      <c r="AC22" s="1">
        <f>IF(INDEX(Last10Away_Stats_All!$A:$A,ROW()-ROW($Q$16)+2)="","",
IFERROR(
INDEX(Last10Away_Stats_All!$A:$ZZ,ROW()-ROW($Q$16)+2,COLUMN()-COLUMN($Q$16)+1),
""))</f>
        <v>0</v>
      </c>
      <c r="AD22" s="1">
        <f>IF(INDEX(Last10Away_Stats_All!$A:$A,ROW()-ROW($Q$16)+2)="","",
IFERROR(
INDEX(Last10Away_Stats_All!$A:$ZZ,ROW()-ROW($Q$16)+2,COLUMN()-COLUMN($Q$16)+1),
""))</f>
        <v>1</v>
      </c>
      <c r="AE22" s="1">
        <f>IF(INDEX(Last10Away_Stats_All!$A:$A,ROW()-ROW($Q$16)+2)="","",
IFERROR(
INDEX(Last10Away_Stats_All!$A:$ZZ,ROW()-ROW($Q$16)+2,COLUMN()-COLUMN($Q$16)+1),
""))</f>
        <v>1</v>
      </c>
      <c r="AF22" s="1">
        <f>IF(INDEX(Last10Away_Stats_All!$A:$A,ROW()-ROW($Q$16)+2)="","",
IFERROR(
INDEX(Last10Away_Stats_All!$A:$ZZ,ROW()-ROW($Q$16)+2,COLUMN()-COLUMN($Q$16)+1),
""))</f>
        <v>1</v>
      </c>
      <c r="AG22" s="1">
        <f>IF(INDEX(Last10Away_Stats_All!$A:$A,ROW()-ROW($Q$16)+2)="","",
IFERROR(
INDEX(Last10Away_Stats_All!$A:$ZZ,ROW()-ROW($Q$16)+2,COLUMN()-COLUMN($Q$16)+1),
""))</f>
        <v>3</v>
      </c>
      <c r="AH22" s="1">
        <f>IF(INDEX(Last10Away_Stats_All!$A:$A,ROW()-ROW($Q$16)+2)="","",
IFERROR(
INDEX(Last10Away_Stats_All!$A:$ZZ,ROW()-ROW($Q$16)+2,COLUMN()-COLUMN($Q$16)+1),
""))</f>
        <v>3</v>
      </c>
      <c r="AI22" s="1">
        <f>IF(INDEX(Last10Away_Stats_All!$A:$A,ROW()-ROW($Q$16)+2)="","",
IFERROR(
INDEX(Last10Away_Stats_All!$A:$ZZ,ROW()-ROW($Q$16)+2,COLUMN()-COLUMN($Q$16)+1),
""))</f>
        <v>5</v>
      </c>
      <c r="AJ22" s="1">
        <f>IF(INDEX(Last10Away_Stats_All!$A:$A,ROW()-ROW($Q$16)+2)="","",
IFERROR(
INDEX(Last10Away_Stats_All!$A:$ZZ,ROW()-ROW($Q$16)+2,COLUMN()-COLUMN($Q$16)+1),
""))</f>
        <v>5</v>
      </c>
      <c r="AK22" s="1">
        <f>IF(INDEX(Last10Away_Stats_All!$A:$A,ROW()-ROW($Q$16)+2)="","",
IFERROR(
INDEX(Last10Away_Stats_All!$A:$ZZ,ROW()-ROW($Q$16)+2,COLUMN()-COLUMN($Q$16)+1),
""))</f>
        <v>12</v>
      </c>
      <c r="AL22" s="1">
        <f>IF(INDEX(Last10Away_Stats_All!$A:$A,ROW()-ROW($Q$16)+2)="","",
IFERROR(
INDEX(Last10Away_Stats_All!$A:$ZZ,ROW()-ROW($Q$16)+2,COLUMN()-COLUMN($Q$16)+1),
""))</f>
        <v>14</v>
      </c>
      <c r="AM22" s="1">
        <f>IF(INDEX(Last10Away_Stats_All!$A:$A,ROW()-ROW($Q$16)+2)="","",
IFERROR(
INDEX(Last10Away_Stats_All!$A:$ZZ,ROW()-ROW($Q$16)+2,COLUMN()-COLUMN($Q$16)+1),
""))</f>
        <v>4</v>
      </c>
      <c r="AN22" s="1">
        <f>IF(INDEX(Last10Away_Stats_All!$A:$A,ROW()-ROW($Q$16)+2)="","",
IFERROR(
INDEX(Last10Away_Stats_All!$A:$ZZ,ROW()-ROW($Q$16)+2,COLUMN()-COLUMN($Q$16)+1),
""))</f>
        <v>6</v>
      </c>
      <c r="AO22" s="1">
        <f>IF(INDEX(Last10Away_Stats_All!$A:$A,ROW()-ROW($Q$16)+2)="","",
IFERROR(
INDEX(Last10Away_Stats_All!$A:$ZZ,ROW()-ROW($Q$16)+2,COLUMN()-COLUMN($Q$16)+1),
""))</f>
        <v>7</v>
      </c>
      <c r="AP22" s="1">
        <f>IF(INDEX(Last10Away_Stats_All!$A:$A,ROW()-ROW($Q$16)+2)="","",
IFERROR(
INDEX(Last10Away_Stats_All!$A:$ZZ,ROW()-ROW($Q$16)+2,COLUMN()-COLUMN($Q$16)+1),
""))</f>
        <v>11</v>
      </c>
      <c r="AQ22" s="1">
        <f>IF(INDEX(Last10Away_Stats_All!$A:$A,ROW()-ROW($Q$16)+2)="","",
IFERROR(
INDEX(Last10Away_Stats_All!$A:$ZZ,ROW()-ROW($Q$16)+2,COLUMN()-COLUMN($Q$16)+1),
""))</f>
        <v>5</v>
      </c>
      <c r="AR22" s="1">
        <f>IF(INDEX(Last10Away_Stats_All!$A:$A,ROW()-ROW($Q$16)+2)="","",
IFERROR(
INDEX(Last10Away_Stats_All!$A:$ZZ,ROW()-ROW($Q$16)+2,COLUMN()-COLUMN($Q$16)+1),
""))</f>
        <v>3</v>
      </c>
      <c r="AS22" s="1">
        <f>IF(INDEX(Last10Away_Stats_All!$A:$A,ROW()-ROW($Q$16)+2)="","",
IFERROR(
INDEX(Last10Away_Stats_All!$A:$ZZ,ROW()-ROW($Q$16)+2,COLUMN()-COLUMN($Q$16)+1),
""))</f>
        <v>6</v>
      </c>
      <c r="AT22" s="1">
        <f>IF(INDEX(Last10Away_Stats_All!$A:$A,ROW()-ROW($Q$16)+2)="","",
IFERROR(
INDEX(Last10Away_Stats_All!$A:$ZZ,ROW()-ROW($Q$16)+2,COLUMN()-COLUMN($Q$16)+1),
""))</f>
        <v>12</v>
      </c>
      <c r="AU22" s="1">
        <f>IF(INDEX(Last10Away_Stats_All!$A:$A,ROW()-ROW($Q$16)+2)="","",
IFERROR(
INDEX(Last10Away_Stats_All!$A:$ZZ,ROW()-ROW($Q$16)+2,COLUMN()-COLUMN($Q$16)+1),
""))</f>
        <v>7</v>
      </c>
      <c r="AV22" s="1">
        <f>IF(INDEX(Last10Away_Stats_All!$A:$A,ROW()-ROW($Q$16)+2)="","",
IFERROR(
INDEX(Last10Away_Stats_All!$A:$ZZ,ROW()-ROW($Q$16)+2,COLUMN()-COLUMN($Q$16)+1),
""))</f>
        <v>7</v>
      </c>
      <c r="AW22" s="1">
        <f>IF(INDEX(Last10Away_Stats_All!$A:$A,ROW()-ROW($Q$16)+2)="","",
IFERROR(
INDEX(Last10Away_Stats_All!$A:$ZZ,ROW()-ROW($Q$16)+2,COLUMN()-COLUMN($Q$16)+1),
""))</f>
        <v>1</v>
      </c>
      <c r="AX22" s="1">
        <f>IF(INDEX(Last10Away_Stats_All!$A:$A,ROW()-ROW($Q$16)+2)="","",
IFERROR(
INDEX(Last10Away_Stats_All!$A:$ZZ,ROW()-ROW($Q$16)+2,COLUMN()-COLUMN($Q$16)+1),
""))</f>
        <v>1</v>
      </c>
      <c r="AY22" s="1">
        <f>IF(INDEX(Last10Away_Stats_All!$A:$A,ROW()-ROW($Q$16)+2)="","",
IFERROR(
INDEX(Last10Away_Stats_All!$A:$ZZ,ROW()-ROW($Q$16)+2,COLUMN()-COLUMN($Q$16)+1),
""))</f>
        <v>47</v>
      </c>
      <c r="AZ22" s="1">
        <f>IF(INDEX(Last10Away_Stats_All!$A:$A,ROW()-ROW($Q$16)+2)="","",
IFERROR(
INDEX(Last10Away_Stats_All!$A:$ZZ,ROW()-ROW($Q$16)+2,COLUMN()-COLUMN($Q$16)+1),
""))</f>
        <v>53</v>
      </c>
      <c r="BA22" s="1">
        <f>IF(INDEX(Last10Away_Stats_All!$A:$A,ROW()-ROW($Q$16)+2)="","",
IFERROR(
INDEX(Last10Away_Stats_All!$A:$ZZ,ROW()-ROW($Q$16)+2,COLUMN()-COLUMN($Q$16)+1),
""))</f>
        <v>0</v>
      </c>
      <c r="BB22" s="1">
        <f>IF(INDEX(Last10Away_Stats_All!$A:$A,ROW()-ROW($Q$16)+2)="","",
IFERROR(
INDEX(Last10Away_Stats_All!$A:$ZZ,ROW()-ROW($Q$16)+2,COLUMN()-COLUMN($Q$16)+1),
""))</f>
        <v>2</v>
      </c>
      <c r="BC22" s="1">
        <f>IF(INDEX(Last10Away_Stats_All!$A:$A,ROW()-ROW($Q$16)+2)="","",
IFERROR(
INDEX(Last10Away_Stats_All!$A:$ZZ,ROW()-ROW($Q$16)+2,COLUMN()-COLUMN($Q$16)+1),
""))</f>
        <v>0</v>
      </c>
      <c r="BD22" s="1">
        <f>IF(INDEX(Last10Away_Stats_All!$A:$A,ROW()-ROW($Q$16)+2)="","",
IFERROR(
INDEX(Last10Away_Stats_All!$A:$ZZ,ROW()-ROW($Q$16)+2,COLUMN()-COLUMN($Q$16)+1),
""))</f>
        <v>0</v>
      </c>
      <c r="BE22" s="1">
        <f>IF(INDEX(Last10Away_Stats_All!$A:$A,ROW()-ROW($Q$16)+2)="","",
IFERROR(
INDEX(Last10Away_Stats_All!$A:$ZZ,ROW()-ROW($Q$16)+2,COLUMN()-COLUMN($Q$16)+1),
""))</f>
        <v>2</v>
      </c>
      <c r="BF22" s="1">
        <f>IF(INDEX(Last10Away_Stats_All!$A:$A,ROW()-ROW($Q$16)+2)="","",
IFERROR(
INDEX(Last10Away_Stats_All!$A:$ZZ,ROW()-ROW($Q$16)+2,COLUMN()-COLUMN($Q$16)+1),
""))</f>
        <v>2</v>
      </c>
      <c r="BG22" s="1">
        <f>IF(INDEX(Last10Away_Stats_All!$A:$A,ROW()-ROW($Q$16)+2)="","",
IFERROR(
INDEX(Last10Away_Stats_All!$A:$ZZ,ROW()-ROW($Q$16)+2,COLUMN()-COLUMN($Q$16)+1),
""))</f>
        <v>321</v>
      </c>
      <c r="BH22" s="1">
        <f>IF(INDEX(Last10Away_Stats_All!$A:$A,ROW()-ROW($Q$16)+2)="","",
IFERROR(
INDEX(Last10Away_Stats_All!$A:$ZZ,ROW()-ROW($Q$16)+2,COLUMN()-COLUMN($Q$16)+1),
""))</f>
        <v>369</v>
      </c>
      <c r="BI22" s="1">
        <f>IF(INDEX(Last10Away_Stats_All!$A:$A,ROW()-ROW($Q$16)+2)="","",
IFERROR(
INDEX(Last10Away_Stats_All!$A:$ZZ,ROW()-ROW($Q$16)+2,COLUMN()-COLUMN($Q$16)+1),
""))</f>
        <v>211</v>
      </c>
      <c r="BJ22" s="1">
        <f>IF(INDEX(Last10Away_Stats_All!$A:$A,ROW()-ROW($Q$16)+2)="","",
IFERROR(
INDEX(Last10Away_Stats_All!$A:$ZZ,ROW()-ROW($Q$16)+2,COLUMN()-COLUMN($Q$16)+1),
""))</f>
        <v>249</v>
      </c>
      <c r="BK22" s="1">
        <f>IF(INDEX(Last10Away_Stats_All!$A:$A,ROW()-ROW($Q$16)+2)="","",
IFERROR(
INDEX(Last10Away_Stats_All!$A:$ZZ,ROW()-ROW($Q$16)+2,COLUMN()-COLUMN($Q$16)+1),
""))</f>
        <v>66</v>
      </c>
      <c r="BL22" s="1">
        <f>IF(INDEX(Last10Away_Stats_All!$A:$A,ROW()-ROW($Q$16)+2)="","",
IFERROR(
INDEX(Last10Away_Stats_All!$A:$ZZ,ROW()-ROW($Q$16)+2,COLUMN()-COLUMN($Q$16)+1),
""))</f>
        <v>67</v>
      </c>
      <c r="BM22" s="1">
        <f>IF(INDEX(Last10Away_Stats_All!$A:$A,ROW()-ROW($Q$16)+2)="","",
IFERROR(
INDEX(Last10Away_Stats_All!$A:$ZZ,ROW()-ROW($Q$16)+2,COLUMN()-COLUMN($Q$16)+1),
""))</f>
        <v>0.98</v>
      </c>
      <c r="BN22" s="1">
        <f>IF(INDEX(Last10Away_Stats_All!$A:$A,ROW()-ROW($Q$16)+2)="","",
IFERROR(
INDEX(Last10Away_Stats_All!$A:$ZZ,ROW()-ROW($Q$16)+2,COLUMN()-COLUMN($Q$16)+1),
""))</f>
        <v>1.8</v>
      </c>
      <c r="BO22" s="1">
        <f>IF(INDEX(Last10Away_Stats_All!$A:$A,ROW()-ROW($Q$16)+2)="","",
IFERROR(
INDEX(Last10Away_Stats_All!$A:$ZZ,ROW()-ROW($Q$16)+2,COLUMN()-COLUMN($Q$16)+1),
""))</f>
        <v>0</v>
      </c>
      <c r="BP22" s="1">
        <f>IF(INDEX(Last10Away_Stats_All!$A:$A,ROW()-ROW($Q$16)+2)="","",
IFERROR(
INDEX(Last10Away_Stats_All!$A:$ZZ,ROW()-ROW($Q$16)+2,COLUMN()-COLUMN($Q$16)+1),
""))</f>
        <v>0</v>
      </c>
      <c r="BR22" s="1" t="str">
        <f>IF(OR(Control!AC22="",Control!AD22=""),"",Control!AC22&amp;" : "&amp;Control!AD22)</f>
        <v>0 : 1</v>
      </c>
      <c r="BS22" s="1" t="str">
        <f>IF(OR(Control!AE22="",Control!AF22=""),"",Control!AE22&amp;" : "&amp;Control!AF22)</f>
        <v>1 : 1</v>
      </c>
      <c r="BT22" s="1" t="str">
        <f>IF(OR(Control!AU22="",Control!AV22=""),"",Control!AU22&amp;" : "&amp;Control!AV22)</f>
        <v>7 : 7</v>
      </c>
      <c r="BV22" s="1">
        <f>IFERROR(INDEX(tblStandings[#All],ROW(A22),COLUMN(A22)),"")</f>
        <v>21</v>
      </c>
      <c r="BW22" s="1" t="str">
        <f>IFERROR(INDEX(tblStandings[#All],ROW(B22),COLUMN(B22)),"")</f>
        <v>Tranmere</v>
      </c>
      <c r="BX22" s="1">
        <f>IFERROR(INDEX(tblStandings[#All],ROW(C22),COLUMN(C22)),"")</f>
        <v>41</v>
      </c>
      <c r="BY22" s="1">
        <f>IFERROR(INDEX(tblStandings[#All],ROW(D22),COLUMN(D22)),"")</f>
        <v>9</v>
      </c>
      <c r="BZ22" s="1">
        <f>IFERROR(INDEX(tblStandings[#All],ROW(E22),COLUMN(E22)),"")</f>
        <v>9</v>
      </c>
      <c r="CA22" s="1">
        <f>IFERROR(INDEX(tblStandings[#All],ROW(F22),COLUMN(F22)),"")</f>
        <v>23</v>
      </c>
      <c r="CB22" s="1">
        <f>IFERROR(INDEX(tblStandings[#All],ROW(G22),COLUMN(G22)),"")</f>
        <v>48</v>
      </c>
      <c r="CC22" s="1">
        <f>IFERROR(INDEX(tblStandings[#All],ROW(H22),COLUMN(H22)),"")</f>
        <v>71</v>
      </c>
      <c r="CD22" s="1">
        <f>IFERROR(INDEX(tblStandings[#All],ROW(I22),COLUMN(I22)),"")</f>
        <v>-23</v>
      </c>
      <c r="CE22" s="1">
        <f>IFERROR(INDEX(tblStandings[#All],ROW(J22),COLUMN(J22)),"")</f>
        <v>36</v>
      </c>
      <c r="CF22" s="1" t="str">
        <f>IFERROR(INDEX(tblStandings[#All],ROW(K22),COLUMN(K22)),"")</f>
        <v>LLLLD</v>
      </c>
      <c r="CG22" s="1" t="str">
        <f t="shared" si="0"/>
        <v>L</v>
      </c>
      <c r="CH22" s="1" t="str">
        <f t="shared" si="1"/>
        <v>L</v>
      </c>
      <c r="CI22" s="1" t="str">
        <f t="shared" si="2"/>
        <v>L</v>
      </c>
      <c r="CJ22" s="1" t="str">
        <f t="shared" si="3"/>
        <v>L</v>
      </c>
      <c r="CK22" s="1" t="str">
        <f t="shared" si="4"/>
        <v>D</v>
      </c>
    </row>
    <row r="23" spans="1:89" x14ac:dyDescent="0.25">
      <c r="H23" s="1">
        <v>1447005</v>
      </c>
      <c r="I23" s="4">
        <v>46330.083333333336</v>
      </c>
      <c r="J23" s="1" t="s">
        <v>32</v>
      </c>
      <c r="K23" s="1" t="s">
        <v>18</v>
      </c>
      <c r="L23" s="1" t="s">
        <v>19</v>
      </c>
      <c r="M23" s="1" t="s">
        <v>728</v>
      </c>
      <c r="N23" s="1" t="s">
        <v>7191</v>
      </c>
      <c r="O23" s="1" t="s">
        <v>7192</v>
      </c>
      <c r="Q23" s="1">
        <f>IF(INDEX(Last10Away_Stats_All!$A:$A,ROW()-ROW($Q$16)+2)="","",
IFERROR(
INDEX(Last10Away_Stats_All!$A:$ZZ,ROW()-ROW($Q$16)+2,COLUMN()-COLUMN($Q$16)+1),
""))</f>
        <v>1386339</v>
      </c>
      <c r="R23" s="1" t="str">
        <f>IF(INDEX(Last10Away_Stats_All!$A:$A,ROW()-ROW($Q$16)+2)="","",
IFERROR(
INDEX(Last10Away_Stats_All!$A:$ZZ,ROW()-ROW($Q$16)+2,COLUMN()-COLUMN($Q$16)+1),
""))</f>
        <v>27/01/2026 19:45</v>
      </c>
      <c r="S23" s="1" t="str">
        <f>IF(INDEX(Last10Away_Stats_All!$A:$A,ROW()-ROW($Q$16)+2)="","",
IFERROR(
INDEX(Last10Away_Stats_All!$A:$ZZ,ROW()-ROW($Q$16)+2,COLUMN()-COLUMN($Q$16)+1),
""))</f>
        <v>England</v>
      </c>
      <c r="T23" s="1" t="str">
        <f>IF(INDEX(Last10Away_Stats_All!$A:$A,ROW()-ROW($Q$16)+2)="","",
IFERROR(
INDEX(Last10Away_Stats_All!$A:$ZZ,ROW()-ROW($Q$16)+2,COLUMN()-COLUMN($Q$16)+1),
""))</f>
        <v>League Two</v>
      </c>
      <c r="U23" s="1" t="str">
        <f>IF(INDEX(Last10Away_Stats_All!$A:$A,ROW()-ROW($Q$16)+2)="","",
IFERROR(
INDEX(Last10Away_Stats_All!$A:$ZZ,ROW()-ROW($Q$16)+2,COLUMN()-COLUMN($Q$16)+1),
""))</f>
        <v>https://media.api-sports.io/football/teams/1842.png</v>
      </c>
      <c r="V23" s="1" t="str">
        <f>IF(INDEX(Last10Away_Stats_All!$A:$A,ROW()-ROW($Q$16)+2)="","",
IFERROR(
INDEX(Last10Away_Stats_All!$A:$ZZ,ROW()-ROW($Q$16)+2,COLUMN()-COLUMN($Q$16)+1),
""))</f>
        <v>Harrogate Town</v>
      </c>
      <c r="W23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3" s="1" t="str">
        <f>IF(INDEX(Last10Away_Stats_All!$A:$A,ROW()-ROW($Q$16)+2)="","",
IFERROR(
INDEX(Last10Away_Stats_All!$A:$ZZ,ROW()-ROW($Q$16)+2,COLUMN()-COLUMN($Q$16)+1),
""))</f>
        <v>Fleetwood Town</v>
      </c>
      <c r="Y23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23" s="1" t="str">
        <f>IF(INDEX(Last10Away_Stats_All!$A:$A,ROW()-ROW($Q$16)+2)="","",
IFERROR(
INDEX(Last10Away_Stats_All!$A:$ZZ,ROW()-ROW($Q$16)+2,COLUMN()-COLUMN($Q$16)+1),
""))</f>
        <v>https://media.api-sports.io/flags/gb-eng.svg</v>
      </c>
      <c r="AA23" s="1">
        <f>IF(INDEX(Last10Away_Stats_All!$A:$A,ROW()-ROW($Q$16)+2)="","",
IFERROR(
INDEX(Last10Away_Stats_All!$A:$ZZ,ROW()-ROW($Q$16)+2,COLUMN()-COLUMN($Q$16)+1),
""))</f>
        <v>1</v>
      </c>
      <c r="AB23" s="1">
        <f>IF(INDEX(Last10Away_Stats_All!$A:$A,ROW()-ROW($Q$16)+2)="","",
IFERROR(
INDEX(Last10Away_Stats_All!$A:$ZZ,ROW()-ROW($Q$16)+2,COLUMN()-COLUMN($Q$16)+1),
""))</f>
        <v>2</v>
      </c>
      <c r="AC23" s="1">
        <f>IF(INDEX(Last10Away_Stats_All!$A:$A,ROW()-ROW($Q$16)+2)="","",
IFERROR(
INDEX(Last10Away_Stats_All!$A:$ZZ,ROW()-ROW($Q$16)+2,COLUMN()-COLUMN($Q$16)+1),
""))</f>
        <v>0</v>
      </c>
      <c r="AD23" s="1">
        <f>IF(INDEX(Last10Away_Stats_All!$A:$A,ROW()-ROW($Q$16)+2)="","",
IFERROR(
INDEX(Last10Away_Stats_All!$A:$ZZ,ROW()-ROW($Q$16)+2,COLUMN()-COLUMN($Q$16)+1),
""))</f>
        <v>1</v>
      </c>
      <c r="AE23" s="1">
        <f>IF(INDEX(Last10Away_Stats_All!$A:$A,ROW()-ROW($Q$16)+2)="","",
IFERROR(
INDEX(Last10Away_Stats_All!$A:$ZZ,ROW()-ROW($Q$16)+2,COLUMN()-COLUMN($Q$16)+1),
""))</f>
        <v>1</v>
      </c>
      <c r="AF23" s="1">
        <f>IF(INDEX(Last10Away_Stats_All!$A:$A,ROW()-ROW($Q$16)+2)="","",
IFERROR(
INDEX(Last10Away_Stats_All!$A:$ZZ,ROW()-ROW($Q$16)+2,COLUMN()-COLUMN($Q$16)+1),
""))</f>
        <v>2</v>
      </c>
      <c r="AG23" s="1">
        <f>IF(INDEX(Last10Away_Stats_All!$A:$A,ROW()-ROW($Q$16)+2)="","",
IFERROR(
INDEX(Last10Away_Stats_All!$A:$ZZ,ROW()-ROW($Q$16)+2,COLUMN()-COLUMN($Q$16)+1),
""))</f>
        <v>4</v>
      </c>
      <c r="AH23" s="1">
        <f>IF(INDEX(Last10Away_Stats_All!$A:$A,ROW()-ROW($Q$16)+2)="","",
IFERROR(
INDEX(Last10Away_Stats_All!$A:$ZZ,ROW()-ROW($Q$16)+2,COLUMN()-COLUMN($Q$16)+1),
""))</f>
        <v>5</v>
      </c>
      <c r="AI23" s="1">
        <f>IF(INDEX(Last10Away_Stats_All!$A:$A,ROW()-ROW($Q$16)+2)="","",
IFERROR(
INDEX(Last10Away_Stats_All!$A:$ZZ,ROW()-ROW($Q$16)+2,COLUMN()-COLUMN($Q$16)+1),
""))</f>
        <v>9</v>
      </c>
      <c r="AJ23" s="1">
        <f>IF(INDEX(Last10Away_Stats_All!$A:$A,ROW()-ROW($Q$16)+2)="","",
IFERROR(
INDEX(Last10Away_Stats_All!$A:$ZZ,ROW()-ROW($Q$16)+2,COLUMN()-COLUMN($Q$16)+1),
""))</f>
        <v>6</v>
      </c>
      <c r="AK23" s="1">
        <f>IF(INDEX(Last10Away_Stats_All!$A:$A,ROW()-ROW($Q$16)+2)="","",
IFERROR(
INDEX(Last10Away_Stats_All!$A:$ZZ,ROW()-ROW($Q$16)+2,COLUMN()-COLUMN($Q$16)+1),
""))</f>
        <v>17</v>
      </c>
      <c r="AL23" s="1">
        <f>IF(INDEX(Last10Away_Stats_All!$A:$A,ROW()-ROW($Q$16)+2)="","",
IFERROR(
INDEX(Last10Away_Stats_All!$A:$ZZ,ROW()-ROW($Q$16)+2,COLUMN()-COLUMN($Q$16)+1),
""))</f>
        <v>15</v>
      </c>
      <c r="AM23" s="1">
        <f>IF(INDEX(Last10Away_Stats_All!$A:$A,ROW()-ROW($Q$16)+2)="","",
IFERROR(
INDEX(Last10Away_Stats_All!$A:$ZZ,ROW()-ROW($Q$16)+2,COLUMN()-COLUMN($Q$16)+1),
""))</f>
        <v>4</v>
      </c>
      <c r="AN23" s="1">
        <f>IF(INDEX(Last10Away_Stats_All!$A:$A,ROW()-ROW($Q$16)+2)="","",
IFERROR(
INDEX(Last10Away_Stats_All!$A:$ZZ,ROW()-ROW($Q$16)+2,COLUMN()-COLUMN($Q$16)+1),
""))</f>
        <v>4</v>
      </c>
      <c r="AO23" s="1">
        <f>IF(INDEX(Last10Away_Stats_All!$A:$A,ROW()-ROW($Q$16)+2)="","",
IFERROR(
INDEX(Last10Away_Stats_All!$A:$ZZ,ROW()-ROW($Q$16)+2,COLUMN()-COLUMN($Q$16)+1),
""))</f>
        <v>12</v>
      </c>
      <c r="AP23" s="1">
        <f>IF(INDEX(Last10Away_Stats_All!$A:$A,ROW()-ROW($Q$16)+2)="","",
IFERROR(
INDEX(Last10Away_Stats_All!$A:$ZZ,ROW()-ROW($Q$16)+2,COLUMN()-COLUMN($Q$16)+1),
""))</f>
        <v>9</v>
      </c>
      <c r="AQ23" s="1">
        <f>IF(INDEX(Last10Away_Stats_All!$A:$A,ROW()-ROW($Q$16)+2)="","",
IFERROR(
INDEX(Last10Away_Stats_All!$A:$ZZ,ROW()-ROW($Q$16)+2,COLUMN()-COLUMN($Q$16)+1),
""))</f>
        <v>5</v>
      </c>
      <c r="AR23" s="1">
        <f>IF(INDEX(Last10Away_Stats_All!$A:$A,ROW()-ROW($Q$16)+2)="","",
IFERROR(
INDEX(Last10Away_Stats_All!$A:$ZZ,ROW()-ROW($Q$16)+2,COLUMN()-COLUMN($Q$16)+1),
""))</f>
        <v>6</v>
      </c>
      <c r="AS23" s="1">
        <f>IF(INDEX(Last10Away_Stats_All!$A:$A,ROW()-ROW($Q$16)+2)="","",
IFERROR(
INDEX(Last10Away_Stats_All!$A:$ZZ,ROW()-ROW($Q$16)+2,COLUMN()-COLUMN($Q$16)+1),
""))</f>
        <v>9</v>
      </c>
      <c r="AT23" s="1">
        <f>IF(INDEX(Last10Away_Stats_All!$A:$A,ROW()-ROW($Q$16)+2)="","",
IFERROR(
INDEX(Last10Away_Stats_All!$A:$ZZ,ROW()-ROW($Q$16)+2,COLUMN()-COLUMN($Q$16)+1),
""))</f>
        <v>11</v>
      </c>
      <c r="AU23" s="1">
        <f>IF(INDEX(Last10Away_Stats_All!$A:$A,ROW()-ROW($Q$16)+2)="","",
IFERROR(
INDEX(Last10Away_Stats_All!$A:$ZZ,ROW()-ROW($Q$16)+2,COLUMN()-COLUMN($Q$16)+1),
""))</f>
        <v>6</v>
      </c>
      <c r="AV23" s="1">
        <f>IF(INDEX(Last10Away_Stats_All!$A:$A,ROW()-ROW($Q$16)+2)="","",
IFERROR(
INDEX(Last10Away_Stats_All!$A:$ZZ,ROW()-ROW($Q$16)+2,COLUMN()-COLUMN($Q$16)+1),
""))</f>
        <v>5</v>
      </c>
      <c r="AW23" s="1">
        <f>IF(INDEX(Last10Away_Stats_All!$A:$A,ROW()-ROW($Q$16)+2)="","",
IFERROR(
INDEX(Last10Away_Stats_All!$A:$ZZ,ROW()-ROW($Q$16)+2,COLUMN()-COLUMN($Q$16)+1),
""))</f>
        <v>0</v>
      </c>
      <c r="AX23" s="1">
        <f>IF(INDEX(Last10Away_Stats_All!$A:$A,ROW()-ROW($Q$16)+2)="","",
IFERROR(
INDEX(Last10Away_Stats_All!$A:$ZZ,ROW()-ROW($Q$16)+2,COLUMN()-COLUMN($Q$16)+1),
""))</f>
        <v>1</v>
      </c>
      <c r="AY23" s="1">
        <f>IF(INDEX(Last10Away_Stats_All!$A:$A,ROW()-ROW($Q$16)+2)="","",
IFERROR(
INDEX(Last10Away_Stats_All!$A:$ZZ,ROW()-ROW($Q$16)+2,COLUMN()-COLUMN($Q$16)+1),
""))</f>
        <v>54</v>
      </c>
      <c r="AZ23" s="1">
        <f>IF(INDEX(Last10Away_Stats_All!$A:$A,ROW()-ROW($Q$16)+2)="","",
IFERROR(
INDEX(Last10Away_Stats_All!$A:$ZZ,ROW()-ROW($Q$16)+2,COLUMN()-COLUMN($Q$16)+1),
""))</f>
        <v>46</v>
      </c>
      <c r="BA23" s="1">
        <f>IF(INDEX(Last10Away_Stats_All!$A:$A,ROW()-ROW($Q$16)+2)="","",
IFERROR(
INDEX(Last10Away_Stats_All!$A:$ZZ,ROW()-ROW($Q$16)+2,COLUMN()-COLUMN($Q$16)+1),
""))</f>
        <v>2</v>
      </c>
      <c r="BB23" s="1">
        <f>IF(INDEX(Last10Away_Stats_All!$A:$A,ROW()-ROW($Q$16)+2)="","",
IFERROR(
INDEX(Last10Away_Stats_All!$A:$ZZ,ROW()-ROW($Q$16)+2,COLUMN()-COLUMN($Q$16)+1),
""))</f>
        <v>3</v>
      </c>
      <c r="BC23" s="1">
        <f>IF(INDEX(Last10Away_Stats_All!$A:$A,ROW()-ROW($Q$16)+2)="","",
IFERROR(
INDEX(Last10Away_Stats_All!$A:$ZZ,ROW()-ROW($Q$16)+2,COLUMN()-COLUMN($Q$16)+1),
""))</f>
        <v>0</v>
      </c>
      <c r="BD23" s="1">
        <f>IF(INDEX(Last10Away_Stats_All!$A:$A,ROW()-ROW($Q$16)+2)="","",
IFERROR(
INDEX(Last10Away_Stats_All!$A:$ZZ,ROW()-ROW($Q$16)+2,COLUMN()-COLUMN($Q$16)+1),
""))</f>
        <v>0</v>
      </c>
      <c r="BE23" s="1">
        <f>IF(INDEX(Last10Away_Stats_All!$A:$A,ROW()-ROW($Q$16)+2)="","",
IFERROR(
INDEX(Last10Away_Stats_All!$A:$ZZ,ROW()-ROW($Q$16)+2,COLUMN()-COLUMN($Q$16)+1),
""))</f>
        <v>3</v>
      </c>
      <c r="BF23" s="1">
        <f>IF(INDEX(Last10Away_Stats_All!$A:$A,ROW()-ROW($Q$16)+2)="","",
IFERROR(
INDEX(Last10Away_Stats_All!$A:$ZZ,ROW()-ROW($Q$16)+2,COLUMN()-COLUMN($Q$16)+1),
""))</f>
        <v>3</v>
      </c>
      <c r="BG23" s="1">
        <f>IF(INDEX(Last10Away_Stats_All!$A:$A,ROW()-ROW($Q$16)+2)="","",
IFERROR(
INDEX(Last10Away_Stats_All!$A:$ZZ,ROW()-ROW($Q$16)+2,COLUMN()-COLUMN($Q$16)+1),
""))</f>
        <v>369</v>
      </c>
      <c r="BH23" s="1">
        <f>IF(INDEX(Last10Away_Stats_All!$A:$A,ROW()-ROW($Q$16)+2)="","",
IFERROR(
INDEX(Last10Away_Stats_All!$A:$ZZ,ROW()-ROW($Q$16)+2,COLUMN()-COLUMN($Q$16)+1),
""))</f>
        <v>322</v>
      </c>
      <c r="BI23" s="1">
        <f>IF(INDEX(Last10Away_Stats_All!$A:$A,ROW()-ROW($Q$16)+2)="","",
IFERROR(
INDEX(Last10Away_Stats_All!$A:$ZZ,ROW()-ROW($Q$16)+2,COLUMN()-COLUMN($Q$16)+1),
""))</f>
        <v>266</v>
      </c>
      <c r="BJ23" s="1">
        <f>IF(INDEX(Last10Away_Stats_All!$A:$A,ROW()-ROW($Q$16)+2)="","",
IFERROR(
INDEX(Last10Away_Stats_All!$A:$ZZ,ROW()-ROW($Q$16)+2,COLUMN()-COLUMN($Q$16)+1),
""))</f>
        <v>200</v>
      </c>
      <c r="BK23" s="1">
        <f>IF(INDEX(Last10Away_Stats_All!$A:$A,ROW()-ROW($Q$16)+2)="","",
IFERROR(
INDEX(Last10Away_Stats_All!$A:$ZZ,ROW()-ROW($Q$16)+2,COLUMN()-COLUMN($Q$16)+1),
""))</f>
        <v>72</v>
      </c>
      <c r="BL23" s="1">
        <f>IF(INDEX(Last10Away_Stats_All!$A:$A,ROW()-ROW($Q$16)+2)="","",
IFERROR(
INDEX(Last10Away_Stats_All!$A:$ZZ,ROW()-ROW($Q$16)+2,COLUMN()-COLUMN($Q$16)+1),
""))</f>
        <v>62</v>
      </c>
      <c r="BM23" s="1">
        <f>IF(INDEX(Last10Away_Stats_All!$A:$A,ROW()-ROW($Q$16)+2)="","",
IFERROR(
INDEX(Last10Away_Stats_All!$A:$ZZ,ROW()-ROW($Q$16)+2,COLUMN()-COLUMN($Q$16)+1),
""))</f>
        <v>0</v>
      </c>
      <c r="BN23" s="1">
        <f>IF(INDEX(Last10Away_Stats_All!$A:$A,ROW()-ROW($Q$16)+2)="","",
IFERROR(
INDEX(Last10Away_Stats_All!$A:$ZZ,ROW()-ROW($Q$16)+2,COLUMN()-COLUMN($Q$16)+1),
""))</f>
        <v>0</v>
      </c>
      <c r="BO23" s="1">
        <f>IF(INDEX(Last10Away_Stats_All!$A:$A,ROW()-ROW($Q$16)+2)="","",
IFERROR(
INDEX(Last10Away_Stats_All!$A:$ZZ,ROW()-ROW($Q$16)+2,COLUMN()-COLUMN($Q$16)+1),
""))</f>
        <v>0</v>
      </c>
      <c r="BP23" s="1">
        <f>IF(INDEX(Last10Away_Stats_All!$A:$A,ROW()-ROW($Q$16)+2)="","",
IFERROR(
INDEX(Last10Away_Stats_All!$A:$ZZ,ROW()-ROW($Q$16)+2,COLUMN()-COLUMN($Q$16)+1),
""))</f>
        <v>0</v>
      </c>
      <c r="BR23" s="1" t="str">
        <f>IF(OR(Control!AC23="",Control!AD23=""),"",Control!AC23&amp;" : "&amp;Control!AD23)</f>
        <v>0 : 1</v>
      </c>
      <c r="BS23" s="1" t="str">
        <f>IF(OR(Control!AE23="",Control!AF23=""),"",Control!AE23&amp;" : "&amp;Control!AF23)</f>
        <v>1 : 2</v>
      </c>
      <c r="BT23" s="1" t="str">
        <f>IF(OR(Control!AU23="",Control!AV23=""),"",Control!AU23&amp;" : "&amp;Control!AV23)</f>
        <v>6 : 5</v>
      </c>
      <c r="BV23" s="1">
        <f>IFERROR(INDEX(tblStandings[#All],ROW(A23),COLUMN(A23)),"")</f>
        <v>22</v>
      </c>
      <c r="BW23" s="1" t="str">
        <f>IFERROR(INDEX(tblStandings[#All],ROW(B23),COLUMN(B23)),"")</f>
        <v>Newport County</v>
      </c>
      <c r="BX23" s="1">
        <f>IFERROR(INDEX(tblStandings[#All],ROW(C23),COLUMN(C23)),"")</f>
        <v>42</v>
      </c>
      <c r="BY23" s="1">
        <f>IFERROR(INDEX(tblStandings[#All],ROW(D23),COLUMN(D23)),"")</f>
        <v>9</v>
      </c>
      <c r="BZ23" s="1">
        <f>IFERROR(INDEX(tblStandings[#All],ROW(E23),COLUMN(E23)),"")</f>
        <v>7</v>
      </c>
      <c r="CA23" s="1">
        <f>IFERROR(INDEX(tblStandings[#All],ROW(F23),COLUMN(F23)),"")</f>
        <v>26</v>
      </c>
      <c r="CB23" s="1">
        <f>IFERROR(INDEX(tblStandings[#All],ROW(G23),COLUMN(G23)),"")</f>
        <v>41</v>
      </c>
      <c r="CC23" s="1">
        <f>IFERROR(INDEX(tblStandings[#All],ROW(H23),COLUMN(H23)),"")</f>
        <v>72</v>
      </c>
      <c r="CD23" s="1">
        <f>IFERROR(INDEX(tblStandings[#All],ROW(I23),COLUMN(I23)),"")</f>
        <v>-31</v>
      </c>
      <c r="CE23" s="1">
        <f>IFERROR(INDEX(tblStandings[#All],ROW(J23),COLUMN(J23)),"")</f>
        <v>34</v>
      </c>
      <c r="CF23" s="1" t="str">
        <f>IFERROR(INDEX(tblStandings[#All],ROW(K23),COLUMN(K23)),"")</f>
        <v>LLWLL</v>
      </c>
      <c r="CG23" s="1" t="str">
        <f t="shared" si="0"/>
        <v>L</v>
      </c>
      <c r="CH23" s="1" t="str">
        <f t="shared" si="1"/>
        <v>L</v>
      </c>
      <c r="CI23" s="1" t="str">
        <f t="shared" si="2"/>
        <v>W</v>
      </c>
      <c r="CJ23" s="1" t="str">
        <f t="shared" si="3"/>
        <v>L</v>
      </c>
      <c r="CK23" s="1" t="str">
        <f t="shared" si="4"/>
        <v>L</v>
      </c>
    </row>
    <row r="24" spans="1:89" x14ac:dyDescent="0.25">
      <c r="A24" s="1" t="s">
        <v>212</v>
      </c>
      <c r="B24" s="1" t="str">
        <f>IF(OR(B20="",B22=""),"",B20&amp;" vs "&amp;B22)</f>
        <v>Accrington ST vs Fleetwood Town</v>
      </c>
      <c r="H24" s="1">
        <v>1457061</v>
      </c>
      <c r="I24" s="4">
        <v>46330.083333333336</v>
      </c>
      <c r="J24" s="1" t="s">
        <v>32</v>
      </c>
      <c r="K24" s="1" t="s">
        <v>18</v>
      </c>
      <c r="L24" s="1" t="s">
        <v>19</v>
      </c>
      <c r="M24" s="1" t="s">
        <v>7193</v>
      </c>
      <c r="N24" s="1" t="s">
        <v>7040</v>
      </c>
      <c r="O24" s="1" t="s">
        <v>7194</v>
      </c>
      <c r="Q24" s="1">
        <f>IF(INDEX(Last10Away_Stats_All!$A:$A,ROW()-ROW($Q$16)+2)="","",
IFERROR(
INDEX(Last10Away_Stats_All!$A:$ZZ,ROW()-ROW($Q$16)+2,COLUMN()-COLUMN($Q$16)+1),
""))</f>
        <v>1386325</v>
      </c>
      <c r="R24" s="1" t="str">
        <f>IF(INDEX(Last10Away_Stats_All!$A:$A,ROW()-ROW($Q$16)+2)="","",
IFERROR(
INDEX(Last10Away_Stats_All!$A:$ZZ,ROW()-ROW($Q$16)+2,COLUMN()-COLUMN($Q$16)+1),
""))</f>
        <v>24/01/2026 15:00</v>
      </c>
      <c r="S24" s="1" t="str">
        <f>IF(INDEX(Last10Away_Stats_All!$A:$A,ROW()-ROW($Q$16)+2)="","",
IFERROR(
INDEX(Last10Away_Stats_All!$A:$ZZ,ROW()-ROW($Q$16)+2,COLUMN()-COLUMN($Q$16)+1),
""))</f>
        <v>England</v>
      </c>
      <c r="T24" s="1" t="str">
        <f>IF(INDEX(Last10Away_Stats_All!$A:$A,ROW()-ROW($Q$16)+2)="","",
IFERROR(
INDEX(Last10Away_Stats_All!$A:$ZZ,ROW()-ROW($Q$16)+2,COLUMN()-COLUMN($Q$16)+1),
""))</f>
        <v>League Two</v>
      </c>
      <c r="U24" s="1" t="str">
        <f>IF(INDEX(Last10Away_Stats_All!$A:$A,ROW()-ROW($Q$16)+2)="","",
IFERROR(
INDEX(Last10Away_Stats_All!$A:$ZZ,ROW()-ROW($Q$16)+2,COLUMN()-COLUMN($Q$16)+1),
""))</f>
        <v>https://media.api-sports.io/football/teams/1361.png</v>
      </c>
      <c r="V24" s="1" t="str">
        <f>IF(INDEX(Last10Away_Stats_All!$A:$A,ROW()-ROW($Q$16)+2)="","",
IFERROR(
INDEX(Last10Away_Stats_All!$A:$ZZ,ROW()-ROW($Q$16)+2,COLUMN()-COLUMN($Q$16)+1),
""))</f>
        <v>Colchester</v>
      </c>
      <c r="W24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4" s="1" t="str">
        <f>IF(INDEX(Last10Away_Stats_All!$A:$A,ROW()-ROW($Q$16)+2)="","",
IFERROR(
INDEX(Last10Away_Stats_All!$A:$ZZ,ROW()-ROW($Q$16)+2,COLUMN()-COLUMN($Q$16)+1),
""))</f>
        <v>Fleetwood Town</v>
      </c>
      <c r="Y24" s="1" t="str">
        <f>IF(INDEX(Last10Away_Stats_All!$A:$A,ROW()-ROW($Q$16)+2)="","",
IFERROR(
INDEX(Last10Away_Stats_All!$A:$ZZ,ROW()-ROW($Q$16)+2,COLUMN()-COLUMN($Q$16)+1),
""))</f>
        <v>https://media.api-sports.io/football/leagues/42.png</v>
      </c>
      <c r="Z24" s="1" t="str">
        <f>IF(INDEX(Last10Away_Stats_All!$A:$A,ROW()-ROW($Q$16)+2)="","",
IFERROR(
INDEX(Last10Away_Stats_All!$A:$ZZ,ROW()-ROW($Q$16)+2,COLUMN()-COLUMN($Q$16)+1),
""))</f>
        <v>https://media.api-sports.io/flags/gb-eng.svg</v>
      </c>
      <c r="AA24" s="1">
        <f>IF(INDEX(Last10Away_Stats_All!$A:$A,ROW()-ROW($Q$16)+2)="","",
IFERROR(
INDEX(Last10Away_Stats_All!$A:$ZZ,ROW()-ROW($Q$16)+2,COLUMN()-COLUMN($Q$16)+1),
""))</f>
        <v>2</v>
      </c>
      <c r="AB24" s="1">
        <f>IF(INDEX(Last10Away_Stats_All!$A:$A,ROW()-ROW($Q$16)+2)="","",
IFERROR(
INDEX(Last10Away_Stats_All!$A:$ZZ,ROW()-ROW($Q$16)+2,COLUMN()-COLUMN($Q$16)+1),
""))</f>
        <v>1</v>
      </c>
      <c r="AC24" s="1">
        <f>IF(INDEX(Last10Away_Stats_All!$A:$A,ROW()-ROW($Q$16)+2)="","",
IFERROR(
INDEX(Last10Away_Stats_All!$A:$ZZ,ROW()-ROW($Q$16)+2,COLUMN()-COLUMN($Q$16)+1),
""))</f>
        <v>2</v>
      </c>
      <c r="AD24" s="1">
        <f>IF(INDEX(Last10Away_Stats_All!$A:$A,ROW()-ROW($Q$16)+2)="","",
IFERROR(
INDEX(Last10Away_Stats_All!$A:$ZZ,ROW()-ROW($Q$16)+2,COLUMN()-COLUMN($Q$16)+1),
""))</f>
        <v>0</v>
      </c>
      <c r="AE24" s="1">
        <f>IF(INDEX(Last10Away_Stats_All!$A:$A,ROW()-ROW($Q$16)+2)="","",
IFERROR(
INDEX(Last10Away_Stats_All!$A:$ZZ,ROW()-ROW($Q$16)+2,COLUMN()-COLUMN($Q$16)+1),
""))</f>
        <v>2</v>
      </c>
      <c r="AF24" s="1">
        <f>IF(INDEX(Last10Away_Stats_All!$A:$A,ROW()-ROW($Q$16)+2)="","",
IFERROR(
INDEX(Last10Away_Stats_All!$A:$ZZ,ROW()-ROW($Q$16)+2,COLUMN()-COLUMN($Q$16)+1),
""))</f>
        <v>1</v>
      </c>
      <c r="AG24" s="1">
        <f>IF(INDEX(Last10Away_Stats_All!$A:$A,ROW()-ROW($Q$16)+2)="","",
IFERROR(
INDEX(Last10Away_Stats_All!$A:$ZZ,ROW()-ROW($Q$16)+2,COLUMN()-COLUMN($Q$16)+1),
""))</f>
        <v>3</v>
      </c>
      <c r="AH24" s="1">
        <f>IF(INDEX(Last10Away_Stats_All!$A:$A,ROW()-ROW($Q$16)+2)="","",
IFERROR(
INDEX(Last10Away_Stats_All!$A:$ZZ,ROW()-ROW($Q$16)+2,COLUMN()-COLUMN($Q$16)+1),
""))</f>
        <v>2</v>
      </c>
      <c r="AI24" s="1">
        <f>IF(INDEX(Last10Away_Stats_All!$A:$A,ROW()-ROW($Q$16)+2)="","",
IFERROR(
INDEX(Last10Away_Stats_All!$A:$ZZ,ROW()-ROW($Q$16)+2,COLUMN()-COLUMN($Q$16)+1),
""))</f>
        <v>3</v>
      </c>
      <c r="AJ24" s="1">
        <f>IF(INDEX(Last10Away_Stats_All!$A:$A,ROW()-ROW($Q$16)+2)="","",
IFERROR(
INDEX(Last10Away_Stats_All!$A:$ZZ,ROW()-ROW($Q$16)+2,COLUMN()-COLUMN($Q$16)+1),
""))</f>
        <v>3</v>
      </c>
      <c r="AK24" s="1">
        <f>IF(INDEX(Last10Away_Stats_All!$A:$A,ROW()-ROW($Q$16)+2)="","",
IFERROR(
INDEX(Last10Away_Stats_All!$A:$ZZ,ROW()-ROW($Q$16)+2,COLUMN()-COLUMN($Q$16)+1),
""))</f>
        <v>9</v>
      </c>
      <c r="AL24" s="1">
        <f>IF(INDEX(Last10Away_Stats_All!$A:$A,ROW()-ROW($Q$16)+2)="","",
IFERROR(
INDEX(Last10Away_Stats_All!$A:$ZZ,ROW()-ROW($Q$16)+2,COLUMN()-COLUMN($Q$16)+1),
""))</f>
        <v>11</v>
      </c>
      <c r="AM24" s="1">
        <f>IF(INDEX(Last10Away_Stats_All!$A:$A,ROW()-ROW($Q$16)+2)="","",
IFERROR(
INDEX(Last10Away_Stats_All!$A:$ZZ,ROW()-ROW($Q$16)+2,COLUMN()-COLUMN($Q$16)+1),
""))</f>
        <v>3</v>
      </c>
      <c r="AN24" s="1">
        <f>IF(INDEX(Last10Away_Stats_All!$A:$A,ROW()-ROW($Q$16)+2)="","",
IFERROR(
INDEX(Last10Away_Stats_All!$A:$ZZ,ROW()-ROW($Q$16)+2,COLUMN()-COLUMN($Q$16)+1),
""))</f>
        <v>6</v>
      </c>
      <c r="AO24" s="1">
        <f>IF(INDEX(Last10Away_Stats_All!$A:$A,ROW()-ROW($Q$16)+2)="","",
IFERROR(
INDEX(Last10Away_Stats_All!$A:$ZZ,ROW()-ROW($Q$16)+2,COLUMN()-COLUMN($Q$16)+1),
""))</f>
        <v>6</v>
      </c>
      <c r="AP24" s="1">
        <f>IF(INDEX(Last10Away_Stats_All!$A:$A,ROW()-ROW($Q$16)+2)="","",
IFERROR(
INDEX(Last10Away_Stats_All!$A:$ZZ,ROW()-ROW($Q$16)+2,COLUMN()-COLUMN($Q$16)+1),
""))</f>
        <v>7</v>
      </c>
      <c r="AQ24" s="1">
        <f>IF(INDEX(Last10Away_Stats_All!$A:$A,ROW()-ROW($Q$16)+2)="","",
IFERROR(
INDEX(Last10Away_Stats_All!$A:$ZZ,ROW()-ROW($Q$16)+2,COLUMN()-COLUMN($Q$16)+1),
""))</f>
        <v>3</v>
      </c>
      <c r="AR24" s="1">
        <f>IF(INDEX(Last10Away_Stats_All!$A:$A,ROW()-ROW($Q$16)+2)="","",
IFERROR(
INDEX(Last10Away_Stats_All!$A:$ZZ,ROW()-ROW($Q$16)+2,COLUMN()-COLUMN($Q$16)+1),
""))</f>
        <v>4</v>
      </c>
      <c r="AS24" s="1">
        <f>IF(INDEX(Last10Away_Stats_All!$A:$A,ROW()-ROW($Q$16)+2)="","",
IFERROR(
INDEX(Last10Away_Stats_All!$A:$ZZ,ROW()-ROW($Q$16)+2,COLUMN()-COLUMN($Q$16)+1),
""))</f>
        <v>7</v>
      </c>
      <c r="AT24" s="1">
        <f>IF(INDEX(Last10Away_Stats_All!$A:$A,ROW()-ROW($Q$16)+2)="","",
IFERROR(
INDEX(Last10Away_Stats_All!$A:$ZZ,ROW()-ROW($Q$16)+2,COLUMN()-COLUMN($Q$16)+1),
""))</f>
        <v>19</v>
      </c>
      <c r="AU24" s="1">
        <f>IF(INDEX(Last10Away_Stats_All!$A:$A,ROW()-ROW($Q$16)+2)="","",
IFERROR(
INDEX(Last10Away_Stats_All!$A:$ZZ,ROW()-ROW($Q$16)+2,COLUMN()-COLUMN($Q$16)+1),
""))</f>
        <v>4</v>
      </c>
      <c r="AV24" s="1">
        <f>IF(INDEX(Last10Away_Stats_All!$A:$A,ROW()-ROW($Q$16)+2)="","",
IFERROR(
INDEX(Last10Away_Stats_All!$A:$ZZ,ROW()-ROW($Q$16)+2,COLUMN()-COLUMN($Q$16)+1),
""))</f>
        <v>5</v>
      </c>
      <c r="AW24" s="1">
        <f>IF(INDEX(Last10Away_Stats_All!$A:$A,ROW()-ROW($Q$16)+2)="","",
IFERROR(
INDEX(Last10Away_Stats_All!$A:$ZZ,ROW()-ROW($Q$16)+2,COLUMN()-COLUMN($Q$16)+1),
""))</f>
        <v>1</v>
      </c>
      <c r="AX24" s="1">
        <f>IF(INDEX(Last10Away_Stats_All!$A:$A,ROW()-ROW($Q$16)+2)="","",
IFERROR(
INDEX(Last10Away_Stats_All!$A:$ZZ,ROW()-ROW($Q$16)+2,COLUMN()-COLUMN($Q$16)+1),
""))</f>
        <v>2</v>
      </c>
      <c r="AY24" s="1">
        <f>IF(INDEX(Last10Away_Stats_All!$A:$A,ROW()-ROW($Q$16)+2)="","",
IFERROR(
INDEX(Last10Away_Stats_All!$A:$ZZ,ROW()-ROW($Q$16)+2,COLUMN()-COLUMN($Q$16)+1),
""))</f>
        <v>51</v>
      </c>
      <c r="AZ24" s="1">
        <f>IF(INDEX(Last10Away_Stats_All!$A:$A,ROW()-ROW($Q$16)+2)="","",
IFERROR(
INDEX(Last10Away_Stats_All!$A:$ZZ,ROW()-ROW($Q$16)+2,COLUMN()-COLUMN($Q$16)+1),
""))</f>
        <v>49</v>
      </c>
      <c r="BA24" s="1">
        <f>IF(INDEX(Last10Away_Stats_All!$A:$A,ROW()-ROW($Q$16)+2)="","",
IFERROR(
INDEX(Last10Away_Stats_All!$A:$ZZ,ROW()-ROW($Q$16)+2,COLUMN()-COLUMN($Q$16)+1),
""))</f>
        <v>3</v>
      </c>
      <c r="BB24" s="1">
        <f>IF(INDEX(Last10Away_Stats_All!$A:$A,ROW()-ROW($Q$16)+2)="","",
IFERROR(
INDEX(Last10Away_Stats_All!$A:$ZZ,ROW()-ROW($Q$16)+2,COLUMN()-COLUMN($Q$16)+1),
""))</f>
        <v>2</v>
      </c>
      <c r="BC24" s="1">
        <f>IF(INDEX(Last10Away_Stats_All!$A:$A,ROW()-ROW($Q$16)+2)="","",
IFERROR(
INDEX(Last10Away_Stats_All!$A:$ZZ,ROW()-ROW($Q$16)+2,COLUMN()-COLUMN($Q$16)+1),
""))</f>
        <v>0</v>
      </c>
      <c r="BD24" s="1">
        <f>IF(INDEX(Last10Away_Stats_All!$A:$A,ROW()-ROW($Q$16)+2)="","",
IFERROR(
INDEX(Last10Away_Stats_All!$A:$ZZ,ROW()-ROW($Q$16)+2,COLUMN()-COLUMN($Q$16)+1),
""))</f>
        <v>0</v>
      </c>
      <c r="BE24" s="1">
        <f>IF(INDEX(Last10Away_Stats_All!$A:$A,ROW()-ROW($Q$16)+2)="","",
IFERROR(
INDEX(Last10Away_Stats_All!$A:$ZZ,ROW()-ROW($Q$16)+2,COLUMN()-COLUMN($Q$16)+1),
""))</f>
        <v>1</v>
      </c>
      <c r="BF24" s="1">
        <f>IF(INDEX(Last10Away_Stats_All!$A:$A,ROW()-ROW($Q$16)+2)="","",
IFERROR(
INDEX(Last10Away_Stats_All!$A:$ZZ,ROW()-ROW($Q$16)+2,COLUMN()-COLUMN($Q$16)+1),
""))</f>
        <v>1</v>
      </c>
      <c r="BG24" s="1">
        <f>IF(INDEX(Last10Away_Stats_All!$A:$A,ROW()-ROW($Q$16)+2)="","",
IFERROR(
INDEX(Last10Away_Stats_All!$A:$ZZ,ROW()-ROW($Q$16)+2,COLUMN()-COLUMN($Q$16)+1),
""))</f>
        <v>414</v>
      </c>
      <c r="BH24" s="1">
        <f>IF(INDEX(Last10Away_Stats_All!$A:$A,ROW()-ROW($Q$16)+2)="","",
IFERROR(
INDEX(Last10Away_Stats_All!$A:$ZZ,ROW()-ROW($Q$16)+2,COLUMN()-COLUMN($Q$16)+1),
""))</f>
        <v>372</v>
      </c>
      <c r="BI24" s="1">
        <f>IF(INDEX(Last10Away_Stats_All!$A:$A,ROW()-ROW($Q$16)+2)="","",
IFERROR(
INDEX(Last10Away_Stats_All!$A:$ZZ,ROW()-ROW($Q$16)+2,COLUMN()-COLUMN($Q$16)+1),
""))</f>
        <v>312</v>
      </c>
      <c r="BJ24" s="1">
        <f>IF(INDEX(Last10Away_Stats_All!$A:$A,ROW()-ROW($Q$16)+2)="","",
IFERROR(
INDEX(Last10Away_Stats_All!$A:$ZZ,ROW()-ROW($Q$16)+2,COLUMN()-COLUMN($Q$16)+1),
""))</f>
        <v>270</v>
      </c>
      <c r="BK24" s="1">
        <f>IF(INDEX(Last10Away_Stats_All!$A:$A,ROW()-ROW($Q$16)+2)="","",
IFERROR(
INDEX(Last10Away_Stats_All!$A:$ZZ,ROW()-ROW($Q$16)+2,COLUMN()-COLUMN($Q$16)+1),
""))</f>
        <v>75</v>
      </c>
      <c r="BL24" s="1">
        <f>IF(INDEX(Last10Away_Stats_All!$A:$A,ROW()-ROW($Q$16)+2)="","",
IFERROR(
INDEX(Last10Away_Stats_All!$A:$ZZ,ROW()-ROW($Q$16)+2,COLUMN()-COLUMN($Q$16)+1),
""))</f>
        <v>73</v>
      </c>
      <c r="BM24" s="1">
        <f>IF(INDEX(Last10Away_Stats_All!$A:$A,ROW()-ROW($Q$16)+2)="","",
IFERROR(
INDEX(Last10Away_Stats_All!$A:$ZZ,ROW()-ROW($Q$16)+2,COLUMN()-COLUMN($Q$16)+1),
""))</f>
        <v>0.71</v>
      </c>
      <c r="BN24" s="1">
        <f>IF(INDEX(Last10Away_Stats_All!$A:$A,ROW()-ROW($Q$16)+2)="","",
IFERROR(
INDEX(Last10Away_Stats_All!$A:$ZZ,ROW()-ROW($Q$16)+2,COLUMN()-COLUMN($Q$16)+1),
""))</f>
        <v>0.83</v>
      </c>
      <c r="BO24" s="1">
        <f>IF(INDEX(Last10Away_Stats_All!$A:$A,ROW()-ROW($Q$16)+2)="","",
IFERROR(
INDEX(Last10Away_Stats_All!$A:$ZZ,ROW()-ROW($Q$16)+2,COLUMN()-COLUMN($Q$16)+1),
""))</f>
        <v>0</v>
      </c>
      <c r="BP24" s="1">
        <f>IF(INDEX(Last10Away_Stats_All!$A:$A,ROW()-ROW($Q$16)+2)="","",
IFERROR(
INDEX(Last10Away_Stats_All!$A:$ZZ,ROW()-ROW($Q$16)+2,COLUMN()-COLUMN($Q$16)+1),
""))</f>
        <v>0</v>
      </c>
      <c r="BR24" s="1" t="str">
        <f>IF(OR(Control!AC24="",Control!AD24=""),"",Control!AC24&amp;" : "&amp;Control!AD24)</f>
        <v>2 : 0</v>
      </c>
      <c r="BS24" s="1" t="str">
        <f>IF(OR(Control!AE24="",Control!AF24=""),"",Control!AE24&amp;" : "&amp;Control!AF24)</f>
        <v>2 : 1</v>
      </c>
      <c r="BT24" s="1" t="str">
        <f>IF(OR(Control!AU24="",Control!AV24=""),"",Control!AU24&amp;" : "&amp;Control!AV24)</f>
        <v>4 : 5</v>
      </c>
      <c r="BV24" s="1">
        <f>IFERROR(INDEX(tblStandings[#All],ROW(A24),COLUMN(A24)),"")</f>
        <v>23</v>
      </c>
      <c r="BW24" s="1" t="str">
        <f>IFERROR(INDEX(tblStandings[#All],ROW(B24),COLUMN(B24)),"")</f>
        <v>Barrow</v>
      </c>
      <c r="BX24" s="1">
        <f>IFERROR(INDEX(tblStandings[#All],ROW(C24),COLUMN(C24)),"")</f>
        <v>41</v>
      </c>
      <c r="BY24" s="1">
        <f>IFERROR(INDEX(tblStandings[#All],ROW(D24),COLUMN(D24)),"")</f>
        <v>8</v>
      </c>
      <c r="BZ24" s="1">
        <f>IFERROR(INDEX(tblStandings[#All],ROW(E24),COLUMN(E24)),"")</f>
        <v>9</v>
      </c>
      <c r="CA24" s="1">
        <f>IFERROR(INDEX(tblStandings[#All],ROW(F24),COLUMN(F24)),"")</f>
        <v>24</v>
      </c>
      <c r="CB24" s="1">
        <f>IFERROR(INDEX(tblStandings[#All],ROW(G24),COLUMN(G24)),"")</f>
        <v>38</v>
      </c>
      <c r="CC24" s="1">
        <f>IFERROR(INDEX(tblStandings[#All],ROW(H24),COLUMN(H24)),"")</f>
        <v>65</v>
      </c>
      <c r="CD24" s="1">
        <f>IFERROR(INDEX(tblStandings[#All],ROW(I24),COLUMN(I24)),"")</f>
        <v>-27</v>
      </c>
      <c r="CE24" s="1">
        <f>IFERROR(INDEX(tblStandings[#All],ROW(J24),COLUMN(J24)),"")</f>
        <v>33</v>
      </c>
      <c r="CF24" s="1" t="str">
        <f>IFERROR(INDEX(tblStandings[#All],ROW(K24),COLUMN(K24)),"")</f>
        <v>LDWLL</v>
      </c>
      <c r="CG24" s="1" t="str">
        <f t="shared" si="0"/>
        <v>L</v>
      </c>
      <c r="CH24" s="1" t="str">
        <f t="shared" si="1"/>
        <v>D</v>
      </c>
      <c r="CI24" s="1" t="str">
        <f t="shared" si="2"/>
        <v>W</v>
      </c>
      <c r="CJ24" s="1" t="str">
        <f t="shared" si="3"/>
        <v>L</v>
      </c>
      <c r="CK24" s="1" t="str">
        <f t="shared" si="4"/>
        <v>L</v>
      </c>
    </row>
    <row r="25" spans="1:89" x14ac:dyDescent="0.25">
      <c r="H25" s="1">
        <v>1483030</v>
      </c>
      <c r="I25" s="4">
        <v>46330.083333333336</v>
      </c>
      <c r="J25" s="1" t="s">
        <v>32</v>
      </c>
      <c r="K25" s="1" t="s">
        <v>21</v>
      </c>
      <c r="L25" s="1" t="s">
        <v>7144</v>
      </c>
      <c r="M25" s="1" t="s">
        <v>7195</v>
      </c>
      <c r="N25" s="1" t="s">
        <v>7196</v>
      </c>
      <c r="O25" s="1" t="s">
        <v>7197</v>
      </c>
      <c r="Q25" s="1">
        <f>IF(INDEX(Last10Away_Stats_All!$A:$A,ROW()-ROW($Q$16)+2)="","",
IFERROR(
INDEX(Last10Away_Stats_All!$A:$ZZ,ROW()-ROW($Q$16)+2,COLUMN()-COLUMN($Q$16)+1),
""))</f>
        <v>1489430</v>
      </c>
      <c r="R25" s="1" t="str">
        <f>IF(INDEX(Last10Away_Stats_All!$A:$A,ROW()-ROW($Q$16)+2)="","",
IFERROR(
INDEX(Last10Away_Stats_All!$A:$ZZ,ROW()-ROW($Q$16)+2,COLUMN()-COLUMN($Q$16)+1),
""))</f>
        <v>13/01/2026 19:00</v>
      </c>
      <c r="S25" s="1" t="str">
        <f>IF(INDEX(Last10Away_Stats_All!$A:$A,ROW()-ROW($Q$16)+2)="","",
IFERROR(
INDEX(Last10Away_Stats_All!$A:$ZZ,ROW()-ROW($Q$16)+2,COLUMN()-COLUMN($Q$16)+1),
""))</f>
        <v>England</v>
      </c>
      <c r="T25" s="1" t="str">
        <f>IF(INDEX(Last10Away_Stats_All!$A:$A,ROW()-ROW($Q$16)+2)="","",
IFERROR(
INDEX(Last10Away_Stats_All!$A:$ZZ,ROW()-ROW($Q$16)+2,COLUMN()-COLUMN($Q$16)+1),
""))</f>
        <v>EFL Trophy</v>
      </c>
      <c r="U25" s="1" t="str">
        <f>IF(INDEX(Last10Away_Stats_All!$A:$A,ROW()-ROW($Q$16)+2)="","",
IFERROR(
INDEX(Last10Away_Stats_All!$A:$ZZ,ROW()-ROW($Q$16)+2,COLUMN()-COLUMN($Q$16)+1),
""))</f>
        <v>https://media.api-sports.io/football/teams/1354.png</v>
      </c>
      <c r="V25" s="1" t="str">
        <f>IF(INDEX(Last10Away_Stats_All!$A:$A,ROW()-ROW($Q$16)+2)="","",
IFERROR(
INDEX(Last10Away_Stats_All!$A:$ZZ,ROW()-ROW($Q$16)+2,COLUMN()-COLUMN($Q$16)+1),
""))</f>
        <v>Doncaster</v>
      </c>
      <c r="W25" s="1" t="str">
        <f>IF(INDEX(Last10Away_Stats_All!$A:$A,ROW()-ROW($Q$16)+2)="","",
IFERROR(
INDEX(Last10Away_Stats_All!$A:$ZZ,ROW()-ROW($Q$16)+2,COLUMN()-COLUMN($Q$16)+1),
""))</f>
        <v>https://media.api-sports.io/football/teams/1336.png</v>
      </c>
      <c r="X25" s="1" t="str">
        <f>IF(INDEX(Last10Away_Stats_All!$A:$A,ROW()-ROW($Q$16)+2)="","",
IFERROR(
INDEX(Last10Away_Stats_All!$A:$ZZ,ROW()-ROW($Q$16)+2,COLUMN()-COLUMN($Q$16)+1),
""))</f>
        <v>Fleetwood Town</v>
      </c>
      <c r="Y25" s="1" t="str">
        <f>IF(INDEX(Last10Away_Stats_All!$A:$A,ROW()-ROW($Q$16)+2)="","",
IFERROR(
INDEX(Last10Away_Stats_All!$A:$ZZ,ROW()-ROW($Q$16)+2,COLUMN()-COLUMN($Q$16)+1),
""))</f>
        <v>https://media.api-sports.io/football/leagues/46.png</v>
      </c>
      <c r="Z25" s="1" t="str">
        <f>IF(INDEX(Last10Away_Stats_All!$A:$A,ROW()-ROW($Q$16)+2)="","",
IFERROR(
INDEX(Last10Away_Stats_All!$A:$ZZ,ROW()-ROW($Q$16)+2,COLUMN()-COLUMN($Q$16)+1),
""))</f>
        <v>https://media.api-sports.io/flags/gb-eng.svg</v>
      </c>
      <c r="AA25" s="1">
        <f>IF(INDEX(Last10Away_Stats_All!$A:$A,ROW()-ROW($Q$16)+2)="","",
IFERROR(
INDEX(Last10Away_Stats_All!$A:$ZZ,ROW()-ROW($Q$16)+2,COLUMN()-COLUMN($Q$16)+1),
""))</f>
        <v>3</v>
      </c>
      <c r="AB25" s="1">
        <f>IF(INDEX(Last10Away_Stats_All!$A:$A,ROW()-ROW($Q$16)+2)="","",
IFERROR(
INDEX(Last10Away_Stats_All!$A:$ZZ,ROW()-ROW($Q$16)+2,COLUMN()-COLUMN($Q$16)+1),
""))</f>
        <v>1</v>
      </c>
      <c r="AC25" s="1">
        <f>IF(INDEX(Last10Away_Stats_All!$A:$A,ROW()-ROW($Q$16)+2)="","",
IFERROR(
INDEX(Last10Away_Stats_All!$A:$ZZ,ROW()-ROW($Q$16)+2,COLUMN()-COLUMN($Q$16)+1),
""))</f>
        <v>1</v>
      </c>
      <c r="AD25" s="1">
        <f>IF(INDEX(Last10Away_Stats_All!$A:$A,ROW()-ROW($Q$16)+2)="","",
IFERROR(
INDEX(Last10Away_Stats_All!$A:$ZZ,ROW()-ROW($Q$16)+2,COLUMN()-COLUMN($Q$16)+1),
""))</f>
        <v>0</v>
      </c>
      <c r="AE25" s="1">
        <f>IF(INDEX(Last10Away_Stats_All!$A:$A,ROW()-ROW($Q$16)+2)="","",
IFERROR(
INDEX(Last10Away_Stats_All!$A:$ZZ,ROW()-ROW($Q$16)+2,COLUMN()-COLUMN($Q$16)+1),
""))</f>
        <v>3</v>
      </c>
      <c r="AF25" s="1">
        <f>IF(INDEX(Last10Away_Stats_All!$A:$A,ROW()-ROW($Q$16)+2)="","",
IFERROR(
INDEX(Last10Away_Stats_All!$A:$ZZ,ROW()-ROW($Q$16)+2,COLUMN()-COLUMN($Q$16)+1),
""))</f>
        <v>1</v>
      </c>
      <c r="AG25" s="1">
        <f>IF(INDEX(Last10Away_Stats_All!$A:$A,ROW()-ROW($Q$16)+2)="","",
IFERROR(
INDEX(Last10Away_Stats_All!$A:$ZZ,ROW()-ROW($Q$16)+2,COLUMN()-COLUMN($Q$16)+1),
""))</f>
        <v>0</v>
      </c>
      <c r="AH25" s="1">
        <f>IF(INDEX(Last10Away_Stats_All!$A:$A,ROW()-ROW($Q$16)+2)="","",
IFERROR(
INDEX(Last10Away_Stats_All!$A:$ZZ,ROW()-ROW($Q$16)+2,COLUMN()-COLUMN($Q$16)+1),
""))</f>
        <v>0</v>
      </c>
      <c r="AI25" s="1">
        <f>IF(INDEX(Last10Away_Stats_All!$A:$A,ROW()-ROW($Q$16)+2)="","",
IFERROR(
INDEX(Last10Away_Stats_All!$A:$ZZ,ROW()-ROW($Q$16)+2,COLUMN()-COLUMN($Q$16)+1),
""))</f>
        <v>0</v>
      </c>
      <c r="AJ25" s="1">
        <f>IF(INDEX(Last10Away_Stats_All!$A:$A,ROW()-ROW($Q$16)+2)="","",
IFERROR(
INDEX(Last10Away_Stats_All!$A:$ZZ,ROW()-ROW($Q$16)+2,COLUMN()-COLUMN($Q$16)+1),
""))</f>
        <v>0</v>
      </c>
      <c r="AK25" s="1">
        <f>IF(INDEX(Last10Away_Stats_All!$A:$A,ROW()-ROW($Q$16)+2)="","",
IFERROR(
INDEX(Last10Away_Stats_All!$A:$ZZ,ROW()-ROW($Q$16)+2,COLUMN()-COLUMN($Q$16)+1),
""))</f>
        <v>0</v>
      </c>
      <c r="AL25" s="1">
        <f>IF(INDEX(Last10Away_Stats_All!$A:$A,ROW()-ROW($Q$16)+2)="","",
IFERROR(
INDEX(Last10Away_Stats_All!$A:$ZZ,ROW()-ROW($Q$16)+2,COLUMN()-COLUMN($Q$16)+1),
""))</f>
        <v>0</v>
      </c>
      <c r="AM25" s="1">
        <f>IF(INDEX(Last10Away_Stats_All!$A:$A,ROW()-ROW($Q$16)+2)="","",
IFERROR(
INDEX(Last10Away_Stats_All!$A:$ZZ,ROW()-ROW($Q$16)+2,COLUMN()-COLUMN($Q$16)+1),
""))</f>
        <v>0</v>
      </c>
      <c r="AN25" s="1">
        <f>IF(INDEX(Last10Away_Stats_All!$A:$A,ROW()-ROW($Q$16)+2)="","",
IFERROR(
INDEX(Last10Away_Stats_All!$A:$ZZ,ROW()-ROW($Q$16)+2,COLUMN()-COLUMN($Q$16)+1),
""))</f>
        <v>0</v>
      </c>
      <c r="AO25" s="1">
        <f>IF(INDEX(Last10Away_Stats_All!$A:$A,ROW()-ROW($Q$16)+2)="","",
IFERROR(
INDEX(Last10Away_Stats_All!$A:$ZZ,ROW()-ROW($Q$16)+2,COLUMN()-COLUMN($Q$16)+1),
""))</f>
        <v>0</v>
      </c>
      <c r="AP25" s="1">
        <f>IF(INDEX(Last10Away_Stats_All!$A:$A,ROW()-ROW($Q$16)+2)="","",
IFERROR(
INDEX(Last10Away_Stats_All!$A:$ZZ,ROW()-ROW($Q$16)+2,COLUMN()-COLUMN($Q$16)+1),
""))</f>
        <v>0</v>
      </c>
      <c r="AQ25" s="1">
        <f>IF(INDEX(Last10Away_Stats_All!$A:$A,ROW()-ROW($Q$16)+2)="","",
IFERROR(
INDEX(Last10Away_Stats_All!$A:$ZZ,ROW()-ROW($Q$16)+2,COLUMN()-COLUMN($Q$16)+1),
""))</f>
        <v>0</v>
      </c>
      <c r="AR25" s="1">
        <f>IF(INDEX(Last10Away_Stats_All!$A:$A,ROW()-ROW($Q$16)+2)="","",
IFERROR(
INDEX(Last10Away_Stats_All!$A:$ZZ,ROW()-ROW($Q$16)+2,COLUMN()-COLUMN($Q$16)+1),
""))</f>
        <v>0</v>
      </c>
      <c r="AS25" s="1">
        <f>IF(INDEX(Last10Away_Stats_All!$A:$A,ROW()-ROW($Q$16)+2)="","",
IFERROR(
INDEX(Last10Away_Stats_All!$A:$ZZ,ROW()-ROW($Q$16)+2,COLUMN()-COLUMN($Q$16)+1),
""))</f>
        <v>0</v>
      </c>
      <c r="AT25" s="1">
        <f>IF(INDEX(Last10Away_Stats_All!$A:$A,ROW()-ROW($Q$16)+2)="","",
IFERROR(
INDEX(Last10Away_Stats_All!$A:$ZZ,ROW()-ROW($Q$16)+2,COLUMN()-COLUMN($Q$16)+1),
""))</f>
        <v>0</v>
      </c>
      <c r="AU25" s="1">
        <f>IF(INDEX(Last10Away_Stats_All!$A:$A,ROW()-ROW($Q$16)+2)="","",
IFERROR(
INDEX(Last10Away_Stats_All!$A:$ZZ,ROW()-ROW($Q$16)+2,COLUMN()-COLUMN($Q$16)+1),
""))</f>
        <v>0</v>
      </c>
      <c r="AV25" s="1">
        <f>IF(INDEX(Last10Away_Stats_All!$A:$A,ROW()-ROW($Q$16)+2)="","",
IFERROR(
INDEX(Last10Away_Stats_All!$A:$ZZ,ROW()-ROW($Q$16)+2,COLUMN()-COLUMN($Q$16)+1),
""))</f>
        <v>0</v>
      </c>
      <c r="AW25" s="1">
        <f>IF(INDEX(Last10Away_Stats_All!$A:$A,ROW()-ROW($Q$16)+2)="","",
IFERROR(
INDEX(Last10Away_Stats_All!$A:$ZZ,ROW()-ROW($Q$16)+2,COLUMN()-COLUMN($Q$16)+1),
""))</f>
        <v>0</v>
      </c>
      <c r="AX25" s="1">
        <f>IF(INDEX(Last10Away_Stats_All!$A:$A,ROW()-ROW($Q$16)+2)="","",
IFERROR(
INDEX(Last10Away_Stats_All!$A:$ZZ,ROW()-ROW($Q$16)+2,COLUMN()-COLUMN($Q$16)+1),
""))</f>
        <v>0</v>
      </c>
      <c r="AY25" s="1">
        <f>IF(INDEX(Last10Away_Stats_All!$A:$A,ROW()-ROW($Q$16)+2)="","",
IFERROR(
INDEX(Last10Away_Stats_All!$A:$ZZ,ROW()-ROW($Q$16)+2,COLUMN()-COLUMN($Q$16)+1),
""))</f>
        <v>0</v>
      </c>
      <c r="AZ25" s="1">
        <f>IF(INDEX(Last10Away_Stats_All!$A:$A,ROW()-ROW($Q$16)+2)="","",
IFERROR(
INDEX(Last10Away_Stats_All!$A:$ZZ,ROW()-ROW($Q$16)+2,COLUMN()-COLUMN($Q$16)+1),
""))</f>
        <v>0</v>
      </c>
      <c r="BA25" s="1">
        <f>IF(INDEX(Last10Away_Stats_All!$A:$A,ROW()-ROW($Q$16)+2)="","",
IFERROR(
INDEX(Last10Away_Stats_All!$A:$ZZ,ROW()-ROW($Q$16)+2,COLUMN()-COLUMN($Q$16)+1),
""))</f>
        <v>0</v>
      </c>
      <c r="BB25" s="1">
        <f>IF(INDEX(Last10Away_Stats_All!$A:$A,ROW()-ROW($Q$16)+2)="","",
IFERROR(
INDEX(Last10Away_Stats_All!$A:$ZZ,ROW()-ROW($Q$16)+2,COLUMN()-COLUMN($Q$16)+1),
""))</f>
        <v>0</v>
      </c>
      <c r="BC25" s="1">
        <f>IF(INDEX(Last10Away_Stats_All!$A:$A,ROW()-ROW($Q$16)+2)="","",
IFERROR(
INDEX(Last10Away_Stats_All!$A:$ZZ,ROW()-ROW($Q$16)+2,COLUMN()-COLUMN($Q$16)+1),
""))</f>
        <v>0</v>
      </c>
      <c r="BD25" s="1">
        <f>IF(INDEX(Last10Away_Stats_All!$A:$A,ROW()-ROW($Q$16)+2)="","",
IFERROR(
INDEX(Last10Away_Stats_All!$A:$ZZ,ROW()-ROW($Q$16)+2,COLUMN()-COLUMN($Q$16)+1),
""))</f>
        <v>0</v>
      </c>
      <c r="BE25" s="1">
        <f>IF(INDEX(Last10Away_Stats_All!$A:$A,ROW()-ROW($Q$16)+2)="","",
IFERROR(
INDEX(Last10Away_Stats_All!$A:$ZZ,ROW()-ROW($Q$16)+2,COLUMN()-COLUMN($Q$16)+1),
""))</f>
        <v>0</v>
      </c>
      <c r="BF25" s="1">
        <f>IF(INDEX(Last10Away_Stats_All!$A:$A,ROW()-ROW($Q$16)+2)="","",
IFERROR(
INDEX(Last10Away_Stats_All!$A:$ZZ,ROW()-ROW($Q$16)+2,COLUMN()-COLUMN($Q$16)+1),
""))</f>
        <v>0</v>
      </c>
      <c r="BG25" s="1">
        <f>IF(INDEX(Last10Away_Stats_All!$A:$A,ROW()-ROW($Q$16)+2)="","",
IFERROR(
INDEX(Last10Away_Stats_All!$A:$ZZ,ROW()-ROW($Q$16)+2,COLUMN()-COLUMN($Q$16)+1),
""))</f>
        <v>0</v>
      </c>
      <c r="BH25" s="1">
        <f>IF(INDEX(Last10Away_Stats_All!$A:$A,ROW()-ROW($Q$16)+2)="","",
IFERROR(
INDEX(Last10Away_Stats_All!$A:$ZZ,ROW()-ROW($Q$16)+2,COLUMN()-COLUMN($Q$16)+1),
""))</f>
        <v>0</v>
      </c>
      <c r="BI25" s="1">
        <f>IF(INDEX(Last10Away_Stats_All!$A:$A,ROW()-ROW($Q$16)+2)="","",
IFERROR(
INDEX(Last10Away_Stats_All!$A:$ZZ,ROW()-ROW($Q$16)+2,COLUMN()-COLUMN($Q$16)+1),
""))</f>
        <v>0</v>
      </c>
      <c r="BJ25" s="1">
        <f>IF(INDEX(Last10Away_Stats_All!$A:$A,ROW()-ROW($Q$16)+2)="","",
IFERROR(
INDEX(Last10Away_Stats_All!$A:$ZZ,ROW()-ROW($Q$16)+2,COLUMN()-COLUMN($Q$16)+1),
""))</f>
        <v>0</v>
      </c>
      <c r="BK25" s="1">
        <f>IF(INDEX(Last10Away_Stats_All!$A:$A,ROW()-ROW($Q$16)+2)="","",
IFERROR(
INDEX(Last10Away_Stats_All!$A:$ZZ,ROW()-ROW($Q$16)+2,COLUMN()-COLUMN($Q$16)+1),
""))</f>
        <v>0</v>
      </c>
      <c r="BL25" s="1">
        <f>IF(INDEX(Last10Away_Stats_All!$A:$A,ROW()-ROW($Q$16)+2)="","",
IFERROR(
INDEX(Last10Away_Stats_All!$A:$ZZ,ROW()-ROW($Q$16)+2,COLUMN()-COLUMN($Q$16)+1),
""))</f>
        <v>0</v>
      </c>
      <c r="BM25" s="1">
        <f>IF(INDEX(Last10Away_Stats_All!$A:$A,ROW()-ROW($Q$16)+2)="","",
IFERROR(
INDEX(Last10Away_Stats_All!$A:$ZZ,ROW()-ROW($Q$16)+2,COLUMN()-COLUMN($Q$16)+1),
""))</f>
        <v>0</v>
      </c>
      <c r="BN25" s="1">
        <f>IF(INDEX(Last10Away_Stats_All!$A:$A,ROW()-ROW($Q$16)+2)="","",
IFERROR(
INDEX(Last10Away_Stats_All!$A:$ZZ,ROW()-ROW($Q$16)+2,COLUMN()-COLUMN($Q$16)+1),
""))</f>
        <v>0</v>
      </c>
      <c r="BO25" s="1">
        <f>IF(INDEX(Last10Away_Stats_All!$A:$A,ROW()-ROW($Q$16)+2)="","",
IFERROR(
INDEX(Last10Away_Stats_All!$A:$ZZ,ROW()-ROW($Q$16)+2,COLUMN()-COLUMN($Q$16)+1),
""))</f>
        <v>0</v>
      </c>
      <c r="BP25" s="1">
        <f>IF(INDEX(Last10Away_Stats_All!$A:$A,ROW()-ROW($Q$16)+2)="","",
IFERROR(
INDEX(Last10Away_Stats_All!$A:$ZZ,ROW()-ROW($Q$16)+2,COLUMN()-COLUMN($Q$16)+1),
""))</f>
        <v>0</v>
      </c>
      <c r="BR25" s="1" t="str">
        <f>IF(OR(Control!AC25="",Control!AD25=""),"",Control!AC25&amp;" : "&amp;Control!AD25)</f>
        <v>1 : 0</v>
      </c>
      <c r="BS25" s="1" t="str">
        <f>IF(OR(Control!AE25="",Control!AF25=""),"",Control!AE25&amp;" : "&amp;Control!AF25)</f>
        <v>3 : 1</v>
      </c>
      <c r="BT25" s="1" t="str">
        <f>IF(OR(Control!AU25="",Control!AV25=""),"",Control!AU25&amp;" : "&amp;Control!AV25)</f>
        <v>0 : 0</v>
      </c>
      <c r="BV25" s="1">
        <f>IFERROR(INDEX(tblStandings[#All],ROW(A25),COLUMN(A25)),"")</f>
        <v>24</v>
      </c>
      <c r="BW25" s="1" t="str">
        <f>IFERROR(INDEX(tblStandings[#All],ROW(B25),COLUMN(B25)),"")</f>
        <v>Harrogate Town</v>
      </c>
      <c r="BX25" s="1">
        <f>IFERROR(INDEX(tblStandings[#All],ROW(C25),COLUMN(C25)),"")</f>
        <v>42</v>
      </c>
      <c r="BY25" s="1">
        <f>IFERROR(INDEX(tblStandings[#All],ROW(D25),COLUMN(D25)),"")</f>
        <v>8</v>
      </c>
      <c r="BZ25" s="1">
        <f>IFERROR(INDEX(tblStandings[#All],ROW(E25),COLUMN(E25)),"")</f>
        <v>9</v>
      </c>
      <c r="CA25" s="1">
        <f>IFERROR(INDEX(tblStandings[#All],ROW(F25),COLUMN(F25)),"")</f>
        <v>25</v>
      </c>
      <c r="CB25" s="1">
        <f>IFERROR(INDEX(tblStandings[#All],ROW(G25),COLUMN(G25)),"")</f>
        <v>34</v>
      </c>
      <c r="CC25" s="1">
        <f>IFERROR(INDEX(tblStandings[#All],ROW(H25),COLUMN(H25)),"")</f>
        <v>64</v>
      </c>
      <c r="CD25" s="1">
        <f>IFERROR(INDEX(tblStandings[#All],ROW(I25),COLUMN(I25)),"")</f>
        <v>-30</v>
      </c>
      <c r="CE25" s="1">
        <f>IFERROR(INDEX(tblStandings[#All],ROW(J25),COLUMN(J25)),"")</f>
        <v>33</v>
      </c>
      <c r="CF25" s="1" t="str">
        <f>IFERROR(INDEX(tblStandings[#All],ROW(K25),COLUMN(K25)),"")</f>
        <v>LWLLW</v>
      </c>
      <c r="CG25" s="1" t="str">
        <f t="shared" si="0"/>
        <v>L</v>
      </c>
      <c r="CH25" s="1" t="str">
        <f t="shared" si="1"/>
        <v>W</v>
      </c>
      <c r="CI25" s="1" t="str">
        <f t="shared" si="2"/>
        <v>L</v>
      </c>
      <c r="CJ25" s="1" t="str">
        <f t="shared" si="3"/>
        <v>L</v>
      </c>
      <c r="CK25" s="1" t="str">
        <f t="shared" si="4"/>
        <v>W</v>
      </c>
    </row>
    <row r="26" spans="1:89" x14ac:dyDescent="0.25">
      <c r="H26" s="1">
        <v>1488308</v>
      </c>
      <c r="I26" s="4">
        <v>46330.083333333336</v>
      </c>
      <c r="J26" s="1" t="s">
        <v>32</v>
      </c>
      <c r="K26" s="1" t="s">
        <v>21</v>
      </c>
      <c r="L26" s="1" t="s">
        <v>361</v>
      </c>
      <c r="M26" s="1" t="s">
        <v>7198</v>
      </c>
      <c r="N26" s="1" t="s">
        <v>7199</v>
      </c>
      <c r="O26" s="1" t="s">
        <v>7200</v>
      </c>
      <c r="BR26" s="1" t="str">
        <f>IF(OR(Control!AC26="",Control!AD26=""),"",Control!AC26&amp;" : "&amp;Control!AD26)</f>
        <v/>
      </c>
      <c r="BS26" s="1" t="str">
        <f>IF(OR(Control!AE26="",Control!AF26=""),"",Control!AE26&amp;" : "&amp;Control!AF26)</f>
        <v/>
      </c>
      <c r="BT26" s="1" t="str">
        <f>IF(OR(Control!AU26="",Control!AV26=""),"",Control!AU26&amp;" : "&amp;Control!AV26)</f>
        <v/>
      </c>
      <c r="BV26" s="1" t="str">
        <f>IFERROR(INDEX(tblStandings[#All],ROW(A26),COLUMN(A26)),"")</f>
        <v/>
      </c>
      <c r="BW26" s="1" t="str">
        <f>IFERROR(INDEX(tblStandings[#All],ROW(B26),COLUMN(B26)),"")</f>
        <v/>
      </c>
      <c r="BX26" s="1" t="str">
        <f>IFERROR(INDEX(tblStandings[#All],ROW(C26),COLUMN(C26)),"")</f>
        <v/>
      </c>
      <c r="BY26" s="1" t="str">
        <f>IFERROR(INDEX(tblStandings[#All],ROW(D26),COLUMN(D26)),"")</f>
        <v/>
      </c>
      <c r="BZ26" s="1" t="str">
        <f>IFERROR(INDEX(tblStandings[#All],ROW(E26),COLUMN(E26)),"")</f>
        <v/>
      </c>
      <c r="CA26" s="1" t="str">
        <f>IFERROR(INDEX(tblStandings[#All],ROW(F26),COLUMN(F26)),"")</f>
        <v/>
      </c>
      <c r="CB26" s="1" t="str">
        <f>IFERROR(INDEX(tblStandings[#All],ROW(G26),COLUMN(G26)),"")</f>
        <v/>
      </c>
      <c r="CC26" s="1" t="str">
        <f>IFERROR(INDEX(tblStandings[#All],ROW(H26),COLUMN(H26)),"")</f>
        <v/>
      </c>
      <c r="CD26" s="1" t="str">
        <f>IFERROR(INDEX(tblStandings[#All],ROW(I26),COLUMN(I26)),"")</f>
        <v/>
      </c>
      <c r="CE26" s="1" t="str">
        <f>IFERROR(INDEX(tblStandings[#All],ROW(J26),COLUMN(J26)),"")</f>
        <v/>
      </c>
      <c r="CF26" s="1" t="str">
        <f>IFERROR(INDEX(tblStandings[#All],ROW(K26),COLUMN(K26)),"")</f>
        <v/>
      </c>
      <c r="CG26" s="1" t="str">
        <f t="shared" si="0"/>
        <v/>
      </c>
      <c r="CH26" s="1" t="str">
        <f t="shared" si="1"/>
        <v/>
      </c>
      <c r="CI26" s="1" t="str">
        <f t="shared" si="2"/>
        <v/>
      </c>
      <c r="CJ26" s="1" t="str">
        <f t="shared" si="3"/>
        <v/>
      </c>
      <c r="CK26" s="1" t="str">
        <f t="shared" si="4"/>
        <v/>
      </c>
    </row>
    <row r="27" spans="1:89" x14ac:dyDescent="0.25">
      <c r="H27" s="1">
        <v>1492580</v>
      </c>
      <c r="I27" s="4">
        <v>46330.083333333336</v>
      </c>
      <c r="J27" s="1" t="s">
        <v>32</v>
      </c>
      <c r="K27" s="1" t="s">
        <v>18</v>
      </c>
      <c r="L27" s="1" t="s">
        <v>368</v>
      </c>
      <c r="M27" s="1" t="s">
        <v>747</v>
      </c>
      <c r="N27" s="1" t="s">
        <v>7201</v>
      </c>
      <c r="O27" s="1" t="s">
        <v>7202</v>
      </c>
      <c r="BR27" s="1" t="str">
        <f>IF(OR(Control!AC27="",Control!AD27=""),"",Control!AC27&amp;" : "&amp;Control!AD27)</f>
        <v/>
      </c>
      <c r="BS27" s="1" t="str">
        <f>IF(OR(Control!AE27="",Control!AF27=""),"",Control!AE27&amp;" : "&amp;Control!AF27)</f>
        <v/>
      </c>
      <c r="BT27" s="1" t="str">
        <f>IF(OR(Control!AU27="",Control!AV27=""),"",Control!AU27&amp;" : "&amp;Control!AV27)</f>
        <v/>
      </c>
      <c r="BV27" s="1" t="str">
        <f>IFERROR(INDEX(tblStandings[#All],ROW(A27),COLUMN(A27)),"")</f>
        <v/>
      </c>
      <c r="BW27" s="1" t="str">
        <f>IFERROR(INDEX(tblStandings[#All],ROW(B27),COLUMN(B27)),"")</f>
        <v/>
      </c>
      <c r="BX27" s="1" t="str">
        <f>IFERROR(INDEX(tblStandings[#All],ROW(C27),COLUMN(C27)),"")</f>
        <v/>
      </c>
      <c r="BY27" s="1" t="str">
        <f>IFERROR(INDEX(tblStandings[#All],ROW(D27),COLUMN(D27)),"")</f>
        <v/>
      </c>
      <c r="BZ27" s="1" t="str">
        <f>IFERROR(INDEX(tblStandings[#All],ROW(E27),COLUMN(E27)),"")</f>
        <v/>
      </c>
      <c r="CA27" s="1" t="str">
        <f>IFERROR(INDEX(tblStandings[#All],ROW(F27),COLUMN(F27)),"")</f>
        <v/>
      </c>
      <c r="CB27" s="1" t="str">
        <f>IFERROR(INDEX(tblStandings[#All],ROW(G27),COLUMN(G27)),"")</f>
        <v/>
      </c>
      <c r="CC27" s="1" t="str">
        <f>IFERROR(INDEX(tblStandings[#All],ROW(H27),COLUMN(H27)),"")</f>
        <v/>
      </c>
      <c r="CD27" s="1" t="str">
        <f>IFERROR(INDEX(tblStandings[#All],ROW(I27),COLUMN(I27)),"")</f>
        <v/>
      </c>
      <c r="CE27" s="1" t="str">
        <f>IFERROR(INDEX(tblStandings[#All],ROW(J27),COLUMN(J27)),"")</f>
        <v/>
      </c>
      <c r="CF27" s="1" t="str">
        <f>IFERROR(INDEX(tblStandings[#All],ROW(K27),COLUMN(K27)),"")</f>
        <v/>
      </c>
      <c r="CG27" s="1" t="str">
        <f t="shared" si="0"/>
        <v/>
      </c>
      <c r="CH27" s="1" t="str">
        <f t="shared" si="1"/>
        <v/>
      </c>
      <c r="CI27" s="1" t="str">
        <f t="shared" si="2"/>
        <v/>
      </c>
      <c r="CJ27" s="1" t="str">
        <f t="shared" si="3"/>
        <v/>
      </c>
      <c r="CK27" s="1" t="str">
        <f t="shared" si="4"/>
        <v/>
      </c>
    </row>
    <row r="28" spans="1:89" x14ac:dyDescent="0.25">
      <c r="H28" s="1">
        <v>1494490</v>
      </c>
      <c r="I28" s="4">
        <v>46330.083333333336</v>
      </c>
      <c r="J28" s="1" t="s">
        <v>32</v>
      </c>
      <c r="K28" s="1" t="s">
        <v>18</v>
      </c>
      <c r="L28" s="1" t="s">
        <v>369</v>
      </c>
      <c r="M28" s="1" t="s">
        <v>736</v>
      </c>
      <c r="N28" s="1" t="s">
        <v>2416</v>
      </c>
      <c r="O28" s="1" t="s">
        <v>7203</v>
      </c>
      <c r="BR28" s="1" t="str">
        <f>IF(OR(Control!AC28="",Control!AD28=""),"",Control!AC28&amp;" : "&amp;Control!AD28)</f>
        <v/>
      </c>
      <c r="BS28" s="1" t="str">
        <f>IF(OR(Control!AE28="",Control!AF28=""),"",Control!AE28&amp;" : "&amp;Control!AF28)</f>
        <v/>
      </c>
      <c r="BT28" s="1" t="str">
        <f>IF(OR(Control!AU28="",Control!AV28=""),"",Control!AU28&amp;" : "&amp;Control!AV28)</f>
        <v/>
      </c>
      <c r="BV28" s="1" t="str">
        <f>IFERROR(INDEX(tblStandings[#All],ROW(A28),COLUMN(A28)),"")</f>
        <v/>
      </c>
      <c r="BW28" s="1" t="str">
        <f>IFERROR(INDEX(tblStandings[#All],ROW(B28),COLUMN(B28)),"")</f>
        <v/>
      </c>
      <c r="BX28" s="1" t="str">
        <f>IFERROR(INDEX(tblStandings[#All],ROW(C28),COLUMN(C28)),"")</f>
        <v/>
      </c>
      <c r="BY28" s="1" t="str">
        <f>IFERROR(INDEX(tblStandings[#All],ROW(D28),COLUMN(D28)),"")</f>
        <v/>
      </c>
      <c r="BZ28" s="1" t="str">
        <f>IFERROR(INDEX(tblStandings[#All],ROW(E28),COLUMN(E28)),"")</f>
        <v/>
      </c>
      <c r="CA28" s="1" t="str">
        <f>IFERROR(INDEX(tblStandings[#All],ROW(F28),COLUMN(F28)),"")</f>
        <v/>
      </c>
      <c r="CB28" s="1" t="str">
        <f>IFERROR(INDEX(tblStandings[#All],ROW(G28),COLUMN(G28)),"")</f>
        <v/>
      </c>
      <c r="CC28" s="1" t="str">
        <f>IFERROR(INDEX(tblStandings[#All],ROW(H28),COLUMN(H28)),"")</f>
        <v/>
      </c>
      <c r="CD28" s="1" t="str">
        <f>IFERROR(INDEX(tblStandings[#All],ROW(I28),COLUMN(I28)),"")</f>
        <v/>
      </c>
      <c r="CE28" s="1" t="str">
        <f>IFERROR(INDEX(tblStandings[#All],ROW(J28),COLUMN(J28)),"")</f>
        <v/>
      </c>
      <c r="CF28" s="1" t="str">
        <f>IFERROR(INDEX(tblStandings[#All],ROW(K28),COLUMN(K28)),"")</f>
        <v/>
      </c>
      <c r="CG28" s="1" t="str">
        <f t="shared" si="0"/>
        <v/>
      </c>
      <c r="CH28" s="1" t="str">
        <f t="shared" si="1"/>
        <v/>
      </c>
      <c r="CI28" s="1" t="str">
        <f t="shared" si="2"/>
        <v/>
      </c>
      <c r="CJ28" s="1" t="str">
        <f t="shared" si="3"/>
        <v/>
      </c>
      <c r="CK28" s="1" t="str">
        <f t="shared" si="4"/>
        <v/>
      </c>
    </row>
    <row r="29" spans="1:89" x14ac:dyDescent="0.25">
      <c r="A29" s="1" t="s">
        <v>306</v>
      </c>
      <c r="B29" s="1" t="s">
        <v>307</v>
      </c>
      <c r="H29" s="1">
        <v>1506080</v>
      </c>
      <c r="I29" s="4">
        <v>46330.086805555555</v>
      </c>
      <c r="J29" s="1" t="s">
        <v>32</v>
      </c>
      <c r="K29" s="1" t="s">
        <v>29</v>
      </c>
      <c r="L29" s="1" t="s">
        <v>30</v>
      </c>
      <c r="M29" s="1" t="s">
        <v>7205</v>
      </c>
      <c r="N29" s="1" t="s">
        <v>7206</v>
      </c>
      <c r="O29" s="1" t="s">
        <v>7207</v>
      </c>
      <c r="BR29" s="1" t="str">
        <f>IF(OR(Control!AC29="",Control!AD29=""),"",Control!AC29&amp;" : "&amp;Control!AD29)</f>
        <v/>
      </c>
      <c r="BS29" s="1" t="str">
        <f>IF(OR(Control!AE29="",Control!AF29=""),"",Control!AE29&amp;" : "&amp;Control!AF29)</f>
        <v/>
      </c>
      <c r="BT29" s="1" t="str">
        <f>IF(OR(Control!AU29="",Control!AV29=""),"",Control!AU29&amp;" : "&amp;Control!AV29)</f>
        <v/>
      </c>
      <c r="BV29" s="1" t="str">
        <f>IFERROR(INDEX(tblStandings[#All],ROW(A29),COLUMN(A29)),"")</f>
        <v/>
      </c>
      <c r="BW29" s="1" t="str">
        <f>IFERROR(INDEX(tblStandings[#All],ROW(B29),COLUMN(B29)),"")</f>
        <v/>
      </c>
      <c r="BX29" s="1" t="str">
        <f>IFERROR(INDEX(tblStandings[#All],ROW(C29),COLUMN(C29)),"")</f>
        <v/>
      </c>
      <c r="BY29" s="1" t="str">
        <f>IFERROR(INDEX(tblStandings[#All],ROW(D29),COLUMN(D29)),"")</f>
        <v/>
      </c>
      <c r="BZ29" s="1" t="str">
        <f>IFERROR(INDEX(tblStandings[#All],ROW(E29),COLUMN(E29)),"")</f>
        <v/>
      </c>
      <c r="CA29" s="1" t="str">
        <f>IFERROR(INDEX(tblStandings[#All],ROW(F29),COLUMN(F29)),"")</f>
        <v/>
      </c>
      <c r="CB29" s="1" t="str">
        <f>IFERROR(INDEX(tblStandings[#All],ROW(G29),COLUMN(G29)),"")</f>
        <v/>
      </c>
      <c r="CC29" s="1" t="str">
        <f>IFERROR(INDEX(tblStandings[#All],ROW(H29),COLUMN(H29)),"")</f>
        <v/>
      </c>
      <c r="CD29" s="1" t="str">
        <f>IFERROR(INDEX(tblStandings[#All],ROW(I29),COLUMN(I29)),"")</f>
        <v/>
      </c>
      <c r="CE29" s="1" t="str">
        <f>IFERROR(INDEX(tblStandings[#All],ROW(J29),COLUMN(J29)),"")</f>
        <v/>
      </c>
      <c r="CF29" s="1" t="str">
        <f>IFERROR(INDEX(tblStandings[#All],ROW(K29),COLUMN(K29)),"")</f>
        <v/>
      </c>
      <c r="CG29" s="1" t="str">
        <f t="shared" si="0"/>
        <v/>
      </c>
      <c r="CH29" s="1" t="str">
        <f t="shared" si="1"/>
        <v/>
      </c>
      <c r="CI29" s="1" t="str">
        <f t="shared" si="2"/>
        <v/>
      </c>
      <c r="CJ29" s="1" t="str">
        <f t="shared" si="3"/>
        <v/>
      </c>
      <c r="CK29" s="1" t="str">
        <f t="shared" si="4"/>
        <v/>
      </c>
    </row>
    <row r="30" spans="1:89" x14ac:dyDescent="0.25">
      <c r="A30" s="1" t="s">
        <v>308</v>
      </c>
      <c r="B30" s="29">
        <v>-1003760234865</v>
      </c>
      <c r="H30" s="1">
        <v>1510116</v>
      </c>
      <c r="I30" s="4">
        <v>46330.104166666664</v>
      </c>
      <c r="J30" s="1" t="s">
        <v>32</v>
      </c>
      <c r="K30" s="1" t="s">
        <v>371</v>
      </c>
      <c r="L30" s="1" t="s">
        <v>372</v>
      </c>
      <c r="M30" s="1" t="s">
        <v>2649</v>
      </c>
      <c r="N30" s="1" t="s">
        <v>7209</v>
      </c>
      <c r="O30" s="1" t="s">
        <v>7210</v>
      </c>
      <c r="Q30" s="1" t="str">
        <f>IFERROR(H2H_Last5_Stats_All!A1,"")</f>
        <v>fixture_id</v>
      </c>
      <c r="R30" s="1" t="str">
        <f>IFERROR(H2H_Last5_Stats_All!B1,"")</f>
        <v>kickoff</v>
      </c>
      <c r="S30" s="1" t="str">
        <f>IFERROR(H2H_Last5_Stats_All!C1,"")</f>
        <v>league_country</v>
      </c>
      <c r="T30" s="1" t="str">
        <f>IFERROR(H2H_Last5_Stats_All!D1,"")</f>
        <v>league_name</v>
      </c>
      <c r="U30" s="1" t="str">
        <f>IFERROR(H2H_Last5_Stats_All!E1,"")</f>
        <v>home_logo</v>
      </c>
      <c r="V30" s="1" t="str">
        <f>IFERROR(H2H_Last5_Stats_All!F1,"")</f>
        <v>home_name</v>
      </c>
      <c r="W30" s="1" t="str">
        <f>IFERROR(H2H_Last5_Stats_All!G1,"")</f>
        <v>away_logo</v>
      </c>
      <c r="X30" s="1" t="str">
        <f>IFERROR(H2H_Last5_Stats_All!H1,"")</f>
        <v>opponent</v>
      </c>
      <c r="Y30" s="1" t="str">
        <f>IFERROR(H2H_Last5_Stats_All!I1,"")</f>
        <v>league_logo</v>
      </c>
      <c r="Z30" s="1" t="str">
        <f>IFERROR(H2H_Last5_Stats_All!J1,"")</f>
        <v>league_flag</v>
      </c>
      <c r="AA30" s="1" t="str">
        <f>IFERROR(H2H_Last5_Stats_All!K1,"")</f>
        <v>home_goals</v>
      </c>
      <c r="AB30" s="1" t="str">
        <f>IFERROR(H2H_Last5_Stats_All!L1,"")</f>
        <v>away_goals</v>
      </c>
      <c r="AC30" s="1" t="str">
        <f>IFERROR(H2H_Last5_Stats_All!M1,"")</f>
        <v>ht_home</v>
      </c>
      <c r="AD30" s="1" t="str">
        <f>IFERROR(H2H_Last5_Stats_All!N1,"")</f>
        <v>ht_away</v>
      </c>
      <c r="AE30" s="1" t="str">
        <f>IFERROR(H2H_Last5_Stats_All!O1,"")</f>
        <v>ft_home</v>
      </c>
      <c r="AF30" s="1" t="str">
        <f>IFERROR(H2H_Last5_Stats_All!P1,"")</f>
        <v>ft_away</v>
      </c>
      <c r="AG30" s="1" t="str">
        <f>IFERROR(H2H_Last5_Stats_All!Q1,"")</f>
        <v>Home_ShotsOnGoal</v>
      </c>
      <c r="AH30" s="1" t="str">
        <f>IFERROR(H2H_Last5_Stats_All!R1,"")</f>
        <v>Away_ShotsOnGoal</v>
      </c>
      <c r="AI30" s="1" t="str">
        <f>IFERROR(H2H_Last5_Stats_All!S1,"")</f>
        <v>Home_ShotsOffGoal</v>
      </c>
      <c r="AJ30" s="1" t="str">
        <f>IFERROR(H2H_Last5_Stats_All!T1,"")</f>
        <v>Away_ShotsOffGoal</v>
      </c>
      <c r="AK30" s="1" t="str">
        <f>IFERROR(H2H_Last5_Stats_All!U1,"")</f>
        <v>Home_TotalShots</v>
      </c>
      <c r="AL30" s="1" t="str">
        <f>IFERROR(H2H_Last5_Stats_All!V1,"")</f>
        <v>Away_TotalShots</v>
      </c>
      <c r="AM30" s="1" t="str">
        <f>IFERROR(H2H_Last5_Stats_All!W1,"")</f>
        <v>Home_BlockedShots</v>
      </c>
      <c r="AN30" s="1" t="str">
        <f>IFERROR(H2H_Last5_Stats_All!X1,"")</f>
        <v>Away_BlockedShots</v>
      </c>
      <c r="AO30" s="1" t="str">
        <f>IFERROR(H2H_Last5_Stats_All!Y1,"")</f>
        <v>Home_ShotsInsideBox</v>
      </c>
      <c r="AP30" s="1" t="str">
        <f>IFERROR(H2H_Last5_Stats_All!Z1,"")</f>
        <v>Away_ShotsInsideBox</v>
      </c>
      <c r="AQ30" s="1" t="str">
        <f>IFERROR(H2H_Last5_Stats_All!AA1,"")</f>
        <v>Home_ShotsOutsideBox</v>
      </c>
      <c r="AR30" s="1" t="str">
        <f>IFERROR(H2H_Last5_Stats_All!AB1,"")</f>
        <v>Away_ShotsOutsideBox</v>
      </c>
      <c r="AS30" s="1" t="str">
        <f>IFERROR(H2H_Last5_Stats_All!AC1,"")</f>
        <v>Home_Fouls</v>
      </c>
      <c r="AT30" s="1" t="str">
        <f>IFERROR(H2H_Last5_Stats_All!AD1,"")</f>
        <v>Away_Fouls</v>
      </c>
      <c r="AU30" s="1" t="str">
        <f>IFERROR(H2H_Last5_Stats_All!AE1,"")</f>
        <v>Home_CornerKicks</v>
      </c>
      <c r="AV30" s="1" t="str">
        <f>IFERROR(H2H_Last5_Stats_All!AF1,"")</f>
        <v>Away_CornerKicks</v>
      </c>
      <c r="AW30" s="1" t="str">
        <f>IFERROR(H2H_Last5_Stats_All!AG1,"")</f>
        <v>Home_Offsides</v>
      </c>
      <c r="AX30" s="1" t="str">
        <f>IFERROR(H2H_Last5_Stats_All!AH1,"")</f>
        <v>Away_Offsides</v>
      </c>
      <c r="AY30" s="1" t="str">
        <f>IFERROR(H2H_Last5_Stats_All!AI1,"")</f>
        <v>Home_BallPossession</v>
      </c>
      <c r="AZ30" s="1" t="str">
        <f>IFERROR(H2H_Last5_Stats_All!AJ1,"")</f>
        <v>Away_BallPossession</v>
      </c>
      <c r="BA30" s="1" t="str">
        <f>IFERROR(H2H_Last5_Stats_All!AK1,"")</f>
        <v>Home_YellowCards</v>
      </c>
      <c r="BB30" s="1" t="str">
        <f>IFERROR(H2H_Last5_Stats_All!AL1,"")</f>
        <v>Away_YellowCards</v>
      </c>
      <c r="BC30" s="1" t="str">
        <f>IFERROR(H2H_Last5_Stats_All!AM1,"")</f>
        <v>Home_RedCards</v>
      </c>
      <c r="BD30" s="1" t="str">
        <f>IFERROR(H2H_Last5_Stats_All!AN1,"")</f>
        <v>Away_RedCards</v>
      </c>
      <c r="BE30" s="1" t="str">
        <f>IFERROR(H2H_Last5_Stats_All!AO1,"")</f>
        <v>Home_GoalkeeperSaves</v>
      </c>
      <c r="BF30" s="1" t="str">
        <f>IFERROR(H2H_Last5_Stats_All!AP1,"")</f>
        <v>Away_GoalkeeperSaves</v>
      </c>
      <c r="BG30" s="1" t="str">
        <f>IFERROR(H2H_Last5_Stats_All!AQ1,"")</f>
        <v>Home_TotalPasses</v>
      </c>
      <c r="BH30" s="1" t="str">
        <f>IFERROR(H2H_Last5_Stats_All!AR1,"")</f>
        <v>Away_TotalPasses</v>
      </c>
      <c r="BI30" s="1" t="str">
        <f>IFERROR(H2H_Last5_Stats_All!AS1,"")</f>
        <v>Home_PassesAccurate</v>
      </c>
      <c r="BJ30" s="1" t="str">
        <f>IFERROR(H2H_Last5_Stats_All!AT1,"")</f>
        <v>Away_PassesAccurate</v>
      </c>
      <c r="BK30" s="1" t="str">
        <f>IFERROR(H2H_Last5_Stats_All!AU1,"")</f>
        <v>Home_PassesPct</v>
      </c>
      <c r="BL30" s="1" t="str">
        <f>IFERROR(H2H_Last5_Stats_All!AV1,"")</f>
        <v>Away_PassesPct</v>
      </c>
      <c r="BM30" s="1" t="str">
        <f>IFERROR(H2H_Last5_Stats_All!AW1,"")</f>
        <v>Home_ExpectedGoals</v>
      </c>
      <c r="BN30" s="1" t="str">
        <f>IFERROR(H2H_Last5_Stats_All!AX1,"")</f>
        <v>Away_ExpectedGoals</v>
      </c>
      <c r="BO30" s="1" t="str">
        <f>IFERROR(H2H_Last5_Stats_All!AY1,"")</f>
        <v>Home_GoalsPrevented</v>
      </c>
      <c r="BP30" s="1" t="str">
        <f>IFERROR(H2H_Last5_Stats_All!AZ1,"")</f>
        <v>Away_GoalsPrevented</v>
      </c>
      <c r="BR30" s="1" t="s">
        <v>213</v>
      </c>
      <c r="BS30" s="1" t="s">
        <v>214</v>
      </c>
      <c r="BT30" s="1" t="s">
        <v>215</v>
      </c>
      <c r="BV30" s="1" t="str">
        <f>IFERROR(INDEX(tblStandings[#All],ROW(A30),COLUMN(A30)),"")</f>
        <v/>
      </c>
      <c r="BW30" s="1" t="str">
        <f>IFERROR(INDEX(tblStandings[#All],ROW(B30),COLUMN(B30)),"")</f>
        <v/>
      </c>
      <c r="BX30" s="1" t="str">
        <f>IFERROR(INDEX(tblStandings[#All],ROW(C30),COLUMN(C30)),"")</f>
        <v/>
      </c>
      <c r="BY30" s="1" t="str">
        <f>IFERROR(INDEX(tblStandings[#All],ROW(D30),COLUMN(D30)),"")</f>
        <v/>
      </c>
      <c r="BZ30" s="1" t="str">
        <f>IFERROR(INDEX(tblStandings[#All],ROW(E30),COLUMN(E30)),"")</f>
        <v/>
      </c>
      <c r="CA30" s="1" t="str">
        <f>IFERROR(INDEX(tblStandings[#All],ROW(F30),COLUMN(F30)),"")</f>
        <v/>
      </c>
      <c r="CB30" s="1" t="str">
        <f>IFERROR(INDEX(tblStandings[#All],ROW(G30),COLUMN(G30)),"")</f>
        <v/>
      </c>
      <c r="CC30" s="1" t="str">
        <f>IFERROR(INDEX(tblStandings[#All],ROW(H30),COLUMN(H30)),"")</f>
        <v/>
      </c>
      <c r="CD30" s="1" t="str">
        <f>IFERROR(INDEX(tblStandings[#All],ROW(I30),COLUMN(I30)),"")</f>
        <v/>
      </c>
      <c r="CE30" s="1" t="str">
        <f>IFERROR(INDEX(tblStandings[#All],ROW(J30),COLUMN(J30)),"")</f>
        <v/>
      </c>
      <c r="CF30" s="1" t="str">
        <f>IFERROR(INDEX(tblStandings[#All],ROW(K30),COLUMN(K30)),"")</f>
        <v/>
      </c>
      <c r="CG30" s="1" t="str">
        <f t="shared" si="0"/>
        <v/>
      </c>
      <c r="CH30" s="1" t="str">
        <f t="shared" si="1"/>
        <v/>
      </c>
      <c r="CI30" s="1" t="str">
        <f t="shared" si="2"/>
        <v/>
      </c>
      <c r="CJ30" s="1" t="str">
        <f t="shared" si="3"/>
        <v/>
      </c>
      <c r="CK30" s="1" t="str">
        <f t="shared" si="4"/>
        <v/>
      </c>
    </row>
    <row r="31" spans="1:89" x14ac:dyDescent="0.25">
      <c r="H31" s="1">
        <v>1532996</v>
      </c>
      <c r="I31" s="4">
        <v>46330.114583333336</v>
      </c>
      <c r="J31" s="1" t="s">
        <v>32</v>
      </c>
      <c r="K31" s="1" t="s">
        <v>35</v>
      </c>
      <c r="L31" s="1" t="s">
        <v>2677</v>
      </c>
      <c r="M31" s="1" t="s">
        <v>7212</v>
      </c>
      <c r="N31" s="1" t="s">
        <v>7213</v>
      </c>
      <c r="O31" s="1" t="s">
        <v>7214</v>
      </c>
      <c r="Q31" s="1">
        <f>IF(INDEX(H2H_Last5_Stats_All!$A:$A,ROW()-ROW($Q$31)+2)="","",
IFERROR(
INDEX(H2H_Last5_Stats_All!$A:$ZZ,ROW()-ROW($Q$31)+2,COLUMN()-COLUMN($Q$31)+1),
""))</f>
        <v>1386157</v>
      </c>
      <c r="R31" s="1" t="str">
        <f>IF(INDEX(H2H_Last5_Stats_All!$A:$A,ROW()-ROW($Q$31)+2)="","",
IFERROR(
INDEX(H2H_Last5_Stats_All!$A:$ZZ,ROW()-ROW($Q$31)+2,COLUMN()-COLUMN($Q$31)+1),
""))</f>
        <v>25/10/2025 12:30</v>
      </c>
      <c r="S31" s="1" t="str">
        <f>IF(INDEX(H2H_Last5_Stats_All!$A:$A,ROW()-ROW($Q$31)+2)="","",
IFERROR(
INDEX(H2H_Last5_Stats_All!$A:$ZZ,ROW()-ROW($Q$31)+2,COLUMN()-COLUMN($Q$31)+1),
""))</f>
        <v>England</v>
      </c>
      <c r="T31" s="1" t="str">
        <f>IF(INDEX(H2H_Last5_Stats_All!$A:$A,ROW()-ROW($Q$31)+2)="","",
IFERROR(
INDEX(H2H_Last5_Stats_All!$A:$ZZ,ROW()-ROW($Q$31)+2,COLUMN()-COLUMN($Q$31)+1),
""))</f>
        <v>League Two</v>
      </c>
      <c r="U31" s="1" t="str">
        <f>IF(INDEX(H2H_Last5_Stats_All!$A:$A,ROW()-ROW($Q$31)+2)="","",
IFERROR(
INDEX(H2H_Last5_Stats_All!$A:$ZZ,ROW()-ROW($Q$31)+2,COLUMN()-COLUMN($Q$31)+1),
""))</f>
        <v>https://media.api-sports.io/football/teams/1360.png</v>
      </c>
      <c r="V31" s="1" t="str">
        <f>IF(INDEX(H2H_Last5_Stats_All!$A:$A,ROW()-ROW($Q$31)+2)="","",
IFERROR(
INDEX(H2H_Last5_Stats_All!$A:$ZZ,ROW()-ROW($Q$31)+2,COLUMN()-COLUMN($Q$31)+1),
""))</f>
        <v>Accrington ST</v>
      </c>
      <c r="W31" s="1" t="str">
        <f>IF(INDEX(H2H_Last5_Stats_All!$A:$A,ROW()-ROW($Q$31)+2)="","",
IFERROR(
INDEX(H2H_Last5_Stats_All!$A:$ZZ,ROW()-ROW($Q$31)+2,COLUMN()-COLUMN($Q$31)+1),
""))</f>
        <v>https://media.api-sports.io/football/teams/1336.png</v>
      </c>
      <c r="X31" s="1" t="str">
        <f>IF(INDEX(H2H_Last5_Stats_All!$A:$A,ROW()-ROW($Q$31)+2)="","",
IFERROR(
INDEX(H2H_Last5_Stats_All!$A:$ZZ,ROW()-ROW($Q$31)+2,COLUMN()-COLUMN($Q$31)+1),
""))</f>
        <v>Fleetwood Town</v>
      </c>
      <c r="Y31" s="1" t="str">
        <f>IF(INDEX(H2H_Last5_Stats_All!$A:$A,ROW()-ROW($Q$31)+2)="","",
IFERROR(
INDEX(H2H_Last5_Stats_All!$A:$ZZ,ROW()-ROW($Q$31)+2,COLUMN()-COLUMN($Q$31)+1),
""))</f>
        <v>https://media.api-sports.io/football/leagues/42.png</v>
      </c>
      <c r="Z31" s="1" t="str">
        <f>IF(INDEX(H2H_Last5_Stats_All!$A:$A,ROW()-ROW($Q$31)+2)="","",
IFERROR(
INDEX(H2H_Last5_Stats_All!$A:$ZZ,ROW()-ROW($Q$31)+2,COLUMN()-COLUMN($Q$31)+1),
""))</f>
        <v>https://media.api-sports.io/flags/gb-eng.svg</v>
      </c>
      <c r="AA31" s="1">
        <f>IF(INDEX(H2H_Last5_Stats_All!$A:$A,ROW()-ROW($Q$31)+2)="","",
IFERROR(
INDEX(H2H_Last5_Stats_All!$A:$ZZ,ROW()-ROW($Q$31)+2,COLUMN()-COLUMN($Q$31)+1),
""))</f>
        <v>1</v>
      </c>
      <c r="AB31" s="1">
        <f>IF(INDEX(H2H_Last5_Stats_All!$A:$A,ROW()-ROW($Q$31)+2)="","",
IFERROR(
INDEX(H2H_Last5_Stats_All!$A:$ZZ,ROW()-ROW($Q$31)+2,COLUMN()-COLUMN($Q$31)+1),
""))</f>
        <v>2</v>
      </c>
      <c r="AC31" s="1">
        <f>IF(INDEX(H2H_Last5_Stats_All!$A:$A,ROW()-ROW($Q$31)+2)="","",
IFERROR(
INDEX(H2H_Last5_Stats_All!$A:$ZZ,ROW()-ROW($Q$31)+2,COLUMN()-COLUMN($Q$31)+1),
""))</f>
        <v>1</v>
      </c>
      <c r="AD31" s="1">
        <f>IF(INDEX(H2H_Last5_Stats_All!$A:$A,ROW()-ROW($Q$31)+2)="","",
IFERROR(
INDEX(H2H_Last5_Stats_All!$A:$ZZ,ROW()-ROW($Q$31)+2,COLUMN()-COLUMN($Q$31)+1),
""))</f>
        <v>0</v>
      </c>
      <c r="AE31" s="1">
        <f>IF(INDEX(H2H_Last5_Stats_All!$A:$A,ROW()-ROW($Q$31)+2)="","",
IFERROR(
INDEX(H2H_Last5_Stats_All!$A:$ZZ,ROW()-ROW($Q$31)+2,COLUMN()-COLUMN($Q$31)+1),
""))</f>
        <v>1</v>
      </c>
      <c r="AF31" s="1">
        <f>IF(INDEX(H2H_Last5_Stats_All!$A:$A,ROW()-ROW($Q$31)+2)="","",
IFERROR(
INDEX(H2H_Last5_Stats_All!$A:$ZZ,ROW()-ROW($Q$31)+2,COLUMN()-COLUMN($Q$31)+1),
""))</f>
        <v>2</v>
      </c>
      <c r="AG31" s="1">
        <f>IF(INDEX(H2H_Last5_Stats_All!$A:$A,ROW()-ROW($Q$31)+2)="","",
IFERROR(
INDEX(H2H_Last5_Stats_All!$A:$ZZ,ROW()-ROW($Q$31)+2,COLUMN()-COLUMN($Q$31)+1),
""))</f>
        <v>7</v>
      </c>
      <c r="AH31" s="1">
        <f>IF(INDEX(H2H_Last5_Stats_All!$A:$A,ROW()-ROW($Q$31)+2)="","",
IFERROR(
INDEX(H2H_Last5_Stats_All!$A:$ZZ,ROW()-ROW($Q$31)+2,COLUMN()-COLUMN($Q$31)+1),
""))</f>
        <v>2</v>
      </c>
      <c r="AI31" s="1">
        <f>IF(INDEX(H2H_Last5_Stats_All!$A:$A,ROW()-ROW($Q$31)+2)="","",
IFERROR(
INDEX(H2H_Last5_Stats_All!$A:$ZZ,ROW()-ROW($Q$31)+2,COLUMN()-COLUMN($Q$31)+1),
""))</f>
        <v>3</v>
      </c>
      <c r="AJ31" s="1">
        <f>IF(INDEX(H2H_Last5_Stats_All!$A:$A,ROW()-ROW($Q$31)+2)="","",
IFERROR(
INDEX(H2H_Last5_Stats_All!$A:$ZZ,ROW()-ROW($Q$31)+2,COLUMN()-COLUMN($Q$31)+1),
""))</f>
        <v>6</v>
      </c>
      <c r="AK31" s="1">
        <f>IF(INDEX(H2H_Last5_Stats_All!$A:$A,ROW()-ROW($Q$31)+2)="","",
IFERROR(
INDEX(H2H_Last5_Stats_All!$A:$ZZ,ROW()-ROW($Q$31)+2,COLUMN()-COLUMN($Q$31)+1),
""))</f>
        <v>15</v>
      </c>
      <c r="AL31" s="1">
        <f>IF(INDEX(H2H_Last5_Stats_All!$A:$A,ROW()-ROW($Q$31)+2)="","",
IFERROR(
INDEX(H2H_Last5_Stats_All!$A:$ZZ,ROW()-ROW($Q$31)+2,COLUMN()-COLUMN($Q$31)+1),
""))</f>
        <v>14</v>
      </c>
      <c r="AM31" s="1">
        <f>IF(INDEX(H2H_Last5_Stats_All!$A:$A,ROW()-ROW($Q$31)+2)="","",
IFERROR(
INDEX(H2H_Last5_Stats_All!$A:$ZZ,ROW()-ROW($Q$31)+2,COLUMN()-COLUMN($Q$31)+1),
""))</f>
        <v>5</v>
      </c>
      <c r="AN31" s="1">
        <f>IF(INDEX(H2H_Last5_Stats_All!$A:$A,ROW()-ROW($Q$31)+2)="","",
IFERROR(
INDEX(H2H_Last5_Stats_All!$A:$ZZ,ROW()-ROW($Q$31)+2,COLUMN()-COLUMN($Q$31)+1),
""))</f>
        <v>6</v>
      </c>
      <c r="AO31" s="1">
        <f>IF(INDEX(H2H_Last5_Stats_All!$A:$A,ROW()-ROW($Q$31)+2)="","",
IFERROR(
INDEX(H2H_Last5_Stats_All!$A:$ZZ,ROW()-ROW($Q$31)+2,COLUMN()-COLUMN($Q$31)+1),
""))</f>
        <v>13</v>
      </c>
      <c r="AP31" s="1">
        <f>IF(INDEX(H2H_Last5_Stats_All!$A:$A,ROW()-ROW($Q$31)+2)="","",
IFERROR(
INDEX(H2H_Last5_Stats_All!$A:$ZZ,ROW()-ROW($Q$31)+2,COLUMN()-COLUMN($Q$31)+1),
""))</f>
        <v>9</v>
      </c>
      <c r="AQ31" s="1">
        <f>IF(INDEX(H2H_Last5_Stats_All!$A:$A,ROW()-ROW($Q$31)+2)="","",
IFERROR(
INDEX(H2H_Last5_Stats_All!$A:$ZZ,ROW()-ROW($Q$31)+2,COLUMN()-COLUMN($Q$31)+1),
""))</f>
        <v>2</v>
      </c>
      <c r="AR31" s="1">
        <f>IF(INDEX(H2H_Last5_Stats_All!$A:$A,ROW()-ROW($Q$31)+2)="","",
IFERROR(
INDEX(H2H_Last5_Stats_All!$A:$ZZ,ROW()-ROW($Q$31)+2,COLUMN()-COLUMN($Q$31)+1),
""))</f>
        <v>5</v>
      </c>
      <c r="AS31" s="1">
        <f>IF(INDEX(H2H_Last5_Stats_All!$A:$A,ROW()-ROW($Q$31)+2)="","",
IFERROR(
INDEX(H2H_Last5_Stats_All!$A:$ZZ,ROW()-ROW($Q$31)+2,COLUMN()-COLUMN($Q$31)+1),
""))</f>
        <v>9</v>
      </c>
      <c r="AT31" s="1">
        <f>IF(INDEX(H2H_Last5_Stats_All!$A:$A,ROW()-ROW($Q$31)+2)="","",
IFERROR(
INDEX(H2H_Last5_Stats_All!$A:$ZZ,ROW()-ROW($Q$31)+2,COLUMN()-COLUMN($Q$31)+1),
""))</f>
        <v>14</v>
      </c>
      <c r="AU31" s="1">
        <f>IF(INDEX(H2H_Last5_Stats_All!$A:$A,ROW()-ROW($Q$31)+2)="","",
IFERROR(
INDEX(H2H_Last5_Stats_All!$A:$ZZ,ROW()-ROW($Q$31)+2,COLUMN()-COLUMN($Q$31)+1),
""))</f>
        <v>7</v>
      </c>
      <c r="AV31" s="1">
        <f>IF(INDEX(H2H_Last5_Stats_All!$A:$A,ROW()-ROW($Q$31)+2)="","",
IFERROR(
INDEX(H2H_Last5_Stats_All!$A:$ZZ,ROW()-ROW($Q$31)+2,COLUMN()-COLUMN($Q$31)+1),
""))</f>
        <v>9</v>
      </c>
      <c r="AW31" s="1">
        <f>IF(INDEX(H2H_Last5_Stats_All!$A:$A,ROW()-ROW($Q$31)+2)="","",
IFERROR(
INDEX(H2H_Last5_Stats_All!$A:$ZZ,ROW()-ROW($Q$31)+2,COLUMN()-COLUMN($Q$31)+1),
""))</f>
        <v>0</v>
      </c>
      <c r="AX31" s="1">
        <f>IF(INDEX(H2H_Last5_Stats_All!$A:$A,ROW()-ROW($Q$31)+2)="","",
IFERROR(
INDEX(H2H_Last5_Stats_All!$A:$ZZ,ROW()-ROW($Q$31)+2,COLUMN()-COLUMN($Q$31)+1),
""))</f>
        <v>2</v>
      </c>
      <c r="AY31" s="1">
        <f>IF(INDEX(H2H_Last5_Stats_All!$A:$A,ROW()-ROW($Q$31)+2)="","",
IFERROR(
INDEX(H2H_Last5_Stats_All!$A:$ZZ,ROW()-ROW($Q$31)+2,COLUMN()-COLUMN($Q$31)+1),
""))</f>
        <v>49</v>
      </c>
      <c r="AZ31" s="1">
        <f>IF(INDEX(H2H_Last5_Stats_All!$A:$A,ROW()-ROW($Q$31)+2)="","",
IFERROR(
INDEX(H2H_Last5_Stats_All!$A:$ZZ,ROW()-ROW($Q$31)+2,COLUMN()-COLUMN($Q$31)+1),
""))</f>
        <v>51</v>
      </c>
      <c r="BA31" s="1">
        <f>IF(INDEX(H2H_Last5_Stats_All!$A:$A,ROW()-ROW($Q$31)+2)="","",
IFERROR(
INDEX(H2H_Last5_Stats_All!$A:$ZZ,ROW()-ROW($Q$31)+2,COLUMN()-COLUMN($Q$31)+1),
""))</f>
        <v>1</v>
      </c>
      <c r="BB31" s="1">
        <f>IF(INDEX(H2H_Last5_Stats_All!$A:$A,ROW()-ROW($Q$31)+2)="","",
IFERROR(
INDEX(H2H_Last5_Stats_All!$A:$ZZ,ROW()-ROW($Q$31)+2,COLUMN()-COLUMN($Q$31)+1),
""))</f>
        <v>3</v>
      </c>
      <c r="BC31" s="1">
        <f>IF(INDEX(H2H_Last5_Stats_All!$A:$A,ROW()-ROW($Q$31)+2)="","",
IFERROR(
INDEX(H2H_Last5_Stats_All!$A:$ZZ,ROW()-ROW($Q$31)+2,COLUMN()-COLUMN($Q$31)+1),
""))</f>
        <v>0</v>
      </c>
      <c r="BD31" s="1">
        <f>IF(INDEX(H2H_Last5_Stats_All!$A:$A,ROW()-ROW($Q$31)+2)="","",
IFERROR(
INDEX(H2H_Last5_Stats_All!$A:$ZZ,ROW()-ROW($Q$31)+2,COLUMN()-COLUMN($Q$31)+1),
""))</f>
        <v>0</v>
      </c>
      <c r="BE31" s="1">
        <f>IF(INDEX(H2H_Last5_Stats_All!$A:$A,ROW()-ROW($Q$31)+2)="","",
IFERROR(
INDEX(H2H_Last5_Stats_All!$A:$ZZ,ROW()-ROW($Q$31)+2,COLUMN()-COLUMN($Q$31)+1),
""))</f>
        <v>1</v>
      </c>
      <c r="BF31" s="1">
        <f>IF(INDEX(H2H_Last5_Stats_All!$A:$A,ROW()-ROW($Q$31)+2)="","",
IFERROR(
INDEX(H2H_Last5_Stats_All!$A:$ZZ,ROW()-ROW($Q$31)+2,COLUMN()-COLUMN($Q$31)+1),
""))</f>
        <v>5</v>
      </c>
      <c r="BG31" s="1">
        <f>IF(INDEX(H2H_Last5_Stats_All!$A:$A,ROW()-ROW($Q$31)+2)="","",
IFERROR(
INDEX(H2H_Last5_Stats_All!$A:$ZZ,ROW()-ROW($Q$31)+2,COLUMN()-COLUMN($Q$31)+1),
""))</f>
        <v>323</v>
      </c>
      <c r="BH31" s="1">
        <f>IF(INDEX(H2H_Last5_Stats_All!$A:$A,ROW()-ROW($Q$31)+2)="","",
IFERROR(
INDEX(H2H_Last5_Stats_All!$A:$ZZ,ROW()-ROW($Q$31)+2,COLUMN()-COLUMN($Q$31)+1),
""))</f>
        <v>322</v>
      </c>
      <c r="BI31" s="1">
        <f>IF(INDEX(H2H_Last5_Stats_All!$A:$A,ROW()-ROW($Q$31)+2)="","",
IFERROR(
INDEX(H2H_Last5_Stats_All!$A:$ZZ,ROW()-ROW($Q$31)+2,COLUMN()-COLUMN($Q$31)+1),
""))</f>
        <v>188</v>
      </c>
      <c r="BJ31" s="1">
        <f>IF(INDEX(H2H_Last5_Stats_All!$A:$A,ROW()-ROW($Q$31)+2)="","",
IFERROR(
INDEX(H2H_Last5_Stats_All!$A:$ZZ,ROW()-ROW($Q$31)+2,COLUMN()-COLUMN($Q$31)+1),
""))</f>
        <v>189</v>
      </c>
      <c r="BK31" s="1">
        <f>IF(INDEX(H2H_Last5_Stats_All!$A:$A,ROW()-ROW($Q$31)+2)="","",
IFERROR(
INDEX(H2H_Last5_Stats_All!$A:$ZZ,ROW()-ROW($Q$31)+2,COLUMN()-COLUMN($Q$31)+1),
""))</f>
        <v>58</v>
      </c>
      <c r="BL31" s="1">
        <f>IF(INDEX(H2H_Last5_Stats_All!$A:$A,ROW()-ROW($Q$31)+2)="","",
IFERROR(
INDEX(H2H_Last5_Stats_All!$A:$ZZ,ROW()-ROW($Q$31)+2,COLUMN()-COLUMN($Q$31)+1),
""))</f>
        <v>59</v>
      </c>
      <c r="BM31" s="1">
        <f>IF(INDEX(H2H_Last5_Stats_All!$A:$A,ROW()-ROW($Q$31)+2)="","",
IFERROR(
INDEX(H2H_Last5_Stats_All!$A:$ZZ,ROW()-ROW($Q$31)+2,COLUMN()-COLUMN($Q$31)+1),
""))</f>
        <v>0</v>
      </c>
      <c r="BN31" s="1">
        <f>IF(INDEX(H2H_Last5_Stats_All!$A:$A,ROW()-ROW($Q$31)+2)="","",
IFERROR(
INDEX(H2H_Last5_Stats_All!$A:$ZZ,ROW()-ROW($Q$31)+2,COLUMN()-COLUMN($Q$31)+1),
""))</f>
        <v>0</v>
      </c>
      <c r="BO31" s="1">
        <f>IF(INDEX(H2H_Last5_Stats_All!$A:$A,ROW()-ROW($Q$31)+2)="","",
IFERROR(
INDEX(H2H_Last5_Stats_All!$A:$ZZ,ROW()-ROW($Q$31)+2,COLUMN()-COLUMN($Q$31)+1),
""))</f>
        <v>0</v>
      </c>
      <c r="BP31" s="1">
        <f>IF(INDEX(H2H_Last5_Stats_All!$A:$A,ROW()-ROW($Q$31)+2)="","",
IFERROR(
INDEX(H2H_Last5_Stats_All!$A:$ZZ,ROW()-ROW($Q$31)+2,COLUMN()-COLUMN($Q$31)+1),
""))</f>
        <v>0</v>
      </c>
      <c r="BR31" s="1" t="str">
        <f>IF(OR(Control!AC31="",Control!AD31=""),"",Control!AC31&amp;" : "&amp;Control!AD31)</f>
        <v>1 : 0</v>
      </c>
      <c r="BS31" s="1" t="str">
        <f>IF(OR(Control!AE31="",Control!AF31=""),"",Control!AE31&amp;" : "&amp;Control!AF31)</f>
        <v>1 : 2</v>
      </c>
      <c r="BT31" s="1" t="str">
        <f>IF(OR(Control!AU31="",Control!AV31=""),"",Control!AU31&amp;" : "&amp;Control!AV31)</f>
        <v>7 : 9</v>
      </c>
      <c r="BV31" s="1" t="str">
        <f>IFERROR(INDEX(tblStandings[#All],ROW(A31),COLUMN(A31)),"")</f>
        <v/>
      </c>
      <c r="BW31" s="1" t="str">
        <f>IFERROR(INDEX(tblStandings[#All],ROW(B31),COLUMN(B31)),"")</f>
        <v/>
      </c>
      <c r="BX31" s="1" t="str">
        <f>IFERROR(INDEX(tblStandings[#All],ROW(C31),COLUMN(C31)),"")</f>
        <v/>
      </c>
      <c r="BY31" s="1" t="str">
        <f>IFERROR(INDEX(tblStandings[#All],ROW(D31),COLUMN(D31)),"")</f>
        <v/>
      </c>
      <c r="BZ31" s="1" t="str">
        <f>IFERROR(INDEX(tblStandings[#All],ROW(E31),COLUMN(E31)),"")</f>
        <v/>
      </c>
      <c r="CA31" s="1" t="str">
        <f>IFERROR(INDEX(tblStandings[#All],ROW(F31),COLUMN(F31)),"")</f>
        <v/>
      </c>
      <c r="CB31" s="1" t="str">
        <f>IFERROR(INDEX(tblStandings[#All],ROW(G31),COLUMN(G31)),"")</f>
        <v/>
      </c>
      <c r="CC31" s="1" t="str">
        <f>IFERROR(INDEX(tblStandings[#All],ROW(H31),COLUMN(H31)),"")</f>
        <v/>
      </c>
      <c r="CD31" s="1" t="str">
        <f>IFERROR(INDEX(tblStandings[#All],ROW(I31),COLUMN(I31)),"")</f>
        <v/>
      </c>
      <c r="CE31" s="1" t="str">
        <f>IFERROR(INDEX(tblStandings[#All],ROW(J31),COLUMN(J31)),"")</f>
        <v/>
      </c>
      <c r="CF31" s="1" t="str">
        <f>IFERROR(INDEX(tblStandings[#All],ROW(K31),COLUMN(K31)),"")</f>
        <v/>
      </c>
      <c r="CG31" s="1" t="str">
        <f t="shared" si="0"/>
        <v/>
      </c>
      <c r="CH31" s="1" t="str">
        <f t="shared" si="1"/>
        <v/>
      </c>
      <c r="CI31" s="1" t="str">
        <f t="shared" si="2"/>
        <v/>
      </c>
      <c r="CJ31" s="1" t="str">
        <f t="shared" si="3"/>
        <v/>
      </c>
      <c r="CK31" s="1" t="str">
        <f t="shared" si="4"/>
        <v/>
      </c>
    </row>
    <row r="32" spans="1:89" x14ac:dyDescent="0.25">
      <c r="H32" s="1">
        <v>1446999</v>
      </c>
      <c r="I32" s="4">
        <v>46330.125</v>
      </c>
      <c r="J32" s="1" t="s">
        <v>32</v>
      </c>
      <c r="K32" s="1" t="s">
        <v>18</v>
      </c>
      <c r="L32" s="1" t="s">
        <v>19</v>
      </c>
      <c r="M32" s="1" t="s">
        <v>561</v>
      </c>
      <c r="N32" s="1" t="s">
        <v>765</v>
      </c>
      <c r="O32" s="1" t="s">
        <v>7216</v>
      </c>
      <c r="Q32" s="1">
        <f>IF(INDEX(H2H_Last5_Stats_All!$A:$A,ROW()-ROW($Q$31)+2)="","",
IFERROR(
INDEX(H2H_Last5_Stats_All!$A:$ZZ,ROW()-ROW($Q$31)+2,COLUMN()-COLUMN($Q$31)+1),
""))</f>
        <v>1444530</v>
      </c>
      <c r="R32" s="1" t="str">
        <f>IF(INDEX(H2H_Last5_Stats_All!$A:$A,ROW()-ROW($Q$31)+2)="","",
IFERROR(
INDEX(H2H_Last5_Stats_All!$A:$ZZ,ROW()-ROW($Q$31)+2,COLUMN()-COLUMN($Q$31)+1),
""))</f>
        <v>02/09/2025 19:00</v>
      </c>
      <c r="S32" s="1" t="str">
        <f>IF(INDEX(H2H_Last5_Stats_All!$A:$A,ROW()-ROW($Q$31)+2)="","",
IFERROR(
INDEX(H2H_Last5_Stats_All!$A:$ZZ,ROW()-ROW($Q$31)+2,COLUMN()-COLUMN($Q$31)+1),
""))</f>
        <v>England</v>
      </c>
      <c r="T32" s="1" t="str">
        <f>IF(INDEX(H2H_Last5_Stats_All!$A:$A,ROW()-ROW($Q$31)+2)="","",
IFERROR(
INDEX(H2H_Last5_Stats_All!$A:$ZZ,ROW()-ROW($Q$31)+2,COLUMN()-COLUMN($Q$31)+1),
""))</f>
        <v>EFL Trophy</v>
      </c>
      <c r="U32" s="1" t="str">
        <f>IF(INDEX(H2H_Last5_Stats_All!$A:$A,ROW()-ROW($Q$31)+2)="","",
IFERROR(
INDEX(H2H_Last5_Stats_All!$A:$ZZ,ROW()-ROW($Q$31)+2,COLUMN()-COLUMN($Q$31)+1),
""))</f>
        <v>https://media.api-sports.io/football/teams/1360.png</v>
      </c>
      <c r="V32" s="1" t="str">
        <f>IF(INDEX(H2H_Last5_Stats_All!$A:$A,ROW()-ROW($Q$31)+2)="","",
IFERROR(
INDEX(H2H_Last5_Stats_All!$A:$ZZ,ROW()-ROW($Q$31)+2,COLUMN()-COLUMN($Q$31)+1),
""))</f>
        <v>Accrington ST</v>
      </c>
      <c r="W32" s="1" t="str">
        <f>IF(INDEX(H2H_Last5_Stats_All!$A:$A,ROW()-ROW($Q$31)+2)="","",
IFERROR(
INDEX(H2H_Last5_Stats_All!$A:$ZZ,ROW()-ROW($Q$31)+2,COLUMN()-COLUMN($Q$31)+1),
""))</f>
        <v>https://media.api-sports.io/football/teams/1336.png</v>
      </c>
      <c r="X32" s="1" t="str">
        <f>IF(INDEX(H2H_Last5_Stats_All!$A:$A,ROW()-ROW($Q$31)+2)="","",
IFERROR(
INDEX(H2H_Last5_Stats_All!$A:$ZZ,ROW()-ROW($Q$31)+2,COLUMN()-COLUMN($Q$31)+1),
""))</f>
        <v>Fleetwood Town</v>
      </c>
      <c r="Y32" s="1" t="str">
        <f>IF(INDEX(H2H_Last5_Stats_All!$A:$A,ROW()-ROW($Q$31)+2)="","",
IFERROR(
INDEX(H2H_Last5_Stats_All!$A:$ZZ,ROW()-ROW($Q$31)+2,COLUMN()-COLUMN($Q$31)+1),
""))</f>
        <v>https://media.api-sports.io/football/leagues/46.png</v>
      </c>
      <c r="Z32" s="1" t="str">
        <f>IF(INDEX(H2H_Last5_Stats_All!$A:$A,ROW()-ROW($Q$31)+2)="","",
IFERROR(
INDEX(H2H_Last5_Stats_All!$A:$ZZ,ROW()-ROW($Q$31)+2,COLUMN()-COLUMN($Q$31)+1),
""))</f>
        <v>https://media.api-sports.io/flags/gb-eng.svg</v>
      </c>
      <c r="AA32" s="1">
        <f>IF(INDEX(H2H_Last5_Stats_All!$A:$A,ROW()-ROW($Q$31)+2)="","",
IFERROR(
INDEX(H2H_Last5_Stats_All!$A:$ZZ,ROW()-ROW($Q$31)+2,COLUMN()-COLUMN($Q$31)+1),
""))</f>
        <v>2</v>
      </c>
      <c r="AB32" s="1">
        <f>IF(INDEX(H2H_Last5_Stats_All!$A:$A,ROW()-ROW($Q$31)+2)="","",
IFERROR(
INDEX(H2H_Last5_Stats_All!$A:$ZZ,ROW()-ROW($Q$31)+2,COLUMN()-COLUMN($Q$31)+1),
""))</f>
        <v>2</v>
      </c>
      <c r="AC32" s="1">
        <f>IF(INDEX(H2H_Last5_Stats_All!$A:$A,ROW()-ROW($Q$31)+2)="","",
IFERROR(
INDEX(H2H_Last5_Stats_All!$A:$ZZ,ROW()-ROW($Q$31)+2,COLUMN()-COLUMN($Q$31)+1),
""))</f>
        <v>2</v>
      </c>
      <c r="AD32" s="1">
        <f>IF(INDEX(H2H_Last5_Stats_All!$A:$A,ROW()-ROW($Q$31)+2)="","",
IFERROR(
INDEX(H2H_Last5_Stats_All!$A:$ZZ,ROW()-ROW($Q$31)+2,COLUMN()-COLUMN($Q$31)+1),
""))</f>
        <v>1</v>
      </c>
      <c r="AE32" s="1">
        <f>IF(INDEX(H2H_Last5_Stats_All!$A:$A,ROW()-ROW($Q$31)+2)="","",
IFERROR(
INDEX(H2H_Last5_Stats_All!$A:$ZZ,ROW()-ROW($Q$31)+2,COLUMN()-COLUMN($Q$31)+1),
""))</f>
        <v>2</v>
      </c>
      <c r="AF32" s="1">
        <f>IF(INDEX(H2H_Last5_Stats_All!$A:$A,ROW()-ROW($Q$31)+2)="","",
IFERROR(
INDEX(H2H_Last5_Stats_All!$A:$ZZ,ROW()-ROW($Q$31)+2,COLUMN()-COLUMN($Q$31)+1),
""))</f>
        <v>2</v>
      </c>
      <c r="AG32" s="1">
        <f>IF(INDEX(H2H_Last5_Stats_All!$A:$A,ROW()-ROW($Q$31)+2)="","",
IFERROR(
INDEX(H2H_Last5_Stats_All!$A:$ZZ,ROW()-ROW($Q$31)+2,COLUMN()-COLUMN($Q$31)+1),
""))</f>
        <v>4</v>
      </c>
      <c r="AH32" s="1">
        <f>IF(INDEX(H2H_Last5_Stats_All!$A:$A,ROW()-ROW($Q$31)+2)="","",
IFERROR(
INDEX(H2H_Last5_Stats_All!$A:$ZZ,ROW()-ROW($Q$31)+2,COLUMN()-COLUMN($Q$31)+1),
""))</f>
        <v>7</v>
      </c>
      <c r="AI32" s="1">
        <f>IF(INDEX(H2H_Last5_Stats_All!$A:$A,ROW()-ROW($Q$31)+2)="","",
IFERROR(
INDEX(H2H_Last5_Stats_All!$A:$ZZ,ROW()-ROW($Q$31)+2,COLUMN()-COLUMN($Q$31)+1),
""))</f>
        <v>7</v>
      </c>
      <c r="AJ32" s="1">
        <f>IF(INDEX(H2H_Last5_Stats_All!$A:$A,ROW()-ROW($Q$31)+2)="","",
IFERROR(
INDEX(H2H_Last5_Stats_All!$A:$ZZ,ROW()-ROW($Q$31)+2,COLUMN()-COLUMN($Q$31)+1),
""))</f>
        <v>2</v>
      </c>
      <c r="AK32" s="1">
        <f>IF(INDEX(H2H_Last5_Stats_All!$A:$A,ROW()-ROW($Q$31)+2)="","",
IFERROR(
INDEX(H2H_Last5_Stats_All!$A:$ZZ,ROW()-ROW($Q$31)+2,COLUMN()-COLUMN($Q$31)+1),
""))</f>
        <v>11</v>
      </c>
      <c r="AL32" s="1">
        <f>IF(INDEX(H2H_Last5_Stats_All!$A:$A,ROW()-ROW($Q$31)+2)="","",
IFERROR(
INDEX(H2H_Last5_Stats_All!$A:$ZZ,ROW()-ROW($Q$31)+2,COLUMN()-COLUMN($Q$31)+1),
""))</f>
        <v>16</v>
      </c>
      <c r="AM32" s="1">
        <f>IF(INDEX(H2H_Last5_Stats_All!$A:$A,ROW()-ROW($Q$31)+2)="","",
IFERROR(
INDEX(H2H_Last5_Stats_All!$A:$ZZ,ROW()-ROW($Q$31)+2,COLUMN()-COLUMN($Q$31)+1),
""))</f>
        <v>0</v>
      </c>
      <c r="AN32" s="1">
        <f>IF(INDEX(H2H_Last5_Stats_All!$A:$A,ROW()-ROW($Q$31)+2)="","",
IFERROR(
INDEX(H2H_Last5_Stats_All!$A:$ZZ,ROW()-ROW($Q$31)+2,COLUMN()-COLUMN($Q$31)+1),
""))</f>
        <v>7</v>
      </c>
      <c r="AO32" s="1">
        <f>IF(INDEX(H2H_Last5_Stats_All!$A:$A,ROW()-ROW($Q$31)+2)="","",
IFERROR(
INDEX(H2H_Last5_Stats_All!$A:$ZZ,ROW()-ROW($Q$31)+2,COLUMN()-COLUMN($Q$31)+1),
""))</f>
        <v>8</v>
      </c>
      <c r="AP32" s="1">
        <f>IF(INDEX(H2H_Last5_Stats_All!$A:$A,ROW()-ROW($Q$31)+2)="","",
IFERROR(
INDEX(H2H_Last5_Stats_All!$A:$ZZ,ROW()-ROW($Q$31)+2,COLUMN()-COLUMN($Q$31)+1),
""))</f>
        <v>12</v>
      </c>
      <c r="AQ32" s="1">
        <f>IF(INDEX(H2H_Last5_Stats_All!$A:$A,ROW()-ROW($Q$31)+2)="","",
IFERROR(
INDEX(H2H_Last5_Stats_All!$A:$ZZ,ROW()-ROW($Q$31)+2,COLUMN()-COLUMN($Q$31)+1),
""))</f>
        <v>3</v>
      </c>
      <c r="AR32" s="1">
        <f>IF(INDEX(H2H_Last5_Stats_All!$A:$A,ROW()-ROW($Q$31)+2)="","",
IFERROR(
INDEX(H2H_Last5_Stats_All!$A:$ZZ,ROW()-ROW($Q$31)+2,COLUMN()-COLUMN($Q$31)+1),
""))</f>
        <v>4</v>
      </c>
      <c r="AS32" s="1">
        <f>IF(INDEX(H2H_Last5_Stats_All!$A:$A,ROW()-ROW($Q$31)+2)="","",
IFERROR(
INDEX(H2H_Last5_Stats_All!$A:$ZZ,ROW()-ROW($Q$31)+2,COLUMN()-COLUMN($Q$31)+1),
""))</f>
        <v>12</v>
      </c>
      <c r="AT32" s="1">
        <f>IF(INDEX(H2H_Last5_Stats_All!$A:$A,ROW()-ROW($Q$31)+2)="","",
IFERROR(
INDEX(H2H_Last5_Stats_All!$A:$ZZ,ROW()-ROW($Q$31)+2,COLUMN()-COLUMN($Q$31)+1),
""))</f>
        <v>16</v>
      </c>
      <c r="AU32" s="1">
        <f>IF(INDEX(H2H_Last5_Stats_All!$A:$A,ROW()-ROW($Q$31)+2)="","",
IFERROR(
INDEX(H2H_Last5_Stats_All!$A:$ZZ,ROW()-ROW($Q$31)+2,COLUMN()-COLUMN($Q$31)+1),
""))</f>
        <v>4</v>
      </c>
      <c r="AV32" s="1">
        <f>IF(INDEX(H2H_Last5_Stats_All!$A:$A,ROW()-ROW($Q$31)+2)="","",
IFERROR(
INDEX(H2H_Last5_Stats_All!$A:$ZZ,ROW()-ROW($Q$31)+2,COLUMN()-COLUMN($Q$31)+1),
""))</f>
        <v>15</v>
      </c>
      <c r="AW32" s="1">
        <f>IF(INDEX(H2H_Last5_Stats_All!$A:$A,ROW()-ROW($Q$31)+2)="","",
IFERROR(
INDEX(H2H_Last5_Stats_All!$A:$ZZ,ROW()-ROW($Q$31)+2,COLUMN()-COLUMN($Q$31)+1),
""))</f>
        <v>1</v>
      </c>
      <c r="AX32" s="1">
        <f>IF(INDEX(H2H_Last5_Stats_All!$A:$A,ROW()-ROW($Q$31)+2)="","",
IFERROR(
INDEX(H2H_Last5_Stats_All!$A:$ZZ,ROW()-ROW($Q$31)+2,COLUMN()-COLUMN($Q$31)+1),
""))</f>
        <v>4</v>
      </c>
      <c r="AY32" s="1">
        <f>IF(INDEX(H2H_Last5_Stats_All!$A:$A,ROW()-ROW($Q$31)+2)="","",
IFERROR(
INDEX(H2H_Last5_Stats_All!$A:$ZZ,ROW()-ROW($Q$31)+2,COLUMN()-COLUMN($Q$31)+1),
""))</f>
        <v>46</v>
      </c>
      <c r="AZ32" s="1">
        <f>IF(INDEX(H2H_Last5_Stats_All!$A:$A,ROW()-ROW($Q$31)+2)="","",
IFERROR(
INDEX(H2H_Last5_Stats_All!$A:$ZZ,ROW()-ROW($Q$31)+2,COLUMN()-COLUMN($Q$31)+1),
""))</f>
        <v>54</v>
      </c>
      <c r="BA32" s="1">
        <f>IF(INDEX(H2H_Last5_Stats_All!$A:$A,ROW()-ROW($Q$31)+2)="","",
IFERROR(
INDEX(H2H_Last5_Stats_All!$A:$ZZ,ROW()-ROW($Q$31)+2,COLUMN()-COLUMN($Q$31)+1),
""))</f>
        <v>3</v>
      </c>
      <c r="BB32" s="1">
        <f>IF(INDEX(H2H_Last5_Stats_All!$A:$A,ROW()-ROW($Q$31)+2)="","",
IFERROR(
INDEX(H2H_Last5_Stats_All!$A:$ZZ,ROW()-ROW($Q$31)+2,COLUMN()-COLUMN($Q$31)+1),
""))</f>
        <v>3</v>
      </c>
      <c r="BC32" s="1">
        <f>IF(INDEX(H2H_Last5_Stats_All!$A:$A,ROW()-ROW($Q$31)+2)="","",
IFERROR(
INDEX(H2H_Last5_Stats_All!$A:$ZZ,ROW()-ROW($Q$31)+2,COLUMN()-COLUMN($Q$31)+1),
""))</f>
        <v>0</v>
      </c>
      <c r="BD32" s="1">
        <f>IF(INDEX(H2H_Last5_Stats_All!$A:$A,ROW()-ROW($Q$31)+2)="","",
IFERROR(
INDEX(H2H_Last5_Stats_All!$A:$ZZ,ROW()-ROW($Q$31)+2,COLUMN()-COLUMN($Q$31)+1),
""))</f>
        <v>0</v>
      </c>
      <c r="BE32" s="1">
        <f>IF(INDEX(H2H_Last5_Stats_All!$A:$A,ROW()-ROW($Q$31)+2)="","",
IFERROR(
INDEX(H2H_Last5_Stats_All!$A:$ZZ,ROW()-ROW($Q$31)+2,COLUMN()-COLUMN($Q$31)+1),
""))</f>
        <v>5</v>
      </c>
      <c r="BF32" s="1">
        <f>IF(INDEX(H2H_Last5_Stats_All!$A:$A,ROW()-ROW($Q$31)+2)="","",
IFERROR(
INDEX(H2H_Last5_Stats_All!$A:$ZZ,ROW()-ROW($Q$31)+2,COLUMN()-COLUMN($Q$31)+1),
""))</f>
        <v>2</v>
      </c>
      <c r="BG32" s="1">
        <f>IF(INDEX(H2H_Last5_Stats_All!$A:$A,ROW()-ROW($Q$31)+2)="","",
IFERROR(
INDEX(H2H_Last5_Stats_All!$A:$ZZ,ROW()-ROW($Q$31)+2,COLUMN()-COLUMN($Q$31)+1),
""))</f>
        <v>346</v>
      </c>
      <c r="BH32" s="1">
        <f>IF(INDEX(H2H_Last5_Stats_All!$A:$A,ROW()-ROW($Q$31)+2)="","",
IFERROR(
INDEX(H2H_Last5_Stats_All!$A:$ZZ,ROW()-ROW($Q$31)+2,COLUMN()-COLUMN($Q$31)+1),
""))</f>
        <v>399</v>
      </c>
      <c r="BI32" s="1">
        <f>IF(INDEX(H2H_Last5_Stats_All!$A:$A,ROW()-ROW($Q$31)+2)="","",
IFERROR(
INDEX(H2H_Last5_Stats_All!$A:$ZZ,ROW()-ROW($Q$31)+2,COLUMN()-COLUMN($Q$31)+1),
""))</f>
        <v>269</v>
      </c>
      <c r="BJ32" s="1">
        <f>IF(INDEX(H2H_Last5_Stats_All!$A:$A,ROW()-ROW($Q$31)+2)="","",
IFERROR(
INDEX(H2H_Last5_Stats_All!$A:$ZZ,ROW()-ROW($Q$31)+2,COLUMN()-COLUMN($Q$31)+1),
""))</f>
        <v>320</v>
      </c>
      <c r="BK32" s="1">
        <f>IF(INDEX(H2H_Last5_Stats_All!$A:$A,ROW()-ROW($Q$31)+2)="","",
IFERROR(
INDEX(H2H_Last5_Stats_All!$A:$ZZ,ROW()-ROW($Q$31)+2,COLUMN()-COLUMN($Q$31)+1),
""))</f>
        <v>78</v>
      </c>
      <c r="BL32" s="1">
        <f>IF(INDEX(H2H_Last5_Stats_All!$A:$A,ROW()-ROW($Q$31)+2)="","",
IFERROR(
INDEX(H2H_Last5_Stats_All!$A:$ZZ,ROW()-ROW($Q$31)+2,COLUMN()-COLUMN($Q$31)+1),
""))</f>
        <v>80</v>
      </c>
      <c r="BM32" s="1">
        <f>IF(INDEX(H2H_Last5_Stats_All!$A:$A,ROW()-ROW($Q$31)+2)="","",
IFERROR(
INDEX(H2H_Last5_Stats_All!$A:$ZZ,ROW()-ROW($Q$31)+2,COLUMN()-COLUMN($Q$31)+1),
""))</f>
        <v>0</v>
      </c>
      <c r="BN32" s="1">
        <f>IF(INDEX(H2H_Last5_Stats_All!$A:$A,ROW()-ROW($Q$31)+2)="","",
IFERROR(
INDEX(H2H_Last5_Stats_All!$A:$ZZ,ROW()-ROW($Q$31)+2,COLUMN()-COLUMN($Q$31)+1),
""))</f>
        <v>0</v>
      </c>
      <c r="BO32" s="1">
        <f>IF(INDEX(H2H_Last5_Stats_All!$A:$A,ROW()-ROW($Q$31)+2)="","",
IFERROR(
INDEX(H2H_Last5_Stats_All!$A:$ZZ,ROW()-ROW($Q$31)+2,COLUMN()-COLUMN($Q$31)+1),
""))</f>
        <v>0</v>
      </c>
      <c r="BP32" s="1">
        <f>IF(INDEX(H2H_Last5_Stats_All!$A:$A,ROW()-ROW($Q$31)+2)="","",
IFERROR(
INDEX(H2H_Last5_Stats_All!$A:$ZZ,ROW()-ROW($Q$31)+2,COLUMN()-COLUMN($Q$31)+1),
""))</f>
        <v>0</v>
      </c>
      <c r="BR32" s="1" t="str">
        <f>IF(OR(Control!AC32="",Control!AD32=""),"",Control!AC32&amp;" : "&amp;Control!AD32)</f>
        <v>2 : 1</v>
      </c>
      <c r="BS32" s="1" t="str">
        <f>IF(OR(Control!AE32="",Control!AF32=""),"",Control!AE32&amp;" : "&amp;Control!AF32)</f>
        <v>2 : 2</v>
      </c>
      <c r="BT32" s="1" t="str">
        <f>IF(OR(Control!AU32="",Control!AV32=""),"",Control!AU32&amp;" : "&amp;Control!AV32)</f>
        <v>4 : 15</v>
      </c>
      <c r="BV32" s="1" t="str">
        <f>IFERROR(INDEX(tblStandings[#All],ROW(A32),COLUMN(A32)),"")</f>
        <v/>
      </c>
      <c r="BW32" s="1" t="str">
        <f>IFERROR(INDEX(tblStandings[#All],ROW(B32),COLUMN(B32)),"")</f>
        <v/>
      </c>
      <c r="BX32" s="1" t="str">
        <f>IFERROR(INDEX(tblStandings[#All],ROW(C32),COLUMN(C32)),"")</f>
        <v/>
      </c>
      <c r="BY32" s="1" t="str">
        <f>IFERROR(INDEX(tblStandings[#All],ROW(D32),COLUMN(D32)),"")</f>
        <v/>
      </c>
      <c r="BZ32" s="1" t="str">
        <f>IFERROR(INDEX(tblStandings[#All],ROW(E32),COLUMN(E32)),"")</f>
        <v/>
      </c>
      <c r="CA32" s="1" t="str">
        <f>IFERROR(INDEX(tblStandings[#All],ROW(F32),COLUMN(F32)),"")</f>
        <v/>
      </c>
      <c r="CB32" s="1" t="str">
        <f>IFERROR(INDEX(tblStandings[#All],ROW(G32),COLUMN(G32)),"")</f>
        <v/>
      </c>
      <c r="CC32" s="1" t="str">
        <f>IFERROR(INDEX(tblStandings[#All],ROW(H32),COLUMN(H32)),"")</f>
        <v/>
      </c>
      <c r="CD32" s="1" t="str">
        <f>IFERROR(INDEX(tblStandings[#All],ROW(I32),COLUMN(I32)),"")</f>
        <v/>
      </c>
      <c r="CE32" s="1" t="str">
        <f>IFERROR(INDEX(tblStandings[#All],ROW(J32),COLUMN(J32)),"")</f>
        <v/>
      </c>
      <c r="CF32" s="1" t="str">
        <f>IFERROR(INDEX(tblStandings[#All],ROW(K32),COLUMN(K32)),"")</f>
        <v/>
      </c>
      <c r="CG32" s="1" t="str">
        <f t="shared" si="0"/>
        <v/>
      </c>
      <c r="CH32" s="1" t="str">
        <f t="shared" si="1"/>
        <v/>
      </c>
      <c r="CI32" s="1" t="str">
        <f t="shared" si="2"/>
        <v/>
      </c>
      <c r="CJ32" s="1" t="str">
        <f t="shared" si="3"/>
        <v/>
      </c>
      <c r="CK32" s="1" t="str">
        <f t="shared" si="4"/>
        <v/>
      </c>
    </row>
    <row r="33" spans="8:89" x14ac:dyDescent="0.25">
      <c r="H33" s="1">
        <v>1489164</v>
      </c>
      <c r="I33" s="4">
        <v>46330.125</v>
      </c>
      <c r="J33" s="1" t="s">
        <v>32</v>
      </c>
      <c r="K33" s="1" t="s">
        <v>31</v>
      </c>
      <c r="L33" s="1" t="s">
        <v>27</v>
      </c>
      <c r="M33" s="1" t="s">
        <v>440</v>
      </c>
      <c r="N33" s="1" t="s">
        <v>2412</v>
      </c>
      <c r="O33" s="1" t="s">
        <v>7217</v>
      </c>
      <c r="Q33" s="1">
        <f>IF(INDEX(H2H_Last5_Stats_All!$A:$A,ROW()-ROW($Q$31)+2)="","",
IFERROR(
INDEX(H2H_Last5_Stats_All!$A:$ZZ,ROW()-ROW($Q$31)+2,COLUMN()-COLUMN($Q$31)+1),
""))</f>
        <v>1217415</v>
      </c>
      <c r="R33" s="1" t="str">
        <f>IF(INDEX(H2H_Last5_Stats_All!$A:$A,ROW()-ROW($Q$31)+2)="","",
IFERROR(
INDEX(H2H_Last5_Stats_All!$A:$ZZ,ROW()-ROW($Q$31)+2,COLUMN()-COLUMN($Q$31)+1),
""))</f>
        <v>01/04/2025 19:45</v>
      </c>
      <c r="S33" s="1" t="str">
        <f>IF(INDEX(H2H_Last5_Stats_All!$A:$A,ROW()-ROW($Q$31)+2)="","",
IFERROR(
INDEX(H2H_Last5_Stats_All!$A:$ZZ,ROW()-ROW($Q$31)+2,COLUMN()-COLUMN($Q$31)+1),
""))</f>
        <v>England</v>
      </c>
      <c r="T33" s="1" t="str">
        <f>IF(INDEX(H2H_Last5_Stats_All!$A:$A,ROW()-ROW($Q$31)+2)="","",
IFERROR(
INDEX(H2H_Last5_Stats_All!$A:$ZZ,ROW()-ROW($Q$31)+2,COLUMN()-COLUMN($Q$31)+1),
""))</f>
        <v>League Two</v>
      </c>
      <c r="U33" s="1" t="str">
        <f>IF(INDEX(H2H_Last5_Stats_All!$A:$A,ROW()-ROW($Q$31)+2)="","",
IFERROR(
INDEX(H2H_Last5_Stats_All!$A:$ZZ,ROW()-ROW($Q$31)+2,COLUMN()-COLUMN($Q$31)+1),
""))</f>
        <v>https://media.api-sports.io/football/teams/1360.png</v>
      </c>
      <c r="V33" s="1" t="str">
        <f>IF(INDEX(H2H_Last5_Stats_All!$A:$A,ROW()-ROW($Q$31)+2)="","",
IFERROR(
INDEX(H2H_Last5_Stats_All!$A:$ZZ,ROW()-ROW($Q$31)+2,COLUMN()-COLUMN($Q$31)+1),
""))</f>
        <v>Accrington ST</v>
      </c>
      <c r="W33" s="1" t="str">
        <f>IF(INDEX(H2H_Last5_Stats_All!$A:$A,ROW()-ROW($Q$31)+2)="","",
IFERROR(
INDEX(H2H_Last5_Stats_All!$A:$ZZ,ROW()-ROW($Q$31)+2,COLUMN()-COLUMN($Q$31)+1),
""))</f>
        <v>https://media.api-sports.io/football/teams/1336.png</v>
      </c>
      <c r="X33" s="1" t="str">
        <f>IF(INDEX(H2H_Last5_Stats_All!$A:$A,ROW()-ROW($Q$31)+2)="","",
IFERROR(
INDEX(H2H_Last5_Stats_All!$A:$ZZ,ROW()-ROW($Q$31)+2,COLUMN()-COLUMN($Q$31)+1),
""))</f>
        <v>Fleetwood Town</v>
      </c>
      <c r="Y33" s="1" t="str">
        <f>IF(INDEX(H2H_Last5_Stats_All!$A:$A,ROW()-ROW($Q$31)+2)="","",
IFERROR(
INDEX(H2H_Last5_Stats_All!$A:$ZZ,ROW()-ROW($Q$31)+2,COLUMN()-COLUMN($Q$31)+1),
""))</f>
        <v>https://media.api-sports.io/football/leagues/42.png</v>
      </c>
      <c r="Z33" s="1" t="str">
        <f>IF(INDEX(H2H_Last5_Stats_All!$A:$A,ROW()-ROW($Q$31)+2)="","",
IFERROR(
INDEX(H2H_Last5_Stats_All!$A:$ZZ,ROW()-ROW($Q$31)+2,COLUMN()-COLUMN($Q$31)+1),
""))</f>
        <v>https://media.api-sports.io/flags/gb-eng.svg</v>
      </c>
      <c r="AA33" s="1">
        <f>IF(INDEX(H2H_Last5_Stats_All!$A:$A,ROW()-ROW($Q$31)+2)="","",
IFERROR(
INDEX(H2H_Last5_Stats_All!$A:$ZZ,ROW()-ROW($Q$31)+2,COLUMN()-COLUMN($Q$31)+1),
""))</f>
        <v>1</v>
      </c>
      <c r="AB33" s="1">
        <f>IF(INDEX(H2H_Last5_Stats_All!$A:$A,ROW()-ROW($Q$31)+2)="","",
IFERROR(
INDEX(H2H_Last5_Stats_All!$A:$ZZ,ROW()-ROW($Q$31)+2,COLUMN()-COLUMN($Q$31)+1),
""))</f>
        <v>4</v>
      </c>
      <c r="AC33" s="1">
        <f>IF(INDEX(H2H_Last5_Stats_All!$A:$A,ROW()-ROW($Q$31)+2)="","",
IFERROR(
INDEX(H2H_Last5_Stats_All!$A:$ZZ,ROW()-ROW($Q$31)+2,COLUMN()-COLUMN($Q$31)+1),
""))</f>
        <v>0</v>
      </c>
      <c r="AD33" s="1">
        <f>IF(INDEX(H2H_Last5_Stats_All!$A:$A,ROW()-ROW($Q$31)+2)="","",
IFERROR(
INDEX(H2H_Last5_Stats_All!$A:$ZZ,ROW()-ROW($Q$31)+2,COLUMN()-COLUMN($Q$31)+1),
""))</f>
        <v>1</v>
      </c>
      <c r="AE33" s="1">
        <f>IF(INDEX(H2H_Last5_Stats_All!$A:$A,ROW()-ROW($Q$31)+2)="","",
IFERROR(
INDEX(H2H_Last5_Stats_All!$A:$ZZ,ROW()-ROW($Q$31)+2,COLUMN()-COLUMN($Q$31)+1),
""))</f>
        <v>1</v>
      </c>
      <c r="AF33" s="1">
        <f>IF(INDEX(H2H_Last5_Stats_All!$A:$A,ROW()-ROW($Q$31)+2)="","",
IFERROR(
INDEX(H2H_Last5_Stats_All!$A:$ZZ,ROW()-ROW($Q$31)+2,COLUMN()-COLUMN($Q$31)+1),
""))</f>
        <v>4</v>
      </c>
      <c r="AG33" s="1">
        <f>IF(INDEX(H2H_Last5_Stats_All!$A:$A,ROW()-ROW($Q$31)+2)="","",
IFERROR(
INDEX(H2H_Last5_Stats_All!$A:$ZZ,ROW()-ROW($Q$31)+2,COLUMN()-COLUMN($Q$31)+1),
""))</f>
        <v>2</v>
      </c>
      <c r="AH33" s="1">
        <f>IF(INDEX(H2H_Last5_Stats_All!$A:$A,ROW()-ROW($Q$31)+2)="","",
IFERROR(
INDEX(H2H_Last5_Stats_All!$A:$ZZ,ROW()-ROW($Q$31)+2,COLUMN()-COLUMN($Q$31)+1),
""))</f>
        <v>5</v>
      </c>
      <c r="AI33" s="1">
        <f>IF(INDEX(H2H_Last5_Stats_All!$A:$A,ROW()-ROW($Q$31)+2)="","",
IFERROR(
INDEX(H2H_Last5_Stats_All!$A:$ZZ,ROW()-ROW($Q$31)+2,COLUMN()-COLUMN($Q$31)+1),
""))</f>
        <v>4</v>
      </c>
      <c r="AJ33" s="1">
        <f>IF(INDEX(H2H_Last5_Stats_All!$A:$A,ROW()-ROW($Q$31)+2)="","",
IFERROR(
INDEX(H2H_Last5_Stats_All!$A:$ZZ,ROW()-ROW($Q$31)+2,COLUMN()-COLUMN($Q$31)+1),
""))</f>
        <v>5</v>
      </c>
      <c r="AK33" s="1">
        <f>IF(INDEX(H2H_Last5_Stats_All!$A:$A,ROW()-ROW($Q$31)+2)="","",
IFERROR(
INDEX(H2H_Last5_Stats_All!$A:$ZZ,ROW()-ROW($Q$31)+2,COLUMN()-COLUMN($Q$31)+1),
""))</f>
        <v>8</v>
      </c>
      <c r="AL33" s="1">
        <f>IF(INDEX(H2H_Last5_Stats_All!$A:$A,ROW()-ROW($Q$31)+2)="","",
IFERROR(
INDEX(H2H_Last5_Stats_All!$A:$ZZ,ROW()-ROW($Q$31)+2,COLUMN()-COLUMN($Q$31)+1),
""))</f>
        <v>13</v>
      </c>
      <c r="AM33" s="1">
        <f>IF(INDEX(H2H_Last5_Stats_All!$A:$A,ROW()-ROW($Q$31)+2)="","",
IFERROR(
INDEX(H2H_Last5_Stats_All!$A:$ZZ,ROW()-ROW($Q$31)+2,COLUMN()-COLUMN($Q$31)+1),
""))</f>
        <v>2</v>
      </c>
      <c r="AN33" s="1">
        <f>IF(INDEX(H2H_Last5_Stats_All!$A:$A,ROW()-ROW($Q$31)+2)="","",
IFERROR(
INDEX(H2H_Last5_Stats_All!$A:$ZZ,ROW()-ROW($Q$31)+2,COLUMN()-COLUMN($Q$31)+1),
""))</f>
        <v>3</v>
      </c>
      <c r="AO33" s="1">
        <f>IF(INDEX(H2H_Last5_Stats_All!$A:$A,ROW()-ROW($Q$31)+2)="","",
IFERROR(
INDEX(H2H_Last5_Stats_All!$A:$ZZ,ROW()-ROW($Q$31)+2,COLUMN()-COLUMN($Q$31)+1),
""))</f>
        <v>4</v>
      </c>
      <c r="AP33" s="1">
        <f>IF(INDEX(H2H_Last5_Stats_All!$A:$A,ROW()-ROW($Q$31)+2)="","",
IFERROR(
INDEX(H2H_Last5_Stats_All!$A:$ZZ,ROW()-ROW($Q$31)+2,COLUMN()-COLUMN($Q$31)+1),
""))</f>
        <v>8</v>
      </c>
      <c r="AQ33" s="1">
        <f>IF(INDEX(H2H_Last5_Stats_All!$A:$A,ROW()-ROW($Q$31)+2)="","",
IFERROR(
INDEX(H2H_Last5_Stats_All!$A:$ZZ,ROW()-ROW($Q$31)+2,COLUMN()-COLUMN($Q$31)+1),
""))</f>
        <v>4</v>
      </c>
      <c r="AR33" s="1">
        <f>IF(INDEX(H2H_Last5_Stats_All!$A:$A,ROW()-ROW($Q$31)+2)="","",
IFERROR(
INDEX(H2H_Last5_Stats_All!$A:$ZZ,ROW()-ROW($Q$31)+2,COLUMN()-COLUMN($Q$31)+1),
""))</f>
        <v>5</v>
      </c>
      <c r="AS33" s="1">
        <f>IF(INDEX(H2H_Last5_Stats_All!$A:$A,ROW()-ROW($Q$31)+2)="","",
IFERROR(
INDEX(H2H_Last5_Stats_All!$A:$ZZ,ROW()-ROW($Q$31)+2,COLUMN()-COLUMN($Q$31)+1),
""))</f>
        <v>14</v>
      </c>
      <c r="AT33" s="1">
        <f>IF(INDEX(H2H_Last5_Stats_All!$A:$A,ROW()-ROW($Q$31)+2)="","",
IFERROR(
INDEX(H2H_Last5_Stats_All!$A:$ZZ,ROW()-ROW($Q$31)+2,COLUMN()-COLUMN($Q$31)+1),
""))</f>
        <v>9</v>
      </c>
      <c r="AU33" s="1">
        <f>IF(INDEX(H2H_Last5_Stats_All!$A:$A,ROW()-ROW($Q$31)+2)="","",
IFERROR(
INDEX(H2H_Last5_Stats_All!$A:$ZZ,ROW()-ROW($Q$31)+2,COLUMN()-COLUMN($Q$31)+1),
""))</f>
        <v>4</v>
      </c>
      <c r="AV33" s="1">
        <f>IF(INDEX(H2H_Last5_Stats_All!$A:$A,ROW()-ROW($Q$31)+2)="","",
IFERROR(
INDEX(H2H_Last5_Stats_All!$A:$ZZ,ROW()-ROW($Q$31)+2,COLUMN()-COLUMN($Q$31)+1),
""))</f>
        <v>6</v>
      </c>
      <c r="AW33" s="1">
        <f>IF(INDEX(H2H_Last5_Stats_All!$A:$A,ROW()-ROW($Q$31)+2)="","",
IFERROR(
INDEX(H2H_Last5_Stats_All!$A:$ZZ,ROW()-ROW($Q$31)+2,COLUMN()-COLUMN($Q$31)+1),
""))</f>
        <v>3</v>
      </c>
      <c r="AX33" s="1">
        <f>IF(INDEX(H2H_Last5_Stats_All!$A:$A,ROW()-ROW($Q$31)+2)="","",
IFERROR(
INDEX(H2H_Last5_Stats_All!$A:$ZZ,ROW()-ROW($Q$31)+2,COLUMN()-COLUMN($Q$31)+1),
""))</f>
        <v>1</v>
      </c>
      <c r="AY33" s="1">
        <f>IF(INDEX(H2H_Last5_Stats_All!$A:$A,ROW()-ROW($Q$31)+2)="","",
IFERROR(
INDEX(H2H_Last5_Stats_All!$A:$ZZ,ROW()-ROW($Q$31)+2,COLUMN()-COLUMN($Q$31)+1),
""))</f>
        <v>45</v>
      </c>
      <c r="AZ33" s="1">
        <f>IF(INDEX(H2H_Last5_Stats_All!$A:$A,ROW()-ROW($Q$31)+2)="","",
IFERROR(
INDEX(H2H_Last5_Stats_All!$A:$ZZ,ROW()-ROW($Q$31)+2,COLUMN()-COLUMN($Q$31)+1),
""))</f>
        <v>55</v>
      </c>
      <c r="BA33" s="1">
        <f>IF(INDEX(H2H_Last5_Stats_All!$A:$A,ROW()-ROW($Q$31)+2)="","",
IFERROR(
INDEX(H2H_Last5_Stats_All!$A:$ZZ,ROW()-ROW($Q$31)+2,COLUMN()-COLUMN($Q$31)+1),
""))</f>
        <v>3</v>
      </c>
      <c r="BB33" s="1">
        <f>IF(INDEX(H2H_Last5_Stats_All!$A:$A,ROW()-ROW($Q$31)+2)="","",
IFERROR(
INDEX(H2H_Last5_Stats_All!$A:$ZZ,ROW()-ROW($Q$31)+2,COLUMN()-COLUMN($Q$31)+1),
""))</f>
        <v>2</v>
      </c>
      <c r="BC33" s="1">
        <f>IF(INDEX(H2H_Last5_Stats_All!$A:$A,ROW()-ROW($Q$31)+2)="","",
IFERROR(
INDEX(H2H_Last5_Stats_All!$A:$ZZ,ROW()-ROW($Q$31)+2,COLUMN()-COLUMN($Q$31)+1),
""))</f>
        <v>0</v>
      </c>
      <c r="BD33" s="1">
        <f>IF(INDEX(H2H_Last5_Stats_All!$A:$A,ROW()-ROW($Q$31)+2)="","",
IFERROR(
INDEX(H2H_Last5_Stats_All!$A:$ZZ,ROW()-ROW($Q$31)+2,COLUMN()-COLUMN($Q$31)+1),
""))</f>
        <v>0</v>
      </c>
      <c r="BE33" s="1">
        <f>IF(INDEX(H2H_Last5_Stats_All!$A:$A,ROW()-ROW($Q$31)+2)="","",
IFERROR(
INDEX(H2H_Last5_Stats_All!$A:$ZZ,ROW()-ROW($Q$31)+2,COLUMN()-COLUMN($Q$31)+1),
""))</f>
        <v>2</v>
      </c>
      <c r="BF33" s="1">
        <f>IF(INDEX(H2H_Last5_Stats_All!$A:$A,ROW()-ROW($Q$31)+2)="","",
IFERROR(
INDEX(H2H_Last5_Stats_All!$A:$ZZ,ROW()-ROW($Q$31)+2,COLUMN()-COLUMN($Q$31)+1),
""))</f>
        <v>1</v>
      </c>
      <c r="BG33" s="1">
        <f>IF(INDEX(H2H_Last5_Stats_All!$A:$A,ROW()-ROW($Q$31)+2)="","",
IFERROR(
INDEX(H2H_Last5_Stats_All!$A:$ZZ,ROW()-ROW($Q$31)+2,COLUMN()-COLUMN($Q$31)+1),
""))</f>
        <v>291</v>
      </c>
      <c r="BH33" s="1">
        <f>IF(INDEX(H2H_Last5_Stats_All!$A:$A,ROW()-ROW($Q$31)+2)="","",
IFERROR(
INDEX(H2H_Last5_Stats_All!$A:$ZZ,ROW()-ROW($Q$31)+2,COLUMN()-COLUMN($Q$31)+1),
""))</f>
        <v>353</v>
      </c>
      <c r="BI33" s="1">
        <f>IF(INDEX(H2H_Last5_Stats_All!$A:$A,ROW()-ROW($Q$31)+2)="","",
IFERROR(
INDEX(H2H_Last5_Stats_All!$A:$ZZ,ROW()-ROW($Q$31)+2,COLUMN()-COLUMN($Q$31)+1),
""))</f>
        <v>182</v>
      </c>
      <c r="BJ33" s="1">
        <f>IF(INDEX(H2H_Last5_Stats_All!$A:$A,ROW()-ROW($Q$31)+2)="","",
IFERROR(
INDEX(H2H_Last5_Stats_All!$A:$ZZ,ROW()-ROW($Q$31)+2,COLUMN()-COLUMN($Q$31)+1),
""))</f>
        <v>250</v>
      </c>
      <c r="BK33" s="1">
        <f>IF(INDEX(H2H_Last5_Stats_All!$A:$A,ROW()-ROW($Q$31)+2)="","",
IFERROR(
INDEX(H2H_Last5_Stats_All!$A:$ZZ,ROW()-ROW($Q$31)+2,COLUMN()-COLUMN($Q$31)+1),
""))</f>
        <v>63</v>
      </c>
      <c r="BL33" s="1">
        <f>IF(INDEX(H2H_Last5_Stats_All!$A:$A,ROW()-ROW($Q$31)+2)="","",
IFERROR(
INDEX(H2H_Last5_Stats_All!$A:$ZZ,ROW()-ROW($Q$31)+2,COLUMN()-COLUMN($Q$31)+1),
""))</f>
        <v>71</v>
      </c>
      <c r="BM33" s="1">
        <f>IF(INDEX(H2H_Last5_Stats_All!$A:$A,ROW()-ROW($Q$31)+2)="","",
IFERROR(
INDEX(H2H_Last5_Stats_All!$A:$ZZ,ROW()-ROW($Q$31)+2,COLUMN()-COLUMN($Q$31)+1),
""))</f>
        <v>0</v>
      </c>
      <c r="BN33" s="1">
        <f>IF(INDEX(H2H_Last5_Stats_All!$A:$A,ROW()-ROW($Q$31)+2)="","",
IFERROR(
INDEX(H2H_Last5_Stats_All!$A:$ZZ,ROW()-ROW($Q$31)+2,COLUMN()-COLUMN($Q$31)+1),
""))</f>
        <v>0</v>
      </c>
      <c r="BO33" s="1">
        <f>IF(INDEX(H2H_Last5_Stats_All!$A:$A,ROW()-ROW($Q$31)+2)="","",
IFERROR(
INDEX(H2H_Last5_Stats_All!$A:$ZZ,ROW()-ROW($Q$31)+2,COLUMN()-COLUMN($Q$31)+1),
""))</f>
        <v>0</v>
      </c>
      <c r="BP33" s="1">
        <f>IF(INDEX(H2H_Last5_Stats_All!$A:$A,ROW()-ROW($Q$31)+2)="","",
IFERROR(
INDEX(H2H_Last5_Stats_All!$A:$ZZ,ROW()-ROW($Q$31)+2,COLUMN()-COLUMN($Q$31)+1),
""))</f>
        <v>0</v>
      </c>
      <c r="BR33" s="1" t="str">
        <f>IF(OR(Control!AC33="",Control!AD33=""),"",Control!AC33&amp;" : "&amp;Control!AD33)</f>
        <v>0 : 1</v>
      </c>
      <c r="BS33" s="1" t="str">
        <f>IF(OR(Control!AE33="",Control!AF33=""),"",Control!AE33&amp;" : "&amp;Control!AF33)</f>
        <v>1 : 4</v>
      </c>
      <c r="BT33" s="1" t="str">
        <f>IF(OR(Control!AU33="",Control!AV33=""),"",Control!AU33&amp;" : "&amp;Control!AV33)</f>
        <v>4 : 6</v>
      </c>
      <c r="BV33" s="1" t="str">
        <f>IFERROR(INDEX(tblStandings[#All],ROW(A33),COLUMN(A33)),"")</f>
        <v/>
      </c>
      <c r="BW33" s="1" t="str">
        <f>IFERROR(INDEX(tblStandings[#All],ROW(B33),COLUMN(B33)),"")</f>
        <v/>
      </c>
      <c r="BX33" s="1" t="str">
        <f>IFERROR(INDEX(tblStandings[#All],ROW(C33),COLUMN(C33)),"")</f>
        <v/>
      </c>
      <c r="BY33" s="1" t="str">
        <f>IFERROR(INDEX(tblStandings[#All],ROW(D33),COLUMN(D33)),"")</f>
        <v/>
      </c>
      <c r="BZ33" s="1" t="str">
        <f>IFERROR(INDEX(tblStandings[#All],ROW(E33),COLUMN(E33)),"")</f>
        <v/>
      </c>
      <c r="CA33" s="1" t="str">
        <f>IFERROR(INDEX(tblStandings[#All],ROW(F33),COLUMN(F33)),"")</f>
        <v/>
      </c>
      <c r="CB33" s="1" t="str">
        <f>IFERROR(INDEX(tblStandings[#All],ROW(G33),COLUMN(G33)),"")</f>
        <v/>
      </c>
      <c r="CC33" s="1" t="str">
        <f>IFERROR(INDEX(tblStandings[#All],ROW(H33),COLUMN(H33)),"")</f>
        <v/>
      </c>
      <c r="CD33" s="1" t="str">
        <f>IFERROR(INDEX(tblStandings[#All],ROW(I33),COLUMN(I33)),"")</f>
        <v/>
      </c>
      <c r="CE33" s="1" t="str">
        <f>IFERROR(INDEX(tblStandings[#All],ROW(J33),COLUMN(J33)),"")</f>
        <v/>
      </c>
      <c r="CF33" s="1" t="str">
        <f>IFERROR(INDEX(tblStandings[#All],ROW(K33),COLUMN(K33)),"")</f>
        <v/>
      </c>
      <c r="CG33" s="1" t="str">
        <f t="shared" si="0"/>
        <v/>
      </c>
      <c r="CH33" s="1" t="str">
        <f t="shared" si="1"/>
        <v/>
      </c>
      <c r="CI33" s="1" t="str">
        <f t="shared" si="2"/>
        <v/>
      </c>
      <c r="CJ33" s="1" t="str">
        <f t="shared" si="3"/>
        <v/>
      </c>
      <c r="CK33" s="1" t="str">
        <f t="shared" si="4"/>
        <v/>
      </c>
    </row>
    <row r="34" spans="8:89" x14ac:dyDescent="0.25">
      <c r="H34" s="1">
        <v>1499230</v>
      </c>
      <c r="I34" s="4">
        <v>46330.125</v>
      </c>
      <c r="J34" s="1" t="s">
        <v>32</v>
      </c>
      <c r="K34" s="1" t="s">
        <v>272</v>
      </c>
      <c r="L34" s="1" t="s">
        <v>26</v>
      </c>
      <c r="M34" s="1" t="s">
        <v>697</v>
      </c>
      <c r="N34" s="1" t="s">
        <v>239</v>
      </c>
      <c r="O34" s="1" t="s">
        <v>7218</v>
      </c>
      <c r="Q34" s="1">
        <f>IF(INDEX(H2H_Last5_Stats_All!$A:$A,ROW()-ROW($Q$31)+2)="","",
IFERROR(
INDEX(H2H_Last5_Stats_All!$A:$ZZ,ROW()-ROW($Q$31)+2,COLUMN()-COLUMN($Q$31)+1),
""))</f>
        <v>1217181</v>
      </c>
      <c r="R34" s="1" t="str">
        <f>IF(INDEX(H2H_Last5_Stats_All!$A:$A,ROW()-ROW($Q$31)+2)="","",
IFERROR(
INDEX(H2H_Last5_Stats_All!$A:$ZZ,ROW()-ROW($Q$31)+2,COLUMN()-COLUMN($Q$31)+1),
""))</f>
        <v>16/12/2024 20:00</v>
      </c>
      <c r="S34" s="1" t="str">
        <f>IF(INDEX(H2H_Last5_Stats_All!$A:$A,ROW()-ROW($Q$31)+2)="","",
IFERROR(
INDEX(H2H_Last5_Stats_All!$A:$ZZ,ROW()-ROW($Q$31)+2,COLUMN()-COLUMN($Q$31)+1),
""))</f>
        <v>England</v>
      </c>
      <c r="T34" s="1" t="str">
        <f>IF(INDEX(H2H_Last5_Stats_All!$A:$A,ROW()-ROW($Q$31)+2)="","",
IFERROR(
INDEX(H2H_Last5_Stats_All!$A:$ZZ,ROW()-ROW($Q$31)+2,COLUMN()-COLUMN($Q$31)+1),
""))</f>
        <v>League Two</v>
      </c>
      <c r="U34" s="1" t="str">
        <f>IF(INDEX(H2H_Last5_Stats_All!$A:$A,ROW()-ROW($Q$31)+2)="","",
IFERROR(
INDEX(H2H_Last5_Stats_All!$A:$ZZ,ROW()-ROW($Q$31)+2,COLUMN()-COLUMN($Q$31)+1),
""))</f>
        <v>https://media.api-sports.io/football/teams/1360.png</v>
      </c>
      <c r="V34" s="1" t="str">
        <f>IF(INDEX(H2H_Last5_Stats_All!$A:$A,ROW()-ROW($Q$31)+2)="","",
IFERROR(
INDEX(H2H_Last5_Stats_All!$A:$ZZ,ROW()-ROW($Q$31)+2,COLUMN()-COLUMN($Q$31)+1),
""))</f>
        <v>Accrington ST</v>
      </c>
      <c r="W34" s="1" t="str">
        <f>IF(INDEX(H2H_Last5_Stats_All!$A:$A,ROW()-ROW($Q$31)+2)="","",
IFERROR(
INDEX(H2H_Last5_Stats_All!$A:$ZZ,ROW()-ROW($Q$31)+2,COLUMN()-COLUMN($Q$31)+1),
""))</f>
        <v>https://media.api-sports.io/football/teams/1336.png</v>
      </c>
      <c r="X34" s="1" t="str">
        <f>IF(INDEX(H2H_Last5_Stats_All!$A:$A,ROW()-ROW($Q$31)+2)="","",
IFERROR(
INDEX(H2H_Last5_Stats_All!$A:$ZZ,ROW()-ROW($Q$31)+2,COLUMN()-COLUMN($Q$31)+1),
""))</f>
        <v>Fleetwood Town</v>
      </c>
      <c r="Y34" s="1" t="str">
        <f>IF(INDEX(H2H_Last5_Stats_All!$A:$A,ROW()-ROW($Q$31)+2)="","",
IFERROR(
INDEX(H2H_Last5_Stats_All!$A:$ZZ,ROW()-ROW($Q$31)+2,COLUMN()-COLUMN($Q$31)+1),
""))</f>
        <v>https://media.api-sports.io/football/leagues/42.png</v>
      </c>
      <c r="Z34" s="1" t="str">
        <f>IF(INDEX(H2H_Last5_Stats_All!$A:$A,ROW()-ROW($Q$31)+2)="","",
IFERROR(
INDEX(H2H_Last5_Stats_All!$A:$ZZ,ROW()-ROW($Q$31)+2,COLUMN()-COLUMN($Q$31)+1),
""))</f>
        <v>https://media.api-sports.io/flags/gb-eng.svg</v>
      </c>
      <c r="AA34" s="1">
        <f>IF(INDEX(H2H_Last5_Stats_All!$A:$A,ROW()-ROW($Q$31)+2)="","",
IFERROR(
INDEX(H2H_Last5_Stats_All!$A:$ZZ,ROW()-ROW($Q$31)+2,COLUMN()-COLUMN($Q$31)+1),
""))</f>
        <v>1</v>
      </c>
      <c r="AB34" s="1">
        <f>IF(INDEX(H2H_Last5_Stats_All!$A:$A,ROW()-ROW($Q$31)+2)="","",
IFERROR(
INDEX(H2H_Last5_Stats_All!$A:$ZZ,ROW()-ROW($Q$31)+2,COLUMN()-COLUMN($Q$31)+1),
""))</f>
        <v>1</v>
      </c>
      <c r="AC34" s="1">
        <f>IF(INDEX(H2H_Last5_Stats_All!$A:$A,ROW()-ROW($Q$31)+2)="","",
IFERROR(
INDEX(H2H_Last5_Stats_All!$A:$ZZ,ROW()-ROW($Q$31)+2,COLUMN()-COLUMN($Q$31)+1),
""))</f>
        <v>1</v>
      </c>
      <c r="AD34" s="1">
        <f>IF(INDEX(H2H_Last5_Stats_All!$A:$A,ROW()-ROW($Q$31)+2)="","",
IFERROR(
INDEX(H2H_Last5_Stats_All!$A:$ZZ,ROW()-ROW($Q$31)+2,COLUMN()-COLUMN($Q$31)+1),
""))</f>
        <v>0</v>
      </c>
      <c r="AE34" s="1">
        <f>IF(INDEX(H2H_Last5_Stats_All!$A:$A,ROW()-ROW($Q$31)+2)="","",
IFERROR(
INDEX(H2H_Last5_Stats_All!$A:$ZZ,ROW()-ROW($Q$31)+2,COLUMN()-COLUMN($Q$31)+1),
""))</f>
        <v>1</v>
      </c>
      <c r="AF34" s="1">
        <f>IF(INDEX(H2H_Last5_Stats_All!$A:$A,ROW()-ROW($Q$31)+2)="","",
IFERROR(
INDEX(H2H_Last5_Stats_All!$A:$ZZ,ROW()-ROW($Q$31)+2,COLUMN()-COLUMN($Q$31)+1),
""))</f>
        <v>1</v>
      </c>
      <c r="AG34" s="1">
        <f>IF(INDEX(H2H_Last5_Stats_All!$A:$A,ROW()-ROW($Q$31)+2)="","",
IFERROR(
INDEX(H2H_Last5_Stats_All!$A:$ZZ,ROW()-ROW($Q$31)+2,COLUMN()-COLUMN($Q$31)+1),
""))</f>
        <v>4</v>
      </c>
      <c r="AH34" s="1">
        <f>IF(INDEX(H2H_Last5_Stats_All!$A:$A,ROW()-ROW($Q$31)+2)="","",
IFERROR(
INDEX(H2H_Last5_Stats_All!$A:$ZZ,ROW()-ROW($Q$31)+2,COLUMN()-COLUMN($Q$31)+1),
""))</f>
        <v>6</v>
      </c>
      <c r="AI34" s="1">
        <f>IF(INDEX(H2H_Last5_Stats_All!$A:$A,ROW()-ROW($Q$31)+2)="","",
IFERROR(
INDEX(H2H_Last5_Stats_All!$A:$ZZ,ROW()-ROW($Q$31)+2,COLUMN()-COLUMN($Q$31)+1),
""))</f>
        <v>3</v>
      </c>
      <c r="AJ34" s="1">
        <f>IF(INDEX(H2H_Last5_Stats_All!$A:$A,ROW()-ROW($Q$31)+2)="","",
IFERROR(
INDEX(H2H_Last5_Stats_All!$A:$ZZ,ROW()-ROW($Q$31)+2,COLUMN()-COLUMN($Q$31)+1),
""))</f>
        <v>6</v>
      </c>
      <c r="AK34" s="1">
        <f>IF(INDEX(H2H_Last5_Stats_All!$A:$A,ROW()-ROW($Q$31)+2)="","",
IFERROR(
INDEX(H2H_Last5_Stats_All!$A:$ZZ,ROW()-ROW($Q$31)+2,COLUMN()-COLUMN($Q$31)+1),
""))</f>
        <v>9</v>
      </c>
      <c r="AL34" s="1">
        <f>IF(INDEX(H2H_Last5_Stats_All!$A:$A,ROW()-ROW($Q$31)+2)="","",
IFERROR(
INDEX(H2H_Last5_Stats_All!$A:$ZZ,ROW()-ROW($Q$31)+2,COLUMN()-COLUMN($Q$31)+1),
""))</f>
        <v>16</v>
      </c>
      <c r="AM34" s="1">
        <f>IF(INDEX(H2H_Last5_Stats_All!$A:$A,ROW()-ROW($Q$31)+2)="","",
IFERROR(
INDEX(H2H_Last5_Stats_All!$A:$ZZ,ROW()-ROW($Q$31)+2,COLUMN()-COLUMN($Q$31)+1),
""))</f>
        <v>2</v>
      </c>
      <c r="AN34" s="1">
        <f>IF(INDEX(H2H_Last5_Stats_All!$A:$A,ROW()-ROW($Q$31)+2)="","",
IFERROR(
INDEX(H2H_Last5_Stats_All!$A:$ZZ,ROW()-ROW($Q$31)+2,COLUMN()-COLUMN($Q$31)+1),
""))</f>
        <v>4</v>
      </c>
      <c r="AO34" s="1">
        <f>IF(INDEX(H2H_Last5_Stats_All!$A:$A,ROW()-ROW($Q$31)+2)="","",
IFERROR(
INDEX(H2H_Last5_Stats_All!$A:$ZZ,ROW()-ROW($Q$31)+2,COLUMN()-COLUMN($Q$31)+1),
""))</f>
        <v>7</v>
      </c>
      <c r="AP34" s="1">
        <f>IF(INDEX(H2H_Last5_Stats_All!$A:$A,ROW()-ROW($Q$31)+2)="","",
IFERROR(
INDEX(H2H_Last5_Stats_All!$A:$ZZ,ROW()-ROW($Q$31)+2,COLUMN()-COLUMN($Q$31)+1),
""))</f>
        <v>12</v>
      </c>
      <c r="AQ34" s="1">
        <f>IF(INDEX(H2H_Last5_Stats_All!$A:$A,ROW()-ROW($Q$31)+2)="","",
IFERROR(
INDEX(H2H_Last5_Stats_All!$A:$ZZ,ROW()-ROW($Q$31)+2,COLUMN()-COLUMN($Q$31)+1),
""))</f>
        <v>2</v>
      </c>
      <c r="AR34" s="1">
        <f>IF(INDEX(H2H_Last5_Stats_All!$A:$A,ROW()-ROW($Q$31)+2)="","",
IFERROR(
INDEX(H2H_Last5_Stats_All!$A:$ZZ,ROW()-ROW($Q$31)+2,COLUMN()-COLUMN($Q$31)+1),
""))</f>
        <v>4</v>
      </c>
      <c r="AS34" s="1">
        <f>IF(INDEX(H2H_Last5_Stats_All!$A:$A,ROW()-ROW($Q$31)+2)="","",
IFERROR(
INDEX(H2H_Last5_Stats_All!$A:$ZZ,ROW()-ROW($Q$31)+2,COLUMN()-COLUMN($Q$31)+1),
""))</f>
        <v>10</v>
      </c>
      <c r="AT34" s="1">
        <f>IF(INDEX(H2H_Last5_Stats_All!$A:$A,ROW()-ROW($Q$31)+2)="","",
IFERROR(
INDEX(H2H_Last5_Stats_All!$A:$ZZ,ROW()-ROW($Q$31)+2,COLUMN()-COLUMN($Q$31)+1),
""))</f>
        <v>14</v>
      </c>
      <c r="AU34" s="1">
        <f>IF(INDEX(H2H_Last5_Stats_All!$A:$A,ROW()-ROW($Q$31)+2)="","",
IFERROR(
INDEX(H2H_Last5_Stats_All!$A:$ZZ,ROW()-ROW($Q$31)+2,COLUMN()-COLUMN($Q$31)+1),
""))</f>
        <v>5</v>
      </c>
      <c r="AV34" s="1">
        <f>IF(INDEX(H2H_Last5_Stats_All!$A:$A,ROW()-ROW($Q$31)+2)="","",
IFERROR(
INDEX(H2H_Last5_Stats_All!$A:$ZZ,ROW()-ROW($Q$31)+2,COLUMN()-COLUMN($Q$31)+1),
""))</f>
        <v>4</v>
      </c>
      <c r="AW34" s="1">
        <f>IF(INDEX(H2H_Last5_Stats_All!$A:$A,ROW()-ROW($Q$31)+2)="","",
IFERROR(
INDEX(H2H_Last5_Stats_All!$A:$ZZ,ROW()-ROW($Q$31)+2,COLUMN()-COLUMN($Q$31)+1),
""))</f>
        <v>0</v>
      </c>
      <c r="AX34" s="1">
        <f>IF(INDEX(H2H_Last5_Stats_All!$A:$A,ROW()-ROW($Q$31)+2)="","",
IFERROR(
INDEX(H2H_Last5_Stats_All!$A:$ZZ,ROW()-ROW($Q$31)+2,COLUMN()-COLUMN($Q$31)+1),
""))</f>
        <v>2</v>
      </c>
      <c r="AY34" s="1">
        <f>IF(INDEX(H2H_Last5_Stats_All!$A:$A,ROW()-ROW($Q$31)+2)="","",
IFERROR(
INDEX(H2H_Last5_Stats_All!$A:$ZZ,ROW()-ROW($Q$31)+2,COLUMN()-COLUMN($Q$31)+1),
""))</f>
        <v>62</v>
      </c>
      <c r="AZ34" s="1">
        <f>IF(INDEX(H2H_Last5_Stats_All!$A:$A,ROW()-ROW($Q$31)+2)="","",
IFERROR(
INDEX(H2H_Last5_Stats_All!$A:$ZZ,ROW()-ROW($Q$31)+2,COLUMN()-COLUMN($Q$31)+1),
""))</f>
        <v>38</v>
      </c>
      <c r="BA34" s="1">
        <f>IF(INDEX(H2H_Last5_Stats_All!$A:$A,ROW()-ROW($Q$31)+2)="","",
IFERROR(
INDEX(H2H_Last5_Stats_All!$A:$ZZ,ROW()-ROW($Q$31)+2,COLUMN()-COLUMN($Q$31)+1),
""))</f>
        <v>3</v>
      </c>
      <c r="BB34" s="1">
        <f>IF(INDEX(H2H_Last5_Stats_All!$A:$A,ROW()-ROW($Q$31)+2)="","",
IFERROR(
INDEX(H2H_Last5_Stats_All!$A:$ZZ,ROW()-ROW($Q$31)+2,COLUMN()-COLUMN($Q$31)+1),
""))</f>
        <v>3</v>
      </c>
      <c r="BC34" s="1">
        <f>IF(INDEX(H2H_Last5_Stats_All!$A:$A,ROW()-ROW($Q$31)+2)="","",
IFERROR(
INDEX(H2H_Last5_Stats_All!$A:$ZZ,ROW()-ROW($Q$31)+2,COLUMN()-COLUMN($Q$31)+1),
""))</f>
        <v>0</v>
      </c>
      <c r="BD34" s="1">
        <f>IF(INDEX(H2H_Last5_Stats_All!$A:$A,ROW()-ROW($Q$31)+2)="","",
IFERROR(
INDEX(H2H_Last5_Stats_All!$A:$ZZ,ROW()-ROW($Q$31)+2,COLUMN()-COLUMN($Q$31)+1),
""))</f>
        <v>0</v>
      </c>
      <c r="BE34" s="1">
        <f>IF(INDEX(H2H_Last5_Stats_All!$A:$A,ROW()-ROW($Q$31)+2)="","",
IFERROR(
INDEX(H2H_Last5_Stats_All!$A:$ZZ,ROW()-ROW($Q$31)+2,COLUMN()-COLUMN($Q$31)+1),
""))</f>
        <v>5</v>
      </c>
      <c r="BF34" s="1">
        <f>IF(INDEX(H2H_Last5_Stats_All!$A:$A,ROW()-ROW($Q$31)+2)="","",
IFERROR(
INDEX(H2H_Last5_Stats_All!$A:$ZZ,ROW()-ROW($Q$31)+2,COLUMN()-COLUMN($Q$31)+1),
""))</f>
        <v>3</v>
      </c>
      <c r="BG34" s="1">
        <f>IF(INDEX(H2H_Last5_Stats_All!$A:$A,ROW()-ROW($Q$31)+2)="","",
IFERROR(
INDEX(H2H_Last5_Stats_All!$A:$ZZ,ROW()-ROW($Q$31)+2,COLUMN()-COLUMN($Q$31)+1),
""))</f>
        <v>423</v>
      </c>
      <c r="BH34" s="1">
        <f>IF(INDEX(H2H_Last5_Stats_All!$A:$A,ROW()-ROW($Q$31)+2)="","",
IFERROR(
INDEX(H2H_Last5_Stats_All!$A:$ZZ,ROW()-ROW($Q$31)+2,COLUMN()-COLUMN($Q$31)+1),
""))</f>
        <v>250</v>
      </c>
      <c r="BI34" s="1">
        <f>IF(INDEX(H2H_Last5_Stats_All!$A:$A,ROW()-ROW($Q$31)+2)="","",
IFERROR(
INDEX(H2H_Last5_Stats_All!$A:$ZZ,ROW()-ROW($Q$31)+2,COLUMN()-COLUMN($Q$31)+1),
""))</f>
        <v>291</v>
      </c>
      <c r="BJ34" s="1">
        <f>IF(INDEX(H2H_Last5_Stats_All!$A:$A,ROW()-ROW($Q$31)+2)="","",
IFERROR(
INDEX(H2H_Last5_Stats_All!$A:$ZZ,ROW()-ROW($Q$31)+2,COLUMN()-COLUMN($Q$31)+1),
""))</f>
        <v>139</v>
      </c>
      <c r="BK34" s="1">
        <f>IF(INDEX(H2H_Last5_Stats_All!$A:$A,ROW()-ROW($Q$31)+2)="","",
IFERROR(
INDEX(H2H_Last5_Stats_All!$A:$ZZ,ROW()-ROW($Q$31)+2,COLUMN()-COLUMN($Q$31)+1),
""))</f>
        <v>69</v>
      </c>
      <c r="BL34" s="1">
        <f>IF(INDEX(H2H_Last5_Stats_All!$A:$A,ROW()-ROW($Q$31)+2)="","",
IFERROR(
INDEX(H2H_Last5_Stats_All!$A:$ZZ,ROW()-ROW($Q$31)+2,COLUMN()-COLUMN($Q$31)+1),
""))</f>
        <v>56</v>
      </c>
      <c r="BM34" s="1">
        <f>IF(INDEX(H2H_Last5_Stats_All!$A:$A,ROW()-ROW($Q$31)+2)="","",
IFERROR(
INDEX(H2H_Last5_Stats_All!$A:$ZZ,ROW()-ROW($Q$31)+2,COLUMN()-COLUMN($Q$31)+1),
""))</f>
        <v>0</v>
      </c>
      <c r="BN34" s="1">
        <f>IF(INDEX(H2H_Last5_Stats_All!$A:$A,ROW()-ROW($Q$31)+2)="","",
IFERROR(
INDEX(H2H_Last5_Stats_All!$A:$ZZ,ROW()-ROW($Q$31)+2,COLUMN()-COLUMN($Q$31)+1),
""))</f>
        <v>0</v>
      </c>
      <c r="BO34" s="1">
        <f>IF(INDEX(H2H_Last5_Stats_All!$A:$A,ROW()-ROW($Q$31)+2)="","",
IFERROR(
INDEX(H2H_Last5_Stats_All!$A:$ZZ,ROW()-ROW($Q$31)+2,COLUMN()-COLUMN($Q$31)+1),
""))</f>
        <v>0</v>
      </c>
      <c r="BP34" s="1">
        <f>IF(INDEX(H2H_Last5_Stats_All!$A:$A,ROW()-ROW($Q$31)+2)="","",
IFERROR(
INDEX(H2H_Last5_Stats_All!$A:$ZZ,ROW()-ROW($Q$31)+2,COLUMN()-COLUMN($Q$31)+1),
""))</f>
        <v>0</v>
      </c>
      <c r="BR34" s="1" t="str">
        <f>IF(OR(Control!AC34="",Control!AD34=""),"",Control!AC34&amp;" : "&amp;Control!AD34)</f>
        <v>1 : 0</v>
      </c>
      <c r="BS34" s="1" t="str">
        <f>IF(OR(Control!AE34="",Control!AF34=""),"",Control!AE34&amp;" : "&amp;Control!AF34)</f>
        <v>1 : 1</v>
      </c>
      <c r="BT34" s="1" t="str">
        <f>IF(OR(Control!AU34="",Control!AV34=""),"",Control!AU34&amp;" : "&amp;Control!AV34)</f>
        <v>5 : 4</v>
      </c>
      <c r="BV34" s="1" t="str">
        <f>IFERROR(INDEX(tblStandings[#All],ROW(A34),COLUMN(A34)),"")</f>
        <v/>
      </c>
      <c r="BW34" s="1" t="str">
        <f>IFERROR(INDEX(tblStandings[#All],ROW(B34),COLUMN(B34)),"")</f>
        <v/>
      </c>
      <c r="BX34" s="1" t="str">
        <f>IFERROR(INDEX(tblStandings[#All],ROW(C34),COLUMN(C34)),"")</f>
        <v/>
      </c>
      <c r="BY34" s="1" t="str">
        <f>IFERROR(INDEX(tblStandings[#All],ROW(D34),COLUMN(D34)),"")</f>
        <v/>
      </c>
      <c r="BZ34" s="1" t="str">
        <f>IFERROR(INDEX(tblStandings[#All],ROW(E34),COLUMN(E34)),"")</f>
        <v/>
      </c>
      <c r="CA34" s="1" t="str">
        <f>IFERROR(INDEX(tblStandings[#All],ROW(F34),COLUMN(F34)),"")</f>
        <v/>
      </c>
      <c r="CB34" s="1" t="str">
        <f>IFERROR(INDEX(tblStandings[#All],ROW(G34),COLUMN(G34)),"")</f>
        <v/>
      </c>
      <c r="CC34" s="1" t="str">
        <f>IFERROR(INDEX(tblStandings[#All],ROW(H34),COLUMN(H34)),"")</f>
        <v/>
      </c>
      <c r="CD34" s="1" t="str">
        <f>IFERROR(INDEX(tblStandings[#All],ROW(I34),COLUMN(I34)),"")</f>
        <v/>
      </c>
      <c r="CE34" s="1" t="str">
        <f>IFERROR(INDEX(tblStandings[#All],ROW(J34),COLUMN(J34)),"")</f>
        <v/>
      </c>
      <c r="CF34" s="1" t="str">
        <f>IFERROR(INDEX(tblStandings[#All],ROW(K34),COLUMN(K34)),"")</f>
        <v/>
      </c>
      <c r="CG34" s="1" t="str">
        <f t="shared" si="0"/>
        <v/>
      </c>
      <c r="CH34" s="1" t="str">
        <f t="shared" si="1"/>
        <v/>
      </c>
      <c r="CI34" s="1" t="str">
        <f t="shared" si="2"/>
        <v/>
      </c>
      <c r="CJ34" s="1" t="str">
        <f t="shared" si="3"/>
        <v/>
      </c>
      <c r="CK34" s="1" t="str">
        <f t="shared" si="4"/>
        <v/>
      </c>
    </row>
    <row r="35" spans="8:89" x14ac:dyDescent="0.25">
      <c r="H35" s="1">
        <v>1533081</v>
      </c>
      <c r="I35" s="4">
        <v>46330.135416666664</v>
      </c>
      <c r="J35" s="1" t="s">
        <v>32</v>
      </c>
      <c r="K35" s="1" t="s">
        <v>35</v>
      </c>
      <c r="L35" s="1" t="s">
        <v>2684</v>
      </c>
      <c r="M35" s="1" t="s">
        <v>2686</v>
      </c>
      <c r="N35" s="1" t="s">
        <v>2688</v>
      </c>
      <c r="O35" s="1" t="s">
        <v>7220</v>
      </c>
      <c r="Q35" s="1">
        <f>IF(INDEX(H2H_Last5_Stats_All!$A:$A,ROW()-ROW($Q$31)+2)="","",
IFERROR(
INDEX(H2H_Last5_Stats_All!$A:$ZZ,ROW()-ROW($Q$31)+2,COLUMN()-COLUMN($Q$31)+1),
""))</f>
        <v>875992</v>
      </c>
      <c r="R35" s="1" t="str">
        <f>IF(INDEX(H2H_Last5_Stats_All!$A:$A,ROW()-ROW($Q$31)+2)="","",
IFERROR(
INDEX(H2H_Last5_Stats_All!$A:$ZZ,ROW()-ROW($Q$31)+2,COLUMN()-COLUMN($Q$31)+1),
""))</f>
        <v>15/04/2023 15:00</v>
      </c>
      <c r="S35" s="1" t="str">
        <f>IF(INDEX(H2H_Last5_Stats_All!$A:$A,ROW()-ROW($Q$31)+2)="","",
IFERROR(
INDEX(H2H_Last5_Stats_All!$A:$ZZ,ROW()-ROW($Q$31)+2,COLUMN()-COLUMN($Q$31)+1),
""))</f>
        <v>England</v>
      </c>
      <c r="T35" s="1" t="str">
        <f>IF(INDEX(H2H_Last5_Stats_All!$A:$A,ROW()-ROW($Q$31)+2)="","",
IFERROR(
INDEX(H2H_Last5_Stats_All!$A:$ZZ,ROW()-ROW($Q$31)+2,COLUMN()-COLUMN($Q$31)+1),
""))</f>
        <v>League One</v>
      </c>
      <c r="U35" s="1" t="str">
        <f>IF(INDEX(H2H_Last5_Stats_All!$A:$A,ROW()-ROW($Q$31)+2)="","",
IFERROR(
INDEX(H2H_Last5_Stats_All!$A:$ZZ,ROW()-ROW($Q$31)+2,COLUMN()-COLUMN($Q$31)+1),
""))</f>
        <v>https://media.api-sports.io/football/teams/1360.png</v>
      </c>
      <c r="V35" s="1" t="str">
        <f>IF(INDEX(H2H_Last5_Stats_All!$A:$A,ROW()-ROW($Q$31)+2)="","",
IFERROR(
INDEX(H2H_Last5_Stats_All!$A:$ZZ,ROW()-ROW($Q$31)+2,COLUMN()-COLUMN($Q$31)+1),
""))</f>
        <v>Accrington ST</v>
      </c>
      <c r="W35" s="1" t="str">
        <f>IF(INDEX(H2H_Last5_Stats_All!$A:$A,ROW()-ROW($Q$31)+2)="","",
IFERROR(
INDEX(H2H_Last5_Stats_All!$A:$ZZ,ROW()-ROW($Q$31)+2,COLUMN()-COLUMN($Q$31)+1),
""))</f>
        <v>https://media.api-sports.io/football/teams/1336.png</v>
      </c>
      <c r="X35" s="1" t="str">
        <f>IF(INDEX(H2H_Last5_Stats_All!$A:$A,ROW()-ROW($Q$31)+2)="","",
IFERROR(
INDEX(H2H_Last5_Stats_All!$A:$ZZ,ROW()-ROW($Q$31)+2,COLUMN()-COLUMN($Q$31)+1),
""))</f>
        <v>Fleetwood Town</v>
      </c>
      <c r="Y35" s="1" t="str">
        <f>IF(INDEX(H2H_Last5_Stats_All!$A:$A,ROW()-ROW($Q$31)+2)="","",
IFERROR(
INDEX(H2H_Last5_Stats_All!$A:$ZZ,ROW()-ROW($Q$31)+2,COLUMN()-COLUMN($Q$31)+1),
""))</f>
        <v>https://media.api-sports.io/football/leagues/41.png</v>
      </c>
      <c r="Z35" s="1" t="str">
        <f>IF(INDEX(H2H_Last5_Stats_All!$A:$A,ROW()-ROW($Q$31)+2)="","",
IFERROR(
INDEX(H2H_Last5_Stats_All!$A:$ZZ,ROW()-ROW($Q$31)+2,COLUMN()-COLUMN($Q$31)+1),
""))</f>
        <v>https://media.api-sports.io/flags/gb-eng.svg</v>
      </c>
      <c r="AA35" s="1">
        <f>IF(INDEX(H2H_Last5_Stats_All!$A:$A,ROW()-ROW($Q$31)+2)="","",
IFERROR(
INDEX(H2H_Last5_Stats_All!$A:$ZZ,ROW()-ROW($Q$31)+2,COLUMN()-COLUMN($Q$31)+1),
""))</f>
        <v>2</v>
      </c>
      <c r="AB35" s="1">
        <f>IF(INDEX(H2H_Last5_Stats_All!$A:$A,ROW()-ROW($Q$31)+2)="","",
IFERROR(
INDEX(H2H_Last5_Stats_All!$A:$ZZ,ROW()-ROW($Q$31)+2,COLUMN()-COLUMN($Q$31)+1),
""))</f>
        <v>5</v>
      </c>
      <c r="AC35" s="1">
        <f>IF(INDEX(H2H_Last5_Stats_All!$A:$A,ROW()-ROW($Q$31)+2)="","",
IFERROR(
INDEX(H2H_Last5_Stats_All!$A:$ZZ,ROW()-ROW($Q$31)+2,COLUMN()-COLUMN($Q$31)+1),
""))</f>
        <v>0</v>
      </c>
      <c r="AD35" s="1">
        <f>IF(INDEX(H2H_Last5_Stats_All!$A:$A,ROW()-ROW($Q$31)+2)="","",
IFERROR(
INDEX(H2H_Last5_Stats_All!$A:$ZZ,ROW()-ROW($Q$31)+2,COLUMN()-COLUMN($Q$31)+1),
""))</f>
        <v>2</v>
      </c>
      <c r="AE35" s="1">
        <f>IF(INDEX(H2H_Last5_Stats_All!$A:$A,ROW()-ROW($Q$31)+2)="","",
IFERROR(
INDEX(H2H_Last5_Stats_All!$A:$ZZ,ROW()-ROW($Q$31)+2,COLUMN()-COLUMN($Q$31)+1),
""))</f>
        <v>2</v>
      </c>
      <c r="AF35" s="1">
        <f>IF(INDEX(H2H_Last5_Stats_All!$A:$A,ROW()-ROW($Q$31)+2)="","",
IFERROR(
INDEX(H2H_Last5_Stats_All!$A:$ZZ,ROW()-ROW($Q$31)+2,COLUMN()-COLUMN($Q$31)+1),
""))</f>
        <v>5</v>
      </c>
      <c r="AG35" s="1">
        <f>IF(INDEX(H2H_Last5_Stats_All!$A:$A,ROW()-ROW($Q$31)+2)="","",
IFERROR(
INDEX(H2H_Last5_Stats_All!$A:$ZZ,ROW()-ROW($Q$31)+2,COLUMN()-COLUMN($Q$31)+1),
""))</f>
        <v>3</v>
      </c>
      <c r="AH35" s="1">
        <f>IF(INDEX(H2H_Last5_Stats_All!$A:$A,ROW()-ROW($Q$31)+2)="","",
IFERROR(
INDEX(H2H_Last5_Stats_All!$A:$ZZ,ROW()-ROW($Q$31)+2,COLUMN()-COLUMN($Q$31)+1),
""))</f>
        <v>6</v>
      </c>
      <c r="AI35" s="1">
        <f>IF(INDEX(H2H_Last5_Stats_All!$A:$A,ROW()-ROW($Q$31)+2)="","",
IFERROR(
INDEX(H2H_Last5_Stats_All!$A:$ZZ,ROW()-ROW($Q$31)+2,COLUMN()-COLUMN($Q$31)+1),
""))</f>
        <v>8</v>
      </c>
      <c r="AJ35" s="1">
        <f>IF(INDEX(H2H_Last5_Stats_All!$A:$A,ROW()-ROW($Q$31)+2)="","",
IFERROR(
INDEX(H2H_Last5_Stats_All!$A:$ZZ,ROW()-ROW($Q$31)+2,COLUMN()-COLUMN($Q$31)+1),
""))</f>
        <v>12</v>
      </c>
      <c r="AK35" s="1">
        <f>IF(INDEX(H2H_Last5_Stats_All!$A:$A,ROW()-ROW($Q$31)+2)="","",
IFERROR(
INDEX(H2H_Last5_Stats_All!$A:$ZZ,ROW()-ROW($Q$31)+2,COLUMN()-COLUMN($Q$31)+1),
""))</f>
        <v>15</v>
      </c>
      <c r="AL35" s="1">
        <f>IF(INDEX(H2H_Last5_Stats_All!$A:$A,ROW()-ROW($Q$31)+2)="","",
IFERROR(
INDEX(H2H_Last5_Stats_All!$A:$ZZ,ROW()-ROW($Q$31)+2,COLUMN()-COLUMN($Q$31)+1),
""))</f>
        <v>22</v>
      </c>
      <c r="AM35" s="1">
        <f>IF(INDEX(H2H_Last5_Stats_All!$A:$A,ROW()-ROW($Q$31)+2)="","",
IFERROR(
INDEX(H2H_Last5_Stats_All!$A:$ZZ,ROW()-ROW($Q$31)+2,COLUMN()-COLUMN($Q$31)+1),
""))</f>
        <v>4</v>
      </c>
      <c r="AN35" s="1">
        <f>IF(INDEX(H2H_Last5_Stats_All!$A:$A,ROW()-ROW($Q$31)+2)="","",
IFERROR(
INDEX(H2H_Last5_Stats_All!$A:$ZZ,ROW()-ROW($Q$31)+2,COLUMN()-COLUMN($Q$31)+1),
""))</f>
        <v>4</v>
      </c>
      <c r="AO35" s="1">
        <f>IF(INDEX(H2H_Last5_Stats_All!$A:$A,ROW()-ROW($Q$31)+2)="","",
IFERROR(
INDEX(H2H_Last5_Stats_All!$A:$ZZ,ROW()-ROW($Q$31)+2,COLUMN()-COLUMN($Q$31)+1),
""))</f>
        <v>9</v>
      </c>
      <c r="AP35" s="1">
        <f>IF(INDEX(H2H_Last5_Stats_All!$A:$A,ROW()-ROW($Q$31)+2)="","",
IFERROR(
INDEX(H2H_Last5_Stats_All!$A:$ZZ,ROW()-ROW($Q$31)+2,COLUMN()-COLUMN($Q$31)+1),
""))</f>
        <v>16</v>
      </c>
      <c r="AQ35" s="1">
        <f>IF(INDEX(H2H_Last5_Stats_All!$A:$A,ROW()-ROW($Q$31)+2)="","",
IFERROR(
INDEX(H2H_Last5_Stats_All!$A:$ZZ,ROW()-ROW($Q$31)+2,COLUMN()-COLUMN($Q$31)+1),
""))</f>
        <v>6</v>
      </c>
      <c r="AR35" s="1">
        <f>IF(INDEX(H2H_Last5_Stats_All!$A:$A,ROW()-ROW($Q$31)+2)="","",
IFERROR(
INDEX(H2H_Last5_Stats_All!$A:$ZZ,ROW()-ROW($Q$31)+2,COLUMN()-COLUMN($Q$31)+1),
""))</f>
        <v>6</v>
      </c>
      <c r="AS35" s="1">
        <f>IF(INDEX(H2H_Last5_Stats_All!$A:$A,ROW()-ROW($Q$31)+2)="","",
IFERROR(
INDEX(H2H_Last5_Stats_All!$A:$ZZ,ROW()-ROW($Q$31)+2,COLUMN()-COLUMN($Q$31)+1),
""))</f>
        <v>14</v>
      </c>
      <c r="AT35" s="1">
        <f>IF(INDEX(H2H_Last5_Stats_All!$A:$A,ROW()-ROW($Q$31)+2)="","",
IFERROR(
INDEX(H2H_Last5_Stats_All!$A:$ZZ,ROW()-ROW($Q$31)+2,COLUMN()-COLUMN($Q$31)+1),
""))</f>
        <v>15</v>
      </c>
      <c r="AU35" s="1">
        <f>IF(INDEX(H2H_Last5_Stats_All!$A:$A,ROW()-ROW($Q$31)+2)="","",
IFERROR(
INDEX(H2H_Last5_Stats_All!$A:$ZZ,ROW()-ROW($Q$31)+2,COLUMN()-COLUMN($Q$31)+1),
""))</f>
        <v>5</v>
      </c>
      <c r="AV35" s="1">
        <f>IF(INDEX(H2H_Last5_Stats_All!$A:$A,ROW()-ROW($Q$31)+2)="","",
IFERROR(
INDEX(H2H_Last5_Stats_All!$A:$ZZ,ROW()-ROW($Q$31)+2,COLUMN()-COLUMN($Q$31)+1),
""))</f>
        <v>6</v>
      </c>
      <c r="AW35" s="1">
        <f>IF(INDEX(H2H_Last5_Stats_All!$A:$A,ROW()-ROW($Q$31)+2)="","",
IFERROR(
INDEX(H2H_Last5_Stats_All!$A:$ZZ,ROW()-ROW($Q$31)+2,COLUMN()-COLUMN($Q$31)+1),
""))</f>
        <v>0</v>
      </c>
      <c r="AX35" s="1">
        <f>IF(INDEX(H2H_Last5_Stats_All!$A:$A,ROW()-ROW($Q$31)+2)="","",
IFERROR(
INDEX(H2H_Last5_Stats_All!$A:$ZZ,ROW()-ROW($Q$31)+2,COLUMN()-COLUMN($Q$31)+1),
""))</f>
        <v>6</v>
      </c>
      <c r="AY35" s="1">
        <f>IF(INDEX(H2H_Last5_Stats_All!$A:$A,ROW()-ROW($Q$31)+2)="","",
IFERROR(
INDEX(H2H_Last5_Stats_All!$A:$ZZ,ROW()-ROW($Q$31)+2,COLUMN()-COLUMN($Q$31)+1),
""))</f>
        <v>43</v>
      </c>
      <c r="AZ35" s="1">
        <f>IF(INDEX(H2H_Last5_Stats_All!$A:$A,ROW()-ROW($Q$31)+2)="","",
IFERROR(
INDEX(H2H_Last5_Stats_All!$A:$ZZ,ROW()-ROW($Q$31)+2,COLUMN()-COLUMN($Q$31)+1),
""))</f>
        <v>57</v>
      </c>
      <c r="BA35" s="1">
        <f>IF(INDEX(H2H_Last5_Stats_All!$A:$A,ROW()-ROW($Q$31)+2)="","",
IFERROR(
INDEX(H2H_Last5_Stats_All!$A:$ZZ,ROW()-ROW($Q$31)+2,COLUMN()-COLUMN($Q$31)+1),
""))</f>
        <v>2</v>
      </c>
      <c r="BB35" s="1">
        <f>IF(INDEX(H2H_Last5_Stats_All!$A:$A,ROW()-ROW($Q$31)+2)="","",
IFERROR(
INDEX(H2H_Last5_Stats_All!$A:$ZZ,ROW()-ROW($Q$31)+2,COLUMN()-COLUMN($Q$31)+1),
""))</f>
        <v>4</v>
      </c>
      <c r="BC35" s="1">
        <f>IF(INDEX(H2H_Last5_Stats_All!$A:$A,ROW()-ROW($Q$31)+2)="","",
IFERROR(
INDEX(H2H_Last5_Stats_All!$A:$ZZ,ROW()-ROW($Q$31)+2,COLUMN()-COLUMN($Q$31)+1),
""))</f>
        <v>1</v>
      </c>
      <c r="BD35" s="1">
        <f>IF(INDEX(H2H_Last5_Stats_All!$A:$A,ROW()-ROW($Q$31)+2)="","",
IFERROR(
INDEX(H2H_Last5_Stats_All!$A:$ZZ,ROW()-ROW($Q$31)+2,COLUMN()-COLUMN($Q$31)+1),
""))</f>
        <v>0</v>
      </c>
      <c r="BE35" s="1">
        <f>IF(INDEX(H2H_Last5_Stats_All!$A:$A,ROW()-ROW($Q$31)+2)="","",
IFERROR(
INDEX(H2H_Last5_Stats_All!$A:$ZZ,ROW()-ROW($Q$31)+2,COLUMN()-COLUMN($Q$31)+1),
""))</f>
        <v>1</v>
      </c>
      <c r="BF35" s="1">
        <f>IF(INDEX(H2H_Last5_Stats_All!$A:$A,ROW()-ROW($Q$31)+2)="","",
IFERROR(
INDEX(H2H_Last5_Stats_All!$A:$ZZ,ROW()-ROW($Q$31)+2,COLUMN()-COLUMN($Q$31)+1),
""))</f>
        <v>1</v>
      </c>
      <c r="BG35" s="1">
        <f>IF(INDEX(H2H_Last5_Stats_All!$A:$A,ROW()-ROW($Q$31)+2)="","",
IFERROR(
INDEX(H2H_Last5_Stats_All!$A:$ZZ,ROW()-ROW($Q$31)+2,COLUMN()-COLUMN($Q$31)+1),
""))</f>
        <v>240</v>
      </c>
      <c r="BH35" s="1">
        <f>IF(INDEX(H2H_Last5_Stats_All!$A:$A,ROW()-ROW($Q$31)+2)="","",
IFERROR(
INDEX(H2H_Last5_Stats_All!$A:$ZZ,ROW()-ROW($Q$31)+2,COLUMN()-COLUMN($Q$31)+1),
""))</f>
        <v>328</v>
      </c>
      <c r="BI35" s="1">
        <f>IF(INDEX(H2H_Last5_Stats_All!$A:$A,ROW()-ROW($Q$31)+2)="","",
IFERROR(
INDEX(H2H_Last5_Stats_All!$A:$ZZ,ROW()-ROW($Q$31)+2,COLUMN()-COLUMN($Q$31)+1),
""))</f>
        <v>127</v>
      </c>
      <c r="BJ35" s="1">
        <f>IF(INDEX(H2H_Last5_Stats_All!$A:$A,ROW()-ROW($Q$31)+2)="","",
IFERROR(
INDEX(H2H_Last5_Stats_All!$A:$ZZ,ROW()-ROW($Q$31)+2,COLUMN()-COLUMN($Q$31)+1),
""))</f>
        <v>218</v>
      </c>
      <c r="BK35" s="1">
        <f>IF(INDEX(H2H_Last5_Stats_All!$A:$A,ROW()-ROW($Q$31)+2)="","",
IFERROR(
INDEX(H2H_Last5_Stats_All!$A:$ZZ,ROW()-ROW($Q$31)+2,COLUMN()-COLUMN($Q$31)+1),
""))</f>
        <v>53</v>
      </c>
      <c r="BL35" s="1">
        <f>IF(INDEX(H2H_Last5_Stats_All!$A:$A,ROW()-ROW($Q$31)+2)="","",
IFERROR(
INDEX(H2H_Last5_Stats_All!$A:$ZZ,ROW()-ROW($Q$31)+2,COLUMN()-COLUMN($Q$31)+1),
""))</f>
        <v>66</v>
      </c>
      <c r="BM35" s="1">
        <f>IF(INDEX(H2H_Last5_Stats_All!$A:$A,ROW()-ROW($Q$31)+2)="","",
IFERROR(
INDEX(H2H_Last5_Stats_All!$A:$ZZ,ROW()-ROW($Q$31)+2,COLUMN()-COLUMN($Q$31)+1),
""))</f>
        <v>0</v>
      </c>
      <c r="BN35" s="1">
        <f>IF(INDEX(H2H_Last5_Stats_All!$A:$A,ROW()-ROW($Q$31)+2)="","",
IFERROR(
INDEX(H2H_Last5_Stats_All!$A:$ZZ,ROW()-ROW($Q$31)+2,COLUMN()-COLUMN($Q$31)+1),
""))</f>
        <v>0</v>
      </c>
      <c r="BO35" s="1">
        <f>IF(INDEX(H2H_Last5_Stats_All!$A:$A,ROW()-ROW($Q$31)+2)="","",
IFERROR(
INDEX(H2H_Last5_Stats_All!$A:$ZZ,ROW()-ROW($Q$31)+2,COLUMN()-COLUMN($Q$31)+1),
""))</f>
        <v>0</v>
      </c>
      <c r="BP35" s="1">
        <f>IF(INDEX(H2H_Last5_Stats_All!$A:$A,ROW()-ROW($Q$31)+2)="","",
IFERROR(
INDEX(H2H_Last5_Stats_All!$A:$ZZ,ROW()-ROW($Q$31)+2,COLUMN()-COLUMN($Q$31)+1),
""))</f>
        <v>0</v>
      </c>
      <c r="BR35" s="1" t="str">
        <f>IF(OR(Control!AC35="",Control!AD35=""),"",Control!AC35&amp;" : "&amp;Control!AD35)</f>
        <v>0 : 2</v>
      </c>
      <c r="BS35" s="1" t="str">
        <f>IF(OR(Control!AE35="",Control!AF35=""),"",Control!AE35&amp;" : "&amp;Control!AF35)</f>
        <v>2 : 5</v>
      </c>
      <c r="BT35" s="1" t="str">
        <f>IF(OR(Control!AU35="",Control!AV35=""),"",Control!AU35&amp;" : "&amp;Control!AV35)</f>
        <v>5 : 6</v>
      </c>
      <c r="BV35" s="1" t="str">
        <f>IFERROR(INDEX(tblStandings[#All],ROW(A35),COLUMN(A35)),"")</f>
        <v/>
      </c>
      <c r="BW35" s="1" t="str">
        <f>IFERROR(INDEX(tblStandings[#All],ROW(B35),COLUMN(B35)),"")</f>
        <v/>
      </c>
      <c r="BX35" s="1" t="str">
        <f>IFERROR(INDEX(tblStandings[#All],ROW(C35),COLUMN(C35)),"")</f>
        <v/>
      </c>
      <c r="BY35" s="1" t="str">
        <f>IFERROR(INDEX(tblStandings[#All],ROW(D35),COLUMN(D35)),"")</f>
        <v/>
      </c>
      <c r="BZ35" s="1" t="str">
        <f>IFERROR(INDEX(tblStandings[#All],ROW(E35),COLUMN(E35)),"")</f>
        <v/>
      </c>
      <c r="CA35" s="1" t="str">
        <f>IFERROR(INDEX(tblStandings[#All],ROW(F35),COLUMN(F35)),"")</f>
        <v/>
      </c>
      <c r="CB35" s="1" t="str">
        <f>IFERROR(INDEX(tblStandings[#All],ROW(G35),COLUMN(G35)),"")</f>
        <v/>
      </c>
      <c r="CC35" s="1" t="str">
        <f>IFERROR(INDEX(tblStandings[#All],ROW(H35),COLUMN(H35)),"")</f>
        <v/>
      </c>
      <c r="CD35" s="1" t="str">
        <f>IFERROR(INDEX(tblStandings[#All],ROW(I35),COLUMN(I35)),"")</f>
        <v/>
      </c>
      <c r="CE35" s="1" t="str">
        <f>IFERROR(INDEX(tblStandings[#All],ROW(J35),COLUMN(J35)),"")</f>
        <v/>
      </c>
      <c r="CF35" s="1" t="str">
        <f>IFERROR(INDEX(tblStandings[#All],ROW(K35),COLUMN(K35)),"")</f>
        <v/>
      </c>
      <c r="CG35" s="1" t="str">
        <f t="shared" si="0"/>
        <v/>
      </c>
      <c r="CH35" s="1" t="str">
        <f t="shared" si="1"/>
        <v/>
      </c>
      <c r="CI35" s="1" t="str">
        <f t="shared" si="2"/>
        <v/>
      </c>
      <c r="CJ35" s="1" t="str">
        <f t="shared" si="3"/>
        <v/>
      </c>
      <c r="CK35" s="1" t="str">
        <f t="shared" si="4"/>
        <v/>
      </c>
    </row>
    <row r="36" spans="8:89" x14ac:dyDescent="0.25">
      <c r="H36" s="1">
        <v>1494492</v>
      </c>
      <c r="I36" s="4">
        <v>46330.166666666664</v>
      </c>
      <c r="J36" s="1" t="s">
        <v>32</v>
      </c>
      <c r="K36" s="1" t="s">
        <v>18</v>
      </c>
      <c r="L36" s="1" t="s">
        <v>369</v>
      </c>
      <c r="M36" s="1" t="s">
        <v>774</v>
      </c>
      <c r="N36" s="1" t="s">
        <v>2418</v>
      </c>
      <c r="O36" s="1" t="s">
        <v>7222</v>
      </c>
      <c r="BV36" s="1" t="str">
        <f>IFERROR(INDEX(tblStandings[#All],ROW(A36),COLUMN(A36)),"")</f>
        <v/>
      </c>
      <c r="BW36" s="1" t="str">
        <f>IFERROR(INDEX(tblStandings[#All],ROW(B36),COLUMN(B36)),"")</f>
        <v/>
      </c>
      <c r="BX36" s="1" t="str">
        <f>IFERROR(INDEX(tblStandings[#All],ROW(C36),COLUMN(C36)),"")</f>
        <v/>
      </c>
      <c r="BY36" s="1" t="str">
        <f>IFERROR(INDEX(tblStandings[#All],ROW(D36),COLUMN(D36)),"")</f>
        <v/>
      </c>
      <c r="BZ36" s="1" t="str">
        <f>IFERROR(INDEX(tblStandings[#All],ROW(E36),COLUMN(E36)),"")</f>
        <v/>
      </c>
      <c r="CA36" s="1" t="str">
        <f>IFERROR(INDEX(tblStandings[#All],ROW(F36),COLUMN(F36)),"")</f>
        <v/>
      </c>
      <c r="CB36" s="1" t="str">
        <f>IFERROR(INDEX(tblStandings[#All],ROW(G36),COLUMN(G36)),"")</f>
        <v/>
      </c>
      <c r="CC36" s="1" t="str">
        <f>IFERROR(INDEX(tblStandings[#All],ROW(H36),COLUMN(H36)),"")</f>
        <v/>
      </c>
      <c r="CD36" s="1" t="str">
        <f>IFERROR(INDEX(tblStandings[#All],ROW(I36),COLUMN(I36)),"")</f>
        <v/>
      </c>
      <c r="CE36" s="1" t="str">
        <f>IFERROR(INDEX(tblStandings[#All],ROW(J36),COLUMN(J36)),"")</f>
        <v/>
      </c>
      <c r="CF36" s="1" t="str">
        <f>IFERROR(INDEX(tblStandings[#All],ROW(K36),COLUMN(K36)),"")</f>
        <v/>
      </c>
      <c r="CG36" s="1" t="str">
        <f t="shared" si="0"/>
        <v/>
      </c>
      <c r="CH36" s="1" t="str">
        <f t="shared" si="1"/>
        <v/>
      </c>
      <c r="CI36" s="1" t="str">
        <f t="shared" si="2"/>
        <v/>
      </c>
      <c r="CJ36" s="1" t="str">
        <f t="shared" si="3"/>
        <v/>
      </c>
      <c r="CK36" s="1" t="str">
        <f t="shared" si="4"/>
        <v/>
      </c>
    </row>
    <row r="37" spans="8:89" x14ac:dyDescent="0.25">
      <c r="H37" s="1">
        <v>1508902</v>
      </c>
      <c r="I37" s="4">
        <v>46330.166666666664</v>
      </c>
      <c r="J37" s="1" t="s">
        <v>32</v>
      </c>
      <c r="K37" s="1" t="s">
        <v>21</v>
      </c>
      <c r="L37" s="1" t="s">
        <v>7223</v>
      </c>
      <c r="M37" s="1" t="s">
        <v>7224</v>
      </c>
      <c r="N37" s="1" t="s">
        <v>7225</v>
      </c>
      <c r="O37" s="1" t="s">
        <v>7226</v>
      </c>
      <c r="BV37" s="1" t="str">
        <f>IFERROR(INDEX(tblStandings[#All],ROW(A37),COLUMN(A37)),"")</f>
        <v/>
      </c>
      <c r="BW37" s="1" t="str">
        <f>IFERROR(INDEX(tblStandings[#All],ROW(B37),COLUMN(B37)),"")</f>
        <v/>
      </c>
      <c r="BX37" s="1" t="str">
        <f>IFERROR(INDEX(tblStandings[#All],ROW(C37),COLUMN(C37)),"")</f>
        <v/>
      </c>
      <c r="BY37" s="1" t="str">
        <f>IFERROR(INDEX(tblStandings[#All],ROW(D37),COLUMN(D37)),"")</f>
        <v/>
      </c>
      <c r="BZ37" s="1" t="str">
        <f>IFERROR(INDEX(tblStandings[#All],ROW(E37),COLUMN(E37)),"")</f>
        <v/>
      </c>
      <c r="CA37" s="1" t="str">
        <f>IFERROR(INDEX(tblStandings[#All],ROW(F37),COLUMN(F37)),"")</f>
        <v/>
      </c>
      <c r="CB37" s="1" t="str">
        <f>IFERROR(INDEX(tblStandings[#All],ROW(G37),COLUMN(G37)),"")</f>
        <v/>
      </c>
      <c r="CC37" s="1" t="str">
        <f>IFERROR(INDEX(tblStandings[#All],ROW(H37),COLUMN(H37)),"")</f>
        <v/>
      </c>
      <c r="CD37" s="1" t="str">
        <f>IFERROR(INDEX(tblStandings[#All],ROW(I37),COLUMN(I37)),"")</f>
        <v/>
      </c>
      <c r="CE37" s="1" t="str">
        <f>IFERROR(INDEX(tblStandings[#All],ROW(J37),COLUMN(J37)),"")</f>
        <v/>
      </c>
      <c r="CF37" s="1" t="str">
        <f>IFERROR(INDEX(tblStandings[#All],ROW(K37),COLUMN(K37)),"")</f>
        <v/>
      </c>
      <c r="CG37" s="1" t="str">
        <f t="shared" si="0"/>
        <v/>
      </c>
      <c r="CH37" s="1" t="str">
        <f t="shared" si="1"/>
        <v/>
      </c>
      <c r="CI37" s="1" t="str">
        <f t="shared" si="2"/>
        <v/>
      </c>
      <c r="CJ37" s="1" t="str">
        <f t="shared" si="3"/>
        <v/>
      </c>
      <c r="CK37" s="1" t="str">
        <f t="shared" si="4"/>
        <v/>
      </c>
    </row>
    <row r="38" spans="8:89" x14ac:dyDescent="0.25">
      <c r="H38" s="1">
        <v>1521904</v>
      </c>
      <c r="I38" s="4">
        <v>46330.166666666664</v>
      </c>
      <c r="J38" s="1" t="s">
        <v>32</v>
      </c>
      <c r="K38" s="1" t="s">
        <v>35</v>
      </c>
      <c r="L38" s="1" t="s">
        <v>314</v>
      </c>
      <c r="M38" s="1" t="s">
        <v>793</v>
      </c>
      <c r="N38" s="1" t="s">
        <v>7227</v>
      </c>
      <c r="O38" s="1" t="s">
        <v>7228</v>
      </c>
      <c r="BV38" s="1" t="str">
        <f>IFERROR(INDEX(tblStandings[#All],ROW(A38),COLUMN(A38)),"")</f>
        <v/>
      </c>
      <c r="BW38" s="1" t="str">
        <f>IFERROR(INDEX(tblStandings[#All],ROW(B38),COLUMN(B38)),"")</f>
        <v/>
      </c>
      <c r="BX38" s="1" t="str">
        <f>IFERROR(INDEX(tblStandings[#All],ROW(C38),COLUMN(C38)),"")</f>
        <v/>
      </c>
      <c r="BY38" s="1" t="str">
        <f>IFERROR(INDEX(tblStandings[#All],ROW(D38),COLUMN(D38)),"")</f>
        <v/>
      </c>
      <c r="BZ38" s="1" t="str">
        <f>IFERROR(INDEX(tblStandings[#All],ROW(E38),COLUMN(E38)),"")</f>
        <v/>
      </c>
      <c r="CA38" s="1" t="str">
        <f>IFERROR(INDEX(tblStandings[#All],ROW(F38),COLUMN(F38)),"")</f>
        <v/>
      </c>
      <c r="CB38" s="1" t="str">
        <f>IFERROR(INDEX(tblStandings[#All],ROW(G38),COLUMN(G38)),"")</f>
        <v/>
      </c>
      <c r="CC38" s="1" t="str">
        <f>IFERROR(INDEX(tblStandings[#All],ROW(H38),COLUMN(H38)),"")</f>
        <v/>
      </c>
      <c r="CD38" s="1" t="str">
        <f>IFERROR(INDEX(tblStandings[#All],ROW(I38),COLUMN(I38)),"")</f>
        <v/>
      </c>
      <c r="CE38" s="1" t="str">
        <f>IFERROR(INDEX(tblStandings[#All],ROW(J38),COLUMN(J38)),"")</f>
        <v/>
      </c>
      <c r="CF38" s="1" t="str">
        <f>IFERROR(INDEX(tblStandings[#All],ROW(K38),COLUMN(K38)),"")</f>
        <v/>
      </c>
      <c r="CG38" s="1" t="str">
        <f t="shared" si="0"/>
        <v/>
      </c>
      <c r="CH38" s="1" t="str">
        <f t="shared" si="1"/>
        <v/>
      </c>
      <c r="CI38" s="1" t="str">
        <f t="shared" si="2"/>
        <v/>
      </c>
      <c r="CJ38" s="1" t="str">
        <f t="shared" si="3"/>
        <v/>
      </c>
      <c r="CK38" s="1" t="str">
        <f t="shared" si="4"/>
        <v/>
      </c>
    </row>
    <row r="39" spans="8:89" x14ac:dyDescent="0.25">
      <c r="H39" s="1">
        <v>1526700</v>
      </c>
      <c r="I39" s="4">
        <v>46330.166666666664</v>
      </c>
      <c r="J39" s="1" t="s">
        <v>32</v>
      </c>
      <c r="K39" s="1" t="s">
        <v>377</v>
      </c>
      <c r="L39" s="1" t="s">
        <v>2949</v>
      </c>
      <c r="M39" s="1" t="s">
        <v>3271</v>
      </c>
      <c r="N39" s="1" t="s">
        <v>3624</v>
      </c>
      <c r="O39" s="1" t="s">
        <v>7229</v>
      </c>
      <c r="BV39" s="1" t="str">
        <f>IFERROR(INDEX(tblStandings[#All],ROW(A39),COLUMN(A39)),"")</f>
        <v/>
      </c>
      <c r="BW39" s="1" t="str">
        <f>IFERROR(INDEX(tblStandings[#All],ROW(B39),COLUMN(B39)),"")</f>
        <v/>
      </c>
      <c r="BX39" s="1" t="str">
        <f>IFERROR(INDEX(tblStandings[#All],ROW(C39),COLUMN(C39)),"")</f>
        <v/>
      </c>
      <c r="BY39" s="1" t="str">
        <f>IFERROR(INDEX(tblStandings[#All],ROW(D39),COLUMN(D39)),"")</f>
        <v/>
      </c>
      <c r="BZ39" s="1" t="str">
        <f>IFERROR(INDEX(tblStandings[#All],ROW(E39),COLUMN(E39)),"")</f>
        <v/>
      </c>
      <c r="CA39" s="1" t="str">
        <f>IFERROR(INDEX(tblStandings[#All],ROW(F39),COLUMN(F39)),"")</f>
        <v/>
      </c>
      <c r="CB39" s="1" t="str">
        <f>IFERROR(INDEX(tblStandings[#All],ROW(G39),COLUMN(G39)),"")</f>
        <v/>
      </c>
      <c r="CC39" s="1" t="str">
        <f>IFERROR(INDEX(tblStandings[#All],ROW(H39),COLUMN(H39)),"")</f>
        <v/>
      </c>
      <c r="CD39" s="1" t="str">
        <f>IFERROR(INDEX(tblStandings[#All],ROW(I39),COLUMN(I39)),"")</f>
        <v/>
      </c>
      <c r="CE39" s="1" t="str">
        <f>IFERROR(INDEX(tblStandings[#All],ROW(J39),COLUMN(J39)),"")</f>
        <v/>
      </c>
      <c r="CF39" s="1" t="str">
        <f>IFERROR(INDEX(tblStandings[#All],ROW(K39),COLUMN(K39)),"")</f>
        <v/>
      </c>
      <c r="CG39" s="1" t="str">
        <f t="shared" si="0"/>
        <v/>
      </c>
      <c r="CH39" s="1" t="str">
        <f t="shared" si="1"/>
        <v/>
      </c>
      <c r="CI39" s="1" t="str">
        <f t="shared" si="2"/>
        <v/>
      </c>
      <c r="CJ39" s="1" t="str">
        <f t="shared" si="3"/>
        <v/>
      </c>
      <c r="CK39" s="1" t="str">
        <f t="shared" si="4"/>
        <v/>
      </c>
    </row>
    <row r="40" spans="8:89" x14ac:dyDescent="0.25">
      <c r="H40" s="1">
        <v>1492581</v>
      </c>
      <c r="I40" s="4">
        <v>46330.17083333333</v>
      </c>
      <c r="J40" s="1" t="s">
        <v>32</v>
      </c>
      <c r="K40" s="1" t="s">
        <v>18</v>
      </c>
      <c r="L40" s="1" t="s">
        <v>368</v>
      </c>
      <c r="M40" s="1" t="s">
        <v>2415</v>
      </c>
      <c r="N40" s="1" t="s">
        <v>2448</v>
      </c>
      <c r="O40" s="1" t="s">
        <v>7231</v>
      </c>
      <c r="BV40" s="1" t="str">
        <f>IFERROR(INDEX(tblStandings[#All],ROW(A40),COLUMN(A40)),"")</f>
        <v/>
      </c>
      <c r="BW40" s="1" t="str">
        <f>IFERROR(INDEX(tblStandings[#All],ROW(B40),COLUMN(B40)),"")</f>
        <v/>
      </c>
      <c r="BX40" s="1" t="str">
        <f>IFERROR(INDEX(tblStandings[#All],ROW(C40),COLUMN(C40)),"")</f>
        <v/>
      </c>
      <c r="BY40" s="1" t="str">
        <f>IFERROR(INDEX(tblStandings[#All],ROW(D40),COLUMN(D40)),"")</f>
        <v/>
      </c>
      <c r="BZ40" s="1" t="str">
        <f>IFERROR(INDEX(tblStandings[#All],ROW(E40),COLUMN(E40)),"")</f>
        <v/>
      </c>
      <c r="CA40" s="1" t="str">
        <f>IFERROR(INDEX(tblStandings[#All],ROW(F40),COLUMN(F40)),"")</f>
        <v/>
      </c>
      <c r="CB40" s="1" t="str">
        <f>IFERROR(INDEX(tblStandings[#All],ROW(G40),COLUMN(G40)),"")</f>
        <v/>
      </c>
      <c r="CC40" s="1" t="str">
        <f>IFERROR(INDEX(tblStandings[#All],ROW(H40),COLUMN(H40)),"")</f>
        <v/>
      </c>
      <c r="CD40" s="1" t="str">
        <f>IFERROR(INDEX(tblStandings[#All],ROW(I40),COLUMN(I40)),"")</f>
        <v/>
      </c>
      <c r="CE40" s="1" t="str">
        <f>IFERROR(INDEX(tblStandings[#All],ROW(J40),COLUMN(J40)),"")</f>
        <v/>
      </c>
      <c r="CF40" s="1" t="str">
        <f>IFERROR(INDEX(tblStandings[#All],ROW(K40),COLUMN(K40)),"")</f>
        <v/>
      </c>
      <c r="CG40" s="1" t="str">
        <f t="shared" si="0"/>
        <v/>
      </c>
      <c r="CH40" s="1" t="str">
        <f t="shared" si="1"/>
        <v/>
      </c>
      <c r="CI40" s="1" t="str">
        <f t="shared" si="2"/>
        <v/>
      </c>
      <c r="CJ40" s="1" t="str">
        <f t="shared" si="3"/>
        <v/>
      </c>
      <c r="CK40" s="1" t="str">
        <f t="shared" si="4"/>
        <v/>
      </c>
    </row>
    <row r="41" spans="8:89" x14ac:dyDescent="0.25">
      <c r="H41" s="1">
        <v>1504739</v>
      </c>
      <c r="I41" s="4">
        <v>46330.208333333336</v>
      </c>
      <c r="J41" s="1" t="s">
        <v>32</v>
      </c>
      <c r="K41" s="1" t="s">
        <v>33</v>
      </c>
      <c r="L41" s="1" t="s">
        <v>373</v>
      </c>
      <c r="M41" s="1" t="s">
        <v>7233</v>
      </c>
      <c r="N41" s="1" t="s">
        <v>7234</v>
      </c>
      <c r="O41" s="1" t="s">
        <v>7235</v>
      </c>
      <c r="BV41" s="1" t="str">
        <f>IFERROR(INDEX(tblStandings[#All],ROW(A41),COLUMN(A41)),"")</f>
        <v/>
      </c>
      <c r="BW41" s="1" t="str">
        <f>IFERROR(INDEX(tblStandings[#All],ROW(B41),COLUMN(B41)),"")</f>
        <v/>
      </c>
      <c r="BX41" s="1" t="str">
        <f>IFERROR(INDEX(tblStandings[#All],ROW(C41),COLUMN(C41)),"")</f>
        <v/>
      </c>
      <c r="BY41" s="1" t="str">
        <f>IFERROR(INDEX(tblStandings[#All],ROW(D41),COLUMN(D41)),"")</f>
        <v/>
      </c>
      <c r="BZ41" s="1" t="str">
        <f>IFERROR(INDEX(tblStandings[#All],ROW(E41),COLUMN(E41)),"")</f>
        <v/>
      </c>
      <c r="CA41" s="1" t="str">
        <f>IFERROR(INDEX(tblStandings[#All],ROW(F41),COLUMN(F41)),"")</f>
        <v/>
      </c>
      <c r="CB41" s="1" t="str">
        <f>IFERROR(INDEX(tblStandings[#All],ROW(G41),COLUMN(G41)),"")</f>
        <v/>
      </c>
      <c r="CC41" s="1" t="str">
        <f>IFERROR(INDEX(tblStandings[#All],ROW(H41),COLUMN(H41)),"")</f>
        <v/>
      </c>
      <c r="CD41" s="1" t="str">
        <f>IFERROR(INDEX(tblStandings[#All],ROW(I41),COLUMN(I41)),"")</f>
        <v/>
      </c>
      <c r="CE41" s="1" t="str">
        <f>IFERROR(INDEX(tblStandings[#All],ROW(J41),COLUMN(J41)),"")</f>
        <v/>
      </c>
      <c r="CF41" s="1" t="str">
        <f>IFERROR(INDEX(tblStandings[#All],ROW(K41),COLUMN(K41)),"")</f>
        <v/>
      </c>
      <c r="CG41" s="1" t="str">
        <f t="shared" si="0"/>
        <v/>
      </c>
      <c r="CH41" s="1" t="str">
        <f t="shared" si="1"/>
        <v/>
      </c>
      <c r="CI41" s="1" t="str">
        <f t="shared" si="2"/>
        <v/>
      </c>
      <c r="CJ41" s="1" t="str">
        <f t="shared" si="3"/>
        <v/>
      </c>
      <c r="CK41" s="1" t="str">
        <f t="shared" si="4"/>
        <v/>
      </c>
    </row>
    <row r="42" spans="8:89" x14ac:dyDescent="0.25">
      <c r="H42" s="1">
        <v>1523714</v>
      </c>
      <c r="I42" s="4">
        <v>46330.208333333336</v>
      </c>
      <c r="J42" s="1" t="s">
        <v>32</v>
      </c>
      <c r="K42" s="1" t="s">
        <v>35</v>
      </c>
      <c r="L42" s="1" t="s">
        <v>317</v>
      </c>
      <c r="M42" s="1" t="s">
        <v>836</v>
      </c>
      <c r="N42" s="1" t="s">
        <v>2783</v>
      </c>
      <c r="O42" s="1" t="s">
        <v>7236</v>
      </c>
      <c r="BV42" s="1" t="str">
        <f>IFERROR(INDEX(tblStandings[#All],ROW(A42),COLUMN(A42)),"")</f>
        <v/>
      </c>
      <c r="BW42" s="1" t="str">
        <f>IFERROR(INDEX(tblStandings[#All],ROW(B42),COLUMN(B42)),"")</f>
        <v/>
      </c>
      <c r="BX42" s="1" t="str">
        <f>IFERROR(INDEX(tblStandings[#All],ROW(C42),COLUMN(C42)),"")</f>
        <v/>
      </c>
      <c r="BY42" s="1" t="str">
        <f>IFERROR(INDEX(tblStandings[#All],ROW(D42),COLUMN(D42)),"")</f>
        <v/>
      </c>
      <c r="BZ42" s="1" t="str">
        <f>IFERROR(INDEX(tblStandings[#All],ROW(E42),COLUMN(E42)),"")</f>
        <v/>
      </c>
      <c r="CA42" s="1" t="str">
        <f>IFERROR(INDEX(tblStandings[#All],ROW(F42),COLUMN(F42)),"")</f>
        <v/>
      </c>
      <c r="CB42" s="1" t="str">
        <f>IFERROR(INDEX(tblStandings[#All],ROW(G42),COLUMN(G42)),"")</f>
        <v/>
      </c>
      <c r="CC42" s="1" t="str">
        <f>IFERROR(INDEX(tblStandings[#All],ROW(H42),COLUMN(H42)),"")</f>
        <v/>
      </c>
      <c r="CD42" s="1" t="str">
        <f>IFERROR(INDEX(tblStandings[#All],ROW(I42),COLUMN(I42)),"")</f>
        <v/>
      </c>
      <c r="CE42" s="1" t="str">
        <f>IFERROR(INDEX(tblStandings[#All],ROW(J42),COLUMN(J42)),"")</f>
        <v/>
      </c>
      <c r="CF42" s="1" t="str">
        <f>IFERROR(INDEX(tblStandings[#All],ROW(K42),COLUMN(K42)),"")</f>
        <v/>
      </c>
      <c r="CG42" s="1" t="str">
        <f t="shared" si="0"/>
        <v/>
      </c>
      <c r="CH42" s="1" t="str">
        <f t="shared" si="1"/>
        <v/>
      </c>
      <c r="CI42" s="1" t="str">
        <f t="shared" si="2"/>
        <v/>
      </c>
      <c r="CJ42" s="1" t="str">
        <f t="shared" si="3"/>
        <v/>
      </c>
      <c r="CK42" s="1" t="str">
        <f t="shared" si="4"/>
        <v/>
      </c>
    </row>
    <row r="43" spans="8:89" x14ac:dyDescent="0.25">
      <c r="H43" s="1">
        <v>1523715</v>
      </c>
      <c r="I43" s="4">
        <v>46330.208333333336</v>
      </c>
      <c r="J43" s="1" t="s">
        <v>32</v>
      </c>
      <c r="K43" s="1" t="s">
        <v>35</v>
      </c>
      <c r="L43" s="1" t="s">
        <v>317</v>
      </c>
      <c r="M43" s="1" t="s">
        <v>7237</v>
      </c>
      <c r="N43" s="1" t="s">
        <v>2786</v>
      </c>
      <c r="O43" s="1" t="s">
        <v>7238</v>
      </c>
      <c r="BV43" s="1" t="str">
        <f>IFERROR(INDEX(tblStandings[#All],ROW(A43),COLUMN(A43)),"")</f>
        <v/>
      </c>
      <c r="BW43" s="1" t="str">
        <f>IFERROR(INDEX(tblStandings[#All],ROW(B43),COLUMN(B43)),"")</f>
        <v/>
      </c>
      <c r="BX43" s="1" t="str">
        <f>IFERROR(INDEX(tblStandings[#All],ROW(C43),COLUMN(C43)),"")</f>
        <v/>
      </c>
      <c r="BY43" s="1" t="str">
        <f>IFERROR(INDEX(tblStandings[#All],ROW(D43),COLUMN(D43)),"")</f>
        <v/>
      </c>
      <c r="BZ43" s="1" t="str">
        <f>IFERROR(INDEX(tblStandings[#All],ROW(E43),COLUMN(E43)),"")</f>
        <v/>
      </c>
      <c r="CA43" s="1" t="str">
        <f>IFERROR(INDEX(tblStandings[#All],ROW(F43),COLUMN(F43)),"")</f>
        <v/>
      </c>
      <c r="CB43" s="1" t="str">
        <f>IFERROR(INDEX(tblStandings[#All],ROW(G43),COLUMN(G43)),"")</f>
        <v/>
      </c>
      <c r="CC43" s="1" t="str">
        <f>IFERROR(INDEX(tblStandings[#All],ROW(H43),COLUMN(H43)),"")</f>
        <v/>
      </c>
      <c r="CD43" s="1" t="str">
        <f>IFERROR(INDEX(tblStandings[#All],ROW(I43),COLUMN(I43)),"")</f>
        <v/>
      </c>
      <c r="CE43" s="1" t="str">
        <f>IFERROR(INDEX(tblStandings[#All],ROW(J43),COLUMN(J43)),"")</f>
        <v/>
      </c>
      <c r="CF43" s="1" t="str">
        <f>IFERROR(INDEX(tblStandings[#All],ROW(K43),COLUMN(K43)),"")</f>
        <v/>
      </c>
      <c r="CG43" s="1" t="str">
        <f t="shared" si="0"/>
        <v/>
      </c>
      <c r="CH43" s="1" t="str">
        <f t="shared" si="1"/>
        <v/>
      </c>
      <c r="CI43" s="1" t="str">
        <f t="shared" si="2"/>
        <v/>
      </c>
      <c r="CJ43" s="1" t="str">
        <f t="shared" si="3"/>
        <v/>
      </c>
      <c r="CK43" s="1" t="str">
        <f t="shared" si="4"/>
        <v/>
      </c>
    </row>
    <row r="44" spans="8:89" x14ac:dyDescent="0.25">
      <c r="H44" s="1">
        <v>1532543</v>
      </c>
      <c r="I44" s="4">
        <v>46330.208333333336</v>
      </c>
      <c r="J44" s="1" t="s">
        <v>32</v>
      </c>
      <c r="K44" s="1" t="s">
        <v>35</v>
      </c>
      <c r="L44" s="1" t="s">
        <v>2705</v>
      </c>
      <c r="M44" s="1" t="s">
        <v>7239</v>
      </c>
      <c r="N44" s="1" t="s">
        <v>7240</v>
      </c>
      <c r="O44" s="1" t="s">
        <v>7241</v>
      </c>
      <c r="BV44" s="1" t="str">
        <f>IFERROR(INDEX(tblStandings[#All],ROW(A44),COLUMN(A44)),"")</f>
        <v/>
      </c>
      <c r="BW44" s="1" t="str">
        <f>IFERROR(INDEX(tblStandings[#All],ROW(B44),COLUMN(B44)),"")</f>
        <v/>
      </c>
      <c r="BX44" s="1" t="str">
        <f>IFERROR(INDEX(tblStandings[#All],ROW(C44),COLUMN(C44)),"")</f>
        <v/>
      </c>
      <c r="BY44" s="1" t="str">
        <f>IFERROR(INDEX(tblStandings[#All],ROW(D44),COLUMN(D44)),"")</f>
        <v/>
      </c>
      <c r="BZ44" s="1" t="str">
        <f>IFERROR(INDEX(tblStandings[#All],ROW(E44),COLUMN(E44)),"")</f>
        <v/>
      </c>
      <c r="CA44" s="1" t="str">
        <f>IFERROR(INDEX(tblStandings[#All],ROW(F44),COLUMN(F44)),"")</f>
        <v/>
      </c>
      <c r="CB44" s="1" t="str">
        <f>IFERROR(INDEX(tblStandings[#All],ROW(G44),COLUMN(G44)),"")</f>
        <v/>
      </c>
      <c r="CC44" s="1" t="str">
        <f>IFERROR(INDEX(tblStandings[#All],ROW(H44),COLUMN(H44)),"")</f>
        <v/>
      </c>
      <c r="CD44" s="1" t="str">
        <f>IFERROR(INDEX(tblStandings[#All],ROW(I44),COLUMN(I44)),"")</f>
        <v/>
      </c>
      <c r="CE44" s="1" t="str">
        <f>IFERROR(INDEX(tblStandings[#All],ROW(J44),COLUMN(J44)),"")</f>
        <v/>
      </c>
      <c r="CF44" s="1" t="str">
        <f>IFERROR(INDEX(tblStandings[#All],ROW(K44),COLUMN(K44)),"")</f>
        <v/>
      </c>
      <c r="CG44" s="1" t="str">
        <f t="shared" si="0"/>
        <v/>
      </c>
      <c r="CH44" s="1" t="str">
        <f t="shared" si="1"/>
        <v/>
      </c>
      <c r="CI44" s="1" t="str">
        <f t="shared" si="2"/>
        <v/>
      </c>
      <c r="CJ44" s="1" t="str">
        <f t="shared" si="3"/>
        <v/>
      </c>
      <c r="CK44" s="1" t="str">
        <f t="shared" si="4"/>
        <v/>
      </c>
    </row>
    <row r="45" spans="8:89" x14ac:dyDescent="0.25">
      <c r="H45" s="1">
        <v>1536534</v>
      </c>
      <c r="I45" s="4">
        <v>46330.208333333336</v>
      </c>
      <c r="J45" s="1" t="s">
        <v>32</v>
      </c>
      <c r="K45" s="1" t="s">
        <v>377</v>
      </c>
      <c r="L45" s="1" t="s">
        <v>7242</v>
      </c>
      <c r="M45" s="1" t="s">
        <v>7243</v>
      </c>
      <c r="N45" s="1" t="s">
        <v>7244</v>
      </c>
      <c r="O45" s="1" t="s">
        <v>7245</v>
      </c>
      <c r="BV45" s="1" t="str">
        <f>IFERROR(INDEX(tblStandings[#All],ROW(A45),COLUMN(A45)),"")</f>
        <v/>
      </c>
      <c r="BW45" s="1" t="str">
        <f>IFERROR(INDEX(tblStandings[#All],ROW(B45),COLUMN(B45)),"")</f>
        <v/>
      </c>
      <c r="BX45" s="1" t="str">
        <f>IFERROR(INDEX(tblStandings[#All],ROW(C45),COLUMN(C45)),"")</f>
        <v/>
      </c>
      <c r="BY45" s="1" t="str">
        <f>IFERROR(INDEX(tblStandings[#All],ROW(D45),COLUMN(D45)),"")</f>
        <v/>
      </c>
      <c r="BZ45" s="1" t="str">
        <f>IFERROR(INDEX(tblStandings[#All],ROW(E45),COLUMN(E45)),"")</f>
        <v/>
      </c>
      <c r="CA45" s="1" t="str">
        <f>IFERROR(INDEX(tblStandings[#All],ROW(F45),COLUMN(F45)),"")</f>
        <v/>
      </c>
      <c r="CB45" s="1" t="str">
        <f>IFERROR(INDEX(tblStandings[#All],ROW(G45),COLUMN(G45)),"")</f>
        <v/>
      </c>
      <c r="CC45" s="1" t="str">
        <f>IFERROR(INDEX(tblStandings[#All],ROW(H45),COLUMN(H45)),"")</f>
        <v/>
      </c>
      <c r="CD45" s="1" t="str">
        <f>IFERROR(INDEX(tblStandings[#All],ROW(I45),COLUMN(I45)),"")</f>
        <v/>
      </c>
      <c r="CE45" s="1" t="str">
        <f>IFERROR(INDEX(tblStandings[#All],ROW(J45),COLUMN(J45)),"")</f>
        <v/>
      </c>
      <c r="CF45" s="1" t="str">
        <f>IFERROR(INDEX(tblStandings[#All],ROW(K45),COLUMN(K45)),"")</f>
        <v/>
      </c>
      <c r="CG45" s="1" t="str">
        <f t="shared" si="0"/>
        <v/>
      </c>
      <c r="CH45" s="1" t="str">
        <f t="shared" si="1"/>
        <v/>
      </c>
      <c r="CI45" s="1" t="str">
        <f t="shared" si="2"/>
        <v/>
      </c>
      <c r="CJ45" s="1" t="str">
        <f t="shared" si="3"/>
        <v/>
      </c>
      <c r="CK45" s="1" t="str">
        <f t="shared" si="4"/>
        <v/>
      </c>
    </row>
    <row r="46" spans="8:89" x14ac:dyDescent="0.25">
      <c r="H46" s="1">
        <v>1529220</v>
      </c>
      <c r="I46" s="4">
        <v>46330.229166666664</v>
      </c>
      <c r="J46" s="1" t="s">
        <v>32</v>
      </c>
      <c r="K46" s="1" t="s">
        <v>35</v>
      </c>
      <c r="L46" s="1" t="s">
        <v>562</v>
      </c>
      <c r="M46" s="1" t="s">
        <v>777</v>
      </c>
      <c r="N46" s="1" t="s">
        <v>2767</v>
      </c>
      <c r="O46" s="1" t="s">
        <v>7247</v>
      </c>
      <c r="BV46" s="1" t="str">
        <f>IFERROR(INDEX(tblStandings[#All],ROW(A46),COLUMN(A46)),"")</f>
        <v/>
      </c>
      <c r="BW46" s="1" t="str">
        <f>IFERROR(INDEX(tblStandings[#All],ROW(B46),COLUMN(B46)),"")</f>
        <v/>
      </c>
      <c r="BX46" s="1" t="str">
        <f>IFERROR(INDEX(tblStandings[#All],ROW(C46),COLUMN(C46)),"")</f>
        <v/>
      </c>
      <c r="BY46" s="1" t="str">
        <f>IFERROR(INDEX(tblStandings[#All],ROW(D46),COLUMN(D46)),"")</f>
        <v/>
      </c>
      <c r="BZ46" s="1" t="str">
        <f>IFERROR(INDEX(tblStandings[#All],ROW(E46),COLUMN(E46)),"")</f>
        <v/>
      </c>
      <c r="CA46" s="1" t="str">
        <f>IFERROR(INDEX(tblStandings[#All],ROW(F46),COLUMN(F46)),"")</f>
        <v/>
      </c>
      <c r="CB46" s="1" t="str">
        <f>IFERROR(INDEX(tblStandings[#All],ROW(G46),COLUMN(G46)),"")</f>
        <v/>
      </c>
      <c r="CC46" s="1" t="str">
        <f>IFERROR(INDEX(tblStandings[#All],ROW(H46),COLUMN(H46)),"")</f>
        <v/>
      </c>
      <c r="CD46" s="1" t="str">
        <f>IFERROR(INDEX(tblStandings[#All],ROW(I46),COLUMN(I46)),"")</f>
        <v/>
      </c>
      <c r="CE46" s="1" t="str">
        <f>IFERROR(INDEX(tblStandings[#All],ROW(J46),COLUMN(J46)),"")</f>
        <v/>
      </c>
      <c r="CF46" s="1" t="str">
        <f>IFERROR(INDEX(tblStandings[#All],ROW(K46),COLUMN(K46)),"")</f>
        <v/>
      </c>
      <c r="CG46" s="1" t="str">
        <f t="shared" si="0"/>
        <v/>
      </c>
      <c r="CH46" s="1" t="str">
        <f t="shared" si="1"/>
        <v/>
      </c>
      <c r="CI46" s="1" t="str">
        <f t="shared" si="2"/>
        <v/>
      </c>
      <c r="CJ46" s="1" t="str">
        <f t="shared" si="3"/>
        <v/>
      </c>
      <c r="CK46" s="1" t="str">
        <f t="shared" si="4"/>
        <v/>
      </c>
    </row>
    <row r="47" spans="8:89" x14ac:dyDescent="0.25">
      <c r="H47" s="1">
        <v>1529221</v>
      </c>
      <c r="I47" s="4">
        <v>46330.229166666664</v>
      </c>
      <c r="J47" s="1" t="s">
        <v>32</v>
      </c>
      <c r="K47" s="1" t="s">
        <v>35</v>
      </c>
      <c r="L47" s="1" t="s">
        <v>562</v>
      </c>
      <c r="M47" s="1" t="s">
        <v>2666</v>
      </c>
      <c r="N47" s="1" t="s">
        <v>2685</v>
      </c>
      <c r="O47" s="1" t="s">
        <v>7248</v>
      </c>
      <c r="BV47" s="1" t="str">
        <f>IFERROR(INDEX(tblStandings[#All],ROW(A47),COLUMN(A47)),"")</f>
        <v/>
      </c>
      <c r="BW47" s="1" t="str">
        <f>IFERROR(INDEX(tblStandings[#All],ROW(B47),COLUMN(B47)),"")</f>
        <v/>
      </c>
      <c r="BX47" s="1" t="str">
        <f>IFERROR(INDEX(tblStandings[#All],ROW(C47),COLUMN(C47)),"")</f>
        <v/>
      </c>
      <c r="BY47" s="1" t="str">
        <f>IFERROR(INDEX(tblStandings[#All],ROW(D47),COLUMN(D47)),"")</f>
        <v/>
      </c>
      <c r="BZ47" s="1" t="str">
        <f>IFERROR(INDEX(tblStandings[#All],ROW(E47),COLUMN(E47)),"")</f>
        <v/>
      </c>
      <c r="CA47" s="1" t="str">
        <f>IFERROR(INDEX(tblStandings[#All],ROW(F47),COLUMN(F47)),"")</f>
        <v/>
      </c>
      <c r="CB47" s="1" t="str">
        <f>IFERROR(INDEX(tblStandings[#All],ROW(G47),COLUMN(G47)),"")</f>
        <v/>
      </c>
      <c r="CC47" s="1" t="str">
        <f>IFERROR(INDEX(tblStandings[#All],ROW(H47),COLUMN(H47)),"")</f>
        <v/>
      </c>
      <c r="CD47" s="1" t="str">
        <f>IFERROR(INDEX(tblStandings[#All],ROW(I47),COLUMN(I47)),"")</f>
        <v/>
      </c>
      <c r="CE47" s="1" t="str">
        <f>IFERROR(INDEX(tblStandings[#All],ROW(J47),COLUMN(J47)),"")</f>
        <v/>
      </c>
      <c r="CF47" s="1" t="str">
        <f>IFERROR(INDEX(tblStandings[#All],ROW(K47),COLUMN(K47)),"")</f>
        <v/>
      </c>
      <c r="CG47" s="1" t="str">
        <f t="shared" si="0"/>
        <v/>
      </c>
      <c r="CH47" s="1" t="str">
        <f t="shared" si="1"/>
        <v/>
      </c>
      <c r="CI47" s="1" t="str">
        <f t="shared" si="2"/>
        <v/>
      </c>
      <c r="CJ47" s="1" t="str">
        <f t="shared" si="3"/>
        <v/>
      </c>
      <c r="CK47" s="1" t="str">
        <f t="shared" si="4"/>
        <v/>
      </c>
    </row>
    <row r="48" spans="8:89" x14ac:dyDescent="0.25">
      <c r="H48" s="1">
        <v>1532995</v>
      </c>
      <c r="I48" s="4">
        <v>46330.229166666664</v>
      </c>
      <c r="J48" s="1" t="s">
        <v>32</v>
      </c>
      <c r="K48" s="1" t="s">
        <v>35</v>
      </c>
      <c r="L48" s="1" t="s">
        <v>2677</v>
      </c>
      <c r="M48" s="1" t="s">
        <v>2679</v>
      </c>
      <c r="N48" s="1" t="s">
        <v>2682</v>
      </c>
      <c r="O48" s="1" t="s">
        <v>7249</v>
      </c>
      <c r="BV48" s="1" t="str">
        <f>IFERROR(INDEX(tblStandings[#All],ROW(A48),COLUMN(A48)),"")</f>
        <v/>
      </c>
      <c r="BW48" s="1" t="str">
        <f>IFERROR(INDEX(tblStandings[#All],ROW(B48),COLUMN(B48)),"")</f>
        <v/>
      </c>
      <c r="BX48" s="1" t="str">
        <f>IFERROR(INDEX(tblStandings[#All],ROW(C48),COLUMN(C48)),"")</f>
        <v/>
      </c>
      <c r="BY48" s="1" t="str">
        <f>IFERROR(INDEX(tblStandings[#All],ROW(D48),COLUMN(D48)),"")</f>
        <v/>
      </c>
      <c r="BZ48" s="1" t="str">
        <f>IFERROR(INDEX(tblStandings[#All],ROW(E48),COLUMN(E48)),"")</f>
        <v/>
      </c>
      <c r="CA48" s="1" t="str">
        <f>IFERROR(INDEX(tblStandings[#All],ROW(F48),COLUMN(F48)),"")</f>
        <v/>
      </c>
      <c r="CB48" s="1" t="str">
        <f>IFERROR(INDEX(tblStandings[#All],ROW(G48),COLUMN(G48)),"")</f>
        <v/>
      </c>
      <c r="CC48" s="1" t="str">
        <f>IFERROR(INDEX(tblStandings[#All],ROW(H48),COLUMN(H48)),"")</f>
        <v/>
      </c>
      <c r="CD48" s="1" t="str">
        <f>IFERROR(INDEX(tblStandings[#All],ROW(I48),COLUMN(I48)),"")</f>
        <v/>
      </c>
      <c r="CE48" s="1" t="str">
        <f>IFERROR(INDEX(tblStandings[#All],ROW(J48),COLUMN(J48)),"")</f>
        <v/>
      </c>
      <c r="CF48" s="1" t="str">
        <f>IFERROR(INDEX(tblStandings[#All],ROW(K48),COLUMN(K48)),"")</f>
        <v/>
      </c>
      <c r="CG48" s="1" t="str">
        <f t="shared" si="0"/>
        <v/>
      </c>
      <c r="CH48" s="1" t="str">
        <f t="shared" si="1"/>
        <v/>
      </c>
      <c r="CI48" s="1" t="str">
        <f t="shared" si="2"/>
        <v/>
      </c>
      <c r="CJ48" s="1" t="str">
        <f t="shared" si="3"/>
        <v/>
      </c>
      <c r="CK48" s="1" t="str">
        <f t="shared" si="4"/>
        <v/>
      </c>
    </row>
    <row r="49" spans="8:89" x14ac:dyDescent="0.25">
      <c r="H49" s="1">
        <v>1532997</v>
      </c>
      <c r="I49" s="4">
        <v>46330.229166666664</v>
      </c>
      <c r="J49" s="1" t="s">
        <v>32</v>
      </c>
      <c r="K49" s="1" t="s">
        <v>35</v>
      </c>
      <c r="L49" s="1" t="s">
        <v>2677</v>
      </c>
      <c r="M49" s="1" t="s">
        <v>7250</v>
      </c>
      <c r="N49" s="1" t="s">
        <v>2681</v>
      </c>
      <c r="O49" s="1" t="s">
        <v>7251</v>
      </c>
      <c r="BV49" s="1" t="str">
        <f>IFERROR(INDEX(tblStandings[#All],ROW(A49),COLUMN(A49)),"")</f>
        <v/>
      </c>
      <c r="BW49" s="1" t="str">
        <f>IFERROR(INDEX(tblStandings[#All],ROW(B49),COLUMN(B49)),"")</f>
        <v/>
      </c>
      <c r="BX49" s="1" t="str">
        <f>IFERROR(INDEX(tblStandings[#All],ROW(C49),COLUMN(C49)),"")</f>
        <v/>
      </c>
      <c r="BY49" s="1" t="str">
        <f>IFERROR(INDEX(tblStandings[#All],ROW(D49),COLUMN(D49)),"")</f>
        <v/>
      </c>
      <c r="BZ49" s="1" t="str">
        <f>IFERROR(INDEX(tblStandings[#All],ROW(E49),COLUMN(E49)),"")</f>
        <v/>
      </c>
      <c r="CA49" s="1" t="str">
        <f>IFERROR(INDEX(tblStandings[#All],ROW(F49),COLUMN(F49)),"")</f>
        <v/>
      </c>
      <c r="CB49" s="1" t="str">
        <f>IFERROR(INDEX(tblStandings[#All],ROW(G49),COLUMN(G49)),"")</f>
        <v/>
      </c>
      <c r="CC49" s="1" t="str">
        <f>IFERROR(INDEX(tblStandings[#All],ROW(H49),COLUMN(H49)),"")</f>
        <v/>
      </c>
      <c r="CD49" s="1" t="str">
        <f>IFERROR(INDEX(tblStandings[#All],ROW(I49),COLUMN(I49)),"")</f>
        <v/>
      </c>
      <c r="CE49" s="1" t="str">
        <f>IFERROR(INDEX(tblStandings[#All],ROW(J49),COLUMN(J49)),"")</f>
        <v/>
      </c>
      <c r="CF49" s="1" t="str">
        <f>IFERROR(INDEX(tblStandings[#All],ROW(K49),COLUMN(K49)),"")</f>
        <v/>
      </c>
      <c r="CG49" s="1" t="str">
        <f t="shared" si="0"/>
        <v/>
      </c>
      <c r="CH49" s="1" t="str">
        <f t="shared" si="1"/>
        <v/>
      </c>
      <c r="CI49" s="1" t="str">
        <f t="shared" si="2"/>
        <v/>
      </c>
      <c r="CJ49" s="1" t="str">
        <f t="shared" si="3"/>
        <v/>
      </c>
      <c r="CK49" s="1" t="str">
        <f t="shared" si="4"/>
        <v/>
      </c>
    </row>
    <row r="50" spans="8:89" x14ac:dyDescent="0.25">
      <c r="H50" s="1">
        <v>1533082</v>
      </c>
      <c r="I50" s="4">
        <v>46330.229166666664</v>
      </c>
      <c r="J50" s="1" t="s">
        <v>32</v>
      </c>
      <c r="K50" s="1" t="s">
        <v>35</v>
      </c>
      <c r="L50" s="1" t="s">
        <v>2684</v>
      </c>
      <c r="M50" s="1" t="s">
        <v>2691</v>
      </c>
      <c r="N50" s="1" t="s">
        <v>7252</v>
      </c>
      <c r="O50" s="1" t="s">
        <v>7253</v>
      </c>
      <c r="BV50" s="1" t="str">
        <f>IFERROR(INDEX(tblStandings[#All],ROW(A50),COLUMN(A50)),"")</f>
        <v/>
      </c>
      <c r="BW50" s="1" t="str">
        <f>IFERROR(INDEX(tblStandings[#All],ROW(B50),COLUMN(B50)),"")</f>
        <v/>
      </c>
      <c r="BX50" s="1" t="str">
        <f>IFERROR(INDEX(tblStandings[#All],ROW(C50),COLUMN(C50)),"")</f>
        <v/>
      </c>
      <c r="BY50" s="1" t="str">
        <f>IFERROR(INDEX(tblStandings[#All],ROW(D50),COLUMN(D50)),"")</f>
        <v/>
      </c>
      <c r="BZ50" s="1" t="str">
        <f>IFERROR(INDEX(tblStandings[#All],ROW(E50),COLUMN(E50)),"")</f>
        <v/>
      </c>
      <c r="CA50" s="1" t="str">
        <f>IFERROR(INDEX(tblStandings[#All],ROW(F50),COLUMN(F50)),"")</f>
        <v/>
      </c>
      <c r="CB50" s="1" t="str">
        <f>IFERROR(INDEX(tblStandings[#All],ROW(G50),COLUMN(G50)),"")</f>
        <v/>
      </c>
      <c r="CC50" s="1" t="str">
        <f>IFERROR(INDEX(tblStandings[#All],ROW(H50),COLUMN(H50)),"")</f>
        <v/>
      </c>
      <c r="CD50" s="1" t="str">
        <f>IFERROR(INDEX(tblStandings[#All],ROW(I50),COLUMN(I50)),"")</f>
        <v/>
      </c>
      <c r="CE50" s="1" t="str">
        <f>IFERROR(INDEX(tblStandings[#All],ROW(J50),COLUMN(J50)),"")</f>
        <v/>
      </c>
      <c r="CF50" s="1" t="str">
        <f>IFERROR(INDEX(tblStandings[#All],ROW(K50),COLUMN(K50)),"")</f>
        <v/>
      </c>
      <c r="CG50" s="1" t="str">
        <f t="shared" si="0"/>
        <v/>
      </c>
      <c r="CH50" s="1" t="str">
        <f t="shared" si="1"/>
        <v/>
      </c>
      <c r="CI50" s="1" t="str">
        <f t="shared" si="2"/>
        <v/>
      </c>
      <c r="CJ50" s="1" t="str">
        <f t="shared" si="3"/>
        <v/>
      </c>
      <c r="CK50" s="1" t="str">
        <f t="shared" si="4"/>
        <v/>
      </c>
    </row>
    <row r="51" spans="8:89" x14ac:dyDescent="0.25">
      <c r="H51" s="1">
        <v>1537418</v>
      </c>
      <c r="I51" s="4">
        <v>46330.229166666664</v>
      </c>
      <c r="J51" s="1" t="s">
        <v>32</v>
      </c>
      <c r="K51" s="1" t="s">
        <v>35</v>
      </c>
      <c r="L51" s="1" t="s">
        <v>7254</v>
      </c>
      <c r="M51" s="1" t="s">
        <v>7255</v>
      </c>
      <c r="N51" s="1" t="s">
        <v>7256</v>
      </c>
      <c r="O51" s="1" t="s">
        <v>7257</v>
      </c>
    </row>
    <row r="52" spans="8:89" x14ac:dyDescent="0.25">
      <c r="H52" s="1">
        <v>1469695</v>
      </c>
      <c r="I52" s="4">
        <v>46330.25</v>
      </c>
      <c r="J52" s="1" t="s">
        <v>32</v>
      </c>
      <c r="K52" s="1" t="s">
        <v>35</v>
      </c>
      <c r="L52" s="1" t="s">
        <v>36</v>
      </c>
      <c r="M52" s="1" t="s">
        <v>756</v>
      </c>
      <c r="N52" s="1" t="s">
        <v>2809</v>
      </c>
      <c r="O52" s="1" t="s">
        <v>7259</v>
      </c>
    </row>
    <row r="53" spans="8:89" x14ac:dyDescent="0.25">
      <c r="H53" s="1">
        <v>1504740</v>
      </c>
      <c r="I53" s="4">
        <v>46330.25</v>
      </c>
      <c r="J53" s="1" t="s">
        <v>32</v>
      </c>
      <c r="K53" s="1" t="s">
        <v>33</v>
      </c>
      <c r="L53" s="1" t="s">
        <v>373</v>
      </c>
      <c r="M53" s="1" t="s">
        <v>2764</v>
      </c>
      <c r="N53" s="1" t="s">
        <v>833</v>
      </c>
      <c r="O53" s="1" t="s">
        <v>7260</v>
      </c>
    </row>
    <row r="54" spans="8:89" x14ac:dyDescent="0.25">
      <c r="H54" s="1">
        <v>1504741</v>
      </c>
      <c r="I54" s="4">
        <v>46330.25</v>
      </c>
      <c r="J54" s="1" t="s">
        <v>32</v>
      </c>
      <c r="K54" s="1" t="s">
        <v>33</v>
      </c>
      <c r="L54" s="1" t="s">
        <v>373</v>
      </c>
      <c r="M54" s="1" t="s">
        <v>7261</v>
      </c>
      <c r="N54" s="1" t="s">
        <v>7262</v>
      </c>
      <c r="O54" s="1" t="s">
        <v>7263</v>
      </c>
    </row>
    <row r="55" spans="8:89" x14ac:dyDescent="0.25">
      <c r="H55" s="1">
        <v>1504742</v>
      </c>
      <c r="I55" s="4">
        <v>46330.25</v>
      </c>
      <c r="J55" s="1" t="s">
        <v>32</v>
      </c>
      <c r="K55" s="1" t="s">
        <v>33</v>
      </c>
      <c r="L55" s="1" t="s">
        <v>373</v>
      </c>
      <c r="M55" s="1" t="s">
        <v>7264</v>
      </c>
      <c r="N55" s="1" t="s">
        <v>7265</v>
      </c>
      <c r="O55" s="1" t="s">
        <v>7266</v>
      </c>
    </row>
    <row r="56" spans="8:89" x14ac:dyDescent="0.25">
      <c r="H56" s="1">
        <v>1506932</v>
      </c>
      <c r="I56" s="4">
        <v>46330.25</v>
      </c>
      <c r="J56" s="1" t="s">
        <v>32</v>
      </c>
      <c r="K56" s="1" t="s">
        <v>374</v>
      </c>
      <c r="L56" s="1" t="s">
        <v>375</v>
      </c>
      <c r="M56" s="1" t="s">
        <v>7267</v>
      </c>
      <c r="N56" s="1" t="s">
        <v>846</v>
      </c>
      <c r="O56" s="1" t="s">
        <v>7268</v>
      </c>
    </row>
    <row r="57" spans="8:89" x14ac:dyDescent="0.25">
      <c r="H57" s="1">
        <v>1506933</v>
      </c>
      <c r="I57" s="4">
        <v>46330.25</v>
      </c>
      <c r="J57" s="1" t="s">
        <v>32</v>
      </c>
      <c r="K57" s="1" t="s">
        <v>374</v>
      </c>
      <c r="L57" s="1" t="s">
        <v>375</v>
      </c>
      <c r="M57" s="1" t="s">
        <v>7269</v>
      </c>
      <c r="N57" s="1" t="s">
        <v>799</v>
      </c>
      <c r="O57" s="1" t="s">
        <v>7270</v>
      </c>
    </row>
    <row r="58" spans="8:89" x14ac:dyDescent="0.25">
      <c r="H58" s="1">
        <v>1510291</v>
      </c>
      <c r="I58" s="4">
        <v>46330.25</v>
      </c>
      <c r="J58" s="1" t="s">
        <v>32</v>
      </c>
      <c r="K58" s="1" t="s">
        <v>374</v>
      </c>
      <c r="L58" s="1" t="s">
        <v>376</v>
      </c>
      <c r="M58" s="1" t="s">
        <v>448</v>
      </c>
      <c r="N58" s="1" t="s">
        <v>7271</v>
      </c>
      <c r="O58" s="1" t="s">
        <v>7272</v>
      </c>
    </row>
    <row r="59" spans="8:89" x14ac:dyDescent="0.25">
      <c r="H59" s="1">
        <v>1510292</v>
      </c>
      <c r="I59" s="4">
        <v>46330.25</v>
      </c>
      <c r="J59" s="1" t="s">
        <v>32</v>
      </c>
      <c r="K59" s="1" t="s">
        <v>374</v>
      </c>
      <c r="L59" s="1" t="s">
        <v>376</v>
      </c>
      <c r="M59" s="1" t="s">
        <v>7273</v>
      </c>
      <c r="N59" s="1" t="s">
        <v>7274</v>
      </c>
      <c r="O59" s="1" t="s">
        <v>7275</v>
      </c>
    </row>
    <row r="60" spans="8:89" x14ac:dyDescent="0.25">
      <c r="H60" s="1">
        <v>1516690</v>
      </c>
      <c r="I60" s="4">
        <v>46330.25</v>
      </c>
      <c r="J60" s="1" t="s">
        <v>32</v>
      </c>
      <c r="K60" s="1" t="s">
        <v>33</v>
      </c>
      <c r="L60" s="1" t="s">
        <v>2738</v>
      </c>
      <c r="M60" s="1" t="s">
        <v>809</v>
      </c>
      <c r="N60" s="1" t="s">
        <v>2744</v>
      </c>
      <c r="O60" s="1" t="s">
        <v>7276</v>
      </c>
    </row>
    <row r="61" spans="8:89" x14ac:dyDescent="0.25">
      <c r="H61" s="1">
        <v>1516691</v>
      </c>
      <c r="I61" s="4">
        <v>46330.25</v>
      </c>
      <c r="J61" s="1" t="s">
        <v>32</v>
      </c>
      <c r="K61" s="1" t="s">
        <v>33</v>
      </c>
      <c r="L61" s="1" t="s">
        <v>2738</v>
      </c>
      <c r="M61" s="1" t="s">
        <v>808</v>
      </c>
      <c r="N61" s="1" t="s">
        <v>2750</v>
      </c>
      <c r="O61" s="1" t="s">
        <v>7277</v>
      </c>
    </row>
    <row r="62" spans="8:89" x14ac:dyDescent="0.25">
      <c r="H62" s="1">
        <v>1516692</v>
      </c>
      <c r="I62" s="4">
        <v>46330.25</v>
      </c>
      <c r="J62" s="1" t="s">
        <v>32</v>
      </c>
      <c r="K62" s="1" t="s">
        <v>33</v>
      </c>
      <c r="L62" s="1" t="s">
        <v>2738</v>
      </c>
      <c r="M62" s="1" t="s">
        <v>7278</v>
      </c>
      <c r="N62" s="1" t="s">
        <v>812</v>
      </c>
      <c r="O62" s="1" t="s">
        <v>7279</v>
      </c>
    </row>
    <row r="63" spans="8:89" x14ac:dyDescent="0.25">
      <c r="H63" s="1">
        <v>1520441</v>
      </c>
      <c r="I63" s="4">
        <v>46330.25</v>
      </c>
      <c r="J63" s="1" t="s">
        <v>32</v>
      </c>
      <c r="K63" s="1" t="s">
        <v>374</v>
      </c>
      <c r="L63" s="1" t="s">
        <v>563</v>
      </c>
      <c r="M63" s="1" t="s">
        <v>825</v>
      </c>
      <c r="N63" s="1" t="s">
        <v>2755</v>
      </c>
      <c r="O63" s="1" t="s">
        <v>7280</v>
      </c>
    </row>
    <row r="64" spans="8:89" x14ac:dyDescent="0.25">
      <c r="H64" s="1">
        <v>1520442</v>
      </c>
      <c r="I64" s="4">
        <v>46330.25</v>
      </c>
      <c r="J64" s="1" t="s">
        <v>32</v>
      </c>
      <c r="K64" s="1" t="s">
        <v>374</v>
      </c>
      <c r="L64" s="1" t="s">
        <v>563</v>
      </c>
      <c r="M64" s="1" t="s">
        <v>7281</v>
      </c>
      <c r="N64" s="1" t="s">
        <v>830</v>
      </c>
      <c r="O64" s="1" t="s">
        <v>7282</v>
      </c>
    </row>
    <row r="65" spans="8:15" x14ac:dyDescent="0.25">
      <c r="H65" s="1">
        <v>1520443</v>
      </c>
      <c r="I65" s="4">
        <v>46330.25</v>
      </c>
      <c r="J65" s="1" t="s">
        <v>32</v>
      </c>
      <c r="K65" s="1" t="s">
        <v>374</v>
      </c>
      <c r="L65" s="1" t="s">
        <v>563</v>
      </c>
      <c r="M65" s="1" t="s">
        <v>829</v>
      </c>
      <c r="N65" s="1" t="s">
        <v>7283</v>
      </c>
      <c r="O65" s="1" t="s">
        <v>7284</v>
      </c>
    </row>
    <row r="66" spans="8:15" x14ac:dyDescent="0.25">
      <c r="H66" s="1">
        <v>1520444</v>
      </c>
      <c r="I66" s="4">
        <v>46330.25</v>
      </c>
      <c r="J66" s="1" t="s">
        <v>32</v>
      </c>
      <c r="K66" s="1" t="s">
        <v>374</v>
      </c>
      <c r="L66" s="1" t="s">
        <v>563</v>
      </c>
      <c r="M66" s="1" t="s">
        <v>835</v>
      </c>
      <c r="N66" s="1" t="s">
        <v>826</v>
      </c>
      <c r="O66" s="1" t="s">
        <v>7285</v>
      </c>
    </row>
    <row r="67" spans="8:15" x14ac:dyDescent="0.25">
      <c r="H67" s="1">
        <v>1521905</v>
      </c>
      <c r="I67" s="4">
        <v>46330.25</v>
      </c>
      <c r="J67" s="1" t="s">
        <v>32</v>
      </c>
      <c r="K67" s="1" t="s">
        <v>35</v>
      </c>
      <c r="L67" s="1" t="s">
        <v>314</v>
      </c>
      <c r="M67" s="1" t="s">
        <v>792</v>
      </c>
      <c r="N67" s="1" t="s">
        <v>2896</v>
      </c>
      <c r="O67" s="1" t="s">
        <v>7286</v>
      </c>
    </row>
    <row r="68" spans="8:15" x14ac:dyDescent="0.25">
      <c r="H68" s="1">
        <v>1522078</v>
      </c>
      <c r="I68" s="4">
        <v>46330.25</v>
      </c>
      <c r="J68" s="1" t="s">
        <v>32</v>
      </c>
      <c r="K68" s="1" t="s">
        <v>35</v>
      </c>
      <c r="L68" s="1" t="s">
        <v>234</v>
      </c>
      <c r="M68" s="1" t="s">
        <v>2698</v>
      </c>
      <c r="N68" s="1" t="s">
        <v>2864</v>
      </c>
      <c r="O68" s="1" t="s">
        <v>7287</v>
      </c>
    </row>
    <row r="69" spans="8:15" x14ac:dyDescent="0.25">
      <c r="H69" s="1">
        <v>1522080</v>
      </c>
      <c r="I69" s="4">
        <v>46330.25</v>
      </c>
      <c r="J69" s="1" t="s">
        <v>32</v>
      </c>
      <c r="K69" s="1" t="s">
        <v>35</v>
      </c>
      <c r="L69" s="1" t="s">
        <v>234</v>
      </c>
      <c r="M69" s="1" t="s">
        <v>2450</v>
      </c>
      <c r="N69" s="1" t="s">
        <v>2699</v>
      </c>
      <c r="O69" s="1" t="s">
        <v>7288</v>
      </c>
    </row>
    <row r="70" spans="8:15" x14ac:dyDescent="0.25">
      <c r="H70" s="1">
        <v>1522188</v>
      </c>
      <c r="I70" s="4">
        <v>46330.25</v>
      </c>
      <c r="J70" s="1" t="s">
        <v>32</v>
      </c>
      <c r="K70" s="1" t="s">
        <v>35</v>
      </c>
      <c r="L70" s="1" t="s">
        <v>234</v>
      </c>
      <c r="M70" s="1" t="s">
        <v>7289</v>
      </c>
      <c r="N70" s="1" t="s">
        <v>2711</v>
      </c>
      <c r="O70" s="1" t="s">
        <v>7290</v>
      </c>
    </row>
    <row r="71" spans="8:15" x14ac:dyDescent="0.25">
      <c r="H71" s="1">
        <v>1527032</v>
      </c>
      <c r="I71" s="4">
        <v>46330.25</v>
      </c>
      <c r="J71" s="1" t="s">
        <v>32</v>
      </c>
      <c r="K71" s="1" t="s">
        <v>35</v>
      </c>
      <c r="L71" s="1" t="s">
        <v>2701</v>
      </c>
      <c r="M71" s="1" t="s">
        <v>2702</v>
      </c>
      <c r="N71" s="1" t="s">
        <v>7291</v>
      </c>
      <c r="O71" s="1" t="s">
        <v>7292</v>
      </c>
    </row>
    <row r="72" spans="8:15" x14ac:dyDescent="0.25">
      <c r="H72" s="1">
        <v>1533692</v>
      </c>
      <c r="I72" s="4">
        <v>46330.25</v>
      </c>
      <c r="J72" s="1" t="s">
        <v>32</v>
      </c>
      <c r="K72" s="1" t="s">
        <v>374</v>
      </c>
      <c r="L72" s="1" t="s">
        <v>7293</v>
      </c>
      <c r="M72" s="1" t="s">
        <v>7294</v>
      </c>
      <c r="N72" s="1" t="s">
        <v>7295</v>
      </c>
      <c r="O72" s="1" t="s">
        <v>7296</v>
      </c>
    </row>
    <row r="73" spans="8:15" x14ac:dyDescent="0.25">
      <c r="H73" s="1">
        <v>1537419</v>
      </c>
      <c r="I73" s="4">
        <v>46330.25</v>
      </c>
      <c r="J73" s="1" t="s">
        <v>32</v>
      </c>
      <c r="K73" s="1" t="s">
        <v>35</v>
      </c>
      <c r="L73" s="1" t="s">
        <v>7254</v>
      </c>
      <c r="M73" s="1" t="s">
        <v>7297</v>
      </c>
      <c r="N73" s="1" t="s">
        <v>7298</v>
      </c>
      <c r="O73" s="1" t="s">
        <v>7299</v>
      </c>
    </row>
    <row r="74" spans="8:15" x14ac:dyDescent="0.25">
      <c r="H74" s="1">
        <v>1537420</v>
      </c>
      <c r="I74" s="4">
        <v>46330.25</v>
      </c>
      <c r="J74" s="1" t="s">
        <v>32</v>
      </c>
      <c r="K74" s="1" t="s">
        <v>35</v>
      </c>
      <c r="L74" s="1" t="s">
        <v>7254</v>
      </c>
      <c r="M74" s="1" t="s">
        <v>7300</v>
      </c>
      <c r="N74" s="1" t="s">
        <v>7301</v>
      </c>
      <c r="O74" s="1" t="s">
        <v>7302</v>
      </c>
    </row>
    <row r="75" spans="8:15" x14ac:dyDescent="0.25">
      <c r="H75" s="1">
        <v>1537421</v>
      </c>
      <c r="I75" s="4">
        <v>46330.25</v>
      </c>
      <c r="J75" s="1" t="s">
        <v>32</v>
      </c>
      <c r="K75" s="1" t="s">
        <v>35</v>
      </c>
      <c r="L75" s="1" t="s">
        <v>7254</v>
      </c>
      <c r="M75" s="1" t="s">
        <v>7303</v>
      </c>
      <c r="N75" s="1" t="s">
        <v>7304</v>
      </c>
      <c r="O75" s="1" t="s">
        <v>7305</v>
      </c>
    </row>
    <row r="76" spans="8:15" x14ac:dyDescent="0.25">
      <c r="H76" s="1">
        <v>1522079</v>
      </c>
      <c r="I76" s="4">
        <v>46330.260416666664</v>
      </c>
      <c r="J76" s="1" t="s">
        <v>32</v>
      </c>
      <c r="K76" s="1" t="s">
        <v>35</v>
      </c>
      <c r="L76" s="1" t="s">
        <v>234</v>
      </c>
      <c r="M76" s="1" t="s">
        <v>2710</v>
      </c>
      <c r="N76" s="1" t="s">
        <v>2865</v>
      </c>
      <c r="O76" s="1" t="s">
        <v>7307</v>
      </c>
    </row>
    <row r="77" spans="8:15" x14ac:dyDescent="0.25">
      <c r="H77" s="1">
        <v>1527033</v>
      </c>
      <c r="I77" s="4">
        <v>46330.270833333336</v>
      </c>
      <c r="J77" s="1" t="s">
        <v>32</v>
      </c>
      <c r="K77" s="1" t="s">
        <v>35</v>
      </c>
      <c r="L77" s="1" t="s">
        <v>2701</v>
      </c>
      <c r="M77" s="1" t="s">
        <v>2717</v>
      </c>
      <c r="N77" s="1" t="s">
        <v>2919</v>
      </c>
      <c r="O77" s="1" t="s">
        <v>7309</v>
      </c>
    </row>
    <row r="78" spans="8:15" x14ac:dyDescent="0.25">
      <c r="H78" s="1">
        <v>1527034</v>
      </c>
      <c r="I78" s="4">
        <v>46330.270833333336</v>
      </c>
      <c r="J78" s="1" t="s">
        <v>32</v>
      </c>
      <c r="K78" s="1" t="s">
        <v>35</v>
      </c>
      <c r="L78" s="1" t="s">
        <v>2701</v>
      </c>
      <c r="M78" s="1" t="s">
        <v>2714</v>
      </c>
      <c r="N78" s="1" t="s">
        <v>7310</v>
      </c>
      <c r="O78" s="1" t="s">
        <v>7311</v>
      </c>
    </row>
    <row r="79" spans="8:15" x14ac:dyDescent="0.25">
      <c r="H79" s="1">
        <v>1527035</v>
      </c>
      <c r="I79" s="4">
        <v>46330.270833333336</v>
      </c>
      <c r="J79" s="1" t="s">
        <v>32</v>
      </c>
      <c r="K79" s="1" t="s">
        <v>35</v>
      </c>
      <c r="L79" s="1" t="s">
        <v>2701</v>
      </c>
      <c r="M79" s="1" t="s">
        <v>2715</v>
      </c>
      <c r="N79" s="1" t="s">
        <v>2718</v>
      </c>
      <c r="O79" s="1" t="s">
        <v>7312</v>
      </c>
    </row>
    <row r="80" spans="8:15" x14ac:dyDescent="0.25">
      <c r="H80" s="1">
        <v>1527285</v>
      </c>
      <c r="I80" s="4">
        <v>46330.270833333336</v>
      </c>
      <c r="J80" s="1" t="s">
        <v>32</v>
      </c>
      <c r="K80" s="1" t="s">
        <v>35</v>
      </c>
      <c r="L80" s="1" t="s">
        <v>2720</v>
      </c>
      <c r="M80" s="1" t="s">
        <v>2721</v>
      </c>
      <c r="N80" s="1" t="s">
        <v>7313</v>
      </c>
      <c r="O80" s="1" t="s">
        <v>7314</v>
      </c>
    </row>
    <row r="81" spans="8:15" x14ac:dyDescent="0.25">
      <c r="H81" s="1">
        <v>1527286</v>
      </c>
      <c r="I81" s="4">
        <v>46330.270833333336</v>
      </c>
      <c r="J81" s="1" t="s">
        <v>32</v>
      </c>
      <c r="K81" s="1" t="s">
        <v>35</v>
      </c>
      <c r="L81" s="1" t="s">
        <v>2720</v>
      </c>
      <c r="M81" s="1" t="s">
        <v>2724</v>
      </c>
      <c r="N81" s="1" t="s">
        <v>2817</v>
      </c>
      <c r="O81" s="1" t="s">
        <v>7315</v>
      </c>
    </row>
    <row r="82" spans="8:15" x14ac:dyDescent="0.25">
      <c r="H82" s="1">
        <v>1527287</v>
      </c>
      <c r="I82" s="4">
        <v>46330.270833333336</v>
      </c>
      <c r="J82" s="1" t="s">
        <v>32</v>
      </c>
      <c r="K82" s="1" t="s">
        <v>35</v>
      </c>
      <c r="L82" s="1" t="s">
        <v>2720</v>
      </c>
      <c r="M82" s="1" t="s">
        <v>2725</v>
      </c>
      <c r="N82" s="1" t="s">
        <v>7316</v>
      </c>
      <c r="O82" s="1" t="s">
        <v>7317</v>
      </c>
    </row>
    <row r="83" spans="8:15" x14ac:dyDescent="0.25">
      <c r="H83" s="1">
        <v>1527364</v>
      </c>
      <c r="I83" s="4">
        <v>46330.270833333336</v>
      </c>
      <c r="J83" s="1" t="s">
        <v>32</v>
      </c>
      <c r="K83" s="1" t="s">
        <v>35</v>
      </c>
      <c r="L83" s="1" t="s">
        <v>2720</v>
      </c>
      <c r="M83" s="1" t="s">
        <v>7318</v>
      </c>
      <c r="N83" s="1" t="s">
        <v>7319</v>
      </c>
      <c r="O83" s="1" t="s">
        <v>7320</v>
      </c>
    </row>
    <row r="84" spans="8:15" x14ac:dyDescent="0.25">
      <c r="H84" s="1">
        <v>1527365</v>
      </c>
      <c r="I84" s="4">
        <v>46330.270833333336</v>
      </c>
      <c r="J84" s="1" t="s">
        <v>32</v>
      </c>
      <c r="K84" s="1" t="s">
        <v>35</v>
      </c>
      <c r="L84" s="1" t="s">
        <v>2720</v>
      </c>
      <c r="M84" s="1" t="s">
        <v>7321</v>
      </c>
      <c r="N84" s="1" t="s">
        <v>2816</v>
      </c>
      <c r="O84" s="1" t="s">
        <v>7322</v>
      </c>
    </row>
    <row r="85" spans="8:15" x14ac:dyDescent="0.25">
      <c r="H85" s="1">
        <v>1504743</v>
      </c>
      <c r="I85" s="4">
        <v>46330.291666666664</v>
      </c>
      <c r="J85" s="1" t="s">
        <v>32</v>
      </c>
      <c r="K85" s="1" t="s">
        <v>33</v>
      </c>
      <c r="L85" s="1" t="s">
        <v>373</v>
      </c>
      <c r="M85" s="1" t="s">
        <v>7324</v>
      </c>
      <c r="N85" s="1" t="s">
        <v>7325</v>
      </c>
      <c r="O85" s="1" t="s">
        <v>7326</v>
      </c>
    </row>
    <row r="86" spans="8:15" x14ac:dyDescent="0.25">
      <c r="H86" s="1">
        <v>1504744</v>
      </c>
      <c r="I86" s="4">
        <v>46330.291666666664</v>
      </c>
      <c r="J86" s="1" t="s">
        <v>32</v>
      </c>
      <c r="K86" s="1" t="s">
        <v>33</v>
      </c>
      <c r="L86" s="1" t="s">
        <v>373</v>
      </c>
      <c r="M86" s="1" t="s">
        <v>7327</v>
      </c>
      <c r="N86" s="1" t="s">
        <v>7328</v>
      </c>
      <c r="O86" s="1" t="s">
        <v>7329</v>
      </c>
    </row>
    <row r="87" spans="8:15" x14ac:dyDescent="0.25">
      <c r="H87" s="1">
        <v>1517499</v>
      </c>
      <c r="I87" s="4">
        <v>46330.291666666664</v>
      </c>
      <c r="J87" s="1" t="s">
        <v>32</v>
      </c>
      <c r="K87" s="1" t="s">
        <v>35</v>
      </c>
      <c r="L87" s="1" t="s">
        <v>313</v>
      </c>
      <c r="M87" s="1" t="s">
        <v>2821</v>
      </c>
      <c r="N87" s="1" t="s">
        <v>2814</v>
      </c>
      <c r="O87" s="1" t="s">
        <v>7330</v>
      </c>
    </row>
    <row r="88" spans="8:15" x14ac:dyDescent="0.25">
      <c r="H88" s="1">
        <v>1520445</v>
      </c>
      <c r="I88" s="4">
        <v>46330.291666666664</v>
      </c>
      <c r="J88" s="1" t="s">
        <v>32</v>
      </c>
      <c r="K88" s="1" t="s">
        <v>374</v>
      </c>
      <c r="L88" s="1" t="s">
        <v>563</v>
      </c>
      <c r="M88" s="1" t="s">
        <v>827</v>
      </c>
      <c r="N88" s="1" t="s">
        <v>834</v>
      </c>
      <c r="O88" s="1" t="s">
        <v>7331</v>
      </c>
    </row>
    <row r="89" spans="8:15" x14ac:dyDescent="0.25">
      <c r="H89" s="1">
        <v>1524204</v>
      </c>
      <c r="I89" s="4">
        <v>46330.291666666664</v>
      </c>
      <c r="J89" s="1" t="s">
        <v>32</v>
      </c>
      <c r="K89" s="1" t="s">
        <v>35</v>
      </c>
      <c r="L89" s="1" t="s">
        <v>2789</v>
      </c>
      <c r="M89" s="1" t="s">
        <v>2793</v>
      </c>
      <c r="N89" s="1" t="s">
        <v>7332</v>
      </c>
      <c r="O89" s="1" t="s">
        <v>7333</v>
      </c>
    </row>
    <row r="90" spans="8:15" x14ac:dyDescent="0.25">
      <c r="H90" s="1">
        <v>1540116</v>
      </c>
      <c r="I90" s="4">
        <v>46330.291666666664</v>
      </c>
      <c r="J90" s="1" t="s">
        <v>32</v>
      </c>
      <c r="K90" s="1" t="s">
        <v>2803</v>
      </c>
      <c r="L90" s="1" t="s">
        <v>2804</v>
      </c>
      <c r="M90" s="1" t="s">
        <v>7334</v>
      </c>
      <c r="N90" s="1" t="s">
        <v>416</v>
      </c>
      <c r="O90" s="1" t="s">
        <v>7335</v>
      </c>
    </row>
    <row r="91" spans="8:15" x14ac:dyDescent="0.25">
      <c r="H91" s="1">
        <v>1524007</v>
      </c>
      <c r="I91" s="4">
        <v>46330.302083333336</v>
      </c>
      <c r="J91" s="1" t="s">
        <v>32</v>
      </c>
      <c r="K91" s="1" t="s">
        <v>35</v>
      </c>
      <c r="L91" s="1" t="s">
        <v>318</v>
      </c>
      <c r="M91" s="1" t="s">
        <v>2901</v>
      </c>
      <c r="N91" s="1" t="s">
        <v>7337</v>
      </c>
      <c r="O91" s="1" t="s">
        <v>7338</v>
      </c>
    </row>
    <row r="92" spans="8:15" x14ac:dyDescent="0.25">
      <c r="H92" s="1">
        <v>1521906</v>
      </c>
      <c r="I92" s="4">
        <v>46330.3125</v>
      </c>
      <c r="J92" s="1" t="s">
        <v>32</v>
      </c>
      <c r="K92" s="1" t="s">
        <v>35</v>
      </c>
      <c r="L92" s="1" t="s">
        <v>314</v>
      </c>
      <c r="M92" s="1" t="s">
        <v>795</v>
      </c>
      <c r="N92" s="1" t="s">
        <v>7340</v>
      </c>
      <c r="O92" s="1" t="s">
        <v>7341</v>
      </c>
    </row>
    <row r="93" spans="8:15" x14ac:dyDescent="0.25">
      <c r="H93" s="1">
        <v>1523716</v>
      </c>
      <c r="I93" s="4">
        <v>46330.3125</v>
      </c>
      <c r="J93" s="1" t="s">
        <v>32</v>
      </c>
      <c r="K93" s="1" t="s">
        <v>35</v>
      </c>
      <c r="L93" s="1" t="s">
        <v>317</v>
      </c>
      <c r="M93" s="1" t="s">
        <v>2784</v>
      </c>
      <c r="N93" s="1" t="s">
        <v>7342</v>
      </c>
      <c r="O93" s="1" t="s">
        <v>7343</v>
      </c>
    </row>
    <row r="94" spans="8:15" x14ac:dyDescent="0.25">
      <c r="H94" s="1">
        <v>1532544</v>
      </c>
      <c r="I94" s="4">
        <v>46330.3125</v>
      </c>
      <c r="J94" s="1" t="s">
        <v>32</v>
      </c>
      <c r="K94" s="1" t="s">
        <v>35</v>
      </c>
      <c r="L94" s="1" t="s">
        <v>2705</v>
      </c>
      <c r="M94" s="1" t="s">
        <v>2707</v>
      </c>
      <c r="N94" s="1" t="s">
        <v>7344</v>
      </c>
      <c r="O94" s="1" t="s">
        <v>7345</v>
      </c>
    </row>
    <row r="95" spans="8:15" x14ac:dyDescent="0.25">
      <c r="H95" s="1">
        <v>1529222</v>
      </c>
      <c r="I95" s="4">
        <v>46330.322916666664</v>
      </c>
      <c r="J95" s="1" t="s">
        <v>32</v>
      </c>
      <c r="K95" s="1" t="s">
        <v>35</v>
      </c>
      <c r="L95" s="1" t="s">
        <v>562</v>
      </c>
      <c r="M95" s="1" t="s">
        <v>7347</v>
      </c>
      <c r="N95" s="1" t="s">
        <v>2675</v>
      </c>
      <c r="O95" s="1" t="s">
        <v>7348</v>
      </c>
    </row>
    <row r="96" spans="8:15" x14ac:dyDescent="0.25">
      <c r="H96" s="1">
        <v>1532998</v>
      </c>
      <c r="I96" s="4">
        <v>46330.322916666664</v>
      </c>
      <c r="J96" s="1" t="s">
        <v>32</v>
      </c>
      <c r="K96" s="1" t="s">
        <v>35</v>
      </c>
      <c r="L96" s="1" t="s">
        <v>2677</v>
      </c>
      <c r="M96" s="1" t="s">
        <v>2678</v>
      </c>
      <c r="N96" s="1" t="s">
        <v>7349</v>
      </c>
      <c r="O96" s="1" t="s">
        <v>7350</v>
      </c>
    </row>
    <row r="97" spans="8:15" x14ac:dyDescent="0.25">
      <c r="H97" s="1">
        <v>1449270</v>
      </c>
      <c r="I97" s="4">
        <v>46330.333333333336</v>
      </c>
      <c r="J97" s="1" t="s">
        <v>32</v>
      </c>
      <c r="K97" s="1" t="s">
        <v>564</v>
      </c>
      <c r="L97" s="1" t="s">
        <v>49</v>
      </c>
      <c r="M97" s="1" t="s">
        <v>7352</v>
      </c>
      <c r="N97" s="1" t="s">
        <v>7353</v>
      </c>
      <c r="O97" s="1" t="s">
        <v>7354</v>
      </c>
    </row>
    <row r="98" spans="8:15" x14ac:dyDescent="0.25">
      <c r="H98" s="1">
        <v>1469696</v>
      </c>
      <c r="I98" s="4">
        <v>46330.333333333336</v>
      </c>
      <c r="J98" s="1" t="s">
        <v>32</v>
      </c>
      <c r="K98" s="1" t="s">
        <v>35</v>
      </c>
      <c r="L98" s="1" t="s">
        <v>36</v>
      </c>
      <c r="M98" s="1" t="s">
        <v>7355</v>
      </c>
      <c r="N98" s="1" t="s">
        <v>7356</v>
      </c>
      <c r="O98" s="1" t="s">
        <v>7357</v>
      </c>
    </row>
    <row r="99" spans="8:15" x14ac:dyDescent="0.25">
      <c r="H99" s="1">
        <v>1504745</v>
      </c>
      <c r="I99" s="4">
        <v>46330.333333333336</v>
      </c>
      <c r="J99" s="1" t="s">
        <v>32</v>
      </c>
      <c r="K99" s="1" t="s">
        <v>33</v>
      </c>
      <c r="L99" s="1" t="s">
        <v>373</v>
      </c>
      <c r="M99" s="1" t="s">
        <v>832</v>
      </c>
      <c r="N99" s="1" t="s">
        <v>7358</v>
      </c>
      <c r="O99" s="1" t="s">
        <v>7359</v>
      </c>
    </row>
    <row r="100" spans="8:15" x14ac:dyDescent="0.25">
      <c r="H100" s="1">
        <v>1504746</v>
      </c>
      <c r="I100" s="4">
        <v>46330.333333333336</v>
      </c>
      <c r="J100" s="1" t="s">
        <v>32</v>
      </c>
      <c r="K100" s="1" t="s">
        <v>33</v>
      </c>
      <c r="L100" s="1" t="s">
        <v>373</v>
      </c>
      <c r="M100" s="1" t="s">
        <v>785</v>
      </c>
      <c r="N100" s="1" t="s">
        <v>784</v>
      </c>
      <c r="O100" s="1" t="s">
        <v>7360</v>
      </c>
    </row>
    <row r="101" spans="8:15" x14ac:dyDescent="0.25">
      <c r="H101" s="1">
        <v>1508901</v>
      </c>
      <c r="I101" s="4">
        <v>46330.333333333336</v>
      </c>
      <c r="J101" s="1" t="s">
        <v>32</v>
      </c>
      <c r="K101" s="1" t="s">
        <v>21</v>
      </c>
      <c r="L101" s="1" t="s">
        <v>7223</v>
      </c>
      <c r="M101" s="1" t="s">
        <v>7361</v>
      </c>
      <c r="N101" s="1" t="s">
        <v>7362</v>
      </c>
      <c r="O101" s="1" t="s">
        <v>7363</v>
      </c>
    </row>
    <row r="102" spans="8:15" x14ac:dyDescent="0.25">
      <c r="H102" s="1">
        <v>1517500</v>
      </c>
      <c r="I102" s="4">
        <v>46330.333333333336</v>
      </c>
      <c r="J102" s="1" t="s">
        <v>32</v>
      </c>
      <c r="K102" s="1" t="s">
        <v>35</v>
      </c>
      <c r="L102" s="1" t="s">
        <v>313</v>
      </c>
      <c r="M102" s="1" t="s">
        <v>2774</v>
      </c>
      <c r="N102" s="1" t="s">
        <v>2778</v>
      </c>
      <c r="O102" s="1" t="s">
        <v>7364</v>
      </c>
    </row>
    <row r="103" spans="8:15" x14ac:dyDescent="0.25">
      <c r="H103" s="1">
        <v>1517731</v>
      </c>
      <c r="I103" s="4">
        <v>46330.333333333336</v>
      </c>
      <c r="J103" s="1" t="s">
        <v>32</v>
      </c>
      <c r="K103" s="1" t="s">
        <v>35</v>
      </c>
      <c r="L103" s="1" t="s">
        <v>316</v>
      </c>
      <c r="M103" s="1" t="s">
        <v>824</v>
      </c>
      <c r="N103" s="1" t="s">
        <v>2780</v>
      </c>
      <c r="O103" s="1" t="s">
        <v>7365</v>
      </c>
    </row>
    <row r="104" spans="8:15" x14ac:dyDescent="0.25">
      <c r="H104" s="1">
        <v>1517732</v>
      </c>
      <c r="I104" s="4">
        <v>46330.333333333336</v>
      </c>
      <c r="J104" s="1" t="s">
        <v>32</v>
      </c>
      <c r="K104" s="1" t="s">
        <v>35</v>
      </c>
      <c r="L104" s="1" t="s">
        <v>316</v>
      </c>
      <c r="M104" s="1" t="s">
        <v>2892</v>
      </c>
      <c r="N104" s="1" t="s">
        <v>791</v>
      </c>
      <c r="O104" s="1" t="s">
        <v>7366</v>
      </c>
    </row>
    <row r="105" spans="8:15" x14ac:dyDescent="0.25">
      <c r="H105" s="1">
        <v>1517877</v>
      </c>
      <c r="I105" s="4">
        <v>46330.333333333336</v>
      </c>
      <c r="J105" s="1" t="s">
        <v>32</v>
      </c>
      <c r="K105" s="1" t="s">
        <v>35</v>
      </c>
      <c r="L105" s="1" t="s">
        <v>316</v>
      </c>
      <c r="M105" s="1" t="s">
        <v>2893</v>
      </c>
      <c r="N105" s="1" t="s">
        <v>2888</v>
      </c>
      <c r="O105" s="1" t="s">
        <v>7367</v>
      </c>
    </row>
    <row r="106" spans="8:15" x14ac:dyDescent="0.25">
      <c r="H106" s="1">
        <v>1524127</v>
      </c>
      <c r="I106" s="4">
        <v>46330.333333333336</v>
      </c>
      <c r="J106" s="1" t="s">
        <v>32</v>
      </c>
      <c r="K106" s="1" t="s">
        <v>35</v>
      </c>
      <c r="L106" s="1" t="s">
        <v>2789</v>
      </c>
      <c r="M106" s="1" t="s">
        <v>2791</v>
      </c>
      <c r="N106" s="1" t="s">
        <v>2794</v>
      </c>
      <c r="O106" s="1" t="s">
        <v>7368</v>
      </c>
    </row>
    <row r="107" spans="8:15" x14ac:dyDescent="0.25">
      <c r="H107" s="1">
        <v>1532658</v>
      </c>
      <c r="I107" s="4">
        <v>46330.333333333336</v>
      </c>
      <c r="J107" s="1" t="s">
        <v>32</v>
      </c>
      <c r="K107" s="1" t="s">
        <v>419</v>
      </c>
      <c r="L107" s="1" t="s">
        <v>2834</v>
      </c>
      <c r="M107" s="1" t="s">
        <v>3325</v>
      </c>
      <c r="N107" s="1" t="s">
        <v>7369</v>
      </c>
      <c r="O107" s="1" t="s">
        <v>7370</v>
      </c>
    </row>
    <row r="108" spans="8:15" x14ac:dyDescent="0.25">
      <c r="H108" s="1">
        <v>1532659</v>
      </c>
      <c r="I108" s="4">
        <v>46330.333333333336</v>
      </c>
      <c r="J108" s="1" t="s">
        <v>32</v>
      </c>
      <c r="K108" s="1" t="s">
        <v>419</v>
      </c>
      <c r="L108" s="1" t="s">
        <v>2834</v>
      </c>
      <c r="M108" s="1" t="s">
        <v>2836</v>
      </c>
      <c r="N108" s="1" t="s">
        <v>2877</v>
      </c>
      <c r="O108" s="1" t="s">
        <v>7371</v>
      </c>
    </row>
    <row r="109" spans="8:15" x14ac:dyDescent="0.25">
      <c r="H109" s="1">
        <v>1517655</v>
      </c>
      <c r="I109" s="4">
        <v>46330.34375</v>
      </c>
      <c r="J109" s="1" t="s">
        <v>32</v>
      </c>
      <c r="K109" s="1" t="s">
        <v>35</v>
      </c>
      <c r="L109" s="1" t="s">
        <v>313</v>
      </c>
      <c r="M109" s="1" t="s">
        <v>7373</v>
      </c>
      <c r="N109" s="1" t="s">
        <v>2820</v>
      </c>
      <c r="O109" s="1" t="s">
        <v>7374</v>
      </c>
    </row>
    <row r="110" spans="8:15" x14ac:dyDescent="0.25">
      <c r="H110" s="1">
        <v>1521903</v>
      </c>
      <c r="I110" s="4">
        <v>46330.34375</v>
      </c>
      <c r="J110" s="1" t="s">
        <v>32</v>
      </c>
      <c r="K110" s="1" t="s">
        <v>35</v>
      </c>
      <c r="L110" s="1" t="s">
        <v>314</v>
      </c>
      <c r="M110" s="1" t="s">
        <v>7375</v>
      </c>
      <c r="N110" s="1" t="s">
        <v>7376</v>
      </c>
      <c r="O110" s="1" t="s">
        <v>7377</v>
      </c>
    </row>
    <row r="111" spans="8:15" x14ac:dyDescent="0.25">
      <c r="H111" s="1">
        <v>1506934</v>
      </c>
      <c r="I111" s="4">
        <v>46330.354166666664</v>
      </c>
      <c r="J111" s="1" t="s">
        <v>32</v>
      </c>
      <c r="K111" s="1" t="s">
        <v>374</v>
      </c>
      <c r="L111" s="1" t="s">
        <v>375</v>
      </c>
      <c r="M111" s="1" t="s">
        <v>7379</v>
      </c>
      <c r="N111" s="1" t="s">
        <v>7380</v>
      </c>
      <c r="O111" s="1" t="s">
        <v>7381</v>
      </c>
    </row>
    <row r="112" spans="8:15" x14ac:dyDescent="0.25">
      <c r="H112" s="1">
        <v>1506935</v>
      </c>
      <c r="I112" s="4">
        <v>46330.354166666664</v>
      </c>
      <c r="J112" s="1" t="s">
        <v>32</v>
      </c>
      <c r="K112" s="1" t="s">
        <v>374</v>
      </c>
      <c r="L112" s="1" t="s">
        <v>375</v>
      </c>
      <c r="M112" s="1" t="s">
        <v>7382</v>
      </c>
      <c r="N112" s="1" t="s">
        <v>7383</v>
      </c>
      <c r="O112" s="1" t="s">
        <v>7384</v>
      </c>
    </row>
    <row r="113" spans="8:15" x14ac:dyDescent="0.25">
      <c r="H113" s="1">
        <v>1510293</v>
      </c>
      <c r="I113" s="4">
        <v>46330.354166666664</v>
      </c>
      <c r="J113" s="1" t="s">
        <v>32</v>
      </c>
      <c r="K113" s="1" t="s">
        <v>374</v>
      </c>
      <c r="L113" s="1" t="s">
        <v>376</v>
      </c>
      <c r="M113" s="1" t="s">
        <v>849</v>
      </c>
      <c r="N113" s="1" t="s">
        <v>2734</v>
      </c>
      <c r="O113" s="1" t="s">
        <v>7385</v>
      </c>
    </row>
    <row r="114" spans="8:15" x14ac:dyDescent="0.25">
      <c r="H114" s="1">
        <v>1510294</v>
      </c>
      <c r="I114" s="4">
        <v>46330.354166666664</v>
      </c>
      <c r="J114" s="1" t="s">
        <v>32</v>
      </c>
      <c r="K114" s="1" t="s">
        <v>374</v>
      </c>
      <c r="L114" s="1" t="s">
        <v>376</v>
      </c>
      <c r="M114" s="1" t="s">
        <v>2733</v>
      </c>
      <c r="N114" s="1" t="s">
        <v>2856</v>
      </c>
      <c r="O114" s="1" t="s">
        <v>7386</v>
      </c>
    </row>
    <row r="115" spans="8:15" x14ac:dyDescent="0.25">
      <c r="H115" s="1">
        <v>1528574</v>
      </c>
      <c r="I115" s="4">
        <v>46330.354166666664</v>
      </c>
      <c r="J115" s="1" t="s">
        <v>32</v>
      </c>
      <c r="K115" s="1" t="s">
        <v>419</v>
      </c>
      <c r="L115" s="1" t="s">
        <v>266</v>
      </c>
      <c r="M115" s="1" t="s">
        <v>3320</v>
      </c>
      <c r="N115" s="1" t="s">
        <v>7387</v>
      </c>
      <c r="O115" s="1" t="s">
        <v>7388</v>
      </c>
    </row>
    <row r="116" spans="8:15" x14ac:dyDescent="0.25">
      <c r="H116" s="1">
        <v>1528766</v>
      </c>
      <c r="I116" s="4">
        <v>46330.354166666664</v>
      </c>
      <c r="J116" s="1" t="s">
        <v>32</v>
      </c>
      <c r="K116" s="1" t="s">
        <v>419</v>
      </c>
      <c r="L116" s="1" t="s">
        <v>266</v>
      </c>
      <c r="M116" s="1" t="s">
        <v>7389</v>
      </c>
      <c r="N116" s="1" t="s">
        <v>7390</v>
      </c>
      <c r="O116" s="1" t="s">
        <v>7391</v>
      </c>
    </row>
    <row r="117" spans="8:15" x14ac:dyDescent="0.25">
      <c r="H117" s="1">
        <v>1532660</v>
      </c>
      <c r="I117" s="4">
        <v>46330.354166666664</v>
      </c>
      <c r="J117" s="1" t="s">
        <v>32</v>
      </c>
      <c r="K117" s="1" t="s">
        <v>419</v>
      </c>
      <c r="L117" s="1" t="s">
        <v>2834</v>
      </c>
      <c r="M117" s="1" t="s">
        <v>7392</v>
      </c>
      <c r="N117" s="1" t="s">
        <v>7393</v>
      </c>
      <c r="O117" s="1" t="s">
        <v>7394</v>
      </c>
    </row>
    <row r="118" spans="8:15" x14ac:dyDescent="0.25">
      <c r="H118" s="1">
        <v>1421718</v>
      </c>
      <c r="I118" s="4">
        <v>46330.375</v>
      </c>
      <c r="J118" s="1" t="s">
        <v>32</v>
      </c>
      <c r="K118" s="1" t="s">
        <v>319</v>
      </c>
      <c r="L118" s="1" t="s">
        <v>320</v>
      </c>
      <c r="M118" s="1" t="s">
        <v>7396</v>
      </c>
      <c r="N118" s="1" t="s">
        <v>7397</v>
      </c>
      <c r="O118" s="1" t="s">
        <v>7398</v>
      </c>
    </row>
    <row r="119" spans="8:15" x14ac:dyDescent="0.25">
      <c r="H119" s="1">
        <v>1453113</v>
      </c>
      <c r="I119" s="4">
        <v>46330.375</v>
      </c>
      <c r="J119" s="1" t="s">
        <v>32</v>
      </c>
      <c r="K119" s="1" t="s">
        <v>37</v>
      </c>
      <c r="L119" s="1" t="s">
        <v>565</v>
      </c>
      <c r="M119" s="1" t="s">
        <v>2881</v>
      </c>
      <c r="N119" s="1" t="s">
        <v>7399</v>
      </c>
      <c r="O119" s="1" t="s">
        <v>7400</v>
      </c>
    </row>
    <row r="120" spans="8:15" x14ac:dyDescent="0.25">
      <c r="H120" s="1">
        <v>1453114</v>
      </c>
      <c r="I120" s="4">
        <v>46330.375</v>
      </c>
      <c r="J120" s="1" t="s">
        <v>32</v>
      </c>
      <c r="K120" s="1" t="s">
        <v>37</v>
      </c>
      <c r="L120" s="1" t="s">
        <v>565</v>
      </c>
      <c r="M120" s="1" t="s">
        <v>854</v>
      </c>
      <c r="N120" s="1" t="s">
        <v>856</v>
      </c>
      <c r="O120" s="1" t="s">
        <v>7401</v>
      </c>
    </row>
    <row r="121" spans="8:15" x14ac:dyDescent="0.25">
      <c r="H121" s="1">
        <v>1453115</v>
      </c>
      <c r="I121" s="4">
        <v>46330.375</v>
      </c>
      <c r="J121" s="1" t="s">
        <v>32</v>
      </c>
      <c r="K121" s="1" t="s">
        <v>37</v>
      </c>
      <c r="L121" s="1" t="s">
        <v>565</v>
      </c>
      <c r="M121" s="1" t="s">
        <v>853</v>
      </c>
      <c r="N121" s="1" t="s">
        <v>7402</v>
      </c>
      <c r="O121" s="1" t="s">
        <v>7403</v>
      </c>
    </row>
    <row r="122" spans="8:15" x14ac:dyDescent="0.25">
      <c r="H122" s="1">
        <v>1453325</v>
      </c>
      <c r="I122" s="4">
        <v>46330.375</v>
      </c>
      <c r="J122" s="1" t="s">
        <v>32</v>
      </c>
      <c r="K122" s="1" t="s">
        <v>37</v>
      </c>
      <c r="L122" s="1" t="s">
        <v>565</v>
      </c>
      <c r="M122" s="1" t="s">
        <v>7404</v>
      </c>
      <c r="N122" s="1" t="s">
        <v>857</v>
      </c>
      <c r="O122" s="1" t="s">
        <v>7405</v>
      </c>
    </row>
    <row r="123" spans="8:15" x14ac:dyDescent="0.25">
      <c r="H123" s="1">
        <v>1523717</v>
      </c>
      <c r="I123" s="4">
        <v>46330.375</v>
      </c>
      <c r="J123" s="1" t="s">
        <v>32</v>
      </c>
      <c r="K123" s="1" t="s">
        <v>35</v>
      </c>
      <c r="L123" s="1" t="s">
        <v>317</v>
      </c>
      <c r="M123" s="1" t="s">
        <v>837</v>
      </c>
      <c r="N123" s="1" t="s">
        <v>2898</v>
      </c>
      <c r="O123" s="1" t="s">
        <v>7406</v>
      </c>
    </row>
    <row r="124" spans="8:15" x14ac:dyDescent="0.25">
      <c r="H124" s="1">
        <v>1537422</v>
      </c>
      <c r="I124" s="4">
        <v>46330.375</v>
      </c>
      <c r="J124" s="1" t="s">
        <v>32</v>
      </c>
      <c r="K124" s="1" t="s">
        <v>35</v>
      </c>
      <c r="L124" s="1" t="s">
        <v>7254</v>
      </c>
      <c r="M124" s="1" t="s">
        <v>7407</v>
      </c>
      <c r="N124" s="1" t="s">
        <v>7408</v>
      </c>
      <c r="O124" s="1" t="s">
        <v>7409</v>
      </c>
    </row>
    <row r="125" spans="8:15" x14ac:dyDescent="0.25">
      <c r="H125" s="1">
        <v>1539992</v>
      </c>
      <c r="I125" s="4">
        <v>46330.375</v>
      </c>
      <c r="J125" s="1" t="s">
        <v>32</v>
      </c>
      <c r="K125" s="1" t="s">
        <v>5924</v>
      </c>
      <c r="L125" s="1" t="s">
        <v>7410</v>
      </c>
      <c r="M125" s="1" t="s">
        <v>7411</v>
      </c>
      <c r="N125" s="1" t="s">
        <v>7412</v>
      </c>
      <c r="O125" s="1" t="s">
        <v>7413</v>
      </c>
    </row>
    <row r="126" spans="8:15" x14ac:dyDescent="0.25">
      <c r="H126" s="1">
        <v>1540036</v>
      </c>
      <c r="I126" s="4">
        <v>46330.375</v>
      </c>
      <c r="J126" s="1" t="s">
        <v>32</v>
      </c>
      <c r="K126" s="1" t="s">
        <v>570</v>
      </c>
      <c r="L126" s="1" t="s">
        <v>49</v>
      </c>
      <c r="M126" s="1" t="s">
        <v>7414</v>
      </c>
      <c r="N126" s="1" t="s">
        <v>7415</v>
      </c>
      <c r="O126" s="1" t="s">
        <v>7416</v>
      </c>
    </row>
    <row r="127" spans="8:15" x14ac:dyDescent="0.25">
      <c r="H127" s="1">
        <v>1540117</v>
      </c>
      <c r="I127" s="4">
        <v>46330.375</v>
      </c>
      <c r="J127" s="1" t="s">
        <v>32</v>
      </c>
      <c r="K127" s="1" t="s">
        <v>2803</v>
      </c>
      <c r="L127" s="1" t="s">
        <v>2804</v>
      </c>
      <c r="M127" s="1" t="s">
        <v>2805</v>
      </c>
      <c r="N127" s="1" t="s">
        <v>7417</v>
      </c>
      <c r="O127" s="1" t="s">
        <v>7418</v>
      </c>
    </row>
    <row r="128" spans="8:15" x14ac:dyDescent="0.25">
      <c r="H128" s="1">
        <v>1487383</v>
      </c>
      <c r="I128" s="4">
        <v>46330.385416666664</v>
      </c>
      <c r="J128" s="1" t="s">
        <v>32</v>
      </c>
      <c r="K128" s="1" t="s">
        <v>381</v>
      </c>
      <c r="L128" s="1" t="s">
        <v>548</v>
      </c>
      <c r="M128" s="1" t="s">
        <v>7420</v>
      </c>
      <c r="N128" s="1" t="s">
        <v>878</v>
      </c>
      <c r="O128" s="1" t="s">
        <v>7421</v>
      </c>
    </row>
    <row r="129" spans="8:15" x14ac:dyDescent="0.25">
      <c r="H129" s="1">
        <v>1487388</v>
      </c>
      <c r="I129" s="4">
        <v>46330.385416666664</v>
      </c>
      <c r="J129" s="1" t="s">
        <v>32</v>
      </c>
      <c r="K129" s="1" t="s">
        <v>381</v>
      </c>
      <c r="L129" s="1" t="s">
        <v>548</v>
      </c>
      <c r="M129" s="1" t="s">
        <v>3011</v>
      </c>
      <c r="N129" s="1" t="s">
        <v>7422</v>
      </c>
      <c r="O129" s="1" t="s">
        <v>7423</v>
      </c>
    </row>
    <row r="130" spans="8:15" x14ac:dyDescent="0.25">
      <c r="H130" s="1">
        <v>1487540</v>
      </c>
      <c r="I130" s="4">
        <v>46330.385416666664</v>
      </c>
      <c r="J130" s="1" t="s">
        <v>32</v>
      </c>
      <c r="K130" s="1" t="s">
        <v>381</v>
      </c>
      <c r="L130" s="1" t="s">
        <v>571</v>
      </c>
      <c r="M130" s="1" t="s">
        <v>1577</v>
      </c>
      <c r="N130" s="1" t="s">
        <v>1999</v>
      </c>
      <c r="O130" s="1" t="s">
        <v>7424</v>
      </c>
    </row>
    <row r="131" spans="8:15" x14ac:dyDescent="0.25">
      <c r="H131" s="1">
        <v>1487542</v>
      </c>
      <c r="I131" s="4">
        <v>46330.385416666664</v>
      </c>
      <c r="J131" s="1" t="s">
        <v>32</v>
      </c>
      <c r="K131" s="1" t="s">
        <v>381</v>
      </c>
      <c r="L131" s="1" t="s">
        <v>571</v>
      </c>
      <c r="M131" s="1" t="s">
        <v>7425</v>
      </c>
      <c r="N131" s="1" t="s">
        <v>905</v>
      </c>
      <c r="O131" s="1" t="s">
        <v>7426</v>
      </c>
    </row>
    <row r="132" spans="8:15" x14ac:dyDescent="0.25">
      <c r="H132" s="1">
        <v>1487771</v>
      </c>
      <c r="I132" s="4">
        <v>46330.385416666664</v>
      </c>
      <c r="J132" s="1" t="s">
        <v>32</v>
      </c>
      <c r="K132" s="1" t="s">
        <v>381</v>
      </c>
      <c r="L132" s="1" t="s">
        <v>572</v>
      </c>
      <c r="M132" s="1" t="s">
        <v>7427</v>
      </c>
      <c r="N132" s="1" t="s">
        <v>4757</v>
      </c>
      <c r="O132" s="1" t="s">
        <v>7428</v>
      </c>
    </row>
    <row r="133" spans="8:15" x14ac:dyDescent="0.25">
      <c r="H133" s="1">
        <v>1489527</v>
      </c>
      <c r="I133" s="4">
        <v>46330.385416666664</v>
      </c>
      <c r="J133" s="1" t="s">
        <v>32</v>
      </c>
      <c r="K133" s="1" t="s">
        <v>381</v>
      </c>
      <c r="L133" s="1" t="s">
        <v>573</v>
      </c>
      <c r="M133" s="1" t="s">
        <v>4762</v>
      </c>
      <c r="N133" s="1" t="s">
        <v>3995</v>
      </c>
      <c r="O133" s="1" t="s">
        <v>7429</v>
      </c>
    </row>
    <row r="134" spans="8:15" x14ac:dyDescent="0.25">
      <c r="H134" s="1">
        <v>1489662</v>
      </c>
      <c r="I134" s="4">
        <v>46330.385416666664</v>
      </c>
      <c r="J134" s="1" t="s">
        <v>32</v>
      </c>
      <c r="K134" s="1" t="s">
        <v>381</v>
      </c>
      <c r="L134" s="1" t="s">
        <v>568</v>
      </c>
      <c r="M134" s="1" t="s">
        <v>7430</v>
      </c>
      <c r="N134" s="1" t="s">
        <v>2997</v>
      </c>
      <c r="O134" s="1" t="s">
        <v>7431</v>
      </c>
    </row>
    <row r="135" spans="8:15" x14ac:dyDescent="0.25">
      <c r="H135" s="1">
        <v>1489663</v>
      </c>
      <c r="I135" s="4">
        <v>46330.385416666664</v>
      </c>
      <c r="J135" s="1" t="s">
        <v>32</v>
      </c>
      <c r="K135" s="1" t="s">
        <v>381</v>
      </c>
      <c r="L135" s="1" t="s">
        <v>568</v>
      </c>
      <c r="M135" s="1" t="s">
        <v>2994</v>
      </c>
      <c r="N135" s="1" t="s">
        <v>2996</v>
      </c>
      <c r="O135" s="1" t="s">
        <v>7432</v>
      </c>
    </row>
    <row r="136" spans="8:15" x14ac:dyDescent="0.25">
      <c r="H136" s="1">
        <v>1489664</v>
      </c>
      <c r="I136" s="4">
        <v>46330.385416666664</v>
      </c>
      <c r="J136" s="1" t="s">
        <v>32</v>
      </c>
      <c r="K136" s="1" t="s">
        <v>381</v>
      </c>
      <c r="L136" s="1" t="s">
        <v>568</v>
      </c>
      <c r="M136" s="1" t="s">
        <v>908</v>
      </c>
      <c r="N136" s="1" t="s">
        <v>3015</v>
      </c>
      <c r="O136" s="1" t="s">
        <v>7433</v>
      </c>
    </row>
    <row r="137" spans="8:15" x14ac:dyDescent="0.25">
      <c r="H137" s="1">
        <v>1489665</v>
      </c>
      <c r="I137" s="4">
        <v>46330.385416666664</v>
      </c>
      <c r="J137" s="1" t="s">
        <v>32</v>
      </c>
      <c r="K137" s="1" t="s">
        <v>381</v>
      </c>
      <c r="L137" s="1" t="s">
        <v>568</v>
      </c>
      <c r="M137" s="1" t="s">
        <v>3016</v>
      </c>
      <c r="N137" s="1" t="s">
        <v>2941</v>
      </c>
      <c r="O137" s="1" t="s">
        <v>7434</v>
      </c>
    </row>
    <row r="138" spans="8:15" x14ac:dyDescent="0.25">
      <c r="H138" s="1">
        <v>1489796</v>
      </c>
      <c r="I138" s="4">
        <v>46330.385416666664</v>
      </c>
      <c r="J138" s="1" t="s">
        <v>32</v>
      </c>
      <c r="K138" s="1" t="s">
        <v>381</v>
      </c>
      <c r="L138" s="1" t="s">
        <v>550</v>
      </c>
      <c r="M138" s="1" t="s">
        <v>7435</v>
      </c>
      <c r="N138" s="1" t="s">
        <v>1592</v>
      </c>
      <c r="O138" s="1" t="s">
        <v>7436</v>
      </c>
    </row>
    <row r="139" spans="8:15" x14ac:dyDescent="0.25">
      <c r="H139" s="1">
        <v>1489797</v>
      </c>
      <c r="I139" s="4">
        <v>46330.385416666664</v>
      </c>
      <c r="J139" s="1" t="s">
        <v>32</v>
      </c>
      <c r="K139" s="1" t="s">
        <v>381</v>
      </c>
      <c r="L139" s="1" t="s">
        <v>550</v>
      </c>
      <c r="M139" s="1" t="s">
        <v>910</v>
      </c>
      <c r="N139" s="1" t="s">
        <v>3018</v>
      </c>
      <c r="O139" s="1" t="s">
        <v>7437</v>
      </c>
    </row>
    <row r="140" spans="8:15" x14ac:dyDescent="0.25">
      <c r="H140" s="1">
        <v>1489802</v>
      </c>
      <c r="I140" s="4">
        <v>46330.385416666664</v>
      </c>
      <c r="J140" s="1" t="s">
        <v>32</v>
      </c>
      <c r="K140" s="1" t="s">
        <v>381</v>
      </c>
      <c r="L140" s="1" t="s">
        <v>550</v>
      </c>
      <c r="M140" s="1" t="s">
        <v>1764</v>
      </c>
      <c r="N140" s="1" t="s">
        <v>4775</v>
      </c>
      <c r="O140" s="1" t="s">
        <v>7438</v>
      </c>
    </row>
    <row r="141" spans="8:15" x14ac:dyDescent="0.25">
      <c r="H141" s="1">
        <v>1490038</v>
      </c>
      <c r="I141" s="4">
        <v>46330.385416666664</v>
      </c>
      <c r="J141" s="1" t="s">
        <v>32</v>
      </c>
      <c r="K141" s="1" t="s">
        <v>381</v>
      </c>
      <c r="L141" s="1" t="s">
        <v>575</v>
      </c>
      <c r="M141" s="1" t="s">
        <v>3008</v>
      </c>
      <c r="N141" s="1" t="s">
        <v>3023</v>
      </c>
      <c r="O141" s="1" t="s">
        <v>7439</v>
      </c>
    </row>
    <row r="142" spans="8:15" x14ac:dyDescent="0.25">
      <c r="H142" s="1">
        <v>1490041</v>
      </c>
      <c r="I142" s="4">
        <v>46330.385416666664</v>
      </c>
      <c r="J142" s="1" t="s">
        <v>32</v>
      </c>
      <c r="K142" s="1" t="s">
        <v>381</v>
      </c>
      <c r="L142" s="1" t="s">
        <v>575</v>
      </c>
      <c r="M142" s="1" t="s">
        <v>894</v>
      </c>
      <c r="N142" s="1" t="s">
        <v>7440</v>
      </c>
      <c r="O142" s="1" t="s">
        <v>7441</v>
      </c>
    </row>
    <row r="143" spans="8:15" x14ac:dyDescent="0.25">
      <c r="H143" s="1">
        <v>1490042</v>
      </c>
      <c r="I143" s="4">
        <v>46330.385416666664</v>
      </c>
      <c r="J143" s="1" t="s">
        <v>32</v>
      </c>
      <c r="K143" s="1" t="s">
        <v>381</v>
      </c>
      <c r="L143" s="1" t="s">
        <v>575</v>
      </c>
      <c r="M143" s="1" t="s">
        <v>893</v>
      </c>
      <c r="N143" s="1" t="s">
        <v>4782</v>
      </c>
      <c r="O143" s="1" t="s">
        <v>7442</v>
      </c>
    </row>
    <row r="144" spans="8:15" x14ac:dyDescent="0.25">
      <c r="H144" s="1">
        <v>1403798</v>
      </c>
      <c r="I144" s="4">
        <v>46330.395833333336</v>
      </c>
      <c r="J144" s="1" t="s">
        <v>32</v>
      </c>
      <c r="K144" s="1" t="s">
        <v>38</v>
      </c>
      <c r="L144" s="1" t="s">
        <v>39</v>
      </c>
      <c r="M144" s="1" t="s">
        <v>7444</v>
      </c>
      <c r="N144" s="1" t="s">
        <v>2477</v>
      </c>
      <c r="O144" s="1" t="s">
        <v>7445</v>
      </c>
    </row>
    <row r="145" spans="8:15" x14ac:dyDescent="0.25">
      <c r="H145" s="1">
        <v>1403799</v>
      </c>
      <c r="I145" s="4">
        <v>46330.395833333336</v>
      </c>
      <c r="J145" s="1" t="s">
        <v>32</v>
      </c>
      <c r="K145" s="1" t="s">
        <v>38</v>
      </c>
      <c r="L145" s="1" t="s">
        <v>39</v>
      </c>
      <c r="M145" s="1" t="s">
        <v>7446</v>
      </c>
      <c r="N145" s="1" t="s">
        <v>2476</v>
      </c>
      <c r="O145" s="1" t="s">
        <v>7447</v>
      </c>
    </row>
    <row r="146" spans="8:15" x14ac:dyDescent="0.25">
      <c r="H146" s="1">
        <v>1487541</v>
      </c>
      <c r="I146" s="4">
        <v>46330.395833333336</v>
      </c>
      <c r="J146" s="1" t="s">
        <v>32</v>
      </c>
      <c r="K146" s="1" t="s">
        <v>381</v>
      </c>
      <c r="L146" s="1" t="s">
        <v>571</v>
      </c>
      <c r="M146" s="1" t="s">
        <v>2145</v>
      </c>
      <c r="N146" s="1" t="s">
        <v>1575</v>
      </c>
      <c r="O146" s="1" t="s">
        <v>7448</v>
      </c>
    </row>
    <row r="147" spans="8:15" x14ac:dyDescent="0.25">
      <c r="H147" s="1">
        <v>1489921</v>
      </c>
      <c r="I147" s="4">
        <v>46330.395833333336</v>
      </c>
      <c r="J147" s="1" t="s">
        <v>32</v>
      </c>
      <c r="K147" s="1" t="s">
        <v>381</v>
      </c>
      <c r="L147" s="1" t="s">
        <v>574</v>
      </c>
      <c r="M147" s="1" t="s">
        <v>4778</v>
      </c>
      <c r="N147" s="1" t="s">
        <v>1596</v>
      </c>
      <c r="O147" s="1" t="s">
        <v>7449</v>
      </c>
    </row>
    <row r="148" spans="8:15" x14ac:dyDescent="0.25">
      <c r="H148" s="1">
        <v>1490659</v>
      </c>
      <c r="I148" s="4">
        <v>46330.395833333336</v>
      </c>
      <c r="J148" s="1" t="s">
        <v>32</v>
      </c>
      <c r="K148" s="1" t="s">
        <v>381</v>
      </c>
      <c r="L148" s="1" t="s">
        <v>7450</v>
      </c>
      <c r="M148" s="1" t="s">
        <v>7451</v>
      </c>
      <c r="N148" s="1" t="s">
        <v>7452</v>
      </c>
      <c r="O148" s="1" t="s">
        <v>7453</v>
      </c>
    </row>
    <row r="149" spans="8:15" x14ac:dyDescent="0.25">
      <c r="H149" s="1">
        <v>1517733</v>
      </c>
      <c r="I149" s="4">
        <v>46330.395833333336</v>
      </c>
      <c r="J149" s="1" t="s">
        <v>32</v>
      </c>
      <c r="K149" s="1" t="s">
        <v>35</v>
      </c>
      <c r="L149" s="1" t="s">
        <v>316</v>
      </c>
      <c r="M149" s="1" t="s">
        <v>7454</v>
      </c>
      <c r="N149" s="1" t="s">
        <v>7455</v>
      </c>
      <c r="O149" s="1" t="s">
        <v>7456</v>
      </c>
    </row>
    <row r="150" spans="8:15" x14ac:dyDescent="0.25">
      <c r="H150" s="1">
        <v>1518949</v>
      </c>
      <c r="I150" s="4">
        <v>46330.395833333336</v>
      </c>
      <c r="J150" s="1" t="s">
        <v>32</v>
      </c>
      <c r="K150" s="1" t="s">
        <v>38</v>
      </c>
      <c r="L150" s="1" t="s">
        <v>7457</v>
      </c>
      <c r="M150" s="1" t="s">
        <v>7458</v>
      </c>
      <c r="N150" s="1" t="s">
        <v>7459</v>
      </c>
      <c r="O150" s="1" t="s">
        <v>7460</v>
      </c>
    </row>
    <row r="151" spans="8:15" x14ac:dyDescent="0.25">
      <c r="H151" s="1">
        <v>1518950</v>
      </c>
      <c r="I151" s="4">
        <v>46330.395833333336</v>
      </c>
      <c r="J151" s="1" t="s">
        <v>32</v>
      </c>
      <c r="K151" s="1" t="s">
        <v>38</v>
      </c>
      <c r="L151" s="1" t="s">
        <v>7457</v>
      </c>
      <c r="M151" s="1" t="s">
        <v>7461</v>
      </c>
      <c r="N151" s="1" t="s">
        <v>7462</v>
      </c>
      <c r="O151" s="1" t="s">
        <v>7463</v>
      </c>
    </row>
    <row r="152" spans="8:15" x14ac:dyDescent="0.25">
      <c r="H152" s="1">
        <v>1522082</v>
      </c>
      <c r="I152" s="4">
        <v>46330.395833333336</v>
      </c>
      <c r="J152" s="1" t="s">
        <v>32</v>
      </c>
      <c r="K152" s="1" t="s">
        <v>35</v>
      </c>
      <c r="L152" s="1" t="s">
        <v>234</v>
      </c>
      <c r="M152" s="1" t="s">
        <v>315</v>
      </c>
      <c r="N152" s="1" t="s">
        <v>7464</v>
      </c>
      <c r="O152" s="1" t="s">
        <v>7465</v>
      </c>
    </row>
    <row r="153" spans="8:15" x14ac:dyDescent="0.25">
      <c r="H153" s="1">
        <v>1527036</v>
      </c>
      <c r="I153" s="4">
        <v>46330.395833333336</v>
      </c>
      <c r="J153" s="1" t="s">
        <v>32</v>
      </c>
      <c r="K153" s="1" t="s">
        <v>35</v>
      </c>
      <c r="L153" s="1" t="s">
        <v>2701</v>
      </c>
      <c r="M153" s="1" t="s">
        <v>2703</v>
      </c>
      <c r="N153" s="1" t="s">
        <v>7466</v>
      </c>
      <c r="O153" s="1" t="s">
        <v>7467</v>
      </c>
    </row>
    <row r="154" spans="8:15" x14ac:dyDescent="0.25">
      <c r="H154" s="1">
        <v>1539730</v>
      </c>
      <c r="I154" s="4">
        <v>46330.395833333336</v>
      </c>
      <c r="J154" s="1" t="s">
        <v>32</v>
      </c>
      <c r="K154" s="1" t="s">
        <v>21</v>
      </c>
      <c r="L154" s="1" t="s">
        <v>7468</v>
      </c>
      <c r="M154" s="1" t="s">
        <v>7469</v>
      </c>
      <c r="N154" s="1" t="s">
        <v>7470</v>
      </c>
      <c r="O154" s="1" t="s">
        <v>7471</v>
      </c>
    </row>
    <row r="155" spans="8:15" x14ac:dyDescent="0.25">
      <c r="H155" s="1">
        <v>1400588</v>
      </c>
      <c r="I155" s="4">
        <v>46330.416666666664</v>
      </c>
      <c r="J155" s="1" t="s">
        <v>32</v>
      </c>
      <c r="K155" s="1" t="s">
        <v>319</v>
      </c>
      <c r="L155" s="1" t="s">
        <v>2929</v>
      </c>
      <c r="M155" s="1" t="s">
        <v>2930</v>
      </c>
      <c r="N155" s="1" t="s">
        <v>7473</v>
      </c>
      <c r="O155" s="1" t="s">
        <v>7474</v>
      </c>
    </row>
    <row r="156" spans="8:15" x14ac:dyDescent="0.25">
      <c r="H156" s="1">
        <v>1404607</v>
      </c>
      <c r="I156" s="4">
        <v>46330.416666666664</v>
      </c>
      <c r="J156" s="1" t="s">
        <v>32</v>
      </c>
      <c r="K156" s="1" t="s">
        <v>41</v>
      </c>
      <c r="L156" s="1" t="s">
        <v>262</v>
      </c>
      <c r="M156" s="1" t="s">
        <v>2451</v>
      </c>
      <c r="N156" s="1" t="s">
        <v>3035</v>
      </c>
      <c r="O156" s="1" t="s">
        <v>7475</v>
      </c>
    </row>
    <row r="157" spans="8:15" x14ac:dyDescent="0.25">
      <c r="H157" s="1">
        <v>1404609</v>
      </c>
      <c r="I157" s="4">
        <v>46330.416666666664</v>
      </c>
      <c r="J157" s="1" t="s">
        <v>32</v>
      </c>
      <c r="K157" s="1" t="s">
        <v>41</v>
      </c>
      <c r="L157" s="1" t="s">
        <v>262</v>
      </c>
      <c r="M157" s="1" t="s">
        <v>2480</v>
      </c>
      <c r="N157" s="1" t="s">
        <v>1230</v>
      </c>
      <c r="O157" s="1" t="s">
        <v>7476</v>
      </c>
    </row>
    <row r="158" spans="8:15" x14ac:dyDescent="0.25">
      <c r="H158" s="1">
        <v>1414700</v>
      </c>
      <c r="I158" s="4">
        <v>46330.416666666664</v>
      </c>
      <c r="J158" s="1" t="s">
        <v>32</v>
      </c>
      <c r="K158" s="1" t="s">
        <v>390</v>
      </c>
      <c r="L158" s="1" t="s">
        <v>923</v>
      </c>
      <c r="M158" s="1" t="s">
        <v>926</v>
      </c>
      <c r="N158" s="1" t="s">
        <v>1411</v>
      </c>
      <c r="O158" s="1" t="s">
        <v>7477</v>
      </c>
    </row>
    <row r="159" spans="8:15" x14ac:dyDescent="0.25">
      <c r="H159" s="1">
        <v>1414702</v>
      </c>
      <c r="I159" s="4">
        <v>46330.416666666664</v>
      </c>
      <c r="J159" s="1" t="s">
        <v>32</v>
      </c>
      <c r="K159" s="1" t="s">
        <v>390</v>
      </c>
      <c r="L159" s="1" t="s">
        <v>923</v>
      </c>
      <c r="M159" s="1" t="s">
        <v>1412</v>
      </c>
      <c r="N159" s="1" t="s">
        <v>925</v>
      </c>
      <c r="O159" s="1" t="s">
        <v>7478</v>
      </c>
    </row>
    <row r="160" spans="8:15" x14ac:dyDescent="0.25">
      <c r="H160" s="1">
        <v>1414704</v>
      </c>
      <c r="I160" s="4">
        <v>46330.416666666664</v>
      </c>
      <c r="J160" s="1" t="s">
        <v>32</v>
      </c>
      <c r="K160" s="1" t="s">
        <v>390</v>
      </c>
      <c r="L160" s="1" t="s">
        <v>923</v>
      </c>
      <c r="M160" s="1" t="s">
        <v>1417</v>
      </c>
      <c r="N160" s="1" t="s">
        <v>1240</v>
      </c>
      <c r="O160" s="1" t="s">
        <v>7479</v>
      </c>
    </row>
    <row r="161" spans="8:15" x14ac:dyDescent="0.25">
      <c r="H161" s="1">
        <v>1414921</v>
      </c>
      <c r="I161" s="4">
        <v>46330.416666666664</v>
      </c>
      <c r="J161" s="1" t="s">
        <v>32</v>
      </c>
      <c r="K161" s="1" t="s">
        <v>390</v>
      </c>
      <c r="L161" s="1" t="s">
        <v>928</v>
      </c>
      <c r="M161" s="1" t="s">
        <v>2081</v>
      </c>
      <c r="N161" s="1" t="s">
        <v>1421</v>
      </c>
      <c r="O161" s="1" t="s">
        <v>7480</v>
      </c>
    </row>
    <row r="162" spans="8:15" x14ac:dyDescent="0.25">
      <c r="H162" s="1">
        <v>1415187</v>
      </c>
      <c r="I162" s="4">
        <v>46330.416666666664</v>
      </c>
      <c r="J162" s="1" t="s">
        <v>32</v>
      </c>
      <c r="K162" s="1" t="s">
        <v>390</v>
      </c>
      <c r="L162" s="1" t="s">
        <v>1243</v>
      </c>
      <c r="M162" s="1" t="s">
        <v>1425</v>
      </c>
      <c r="N162" s="1" t="s">
        <v>1436</v>
      </c>
      <c r="O162" s="1" t="s">
        <v>7481</v>
      </c>
    </row>
    <row r="163" spans="8:15" x14ac:dyDescent="0.25">
      <c r="H163" s="1">
        <v>1421717</v>
      </c>
      <c r="I163" s="4">
        <v>46330.416666666664</v>
      </c>
      <c r="J163" s="1" t="s">
        <v>32</v>
      </c>
      <c r="K163" s="1" t="s">
        <v>319</v>
      </c>
      <c r="L163" s="1" t="s">
        <v>320</v>
      </c>
      <c r="M163" s="1" t="s">
        <v>2933</v>
      </c>
      <c r="N163" s="1" t="s">
        <v>7482</v>
      </c>
      <c r="O163" s="1" t="s">
        <v>7483</v>
      </c>
    </row>
    <row r="164" spans="8:15" x14ac:dyDescent="0.25">
      <c r="H164" s="1">
        <v>1433386</v>
      </c>
      <c r="I164" s="4">
        <v>46330.416666666664</v>
      </c>
      <c r="J164" s="1" t="s">
        <v>32</v>
      </c>
      <c r="K164" s="1" t="s">
        <v>40</v>
      </c>
      <c r="L164" s="1" t="s">
        <v>661</v>
      </c>
      <c r="M164" s="1" t="s">
        <v>1061</v>
      </c>
      <c r="N164" s="1" t="s">
        <v>1063</v>
      </c>
      <c r="O164" s="1" t="s">
        <v>7484</v>
      </c>
    </row>
    <row r="165" spans="8:15" x14ac:dyDescent="0.25">
      <c r="H165" s="1">
        <v>1468019</v>
      </c>
      <c r="I165" s="4">
        <v>46330.416666666664</v>
      </c>
      <c r="J165" s="1" t="s">
        <v>32</v>
      </c>
      <c r="K165" s="1" t="s">
        <v>41</v>
      </c>
      <c r="L165" s="1" t="s">
        <v>382</v>
      </c>
      <c r="M165" s="1" t="s">
        <v>4357</v>
      </c>
      <c r="N165" s="1" t="s">
        <v>3091</v>
      </c>
      <c r="O165" s="1" t="s">
        <v>7485</v>
      </c>
    </row>
    <row r="166" spans="8:15" x14ac:dyDescent="0.25">
      <c r="H166" s="1">
        <v>1489529</v>
      </c>
      <c r="I166" s="4">
        <v>46330.416666666664</v>
      </c>
      <c r="J166" s="1" t="s">
        <v>32</v>
      </c>
      <c r="K166" s="1" t="s">
        <v>381</v>
      </c>
      <c r="L166" s="1" t="s">
        <v>573</v>
      </c>
      <c r="M166" s="1" t="s">
        <v>868</v>
      </c>
      <c r="N166" s="1" t="s">
        <v>1586</v>
      </c>
      <c r="O166" s="1" t="s">
        <v>7486</v>
      </c>
    </row>
    <row r="167" spans="8:15" x14ac:dyDescent="0.25">
      <c r="H167" s="1">
        <v>1490655</v>
      </c>
      <c r="I167" s="4">
        <v>46330.416666666664</v>
      </c>
      <c r="J167" s="1" t="s">
        <v>32</v>
      </c>
      <c r="K167" s="1" t="s">
        <v>381</v>
      </c>
      <c r="L167" s="1" t="s">
        <v>7450</v>
      </c>
      <c r="M167" s="1" t="s">
        <v>7487</v>
      </c>
      <c r="N167" s="1" t="s">
        <v>7488</v>
      </c>
      <c r="O167" s="1" t="s">
        <v>7489</v>
      </c>
    </row>
    <row r="168" spans="8:15" x14ac:dyDescent="0.25">
      <c r="H168" s="1">
        <v>1490656</v>
      </c>
      <c r="I168" s="4">
        <v>46330.416666666664</v>
      </c>
      <c r="J168" s="1" t="s">
        <v>32</v>
      </c>
      <c r="K168" s="1" t="s">
        <v>381</v>
      </c>
      <c r="L168" s="1" t="s">
        <v>7450</v>
      </c>
      <c r="M168" s="1" t="s">
        <v>7490</v>
      </c>
      <c r="N168" s="1" t="s">
        <v>7491</v>
      </c>
      <c r="O168" s="1" t="s">
        <v>7492</v>
      </c>
    </row>
    <row r="169" spans="8:15" x14ac:dyDescent="0.25">
      <c r="H169" s="1">
        <v>1490662</v>
      </c>
      <c r="I169" s="4">
        <v>46330.416666666664</v>
      </c>
      <c r="J169" s="1" t="s">
        <v>32</v>
      </c>
      <c r="K169" s="1" t="s">
        <v>381</v>
      </c>
      <c r="L169" s="1" t="s">
        <v>7450</v>
      </c>
      <c r="M169" s="1" t="s">
        <v>7493</v>
      </c>
      <c r="N169" s="1" t="s">
        <v>7494</v>
      </c>
      <c r="O169" s="1" t="s">
        <v>7495</v>
      </c>
    </row>
    <row r="170" spans="8:15" x14ac:dyDescent="0.25">
      <c r="H170" s="1">
        <v>1517501</v>
      </c>
      <c r="I170" s="4">
        <v>46330.416666666664</v>
      </c>
      <c r="J170" s="1" t="s">
        <v>32</v>
      </c>
      <c r="K170" s="1" t="s">
        <v>35</v>
      </c>
      <c r="L170" s="1" t="s">
        <v>313</v>
      </c>
      <c r="M170" s="1" t="s">
        <v>2860</v>
      </c>
      <c r="N170" s="1" t="s">
        <v>2777</v>
      </c>
      <c r="O170" s="1" t="s">
        <v>7496</v>
      </c>
    </row>
    <row r="171" spans="8:15" x14ac:dyDescent="0.25">
      <c r="H171" s="1">
        <v>1517734</v>
      </c>
      <c r="I171" s="4">
        <v>46330.416666666664</v>
      </c>
      <c r="J171" s="1" t="s">
        <v>32</v>
      </c>
      <c r="K171" s="1" t="s">
        <v>35</v>
      </c>
      <c r="L171" s="1" t="s">
        <v>316</v>
      </c>
      <c r="M171" s="1" t="s">
        <v>2884</v>
      </c>
      <c r="N171" s="1" t="s">
        <v>2890</v>
      </c>
      <c r="O171" s="1" t="s">
        <v>7497</v>
      </c>
    </row>
    <row r="172" spans="8:15" x14ac:dyDescent="0.25">
      <c r="H172" s="1">
        <v>1517735</v>
      </c>
      <c r="I172" s="4">
        <v>46330.416666666664</v>
      </c>
      <c r="J172" s="1" t="s">
        <v>32</v>
      </c>
      <c r="K172" s="1" t="s">
        <v>35</v>
      </c>
      <c r="L172" s="1" t="s">
        <v>316</v>
      </c>
      <c r="M172" s="1" t="s">
        <v>2885</v>
      </c>
      <c r="N172" s="1" t="s">
        <v>790</v>
      </c>
      <c r="O172" s="1" t="s">
        <v>7498</v>
      </c>
    </row>
    <row r="173" spans="8:15" x14ac:dyDescent="0.25">
      <c r="H173" s="1">
        <v>1518124</v>
      </c>
      <c r="I173" s="4">
        <v>46330.416666666664</v>
      </c>
      <c r="J173" s="1" t="s">
        <v>32</v>
      </c>
      <c r="K173" s="1" t="s">
        <v>379</v>
      </c>
      <c r="L173" s="1" t="s">
        <v>380</v>
      </c>
      <c r="M173" s="1" t="s">
        <v>7499</v>
      </c>
      <c r="N173" s="1" t="s">
        <v>7500</v>
      </c>
      <c r="O173" s="1" t="s">
        <v>7501</v>
      </c>
    </row>
    <row r="174" spans="8:15" x14ac:dyDescent="0.25">
      <c r="H174" s="1">
        <v>1518372</v>
      </c>
      <c r="I174" s="4">
        <v>46330.416666666664</v>
      </c>
      <c r="J174" s="1" t="s">
        <v>32</v>
      </c>
      <c r="K174" s="1" t="s">
        <v>43</v>
      </c>
      <c r="L174" s="1" t="s">
        <v>576</v>
      </c>
      <c r="M174" s="1" t="s">
        <v>7502</v>
      </c>
      <c r="N174" s="1" t="s">
        <v>1272</v>
      </c>
      <c r="O174" s="1" t="s">
        <v>7503</v>
      </c>
    </row>
    <row r="175" spans="8:15" x14ac:dyDescent="0.25">
      <c r="H175" s="1">
        <v>1518374</v>
      </c>
      <c r="I175" s="4">
        <v>46330.416666666664</v>
      </c>
      <c r="J175" s="1" t="s">
        <v>32</v>
      </c>
      <c r="K175" s="1" t="s">
        <v>43</v>
      </c>
      <c r="L175" s="1" t="s">
        <v>576</v>
      </c>
      <c r="M175" s="1" t="s">
        <v>3058</v>
      </c>
      <c r="N175" s="1" t="s">
        <v>7504</v>
      </c>
      <c r="O175" s="1" t="s">
        <v>7505</v>
      </c>
    </row>
    <row r="176" spans="8:15" x14ac:dyDescent="0.25">
      <c r="H176" s="1">
        <v>1518381</v>
      </c>
      <c r="I176" s="4">
        <v>46330.416666666664</v>
      </c>
      <c r="J176" s="1" t="s">
        <v>32</v>
      </c>
      <c r="K176" s="1" t="s">
        <v>43</v>
      </c>
      <c r="L176" s="1" t="s">
        <v>576</v>
      </c>
      <c r="M176" s="1" t="s">
        <v>950</v>
      </c>
      <c r="N176" s="1" t="s">
        <v>7506</v>
      </c>
      <c r="O176" s="1" t="s">
        <v>7507</v>
      </c>
    </row>
    <row r="177" spans="8:15" x14ac:dyDescent="0.25">
      <c r="H177" s="1">
        <v>1518382</v>
      </c>
      <c r="I177" s="4">
        <v>46330.416666666664</v>
      </c>
      <c r="J177" s="1" t="s">
        <v>32</v>
      </c>
      <c r="K177" s="1" t="s">
        <v>43</v>
      </c>
      <c r="L177" s="1" t="s">
        <v>576</v>
      </c>
      <c r="M177" s="1" t="s">
        <v>3056</v>
      </c>
      <c r="N177" s="1" t="s">
        <v>953</v>
      </c>
      <c r="O177" s="1" t="s">
        <v>7508</v>
      </c>
    </row>
    <row r="178" spans="8:15" x14ac:dyDescent="0.25">
      <c r="H178" s="1">
        <v>1518383</v>
      </c>
      <c r="I178" s="4">
        <v>46330.416666666664</v>
      </c>
      <c r="J178" s="1" t="s">
        <v>32</v>
      </c>
      <c r="K178" s="1" t="s">
        <v>43</v>
      </c>
      <c r="L178" s="1" t="s">
        <v>576</v>
      </c>
      <c r="M178" s="1" t="s">
        <v>7509</v>
      </c>
      <c r="N178" s="1" t="s">
        <v>1220</v>
      </c>
      <c r="O178" s="1" t="s">
        <v>7510</v>
      </c>
    </row>
    <row r="179" spans="8:15" x14ac:dyDescent="0.25">
      <c r="H179" s="1">
        <v>1518390</v>
      </c>
      <c r="I179" s="4">
        <v>46330.416666666664</v>
      </c>
      <c r="J179" s="1" t="s">
        <v>32</v>
      </c>
      <c r="K179" s="1" t="s">
        <v>43</v>
      </c>
      <c r="L179" s="1" t="s">
        <v>576</v>
      </c>
      <c r="M179" s="1" t="s">
        <v>7511</v>
      </c>
      <c r="N179" s="1" t="s">
        <v>962</v>
      </c>
      <c r="O179" s="1" t="s">
        <v>7512</v>
      </c>
    </row>
    <row r="180" spans="8:15" x14ac:dyDescent="0.25">
      <c r="H180" s="1">
        <v>1518396</v>
      </c>
      <c r="I180" s="4">
        <v>46330.416666666664</v>
      </c>
      <c r="J180" s="1" t="s">
        <v>32</v>
      </c>
      <c r="K180" s="1" t="s">
        <v>43</v>
      </c>
      <c r="L180" s="1" t="s">
        <v>576</v>
      </c>
      <c r="M180" s="1" t="s">
        <v>958</v>
      </c>
      <c r="N180" s="1" t="s">
        <v>1501</v>
      </c>
      <c r="O180" s="1" t="s">
        <v>7513</v>
      </c>
    </row>
    <row r="181" spans="8:15" x14ac:dyDescent="0.25">
      <c r="H181" s="1">
        <v>1518581</v>
      </c>
      <c r="I181" s="4">
        <v>46330.416666666664</v>
      </c>
      <c r="J181" s="1" t="s">
        <v>32</v>
      </c>
      <c r="K181" s="1" t="s">
        <v>43</v>
      </c>
      <c r="L181" s="1" t="s">
        <v>576</v>
      </c>
      <c r="M181" s="1" t="s">
        <v>4853</v>
      </c>
      <c r="N181" s="1" t="s">
        <v>7514</v>
      </c>
      <c r="O181" s="1" t="s">
        <v>7515</v>
      </c>
    </row>
    <row r="182" spans="8:15" x14ac:dyDescent="0.25">
      <c r="H182" s="1">
        <v>1521907</v>
      </c>
      <c r="I182" s="4">
        <v>46330.416666666664</v>
      </c>
      <c r="J182" s="1" t="s">
        <v>32</v>
      </c>
      <c r="K182" s="1" t="s">
        <v>35</v>
      </c>
      <c r="L182" s="1" t="s">
        <v>314</v>
      </c>
      <c r="M182" s="1" t="s">
        <v>2895</v>
      </c>
      <c r="N182" s="1" t="s">
        <v>7516</v>
      </c>
      <c r="O182" s="1" t="s">
        <v>7517</v>
      </c>
    </row>
    <row r="183" spans="8:15" x14ac:dyDescent="0.25">
      <c r="H183" s="1">
        <v>1524008</v>
      </c>
      <c r="I183" s="4">
        <v>46330.416666666664</v>
      </c>
      <c r="J183" s="1" t="s">
        <v>32</v>
      </c>
      <c r="K183" s="1" t="s">
        <v>35</v>
      </c>
      <c r="L183" s="1" t="s">
        <v>318</v>
      </c>
      <c r="M183" s="1" t="s">
        <v>2943</v>
      </c>
      <c r="N183" s="1" t="s">
        <v>797</v>
      </c>
      <c r="O183" s="1" t="s">
        <v>7518</v>
      </c>
    </row>
    <row r="184" spans="8:15" x14ac:dyDescent="0.25">
      <c r="H184" s="1">
        <v>1524128</v>
      </c>
      <c r="I184" s="4">
        <v>46330.416666666664</v>
      </c>
      <c r="J184" s="1" t="s">
        <v>32</v>
      </c>
      <c r="K184" s="1" t="s">
        <v>35</v>
      </c>
      <c r="L184" s="1" t="s">
        <v>2789</v>
      </c>
      <c r="M184" s="1" t="s">
        <v>2946</v>
      </c>
      <c r="N184" s="1" t="s">
        <v>7519</v>
      </c>
      <c r="O184" s="1" t="s">
        <v>7520</v>
      </c>
    </row>
    <row r="185" spans="8:15" x14ac:dyDescent="0.25">
      <c r="H185" s="1">
        <v>1526292</v>
      </c>
      <c r="I185" s="4">
        <v>46330.416666666664</v>
      </c>
      <c r="J185" s="1" t="s">
        <v>32</v>
      </c>
      <c r="K185" s="1" t="s">
        <v>587</v>
      </c>
      <c r="L185" s="1" t="s">
        <v>588</v>
      </c>
      <c r="M185" s="1" t="s">
        <v>3267</v>
      </c>
      <c r="N185" s="1" t="s">
        <v>2925</v>
      </c>
      <c r="O185" s="1" t="s">
        <v>7521</v>
      </c>
    </row>
    <row r="186" spans="8:15" x14ac:dyDescent="0.25">
      <c r="H186" s="1">
        <v>1531666</v>
      </c>
      <c r="I186" s="4">
        <v>46330.416666666664</v>
      </c>
      <c r="J186" s="1" t="s">
        <v>32</v>
      </c>
      <c r="K186" s="1" t="s">
        <v>566</v>
      </c>
      <c r="L186" s="1" t="s">
        <v>567</v>
      </c>
      <c r="M186" s="1" t="s">
        <v>7522</v>
      </c>
      <c r="N186" s="1" t="s">
        <v>3029</v>
      </c>
      <c r="O186" s="1" t="s">
        <v>7523</v>
      </c>
    </row>
    <row r="187" spans="8:15" x14ac:dyDescent="0.25">
      <c r="H187" s="1">
        <v>1533083</v>
      </c>
      <c r="I187" s="4">
        <v>46330.416666666664</v>
      </c>
      <c r="J187" s="1" t="s">
        <v>32</v>
      </c>
      <c r="K187" s="1" t="s">
        <v>35</v>
      </c>
      <c r="L187" s="1" t="s">
        <v>2684</v>
      </c>
      <c r="M187" s="1" t="s">
        <v>2689</v>
      </c>
      <c r="N187" s="1" t="s">
        <v>7524</v>
      </c>
      <c r="O187" s="1" t="s">
        <v>7525</v>
      </c>
    </row>
    <row r="188" spans="8:15" x14ac:dyDescent="0.25">
      <c r="H188" s="1">
        <v>1534010</v>
      </c>
      <c r="I188" s="4">
        <v>46330.416666666664</v>
      </c>
      <c r="J188" s="1" t="s">
        <v>32</v>
      </c>
      <c r="K188" s="1" t="s">
        <v>268</v>
      </c>
      <c r="L188" s="1" t="s">
        <v>6031</v>
      </c>
      <c r="M188" s="1" t="s">
        <v>7526</v>
      </c>
      <c r="N188" s="1" t="s">
        <v>7527</v>
      </c>
      <c r="O188" s="1" t="s">
        <v>7528</v>
      </c>
    </row>
    <row r="189" spans="8:15" x14ac:dyDescent="0.25">
      <c r="H189" s="1">
        <v>1540064</v>
      </c>
      <c r="I189" s="4">
        <v>46330.416666666664</v>
      </c>
      <c r="J189" s="1" t="s">
        <v>32</v>
      </c>
      <c r="K189" s="1" t="s">
        <v>21</v>
      </c>
      <c r="L189" s="1" t="s">
        <v>7529</v>
      </c>
      <c r="M189" s="1" t="s">
        <v>7530</v>
      </c>
      <c r="N189" s="1" t="s">
        <v>7531</v>
      </c>
      <c r="O189" s="1" t="s">
        <v>7532</v>
      </c>
    </row>
    <row r="190" spans="8:15" x14ac:dyDescent="0.25">
      <c r="H190" s="1">
        <v>1539771</v>
      </c>
      <c r="I190" s="4">
        <v>46330.427083333336</v>
      </c>
      <c r="J190" s="1" t="s">
        <v>32</v>
      </c>
      <c r="K190" s="1" t="s">
        <v>5924</v>
      </c>
      <c r="L190" s="1" t="s">
        <v>7410</v>
      </c>
      <c r="M190" s="1" t="s">
        <v>7534</v>
      </c>
      <c r="N190" s="1" t="s">
        <v>7535</v>
      </c>
      <c r="O190" s="1" t="s">
        <v>7536</v>
      </c>
    </row>
    <row r="191" spans="8:15" x14ac:dyDescent="0.25">
      <c r="H191" s="1">
        <v>1404234</v>
      </c>
      <c r="I191" s="4">
        <v>46330.4375</v>
      </c>
      <c r="J191" s="1" t="s">
        <v>32</v>
      </c>
      <c r="K191" s="1" t="s">
        <v>56</v>
      </c>
      <c r="L191" s="1" t="s">
        <v>81</v>
      </c>
      <c r="M191" s="1" t="s">
        <v>7538</v>
      </c>
      <c r="N191" s="1" t="s">
        <v>7539</v>
      </c>
      <c r="O191" s="1" t="s">
        <v>7540</v>
      </c>
    </row>
    <row r="192" spans="8:15" x14ac:dyDescent="0.25">
      <c r="H192" s="1">
        <v>1468016</v>
      </c>
      <c r="I192" s="4">
        <v>46330.4375</v>
      </c>
      <c r="J192" s="1" t="s">
        <v>32</v>
      </c>
      <c r="K192" s="1" t="s">
        <v>41</v>
      </c>
      <c r="L192" s="1" t="s">
        <v>382</v>
      </c>
      <c r="M192" s="1" t="s">
        <v>3046</v>
      </c>
      <c r="N192" s="1" t="s">
        <v>3452</v>
      </c>
      <c r="O192" s="1" t="s">
        <v>7541</v>
      </c>
    </row>
    <row r="193" spans="8:15" x14ac:dyDescent="0.25">
      <c r="H193" s="1">
        <v>1468020</v>
      </c>
      <c r="I193" s="4">
        <v>46330.4375</v>
      </c>
      <c r="J193" s="1" t="s">
        <v>32</v>
      </c>
      <c r="K193" s="1" t="s">
        <v>41</v>
      </c>
      <c r="L193" s="1" t="s">
        <v>382</v>
      </c>
      <c r="M193" s="1" t="s">
        <v>3094</v>
      </c>
      <c r="N193" s="1" t="s">
        <v>4362</v>
      </c>
      <c r="O193" s="1" t="s">
        <v>7542</v>
      </c>
    </row>
    <row r="194" spans="8:15" x14ac:dyDescent="0.25">
      <c r="H194" s="1">
        <v>1518371</v>
      </c>
      <c r="I194" s="4">
        <v>46330.4375</v>
      </c>
      <c r="J194" s="1" t="s">
        <v>32</v>
      </c>
      <c r="K194" s="1" t="s">
        <v>43</v>
      </c>
      <c r="L194" s="1" t="s">
        <v>576</v>
      </c>
      <c r="M194" s="1" t="s">
        <v>1273</v>
      </c>
      <c r="N194" s="1" t="s">
        <v>3053</v>
      </c>
      <c r="O194" s="1" t="s">
        <v>7543</v>
      </c>
    </row>
    <row r="195" spans="8:15" x14ac:dyDescent="0.25">
      <c r="H195" s="1">
        <v>1519524</v>
      </c>
      <c r="I195" s="4">
        <v>46330.4375</v>
      </c>
      <c r="J195" s="1" t="s">
        <v>32</v>
      </c>
      <c r="K195" s="1" t="s">
        <v>546</v>
      </c>
      <c r="L195" s="1" t="s">
        <v>547</v>
      </c>
      <c r="M195" s="1" t="s">
        <v>2023</v>
      </c>
      <c r="N195" s="1" t="s">
        <v>3110</v>
      </c>
      <c r="O195" s="1" t="s">
        <v>7544</v>
      </c>
    </row>
    <row r="196" spans="8:15" x14ac:dyDescent="0.25">
      <c r="H196" s="1">
        <v>1519525</v>
      </c>
      <c r="I196" s="4">
        <v>46330.4375</v>
      </c>
      <c r="J196" s="1" t="s">
        <v>32</v>
      </c>
      <c r="K196" s="1" t="s">
        <v>546</v>
      </c>
      <c r="L196" s="1" t="s">
        <v>547</v>
      </c>
      <c r="M196" s="1" t="s">
        <v>7545</v>
      </c>
      <c r="N196" s="1" t="s">
        <v>5883</v>
      </c>
      <c r="O196" s="1" t="s">
        <v>7546</v>
      </c>
    </row>
    <row r="197" spans="8:15" x14ac:dyDescent="0.25">
      <c r="H197" s="1">
        <v>1521569</v>
      </c>
      <c r="I197" s="4">
        <v>46330.4375</v>
      </c>
      <c r="J197" s="1" t="s">
        <v>32</v>
      </c>
      <c r="K197" s="1" t="s">
        <v>546</v>
      </c>
      <c r="L197" s="1" t="s">
        <v>638</v>
      </c>
      <c r="M197" s="1" t="s">
        <v>5888</v>
      </c>
      <c r="N197" s="1" t="s">
        <v>2024</v>
      </c>
      <c r="O197" s="1" t="s">
        <v>7547</v>
      </c>
    </row>
    <row r="198" spans="8:15" x14ac:dyDescent="0.25">
      <c r="H198" s="1">
        <v>1528405</v>
      </c>
      <c r="I198" s="4">
        <v>46330.4375</v>
      </c>
      <c r="J198" s="1" t="s">
        <v>32</v>
      </c>
      <c r="K198" s="1" t="s">
        <v>7548</v>
      </c>
      <c r="L198" s="1" t="s">
        <v>49</v>
      </c>
      <c r="M198" s="1" t="s">
        <v>7549</v>
      </c>
      <c r="N198" s="1" t="s">
        <v>7550</v>
      </c>
      <c r="O198" s="1" t="s">
        <v>7551</v>
      </c>
    </row>
    <row r="199" spans="8:15" x14ac:dyDescent="0.25">
      <c r="H199" s="1">
        <v>1532545</v>
      </c>
      <c r="I199" s="4">
        <v>46330.4375</v>
      </c>
      <c r="J199" s="1" t="s">
        <v>32</v>
      </c>
      <c r="K199" s="1" t="s">
        <v>35</v>
      </c>
      <c r="L199" s="1" t="s">
        <v>2705</v>
      </c>
      <c r="M199" s="1" t="s">
        <v>2801</v>
      </c>
      <c r="N199" s="1" t="s">
        <v>7552</v>
      </c>
      <c r="O199" s="1" t="s">
        <v>7553</v>
      </c>
    </row>
    <row r="200" spans="8:15" x14ac:dyDescent="0.25">
      <c r="H200" s="1">
        <v>1533983</v>
      </c>
      <c r="I200" s="4">
        <v>46330.4375</v>
      </c>
      <c r="J200" s="1" t="s">
        <v>32</v>
      </c>
      <c r="K200" s="1" t="s">
        <v>95</v>
      </c>
      <c r="L200" s="1" t="s">
        <v>378</v>
      </c>
      <c r="M200" s="1" t="s">
        <v>7554</v>
      </c>
      <c r="N200" s="1" t="s">
        <v>3112</v>
      </c>
      <c r="O200" s="1" t="s">
        <v>7555</v>
      </c>
    </row>
    <row r="201" spans="8:15" x14ac:dyDescent="0.25">
      <c r="H201" s="1">
        <v>1469697</v>
      </c>
      <c r="I201" s="4">
        <v>46330.440972222219</v>
      </c>
      <c r="J201" s="1" t="s">
        <v>32</v>
      </c>
      <c r="K201" s="1" t="s">
        <v>35</v>
      </c>
      <c r="L201" s="1" t="s">
        <v>36</v>
      </c>
      <c r="M201" s="1" t="s">
        <v>7557</v>
      </c>
      <c r="N201" s="1" t="s">
        <v>7558</v>
      </c>
      <c r="O201" s="1" t="s">
        <v>7559</v>
      </c>
    </row>
    <row r="202" spans="8:15" x14ac:dyDescent="0.25">
      <c r="H202" s="1">
        <v>1459756</v>
      </c>
      <c r="I202" s="4">
        <v>46330.447916666664</v>
      </c>
      <c r="J202" s="1" t="s">
        <v>32</v>
      </c>
      <c r="K202" s="1" t="s">
        <v>40</v>
      </c>
      <c r="L202" s="1" t="s">
        <v>646</v>
      </c>
      <c r="M202" s="1" t="s">
        <v>2288</v>
      </c>
      <c r="N202" s="1" t="s">
        <v>1000</v>
      </c>
      <c r="O202" s="1" t="s">
        <v>7561</v>
      </c>
    </row>
    <row r="203" spans="8:15" x14ac:dyDescent="0.25">
      <c r="H203" s="1">
        <v>1391592</v>
      </c>
      <c r="I203" s="4">
        <v>46330.458333333336</v>
      </c>
      <c r="J203" s="1" t="s">
        <v>32</v>
      </c>
      <c r="K203" s="1" t="s">
        <v>319</v>
      </c>
      <c r="L203" s="1" t="s">
        <v>49</v>
      </c>
      <c r="M203" s="1" t="s">
        <v>1528</v>
      </c>
      <c r="N203" s="1" t="s">
        <v>7563</v>
      </c>
      <c r="O203" s="1" t="s">
        <v>7564</v>
      </c>
    </row>
    <row r="204" spans="8:15" x14ac:dyDescent="0.25">
      <c r="H204" s="1">
        <v>1398228</v>
      </c>
      <c r="I204" s="4">
        <v>46330.458333333336</v>
      </c>
      <c r="J204" s="1" t="s">
        <v>32</v>
      </c>
      <c r="K204" s="1" t="s">
        <v>53</v>
      </c>
      <c r="L204" s="1" t="s">
        <v>264</v>
      </c>
      <c r="M204" s="1" t="s">
        <v>4493</v>
      </c>
      <c r="N204" s="1" t="s">
        <v>3141</v>
      </c>
      <c r="O204" s="1" t="s">
        <v>7565</v>
      </c>
    </row>
    <row r="205" spans="8:15" x14ac:dyDescent="0.25">
      <c r="H205" s="1">
        <v>1410989</v>
      </c>
      <c r="I205" s="4">
        <v>46330.458333333336</v>
      </c>
      <c r="J205" s="1" t="s">
        <v>32</v>
      </c>
      <c r="K205" s="1" t="s">
        <v>51</v>
      </c>
      <c r="L205" s="1" t="s">
        <v>539</v>
      </c>
      <c r="M205" s="1" t="s">
        <v>6252</v>
      </c>
      <c r="N205" s="1" t="s">
        <v>3404</v>
      </c>
      <c r="O205" s="1" t="s">
        <v>7566</v>
      </c>
    </row>
    <row r="206" spans="8:15" x14ac:dyDescent="0.25">
      <c r="H206" s="1">
        <v>1437630</v>
      </c>
      <c r="I206" s="4">
        <v>46330.458333333336</v>
      </c>
      <c r="J206" s="1" t="s">
        <v>32</v>
      </c>
      <c r="K206" s="1" t="s">
        <v>65</v>
      </c>
      <c r="L206" s="1" t="s">
        <v>3178</v>
      </c>
      <c r="M206" s="1" t="s">
        <v>4635</v>
      </c>
      <c r="N206" s="1" t="s">
        <v>7567</v>
      </c>
      <c r="O206" s="1" t="s">
        <v>7568</v>
      </c>
    </row>
    <row r="207" spans="8:15" x14ac:dyDescent="0.25">
      <c r="H207" s="1">
        <v>1437635</v>
      </c>
      <c r="I207" s="4">
        <v>46330.458333333336</v>
      </c>
      <c r="J207" s="1" t="s">
        <v>32</v>
      </c>
      <c r="K207" s="1" t="s">
        <v>65</v>
      </c>
      <c r="L207" s="1" t="s">
        <v>3178</v>
      </c>
      <c r="M207" s="1" t="s">
        <v>7569</v>
      </c>
      <c r="N207" s="1" t="s">
        <v>3185</v>
      </c>
      <c r="O207" s="1" t="s">
        <v>7570</v>
      </c>
    </row>
    <row r="208" spans="8:15" x14ac:dyDescent="0.25">
      <c r="H208" s="1">
        <v>1437828</v>
      </c>
      <c r="I208" s="4">
        <v>46330.458333333336</v>
      </c>
      <c r="J208" s="1" t="s">
        <v>32</v>
      </c>
      <c r="K208" s="1" t="s">
        <v>65</v>
      </c>
      <c r="L208" s="1" t="s">
        <v>3191</v>
      </c>
      <c r="M208" s="1" t="s">
        <v>3196</v>
      </c>
      <c r="N208" s="1" t="s">
        <v>3865</v>
      </c>
      <c r="O208" s="1" t="s">
        <v>7571</v>
      </c>
    </row>
    <row r="209" spans="8:15" x14ac:dyDescent="0.25">
      <c r="H209" s="1">
        <v>1437829</v>
      </c>
      <c r="I209" s="4">
        <v>46330.458333333336</v>
      </c>
      <c r="J209" s="1" t="s">
        <v>32</v>
      </c>
      <c r="K209" s="1" t="s">
        <v>65</v>
      </c>
      <c r="L209" s="1" t="s">
        <v>3191</v>
      </c>
      <c r="M209" s="1" t="s">
        <v>3201</v>
      </c>
      <c r="N209" s="1" t="s">
        <v>7572</v>
      </c>
      <c r="O209" s="1" t="s">
        <v>7573</v>
      </c>
    </row>
    <row r="210" spans="8:15" x14ac:dyDescent="0.25">
      <c r="H210" s="1">
        <v>1437832</v>
      </c>
      <c r="I210" s="4">
        <v>46330.458333333336</v>
      </c>
      <c r="J210" s="1" t="s">
        <v>32</v>
      </c>
      <c r="K210" s="1" t="s">
        <v>65</v>
      </c>
      <c r="L210" s="1" t="s">
        <v>3191</v>
      </c>
      <c r="M210" s="1" t="s">
        <v>3198</v>
      </c>
      <c r="N210" s="1" t="s">
        <v>3202</v>
      </c>
      <c r="O210" s="1" t="s">
        <v>7574</v>
      </c>
    </row>
    <row r="211" spans="8:15" x14ac:dyDescent="0.25">
      <c r="H211" s="1">
        <v>1449271</v>
      </c>
      <c r="I211" s="4">
        <v>46330.458333333336</v>
      </c>
      <c r="J211" s="1" t="s">
        <v>32</v>
      </c>
      <c r="K211" s="1" t="s">
        <v>564</v>
      </c>
      <c r="L211" s="1" t="s">
        <v>49</v>
      </c>
      <c r="M211" s="1" t="s">
        <v>2825</v>
      </c>
      <c r="N211" s="1" t="s">
        <v>1014</v>
      </c>
      <c r="O211" s="1" t="s">
        <v>7575</v>
      </c>
    </row>
    <row r="212" spans="8:15" x14ac:dyDescent="0.25">
      <c r="H212" s="1">
        <v>1453326</v>
      </c>
      <c r="I212" s="4">
        <v>46330.458333333336</v>
      </c>
      <c r="J212" s="1" t="s">
        <v>32</v>
      </c>
      <c r="K212" s="1" t="s">
        <v>37</v>
      </c>
      <c r="L212" s="1" t="s">
        <v>565</v>
      </c>
      <c r="M212" s="1" t="s">
        <v>3043</v>
      </c>
      <c r="N212" s="1" t="s">
        <v>855</v>
      </c>
      <c r="O212" s="1" t="s">
        <v>7576</v>
      </c>
    </row>
    <row r="213" spans="8:15" x14ac:dyDescent="0.25">
      <c r="H213" s="1">
        <v>1462504</v>
      </c>
      <c r="I213" s="4">
        <v>46330.458333333336</v>
      </c>
      <c r="J213" s="1" t="s">
        <v>32</v>
      </c>
      <c r="K213" s="1" t="s">
        <v>40</v>
      </c>
      <c r="L213" s="1" t="s">
        <v>650</v>
      </c>
      <c r="M213" s="1" t="s">
        <v>5697</v>
      </c>
      <c r="N213" s="1" t="s">
        <v>4968</v>
      </c>
      <c r="O213" s="1" t="s">
        <v>7577</v>
      </c>
    </row>
    <row r="214" spans="8:15" x14ac:dyDescent="0.25">
      <c r="H214" s="1">
        <v>1479126</v>
      </c>
      <c r="I214" s="4">
        <v>46330.458333333336</v>
      </c>
      <c r="J214" s="1" t="s">
        <v>32</v>
      </c>
      <c r="K214" s="1" t="s">
        <v>98</v>
      </c>
      <c r="L214" s="1" t="s">
        <v>237</v>
      </c>
      <c r="M214" s="1" t="s">
        <v>1980</v>
      </c>
      <c r="N214" s="1" t="s">
        <v>1979</v>
      </c>
      <c r="O214" s="1" t="s">
        <v>7578</v>
      </c>
    </row>
    <row r="215" spans="8:15" x14ac:dyDescent="0.25">
      <c r="H215" s="1">
        <v>1479133</v>
      </c>
      <c r="I215" s="4">
        <v>46330.458333333336</v>
      </c>
      <c r="J215" s="1" t="s">
        <v>32</v>
      </c>
      <c r="K215" s="1" t="s">
        <v>98</v>
      </c>
      <c r="L215" s="1" t="s">
        <v>237</v>
      </c>
      <c r="M215" s="1" t="s">
        <v>7579</v>
      </c>
      <c r="N215" s="1" t="s">
        <v>1975</v>
      </c>
      <c r="O215" s="1" t="s">
        <v>7580</v>
      </c>
    </row>
    <row r="216" spans="8:15" x14ac:dyDescent="0.25">
      <c r="H216" s="1">
        <v>1481940</v>
      </c>
      <c r="I216" s="4">
        <v>46330.458333333336</v>
      </c>
      <c r="J216" s="1" t="s">
        <v>32</v>
      </c>
      <c r="K216" s="1" t="s">
        <v>51</v>
      </c>
      <c r="L216" s="1" t="s">
        <v>383</v>
      </c>
      <c r="M216" s="1" t="s">
        <v>3552</v>
      </c>
      <c r="N216" s="1" t="s">
        <v>1146</v>
      </c>
      <c r="O216" s="1" t="s">
        <v>7581</v>
      </c>
    </row>
    <row r="217" spans="8:15" x14ac:dyDescent="0.25">
      <c r="H217" s="1">
        <v>1481941</v>
      </c>
      <c r="I217" s="4">
        <v>46330.458333333336</v>
      </c>
      <c r="J217" s="1" t="s">
        <v>32</v>
      </c>
      <c r="K217" s="1" t="s">
        <v>51</v>
      </c>
      <c r="L217" s="1" t="s">
        <v>383</v>
      </c>
      <c r="M217" s="1" t="s">
        <v>3221</v>
      </c>
      <c r="N217" s="1" t="s">
        <v>7582</v>
      </c>
      <c r="O217" s="1" t="s">
        <v>7583</v>
      </c>
    </row>
    <row r="218" spans="8:15" x14ac:dyDescent="0.25">
      <c r="H218" s="1">
        <v>1481943</v>
      </c>
      <c r="I218" s="4">
        <v>46330.458333333336</v>
      </c>
      <c r="J218" s="1" t="s">
        <v>32</v>
      </c>
      <c r="K218" s="1" t="s">
        <v>51</v>
      </c>
      <c r="L218" s="1" t="s">
        <v>383</v>
      </c>
      <c r="M218" s="1" t="s">
        <v>1455</v>
      </c>
      <c r="N218" s="1" t="s">
        <v>3219</v>
      </c>
      <c r="O218" s="1" t="s">
        <v>7584</v>
      </c>
    </row>
    <row r="219" spans="8:15" x14ac:dyDescent="0.25">
      <c r="H219" s="1">
        <v>1490661</v>
      </c>
      <c r="I219" s="4">
        <v>46330.458333333336</v>
      </c>
      <c r="J219" s="1" t="s">
        <v>32</v>
      </c>
      <c r="K219" s="1" t="s">
        <v>381</v>
      </c>
      <c r="L219" s="1" t="s">
        <v>7450</v>
      </c>
      <c r="M219" s="1" t="s">
        <v>7585</v>
      </c>
      <c r="N219" s="1" t="s">
        <v>7586</v>
      </c>
      <c r="O219" s="1" t="s">
        <v>7587</v>
      </c>
    </row>
    <row r="220" spans="8:15" x14ac:dyDescent="0.25">
      <c r="H220" s="1">
        <v>1510720</v>
      </c>
      <c r="I220" s="4">
        <v>46330.458333333336</v>
      </c>
      <c r="J220" s="1" t="s">
        <v>32</v>
      </c>
      <c r="K220" s="1" t="s">
        <v>275</v>
      </c>
      <c r="L220" s="1" t="s">
        <v>7588</v>
      </c>
      <c r="M220" s="1" t="s">
        <v>7589</v>
      </c>
      <c r="N220" s="1" t="s">
        <v>7590</v>
      </c>
      <c r="O220" s="1" t="s">
        <v>7591</v>
      </c>
    </row>
    <row r="221" spans="8:15" x14ac:dyDescent="0.25">
      <c r="H221" s="1">
        <v>1511083</v>
      </c>
      <c r="I221" s="4">
        <v>46330.458333333336</v>
      </c>
      <c r="J221" s="1" t="s">
        <v>32</v>
      </c>
      <c r="K221" s="1" t="s">
        <v>275</v>
      </c>
      <c r="L221" s="1" t="s">
        <v>7592</v>
      </c>
      <c r="M221" s="1" t="s">
        <v>7593</v>
      </c>
      <c r="N221" s="1" t="s">
        <v>7594</v>
      </c>
      <c r="O221" s="1" t="s">
        <v>7595</v>
      </c>
    </row>
    <row r="222" spans="8:15" x14ac:dyDescent="0.25">
      <c r="H222" s="1">
        <v>1514610</v>
      </c>
      <c r="I222" s="4">
        <v>46330.458333333336</v>
      </c>
      <c r="J222" s="1" t="s">
        <v>32</v>
      </c>
      <c r="K222" s="1" t="s">
        <v>67</v>
      </c>
      <c r="L222" s="1" t="s">
        <v>81</v>
      </c>
      <c r="M222" s="1" t="s">
        <v>3499</v>
      </c>
      <c r="N222" s="1" t="s">
        <v>7596</v>
      </c>
      <c r="O222" s="1" t="s">
        <v>7597</v>
      </c>
    </row>
    <row r="223" spans="8:15" x14ac:dyDescent="0.25">
      <c r="H223" s="1">
        <v>1514613</v>
      </c>
      <c r="I223" s="4">
        <v>46330.458333333336</v>
      </c>
      <c r="J223" s="1" t="s">
        <v>32</v>
      </c>
      <c r="K223" s="1" t="s">
        <v>67</v>
      </c>
      <c r="L223" s="1" t="s">
        <v>81</v>
      </c>
      <c r="M223" s="1" t="s">
        <v>945</v>
      </c>
      <c r="N223" s="1" t="s">
        <v>3503</v>
      </c>
      <c r="O223" s="1" t="s">
        <v>7598</v>
      </c>
    </row>
    <row r="224" spans="8:15" x14ac:dyDescent="0.25">
      <c r="H224" s="1">
        <v>1515040</v>
      </c>
      <c r="I224" s="4">
        <v>46330.458333333336</v>
      </c>
      <c r="J224" s="1" t="s">
        <v>32</v>
      </c>
      <c r="K224" s="1" t="s">
        <v>53</v>
      </c>
      <c r="L224" s="1" t="s">
        <v>654</v>
      </c>
      <c r="M224" s="1" t="s">
        <v>6488</v>
      </c>
      <c r="N224" s="1" t="s">
        <v>1156</v>
      </c>
      <c r="O224" s="1" t="s">
        <v>7599</v>
      </c>
    </row>
    <row r="225" spans="8:15" x14ac:dyDescent="0.25">
      <c r="H225" s="1">
        <v>1516693</v>
      </c>
      <c r="I225" s="4">
        <v>46330.458333333336</v>
      </c>
      <c r="J225" s="1" t="s">
        <v>32</v>
      </c>
      <c r="K225" s="1" t="s">
        <v>33</v>
      </c>
      <c r="L225" s="1" t="s">
        <v>2738</v>
      </c>
      <c r="M225" s="1" t="s">
        <v>818</v>
      </c>
      <c r="N225" s="1" t="s">
        <v>7600</v>
      </c>
      <c r="O225" s="1" t="s">
        <v>7601</v>
      </c>
    </row>
    <row r="226" spans="8:15" x14ac:dyDescent="0.25">
      <c r="H226" s="1">
        <v>1518377</v>
      </c>
      <c r="I226" s="4">
        <v>46330.458333333336</v>
      </c>
      <c r="J226" s="1" t="s">
        <v>32</v>
      </c>
      <c r="K226" s="1" t="s">
        <v>43</v>
      </c>
      <c r="L226" s="1" t="s">
        <v>576</v>
      </c>
      <c r="M226" s="1" t="s">
        <v>7602</v>
      </c>
      <c r="N226" s="1" t="s">
        <v>7603</v>
      </c>
      <c r="O226" s="1" t="s">
        <v>7604</v>
      </c>
    </row>
    <row r="227" spans="8:15" x14ac:dyDescent="0.25">
      <c r="H227" s="1">
        <v>1518379</v>
      </c>
      <c r="I227" s="4">
        <v>46330.458333333336</v>
      </c>
      <c r="J227" s="1" t="s">
        <v>32</v>
      </c>
      <c r="K227" s="1" t="s">
        <v>43</v>
      </c>
      <c r="L227" s="1" t="s">
        <v>576</v>
      </c>
      <c r="M227" s="1" t="s">
        <v>7605</v>
      </c>
      <c r="N227" s="1" t="s">
        <v>948</v>
      </c>
      <c r="O227" s="1" t="s">
        <v>7606</v>
      </c>
    </row>
    <row r="228" spans="8:15" x14ac:dyDescent="0.25">
      <c r="H228" s="1">
        <v>1518380</v>
      </c>
      <c r="I228" s="4">
        <v>46330.458333333336</v>
      </c>
      <c r="J228" s="1" t="s">
        <v>32</v>
      </c>
      <c r="K228" s="1" t="s">
        <v>43</v>
      </c>
      <c r="L228" s="1" t="s">
        <v>576</v>
      </c>
      <c r="M228" s="1" t="s">
        <v>952</v>
      </c>
      <c r="N228" s="1" t="s">
        <v>951</v>
      </c>
      <c r="O228" s="1" t="s">
        <v>7607</v>
      </c>
    </row>
    <row r="229" spans="8:15" x14ac:dyDescent="0.25">
      <c r="H229" s="1">
        <v>1518385</v>
      </c>
      <c r="I229" s="4">
        <v>46330.458333333336</v>
      </c>
      <c r="J229" s="1" t="s">
        <v>32</v>
      </c>
      <c r="K229" s="1" t="s">
        <v>43</v>
      </c>
      <c r="L229" s="1" t="s">
        <v>576</v>
      </c>
      <c r="M229" s="1" t="s">
        <v>7608</v>
      </c>
      <c r="N229" s="1" t="s">
        <v>954</v>
      </c>
      <c r="O229" s="1" t="s">
        <v>7609</v>
      </c>
    </row>
    <row r="230" spans="8:15" x14ac:dyDescent="0.25">
      <c r="H230" s="1">
        <v>1518388</v>
      </c>
      <c r="I230" s="4">
        <v>46330.458333333336</v>
      </c>
      <c r="J230" s="1" t="s">
        <v>32</v>
      </c>
      <c r="K230" s="1" t="s">
        <v>43</v>
      </c>
      <c r="L230" s="1" t="s">
        <v>576</v>
      </c>
      <c r="M230" s="1" t="s">
        <v>7610</v>
      </c>
      <c r="N230" s="1" t="s">
        <v>961</v>
      </c>
      <c r="O230" s="1" t="s">
        <v>7611</v>
      </c>
    </row>
    <row r="231" spans="8:15" x14ac:dyDescent="0.25">
      <c r="H231" s="1">
        <v>1518575</v>
      </c>
      <c r="I231" s="4">
        <v>46330.458333333336</v>
      </c>
      <c r="J231" s="1" t="s">
        <v>32</v>
      </c>
      <c r="K231" s="1" t="s">
        <v>43</v>
      </c>
      <c r="L231" s="1" t="s">
        <v>576</v>
      </c>
      <c r="M231" s="1" t="s">
        <v>1277</v>
      </c>
      <c r="N231" s="1" t="s">
        <v>7612</v>
      </c>
      <c r="O231" s="1" t="s">
        <v>7613</v>
      </c>
    </row>
    <row r="232" spans="8:15" x14ac:dyDescent="0.25">
      <c r="H232" s="1">
        <v>1518951</v>
      </c>
      <c r="I232" s="4">
        <v>46330.458333333336</v>
      </c>
      <c r="J232" s="1" t="s">
        <v>32</v>
      </c>
      <c r="K232" s="1" t="s">
        <v>38</v>
      </c>
      <c r="L232" s="1" t="s">
        <v>7457</v>
      </c>
      <c r="M232" s="1" t="s">
        <v>7614</v>
      </c>
      <c r="N232" s="1" t="s">
        <v>7615</v>
      </c>
      <c r="O232" s="1" t="s">
        <v>7616</v>
      </c>
    </row>
    <row r="233" spans="8:15" x14ac:dyDescent="0.25">
      <c r="H233" s="1">
        <v>1526702</v>
      </c>
      <c r="I233" s="4">
        <v>46330.458333333336</v>
      </c>
      <c r="J233" s="1" t="s">
        <v>32</v>
      </c>
      <c r="K233" s="1" t="s">
        <v>377</v>
      </c>
      <c r="L233" s="1" t="s">
        <v>2949</v>
      </c>
      <c r="M233" s="1" t="s">
        <v>2950</v>
      </c>
      <c r="N233" s="1" t="s">
        <v>3065</v>
      </c>
      <c r="O233" s="1" t="s">
        <v>7617</v>
      </c>
    </row>
    <row r="234" spans="8:15" x14ac:dyDescent="0.25">
      <c r="H234" s="1">
        <v>1527926</v>
      </c>
      <c r="I234" s="4">
        <v>46330.458333333336</v>
      </c>
      <c r="J234" s="1" t="s">
        <v>32</v>
      </c>
      <c r="K234" s="1" t="s">
        <v>569</v>
      </c>
      <c r="L234" s="1" t="s">
        <v>49</v>
      </c>
      <c r="M234" s="1" t="s">
        <v>966</v>
      </c>
      <c r="N234" s="1" t="s">
        <v>1175</v>
      </c>
      <c r="O234" s="1" t="s">
        <v>7618</v>
      </c>
    </row>
    <row r="235" spans="8:15" x14ac:dyDescent="0.25">
      <c r="H235" s="1">
        <v>1533912</v>
      </c>
      <c r="I235" s="4">
        <v>46330.458333333336</v>
      </c>
      <c r="J235" s="1" t="s">
        <v>32</v>
      </c>
      <c r="K235" s="1" t="s">
        <v>58</v>
      </c>
      <c r="L235" s="1" t="s">
        <v>4379</v>
      </c>
      <c r="M235" s="1" t="s">
        <v>4832</v>
      </c>
      <c r="N235" s="1" t="s">
        <v>4835</v>
      </c>
      <c r="O235" s="1" t="s">
        <v>7619</v>
      </c>
    </row>
    <row r="236" spans="8:15" x14ac:dyDescent="0.25">
      <c r="H236" s="1">
        <v>1534265</v>
      </c>
      <c r="I236" s="4">
        <v>46330.458333333336</v>
      </c>
      <c r="J236" s="1" t="s">
        <v>32</v>
      </c>
      <c r="K236" s="1" t="s">
        <v>389</v>
      </c>
      <c r="L236" s="1" t="s">
        <v>335</v>
      </c>
      <c r="M236" s="1" t="s">
        <v>7620</v>
      </c>
      <c r="N236" s="1" t="s">
        <v>7621</v>
      </c>
      <c r="O236" s="1" t="s">
        <v>7622</v>
      </c>
    </row>
    <row r="237" spans="8:15" x14ac:dyDescent="0.25">
      <c r="H237" s="1">
        <v>1536528</v>
      </c>
      <c r="I237" s="4">
        <v>46330.458333333336</v>
      </c>
      <c r="J237" s="1" t="s">
        <v>32</v>
      </c>
      <c r="K237" s="1" t="s">
        <v>377</v>
      </c>
      <c r="L237" s="1" t="s">
        <v>7242</v>
      </c>
      <c r="M237" s="1" t="s">
        <v>7623</v>
      </c>
      <c r="N237" s="1" t="s">
        <v>7624</v>
      </c>
      <c r="O237" s="1" t="s">
        <v>7625</v>
      </c>
    </row>
    <row r="238" spans="8:15" x14ac:dyDescent="0.25">
      <c r="H238" s="1">
        <v>1396052</v>
      </c>
      <c r="I238" s="4">
        <v>46330.46875</v>
      </c>
      <c r="J238" s="1" t="s">
        <v>32</v>
      </c>
      <c r="K238" s="1" t="s">
        <v>51</v>
      </c>
      <c r="L238" s="1" t="s">
        <v>385</v>
      </c>
      <c r="M238" s="1" t="s">
        <v>2283</v>
      </c>
      <c r="N238" s="1" t="s">
        <v>7627</v>
      </c>
      <c r="O238" s="1" t="s">
        <v>7628</v>
      </c>
    </row>
    <row r="239" spans="8:15" x14ac:dyDescent="0.25">
      <c r="H239" s="1">
        <v>1508325</v>
      </c>
      <c r="I239" s="4">
        <v>46330.46875</v>
      </c>
      <c r="J239" s="1" t="s">
        <v>32</v>
      </c>
      <c r="K239" s="1" t="s">
        <v>58</v>
      </c>
      <c r="L239" s="1" t="s">
        <v>4379</v>
      </c>
      <c r="M239" s="1" t="s">
        <v>4445</v>
      </c>
      <c r="N239" s="1" t="s">
        <v>4831</v>
      </c>
      <c r="O239" s="1" t="s">
        <v>7629</v>
      </c>
    </row>
    <row r="240" spans="8:15" x14ac:dyDescent="0.25">
      <c r="H240" s="1">
        <v>1398662</v>
      </c>
      <c r="I240" s="4">
        <v>46330.479166666664</v>
      </c>
      <c r="J240" s="1" t="s">
        <v>32</v>
      </c>
      <c r="K240" s="1" t="s">
        <v>42</v>
      </c>
      <c r="L240" s="1" t="s">
        <v>50</v>
      </c>
      <c r="M240" s="1" t="s">
        <v>7631</v>
      </c>
      <c r="N240" s="1" t="s">
        <v>7632</v>
      </c>
      <c r="O240" s="1" t="s">
        <v>7633</v>
      </c>
    </row>
    <row r="241" spans="8:15" x14ac:dyDescent="0.25">
      <c r="H241" s="1">
        <v>1437826</v>
      </c>
      <c r="I241" s="4">
        <v>46330.479166666664</v>
      </c>
      <c r="J241" s="1" t="s">
        <v>32</v>
      </c>
      <c r="K241" s="1" t="s">
        <v>65</v>
      </c>
      <c r="L241" s="1" t="s">
        <v>3191</v>
      </c>
      <c r="M241" s="1" t="s">
        <v>3199</v>
      </c>
      <c r="N241" s="1" t="s">
        <v>3288</v>
      </c>
      <c r="O241" s="1" t="s">
        <v>7634</v>
      </c>
    </row>
    <row r="242" spans="8:15" x14ac:dyDescent="0.25">
      <c r="H242" s="1">
        <v>1481944</v>
      </c>
      <c r="I242" s="4">
        <v>46330.479166666664</v>
      </c>
      <c r="J242" s="1" t="s">
        <v>32</v>
      </c>
      <c r="K242" s="1" t="s">
        <v>51</v>
      </c>
      <c r="L242" s="1" t="s">
        <v>383</v>
      </c>
      <c r="M242" s="1" t="s">
        <v>3224</v>
      </c>
      <c r="N242" s="1" t="s">
        <v>1456</v>
      </c>
      <c r="O242" s="1" t="s">
        <v>7635</v>
      </c>
    </row>
    <row r="243" spans="8:15" x14ac:dyDescent="0.25">
      <c r="H243" s="1">
        <v>1490657</v>
      </c>
      <c r="I243" s="4">
        <v>46330.479166666664</v>
      </c>
      <c r="J243" s="1" t="s">
        <v>32</v>
      </c>
      <c r="K243" s="1" t="s">
        <v>381</v>
      </c>
      <c r="L243" s="1" t="s">
        <v>7450</v>
      </c>
      <c r="M243" s="1" t="s">
        <v>7636</v>
      </c>
      <c r="N243" s="1" t="s">
        <v>7637</v>
      </c>
      <c r="O243" s="1" t="s">
        <v>7638</v>
      </c>
    </row>
    <row r="244" spans="8:15" x14ac:dyDescent="0.25">
      <c r="H244" s="1">
        <v>1508326</v>
      </c>
      <c r="I244" s="4">
        <v>46330.479166666664</v>
      </c>
      <c r="J244" s="1" t="s">
        <v>32</v>
      </c>
      <c r="K244" s="1" t="s">
        <v>58</v>
      </c>
      <c r="L244" s="1" t="s">
        <v>4379</v>
      </c>
      <c r="M244" s="1" t="s">
        <v>4381</v>
      </c>
      <c r="N244" s="1" t="s">
        <v>4444</v>
      </c>
      <c r="O244" s="1" t="s">
        <v>7639</v>
      </c>
    </row>
    <row r="245" spans="8:15" x14ac:dyDescent="0.25">
      <c r="H245" s="1">
        <v>1527481</v>
      </c>
      <c r="I245" s="4">
        <v>46330.479166666664</v>
      </c>
      <c r="J245" s="1" t="s">
        <v>32</v>
      </c>
      <c r="K245" s="1" t="s">
        <v>260</v>
      </c>
      <c r="L245" s="1" t="s">
        <v>399</v>
      </c>
      <c r="M245" s="1" t="s">
        <v>1013</v>
      </c>
      <c r="N245" s="1" t="s">
        <v>7640</v>
      </c>
      <c r="O245" s="1" t="s">
        <v>7641</v>
      </c>
    </row>
    <row r="246" spans="8:15" x14ac:dyDescent="0.25">
      <c r="H246" s="1">
        <v>1537602</v>
      </c>
      <c r="I246" s="4">
        <v>46330.479166666664</v>
      </c>
      <c r="J246" s="1" t="s">
        <v>32</v>
      </c>
      <c r="K246" s="1" t="s">
        <v>78</v>
      </c>
      <c r="L246" s="1" t="s">
        <v>335</v>
      </c>
      <c r="M246" s="1" t="s">
        <v>3341</v>
      </c>
      <c r="N246" s="1" t="s">
        <v>2510</v>
      </c>
      <c r="O246" s="1" t="s">
        <v>7642</v>
      </c>
    </row>
    <row r="247" spans="8:15" x14ac:dyDescent="0.25">
      <c r="H247" s="1">
        <v>1540037</v>
      </c>
      <c r="I247" s="4">
        <v>46330.479166666664</v>
      </c>
      <c r="J247" s="1" t="s">
        <v>32</v>
      </c>
      <c r="K247" s="1" t="s">
        <v>570</v>
      </c>
      <c r="L247" s="1" t="s">
        <v>49</v>
      </c>
      <c r="M247" s="1" t="s">
        <v>7643</v>
      </c>
      <c r="N247" s="1" t="s">
        <v>7644</v>
      </c>
      <c r="O247" s="1" t="s">
        <v>7645</v>
      </c>
    </row>
    <row r="248" spans="8:15" x14ac:dyDescent="0.25">
      <c r="H248" s="1">
        <v>1388870</v>
      </c>
      <c r="I248" s="4">
        <v>46330.5</v>
      </c>
      <c r="J248" s="1" t="s">
        <v>32</v>
      </c>
      <c r="K248" s="1" t="s">
        <v>43</v>
      </c>
      <c r="L248" s="1" t="s">
        <v>337</v>
      </c>
      <c r="M248" s="1" t="s">
        <v>1321</v>
      </c>
      <c r="N248" s="1" t="s">
        <v>3358</v>
      </c>
      <c r="O248" s="1" t="s">
        <v>7647</v>
      </c>
    </row>
    <row r="249" spans="8:15" x14ac:dyDescent="0.25">
      <c r="H249" s="1">
        <v>1388872</v>
      </c>
      <c r="I249" s="4">
        <v>46330.5</v>
      </c>
      <c r="J249" s="1" t="s">
        <v>32</v>
      </c>
      <c r="K249" s="1" t="s">
        <v>43</v>
      </c>
      <c r="L249" s="1" t="s">
        <v>337</v>
      </c>
      <c r="M249" s="1" t="s">
        <v>3357</v>
      </c>
      <c r="N249" s="1" t="s">
        <v>1319</v>
      </c>
      <c r="O249" s="1" t="s">
        <v>7648</v>
      </c>
    </row>
    <row r="250" spans="8:15" x14ac:dyDescent="0.25">
      <c r="H250" s="1">
        <v>1388874</v>
      </c>
      <c r="I250" s="4">
        <v>46330.5</v>
      </c>
      <c r="J250" s="1" t="s">
        <v>32</v>
      </c>
      <c r="K250" s="1" t="s">
        <v>43</v>
      </c>
      <c r="L250" s="1" t="s">
        <v>337</v>
      </c>
      <c r="M250" s="1" t="s">
        <v>1320</v>
      </c>
      <c r="N250" s="1" t="s">
        <v>1318</v>
      </c>
      <c r="O250" s="1" t="s">
        <v>7649</v>
      </c>
    </row>
    <row r="251" spans="8:15" x14ac:dyDescent="0.25">
      <c r="H251" s="1">
        <v>1400219</v>
      </c>
      <c r="I251" s="4">
        <v>46330.5</v>
      </c>
      <c r="J251" s="1" t="s">
        <v>32</v>
      </c>
      <c r="K251" s="1" t="s">
        <v>377</v>
      </c>
      <c r="L251" s="1" t="s">
        <v>49</v>
      </c>
      <c r="M251" s="1" t="s">
        <v>1195</v>
      </c>
      <c r="N251" s="1" t="s">
        <v>2475</v>
      </c>
      <c r="O251" s="1" t="s">
        <v>7650</v>
      </c>
    </row>
    <row r="252" spans="8:15" x14ac:dyDescent="0.25">
      <c r="H252" s="1">
        <v>1404604</v>
      </c>
      <c r="I252" s="4">
        <v>46330.5</v>
      </c>
      <c r="J252" s="1" t="s">
        <v>32</v>
      </c>
      <c r="K252" s="1" t="s">
        <v>41</v>
      </c>
      <c r="L252" s="1" t="s">
        <v>262</v>
      </c>
      <c r="M252" s="1" t="s">
        <v>916</v>
      </c>
      <c r="N252" s="1" t="s">
        <v>3034</v>
      </c>
      <c r="O252" s="1" t="s">
        <v>7651</v>
      </c>
    </row>
    <row r="253" spans="8:15" x14ac:dyDescent="0.25">
      <c r="H253" s="1">
        <v>1408022</v>
      </c>
      <c r="I253" s="4">
        <v>46330.5</v>
      </c>
      <c r="J253" s="1" t="s">
        <v>32</v>
      </c>
      <c r="K253" s="1" t="s">
        <v>43</v>
      </c>
      <c r="L253" s="1" t="s">
        <v>341</v>
      </c>
      <c r="M253" s="1" t="s">
        <v>3393</v>
      </c>
      <c r="N253" s="1" t="s">
        <v>7652</v>
      </c>
      <c r="O253" s="1" t="s">
        <v>7653</v>
      </c>
    </row>
    <row r="254" spans="8:15" x14ac:dyDescent="0.25">
      <c r="H254" s="1">
        <v>1414273</v>
      </c>
      <c r="I254" s="4">
        <v>46330.5</v>
      </c>
      <c r="J254" s="1" t="s">
        <v>32</v>
      </c>
      <c r="K254" s="1" t="s">
        <v>43</v>
      </c>
      <c r="L254" s="1" t="s">
        <v>592</v>
      </c>
      <c r="M254" s="1" t="s">
        <v>3407</v>
      </c>
      <c r="N254" s="1" t="s">
        <v>7654</v>
      </c>
      <c r="O254" s="1" t="s">
        <v>7655</v>
      </c>
    </row>
    <row r="255" spans="8:15" x14ac:dyDescent="0.25">
      <c r="H255" s="1">
        <v>1437831</v>
      </c>
      <c r="I255" s="4">
        <v>46330.5</v>
      </c>
      <c r="J255" s="1" t="s">
        <v>32</v>
      </c>
      <c r="K255" s="1" t="s">
        <v>65</v>
      </c>
      <c r="L255" s="1" t="s">
        <v>3191</v>
      </c>
      <c r="M255" s="1" t="s">
        <v>3444</v>
      </c>
      <c r="N255" s="1" t="s">
        <v>3193</v>
      </c>
      <c r="O255" s="1" t="s">
        <v>7656</v>
      </c>
    </row>
    <row r="256" spans="8:15" x14ac:dyDescent="0.25">
      <c r="H256" s="1">
        <v>1449521</v>
      </c>
      <c r="I256" s="4">
        <v>46330.5</v>
      </c>
      <c r="J256" s="1" t="s">
        <v>32</v>
      </c>
      <c r="K256" s="1" t="s">
        <v>64</v>
      </c>
      <c r="L256" s="1" t="s">
        <v>3448</v>
      </c>
      <c r="M256" s="1" t="s">
        <v>4310</v>
      </c>
      <c r="N256" s="1" t="s">
        <v>4313</v>
      </c>
      <c r="O256" s="1" t="s">
        <v>7657</v>
      </c>
    </row>
    <row r="257" spans="8:15" x14ac:dyDescent="0.25">
      <c r="H257" s="1">
        <v>1461586</v>
      </c>
      <c r="I257" s="4">
        <v>46330.5</v>
      </c>
      <c r="J257" s="1" t="s">
        <v>32</v>
      </c>
      <c r="K257" s="1" t="s">
        <v>40</v>
      </c>
      <c r="L257" s="1" t="s">
        <v>584</v>
      </c>
      <c r="M257" s="1" t="s">
        <v>1257</v>
      </c>
      <c r="N257" s="1" t="s">
        <v>3204</v>
      </c>
      <c r="O257" s="1" t="s">
        <v>7658</v>
      </c>
    </row>
    <row r="258" spans="8:15" x14ac:dyDescent="0.25">
      <c r="H258" s="1">
        <v>1481942</v>
      </c>
      <c r="I258" s="4">
        <v>46330.5</v>
      </c>
      <c r="J258" s="1" t="s">
        <v>32</v>
      </c>
      <c r="K258" s="1" t="s">
        <v>51</v>
      </c>
      <c r="L258" s="1" t="s">
        <v>383</v>
      </c>
      <c r="M258" s="1" t="s">
        <v>7659</v>
      </c>
      <c r="N258" s="1" t="s">
        <v>3553</v>
      </c>
      <c r="O258" s="1" t="s">
        <v>7660</v>
      </c>
    </row>
    <row r="259" spans="8:15" x14ac:dyDescent="0.25">
      <c r="H259" s="1">
        <v>1490658</v>
      </c>
      <c r="I259" s="4">
        <v>46330.5</v>
      </c>
      <c r="J259" s="1" t="s">
        <v>32</v>
      </c>
      <c r="K259" s="1" t="s">
        <v>381</v>
      </c>
      <c r="L259" s="1" t="s">
        <v>7450</v>
      </c>
      <c r="M259" s="1" t="s">
        <v>7661</v>
      </c>
      <c r="N259" s="1" t="s">
        <v>7662</v>
      </c>
      <c r="O259" s="1" t="s">
        <v>7663</v>
      </c>
    </row>
    <row r="260" spans="8:15" x14ac:dyDescent="0.25">
      <c r="H260" s="1">
        <v>1490660</v>
      </c>
      <c r="I260" s="4">
        <v>46330.5</v>
      </c>
      <c r="J260" s="1" t="s">
        <v>32</v>
      </c>
      <c r="K260" s="1" t="s">
        <v>381</v>
      </c>
      <c r="L260" s="1" t="s">
        <v>7450</v>
      </c>
      <c r="M260" s="1" t="s">
        <v>7664</v>
      </c>
      <c r="N260" s="1" t="s">
        <v>7665</v>
      </c>
      <c r="O260" s="1" t="s">
        <v>7666</v>
      </c>
    </row>
    <row r="261" spans="8:15" x14ac:dyDescent="0.25">
      <c r="H261" s="1">
        <v>1491245</v>
      </c>
      <c r="I261" s="4">
        <v>46330.5</v>
      </c>
      <c r="J261" s="1" t="s">
        <v>32</v>
      </c>
      <c r="K261" s="1" t="s">
        <v>105</v>
      </c>
      <c r="L261" s="1" t="s">
        <v>321</v>
      </c>
      <c r="M261" s="1" t="s">
        <v>3464</v>
      </c>
      <c r="N261" s="1" t="s">
        <v>7667</v>
      </c>
      <c r="O261" s="1" t="s">
        <v>7668</v>
      </c>
    </row>
    <row r="262" spans="8:15" x14ac:dyDescent="0.25">
      <c r="H262" s="1">
        <v>1495652</v>
      </c>
      <c r="I262" s="4">
        <v>46330.5</v>
      </c>
      <c r="J262" s="1" t="s">
        <v>32</v>
      </c>
      <c r="K262" s="1" t="s">
        <v>5924</v>
      </c>
      <c r="L262" s="1" t="s">
        <v>7669</v>
      </c>
      <c r="M262" s="1" t="s">
        <v>3539</v>
      </c>
      <c r="N262" s="1" t="s">
        <v>3536</v>
      </c>
      <c r="O262" s="1" t="s">
        <v>7670</v>
      </c>
    </row>
    <row r="263" spans="8:15" x14ac:dyDescent="0.25">
      <c r="H263" s="1">
        <v>1496210</v>
      </c>
      <c r="I263" s="4">
        <v>46330.5</v>
      </c>
      <c r="J263" s="1" t="s">
        <v>32</v>
      </c>
      <c r="K263" s="1" t="s">
        <v>85</v>
      </c>
      <c r="L263" s="1" t="s">
        <v>7671</v>
      </c>
      <c r="M263" s="1" t="s">
        <v>4074</v>
      </c>
      <c r="N263" s="1" t="s">
        <v>7672</v>
      </c>
      <c r="O263" s="1" t="s">
        <v>7673</v>
      </c>
    </row>
    <row r="264" spans="8:15" x14ac:dyDescent="0.25">
      <c r="H264" s="1">
        <v>1496387</v>
      </c>
      <c r="I264" s="4">
        <v>46330.5</v>
      </c>
      <c r="J264" s="1" t="s">
        <v>32</v>
      </c>
      <c r="K264" s="1" t="s">
        <v>85</v>
      </c>
      <c r="L264" s="1" t="s">
        <v>7674</v>
      </c>
      <c r="M264" s="1" t="s">
        <v>7675</v>
      </c>
      <c r="N264" s="1" t="s">
        <v>7676</v>
      </c>
      <c r="O264" s="1" t="s">
        <v>7677</v>
      </c>
    </row>
    <row r="265" spans="8:15" x14ac:dyDescent="0.25">
      <c r="H265" s="1">
        <v>1496391</v>
      </c>
      <c r="I265" s="4">
        <v>46330.5</v>
      </c>
      <c r="J265" s="1" t="s">
        <v>32</v>
      </c>
      <c r="K265" s="1" t="s">
        <v>85</v>
      </c>
      <c r="L265" s="1" t="s">
        <v>7674</v>
      </c>
      <c r="M265" s="1" t="s">
        <v>7678</v>
      </c>
      <c r="N265" s="1" t="s">
        <v>7679</v>
      </c>
      <c r="O265" s="1" t="s">
        <v>7680</v>
      </c>
    </row>
    <row r="266" spans="8:15" x14ac:dyDescent="0.25">
      <c r="H266" s="1">
        <v>1496571</v>
      </c>
      <c r="I266" s="4">
        <v>46330.5</v>
      </c>
      <c r="J266" s="1" t="s">
        <v>32</v>
      </c>
      <c r="K266" s="1" t="s">
        <v>85</v>
      </c>
      <c r="L266" s="1" t="s">
        <v>7681</v>
      </c>
      <c r="M266" s="1" t="s">
        <v>7682</v>
      </c>
      <c r="N266" s="1" t="s">
        <v>7683</v>
      </c>
      <c r="O266" s="1" t="s">
        <v>7684</v>
      </c>
    </row>
    <row r="267" spans="8:15" x14ac:dyDescent="0.25">
      <c r="H267" s="1">
        <v>1496932</v>
      </c>
      <c r="I267" s="4">
        <v>46330.5</v>
      </c>
      <c r="J267" s="1" t="s">
        <v>32</v>
      </c>
      <c r="K267" s="1" t="s">
        <v>85</v>
      </c>
      <c r="L267" s="1" t="s">
        <v>7685</v>
      </c>
      <c r="M267" s="1" t="s">
        <v>7686</v>
      </c>
      <c r="N267" s="1" t="s">
        <v>7687</v>
      </c>
      <c r="O267" s="1" t="s">
        <v>7688</v>
      </c>
    </row>
    <row r="268" spans="8:15" x14ac:dyDescent="0.25">
      <c r="H268" s="1">
        <v>1497523</v>
      </c>
      <c r="I268" s="4">
        <v>46330.5</v>
      </c>
      <c r="J268" s="1" t="s">
        <v>32</v>
      </c>
      <c r="K268" s="1" t="s">
        <v>275</v>
      </c>
      <c r="L268" s="1" t="s">
        <v>7689</v>
      </c>
      <c r="M268" s="1" t="s">
        <v>7690</v>
      </c>
      <c r="N268" s="1" t="s">
        <v>5919</v>
      </c>
      <c r="O268" s="1" t="s">
        <v>7691</v>
      </c>
    </row>
    <row r="269" spans="8:15" x14ac:dyDescent="0.25">
      <c r="H269" s="1">
        <v>1497525</v>
      </c>
      <c r="I269" s="4">
        <v>46330.5</v>
      </c>
      <c r="J269" s="1" t="s">
        <v>32</v>
      </c>
      <c r="K269" s="1" t="s">
        <v>275</v>
      </c>
      <c r="L269" s="1" t="s">
        <v>7689</v>
      </c>
      <c r="M269" s="1" t="s">
        <v>3121</v>
      </c>
      <c r="N269" s="1" t="s">
        <v>4797</v>
      </c>
      <c r="O269" s="1" t="s">
        <v>7692</v>
      </c>
    </row>
    <row r="270" spans="8:15" x14ac:dyDescent="0.25">
      <c r="H270" s="1">
        <v>1504382</v>
      </c>
      <c r="I270" s="4">
        <v>46330.5</v>
      </c>
      <c r="J270" s="1" t="s">
        <v>32</v>
      </c>
      <c r="K270" s="1" t="s">
        <v>275</v>
      </c>
      <c r="L270" s="1" t="s">
        <v>7693</v>
      </c>
      <c r="M270" s="1" t="s">
        <v>3470</v>
      </c>
      <c r="N270" s="1" t="s">
        <v>3497</v>
      </c>
      <c r="O270" s="1" t="s">
        <v>7694</v>
      </c>
    </row>
    <row r="271" spans="8:15" x14ac:dyDescent="0.25">
      <c r="H271" s="1">
        <v>1504385</v>
      </c>
      <c r="I271" s="4">
        <v>46330.5</v>
      </c>
      <c r="J271" s="1" t="s">
        <v>32</v>
      </c>
      <c r="K271" s="1" t="s">
        <v>275</v>
      </c>
      <c r="L271" s="1" t="s">
        <v>7693</v>
      </c>
      <c r="M271" s="1" t="s">
        <v>1781</v>
      </c>
      <c r="N271" s="1" t="s">
        <v>7695</v>
      </c>
      <c r="O271" s="1" t="s">
        <v>7696</v>
      </c>
    </row>
    <row r="272" spans="8:15" x14ac:dyDescent="0.25">
      <c r="H272" s="1">
        <v>1504386</v>
      </c>
      <c r="I272" s="4">
        <v>46330.5</v>
      </c>
      <c r="J272" s="1" t="s">
        <v>32</v>
      </c>
      <c r="K272" s="1" t="s">
        <v>275</v>
      </c>
      <c r="L272" s="1" t="s">
        <v>7693</v>
      </c>
      <c r="M272" s="1" t="s">
        <v>3478</v>
      </c>
      <c r="N272" s="1" t="s">
        <v>3491</v>
      </c>
      <c r="O272" s="1" t="s">
        <v>7697</v>
      </c>
    </row>
    <row r="273" spans="8:15" x14ac:dyDescent="0.25">
      <c r="H273" s="1">
        <v>1506840</v>
      </c>
      <c r="I273" s="4">
        <v>46330.5</v>
      </c>
      <c r="J273" s="1" t="s">
        <v>32</v>
      </c>
      <c r="K273" s="1" t="s">
        <v>53</v>
      </c>
      <c r="L273" s="1" t="s">
        <v>5872</v>
      </c>
      <c r="M273" s="1" t="s">
        <v>7698</v>
      </c>
      <c r="N273" s="1" t="s">
        <v>7699</v>
      </c>
      <c r="O273" s="1" t="s">
        <v>7700</v>
      </c>
    </row>
    <row r="274" spans="8:15" x14ac:dyDescent="0.25">
      <c r="H274" s="1">
        <v>1507094</v>
      </c>
      <c r="I274" s="4">
        <v>46330.5</v>
      </c>
      <c r="J274" s="1" t="s">
        <v>32</v>
      </c>
      <c r="K274" s="1" t="s">
        <v>408</v>
      </c>
      <c r="L274" s="1" t="s">
        <v>7701</v>
      </c>
      <c r="M274" s="1" t="s">
        <v>7702</v>
      </c>
      <c r="N274" s="1" t="s">
        <v>7703</v>
      </c>
      <c r="O274" s="1" t="s">
        <v>7704</v>
      </c>
    </row>
    <row r="275" spans="8:15" x14ac:dyDescent="0.25">
      <c r="H275" s="1">
        <v>1507095</v>
      </c>
      <c r="I275" s="4">
        <v>46330.5</v>
      </c>
      <c r="J275" s="1" t="s">
        <v>32</v>
      </c>
      <c r="K275" s="1" t="s">
        <v>408</v>
      </c>
      <c r="L275" s="1" t="s">
        <v>7701</v>
      </c>
      <c r="M275" s="1" t="s">
        <v>7705</v>
      </c>
      <c r="N275" s="1" t="s">
        <v>7706</v>
      </c>
      <c r="O275" s="1" t="s">
        <v>7707</v>
      </c>
    </row>
    <row r="276" spans="8:15" x14ac:dyDescent="0.25">
      <c r="H276" s="1">
        <v>1510537</v>
      </c>
      <c r="I276" s="4">
        <v>46330.5</v>
      </c>
      <c r="J276" s="1" t="s">
        <v>32</v>
      </c>
      <c r="K276" s="1" t="s">
        <v>275</v>
      </c>
      <c r="L276" s="1" t="s">
        <v>7708</v>
      </c>
      <c r="M276" s="1" t="s">
        <v>7709</v>
      </c>
      <c r="N276" s="1" t="s">
        <v>7710</v>
      </c>
      <c r="O276" s="1" t="s">
        <v>7711</v>
      </c>
    </row>
    <row r="277" spans="8:15" x14ac:dyDescent="0.25">
      <c r="H277" s="1">
        <v>1510543</v>
      </c>
      <c r="I277" s="4">
        <v>46330.5</v>
      </c>
      <c r="J277" s="1" t="s">
        <v>32</v>
      </c>
      <c r="K277" s="1" t="s">
        <v>275</v>
      </c>
      <c r="L277" s="1" t="s">
        <v>7708</v>
      </c>
      <c r="M277" s="1" t="s">
        <v>7712</v>
      </c>
      <c r="N277" s="1" t="s">
        <v>7713</v>
      </c>
      <c r="O277" s="1" t="s">
        <v>7714</v>
      </c>
    </row>
    <row r="278" spans="8:15" x14ac:dyDescent="0.25">
      <c r="H278" s="1">
        <v>1510719</v>
      </c>
      <c r="I278" s="4">
        <v>46330.5</v>
      </c>
      <c r="J278" s="1" t="s">
        <v>32</v>
      </c>
      <c r="K278" s="1" t="s">
        <v>275</v>
      </c>
      <c r="L278" s="1" t="s">
        <v>7588</v>
      </c>
      <c r="M278" s="1" t="s">
        <v>4059</v>
      </c>
      <c r="N278" s="1" t="s">
        <v>7715</v>
      </c>
      <c r="O278" s="1" t="s">
        <v>7716</v>
      </c>
    </row>
    <row r="279" spans="8:15" x14ac:dyDescent="0.25">
      <c r="H279" s="1">
        <v>1510721</v>
      </c>
      <c r="I279" s="4">
        <v>46330.5</v>
      </c>
      <c r="J279" s="1" t="s">
        <v>32</v>
      </c>
      <c r="K279" s="1" t="s">
        <v>275</v>
      </c>
      <c r="L279" s="1" t="s">
        <v>7588</v>
      </c>
      <c r="M279" s="1" t="s">
        <v>7717</v>
      </c>
      <c r="N279" s="1" t="s">
        <v>7718</v>
      </c>
      <c r="O279" s="1" t="s">
        <v>7719</v>
      </c>
    </row>
    <row r="280" spans="8:15" x14ac:dyDescent="0.25">
      <c r="H280" s="1">
        <v>1510901</v>
      </c>
      <c r="I280" s="4">
        <v>46330.5</v>
      </c>
      <c r="J280" s="1" t="s">
        <v>32</v>
      </c>
      <c r="K280" s="1" t="s">
        <v>275</v>
      </c>
      <c r="L280" s="1" t="s">
        <v>7720</v>
      </c>
      <c r="M280" s="1" t="s">
        <v>7721</v>
      </c>
      <c r="N280" s="1" t="s">
        <v>7722</v>
      </c>
      <c r="O280" s="1" t="s">
        <v>7723</v>
      </c>
    </row>
    <row r="281" spans="8:15" x14ac:dyDescent="0.25">
      <c r="H281" s="1">
        <v>1510903</v>
      </c>
      <c r="I281" s="4">
        <v>46330.5</v>
      </c>
      <c r="J281" s="1" t="s">
        <v>32</v>
      </c>
      <c r="K281" s="1" t="s">
        <v>275</v>
      </c>
      <c r="L281" s="1" t="s">
        <v>7720</v>
      </c>
      <c r="M281" s="1" t="s">
        <v>7724</v>
      </c>
      <c r="N281" s="1" t="s">
        <v>7725</v>
      </c>
      <c r="O281" s="1" t="s">
        <v>7726</v>
      </c>
    </row>
    <row r="282" spans="8:15" x14ac:dyDescent="0.25">
      <c r="H282" s="1">
        <v>1511084</v>
      </c>
      <c r="I282" s="4">
        <v>46330.5</v>
      </c>
      <c r="J282" s="1" t="s">
        <v>32</v>
      </c>
      <c r="K282" s="1" t="s">
        <v>275</v>
      </c>
      <c r="L282" s="1" t="s">
        <v>7592</v>
      </c>
      <c r="M282" s="1" t="s">
        <v>7727</v>
      </c>
      <c r="N282" s="1" t="s">
        <v>7728</v>
      </c>
      <c r="O282" s="1" t="s">
        <v>7729</v>
      </c>
    </row>
    <row r="283" spans="8:15" x14ac:dyDescent="0.25">
      <c r="H283" s="1">
        <v>1511085</v>
      </c>
      <c r="I283" s="4">
        <v>46330.5</v>
      </c>
      <c r="J283" s="1" t="s">
        <v>32</v>
      </c>
      <c r="K283" s="1" t="s">
        <v>275</v>
      </c>
      <c r="L283" s="1" t="s">
        <v>7592</v>
      </c>
      <c r="M283" s="1" t="s">
        <v>7730</v>
      </c>
      <c r="N283" s="1" t="s">
        <v>7731</v>
      </c>
      <c r="O283" s="1" t="s">
        <v>7732</v>
      </c>
    </row>
    <row r="284" spans="8:15" x14ac:dyDescent="0.25">
      <c r="H284" s="1">
        <v>1511266</v>
      </c>
      <c r="I284" s="4">
        <v>46330.5</v>
      </c>
      <c r="J284" s="1" t="s">
        <v>32</v>
      </c>
      <c r="K284" s="1" t="s">
        <v>275</v>
      </c>
      <c r="L284" s="1" t="s">
        <v>7733</v>
      </c>
      <c r="M284" s="1" t="s">
        <v>7734</v>
      </c>
      <c r="N284" s="1" t="s">
        <v>7735</v>
      </c>
      <c r="O284" s="1" t="s">
        <v>7736</v>
      </c>
    </row>
    <row r="285" spans="8:15" x14ac:dyDescent="0.25">
      <c r="H285" s="1">
        <v>1515688</v>
      </c>
      <c r="I285" s="4">
        <v>46330.5</v>
      </c>
      <c r="J285" s="1" t="s">
        <v>32</v>
      </c>
      <c r="K285" s="1" t="s">
        <v>275</v>
      </c>
      <c r="L285" s="1" t="s">
        <v>7737</v>
      </c>
      <c r="M285" s="1" t="s">
        <v>7738</v>
      </c>
      <c r="N285" s="1" t="s">
        <v>7739</v>
      </c>
      <c r="O285" s="1" t="s">
        <v>7740</v>
      </c>
    </row>
    <row r="286" spans="8:15" x14ac:dyDescent="0.25">
      <c r="H286" s="1">
        <v>1515693</v>
      </c>
      <c r="I286" s="4">
        <v>46330.5</v>
      </c>
      <c r="J286" s="1" t="s">
        <v>32</v>
      </c>
      <c r="K286" s="1" t="s">
        <v>275</v>
      </c>
      <c r="L286" s="1" t="s">
        <v>7737</v>
      </c>
      <c r="M286" s="1" t="s">
        <v>7741</v>
      </c>
      <c r="N286" s="1" t="s">
        <v>7742</v>
      </c>
      <c r="O286" s="1" t="s">
        <v>7743</v>
      </c>
    </row>
    <row r="287" spans="8:15" x14ac:dyDescent="0.25">
      <c r="H287" s="1">
        <v>1517137</v>
      </c>
      <c r="I287" s="4">
        <v>46330.5</v>
      </c>
      <c r="J287" s="1" t="s">
        <v>32</v>
      </c>
      <c r="K287" s="1" t="s">
        <v>5924</v>
      </c>
      <c r="L287" s="1" t="s">
        <v>7744</v>
      </c>
      <c r="M287" s="1" t="s">
        <v>7745</v>
      </c>
      <c r="N287" s="1" t="s">
        <v>7746</v>
      </c>
      <c r="O287" s="1" t="s">
        <v>7747</v>
      </c>
    </row>
    <row r="288" spans="8:15" x14ac:dyDescent="0.25">
      <c r="H288" s="1">
        <v>1518048</v>
      </c>
      <c r="I288" s="4">
        <v>46330.5</v>
      </c>
      <c r="J288" s="1" t="s">
        <v>32</v>
      </c>
      <c r="K288" s="1" t="s">
        <v>379</v>
      </c>
      <c r="L288" s="1" t="s">
        <v>387</v>
      </c>
      <c r="M288" s="1" t="s">
        <v>7748</v>
      </c>
      <c r="N288" s="1" t="s">
        <v>7749</v>
      </c>
      <c r="O288" s="1" t="s">
        <v>7750</v>
      </c>
    </row>
    <row r="289" spans="8:15" x14ac:dyDescent="0.25">
      <c r="H289" s="1">
        <v>1518049</v>
      </c>
      <c r="I289" s="4">
        <v>46330.5</v>
      </c>
      <c r="J289" s="1" t="s">
        <v>32</v>
      </c>
      <c r="K289" s="1" t="s">
        <v>379</v>
      </c>
      <c r="L289" s="1" t="s">
        <v>387</v>
      </c>
      <c r="M289" s="1" t="s">
        <v>1161</v>
      </c>
      <c r="N289" s="1" t="s">
        <v>7751</v>
      </c>
      <c r="O289" s="1" t="s">
        <v>7752</v>
      </c>
    </row>
    <row r="290" spans="8:15" x14ac:dyDescent="0.25">
      <c r="H290" s="1">
        <v>1518050</v>
      </c>
      <c r="I290" s="4">
        <v>46330.5</v>
      </c>
      <c r="J290" s="1" t="s">
        <v>32</v>
      </c>
      <c r="K290" s="1" t="s">
        <v>379</v>
      </c>
      <c r="L290" s="1" t="s">
        <v>387</v>
      </c>
      <c r="M290" s="1" t="s">
        <v>7753</v>
      </c>
      <c r="N290" s="1" t="s">
        <v>7754</v>
      </c>
      <c r="O290" s="1" t="s">
        <v>7755</v>
      </c>
    </row>
    <row r="291" spans="8:15" x14ac:dyDescent="0.25">
      <c r="H291" s="1">
        <v>1518125</v>
      </c>
      <c r="I291" s="4">
        <v>46330.5</v>
      </c>
      <c r="J291" s="1" t="s">
        <v>32</v>
      </c>
      <c r="K291" s="1" t="s">
        <v>379</v>
      </c>
      <c r="L291" s="1" t="s">
        <v>380</v>
      </c>
      <c r="M291" s="1" t="s">
        <v>1143</v>
      </c>
      <c r="N291" s="1" t="s">
        <v>941</v>
      </c>
      <c r="O291" s="1" t="s">
        <v>7756</v>
      </c>
    </row>
    <row r="292" spans="8:15" x14ac:dyDescent="0.25">
      <c r="H292" s="1">
        <v>1518375</v>
      </c>
      <c r="I292" s="4">
        <v>46330.5</v>
      </c>
      <c r="J292" s="1" t="s">
        <v>32</v>
      </c>
      <c r="K292" s="1" t="s">
        <v>43</v>
      </c>
      <c r="L292" s="1" t="s">
        <v>576</v>
      </c>
      <c r="M292" s="1" t="s">
        <v>1276</v>
      </c>
      <c r="N292" s="1" t="s">
        <v>947</v>
      </c>
      <c r="O292" s="1" t="s">
        <v>7757</v>
      </c>
    </row>
    <row r="293" spans="8:15" x14ac:dyDescent="0.25">
      <c r="H293" s="1">
        <v>1518376</v>
      </c>
      <c r="I293" s="4">
        <v>46330.5</v>
      </c>
      <c r="J293" s="1" t="s">
        <v>32</v>
      </c>
      <c r="K293" s="1" t="s">
        <v>43</v>
      </c>
      <c r="L293" s="1" t="s">
        <v>576</v>
      </c>
      <c r="M293" s="1" t="s">
        <v>7758</v>
      </c>
      <c r="N293" s="1" t="s">
        <v>946</v>
      </c>
      <c r="O293" s="1" t="s">
        <v>7759</v>
      </c>
    </row>
    <row r="294" spans="8:15" x14ac:dyDescent="0.25">
      <c r="H294" s="1">
        <v>1518386</v>
      </c>
      <c r="I294" s="4">
        <v>46330.5</v>
      </c>
      <c r="J294" s="1" t="s">
        <v>32</v>
      </c>
      <c r="K294" s="1" t="s">
        <v>43</v>
      </c>
      <c r="L294" s="1" t="s">
        <v>576</v>
      </c>
      <c r="M294" s="1" t="s">
        <v>3265</v>
      </c>
      <c r="N294" s="1" t="s">
        <v>3264</v>
      </c>
      <c r="O294" s="1" t="s">
        <v>7760</v>
      </c>
    </row>
    <row r="295" spans="8:15" x14ac:dyDescent="0.25">
      <c r="H295" s="1">
        <v>1518392</v>
      </c>
      <c r="I295" s="4">
        <v>46330.5</v>
      </c>
      <c r="J295" s="1" t="s">
        <v>32</v>
      </c>
      <c r="K295" s="1" t="s">
        <v>43</v>
      </c>
      <c r="L295" s="1" t="s">
        <v>576</v>
      </c>
      <c r="M295" s="1" t="s">
        <v>7761</v>
      </c>
      <c r="N295" s="1" t="s">
        <v>7762</v>
      </c>
      <c r="O295" s="1" t="s">
        <v>7763</v>
      </c>
    </row>
    <row r="296" spans="8:15" x14ac:dyDescent="0.25">
      <c r="H296" s="1">
        <v>1518394</v>
      </c>
      <c r="I296" s="4">
        <v>46330.5</v>
      </c>
      <c r="J296" s="1" t="s">
        <v>32</v>
      </c>
      <c r="K296" s="1" t="s">
        <v>43</v>
      </c>
      <c r="L296" s="1" t="s">
        <v>576</v>
      </c>
      <c r="M296" s="1" t="s">
        <v>1503</v>
      </c>
      <c r="N296" s="1" t="s">
        <v>7764</v>
      </c>
      <c r="O296" s="1" t="s">
        <v>7765</v>
      </c>
    </row>
    <row r="297" spans="8:15" x14ac:dyDescent="0.25">
      <c r="H297" s="1">
        <v>1518399</v>
      </c>
      <c r="I297" s="4">
        <v>46330.5</v>
      </c>
      <c r="J297" s="1" t="s">
        <v>32</v>
      </c>
      <c r="K297" s="1" t="s">
        <v>43</v>
      </c>
      <c r="L297" s="1" t="s">
        <v>576</v>
      </c>
      <c r="M297" s="1" t="s">
        <v>1274</v>
      </c>
      <c r="N297" s="1" t="s">
        <v>3252</v>
      </c>
      <c r="O297" s="1" t="s">
        <v>7766</v>
      </c>
    </row>
    <row r="298" spans="8:15" x14ac:dyDescent="0.25">
      <c r="H298" s="1">
        <v>1518576</v>
      </c>
      <c r="I298" s="4">
        <v>46330.5</v>
      </c>
      <c r="J298" s="1" t="s">
        <v>32</v>
      </c>
      <c r="K298" s="1" t="s">
        <v>43</v>
      </c>
      <c r="L298" s="1" t="s">
        <v>576</v>
      </c>
      <c r="M298" s="1" t="s">
        <v>3508</v>
      </c>
      <c r="N298" s="1" t="s">
        <v>3507</v>
      </c>
      <c r="O298" s="1" t="s">
        <v>7767</v>
      </c>
    </row>
    <row r="299" spans="8:15" x14ac:dyDescent="0.25">
      <c r="H299" s="1">
        <v>1518580</v>
      </c>
      <c r="I299" s="4">
        <v>46330.5</v>
      </c>
      <c r="J299" s="1" t="s">
        <v>32</v>
      </c>
      <c r="K299" s="1" t="s">
        <v>43</v>
      </c>
      <c r="L299" s="1" t="s">
        <v>576</v>
      </c>
      <c r="M299" s="1" t="s">
        <v>965</v>
      </c>
      <c r="N299" s="1" t="s">
        <v>1502</v>
      </c>
      <c r="O299" s="1" t="s">
        <v>7768</v>
      </c>
    </row>
    <row r="300" spans="8:15" x14ac:dyDescent="0.25">
      <c r="H300" s="1">
        <v>1520994</v>
      </c>
      <c r="I300" s="4">
        <v>46330.5</v>
      </c>
      <c r="J300" s="1" t="s">
        <v>32</v>
      </c>
      <c r="K300" s="1" t="s">
        <v>452</v>
      </c>
      <c r="L300" s="1" t="s">
        <v>49</v>
      </c>
      <c r="M300" s="1" t="s">
        <v>5910</v>
      </c>
      <c r="N300" s="1" t="s">
        <v>3322</v>
      </c>
      <c r="O300" s="1" t="s">
        <v>7769</v>
      </c>
    </row>
    <row r="301" spans="8:15" x14ac:dyDescent="0.25">
      <c r="H301" s="1">
        <v>1523092</v>
      </c>
      <c r="I301" s="4">
        <v>46330.5</v>
      </c>
      <c r="J301" s="1" t="s">
        <v>32</v>
      </c>
      <c r="K301" s="1" t="s">
        <v>419</v>
      </c>
      <c r="L301" s="1" t="s">
        <v>81</v>
      </c>
      <c r="M301" s="1" t="s">
        <v>3328</v>
      </c>
      <c r="N301" s="1" t="s">
        <v>1163</v>
      </c>
      <c r="O301" s="1" t="s">
        <v>7770</v>
      </c>
    </row>
    <row r="302" spans="8:15" x14ac:dyDescent="0.25">
      <c r="H302" s="1">
        <v>1523093</v>
      </c>
      <c r="I302" s="4">
        <v>46330.5</v>
      </c>
      <c r="J302" s="1" t="s">
        <v>32</v>
      </c>
      <c r="K302" s="1" t="s">
        <v>419</v>
      </c>
      <c r="L302" s="1" t="s">
        <v>81</v>
      </c>
      <c r="M302" s="1" t="s">
        <v>851</v>
      </c>
      <c r="N302" s="1" t="s">
        <v>2871</v>
      </c>
      <c r="O302" s="1" t="s">
        <v>7771</v>
      </c>
    </row>
    <row r="303" spans="8:15" x14ac:dyDescent="0.25">
      <c r="H303" s="1">
        <v>1525823</v>
      </c>
      <c r="I303" s="4">
        <v>46330.5</v>
      </c>
      <c r="J303" s="1" t="s">
        <v>32</v>
      </c>
      <c r="K303" s="1" t="s">
        <v>389</v>
      </c>
      <c r="L303" s="1" t="s">
        <v>49</v>
      </c>
      <c r="M303" s="1" t="s">
        <v>7772</v>
      </c>
      <c r="N303" s="1" t="s">
        <v>1162</v>
      </c>
      <c r="O303" s="1" t="s">
        <v>7773</v>
      </c>
    </row>
    <row r="304" spans="8:15" x14ac:dyDescent="0.25">
      <c r="H304" s="1">
        <v>1526291</v>
      </c>
      <c r="I304" s="4">
        <v>46330.5</v>
      </c>
      <c r="J304" s="1" t="s">
        <v>32</v>
      </c>
      <c r="K304" s="1" t="s">
        <v>587</v>
      </c>
      <c r="L304" s="1" t="s">
        <v>588</v>
      </c>
      <c r="M304" s="1" t="s">
        <v>3268</v>
      </c>
      <c r="N304" s="1" t="s">
        <v>7774</v>
      </c>
      <c r="O304" s="1" t="s">
        <v>7775</v>
      </c>
    </row>
    <row r="305" spans="8:15" x14ac:dyDescent="0.25">
      <c r="H305" s="1">
        <v>1526698</v>
      </c>
      <c r="I305" s="4">
        <v>46330.5</v>
      </c>
      <c r="J305" s="1" t="s">
        <v>32</v>
      </c>
      <c r="K305" s="1" t="s">
        <v>377</v>
      </c>
      <c r="L305" s="1" t="s">
        <v>2949</v>
      </c>
      <c r="M305" s="1" t="s">
        <v>3270</v>
      </c>
      <c r="N305" s="1" t="s">
        <v>3066</v>
      </c>
      <c r="O305" s="1" t="s">
        <v>7776</v>
      </c>
    </row>
    <row r="306" spans="8:15" x14ac:dyDescent="0.25">
      <c r="H306" s="1">
        <v>1526701</v>
      </c>
      <c r="I306" s="4">
        <v>46330.5</v>
      </c>
      <c r="J306" s="1" t="s">
        <v>32</v>
      </c>
      <c r="K306" s="1" t="s">
        <v>377</v>
      </c>
      <c r="L306" s="1" t="s">
        <v>2949</v>
      </c>
      <c r="M306" s="1" t="s">
        <v>3062</v>
      </c>
      <c r="N306" s="1" t="s">
        <v>3623</v>
      </c>
      <c r="O306" s="1" t="s">
        <v>7777</v>
      </c>
    </row>
    <row r="307" spans="8:15" x14ac:dyDescent="0.25">
      <c r="H307" s="1">
        <v>1527931</v>
      </c>
      <c r="I307" s="4">
        <v>46330.5</v>
      </c>
      <c r="J307" s="1" t="s">
        <v>32</v>
      </c>
      <c r="K307" s="1" t="s">
        <v>569</v>
      </c>
      <c r="L307" s="1" t="s">
        <v>49</v>
      </c>
      <c r="M307" s="1" t="s">
        <v>1514</v>
      </c>
      <c r="N307" s="1" t="s">
        <v>3514</v>
      </c>
      <c r="O307" s="1" t="s">
        <v>7778</v>
      </c>
    </row>
    <row r="308" spans="8:15" x14ac:dyDescent="0.25">
      <c r="H308" s="1">
        <v>1531025</v>
      </c>
      <c r="I308" s="4">
        <v>46330.5</v>
      </c>
      <c r="J308" s="1" t="s">
        <v>32</v>
      </c>
      <c r="K308" s="1" t="s">
        <v>7779</v>
      </c>
      <c r="L308" s="1" t="s">
        <v>7780</v>
      </c>
      <c r="M308" s="1" t="s">
        <v>7781</v>
      </c>
      <c r="N308" s="1" t="s">
        <v>7782</v>
      </c>
      <c r="O308" s="1" t="s">
        <v>7783</v>
      </c>
    </row>
    <row r="309" spans="8:15" x14ac:dyDescent="0.25">
      <c r="H309" s="1">
        <v>1531028</v>
      </c>
      <c r="I309" s="4">
        <v>46330.5</v>
      </c>
      <c r="J309" s="1" t="s">
        <v>32</v>
      </c>
      <c r="K309" s="1" t="s">
        <v>7779</v>
      </c>
      <c r="L309" s="1" t="s">
        <v>7780</v>
      </c>
      <c r="M309" s="1" t="s">
        <v>7784</v>
      </c>
      <c r="N309" s="1" t="s">
        <v>7785</v>
      </c>
      <c r="O309" s="1" t="s">
        <v>7786</v>
      </c>
    </row>
    <row r="310" spans="8:15" x14ac:dyDescent="0.25">
      <c r="H310" s="1">
        <v>1534264</v>
      </c>
      <c r="I310" s="4">
        <v>46330.5</v>
      </c>
      <c r="J310" s="1" t="s">
        <v>32</v>
      </c>
      <c r="K310" s="1" t="s">
        <v>389</v>
      </c>
      <c r="L310" s="1" t="s">
        <v>335</v>
      </c>
      <c r="M310" s="1" t="s">
        <v>7787</v>
      </c>
      <c r="N310" s="1" t="s">
        <v>7788</v>
      </c>
      <c r="O310" s="1" t="s">
        <v>7789</v>
      </c>
    </row>
    <row r="311" spans="8:15" x14ac:dyDescent="0.25">
      <c r="H311" s="1">
        <v>1535963</v>
      </c>
      <c r="I311" s="4">
        <v>46330.5</v>
      </c>
      <c r="J311" s="1" t="s">
        <v>32</v>
      </c>
      <c r="K311" s="1" t="s">
        <v>377</v>
      </c>
      <c r="L311" s="1" t="s">
        <v>7790</v>
      </c>
      <c r="M311" s="1" t="s">
        <v>7791</v>
      </c>
      <c r="N311" s="1" t="s">
        <v>7792</v>
      </c>
      <c r="O311" s="1" t="s">
        <v>7793</v>
      </c>
    </row>
    <row r="312" spans="8:15" x14ac:dyDescent="0.25">
      <c r="H312" s="1">
        <v>1536316</v>
      </c>
      <c r="I312" s="4">
        <v>46330.5</v>
      </c>
      <c r="J312" s="1" t="s">
        <v>32</v>
      </c>
      <c r="K312" s="1" t="s">
        <v>377</v>
      </c>
      <c r="L312" s="1" t="s">
        <v>7794</v>
      </c>
      <c r="M312" s="1" t="s">
        <v>7795</v>
      </c>
      <c r="N312" s="1" t="s">
        <v>7796</v>
      </c>
      <c r="O312" s="1" t="s">
        <v>7797</v>
      </c>
    </row>
    <row r="313" spans="8:15" x14ac:dyDescent="0.25">
      <c r="H313" s="1">
        <v>1536530</v>
      </c>
      <c r="I313" s="4">
        <v>46330.5</v>
      </c>
      <c r="J313" s="1" t="s">
        <v>32</v>
      </c>
      <c r="K313" s="1" t="s">
        <v>377</v>
      </c>
      <c r="L313" s="1" t="s">
        <v>7242</v>
      </c>
      <c r="M313" s="1" t="s">
        <v>7798</v>
      </c>
      <c r="N313" s="1" t="s">
        <v>7799</v>
      </c>
      <c r="O313" s="1" t="s">
        <v>7800</v>
      </c>
    </row>
    <row r="314" spans="8:15" x14ac:dyDescent="0.25">
      <c r="H314" s="1">
        <v>1536532</v>
      </c>
      <c r="I314" s="4">
        <v>46330.5</v>
      </c>
      <c r="J314" s="1" t="s">
        <v>32</v>
      </c>
      <c r="K314" s="1" t="s">
        <v>377</v>
      </c>
      <c r="L314" s="1" t="s">
        <v>7242</v>
      </c>
      <c r="M314" s="1" t="s">
        <v>7801</v>
      </c>
      <c r="N314" s="1" t="s">
        <v>7802</v>
      </c>
      <c r="O314" s="1" t="s">
        <v>7803</v>
      </c>
    </row>
    <row r="315" spans="8:15" x14ac:dyDescent="0.25">
      <c r="H315" s="1">
        <v>1538881</v>
      </c>
      <c r="I315" s="4">
        <v>46330.5</v>
      </c>
      <c r="J315" s="1" t="s">
        <v>32</v>
      </c>
      <c r="K315" s="1" t="s">
        <v>21</v>
      </c>
      <c r="L315" s="1" t="s">
        <v>7468</v>
      </c>
      <c r="M315" s="1" t="s">
        <v>7804</v>
      </c>
      <c r="N315" s="1" t="s">
        <v>873</v>
      </c>
      <c r="O315" s="1" t="s">
        <v>7805</v>
      </c>
    </row>
    <row r="316" spans="8:15" x14ac:dyDescent="0.25">
      <c r="H316" s="1">
        <v>1539755</v>
      </c>
      <c r="I316" s="4">
        <v>46330.5</v>
      </c>
      <c r="J316" s="1" t="s">
        <v>32</v>
      </c>
      <c r="K316" s="1" t="s">
        <v>5924</v>
      </c>
      <c r="L316" s="1" t="s">
        <v>7410</v>
      </c>
      <c r="M316" s="1" t="s">
        <v>7806</v>
      </c>
      <c r="N316" s="1" t="s">
        <v>7807</v>
      </c>
      <c r="O316" s="1" t="s">
        <v>7808</v>
      </c>
    </row>
    <row r="317" spans="8:15" x14ac:dyDescent="0.25">
      <c r="H317" s="1">
        <v>1539873</v>
      </c>
      <c r="I317" s="4">
        <v>46330.5</v>
      </c>
      <c r="J317" s="1" t="s">
        <v>32</v>
      </c>
      <c r="K317" s="1" t="s">
        <v>65</v>
      </c>
      <c r="L317" s="1" t="s">
        <v>3178</v>
      </c>
      <c r="M317" s="1" t="s">
        <v>3189</v>
      </c>
      <c r="N317" s="1" t="s">
        <v>3179</v>
      </c>
      <c r="O317" s="1" t="s">
        <v>7809</v>
      </c>
    </row>
    <row r="318" spans="8:15" x14ac:dyDescent="0.25">
      <c r="H318" s="1">
        <v>1539982</v>
      </c>
      <c r="I318" s="4">
        <v>46330.5</v>
      </c>
      <c r="J318" s="1" t="s">
        <v>32</v>
      </c>
      <c r="K318" s="1" t="s">
        <v>5924</v>
      </c>
      <c r="L318" s="1" t="s">
        <v>7410</v>
      </c>
      <c r="M318" s="1" t="s">
        <v>7810</v>
      </c>
      <c r="N318" s="1" t="s">
        <v>3555</v>
      </c>
      <c r="O318" s="1" t="s">
        <v>7811</v>
      </c>
    </row>
    <row r="319" spans="8:15" x14ac:dyDescent="0.25">
      <c r="H319" s="1">
        <v>1522778</v>
      </c>
      <c r="I319" s="4">
        <v>46330.510416666664</v>
      </c>
      <c r="J319" s="1" t="s">
        <v>32</v>
      </c>
      <c r="K319" s="1" t="s">
        <v>585</v>
      </c>
      <c r="L319" s="1" t="s">
        <v>586</v>
      </c>
      <c r="M319" s="1" t="s">
        <v>3559</v>
      </c>
      <c r="N319" s="1" t="s">
        <v>7813</v>
      </c>
      <c r="O319" s="1" t="s">
        <v>7814</v>
      </c>
    </row>
    <row r="320" spans="8:15" x14ac:dyDescent="0.25">
      <c r="H320" s="1">
        <v>1379279</v>
      </c>
      <c r="I320" s="4">
        <v>46330.520833333336</v>
      </c>
      <c r="J320" s="1" t="s">
        <v>32</v>
      </c>
      <c r="K320" s="1" t="s">
        <v>65</v>
      </c>
      <c r="L320" s="1" t="s">
        <v>49</v>
      </c>
      <c r="M320" s="1" t="s">
        <v>597</v>
      </c>
      <c r="N320" s="1" t="s">
        <v>7816</v>
      </c>
      <c r="O320" s="1" t="s">
        <v>7817</v>
      </c>
    </row>
    <row r="321" spans="8:15" x14ac:dyDescent="0.25">
      <c r="H321" s="1">
        <v>1386502</v>
      </c>
      <c r="I321" s="4">
        <v>46330.520833333336</v>
      </c>
      <c r="J321" s="1" t="s">
        <v>32</v>
      </c>
      <c r="K321" s="1" t="s">
        <v>65</v>
      </c>
      <c r="L321" s="1" t="s">
        <v>2834</v>
      </c>
      <c r="M321" s="1" t="s">
        <v>5173</v>
      </c>
      <c r="N321" s="1" t="s">
        <v>5170</v>
      </c>
      <c r="O321" s="1" t="s">
        <v>7818</v>
      </c>
    </row>
    <row r="322" spans="8:15" x14ac:dyDescent="0.25">
      <c r="H322" s="1">
        <v>1386507</v>
      </c>
      <c r="I322" s="4">
        <v>46330.520833333336</v>
      </c>
      <c r="J322" s="1" t="s">
        <v>32</v>
      </c>
      <c r="K322" s="1" t="s">
        <v>65</v>
      </c>
      <c r="L322" s="1" t="s">
        <v>2834</v>
      </c>
      <c r="M322" s="1" t="s">
        <v>3568</v>
      </c>
      <c r="N322" s="1" t="s">
        <v>5166</v>
      </c>
      <c r="O322" s="1" t="s">
        <v>7819</v>
      </c>
    </row>
    <row r="323" spans="8:15" x14ac:dyDescent="0.25">
      <c r="H323" s="1">
        <v>1387043</v>
      </c>
      <c r="I323" s="4">
        <v>46330.520833333336</v>
      </c>
      <c r="J323" s="1" t="s">
        <v>32</v>
      </c>
      <c r="K323" s="1" t="s">
        <v>65</v>
      </c>
      <c r="L323" s="1" t="s">
        <v>70</v>
      </c>
      <c r="M323" s="1" t="s">
        <v>2194</v>
      </c>
      <c r="N323" s="1" t="s">
        <v>2790</v>
      </c>
      <c r="O323" s="1" t="s">
        <v>7820</v>
      </c>
    </row>
    <row r="324" spans="8:15" x14ac:dyDescent="0.25">
      <c r="H324" s="1">
        <v>1387048</v>
      </c>
      <c r="I324" s="4">
        <v>46330.520833333336</v>
      </c>
      <c r="J324" s="1" t="s">
        <v>32</v>
      </c>
      <c r="K324" s="1" t="s">
        <v>65</v>
      </c>
      <c r="L324" s="1" t="s">
        <v>70</v>
      </c>
      <c r="M324" s="1" t="s">
        <v>6501</v>
      </c>
      <c r="N324" s="1" t="s">
        <v>5201</v>
      </c>
      <c r="O324" s="1" t="s">
        <v>7821</v>
      </c>
    </row>
    <row r="325" spans="8:15" x14ac:dyDescent="0.25">
      <c r="H325" s="1">
        <v>1387049</v>
      </c>
      <c r="I325" s="4">
        <v>46330.520833333336</v>
      </c>
      <c r="J325" s="1" t="s">
        <v>32</v>
      </c>
      <c r="K325" s="1" t="s">
        <v>65</v>
      </c>
      <c r="L325" s="1" t="s">
        <v>70</v>
      </c>
      <c r="M325" s="1" t="s">
        <v>2173</v>
      </c>
      <c r="N325" s="1" t="s">
        <v>5207</v>
      </c>
      <c r="O325" s="1" t="s">
        <v>7822</v>
      </c>
    </row>
    <row r="326" spans="8:15" x14ac:dyDescent="0.25">
      <c r="H326" s="1">
        <v>1387612</v>
      </c>
      <c r="I326" s="4">
        <v>46330.520833333336</v>
      </c>
      <c r="J326" s="1" t="s">
        <v>32</v>
      </c>
      <c r="K326" s="1" t="s">
        <v>65</v>
      </c>
      <c r="L326" s="1" t="s">
        <v>266</v>
      </c>
      <c r="M326" s="1" t="s">
        <v>599</v>
      </c>
      <c r="N326" s="1" t="s">
        <v>5216</v>
      </c>
      <c r="O326" s="1" t="s">
        <v>7823</v>
      </c>
    </row>
    <row r="327" spans="8:15" x14ac:dyDescent="0.25">
      <c r="H327" s="1">
        <v>1387614</v>
      </c>
      <c r="I327" s="4">
        <v>46330.520833333336</v>
      </c>
      <c r="J327" s="1" t="s">
        <v>32</v>
      </c>
      <c r="K327" s="1" t="s">
        <v>65</v>
      </c>
      <c r="L327" s="1" t="s">
        <v>266</v>
      </c>
      <c r="M327" s="1" t="s">
        <v>5221</v>
      </c>
      <c r="N327" s="1" t="s">
        <v>519</v>
      </c>
      <c r="O327" s="1" t="s">
        <v>7824</v>
      </c>
    </row>
    <row r="328" spans="8:15" x14ac:dyDescent="0.25">
      <c r="H328" s="1">
        <v>1387618</v>
      </c>
      <c r="I328" s="4">
        <v>46330.520833333336</v>
      </c>
      <c r="J328" s="1" t="s">
        <v>32</v>
      </c>
      <c r="K328" s="1" t="s">
        <v>65</v>
      </c>
      <c r="L328" s="1" t="s">
        <v>266</v>
      </c>
      <c r="M328" s="1" t="s">
        <v>3580</v>
      </c>
      <c r="N328" s="1" t="s">
        <v>640</v>
      </c>
      <c r="O328" s="1" t="s">
        <v>7825</v>
      </c>
    </row>
    <row r="329" spans="8:15" x14ac:dyDescent="0.25">
      <c r="H329" s="1">
        <v>1394686</v>
      </c>
      <c r="I329" s="4">
        <v>46330.520833333336</v>
      </c>
      <c r="J329" s="1" t="s">
        <v>32</v>
      </c>
      <c r="K329" s="1" t="s">
        <v>42</v>
      </c>
      <c r="L329" s="1" t="s">
        <v>61</v>
      </c>
      <c r="M329" s="1" t="s">
        <v>7826</v>
      </c>
      <c r="N329" s="1" t="s">
        <v>2508</v>
      </c>
      <c r="O329" s="1" t="s">
        <v>7827</v>
      </c>
    </row>
    <row r="330" spans="8:15" x14ac:dyDescent="0.25">
      <c r="H330" s="1">
        <v>1399226</v>
      </c>
      <c r="I330" s="4">
        <v>46330.520833333336</v>
      </c>
      <c r="J330" s="1" t="s">
        <v>32</v>
      </c>
      <c r="K330" s="1" t="s">
        <v>58</v>
      </c>
      <c r="L330" s="1" t="s">
        <v>4200</v>
      </c>
      <c r="M330" s="1" t="s">
        <v>4949</v>
      </c>
      <c r="N330" s="1" t="s">
        <v>4210</v>
      </c>
      <c r="O330" s="1" t="s">
        <v>7828</v>
      </c>
    </row>
    <row r="331" spans="8:15" x14ac:dyDescent="0.25">
      <c r="H331" s="1">
        <v>1399916</v>
      </c>
      <c r="I331" s="4">
        <v>46330.520833333336</v>
      </c>
      <c r="J331" s="1" t="s">
        <v>32</v>
      </c>
      <c r="K331" s="1" t="s">
        <v>65</v>
      </c>
      <c r="L331" s="1" t="s">
        <v>104</v>
      </c>
      <c r="M331" s="1" t="s">
        <v>5263</v>
      </c>
      <c r="N331" s="1" t="s">
        <v>5275</v>
      </c>
      <c r="O331" s="1" t="s">
        <v>7829</v>
      </c>
    </row>
    <row r="332" spans="8:15" x14ac:dyDescent="0.25">
      <c r="H332" s="1">
        <v>1399923</v>
      </c>
      <c r="I332" s="4">
        <v>46330.520833333336</v>
      </c>
      <c r="J332" s="1" t="s">
        <v>32</v>
      </c>
      <c r="K332" s="1" t="s">
        <v>65</v>
      </c>
      <c r="L332" s="1" t="s">
        <v>104</v>
      </c>
      <c r="M332" s="1" t="s">
        <v>5279</v>
      </c>
      <c r="N332" s="1" t="s">
        <v>5287</v>
      </c>
      <c r="O332" s="1" t="s">
        <v>7830</v>
      </c>
    </row>
    <row r="333" spans="8:15" x14ac:dyDescent="0.25">
      <c r="H333" s="1">
        <v>1400587</v>
      </c>
      <c r="I333" s="4">
        <v>46330.520833333336</v>
      </c>
      <c r="J333" s="1" t="s">
        <v>32</v>
      </c>
      <c r="K333" s="1" t="s">
        <v>319</v>
      </c>
      <c r="L333" s="1" t="s">
        <v>2929</v>
      </c>
      <c r="M333" s="1" t="s">
        <v>3549</v>
      </c>
      <c r="N333" s="1" t="s">
        <v>7831</v>
      </c>
      <c r="O333" s="1" t="s">
        <v>7832</v>
      </c>
    </row>
    <row r="334" spans="8:15" x14ac:dyDescent="0.25">
      <c r="H334" s="1">
        <v>1408313</v>
      </c>
      <c r="I334" s="4">
        <v>46330.520833333336</v>
      </c>
      <c r="J334" s="1" t="s">
        <v>32</v>
      </c>
      <c r="K334" s="1" t="s">
        <v>43</v>
      </c>
      <c r="L334" s="1" t="s">
        <v>591</v>
      </c>
      <c r="M334" s="1" t="s">
        <v>3586</v>
      </c>
      <c r="N334" s="1" t="s">
        <v>1384</v>
      </c>
      <c r="O334" s="1" t="s">
        <v>7833</v>
      </c>
    </row>
    <row r="335" spans="8:15" x14ac:dyDescent="0.25">
      <c r="H335" s="1">
        <v>1421858</v>
      </c>
      <c r="I335" s="4">
        <v>46330.520833333336</v>
      </c>
      <c r="J335" s="1" t="s">
        <v>32</v>
      </c>
      <c r="K335" s="1" t="s">
        <v>323</v>
      </c>
      <c r="L335" s="1" t="s">
        <v>49</v>
      </c>
      <c r="M335" s="1" t="s">
        <v>1329</v>
      </c>
      <c r="N335" s="1" t="s">
        <v>7834</v>
      </c>
      <c r="O335" s="1" t="s">
        <v>7835</v>
      </c>
    </row>
    <row r="336" spans="8:15" x14ac:dyDescent="0.25">
      <c r="H336" s="1">
        <v>1437634</v>
      </c>
      <c r="I336" s="4">
        <v>46330.520833333336</v>
      </c>
      <c r="J336" s="1" t="s">
        <v>32</v>
      </c>
      <c r="K336" s="1" t="s">
        <v>65</v>
      </c>
      <c r="L336" s="1" t="s">
        <v>3178</v>
      </c>
      <c r="M336" s="1" t="s">
        <v>7836</v>
      </c>
      <c r="N336" s="1" t="s">
        <v>3182</v>
      </c>
      <c r="O336" s="1" t="s">
        <v>7837</v>
      </c>
    </row>
    <row r="337" spans="8:15" x14ac:dyDescent="0.25">
      <c r="H337" s="1">
        <v>1445925</v>
      </c>
      <c r="I337" s="4">
        <v>46330.520833333336</v>
      </c>
      <c r="J337" s="1" t="s">
        <v>32</v>
      </c>
      <c r="K337" s="1" t="s">
        <v>66</v>
      </c>
      <c r="L337" s="1" t="s">
        <v>582</v>
      </c>
      <c r="M337" s="1" t="s">
        <v>7838</v>
      </c>
      <c r="N337" s="1" t="s">
        <v>2032</v>
      </c>
      <c r="O337" s="1" t="s">
        <v>7839</v>
      </c>
    </row>
    <row r="338" spans="8:15" x14ac:dyDescent="0.25">
      <c r="H338" s="1">
        <v>1461590</v>
      </c>
      <c r="I338" s="4">
        <v>46330.520833333336</v>
      </c>
      <c r="J338" s="1" t="s">
        <v>32</v>
      </c>
      <c r="K338" s="1" t="s">
        <v>40</v>
      </c>
      <c r="L338" s="1" t="s">
        <v>584</v>
      </c>
      <c r="M338" s="1" t="s">
        <v>7840</v>
      </c>
      <c r="N338" s="1" t="s">
        <v>7841</v>
      </c>
      <c r="O338" s="1" t="s">
        <v>7842</v>
      </c>
    </row>
    <row r="339" spans="8:15" x14ac:dyDescent="0.25">
      <c r="H339" s="1">
        <v>1481937</v>
      </c>
      <c r="I339" s="4">
        <v>46330.520833333336</v>
      </c>
      <c r="J339" s="1" t="s">
        <v>32</v>
      </c>
      <c r="K339" s="1" t="s">
        <v>51</v>
      </c>
      <c r="L339" s="1" t="s">
        <v>383</v>
      </c>
      <c r="M339" s="1" t="s">
        <v>3217</v>
      </c>
      <c r="N339" s="1" t="s">
        <v>1147</v>
      </c>
      <c r="O339" s="1" t="s">
        <v>7843</v>
      </c>
    </row>
    <row r="340" spans="8:15" x14ac:dyDescent="0.25">
      <c r="H340" s="1">
        <v>1491238</v>
      </c>
      <c r="I340" s="4">
        <v>46330.520833333336</v>
      </c>
      <c r="J340" s="1" t="s">
        <v>32</v>
      </c>
      <c r="K340" s="1" t="s">
        <v>105</v>
      </c>
      <c r="L340" s="1" t="s">
        <v>321</v>
      </c>
      <c r="M340" s="1" t="s">
        <v>3234</v>
      </c>
      <c r="N340" s="1" t="s">
        <v>7844</v>
      </c>
      <c r="O340" s="1" t="s">
        <v>7845</v>
      </c>
    </row>
    <row r="341" spans="8:15" x14ac:dyDescent="0.25">
      <c r="H341" s="1">
        <v>1513519</v>
      </c>
      <c r="I341" s="4">
        <v>46330.520833333336</v>
      </c>
      <c r="J341" s="1" t="s">
        <v>32</v>
      </c>
      <c r="K341" s="1" t="s">
        <v>546</v>
      </c>
      <c r="L341" s="1" t="s">
        <v>580</v>
      </c>
      <c r="M341" s="1" t="s">
        <v>1011</v>
      </c>
      <c r="N341" s="1" t="s">
        <v>7846</v>
      </c>
      <c r="O341" s="1" t="s">
        <v>7847</v>
      </c>
    </row>
    <row r="342" spans="8:15" x14ac:dyDescent="0.25">
      <c r="H342" s="1">
        <v>1518393</v>
      </c>
      <c r="I342" s="4">
        <v>46330.520833333336</v>
      </c>
      <c r="J342" s="1" t="s">
        <v>32</v>
      </c>
      <c r="K342" s="1" t="s">
        <v>43</v>
      </c>
      <c r="L342" s="1" t="s">
        <v>576</v>
      </c>
      <c r="M342" s="1" t="s">
        <v>7848</v>
      </c>
      <c r="N342" s="1" t="s">
        <v>7849</v>
      </c>
      <c r="O342" s="1" t="s">
        <v>7850</v>
      </c>
    </row>
    <row r="343" spans="8:15" x14ac:dyDescent="0.25">
      <c r="H343" s="1">
        <v>1521324</v>
      </c>
      <c r="I343" s="4">
        <v>46330.520833333336</v>
      </c>
      <c r="J343" s="1" t="s">
        <v>32</v>
      </c>
      <c r="K343" s="1" t="s">
        <v>260</v>
      </c>
      <c r="L343" s="1" t="s">
        <v>261</v>
      </c>
      <c r="M343" s="1" t="s">
        <v>7851</v>
      </c>
      <c r="N343" s="1" t="s">
        <v>7852</v>
      </c>
      <c r="O343" s="1" t="s">
        <v>7853</v>
      </c>
    </row>
    <row r="344" spans="8:15" x14ac:dyDescent="0.25">
      <c r="H344" s="1">
        <v>1528406</v>
      </c>
      <c r="I344" s="4">
        <v>46330.520833333336</v>
      </c>
      <c r="J344" s="1" t="s">
        <v>32</v>
      </c>
      <c r="K344" s="1" t="s">
        <v>7548</v>
      </c>
      <c r="L344" s="1" t="s">
        <v>49</v>
      </c>
      <c r="M344" s="1" t="s">
        <v>7854</v>
      </c>
      <c r="N344" s="1" t="s">
        <v>7855</v>
      </c>
      <c r="O344" s="1" t="s">
        <v>7856</v>
      </c>
    </row>
    <row r="345" spans="8:15" x14ac:dyDescent="0.25">
      <c r="H345" s="1">
        <v>1528575</v>
      </c>
      <c r="I345" s="4">
        <v>46330.520833333336</v>
      </c>
      <c r="J345" s="1" t="s">
        <v>32</v>
      </c>
      <c r="K345" s="1" t="s">
        <v>419</v>
      </c>
      <c r="L345" s="1" t="s">
        <v>266</v>
      </c>
      <c r="M345" s="1" t="s">
        <v>3311</v>
      </c>
      <c r="N345" s="1" t="s">
        <v>7857</v>
      </c>
      <c r="O345" s="1" t="s">
        <v>7858</v>
      </c>
    </row>
    <row r="346" spans="8:15" x14ac:dyDescent="0.25">
      <c r="H346" s="1">
        <v>1528576</v>
      </c>
      <c r="I346" s="4">
        <v>46330.520833333336</v>
      </c>
      <c r="J346" s="1" t="s">
        <v>32</v>
      </c>
      <c r="K346" s="1" t="s">
        <v>419</v>
      </c>
      <c r="L346" s="1" t="s">
        <v>266</v>
      </c>
      <c r="M346" s="1" t="s">
        <v>3313</v>
      </c>
      <c r="N346" s="1" t="s">
        <v>7859</v>
      </c>
      <c r="O346" s="1" t="s">
        <v>7860</v>
      </c>
    </row>
    <row r="347" spans="8:15" x14ac:dyDescent="0.25">
      <c r="H347" s="1">
        <v>1528577</v>
      </c>
      <c r="I347" s="4">
        <v>46330.520833333336</v>
      </c>
      <c r="J347" s="1" t="s">
        <v>32</v>
      </c>
      <c r="K347" s="1" t="s">
        <v>419</v>
      </c>
      <c r="L347" s="1" t="s">
        <v>266</v>
      </c>
      <c r="M347" s="1" t="s">
        <v>3308</v>
      </c>
      <c r="N347" s="1" t="s">
        <v>3314</v>
      </c>
      <c r="O347" s="1" t="s">
        <v>7861</v>
      </c>
    </row>
    <row r="348" spans="8:15" x14ac:dyDescent="0.25">
      <c r="H348" s="1">
        <v>1532661</v>
      </c>
      <c r="I348" s="4">
        <v>46330.520833333336</v>
      </c>
      <c r="J348" s="1" t="s">
        <v>32</v>
      </c>
      <c r="K348" s="1" t="s">
        <v>419</v>
      </c>
      <c r="L348" s="1" t="s">
        <v>2834</v>
      </c>
      <c r="M348" s="1" t="s">
        <v>7862</v>
      </c>
      <c r="N348" s="1" t="s">
        <v>7863</v>
      </c>
      <c r="O348" s="1" t="s">
        <v>7864</v>
      </c>
    </row>
    <row r="349" spans="8:15" x14ac:dyDescent="0.25">
      <c r="H349" s="1">
        <v>1523094</v>
      </c>
      <c r="I349" s="4">
        <v>46330.524305555555</v>
      </c>
      <c r="J349" s="1" t="s">
        <v>32</v>
      </c>
      <c r="K349" s="1" t="s">
        <v>419</v>
      </c>
      <c r="L349" s="1" t="s">
        <v>81</v>
      </c>
      <c r="M349" s="1" t="s">
        <v>3259</v>
      </c>
      <c r="N349" s="1" t="s">
        <v>3511</v>
      </c>
      <c r="O349" s="1" t="s">
        <v>7866</v>
      </c>
    </row>
    <row r="350" spans="8:15" x14ac:dyDescent="0.25">
      <c r="H350" s="1">
        <v>1523095</v>
      </c>
      <c r="I350" s="4">
        <v>46330.524305555555</v>
      </c>
      <c r="J350" s="1" t="s">
        <v>32</v>
      </c>
      <c r="K350" s="1" t="s">
        <v>419</v>
      </c>
      <c r="L350" s="1" t="s">
        <v>81</v>
      </c>
      <c r="M350" s="1" t="s">
        <v>2869</v>
      </c>
      <c r="N350" s="1" t="s">
        <v>7867</v>
      </c>
      <c r="O350" s="1" t="s">
        <v>7868</v>
      </c>
    </row>
    <row r="351" spans="8:15" x14ac:dyDescent="0.25">
      <c r="H351" s="1">
        <v>1532662</v>
      </c>
      <c r="I351" s="4">
        <v>46330.524305555555</v>
      </c>
      <c r="J351" s="1" t="s">
        <v>32</v>
      </c>
      <c r="K351" s="1" t="s">
        <v>419</v>
      </c>
      <c r="L351" s="1" t="s">
        <v>2834</v>
      </c>
      <c r="M351" s="1" t="s">
        <v>7869</v>
      </c>
      <c r="N351" s="1" t="s">
        <v>7870</v>
      </c>
      <c r="O351" s="1" t="s">
        <v>7871</v>
      </c>
    </row>
    <row r="352" spans="8:15" x14ac:dyDescent="0.25">
      <c r="H352" s="1">
        <v>1534176</v>
      </c>
      <c r="I352" s="4">
        <v>46330.53125</v>
      </c>
      <c r="J352" s="1" t="s">
        <v>32</v>
      </c>
      <c r="K352" s="1" t="s">
        <v>326</v>
      </c>
      <c r="L352" s="1" t="s">
        <v>327</v>
      </c>
      <c r="M352" s="1" t="s">
        <v>5041</v>
      </c>
      <c r="N352" s="1" t="s">
        <v>1186</v>
      </c>
      <c r="O352" s="1" t="s">
        <v>7873</v>
      </c>
    </row>
    <row r="353" spans="8:15" x14ac:dyDescent="0.25">
      <c r="H353" s="1">
        <v>1389371</v>
      </c>
      <c r="I353" s="4">
        <v>46330.541666666664</v>
      </c>
      <c r="J353" s="1" t="s">
        <v>32</v>
      </c>
      <c r="K353" s="1" t="s">
        <v>89</v>
      </c>
      <c r="L353" s="1" t="s">
        <v>236</v>
      </c>
      <c r="M353" s="1" t="s">
        <v>7875</v>
      </c>
      <c r="N353" s="1" t="s">
        <v>7876</v>
      </c>
      <c r="O353" s="1" t="s">
        <v>7877</v>
      </c>
    </row>
    <row r="354" spans="8:15" x14ac:dyDescent="0.25">
      <c r="H354" s="1">
        <v>1389376</v>
      </c>
      <c r="I354" s="4">
        <v>46330.541666666664</v>
      </c>
      <c r="J354" s="1" t="s">
        <v>32</v>
      </c>
      <c r="K354" s="1" t="s">
        <v>89</v>
      </c>
      <c r="L354" s="1" t="s">
        <v>236</v>
      </c>
      <c r="M354" s="1" t="s">
        <v>7878</v>
      </c>
      <c r="N354" s="1" t="s">
        <v>7879</v>
      </c>
      <c r="O354" s="1" t="s">
        <v>7880</v>
      </c>
    </row>
    <row r="355" spans="8:15" x14ac:dyDescent="0.25">
      <c r="H355" s="1">
        <v>1391127</v>
      </c>
      <c r="I355" s="4">
        <v>46330.541666666664</v>
      </c>
      <c r="J355" s="1" t="s">
        <v>32</v>
      </c>
      <c r="K355" s="1" t="s">
        <v>40</v>
      </c>
      <c r="L355" s="1" t="s">
        <v>74</v>
      </c>
      <c r="M355" s="1" t="s">
        <v>7881</v>
      </c>
      <c r="N355" s="1" t="s">
        <v>2339</v>
      </c>
      <c r="O355" s="1" t="s">
        <v>7882</v>
      </c>
    </row>
    <row r="356" spans="8:15" x14ac:dyDescent="0.25">
      <c r="H356" s="1">
        <v>1394373</v>
      </c>
      <c r="I356" s="4">
        <v>46330.541666666664</v>
      </c>
      <c r="J356" s="1" t="s">
        <v>32</v>
      </c>
      <c r="K356" s="1" t="s">
        <v>43</v>
      </c>
      <c r="L356" s="1" t="s">
        <v>339</v>
      </c>
      <c r="M356" s="1" t="s">
        <v>3674</v>
      </c>
      <c r="N356" s="1" t="s">
        <v>3681</v>
      </c>
      <c r="O356" s="1" t="s">
        <v>7883</v>
      </c>
    </row>
    <row r="357" spans="8:15" x14ac:dyDescent="0.25">
      <c r="H357" s="1">
        <v>1394377</v>
      </c>
      <c r="I357" s="4">
        <v>46330.541666666664</v>
      </c>
      <c r="J357" s="1" t="s">
        <v>32</v>
      </c>
      <c r="K357" s="1" t="s">
        <v>43</v>
      </c>
      <c r="L357" s="1" t="s">
        <v>339</v>
      </c>
      <c r="M357" s="1" t="s">
        <v>1324</v>
      </c>
      <c r="N357" s="1" t="s">
        <v>2036</v>
      </c>
      <c r="O357" s="1" t="s">
        <v>7884</v>
      </c>
    </row>
    <row r="358" spans="8:15" x14ac:dyDescent="0.25">
      <c r="H358" s="1">
        <v>1394379</v>
      </c>
      <c r="I358" s="4">
        <v>46330.541666666664</v>
      </c>
      <c r="J358" s="1" t="s">
        <v>32</v>
      </c>
      <c r="K358" s="1" t="s">
        <v>43</v>
      </c>
      <c r="L358" s="1" t="s">
        <v>339</v>
      </c>
      <c r="M358" s="1" t="s">
        <v>7885</v>
      </c>
      <c r="N358" s="1" t="s">
        <v>2281</v>
      </c>
      <c r="O358" s="1" t="s">
        <v>7886</v>
      </c>
    </row>
    <row r="359" spans="8:15" x14ac:dyDescent="0.25">
      <c r="H359" s="1">
        <v>1394380</v>
      </c>
      <c r="I359" s="4">
        <v>46330.541666666664</v>
      </c>
      <c r="J359" s="1" t="s">
        <v>32</v>
      </c>
      <c r="K359" s="1" t="s">
        <v>43</v>
      </c>
      <c r="L359" s="1" t="s">
        <v>339</v>
      </c>
      <c r="M359" s="1" t="s">
        <v>1325</v>
      </c>
      <c r="N359" s="1" t="s">
        <v>2037</v>
      </c>
      <c r="O359" s="1" t="s">
        <v>7887</v>
      </c>
    </row>
    <row r="360" spans="8:15" x14ac:dyDescent="0.25">
      <c r="H360" s="1">
        <v>1394382</v>
      </c>
      <c r="I360" s="4">
        <v>46330.541666666664</v>
      </c>
      <c r="J360" s="1" t="s">
        <v>32</v>
      </c>
      <c r="K360" s="1" t="s">
        <v>43</v>
      </c>
      <c r="L360" s="1" t="s">
        <v>339</v>
      </c>
      <c r="M360" s="1" t="s">
        <v>7888</v>
      </c>
      <c r="N360" s="1" t="s">
        <v>7889</v>
      </c>
      <c r="O360" s="1" t="s">
        <v>7890</v>
      </c>
    </row>
    <row r="361" spans="8:15" x14ac:dyDescent="0.25">
      <c r="H361" s="1">
        <v>1397897</v>
      </c>
      <c r="I361" s="4">
        <v>46330.541666666664</v>
      </c>
      <c r="J361" s="1" t="s">
        <v>32</v>
      </c>
      <c r="K361" s="1" t="s">
        <v>332</v>
      </c>
      <c r="L361" s="1" t="s">
        <v>4196</v>
      </c>
      <c r="M361" s="1" t="s">
        <v>7891</v>
      </c>
      <c r="N361" s="1" t="s">
        <v>7892</v>
      </c>
      <c r="O361" s="1" t="s">
        <v>7893</v>
      </c>
    </row>
    <row r="362" spans="8:15" x14ac:dyDescent="0.25">
      <c r="H362" s="1">
        <v>1403800</v>
      </c>
      <c r="I362" s="4">
        <v>46330.541666666664</v>
      </c>
      <c r="J362" s="1" t="s">
        <v>32</v>
      </c>
      <c r="K362" s="1" t="s">
        <v>38</v>
      </c>
      <c r="L362" s="1" t="s">
        <v>39</v>
      </c>
      <c r="M362" s="1" t="s">
        <v>7894</v>
      </c>
      <c r="N362" s="1" t="s">
        <v>7895</v>
      </c>
      <c r="O362" s="1" t="s">
        <v>7896</v>
      </c>
    </row>
    <row r="363" spans="8:15" x14ac:dyDescent="0.25">
      <c r="H363" s="1">
        <v>1403801</v>
      </c>
      <c r="I363" s="4">
        <v>46330.541666666664</v>
      </c>
      <c r="J363" s="1" t="s">
        <v>32</v>
      </c>
      <c r="K363" s="1" t="s">
        <v>38</v>
      </c>
      <c r="L363" s="1" t="s">
        <v>39</v>
      </c>
      <c r="M363" s="1" t="s">
        <v>7897</v>
      </c>
      <c r="N363" s="1" t="s">
        <v>7898</v>
      </c>
      <c r="O363" s="1" t="s">
        <v>7899</v>
      </c>
    </row>
    <row r="364" spans="8:15" x14ac:dyDescent="0.25">
      <c r="H364" s="1">
        <v>1406308</v>
      </c>
      <c r="I364" s="4">
        <v>46330.541666666664</v>
      </c>
      <c r="J364" s="1" t="s">
        <v>32</v>
      </c>
      <c r="K364" s="1" t="s">
        <v>43</v>
      </c>
      <c r="L364" s="1" t="s">
        <v>393</v>
      </c>
      <c r="M364" s="1" t="s">
        <v>3708</v>
      </c>
      <c r="N364" s="1" t="s">
        <v>4527</v>
      </c>
      <c r="O364" s="1" t="s">
        <v>7900</v>
      </c>
    </row>
    <row r="365" spans="8:15" x14ac:dyDescent="0.25">
      <c r="H365" s="1">
        <v>1406309</v>
      </c>
      <c r="I365" s="4">
        <v>46330.541666666664</v>
      </c>
      <c r="J365" s="1" t="s">
        <v>32</v>
      </c>
      <c r="K365" s="1" t="s">
        <v>43</v>
      </c>
      <c r="L365" s="1" t="s">
        <v>393</v>
      </c>
      <c r="M365" s="1" t="s">
        <v>4220</v>
      </c>
      <c r="N365" s="1" t="s">
        <v>4522</v>
      </c>
      <c r="O365" s="1" t="s">
        <v>7901</v>
      </c>
    </row>
    <row r="366" spans="8:15" x14ac:dyDescent="0.25">
      <c r="H366" s="1">
        <v>1406311</v>
      </c>
      <c r="I366" s="4">
        <v>46330.541666666664</v>
      </c>
      <c r="J366" s="1" t="s">
        <v>32</v>
      </c>
      <c r="K366" s="1" t="s">
        <v>43</v>
      </c>
      <c r="L366" s="1" t="s">
        <v>393</v>
      </c>
      <c r="M366" s="1" t="s">
        <v>3711</v>
      </c>
      <c r="N366" s="1" t="s">
        <v>4216</v>
      </c>
      <c r="O366" s="1" t="s">
        <v>7902</v>
      </c>
    </row>
    <row r="367" spans="8:15" x14ac:dyDescent="0.25">
      <c r="H367" s="1">
        <v>1406448</v>
      </c>
      <c r="I367" s="4">
        <v>46330.541666666664</v>
      </c>
      <c r="J367" s="1" t="s">
        <v>32</v>
      </c>
      <c r="K367" s="1" t="s">
        <v>43</v>
      </c>
      <c r="L367" s="1" t="s">
        <v>551</v>
      </c>
      <c r="M367" s="1" t="s">
        <v>4955</v>
      </c>
      <c r="N367" s="1" t="s">
        <v>7903</v>
      </c>
      <c r="O367" s="1" t="s">
        <v>7904</v>
      </c>
    </row>
    <row r="368" spans="8:15" x14ac:dyDescent="0.25">
      <c r="H368" s="1">
        <v>1406580</v>
      </c>
      <c r="I368" s="4">
        <v>46330.541666666664</v>
      </c>
      <c r="J368" s="1" t="s">
        <v>32</v>
      </c>
      <c r="K368" s="1" t="s">
        <v>43</v>
      </c>
      <c r="L368" s="1" t="s">
        <v>551</v>
      </c>
      <c r="M368" s="1" t="s">
        <v>4958</v>
      </c>
      <c r="N368" s="1" t="s">
        <v>4960</v>
      </c>
      <c r="O368" s="1" t="s">
        <v>7905</v>
      </c>
    </row>
    <row r="369" spans="8:15" x14ac:dyDescent="0.25">
      <c r="H369" s="1">
        <v>1406584</v>
      </c>
      <c r="I369" s="4">
        <v>46330.541666666664</v>
      </c>
      <c r="J369" s="1" t="s">
        <v>32</v>
      </c>
      <c r="K369" s="1" t="s">
        <v>43</v>
      </c>
      <c r="L369" s="1" t="s">
        <v>551</v>
      </c>
      <c r="M369" s="1" t="s">
        <v>4534</v>
      </c>
      <c r="N369" s="1" t="s">
        <v>7906</v>
      </c>
      <c r="O369" s="1" t="s">
        <v>7907</v>
      </c>
    </row>
    <row r="370" spans="8:15" x14ac:dyDescent="0.25">
      <c r="H370" s="1">
        <v>1406585</v>
      </c>
      <c r="I370" s="4">
        <v>46330.541666666664</v>
      </c>
      <c r="J370" s="1" t="s">
        <v>32</v>
      </c>
      <c r="K370" s="1" t="s">
        <v>43</v>
      </c>
      <c r="L370" s="1" t="s">
        <v>551</v>
      </c>
      <c r="M370" s="1" t="s">
        <v>7908</v>
      </c>
      <c r="N370" s="1" t="s">
        <v>4533</v>
      </c>
      <c r="O370" s="1" t="s">
        <v>7909</v>
      </c>
    </row>
    <row r="371" spans="8:15" x14ac:dyDescent="0.25">
      <c r="H371" s="1">
        <v>1406870</v>
      </c>
      <c r="I371" s="4">
        <v>46330.541666666664</v>
      </c>
      <c r="J371" s="1" t="s">
        <v>32</v>
      </c>
      <c r="K371" s="1" t="s">
        <v>43</v>
      </c>
      <c r="L371" s="1" t="s">
        <v>345</v>
      </c>
      <c r="M371" s="1" t="s">
        <v>1236</v>
      </c>
      <c r="N371" s="1" t="s">
        <v>7910</v>
      </c>
      <c r="O371" s="1" t="s">
        <v>7911</v>
      </c>
    </row>
    <row r="372" spans="8:15" x14ac:dyDescent="0.25">
      <c r="H372" s="1">
        <v>1406872</v>
      </c>
      <c r="I372" s="4">
        <v>46330.541666666664</v>
      </c>
      <c r="J372" s="1" t="s">
        <v>32</v>
      </c>
      <c r="K372" s="1" t="s">
        <v>43</v>
      </c>
      <c r="L372" s="1" t="s">
        <v>345</v>
      </c>
      <c r="M372" s="1" t="s">
        <v>3389</v>
      </c>
      <c r="N372" s="1" t="s">
        <v>3387</v>
      </c>
      <c r="O372" s="1" t="s">
        <v>7912</v>
      </c>
    </row>
    <row r="373" spans="8:15" x14ac:dyDescent="0.25">
      <c r="H373" s="1">
        <v>1406873</v>
      </c>
      <c r="I373" s="4">
        <v>46330.541666666664</v>
      </c>
      <c r="J373" s="1" t="s">
        <v>32</v>
      </c>
      <c r="K373" s="1" t="s">
        <v>43</v>
      </c>
      <c r="L373" s="1" t="s">
        <v>345</v>
      </c>
      <c r="M373" s="1" t="s">
        <v>3391</v>
      </c>
      <c r="N373" s="1" t="s">
        <v>7913</v>
      </c>
      <c r="O373" s="1" t="s">
        <v>7914</v>
      </c>
    </row>
    <row r="374" spans="8:15" x14ac:dyDescent="0.25">
      <c r="H374" s="1">
        <v>1407098</v>
      </c>
      <c r="I374" s="4">
        <v>46330.541666666664</v>
      </c>
      <c r="J374" s="1" t="s">
        <v>32</v>
      </c>
      <c r="K374" s="1" t="s">
        <v>43</v>
      </c>
      <c r="L374" s="1" t="s">
        <v>605</v>
      </c>
      <c r="M374" s="1" t="s">
        <v>3721</v>
      </c>
      <c r="N374" s="1" t="s">
        <v>1374</v>
      </c>
      <c r="O374" s="1" t="s">
        <v>7915</v>
      </c>
    </row>
    <row r="375" spans="8:15" x14ac:dyDescent="0.25">
      <c r="H375" s="1">
        <v>1407100</v>
      </c>
      <c r="I375" s="4">
        <v>46330.541666666664</v>
      </c>
      <c r="J375" s="1" t="s">
        <v>32</v>
      </c>
      <c r="K375" s="1" t="s">
        <v>43</v>
      </c>
      <c r="L375" s="1" t="s">
        <v>605</v>
      </c>
      <c r="M375" s="1" t="s">
        <v>3725</v>
      </c>
      <c r="N375" s="1" t="s">
        <v>3717</v>
      </c>
      <c r="O375" s="1" t="s">
        <v>7916</v>
      </c>
    </row>
    <row r="376" spans="8:15" x14ac:dyDescent="0.25">
      <c r="H376" s="1">
        <v>1407386</v>
      </c>
      <c r="I376" s="4">
        <v>46330.541666666664</v>
      </c>
      <c r="J376" s="1" t="s">
        <v>32</v>
      </c>
      <c r="K376" s="1" t="s">
        <v>43</v>
      </c>
      <c r="L376" s="1" t="s">
        <v>394</v>
      </c>
      <c r="M376" s="1" t="s">
        <v>1649</v>
      </c>
      <c r="N376" s="1" t="s">
        <v>4536</v>
      </c>
      <c r="O376" s="1" t="s">
        <v>7917</v>
      </c>
    </row>
    <row r="377" spans="8:15" x14ac:dyDescent="0.25">
      <c r="H377" s="1">
        <v>1407706</v>
      </c>
      <c r="I377" s="4">
        <v>46330.541666666664</v>
      </c>
      <c r="J377" s="1" t="s">
        <v>32</v>
      </c>
      <c r="K377" s="1" t="s">
        <v>43</v>
      </c>
      <c r="L377" s="1" t="s">
        <v>76</v>
      </c>
      <c r="M377" s="1" t="s">
        <v>7918</v>
      </c>
      <c r="N377" s="1" t="s">
        <v>1379</v>
      </c>
      <c r="O377" s="1" t="s">
        <v>7919</v>
      </c>
    </row>
    <row r="378" spans="8:15" x14ac:dyDescent="0.25">
      <c r="H378" s="1">
        <v>1407708</v>
      </c>
      <c r="I378" s="4">
        <v>46330.541666666664</v>
      </c>
      <c r="J378" s="1" t="s">
        <v>32</v>
      </c>
      <c r="K378" s="1" t="s">
        <v>43</v>
      </c>
      <c r="L378" s="1" t="s">
        <v>76</v>
      </c>
      <c r="M378" s="1" t="s">
        <v>1380</v>
      </c>
      <c r="N378" s="1" t="s">
        <v>7920</v>
      </c>
      <c r="O378" s="1" t="s">
        <v>7921</v>
      </c>
    </row>
    <row r="379" spans="8:15" x14ac:dyDescent="0.25">
      <c r="H379" s="1">
        <v>1407709</v>
      </c>
      <c r="I379" s="4">
        <v>46330.541666666664</v>
      </c>
      <c r="J379" s="1" t="s">
        <v>32</v>
      </c>
      <c r="K379" s="1" t="s">
        <v>43</v>
      </c>
      <c r="L379" s="1" t="s">
        <v>76</v>
      </c>
      <c r="M379" s="1" t="s">
        <v>1381</v>
      </c>
      <c r="N379" s="1" t="s">
        <v>3731</v>
      </c>
      <c r="O379" s="1" t="s">
        <v>7922</v>
      </c>
    </row>
    <row r="380" spans="8:15" x14ac:dyDescent="0.25">
      <c r="H380" s="1">
        <v>1407713</v>
      </c>
      <c r="I380" s="4">
        <v>46330.541666666664</v>
      </c>
      <c r="J380" s="1" t="s">
        <v>32</v>
      </c>
      <c r="K380" s="1" t="s">
        <v>43</v>
      </c>
      <c r="L380" s="1" t="s">
        <v>76</v>
      </c>
      <c r="M380" s="1" t="s">
        <v>7923</v>
      </c>
      <c r="N380" s="1" t="s">
        <v>7924</v>
      </c>
      <c r="O380" s="1" t="s">
        <v>7925</v>
      </c>
    </row>
    <row r="381" spans="8:15" x14ac:dyDescent="0.25">
      <c r="H381" s="1">
        <v>1408309</v>
      </c>
      <c r="I381" s="4">
        <v>46330.541666666664</v>
      </c>
      <c r="J381" s="1" t="s">
        <v>32</v>
      </c>
      <c r="K381" s="1" t="s">
        <v>43</v>
      </c>
      <c r="L381" s="1" t="s">
        <v>591</v>
      </c>
      <c r="M381" s="1" t="s">
        <v>1385</v>
      </c>
      <c r="N381" s="1" t="s">
        <v>7926</v>
      </c>
      <c r="O381" s="1" t="s">
        <v>7927</v>
      </c>
    </row>
    <row r="382" spans="8:15" x14ac:dyDescent="0.25">
      <c r="H382" s="1">
        <v>1408310</v>
      </c>
      <c r="I382" s="4">
        <v>46330.541666666664</v>
      </c>
      <c r="J382" s="1" t="s">
        <v>32</v>
      </c>
      <c r="K382" s="1" t="s">
        <v>43</v>
      </c>
      <c r="L382" s="1" t="s">
        <v>591</v>
      </c>
      <c r="M382" s="1" t="s">
        <v>3733</v>
      </c>
      <c r="N382" s="1" t="s">
        <v>1655</v>
      </c>
      <c r="O382" s="1" t="s">
        <v>7928</v>
      </c>
    </row>
    <row r="383" spans="8:15" x14ac:dyDescent="0.25">
      <c r="H383" s="1">
        <v>1408607</v>
      </c>
      <c r="I383" s="4">
        <v>46330.541666666664</v>
      </c>
      <c r="J383" s="1" t="s">
        <v>32</v>
      </c>
      <c r="K383" s="1" t="s">
        <v>43</v>
      </c>
      <c r="L383" s="1" t="s">
        <v>3738</v>
      </c>
      <c r="M383" s="1" t="s">
        <v>3755</v>
      </c>
      <c r="N383" s="1" t="s">
        <v>7929</v>
      </c>
      <c r="O383" s="1" t="s">
        <v>7930</v>
      </c>
    </row>
    <row r="384" spans="8:15" x14ac:dyDescent="0.25">
      <c r="H384" s="1">
        <v>1408608</v>
      </c>
      <c r="I384" s="4">
        <v>46330.541666666664</v>
      </c>
      <c r="J384" s="1" t="s">
        <v>32</v>
      </c>
      <c r="K384" s="1" t="s">
        <v>43</v>
      </c>
      <c r="L384" s="1" t="s">
        <v>3738</v>
      </c>
      <c r="M384" s="1" t="s">
        <v>3745</v>
      </c>
      <c r="N384" s="1" t="s">
        <v>3743</v>
      </c>
      <c r="O384" s="1" t="s">
        <v>7931</v>
      </c>
    </row>
    <row r="385" spans="8:15" x14ac:dyDescent="0.25">
      <c r="H385" s="1">
        <v>1408610</v>
      </c>
      <c r="I385" s="4">
        <v>46330.541666666664</v>
      </c>
      <c r="J385" s="1" t="s">
        <v>32</v>
      </c>
      <c r="K385" s="1" t="s">
        <v>43</v>
      </c>
      <c r="L385" s="1" t="s">
        <v>3738</v>
      </c>
      <c r="M385" s="1" t="s">
        <v>7932</v>
      </c>
      <c r="N385" s="1" t="s">
        <v>3740</v>
      </c>
      <c r="O385" s="1" t="s">
        <v>7933</v>
      </c>
    </row>
    <row r="386" spans="8:15" x14ac:dyDescent="0.25">
      <c r="H386" s="1">
        <v>1408612</v>
      </c>
      <c r="I386" s="4">
        <v>46330.541666666664</v>
      </c>
      <c r="J386" s="1" t="s">
        <v>32</v>
      </c>
      <c r="K386" s="1" t="s">
        <v>43</v>
      </c>
      <c r="L386" s="1" t="s">
        <v>3738</v>
      </c>
      <c r="M386" s="1" t="s">
        <v>3754</v>
      </c>
      <c r="N386" s="1" t="s">
        <v>7934</v>
      </c>
      <c r="O386" s="1" t="s">
        <v>7935</v>
      </c>
    </row>
    <row r="387" spans="8:15" x14ac:dyDescent="0.25">
      <c r="H387" s="1">
        <v>1408613</v>
      </c>
      <c r="I387" s="4">
        <v>46330.541666666664</v>
      </c>
      <c r="J387" s="1" t="s">
        <v>32</v>
      </c>
      <c r="K387" s="1" t="s">
        <v>43</v>
      </c>
      <c r="L387" s="1" t="s">
        <v>3738</v>
      </c>
      <c r="M387" s="1" t="s">
        <v>3751</v>
      </c>
      <c r="N387" s="1" t="s">
        <v>3742</v>
      </c>
      <c r="O387" s="1" t="s">
        <v>7936</v>
      </c>
    </row>
    <row r="388" spans="8:15" x14ac:dyDescent="0.25">
      <c r="H388" s="1">
        <v>1408614</v>
      </c>
      <c r="I388" s="4">
        <v>46330.541666666664</v>
      </c>
      <c r="J388" s="1" t="s">
        <v>32</v>
      </c>
      <c r="K388" s="1" t="s">
        <v>43</v>
      </c>
      <c r="L388" s="1" t="s">
        <v>3738</v>
      </c>
      <c r="M388" s="1" t="s">
        <v>3748</v>
      </c>
      <c r="N388" s="1" t="s">
        <v>7937</v>
      </c>
      <c r="O388" s="1" t="s">
        <v>7938</v>
      </c>
    </row>
    <row r="389" spans="8:15" x14ac:dyDescent="0.25">
      <c r="H389" s="1">
        <v>1408911</v>
      </c>
      <c r="I389" s="4">
        <v>46330.541666666664</v>
      </c>
      <c r="J389" s="1" t="s">
        <v>32</v>
      </c>
      <c r="K389" s="1" t="s">
        <v>43</v>
      </c>
      <c r="L389" s="1" t="s">
        <v>395</v>
      </c>
      <c r="M389" s="1" t="s">
        <v>3766</v>
      </c>
      <c r="N389" s="1" t="s">
        <v>3774</v>
      </c>
      <c r="O389" s="1" t="s">
        <v>7939</v>
      </c>
    </row>
    <row r="390" spans="8:15" x14ac:dyDescent="0.25">
      <c r="H390" s="1">
        <v>1408912</v>
      </c>
      <c r="I390" s="4">
        <v>46330.541666666664</v>
      </c>
      <c r="J390" s="1" t="s">
        <v>32</v>
      </c>
      <c r="K390" s="1" t="s">
        <v>43</v>
      </c>
      <c r="L390" s="1" t="s">
        <v>395</v>
      </c>
      <c r="M390" s="1" t="s">
        <v>3764</v>
      </c>
      <c r="N390" s="1" t="s">
        <v>3767</v>
      </c>
      <c r="O390" s="1" t="s">
        <v>7940</v>
      </c>
    </row>
    <row r="391" spans="8:15" x14ac:dyDescent="0.25">
      <c r="H391" s="1">
        <v>1408913</v>
      </c>
      <c r="I391" s="4">
        <v>46330.541666666664</v>
      </c>
      <c r="J391" s="1" t="s">
        <v>32</v>
      </c>
      <c r="K391" s="1" t="s">
        <v>43</v>
      </c>
      <c r="L391" s="1" t="s">
        <v>395</v>
      </c>
      <c r="M391" s="1" t="s">
        <v>7941</v>
      </c>
      <c r="N391" s="1" t="s">
        <v>3775</v>
      </c>
      <c r="O391" s="1" t="s">
        <v>7942</v>
      </c>
    </row>
    <row r="392" spans="8:15" x14ac:dyDescent="0.25">
      <c r="H392" s="1">
        <v>1408916</v>
      </c>
      <c r="I392" s="4">
        <v>46330.541666666664</v>
      </c>
      <c r="J392" s="1" t="s">
        <v>32</v>
      </c>
      <c r="K392" s="1" t="s">
        <v>43</v>
      </c>
      <c r="L392" s="1" t="s">
        <v>395</v>
      </c>
      <c r="M392" s="1" t="s">
        <v>1389</v>
      </c>
      <c r="N392" s="1" t="s">
        <v>3770</v>
      </c>
      <c r="O392" s="1" t="s">
        <v>7943</v>
      </c>
    </row>
    <row r="393" spans="8:15" x14ac:dyDescent="0.25">
      <c r="H393" s="1">
        <v>1408917</v>
      </c>
      <c r="I393" s="4">
        <v>46330.541666666664</v>
      </c>
      <c r="J393" s="1" t="s">
        <v>32</v>
      </c>
      <c r="K393" s="1" t="s">
        <v>43</v>
      </c>
      <c r="L393" s="1" t="s">
        <v>395</v>
      </c>
      <c r="M393" s="1" t="s">
        <v>1388</v>
      </c>
      <c r="N393" s="1" t="s">
        <v>3772</v>
      </c>
      <c r="O393" s="1" t="s">
        <v>7944</v>
      </c>
    </row>
    <row r="394" spans="8:15" x14ac:dyDescent="0.25">
      <c r="H394" s="1">
        <v>1409197</v>
      </c>
      <c r="I394" s="4">
        <v>46330.541666666664</v>
      </c>
      <c r="J394" s="1" t="s">
        <v>32</v>
      </c>
      <c r="K394" s="1" t="s">
        <v>43</v>
      </c>
      <c r="L394" s="1" t="s">
        <v>3777</v>
      </c>
      <c r="M394" s="1" t="s">
        <v>7945</v>
      </c>
      <c r="N394" s="1" t="s">
        <v>4962</v>
      </c>
      <c r="O394" s="1" t="s">
        <v>7946</v>
      </c>
    </row>
    <row r="395" spans="8:15" x14ac:dyDescent="0.25">
      <c r="H395" s="1">
        <v>1409198</v>
      </c>
      <c r="I395" s="4">
        <v>46330.541666666664</v>
      </c>
      <c r="J395" s="1" t="s">
        <v>32</v>
      </c>
      <c r="K395" s="1" t="s">
        <v>43</v>
      </c>
      <c r="L395" s="1" t="s">
        <v>3777</v>
      </c>
      <c r="M395" s="1" t="s">
        <v>3784</v>
      </c>
      <c r="N395" s="1" t="s">
        <v>7947</v>
      </c>
      <c r="O395" s="1" t="s">
        <v>7948</v>
      </c>
    </row>
    <row r="396" spans="8:15" x14ac:dyDescent="0.25">
      <c r="H396" s="1">
        <v>1409199</v>
      </c>
      <c r="I396" s="4">
        <v>46330.541666666664</v>
      </c>
      <c r="J396" s="1" t="s">
        <v>32</v>
      </c>
      <c r="K396" s="1" t="s">
        <v>43</v>
      </c>
      <c r="L396" s="1" t="s">
        <v>3777</v>
      </c>
      <c r="M396" s="1" t="s">
        <v>3781</v>
      </c>
      <c r="N396" s="1" t="s">
        <v>7949</v>
      </c>
      <c r="O396" s="1" t="s">
        <v>7950</v>
      </c>
    </row>
    <row r="397" spans="8:15" x14ac:dyDescent="0.25">
      <c r="H397" s="1">
        <v>1409316</v>
      </c>
      <c r="I397" s="4">
        <v>46330.541666666664</v>
      </c>
      <c r="J397" s="1" t="s">
        <v>32</v>
      </c>
      <c r="K397" s="1" t="s">
        <v>43</v>
      </c>
      <c r="L397" s="1" t="s">
        <v>600</v>
      </c>
      <c r="M397" s="1" t="s">
        <v>7951</v>
      </c>
      <c r="N397" s="1" t="s">
        <v>3787</v>
      </c>
      <c r="O397" s="1" t="s">
        <v>7952</v>
      </c>
    </row>
    <row r="398" spans="8:15" x14ac:dyDescent="0.25">
      <c r="H398" s="1">
        <v>1409422</v>
      </c>
      <c r="I398" s="4">
        <v>46330.541666666664</v>
      </c>
      <c r="J398" s="1" t="s">
        <v>32</v>
      </c>
      <c r="K398" s="1" t="s">
        <v>43</v>
      </c>
      <c r="L398" s="1" t="s">
        <v>600</v>
      </c>
      <c r="M398" s="1" t="s">
        <v>3840</v>
      </c>
      <c r="N398" s="1" t="s">
        <v>7953</v>
      </c>
      <c r="O398" s="1" t="s">
        <v>7954</v>
      </c>
    </row>
    <row r="399" spans="8:15" x14ac:dyDescent="0.25">
      <c r="H399" s="1">
        <v>1409659</v>
      </c>
      <c r="I399" s="4">
        <v>46330.541666666664</v>
      </c>
      <c r="J399" s="1" t="s">
        <v>32</v>
      </c>
      <c r="K399" s="1" t="s">
        <v>43</v>
      </c>
      <c r="L399" s="1" t="s">
        <v>3789</v>
      </c>
      <c r="M399" s="1" t="s">
        <v>7955</v>
      </c>
      <c r="N399" s="1" t="s">
        <v>7956</v>
      </c>
      <c r="O399" s="1" t="s">
        <v>7957</v>
      </c>
    </row>
    <row r="400" spans="8:15" x14ac:dyDescent="0.25">
      <c r="H400" s="1">
        <v>1409660</v>
      </c>
      <c r="I400" s="4">
        <v>46330.541666666664</v>
      </c>
      <c r="J400" s="1" t="s">
        <v>32</v>
      </c>
      <c r="K400" s="1" t="s">
        <v>43</v>
      </c>
      <c r="L400" s="1" t="s">
        <v>3789</v>
      </c>
      <c r="M400" s="1" t="s">
        <v>3790</v>
      </c>
      <c r="N400" s="1" t="s">
        <v>4552</v>
      </c>
      <c r="O400" s="1" t="s">
        <v>7958</v>
      </c>
    </row>
    <row r="401" spans="8:15" x14ac:dyDescent="0.25">
      <c r="H401" s="1">
        <v>1409946</v>
      </c>
      <c r="I401" s="4">
        <v>46330.541666666664</v>
      </c>
      <c r="J401" s="1" t="s">
        <v>32</v>
      </c>
      <c r="K401" s="1" t="s">
        <v>43</v>
      </c>
      <c r="L401" s="1" t="s">
        <v>396</v>
      </c>
      <c r="M401" s="1" t="s">
        <v>3808</v>
      </c>
      <c r="N401" s="1" t="s">
        <v>7959</v>
      </c>
      <c r="O401" s="1" t="s">
        <v>7960</v>
      </c>
    </row>
    <row r="402" spans="8:15" x14ac:dyDescent="0.25">
      <c r="H402" s="1">
        <v>1409948</v>
      </c>
      <c r="I402" s="4">
        <v>46330.541666666664</v>
      </c>
      <c r="J402" s="1" t="s">
        <v>32</v>
      </c>
      <c r="K402" s="1" t="s">
        <v>43</v>
      </c>
      <c r="L402" s="1" t="s">
        <v>396</v>
      </c>
      <c r="M402" s="1" t="s">
        <v>3805</v>
      </c>
      <c r="N402" s="1" t="s">
        <v>3811</v>
      </c>
      <c r="O402" s="1" t="s">
        <v>7961</v>
      </c>
    </row>
    <row r="403" spans="8:15" x14ac:dyDescent="0.25">
      <c r="H403" s="1">
        <v>1409949</v>
      </c>
      <c r="I403" s="4">
        <v>46330.541666666664</v>
      </c>
      <c r="J403" s="1" t="s">
        <v>32</v>
      </c>
      <c r="K403" s="1" t="s">
        <v>43</v>
      </c>
      <c r="L403" s="1" t="s">
        <v>396</v>
      </c>
      <c r="M403" s="1" t="s">
        <v>3796</v>
      </c>
      <c r="N403" s="1" t="s">
        <v>3803</v>
      </c>
      <c r="O403" s="1" t="s">
        <v>7962</v>
      </c>
    </row>
    <row r="404" spans="8:15" x14ac:dyDescent="0.25">
      <c r="H404" s="1">
        <v>1409954</v>
      </c>
      <c r="I404" s="4">
        <v>46330.541666666664</v>
      </c>
      <c r="J404" s="1" t="s">
        <v>32</v>
      </c>
      <c r="K404" s="1" t="s">
        <v>43</v>
      </c>
      <c r="L404" s="1" t="s">
        <v>396</v>
      </c>
      <c r="M404" s="1" t="s">
        <v>3799</v>
      </c>
      <c r="N404" s="1" t="s">
        <v>1394</v>
      </c>
      <c r="O404" s="1" t="s">
        <v>7963</v>
      </c>
    </row>
    <row r="405" spans="8:15" x14ac:dyDescent="0.25">
      <c r="H405" s="1">
        <v>1410388</v>
      </c>
      <c r="I405" s="4">
        <v>46330.541666666664</v>
      </c>
      <c r="J405" s="1" t="s">
        <v>32</v>
      </c>
      <c r="K405" s="1" t="s">
        <v>51</v>
      </c>
      <c r="L405" s="1" t="s">
        <v>3147</v>
      </c>
      <c r="M405" s="1" t="s">
        <v>4555</v>
      </c>
      <c r="N405" s="1" t="s">
        <v>7964</v>
      </c>
      <c r="O405" s="1" t="s">
        <v>7965</v>
      </c>
    </row>
    <row r="406" spans="8:15" x14ac:dyDescent="0.25">
      <c r="H406" s="1">
        <v>1410391</v>
      </c>
      <c r="I406" s="4">
        <v>46330.541666666664</v>
      </c>
      <c r="J406" s="1" t="s">
        <v>32</v>
      </c>
      <c r="K406" s="1" t="s">
        <v>51</v>
      </c>
      <c r="L406" s="1" t="s">
        <v>3147</v>
      </c>
      <c r="M406" s="1" t="s">
        <v>7966</v>
      </c>
      <c r="N406" s="1" t="s">
        <v>6697</v>
      </c>
      <c r="O406" s="1" t="s">
        <v>7967</v>
      </c>
    </row>
    <row r="407" spans="8:15" x14ac:dyDescent="0.25">
      <c r="H407" s="1">
        <v>1410688</v>
      </c>
      <c r="I407" s="4">
        <v>46330.541666666664</v>
      </c>
      <c r="J407" s="1" t="s">
        <v>32</v>
      </c>
      <c r="K407" s="1" t="s">
        <v>51</v>
      </c>
      <c r="L407" s="1" t="s">
        <v>386</v>
      </c>
      <c r="M407" s="1" t="s">
        <v>3396</v>
      </c>
      <c r="N407" s="1" t="s">
        <v>3828</v>
      </c>
      <c r="O407" s="1" t="s">
        <v>7968</v>
      </c>
    </row>
    <row r="408" spans="8:15" x14ac:dyDescent="0.25">
      <c r="H408" s="1">
        <v>1412273</v>
      </c>
      <c r="I408" s="4">
        <v>46330.541666666664</v>
      </c>
      <c r="J408" s="1" t="s">
        <v>32</v>
      </c>
      <c r="K408" s="1" t="s">
        <v>43</v>
      </c>
      <c r="L408" s="1" t="s">
        <v>600</v>
      </c>
      <c r="M408" s="1" t="s">
        <v>1391</v>
      </c>
      <c r="N408" s="1" t="s">
        <v>7969</v>
      </c>
      <c r="O408" s="1" t="s">
        <v>7970</v>
      </c>
    </row>
    <row r="409" spans="8:15" x14ac:dyDescent="0.25">
      <c r="H409" s="1">
        <v>1414274</v>
      </c>
      <c r="I409" s="4">
        <v>46330.541666666664</v>
      </c>
      <c r="J409" s="1" t="s">
        <v>32</v>
      </c>
      <c r="K409" s="1" t="s">
        <v>43</v>
      </c>
      <c r="L409" s="1" t="s">
        <v>592</v>
      </c>
      <c r="M409" s="1" t="s">
        <v>2040</v>
      </c>
      <c r="N409" s="1" t="s">
        <v>919</v>
      </c>
      <c r="O409" s="1" t="s">
        <v>7971</v>
      </c>
    </row>
    <row r="410" spans="8:15" x14ac:dyDescent="0.25">
      <c r="H410" s="1">
        <v>1414482</v>
      </c>
      <c r="I410" s="4">
        <v>46330.541666666664</v>
      </c>
      <c r="J410" s="1" t="s">
        <v>32</v>
      </c>
      <c r="K410" s="1" t="s">
        <v>390</v>
      </c>
      <c r="L410" s="1" t="s">
        <v>920</v>
      </c>
      <c r="M410" s="1" t="s">
        <v>1907</v>
      </c>
      <c r="N410" s="1" t="s">
        <v>1409</v>
      </c>
      <c r="O410" s="1" t="s">
        <v>7972</v>
      </c>
    </row>
    <row r="411" spans="8:15" x14ac:dyDescent="0.25">
      <c r="H411" s="1">
        <v>1415118</v>
      </c>
      <c r="I411" s="4">
        <v>46330.541666666664</v>
      </c>
      <c r="J411" s="1" t="s">
        <v>32</v>
      </c>
      <c r="K411" s="1" t="s">
        <v>390</v>
      </c>
      <c r="L411" s="1" t="s">
        <v>1243</v>
      </c>
      <c r="M411" s="1" t="s">
        <v>1429</v>
      </c>
      <c r="N411" s="1" t="s">
        <v>1430</v>
      </c>
      <c r="O411" s="1" t="s">
        <v>7973</v>
      </c>
    </row>
    <row r="412" spans="8:15" x14ac:dyDescent="0.25">
      <c r="H412" s="1">
        <v>1415122</v>
      </c>
      <c r="I412" s="4">
        <v>46330.541666666664</v>
      </c>
      <c r="J412" s="1" t="s">
        <v>32</v>
      </c>
      <c r="K412" s="1" t="s">
        <v>390</v>
      </c>
      <c r="L412" s="1" t="s">
        <v>1243</v>
      </c>
      <c r="M412" s="1" t="s">
        <v>1424</v>
      </c>
      <c r="N412" s="1" t="s">
        <v>1244</v>
      </c>
      <c r="O412" s="1" t="s">
        <v>7974</v>
      </c>
    </row>
    <row r="413" spans="8:15" x14ac:dyDescent="0.25">
      <c r="H413" s="1">
        <v>1431445</v>
      </c>
      <c r="I413" s="4">
        <v>46330.541666666664</v>
      </c>
      <c r="J413" s="1" t="s">
        <v>32</v>
      </c>
      <c r="K413" s="1" t="s">
        <v>40</v>
      </c>
      <c r="L413" s="1" t="s">
        <v>349</v>
      </c>
      <c r="M413" s="1" t="s">
        <v>7975</v>
      </c>
      <c r="N413" s="1" t="s">
        <v>6009</v>
      </c>
      <c r="O413" s="1" t="s">
        <v>7976</v>
      </c>
    </row>
    <row r="414" spans="8:15" x14ac:dyDescent="0.25">
      <c r="H414" s="1">
        <v>1456640</v>
      </c>
      <c r="I414" s="4">
        <v>46330.541666666664</v>
      </c>
      <c r="J414" s="1" t="s">
        <v>32</v>
      </c>
      <c r="K414" s="1" t="s">
        <v>107</v>
      </c>
      <c r="L414" s="1" t="s">
        <v>3868</v>
      </c>
      <c r="M414" s="1" t="s">
        <v>3870</v>
      </c>
      <c r="N414" s="1" t="s">
        <v>7977</v>
      </c>
      <c r="O414" s="1" t="s">
        <v>7978</v>
      </c>
    </row>
    <row r="415" spans="8:15" x14ac:dyDescent="0.25">
      <c r="H415" s="1">
        <v>1456880</v>
      </c>
      <c r="I415" s="4">
        <v>46330.541666666664</v>
      </c>
      <c r="J415" s="1" t="s">
        <v>32</v>
      </c>
      <c r="K415" s="1" t="s">
        <v>107</v>
      </c>
      <c r="L415" s="1" t="s">
        <v>3868</v>
      </c>
      <c r="M415" s="1" t="s">
        <v>3873</v>
      </c>
      <c r="N415" s="1" t="s">
        <v>7979</v>
      </c>
      <c r="O415" s="1" t="s">
        <v>7980</v>
      </c>
    </row>
    <row r="416" spans="8:15" x14ac:dyDescent="0.25">
      <c r="H416" s="1">
        <v>1487543</v>
      </c>
      <c r="I416" s="4">
        <v>46330.541666666664</v>
      </c>
      <c r="J416" s="1" t="s">
        <v>32</v>
      </c>
      <c r="K416" s="1" t="s">
        <v>381</v>
      </c>
      <c r="L416" s="1" t="s">
        <v>571</v>
      </c>
      <c r="M416" s="1" t="s">
        <v>906</v>
      </c>
      <c r="N416" s="1" t="s">
        <v>3013</v>
      </c>
      <c r="O416" s="1" t="s">
        <v>7981</v>
      </c>
    </row>
    <row r="417" spans="8:15" x14ac:dyDescent="0.25">
      <c r="H417" s="1">
        <v>1494620</v>
      </c>
      <c r="I417" s="4">
        <v>46330.541666666664</v>
      </c>
      <c r="J417" s="1" t="s">
        <v>32</v>
      </c>
      <c r="K417" s="1" t="s">
        <v>85</v>
      </c>
      <c r="L417" s="1" t="s">
        <v>5853</v>
      </c>
      <c r="M417" s="1" t="s">
        <v>6142</v>
      </c>
      <c r="N417" s="1" t="s">
        <v>2002</v>
      </c>
      <c r="O417" s="1" t="s">
        <v>7982</v>
      </c>
    </row>
    <row r="418" spans="8:15" x14ac:dyDescent="0.25">
      <c r="H418" s="1">
        <v>1495783</v>
      </c>
      <c r="I418" s="4">
        <v>46330.541666666664</v>
      </c>
      <c r="J418" s="1" t="s">
        <v>32</v>
      </c>
      <c r="K418" s="1" t="s">
        <v>85</v>
      </c>
      <c r="L418" s="1" t="s">
        <v>335</v>
      </c>
      <c r="M418" s="1" t="s">
        <v>4998</v>
      </c>
      <c r="N418" s="1" t="s">
        <v>7983</v>
      </c>
      <c r="O418" s="1" t="s">
        <v>7984</v>
      </c>
    </row>
    <row r="419" spans="8:15" x14ac:dyDescent="0.25">
      <c r="H419" s="1">
        <v>1495784</v>
      </c>
      <c r="I419" s="4">
        <v>46330.541666666664</v>
      </c>
      <c r="J419" s="1" t="s">
        <v>32</v>
      </c>
      <c r="K419" s="1" t="s">
        <v>85</v>
      </c>
      <c r="L419" s="1" t="s">
        <v>335</v>
      </c>
      <c r="M419" s="1" t="s">
        <v>7985</v>
      </c>
      <c r="N419" s="1" t="s">
        <v>4793</v>
      </c>
      <c r="O419" s="1" t="s">
        <v>7986</v>
      </c>
    </row>
    <row r="420" spans="8:15" x14ac:dyDescent="0.25">
      <c r="H420" s="1">
        <v>1495785</v>
      </c>
      <c r="I420" s="4">
        <v>46330.541666666664</v>
      </c>
      <c r="J420" s="1" t="s">
        <v>32</v>
      </c>
      <c r="K420" s="1" t="s">
        <v>85</v>
      </c>
      <c r="L420" s="1" t="s">
        <v>335</v>
      </c>
      <c r="M420" s="1" t="s">
        <v>3475</v>
      </c>
      <c r="N420" s="1" t="s">
        <v>4053</v>
      </c>
      <c r="O420" s="1" t="s">
        <v>7987</v>
      </c>
    </row>
    <row r="421" spans="8:15" x14ac:dyDescent="0.25">
      <c r="H421" s="1">
        <v>1495786</v>
      </c>
      <c r="I421" s="4">
        <v>46330.541666666664</v>
      </c>
      <c r="J421" s="1" t="s">
        <v>32</v>
      </c>
      <c r="K421" s="1" t="s">
        <v>85</v>
      </c>
      <c r="L421" s="1" t="s">
        <v>335</v>
      </c>
      <c r="M421" s="1" t="s">
        <v>4794</v>
      </c>
      <c r="N421" s="1" t="s">
        <v>2520</v>
      </c>
      <c r="O421" s="1" t="s">
        <v>7988</v>
      </c>
    </row>
    <row r="422" spans="8:15" x14ac:dyDescent="0.25">
      <c r="H422" s="1">
        <v>1496023</v>
      </c>
      <c r="I422" s="4">
        <v>46330.541666666664</v>
      </c>
      <c r="J422" s="1" t="s">
        <v>32</v>
      </c>
      <c r="K422" s="1" t="s">
        <v>85</v>
      </c>
      <c r="L422" s="1" t="s">
        <v>7989</v>
      </c>
      <c r="M422" s="1" t="s">
        <v>4807</v>
      </c>
      <c r="N422" s="1" t="s">
        <v>7990</v>
      </c>
      <c r="O422" s="1" t="s">
        <v>7991</v>
      </c>
    </row>
    <row r="423" spans="8:15" x14ac:dyDescent="0.25">
      <c r="H423" s="1">
        <v>1496028</v>
      </c>
      <c r="I423" s="4">
        <v>46330.541666666664</v>
      </c>
      <c r="J423" s="1" t="s">
        <v>32</v>
      </c>
      <c r="K423" s="1" t="s">
        <v>85</v>
      </c>
      <c r="L423" s="1" t="s">
        <v>7989</v>
      </c>
      <c r="M423" s="1" t="s">
        <v>4064</v>
      </c>
      <c r="N423" s="1" t="s">
        <v>3621</v>
      </c>
      <c r="O423" s="1" t="s">
        <v>7992</v>
      </c>
    </row>
    <row r="424" spans="8:15" x14ac:dyDescent="0.25">
      <c r="H424" s="1">
        <v>1496204</v>
      </c>
      <c r="I424" s="4">
        <v>46330.541666666664</v>
      </c>
      <c r="J424" s="1" t="s">
        <v>32</v>
      </c>
      <c r="K424" s="1" t="s">
        <v>85</v>
      </c>
      <c r="L424" s="1" t="s">
        <v>7671</v>
      </c>
      <c r="M424" s="1" t="s">
        <v>7993</v>
      </c>
      <c r="N424" s="1" t="s">
        <v>7994</v>
      </c>
      <c r="O424" s="1" t="s">
        <v>7995</v>
      </c>
    </row>
    <row r="425" spans="8:15" x14ac:dyDescent="0.25">
      <c r="H425" s="1">
        <v>1496206</v>
      </c>
      <c r="I425" s="4">
        <v>46330.541666666664</v>
      </c>
      <c r="J425" s="1" t="s">
        <v>32</v>
      </c>
      <c r="K425" s="1" t="s">
        <v>85</v>
      </c>
      <c r="L425" s="1" t="s">
        <v>7671</v>
      </c>
      <c r="M425" s="1" t="s">
        <v>4073</v>
      </c>
      <c r="N425" s="1" t="s">
        <v>4076</v>
      </c>
      <c r="O425" s="1" t="s">
        <v>7996</v>
      </c>
    </row>
    <row r="426" spans="8:15" x14ac:dyDescent="0.25">
      <c r="H426" s="1">
        <v>1496386</v>
      </c>
      <c r="I426" s="4">
        <v>46330.541666666664</v>
      </c>
      <c r="J426" s="1" t="s">
        <v>32</v>
      </c>
      <c r="K426" s="1" t="s">
        <v>85</v>
      </c>
      <c r="L426" s="1" t="s">
        <v>7674</v>
      </c>
      <c r="M426" s="1" t="s">
        <v>7997</v>
      </c>
      <c r="N426" s="1" t="s">
        <v>7998</v>
      </c>
      <c r="O426" s="1" t="s">
        <v>7999</v>
      </c>
    </row>
    <row r="427" spans="8:15" x14ac:dyDescent="0.25">
      <c r="H427" s="1">
        <v>1496574</v>
      </c>
      <c r="I427" s="4">
        <v>46330.541666666664</v>
      </c>
      <c r="J427" s="1" t="s">
        <v>32</v>
      </c>
      <c r="K427" s="1" t="s">
        <v>85</v>
      </c>
      <c r="L427" s="1" t="s">
        <v>7681</v>
      </c>
      <c r="M427" s="1" t="s">
        <v>8000</v>
      </c>
      <c r="N427" s="1" t="s">
        <v>8001</v>
      </c>
      <c r="O427" s="1" t="s">
        <v>8002</v>
      </c>
    </row>
    <row r="428" spans="8:15" x14ac:dyDescent="0.25">
      <c r="H428" s="1">
        <v>1496752</v>
      </c>
      <c r="I428" s="4">
        <v>46330.541666666664</v>
      </c>
      <c r="J428" s="1" t="s">
        <v>32</v>
      </c>
      <c r="K428" s="1" t="s">
        <v>85</v>
      </c>
      <c r="L428" s="1" t="s">
        <v>8003</v>
      </c>
      <c r="M428" s="1" t="s">
        <v>8004</v>
      </c>
      <c r="N428" s="1" t="s">
        <v>8005</v>
      </c>
      <c r="O428" s="1" t="s">
        <v>8006</v>
      </c>
    </row>
    <row r="429" spans="8:15" x14ac:dyDescent="0.25">
      <c r="H429" s="1">
        <v>1496754</v>
      </c>
      <c r="I429" s="4">
        <v>46330.541666666664</v>
      </c>
      <c r="J429" s="1" t="s">
        <v>32</v>
      </c>
      <c r="K429" s="1" t="s">
        <v>85</v>
      </c>
      <c r="L429" s="1" t="s">
        <v>8003</v>
      </c>
      <c r="M429" s="1" t="s">
        <v>8007</v>
      </c>
      <c r="N429" s="1" t="s">
        <v>8008</v>
      </c>
      <c r="O429" s="1" t="s">
        <v>8009</v>
      </c>
    </row>
    <row r="430" spans="8:15" x14ac:dyDescent="0.25">
      <c r="H430" s="1">
        <v>1496755</v>
      </c>
      <c r="I430" s="4">
        <v>46330.541666666664</v>
      </c>
      <c r="J430" s="1" t="s">
        <v>32</v>
      </c>
      <c r="K430" s="1" t="s">
        <v>85</v>
      </c>
      <c r="L430" s="1" t="s">
        <v>8003</v>
      </c>
      <c r="M430" s="1" t="s">
        <v>8010</v>
      </c>
      <c r="N430" s="1" t="s">
        <v>8011</v>
      </c>
      <c r="O430" s="1" t="s">
        <v>8012</v>
      </c>
    </row>
    <row r="431" spans="8:15" x14ac:dyDescent="0.25">
      <c r="H431" s="1">
        <v>1496936</v>
      </c>
      <c r="I431" s="4">
        <v>46330.541666666664</v>
      </c>
      <c r="J431" s="1" t="s">
        <v>32</v>
      </c>
      <c r="K431" s="1" t="s">
        <v>85</v>
      </c>
      <c r="L431" s="1" t="s">
        <v>7685</v>
      </c>
      <c r="M431" s="1" t="s">
        <v>8013</v>
      </c>
      <c r="N431" s="1" t="s">
        <v>8014</v>
      </c>
      <c r="O431" s="1" t="s">
        <v>8015</v>
      </c>
    </row>
    <row r="432" spans="8:15" x14ac:dyDescent="0.25">
      <c r="H432" s="1">
        <v>1497296</v>
      </c>
      <c r="I432" s="4">
        <v>46330.541666666664</v>
      </c>
      <c r="J432" s="1" t="s">
        <v>32</v>
      </c>
      <c r="K432" s="1" t="s">
        <v>85</v>
      </c>
      <c r="L432" s="1" t="s">
        <v>8016</v>
      </c>
      <c r="M432" s="1" t="s">
        <v>8017</v>
      </c>
      <c r="N432" s="1" t="s">
        <v>8018</v>
      </c>
      <c r="O432" s="1" t="s">
        <v>8019</v>
      </c>
    </row>
    <row r="433" spans="8:15" x14ac:dyDescent="0.25">
      <c r="H433" s="1">
        <v>1497302</v>
      </c>
      <c r="I433" s="4">
        <v>46330.541666666664</v>
      </c>
      <c r="J433" s="1" t="s">
        <v>32</v>
      </c>
      <c r="K433" s="1" t="s">
        <v>85</v>
      </c>
      <c r="L433" s="1" t="s">
        <v>8016</v>
      </c>
      <c r="M433" s="1" t="s">
        <v>8020</v>
      </c>
      <c r="N433" s="1" t="s">
        <v>8021</v>
      </c>
      <c r="O433" s="1" t="s">
        <v>8022</v>
      </c>
    </row>
    <row r="434" spans="8:15" x14ac:dyDescent="0.25">
      <c r="H434" s="1">
        <v>1500342</v>
      </c>
      <c r="I434" s="4">
        <v>46330.541666666664</v>
      </c>
      <c r="J434" s="1" t="s">
        <v>32</v>
      </c>
      <c r="K434" s="1" t="s">
        <v>324</v>
      </c>
      <c r="L434" s="1" t="s">
        <v>325</v>
      </c>
      <c r="M434" s="1" t="s">
        <v>4049</v>
      </c>
      <c r="N434" s="1" t="s">
        <v>1477</v>
      </c>
      <c r="O434" s="1" t="s">
        <v>8023</v>
      </c>
    </row>
    <row r="435" spans="8:15" x14ac:dyDescent="0.25">
      <c r="H435" s="1">
        <v>1506579</v>
      </c>
      <c r="I435" s="4">
        <v>46330.541666666664</v>
      </c>
      <c r="J435" s="1" t="s">
        <v>32</v>
      </c>
      <c r="K435" s="1" t="s">
        <v>610</v>
      </c>
      <c r="L435" s="1" t="s">
        <v>611</v>
      </c>
      <c r="M435" s="1" t="s">
        <v>4078</v>
      </c>
      <c r="N435" s="1" t="s">
        <v>4081</v>
      </c>
      <c r="O435" s="1" t="s">
        <v>8024</v>
      </c>
    </row>
    <row r="436" spans="8:15" x14ac:dyDescent="0.25">
      <c r="H436" s="1">
        <v>1509061</v>
      </c>
      <c r="I436" s="4">
        <v>46330.541666666664</v>
      </c>
      <c r="J436" s="1" t="s">
        <v>32</v>
      </c>
      <c r="K436" s="1" t="s">
        <v>408</v>
      </c>
      <c r="L436" s="1" t="s">
        <v>409</v>
      </c>
      <c r="M436" s="1" t="s">
        <v>8025</v>
      </c>
      <c r="N436" s="1" t="s">
        <v>8026</v>
      </c>
      <c r="O436" s="1" t="s">
        <v>8027</v>
      </c>
    </row>
    <row r="437" spans="8:15" x14ac:dyDescent="0.25">
      <c r="H437" s="1">
        <v>1509661</v>
      </c>
      <c r="I437" s="4">
        <v>46330.541666666664</v>
      </c>
      <c r="J437" s="1" t="s">
        <v>32</v>
      </c>
      <c r="K437" s="1" t="s">
        <v>21</v>
      </c>
      <c r="L437" s="1" t="s">
        <v>22</v>
      </c>
      <c r="M437" s="1" t="s">
        <v>7535</v>
      </c>
      <c r="N437" s="1" t="s">
        <v>3556</v>
      </c>
      <c r="O437" s="1" t="s">
        <v>8028</v>
      </c>
    </row>
    <row r="438" spans="8:15" x14ac:dyDescent="0.25">
      <c r="H438" s="1">
        <v>1509736</v>
      </c>
      <c r="I438" s="4">
        <v>46330.541666666664</v>
      </c>
      <c r="J438" s="1" t="s">
        <v>32</v>
      </c>
      <c r="K438" s="1" t="s">
        <v>58</v>
      </c>
      <c r="L438" s="1" t="s">
        <v>3303</v>
      </c>
      <c r="M438" s="1" t="s">
        <v>3305</v>
      </c>
      <c r="N438" s="1" t="s">
        <v>4402</v>
      </c>
      <c r="O438" s="1" t="s">
        <v>8029</v>
      </c>
    </row>
    <row r="439" spans="8:15" x14ac:dyDescent="0.25">
      <c r="H439" s="1">
        <v>1510900</v>
      </c>
      <c r="I439" s="4">
        <v>46330.541666666664</v>
      </c>
      <c r="J439" s="1" t="s">
        <v>32</v>
      </c>
      <c r="K439" s="1" t="s">
        <v>275</v>
      </c>
      <c r="L439" s="1" t="s">
        <v>7720</v>
      </c>
      <c r="M439" s="1" t="s">
        <v>8030</v>
      </c>
      <c r="N439" s="1" t="s">
        <v>8031</v>
      </c>
      <c r="O439" s="1" t="s">
        <v>8032</v>
      </c>
    </row>
    <row r="440" spans="8:15" x14ac:dyDescent="0.25">
      <c r="H440" s="1">
        <v>1510904</v>
      </c>
      <c r="I440" s="4">
        <v>46330.541666666664</v>
      </c>
      <c r="J440" s="1" t="s">
        <v>32</v>
      </c>
      <c r="K440" s="1" t="s">
        <v>275</v>
      </c>
      <c r="L440" s="1" t="s">
        <v>7720</v>
      </c>
      <c r="M440" s="1" t="s">
        <v>3471</v>
      </c>
      <c r="N440" s="1" t="s">
        <v>8033</v>
      </c>
      <c r="O440" s="1" t="s">
        <v>8034</v>
      </c>
    </row>
    <row r="441" spans="8:15" x14ac:dyDescent="0.25">
      <c r="H441" s="1">
        <v>1511087</v>
      </c>
      <c r="I441" s="4">
        <v>46330.541666666664</v>
      </c>
      <c r="J441" s="1" t="s">
        <v>32</v>
      </c>
      <c r="K441" s="1" t="s">
        <v>275</v>
      </c>
      <c r="L441" s="1" t="s">
        <v>7592</v>
      </c>
      <c r="M441" s="1" t="s">
        <v>8035</v>
      </c>
      <c r="N441" s="1" t="s">
        <v>8036</v>
      </c>
      <c r="O441" s="1" t="s">
        <v>8037</v>
      </c>
    </row>
    <row r="442" spans="8:15" x14ac:dyDescent="0.25">
      <c r="H442" s="1">
        <v>1511267</v>
      </c>
      <c r="I442" s="4">
        <v>46330.541666666664</v>
      </c>
      <c r="J442" s="1" t="s">
        <v>32</v>
      </c>
      <c r="K442" s="1" t="s">
        <v>275</v>
      </c>
      <c r="L442" s="1" t="s">
        <v>7733</v>
      </c>
      <c r="M442" s="1" t="s">
        <v>8038</v>
      </c>
      <c r="N442" s="1" t="s">
        <v>8039</v>
      </c>
      <c r="O442" s="1" t="s">
        <v>8040</v>
      </c>
    </row>
    <row r="443" spans="8:15" x14ac:dyDescent="0.25">
      <c r="H443" s="1">
        <v>1514616</v>
      </c>
      <c r="I443" s="4">
        <v>46330.541666666664</v>
      </c>
      <c r="J443" s="1" t="s">
        <v>32</v>
      </c>
      <c r="K443" s="1" t="s">
        <v>67</v>
      </c>
      <c r="L443" s="1" t="s">
        <v>81</v>
      </c>
      <c r="M443" s="1" t="s">
        <v>3050</v>
      </c>
      <c r="N443" s="1" t="s">
        <v>8041</v>
      </c>
      <c r="O443" s="1" t="s">
        <v>8042</v>
      </c>
    </row>
    <row r="444" spans="8:15" x14ac:dyDescent="0.25">
      <c r="H444" s="1">
        <v>1515616</v>
      </c>
      <c r="I444" s="4">
        <v>46330.541666666664</v>
      </c>
      <c r="J444" s="1" t="s">
        <v>32</v>
      </c>
      <c r="K444" s="1" t="s">
        <v>86</v>
      </c>
      <c r="L444" s="1" t="s">
        <v>655</v>
      </c>
      <c r="M444" s="1" t="s">
        <v>1270</v>
      </c>
      <c r="N444" s="1" t="s">
        <v>1500</v>
      </c>
      <c r="O444" s="1" t="s">
        <v>8043</v>
      </c>
    </row>
    <row r="445" spans="8:15" x14ac:dyDescent="0.25">
      <c r="H445" s="1">
        <v>1517138</v>
      </c>
      <c r="I445" s="4">
        <v>46330.541666666664</v>
      </c>
      <c r="J445" s="1" t="s">
        <v>32</v>
      </c>
      <c r="K445" s="1" t="s">
        <v>5924</v>
      </c>
      <c r="L445" s="1" t="s">
        <v>7744</v>
      </c>
      <c r="M445" s="1" t="s">
        <v>8044</v>
      </c>
      <c r="N445" s="1" t="s">
        <v>8045</v>
      </c>
      <c r="O445" s="1" t="s">
        <v>8046</v>
      </c>
    </row>
    <row r="446" spans="8:15" x14ac:dyDescent="0.25">
      <c r="H446" s="1">
        <v>1518577</v>
      </c>
      <c r="I446" s="4">
        <v>46330.541666666664</v>
      </c>
      <c r="J446" s="1" t="s">
        <v>32</v>
      </c>
      <c r="K446" s="1" t="s">
        <v>43</v>
      </c>
      <c r="L446" s="1" t="s">
        <v>576</v>
      </c>
      <c r="M446" s="1" t="s">
        <v>3257</v>
      </c>
      <c r="N446" s="1" t="s">
        <v>8047</v>
      </c>
      <c r="O446" s="1" t="s">
        <v>8048</v>
      </c>
    </row>
    <row r="447" spans="8:15" x14ac:dyDescent="0.25">
      <c r="H447" s="1">
        <v>1518579</v>
      </c>
      <c r="I447" s="4">
        <v>46330.541666666664</v>
      </c>
      <c r="J447" s="1" t="s">
        <v>32</v>
      </c>
      <c r="K447" s="1" t="s">
        <v>43</v>
      </c>
      <c r="L447" s="1" t="s">
        <v>576</v>
      </c>
      <c r="M447" s="1" t="s">
        <v>963</v>
      </c>
      <c r="N447" s="1" t="s">
        <v>8049</v>
      </c>
      <c r="O447" s="1" t="s">
        <v>8050</v>
      </c>
    </row>
    <row r="448" spans="8:15" x14ac:dyDescent="0.25">
      <c r="H448" s="1">
        <v>1518952</v>
      </c>
      <c r="I448" s="4">
        <v>46330.541666666664</v>
      </c>
      <c r="J448" s="1" t="s">
        <v>32</v>
      </c>
      <c r="K448" s="1" t="s">
        <v>38</v>
      </c>
      <c r="L448" s="1" t="s">
        <v>7457</v>
      </c>
      <c r="M448" s="1" t="s">
        <v>8051</v>
      </c>
      <c r="N448" s="1" t="s">
        <v>8052</v>
      </c>
      <c r="O448" s="1" t="s">
        <v>8053</v>
      </c>
    </row>
    <row r="449" spans="8:15" x14ac:dyDescent="0.25">
      <c r="H449" s="1">
        <v>1521570</v>
      </c>
      <c r="I449" s="4">
        <v>46330.541666666664</v>
      </c>
      <c r="J449" s="1" t="s">
        <v>32</v>
      </c>
      <c r="K449" s="1" t="s">
        <v>546</v>
      </c>
      <c r="L449" s="1" t="s">
        <v>638</v>
      </c>
      <c r="M449" s="1" t="s">
        <v>8054</v>
      </c>
      <c r="N449" s="1" t="s">
        <v>5886</v>
      </c>
      <c r="O449" s="1" t="s">
        <v>8055</v>
      </c>
    </row>
    <row r="450" spans="8:15" x14ac:dyDescent="0.25">
      <c r="H450" s="1">
        <v>1524295</v>
      </c>
      <c r="I450" s="4">
        <v>46330.541666666664</v>
      </c>
      <c r="J450" s="1" t="s">
        <v>32</v>
      </c>
      <c r="K450" s="1" t="s">
        <v>48</v>
      </c>
      <c r="L450" s="1" t="s">
        <v>342</v>
      </c>
      <c r="M450" s="1" t="s">
        <v>1509</v>
      </c>
      <c r="N450" s="1" t="s">
        <v>8056</v>
      </c>
      <c r="O450" s="1" t="s">
        <v>8057</v>
      </c>
    </row>
    <row r="451" spans="8:15" x14ac:dyDescent="0.25">
      <c r="H451" s="1">
        <v>1527660</v>
      </c>
      <c r="I451" s="4">
        <v>46330.541666666664</v>
      </c>
      <c r="J451" s="1" t="s">
        <v>32</v>
      </c>
      <c r="K451" s="1" t="s">
        <v>537</v>
      </c>
      <c r="L451" s="1" t="s">
        <v>538</v>
      </c>
      <c r="M451" s="1" t="s">
        <v>8058</v>
      </c>
      <c r="N451" s="1" t="s">
        <v>8059</v>
      </c>
      <c r="O451" s="1" t="s">
        <v>8060</v>
      </c>
    </row>
    <row r="452" spans="8:15" x14ac:dyDescent="0.25">
      <c r="H452" s="1">
        <v>1527661</v>
      </c>
      <c r="I452" s="4">
        <v>46330.541666666664</v>
      </c>
      <c r="J452" s="1" t="s">
        <v>32</v>
      </c>
      <c r="K452" s="1" t="s">
        <v>537</v>
      </c>
      <c r="L452" s="1" t="s">
        <v>538</v>
      </c>
      <c r="M452" s="1" t="s">
        <v>8061</v>
      </c>
      <c r="N452" s="1" t="s">
        <v>8062</v>
      </c>
      <c r="O452" s="1" t="s">
        <v>8063</v>
      </c>
    </row>
    <row r="453" spans="8:15" x14ac:dyDescent="0.25">
      <c r="H453" s="1">
        <v>1534009</v>
      </c>
      <c r="I453" s="4">
        <v>46330.541666666664</v>
      </c>
      <c r="J453" s="1" t="s">
        <v>32</v>
      </c>
      <c r="K453" s="1" t="s">
        <v>268</v>
      </c>
      <c r="L453" s="1" t="s">
        <v>6031</v>
      </c>
      <c r="M453" s="1" t="s">
        <v>8064</v>
      </c>
      <c r="N453" s="1" t="s">
        <v>8065</v>
      </c>
      <c r="O453" s="1" t="s">
        <v>8066</v>
      </c>
    </row>
    <row r="454" spans="8:15" x14ac:dyDescent="0.25">
      <c r="H454" s="1">
        <v>1534261</v>
      </c>
      <c r="I454" s="4">
        <v>46330.541666666664</v>
      </c>
      <c r="J454" s="1" t="s">
        <v>32</v>
      </c>
      <c r="K454" s="1" t="s">
        <v>389</v>
      </c>
      <c r="L454" s="1" t="s">
        <v>335</v>
      </c>
      <c r="M454" s="1" t="s">
        <v>8067</v>
      </c>
      <c r="N454" s="1" t="s">
        <v>8068</v>
      </c>
      <c r="O454" s="1" t="s">
        <v>8069</v>
      </c>
    </row>
    <row r="455" spans="8:15" x14ac:dyDescent="0.25">
      <c r="H455" s="1">
        <v>1534262</v>
      </c>
      <c r="I455" s="4">
        <v>46330.541666666664</v>
      </c>
      <c r="J455" s="1" t="s">
        <v>32</v>
      </c>
      <c r="K455" s="1" t="s">
        <v>389</v>
      </c>
      <c r="L455" s="1" t="s">
        <v>335</v>
      </c>
      <c r="M455" s="1" t="s">
        <v>8070</v>
      </c>
      <c r="N455" s="1" t="s">
        <v>8071</v>
      </c>
      <c r="O455" s="1" t="s">
        <v>8072</v>
      </c>
    </row>
    <row r="456" spans="8:15" x14ac:dyDescent="0.25">
      <c r="H456" s="1">
        <v>1534684</v>
      </c>
      <c r="I456" s="4">
        <v>46330.541666666664</v>
      </c>
      <c r="J456" s="1" t="s">
        <v>32</v>
      </c>
      <c r="K456" s="1" t="s">
        <v>268</v>
      </c>
      <c r="L456" s="1" t="s">
        <v>6031</v>
      </c>
      <c r="M456" s="1" t="s">
        <v>8073</v>
      </c>
      <c r="N456" s="1" t="s">
        <v>6033</v>
      </c>
      <c r="O456" s="1" t="s">
        <v>8074</v>
      </c>
    </row>
    <row r="457" spans="8:15" x14ac:dyDescent="0.25">
      <c r="H457" s="1">
        <v>1534685</v>
      </c>
      <c r="I457" s="4">
        <v>46330.541666666664</v>
      </c>
      <c r="J457" s="1" t="s">
        <v>32</v>
      </c>
      <c r="K457" s="1" t="s">
        <v>268</v>
      </c>
      <c r="L457" s="1" t="s">
        <v>6031</v>
      </c>
      <c r="M457" s="1" t="s">
        <v>8075</v>
      </c>
      <c r="N457" s="1" t="s">
        <v>8076</v>
      </c>
      <c r="O457" s="1" t="s">
        <v>8077</v>
      </c>
    </row>
    <row r="458" spans="8:15" x14ac:dyDescent="0.25">
      <c r="H458" s="1">
        <v>1535808</v>
      </c>
      <c r="I458" s="4">
        <v>46330.541666666664</v>
      </c>
      <c r="J458" s="1" t="s">
        <v>32</v>
      </c>
      <c r="K458" s="1" t="s">
        <v>377</v>
      </c>
      <c r="L458" s="1" t="s">
        <v>45</v>
      </c>
      <c r="M458" s="1" t="s">
        <v>3118</v>
      </c>
      <c r="N458" s="1" t="s">
        <v>858</v>
      </c>
      <c r="O458" s="1" t="s">
        <v>8078</v>
      </c>
    </row>
    <row r="459" spans="8:15" x14ac:dyDescent="0.25">
      <c r="H459" s="1">
        <v>1535939</v>
      </c>
      <c r="I459" s="4">
        <v>46330.541666666664</v>
      </c>
      <c r="J459" s="1" t="s">
        <v>32</v>
      </c>
      <c r="K459" s="1" t="s">
        <v>5138</v>
      </c>
      <c r="L459" s="1" t="s">
        <v>5083</v>
      </c>
      <c r="M459" s="1" t="s">
        <v>8079</v>
      </c>
      <c r="N459" s="1" t="s">
        <v>8080</v>
      </c>
      <c r="O459" s="1" t="s">
        <v>8081</v>
      </c>
    </row>
    <row r="460" spans="8:15" x14ac:dyDescent="0.25">
      <c r="H460" s="1">
        <v>1535961</v>
      </c>
      <c r="I460" s="4">
        <v>46330.541666666664</v>
      </c>
      <c r="J460" s="1" t="s">
        <v>32</v>
      </c>
      <c r="K460" s="1" t="s">
        <v>377</v>
      </c>
      <c r="L460" s="1" t="s">
        <v>7790</v>
      </c>
      <c r="M460" s="1" t="s">
        <v>8082</v>
      </c>
      <c r="N460" s="1" t="s">
        <v>8083</v>
      </c>
      <c r="O460" s="1" t="s">
        <v>8084</v>
      </c>
    </row>
    <row r="461" spans="8:15" x14ac:dyDescent="0.25">
      <c r="H461" s="1">
        <v>1535962</v>
      </c>
      <c r="I461" s="4">
        <v>46330.541666666664</v>
      </c>
      <c r="J461" s="1" t="s">
        <v>32</v>
      </c>
      <c r="K461" s="1" t="s">
        <v>377</v>
      </c>
      <c r="L461" s="1" t="s">
        <v>7790</v>
      </c>
      <c r="M461" s="1" t="s">
        <v>8085</v>
      </c>
      <c r="N461" s="1" t="s">
        <v>8086</v>
      </c>
      <c r="O461" s="1" t="s">
        <v>8087</v>
      </c>
    </row>
    <row r="462" spans="8:15" x14ac:dyDescent="0.25">
      <c r="H462" s="1">
        <v>1536182</v>
      </c>
      <c r="I462" s="4">
        <v>46330.541666666664</v>
      </c>
      <c r="J462" s="1" t="s">
        <v>32</v>
      </c>
      <c r="K462" s="1" t="s">
        <v>377</v>
      </c>
      <c r="L462" s="1" t="s">
        <v>7790</v>
      </c>
      <c r="M462" s="1" t="s">
        <v>8088</v>
      </c>
      <c r="N462" s="1" t="s">
        <v>8089</v>
      </c>
      <c r="O462" s="1" t="s">
        <v>8090</v>
      </c>
    </row>
    <row r="463" spans="8:15" x14ac:dyDescent="0.25">
      <c r="H463" s="1">
        <v>1536183</v>
      </c>
      <c r="I463" s="4">
        <v>46330.541666666664</v>
      </c>
      <c r="J463" s="1" t="s">
        <v>32</v>
      </c>
      <c r="K463" s="1" t="s">
        <v>377</v>
      </c>
      <c r="L463" s="1" t="s">
        <v>7790</v>
      </c>
      <c r="M463" s="1" t="s">
        <v>8091</v>
      </c>
      <c r="N463" s="1" t="s">
        <v>8092</v>
      </c>
      <c r="O463" s="1" t="s">
        <v>8093</v>
      </c>
    </row>
    <row r="464" spans="8:15" x14ac:dyDescent="0.25">
      <c r="H464" s="1">
        <v>1536184</v>
      </c>
      <c r="I464" s="4">
        <v>46330.541666666664</v>
      </c>
      <c r="J464" s="1" t="s">
        <v>32</v>
      </c>
      <c r="K464" s="1" t="s">
        <v>377</v>
      </c>
      <c r="L464" s="1" t="s">
        <v>7790</v>
      </c>
      <c r="M464" s="1" t="s">
        <v>8094</v>
      </c>
      <c r="N464" s="1" t="s">
        <v>8095</v>
      </c>
      <c r="O464" s="1" t="s">
        <v>8096</v>
      </c>
    </row>
    <row r="465" spans="8:15" x14ac:dyDescent="0.25">
      <c r="H465" s="1">
        <v>1537611</v>
      </c>
      <c r="I465" s="4">
        <v>46330.541666666664</v>
      </c>
      <c r="J465" s="1" t="s">
        <v>32</v>
      </c>
      <c r="K465" s="1" t="s">
        <v>78</v>
      </c>
      <c r="L465" s="1" t="s">
        <v>335</v>
      </c>
      <c r="M465" s="1" t="s">
        <v>3342</v>
      </c>
      <c r="N465" s="1" t="s">
        <v>3349</v>
      </c>
      <c r="O465" s="1" t="s">
        <v>8097</v>
      </c>
    </row>
    <row r="466" spans="8:15" x14ac:dyDescent="0.25">
      <c r="H466" s="1">
        <v>1539386</v>
      </c>
      <c r="I466" s="4">
        <v>46330.541666666664</v>
      </c>
      <c r="J466" s="1" t="s">
        <v>2909</v>
      </c>
      <c r="K466" s="1" t="s">
        <v>21</v>
      </c>
      <c r="L466" s="1" t="s">
        <v>7468</v>
      </c>
      <c r="M466" s="1" t="s">
        <v>8098</v>
      </c>
      <c r="N466" s="1" t="s">
        <v>8099</v>
      </c>
      <c r="O466" s="1" t="s">
        <v>8100</v>
      </c>
    </row>
    <row r="467" spans="8:15" x14ac:dyDescent="0.25">
      <c r="H467" s="1">
        <v>1539756</v>
      </c>
      <c r="I467" s="4">
        <v>46330.541666666664</v>
      </c>
      <c r="J467" s="1" t="s">
        <v>32</v>
      </c>
      <c r="K467" s="1" t="s">
        <v>5924</v>
      </c>
      <c r="L467" s="1" t="s">
        <v>7410</v>
      </c>
      <c r="M467" s="1" t="s">
        <v>8101</v>
      </c>
      <c r="N467" s="1" t="s">
        <v>8102</v>
      </c>
      <c r="O467" s="1" t="s">
        <v>8103</v>
      </c>
    </row>
    <row r="468" spans="8:15" x14ac:dyDescent="0.25">
      <c r="H468" s="1">
        <v>1539757</v>
      </c>
      <c r="I468" s="4">
        <v>46330.541666666664</v>
      </c>
      <c r="J468" s="1" t="s">
        <v>32</v>
      </c>
      <c r="K468" s="1" t="s">
        <v>5924</v>
      </c>
      <c r="L468" s="1" t="s">
        <v>7410</v>
      </c>
      <c r="M468" s="1" t="s">
        <v>8104</v>
      </c>
      <c r="N468" s="1" t="s">
        <v>8105</v>
      </c>
      <c r="O468" s="1" t="s">
        <v>8106</v>
      </c>
    </row>
    <row r="469" spans="8:15" x14ac:dyDescent="0.25">
      <c r="H469" s="1">
        <v>1539983</v>
      </c>
      <c r="I469" s="4">
        <v>46330.541666666664</v>
      </c>
      <c r="J469" s="1" t="s">
        <v>32</v>
      </c>
      <c r="K469" s="1" t="s">
        <v>5924</v>
      </c>
      <c r="L469" s="1" t="s">
        <v>7410</v>
      </c>
      <c r="M469" s="1" t="s">
        <v>8107</v>
      </c>
      <c r="N469" s="1" t="s">
        <v>8108</v>
      </c>
      <c r="O469" s="1" t="s">
        <v>8109</v>
      </c>
    </row>
    <row r="470" spans="8:15" x14ac:dyDescent="0.25">
      <c r="H470" s="1">
        <v>1540124</v>
      </c>
      <c r="I470" s="4">
        <v>46330.541666666664</v>
      </c>
      <c r="J470" s="1" t="s">
        <v>32</v>
      </c>
      <c r="K470" s="1" t="s">
        <v>78</v>
      </c>
      <c r="L470" s="1" t="s">
        <v>549</v>
      </c>
      <c r="M470" s="1" t="s">
        <v>8110</v>
      </c>
      <c r="N470" s="1" t="s">
        <v>8111</v>
      </c>
      <c r="O470" s="1" t="s">
        <v>8112</v>
      </c>
    </row>
    <row r="471" spans="8:15" x14ac:dyDescent="0.25">
      <c r="H471" s="1">
        <v>1540125</v>
      </c>
      <c r="I471" s="4">
        <v>46330.541666666664</v>
      </c>
      <c r="J471" s="1" t="s">
        <v>32</v>
      </c>
      <c r="K471" s="1" t="s">
        <v>78</v>
      </c>
      <c r="L471" s="1" t="s">
        <v>549</v>
      </c>
      <c r="M471" s="1" t="s">
        <v>8113</v>
      </c>
      <c r="N471" s="1" t="s">
        <v>3663</v>
      </c>
      <c r="O471" s="1" t="s">
        <v>8114</v>
      </c>
    </row>
    <row r="472" spans="8:15" x14ac:dyDescent="0.25">
      <c r="H472" s="1">
        <v>1540126</v>
      </c>
      <c r="I472" s="4">
        <v>46330.541666666664</v>
      </c>
      <c r="J472" s="1" t="s">
        <v>32</v>
      </c>
      <c r="K472" s="1" t="s">
        <v>78</v>
      </c>
      <c r="L472" s="1" t="s">
        <v>549</v>
      </c>
      <c r="M472" s="1" t="s">
        <v>6242</v>
      </c>
      <c r="N472" s="1" t="s">
        <v>3659</v>
      </c>
      <c r="O472" s="1" t="s">
        <v>8115</v>
      </c>
    </row>
    <row r="473" spans="8:15" x14ac:dyDescent="0.25">
      <c r="H473" s="1">
        <v>1540127</v>
      </c>
      <c r="I473" s="4">
        <v>46330.541666666664</v>
      </c>
      <c r="J473" s="1" t="s">
        <v>32</v>
      </c>
      <c r="K473" s="1" t="s">
        <v>78</v>
      </c>
      <c r="L473" s="1" t="s">
        <v>549</v>
      </c>
      <c r="M473" s="1" t="s">
        <v>3662</v>
      </c>
      <c r="N473" s="1" t="s">
        <v>3660</v>
      </c>
      <c r="O473" s="1" t="s">
        <v>8116</v>
      </c>
    </row>
    <row r="474" spans="8:15" x14ac:dyDescent="0.25">
      <c r="H474" s="1">
        <v>1540129</v>
      </c>
      <c r="I474" s="4">
        <v>46330.541666666664</v>
      </c>
      <c r="J474" s="1" t="s">
        <v>32</v>
      </c>
      <c r="K474" s="1" t="s">
        <v>78</v>
      </c>
      <c r="L474" s="1" t="s">
        <v>3362</v>
      </c>
      <c r="M474" s="1" t="s">
        <v>3657</v>
      </c>
      <c r="N474" s="1" t="s">
        <v>3373</v>
      </c>
      <c r="O474" s="1" t="s">
        <v>8117</v>
      </c>
    </row>
    <row r="475" spans="8:15" x14ac:dyDescent="0.25">
      <c r="H475" s="1">
        <v>1540130</v>
      </c>
      <c r="I475" s="4">
        <v>46330.541666666664</v>
      </c>
      <c r="J475" s="1" t="s">
        <v>32</v>
      </c>
      <c r="K475" s="1" t="s">
        <v>78</v>
      </c>
      <c r="L475" s="1" t="s">
        <v>3362</v>
      </c>
      <c r="M475" s="1" t="s">
        <v>3366</v>
      </c>
      <c r="N475" s="1" t="s">
        <v>3370</v>
      </c>
      <c r="O475" s="1" t="s">
        <v>8118</v>
      </c>
    </row>
    <row r="476" spans="8:15" x14ac:dyDescent="0.25">
      <c r="H476" s="1">
        <v>1540131</v>
      </c>
      <c r="I476" s="4">
        <v>46330.541666666664</v>
      </c>
      <c r="J476" s="1" t="s">
        <v>32</v>
      </c>
      <c r="K476" s="1" t="s">
        <v>78</v>
      </c>
      <c r="L476" s="1" t="s">
        <v>3362</v>
      </c>
      <c r="M476" s="1" t="s">
        <v>3654</v>
      </c>
      <c r="N476" s="1" t="s">
        <v>3656</v>
      </c>
      <c r="O476" s="1" t="s">
        <v>8119</v>
      </c>
    </row>
    <row r="477" spans="8:15" x14ac:dyDescent="0.25">
      <c r="H477" s="1">
        <v>1540132</v>
      </c>
      <c r="I477" s="4">
        <v>46330.541666666664</v>
      </c>
      <c r="J477" s="1" t="s">
        <v>32</v>
      </c>
      <c r="K477" s="1" t="s">
        <v>78</v>
      </c>
      <c r="L477" s="1" t="s">
        <v>3362</v>
      </c>
      <c r="M477" s="1" t="s">
        <v>3367</v>
      </c>
      <c r="N477" s="1" t="s">
        <v>3653</v>
      </c>
      <c r="O477" s="1" t="s">
        <v>8120</v>
      </c>
    </row>
    <row r="478" spans="8:15" x14ac:dyDescent="0.25">
      <c r="H478" s="1">
        <v>1540133</v>
      </c>
      <c r="I478" s="4">
        <v>46330.541666666664</v>
      </c>
      <c r="J478" s="1" t="s">
        <v>32</v>
      </c>
      <c r="K478" s="1" t="s">
        <v>78</v>
      </c>
      <c r="L478" s="1" t="s">
        <v>3362</v>
      </c>
      <c r="M478" s="1" t="s">
        <v>3369</v>
      </c>
      <c r="N478" s="1" t="s">
        <v>3363</v>
      </c>
      <c r="O478" s="1" t="s">
        <v>8121</v>
      </c>
    </row>
    <row r="479" spans="8:15" x14ac:dyDescent="0.25">
      <c r="H479" s="1">
        <v>1540134</v>
      </c>
      <c r="I479" s="4">
        <v>46330.541666666664</v>
      </c>
      <c r="J479" s="1" t="s">
        <v>32</v>
      </c>
      <c r="K479" s="1" t="s">
        <v>78</v>
      </c>
      <c r="L479" s="1" t="s">
        <v>3362</v>
      </c>
      <c r="M479" s="1" t="s">
        <v>3364</v>
      </c>
      <c r="N479" s="1" t="s">
        <v>3372</v>
      </c>
      <c r="O479" s="1" t="s">
        <v>8122</v>
      </c>
    </row>
    <row r="480" spans="8:15" x14ac:dyDescent="0.25">
      <c r="H480" s="1">
        <v>1540174</v>
      </c>
      <c r="I480" s="4">
        <v>46330.541666666664</v>
      </c>
      <c r="J480" s="1" t="s">
        <v>32</v>
      </c>
      <c r="K480" s="1" t="s">
        <v>20</v>
      </c>
      <c r="L480" s="1" t="s">
        <v>8123</v>
      </c>
      <c r="M480" s="1" t="s">
        <v>8124</v>
      </c>
      <c r="N480" s="1" t="s">
        <v>8125</v>
      </c>
      <c r="O480" s="1" t="s">
        <v>8126</v>
      </c>
    </row>
    <row r="481" spans="8:15" x14ac:dyDescent="0.25">
      <c r="H481" s="1">
        <v>1391594</v>
      </c>
      <c r="I481" s="4">
        <v>46330.5625</v>
      </c>
      <c r="J481" s="1" t="s">
        <v>32</v>
      </c>
      <c r="K481" s="1" t="s">
        <v>319</v>
      </c>
      <c r="L481" s="1" t="s">
        <v>49</v>
      </c>
      <c r="M481" s="1" t="s">
        <v>2473</v>
      </c>
      <c r="N481" s="1" t="s">
        <v>502</v>
      </c>
      <c r="O481" s="1" t="s">
        <v>8128</v>
      </c>
    </row>
    <row r="482" spans="8:15" x14ac:dyDescent="0.25">
      <c r="H482" s="1">
        <v>1391818</v>
      </c>
      <c r="I482" s="4">
        <v>46330.5625</v>
      </c>
      <c r="J482" s="1" t="s">
        <v>32</v>
      </c>
      <c r="K482" s="1" t="s">
        <v>332</v>
      </c>
      <c r="L482" s="1" t="s">
        <v>333</v>
      </c>
      <c r="M482" s="1" t="s">
        <v>8129</v>
      </c>
      <c r="N482" s="1" t="s">
        <v>895</v>
      </c>
      <c r="O482" s="1" t="s">
        <v>8130</v>
      </c>
    </row>
    <row r="483" spans="8:15" x14ac:dyDescent="0.25">
      <c r="H483" s="1">
        <v>1391821</v>
      </c>
      <c r="I483" s="4">
        <v>46330.5625</v>
      </c>
      <c r="J483" s="1" t="s">
        <v>32</v>
      </c>
      <c r="K483" s="1" t="s">
        <v>332</v>
      </c>
      <c r="L483" s="1" t="s">
        <v>333</v>
      </c>
      <c r="M483" s="1" t="s">
        <v>8131</v>
      </c>
      <c r="N483" s="1" t="s">
        <v>8132</v>
      </c>
      <c r="O483" s="1" t="s">
        <v>8133</v>
      </c>
    </row>
    <row r="484" spans="8:15" x14ac:dyDescent="0.25">
      <c r="H484" s="1">
        <v>1399219</v>
      </c>
      <c r="I484" s="4">
        <v>46330.5625</v>
      </c>
      <c r="J484" s="1" t="s">
        <v>32</v>
      </c>
      <c r="K484" s="1" t="s">
        <v>58</v>
      </c>
      <c r="L484" s="1" t="s">
        <v>4200</v>
      </c>
      <c r="M484" s="1" t="s">
        <v>4201</v>
      </c>
      <c r="N484" s="1" t="s">
        <v>4205</v>
      </c>
      <c r="O484" s="1" t="s">
        <v>8134</v>
      </c>
    </row>
    <row r="485" spans="8:15" x14ac:dyDescent="0.25">
      <c r="H485" s="1">
        <v>1399220</v>
      </c>
      <c r="I485" s="4">
        <v>46330.5625</v>
      </c>
      <c r="J485" s="1" t="s">
        <v>32</v>
      </c>
      <c r="K485" s="1" t="s">
        <v>58</v>
      </c>
      <c r="L485" s="1" t="s">
        <v>4200</v>
      </c>
      <c r="M485" s="1" t="s">
        <v>4202</v>
      </c>
      <c r="N485" s="1" t="s">
        <v>4208</v>
      </c>
      <c r="O485" s="1" t="s">
        <v>8135</v>
      </c>
    </row>
    <row r="486" spans="8:15" x14ac:dyDescent="0.25">
      <c r="H486" s="1">
        <v>1399221</v>
      </c>
      <c r="I486" s="4">
        <v>46330.5625</v>
      </c>
      <c r="J486" s="1" t="s">
        <v>32</v>
      </c>
      <c r="K486" s="1" t="s">
        <v>58</v>
      </c>
      <c r="L486" s="1" t="s">
        <v>4200</v>
      </c>
      <c r="M486" s="1" t="s">
        <v>4213</v>
      </c>
      <c r="N486" s="1" t="s">
        <v>6249</v>
      </c>
      <c r="O486" s="1" t="s">
        <v>8136</v>
      </c>
    </row>
    <row r="487" spans="8:15" x14ac:dyDescent="0.25">
      <c r="H487" s="1">
        <v>1399222</v>
      </c>
      <c r="I487" s="4">
        <v>46330.5625</v>
      </c>
      <c r="J487" s="1" t="s">
        <v>32</v>
      </c>
      <c r="K487" s="1" t="s">
        <v>58</v>
      </c>
      <c r="L487" s="1" t="s">
        <v>4200</v>
      </c>
      <c r="M487" s="1" t="s">
        <v>4204</v>
      </c>
      <c r="N487" s="1" t="s">
        <v>4514</v>
      </c>
      <c r="O487" s="1" t="s">
        <v>8137</v>
      </c>
    </row>
    <row r="488" spans="8:15" x14ac:dyDescent="0.25">
      <c r="H488" s="1">
        <v>1399224</v>
      </c>
      <c r="I488" s="4">
        <v>46330.5625</v>
      </c>
      <c r="J488" s="1" t="s">
        <v>32</v>
      </c>
      <c r="K488" s="1" t="s">
        <v>58</v>
      </c>
      <c r="L488" s="1" t="s">
        <v>4200</v>
      </c>
      <c r="M488" s="1" t="s">
        <v>4207</v>
      </c>
      <c r="N488" s="1" t="s">
        <v>4511</v>
      </c>
      <c r="O488" s="1" t="s">
        <v>8138</v>
      </c>
    </row>
    <row r="489" spans="8:15" x14ac:dyDescent="0.25">
      <c r="H489" s="1">
        <v>1406314</v>
      </c>
      <c r="I489" s="4">
        <v>46330.5625</v>
      </c>
      <c r="J489" s="1" t="s">
        <v>32</v>
      </c>
      <c r="K489" s="1" t="s">
        <v>43</v>
      </c>
      <c r="L489" s="1" t="s">
        <v>393</v>
      </c>
      <c r="M489" s="1" t="s">
        <v>4531</v>
      </c>
      <c r="N489" s="1" t="s">
        <v>1232</v>
      </c>
      <c r="O489" s="1" t="s">
        <v>8139</v>
      </c>
    </row>
    <row r="490" spans="8:15" x14ac:dyDescent="0.25">
      <c r="H490" s="1">
        <v>1407387</v>
      </c>
      <c r="I490" s="4">
        <v>46330.5625</v>
      </c>
      <c r="J490" s="1" t="s">
        <v>32</v>
      </c>
      <c r="K490" s="1" t="s">
        <v>43</v>
      </c>
      <c r="L490" s="1" t="s">
        <v>394</v>
      </c>
      <c r="M490" s="1" t="s">
        <v>1529</v>
      </c>
      <c r="N490" s="1" t="s">
        <v>4538</v>
      </c>
      <c r="O490" s="1" t="s">
        <v>8140</v>
      </c>
    </row>
    <row r="491" spans="8:15" x14ac:dyDescent="0.25">
      <c r="H491" s="1">
        <v>1408027</v>
      </c>
      <c r="I491" s="4">
        <v>46330.5625</v>
      </c>
      <c r="J491" s="1" t="s">
        <v>32</v>
      </c>
      <c r="K491" s="1" t="s">
        <v>43</v>
      </c>
      <c r="L491" s="1" t="s">
        <v>341</v>
      </c>
      <c r="M491" s="1" t="s">
        <v>1531</v>
      </c>
      <c r="N491" s="1" t="s">
        <v>8141</v>
      </c>
      <c r="O491" s="1" t="s">
        <v>8142</v>
      </c>
    </row>
    <row r="492" spans="8:15" x14ac:dyDescent="0.25">
      <c r="H492" s="1">
        <v>1411298</v>
      </c>
      <c r="I492" s="4">
        <v>46330.5625</v>
      </c>
      <c r="J492" s="1" t="s">
        <v>32</v>
      </c>
      <c r="K492" s="1" t="s">
        <v>51</v>
      </c>
      <c r="L492" s="1" t="s">
        <v>581</v>
      </c>
      <c r="M492" s="1" t="s">
        <v>4566</v>
      </c>
      <c r="N492" s="1" t="s">
        <v>3837</v>
      </c>
      <c r="O492" s="1" t="s">
        <v>8143</v>
      </c>
    </row>
    <row r="493" spans="8:15" x14ac:dyDescent="0.25">
      <c r="H493" s="1">
        <v>1412274</v>
      </c>
      <c r="I493" s="4">
        <v>46330.5625</v>
      </c>
      <c r="J493" s="1" t="s">
        <v>32</v>
      </c>
      <c r="K493" s="1" t="s">
        <v>43</v>
      </c>
      <c r="L493" s="1" t="s">
        <v>600</v>
      </c>
      <c r="M493" s="1" t="s">
        <v>3588</v>
      </c>
      <c r="N493" s="1" t="s">
        <v>8144</v>
      </c>
      <c r="O493" s="1" t="s">
        <v>8145</v>
      </c>
    </row>
    <row r="494" spans="8:15" x14ac:dyDescent="0.25">
      <c r="H494" s="1">
        <v>1438097</v>
      </c>
      <c r="I494" s="4">
        <v>46330.5625</v>
      </c>
      <c r="J494" s="1" t="s">
        <v>32</v>
      </c>
      <c r="K494" s="1" t="s">
        <v>58</v>
      </c>
      <c r="L494" s="1" t="s">
        <v>621</v>
      </c>
      <c r="M494" s="1" t="s">
        <v>6431</v>
      </c>
      <c r="N494" s="1" t="s">
        <v>8146</v>
      </c>
      <c r="O494" s="1" t="s">
        <v>8147</v>
      </c>
    </row>
    <row r="495" spans="8:15" x14ac:dyDescent="0.25">
      <c r="H495" s="1">
        <v>1438098</v>
      </c>
      <c r="I495" s="4">
        <v>46330.5625</v>
      </c>
      <c r="J495" s="1" t="s">
        <v>32</v>
      </c>
      <c r="K495" s="1" t="s">
        <v>58</v>
      </c>
      <c r="L495" s="1" t="s">
        <v>621</v>
      </c>
      <c r="M495" s="1" t="s">
        <v>4241</v>
      </c>
      <c r="N495" s="1" t="s">
        <v>4236</v>
      </c>
      <c r="O495" s="1" t="s">
        <v>8148</v>
      </c>
    </row>
    <row r="496" spans="8:15" x14ac:dyDescent="0.25">
      <c r="H496" s="1">
        <v>1438099</v>
      </c>
      <c r="I496" s="4">
        <v>46330.5625</v>
      </c>
      <c r="J496" s="1" t="s">
        <v>32</v>
      </c>
      <c r="K496" s="1" t="s">
        <v>58</v>
      </c>
      <c r="L496" s="1" t="s">
        <v>621</v>
      </c>
      <c r="M496" s="1" t="s">
        <v>4238</v>
      </c>
      <c r="N496" s="1" t="s">
        <v>4638</v>
      </c>
      <c r="O496" s="1" t="s">
        <v>8149</v>
      </c>
    </row>
    <row r="497" spans="8:15" x14ac:dyDescent="0.25">
      <c r="H497" s="1">
        <v>1438100</v>
      </c>
      <c r="I497" s="4">
        <v>46330.5625</v>
      </c>
      <c r="J497" s="1" t="s">
        <v>32</v>
      </c>
      <c r="K497" s="1" t="s">
        <v>58</v>
      </c>
      <c r="L497" s="1" t="s">
        <v>621</v>
      </c>
      <c r="M497" s="1" t="s">
        <v>4235</v>
      </c>
      <c r="N497" s="1" t="s">
        <v>4641</v>
      </c>
      <c r="O497" s="1" t="s">
        <v>8150</v>
      </c>
    </row>
    <row r="498" spans="8:15" x14ac:dyDescent="0.25">
      <c r="H498" s="1">
        <v>1438103</v>
      </c>
      <c r="I498" s="4">
        <v>46330.5625</v>
      </c>
      <c r="J498" s="1" t="s">
        <v>32</v>
      </c>
      <c r="K498" s="1" t="s">
        <v>58</v>
      </c>
      <c r="L498" s="1" t="s">
        <v>621</v>
      </c>
      <c r="M498" s="1" t="s">
        <v>1451</v>
      </c>
      <c r="N498" s="1" t="s">
        <v>4239</v>
      </c>
      <c r="O498" s="1" t="s">
        <v>8151</v>
      </c>
    </row>
    <row r="499" spans="8:15" x14ac:dyDescent="0.25">
      <c r="H499" s="1">
        <v>1438403</v>
      </c>
      <c r="I499" s="4">
        <v>46330.5625</v>
      </c>
      <c r="J499" s="1" t="s">
        <v>32</v>
      </c>
      <c r="K499" s="1" t="s">
        <v>58</v>
      </c>
      <c r="L499" s="1" t="s">
        <v>622</v>
      </c>
      <c r="M499" s="1" t="s">
        <v>4250</v>
      </c>
      <c r="N499" s="1" t="s">
        <v>6433</v>
      </c>
      <c r="O499" s="1" t="s">
        <v>8152</v>
      </c>
    </row>
    <row r="500" spans="8:15" x14ac:dyDescent="0.25">
      <c r="H500" s="1">
        <v>1438404</v>
      </c>
      <c r="I500" s="4">
        <v>46330.5625</v>
      </c>
      <c r="J500" s="1" t="s">
        <v>32</v>
      </c>
      <c r="K500" s="1" t="s">
        <v>58</v>
      </c>
      <c r="L500" s="1" t="s">
        <v>622</v>
      </c>
      <c r="M500" s="1" t="s">
        <v>4247</v>
      </c>
      <c r="N500" s="1" t="s">
        <v>4644</v>
      </c>
      <c r="O500" s="1" t="s">
        <v>8153</v>
      </c>
    </row>
    <row r="501" spans="8:15" x14ac:dyDescent="0.25">
      <c r="H501" s="1">
        <v>1438405</v>
      </c>
      <c r="I501" s="4">
        <v>46330.5625</v>
      </c>
      <c r="J501" s="1" t="s">
        <v>32</v>
      </c>
      <c r="K501" s="1" t="s">
        <v>58</v>
      </c>
      <c r="L501" s="1" t="s">
        <v>622</v>
      </c>
      <c r="M501" s="1" t="s">
        <v>4252</v>
      </c>
      <c r="N501" s="1" t="s">
        <v>4244</v>
      </c>
      <c r="O501" s="1" t="s">
        <v>8154</v>
      </c>
    </row>
    <row r="502" spans="8:15" x14ac:dyDescent="0.25">
      <c r="H502" s="1">
        <v>1439332</v>
      </c>
      <c r="I502" s="4">
        <v>46330.5625</v>
      </c>
      <c r="J502" s="1" t="s">
        <v>32</v>
      </c>
      <c r="K502" s="1" t="s">
        <v>41</v>
      </c>
      <c r="L502" s="1" t="s">
        <v>4255</v>
      </c>
      <c r="M502" s="1" t="s">
        <v>6206</v>
      </c>
      <c r="N502" s="1" t="s">
        <v>4259</v>
      </c>
      <c r="O502" s="1" t="s">
        <v>8155</v>
      </c>
    </row>
    <row r="503" spans="8:15" x14ac:dyDescent="0.25">
      <c r="H503" s="1">
        <v>1439334</v>
      </c>
      <c r="I503" s="4">
        <v>46330.5625</v>
      </c>
      <c r="J503" s="1" t="s">
        <v>32</v>
      </c>
      <c r="K503" s="1" t="s">
        <v>41</v>
      </c>
      <c r="L503" s="1" t="s">
        <v>4255</v>
      </c>
      <c r="M503" s="1" t="s">
        <v>8156</v>
      </c>
      <c r="N503" s="1" t="s">
        <v>4256</v>
      </c>
      <c r="O503" s="1" t="s">
        <v>8157</v>
      </c>
    </row>
    <row r="504" spans="8:15" x14ac:dyDescent="0.25">
      <c r="H504" s="1">
        <v>1439335</v>
      </c>
      <c r="I504" s="4">
        <v>46330.5625</v>
      </c>
      <c r="J504" s="1" t="s">
        <v>32</v>
      </c>
      <c r="K504" s="1" t="s">
        <v>41</v>
      </c>
      <c r="L504" s="1" t="s">
        <v>4255</v>
      </c>
      <c r="M504" s="1" t="s">
        <v>4257</v>
      </c>
      <c r="N504" s="1" t="s">
        <v>8158</v>
      </c>
      <c r="O504" s="1" t="s">
        <v>8159</v>
      </c>
    </row>
    <row r="505" spans="8:15" x14ac:dyDescent="0.25">
      <c r="H505" s="1">
        <v>1439711</v>
      </c>
      <c r="I505" s="4">
        <v>46330.5625</v>
      </c>
      <c r="J505" s="1" t="s">
        <v>32</v>
      </c>
      <c r="K505" s="1" t="s">
        <v>41</v>
      </c>
      <c r="L505" s="1" t="s">
        <v>1198</v>
      </c>
      <c r="M505" s="1" t="s">
        <v>2537</v>
      </c>
      <c r="N505" s="1" t="s">
        <v>8160</v>
      </c>
      <c r="O505" s="1" t="s">
        <v>8161</v>
      </c>
    </row>
    <row r="506" spans="8:15" x14ac:dyDescent="0.25">
      <c r="H506" s="1">
        <v>1439712</v>
      </c>
      <c r="I506" s="4">
        <v>46330.5625</v>
      </c>
      <c r="J506" s="1" t="s">
        <v>32</v>
      </c>
      <c r="K506" s="1" t="s">
        <v>41</v>
      </c>
      <c r="L506" s="1" t="s">
        <v>1198</v>
      </c>
      <c r="M506" s="1" t="s">
        <v>2326</v>
      </c>
      <c r="N506" s="1" t="s">
        <v>1550</v>
      </c>
      <c r="O506" s="1" t="s">
        <v>8162</v>
      </c>
    </row>
    <row r="507" spans="8:15" x14ac:dyDescent="0.25">
      <c r="H507" s="1">
        <v>1439713</v>
      </c>
      <c r="I507" s="4">
        <v>46330.5625</v>
      </c>
      <c r="J507" s="1" t="s">
        <v>32</v>
      </c>
      <c r="K507" s="1" t="s">
        <v>41</v>
      </c>
      <c r="L507" s="1" t="s">
        <v>1198</v>
      </c>
      <c r="M507" s="1" t="s">
        <v>1551</v>
      </c>
      <c r="N507" s="1" t="s">
        <v>1553</v>
      </c>
      <c r="O507" s="1" t="s">
        <v>8163</v>
      </c>
    </row>
    <row r="508" spans="8:15" x14ac:dyDescent="0.25">
      <c r="H508" s="1">
        <v>1468935</v>
      </c>
      <c r="I508" s="4">
        <v>46330.5625</v>
      </c>
      <c r="J508" s="1" t="s">
        <v>32</v>
      </c>
      <c r="K508" s="1" t="s">
        <v>41</v>
      </c>
      <c r="L508" s="1" t="s">
        <v>382</v>
      </c>
      <c r="M508" s="1" t="s">
        <v>3101</v>
      </c>
      <c r="N508" s="1" t="s">
        <v>3881</v>
      </c>
      <c r="O508" s="1" t="s">
        <v>8164</v>
      </c>
    </row>
    <row r="509" spans="8:15" x14ac:dyDescent="0.25">
      <c r="H509" s="1">
        <v>1491228</v>
      </c>
      <c r="I509" s="4">
        <v>46330.5625</v>
      </c>
      <c r="J509" s="1" t="s">
        <v>32</v>
      </c>
      <c r="K509" s="1" t="s">
        <v>105</v>
      </c>
      <c r="L509" s="1" t="s">
        <v>321</v>
      </c>
      <c r="M509" s="1" t="s">
        <v>8165</v>
      </c>
      <c r="N509" s="1" t="s">
        <v>3298</v>
      </c>
      <c r="O509" s="1" t="s">
        <v>8166</v>
      </c>
    </row>
    <row r="510" spans="8:15" x14ac:dyDescent="0.25">
      <c r="H510" s="1">
        <v>1496207</v>
      </c>
      <c r="I510" s="4">
        <v>46330.5625</v>
      </c>
      <c r="J510" s="1" t="s">
        <v>32</v>
      </c>
      <c r="K510" s="1" t="s">
        <v>85</v>
      </c>
      <c r="L510" s="1" t="s">
        <v>7671</v>
      </c>
      <c r="M510" s="1" t="s">
        <v>8167</v>
      </c>
      <c r="N510" s="1" t="s">
        <v>4806</v>
      </c>
      <c r="O510" s="1" t="s">
        <v>8168</v>
      </c>
    </row>
    <row r="511" spans="8:15" x14ac:dyDescent="0.25">
      <c r="H511" s="1">
        <v>1506578</v>
      </c>
      <c r="I511" s="4">
        <v>46330.5625</v>
      </c>
      <c r="J511" s="1" t="s">
        <v>32</v>
      </c>
      <c r="K511" s="1" t="s">
        <v>610</v>
      </c>
      <c r="L511" s="1" t="s">
        <v>611</v>
      </c>
      <c r="M511" s="1" t="s">
        <v>2258</v>
      </c>
      <c r="N511" s="1" t="s">
        <v>4377</v>
      </c>
      <c r="O511" s="1" t="s">
        <v>8169</v>
      </c>
    </row>
    <row r="512" spans="8:15" x14ac:dyDescent="0.25">
      <c r="H512" s="1">
        <v>1508069</v>
      </c>
      <c r="I512" s="4">
        <v>46330.5625</v>
      </c>
      <c r="J512" s="1" t="s">
        <v>32</v>
      </c>
      <c r="K512" s="1" t="s">
        <v>8170</v>
      </c>
      <c r="L512" s="1" t="s">
        <v>49</v>
      </c>
      <c r="M512" s="1" t="s">
        <v>8171</v>
      </c>
      <c r="N512" s="1" t="s">
        <v>322</v>
      </c>
      <c r="O512" s="1" t="s">
        <v>8172</v>
      </c>
    </row>
    <row r="513" spans="8:15" x14ac:dyDescent="0.25">
      <c r="H513" s="1">
        <v>1508327</v>
      </c>
      <c r="I513" s="4">
        <v>46330.5625</v>
      </c>
      <c r="J513" s="1" t="s">
        <v>32</v>
      </c>
      <c r="K513" s="1" t="s">
        <v>58</v>
      </c>
      <c r="L513" s="1" t="s">
        <v>4379</v>
      </c>
      <c r="M513" s="1" t="s">
        <v>4380</v>
      </c>
      <c r="N513" s="1" t="s">
        <v>4834</v>
      </c>
      <c r="O513" s="1" t="s">
        <v>8173</v>
      </c>
    </row>
    <row r="514" spans="8:15" x14ac:dyDescent="0.25">
      <c r="H514" s="1">
        <v>1515689</v>
      </c>
      <c r="I514" s="4">
        <v>46330.5625</v>
      </c>
      <c r="J514" s="1" t="s">
        <v>32</v>
      </c>
      <c r="K514" s="1" t="s">
        <v>275</v>
      </c>
      <c r="L514" s="1" t="s">
        <v>7737</v>
      </c>
      <c r="M514" s="1" t="s">
        <v>8174</v>
      </c>
      <c r="N514" s="1" t="s">
        <v>8175</v>
      </c>
      <c r="O514" s="1" t="s">
        <v>8176</v>
      </c>
    </row>
    <row r="515" spans="8:15" x14ac:dyDescent="0.25">
      <c r="H515" s="1">
        <v>1527563</v>
      </c>
      <c r="I515" s="4">
        <v>46330.5625</v>
      </c>
      <c r="J515" s="1" t="s">
        <v>32</v>
      </c>
      <c r="K515" s="1" t="s">
        <v>422</v>
      </c>
      <c r="L515" s="1" t="s">
        <v>49</v>
      </c>
      <c r="M515" s="1" t="s">
        <v>5904</v>
      </c>
      <c r="N515" s="1" t="s">
        <v>8177</v>
      </c>
      <c r="O515" s="1" t="s">
        <v>8178</v>
      </c>
    </row>
    <row r="516" spans="8:15" x14ac:dyDescent="0.25">
      <c r="H516" s="1">
        <v>1530634</v>
      </c>
      <c r="I516" s="4">
        <v>46330.5625</v>
      </c>
      <c r="J516" s="1" t="s">
        <v>32</v>
      </c>
      <c r="K516" s="1" t="s">
        <v>20</v>
      </c>
      <c r="L516" s="1" t="s">
        <v>602</v>
      </c>
      <c r="M516" s="1" t="s">
        <v>3626</v>
      </c>
      <c r="N516" s="1" t="s">
        <v>2295</v>
      </c>
      <c r="O516" s="1" t="s">
        <v>8179</v>
      </c>
    </row>
    <row r="517" spans="8:15" x14ac:dyDescent="0.25">
      <c r="H517" s="1">
        <v>1530635</v>
      </c>
      <c r="I517" s="4">
        <v>46330.5625</v>
      </c>
      <c r="J517" s="1" t="s">
        <v>32</v>
      </c>
      <c r="K517" s="1" t="s">
        <v>20</v>
      </c>
      <c r="L517" s="1" t="s">
        <v>602</v>
      </c>
      <c r="M517" s="1" t="s">
        <v>6777</v>
      </c>
      <c r="N517" s="1" t="s">
        <v>3633</v>
      </c>
      <c r="O517" s="1" t="s">
        <v>8180</v>
      </c>
    </row>
    <row r="518" spans="8:15" x14ac:dyDescent="0.25">
      <c r="H518" s="1">
        <v>1530637</v>
      </c>
      <c r="I518" s="4">
        <v>46330.5625</v>
      </c>
      <c r="J518" s="1" t="s">
        <v>32</v>
      </c>
      <c r="K518" s="1" t="s">
        <v>20</v>
      </c>
      <c r="L518" s="1" t="s">
        <v>602</v>
      </c>
      <c r="M518" s="1" t="s">
        <v>3632</v>
      </c>
      <c r="N518" s="1" t="s">
        <v>1354</v>
      </c>
      <c r="O518" s="1" t="s">
        <v>8181</v>
      </c>
    </row>
    <row r="519" spans="8:15" x14ac:dyDescent="0.25">
      <c r="H519" s="1">
        <v>1534134</v>
      </c>
      <c r="I519" s="4">
        <v>46330.5625</v>
      </c>
      <c r="J519" s="1" t="s">
        <v>32</v>
      </c>
      <c r="K519" s="1" t="s">
        <v>48</v>
      </c>
      <c r="L519" s="1" t="s">
        <v>49</v>
      </c>
      <c r="M519" s="1" t="s">
        <v>1486</v>
      </c>
      <c r="N519" s="1" t="s">
        <v>8182</v>
      </c>
      <c r="O519" s="1" t="s">
        <v>8183</v>
      </c>
    </row>
    <row r="520" spans="8:15" x14ac:dyDescent="0.25">
      <c r="H520" s="1">
        <v>1534148</v>
      </c>
      <c r="I520" s="4">
        <v>46330.5625</v>
      </c>
      <c r="J520" s="1" t="s">
        <v>32</v>
      </c>
      <c r="K520" s="1" t="s">
        <v>48</v>
      </c>
      <c r="L520" s="1" t="s">
        <v>49</v>
      </c>
      <c r="M520" s="1" t="s">
        <v>2062</v>
      </c>
      <c r="N520" s="1" t="s">
        <v>8184</v>
      </c>
      <c r="O520" s="1" t="s">
        <v>8185</v>
      </c>
    </row>
    <row r="521" spans="8:15" x14ac:dyDescent="0.25">
      <c r="H521" s="1">
        <v>1537603</v>
      </c>
      <c r="I521" s="4">
        <v>46330.5625</v>
      </c>
      <c r="J521" s="1" t="s">
        <v>32</v>
      </c>
      <c r="K521" s="1" t="s">
        <v>78</v>
      </c>
      <c r="L521" s="1" t="s">
        <v>335</v>
      </c>
      <c r="M521" s="1" t="s">
        <v>2511</v>
      </c>
      <c r="N521" s="1" t="s">
        <v>3348</v>
      </c>
      <c r="O521" s="1" t="s">
        <v>8186</v>
      </c>
    </row>
    <row r="522" spans="8:15" x14ac:dyDescent="0.25">
      <c r="H522" s="1">
        <v>1380633</v>
      </c>
      <c r="I522" s="4">
        <v>46330.572916666664</v>
      </c>
      <c r="J522" s="1" t="s">
        <v>32</v>
      </c>
      <c r="K522" s="1" t="s">
        <v>51</v>
      </c>
      <c r="L522" s="1" t="s">
        <v>57</v>
      </c>
      <c r="M522" s="1" t="s">
        <v>8188</v>
      </c>
      <c r="N522" s="1" t="s">
        <v>8189</v>
      </c>
      <c r="O522" s="1" t="s">
        <v>8190</v>
      </c>
    </row>
    <row r="523" spans="8:15" x14ac:dyDescent="0.25">
      <c r="H523" s="1">
        <v>1378176</v>
      </c>
      <c r="I523" s="4">
        <v>46330.583333333336</v>
      </c>
      <c r="J523" s="1" t="s">
        <v>32</v>
      </c>
      <c r="K523" s="1" t="s">
        <v>41</v>
      </c>
      <c r="L523" s="1" t="s">
        <v>60</v>
      </c>
      <c r="M523" s="1" t="s">
        <v>8192</v>
      </c>
      <c r="N523" s="1" t="s">
        <v>1194</v>
      </c>
      <c r="O523" s="1" t="s">
        <v>8193</v>
      </c>
    </row>
    <row r="524" spans="8:15" x14ac:dyDescent="0.25">
      <c r="H524" s="1">
        <v>1378183</v>
      </c>
      <c r="I524" s="4">
        <v>46330.583333333336</v>
      </c>
      <c r="J524" s="1" t="s">
        <v>32</v>
      </c>
      <c r="K524" s="1" t="s">
        <v>41</v>
      </c>
      <c r="L524" s="1" t="s">
        <v>60</v>
      </c>
      <c r="M524" s="1" t="s">
        <v>6236</v>
      </c>
      <c r="N524" s="1" t="s">
        <v>1611</v>
      </c>
      <c r="O524" s="1" t="s">
        <v>8194</v>
      </c>
    </row>
    <row r="525" spans="8:15" x14ac:dyDescent="0.25">
      <c r="H525" s="1">
        <v>1384373</v>
      </c>
      <c r="I525" s="4">
        <v>46330.583333333336</v>
      </c>
      <c r="J525" s="1" t="s">
        <v>32</v>
      </c>
      <c r="K525" s="1" t="s">
        <v>267</v>
      </c>
      <c r="L525" s="1" t="s">
        <v>659</v>
      </c>
      <c r="M525" s="1" t="s">
        <v>1615</v>
      </c>
      <c r="N525" s="1" t="s">
        <v>2171</v>
      </c>
      <c r="O525" s="1" t="s">
        <v>8195</v>
      </c>
    </row>
    <row r="526" spans="8:15" x14ac:dyDescent="0.25">
      <c r="H526" s="1">
        <v>1384875</v>
      </c>
      <c r="I526" s="4">
        <v>46330.583333333336</v>
      </c>
      <c r="J526" s="1" t="s">
        <v>32</v>
      </c>
      <c r="K526" s="1" t="s">
        <v>381</v>
      </c>
      <c r="L526" s="1" t="s">
        <v>401</v>
      </c>
      <c r="M526" s="1" t="s">
        <v>8196</v>
      </c>
      <c r="N526" s="1" t="s">
        <v>1223</v>
      </c>
      <c r="O526" s="1" t="s">
        <v>8197</v>
      </c>
    </row>
    <row r="527" spans="8:15" x14ac:dyDescent="0.25">
      <c r="H527" s="1">
        <v>1384877</v>
      </c>
      <c r="I527" s="4">
        <v>46330.583333333336</v>
      </c>
      <c r="J527" s="1" t="s">
        <v>32</v>
      </c>
      <c r="K527" s="1" t="s">
        <v>381</v>
      </c>
      <c r="L527" s="1" t="s">
        <v>401</v>
      </c>
      <c r="M527" s="1" t="s">
        <v>8198</v>
      </c>
      <c r="N527" s="1" t="s">
        <v>1222</v>
      </c>
      <c r="O527" s="1" t="s">
        <v>8199</v>
      </c>
    </row>
    <row r="528" spans="8:15" x14ac:dyDescent="0.25">
      <c r="H528" s="1">
        <v>1395696</v>
      </c>
      <c r="I528" s="4">
        <v>46330.583333333336</v>
      </c>
      <c r="J528" s="1" t="s">
        <v>32</v>
      </c>
      <c r="K528" s="1" t="s">
        <v>240</v>
      </c>
      <c r="L528" s="1" t="s">
        <v>241</v>
      </c>
      <c r="M528" s="1" t="s">
        <v>4483</v>
      </c>
      <c r="N528" s="1" t="s">
        <v>4486</v>
      </c>
      <c r="O528" s="1" t="s">
        <v>8200</v>
      </c>
    </row>
    <row r="529" spans="8:15" x14ac:dyDescent="0.25">
      <c r="H529" s="1">
        <v>1395710</v>
      </c>
      <c r="I529" s="4">
        <v>46330.583333333336</v>
      </c>
      <c r="J529" s="1" t="s">
        <v>32</v>
      </c>
      <c r="K529" s="1" t="s">
        <v>240</v>
      </c>
      <c r="L529" s="1" t="s">
        <v>241</v>
      </c>
      <c r="M529" s="1" t="s">
        <v>4468</v>
      </c>
      <c r="N529" s="1" t="s">
        <v>8201</v>
      </c>
      <c r="O529" s="1" t="s">
        <v>8202</v>
      </c>
    </row>
    <row r="530" spans="8:15" x14ac:dyDescent="0.25">
      <c r="H530" s="1">
        <v>1396049</v>
      </c>
      <c r="I530" s="4">
        <v>46330.583333333336</v>
      </c>
      <c r="J530" s="1" t="s">
        <v>32</v>
      </c>
      <c r="K530" s="1" t="s">
        <v>51</v>
      </c>
      <c r="L530" s="1" t="s">
        <v>385</v>
      </c>
      <c r="M530" s="1" t="s">
        <v>8203</v>
      </c>
      <c r="N530" s="1" t="s">
        <v>1228</v>
      </c>
      <c r="O530" s="1" t="s">
        <v>8204</v>
      </c>
    </row>
    <row r="531" spans="8:15" x14ac:dyDescent="0.25">
      <c r="H531" s="1">
        <v>1398229</v>
      </c>
      <c r="I531" s="4">
        <v>46330.583333333336</v>
      </c>
      <c r="J531" s="1" t="s">
        <v>32</v>
      </c>
      <c r="K531" s="1" t="s">
        <v>53</v>
      </c>
      <c r="L531" s="1" t="s">
        <v>264</v>
      </c>
      <c r="M531" s="1" t="s">
        <v>8205</v>
      </c>
      <c r="N531" s="1" t="s">
        <v>2264</v>
      </c>
      <c r="O531" s="1" t="s">
        <v>8206</v>
      </c>
    </row>
    <row r="532" spans="8:15" x14ac:dyDescent="0.25">
      <c r="H532" s="1">
        <v>1398660</v>
      </c>
      <c r="I532" s="4">
        <v>46330.583333333336</v>
      </c>
      <c r="J532" s="1" t="s">
        <v>32</v>
      </c>
      <c r="K532" s="1" t="s">
        <v>42</v>
      </c>
      <c r="L532" s="1" t="s">
        <v>50</v>
      </c>
      <c r="M532" s="1" t="s">
        <v>6072</v>
      </c>
      <c r="N532" s="1" t="s">
        <v>8207</v>
      </c>
      <c r="O532" s="1" t="s">
        <v>8208</v>
      </c>
    </row>
    <row r="533" spans="8:15" x14ac:dyDescent="0.25">
      <c r="H533" s="1">
        <v>1398880</v>
      </c>
      <c r="I533" s="4">
        <v>46330.583333333336</v>
      </c>
      <c r="J533" s="1" t="s">
        <v>32</v>
      </c>
      <c r="K533" s="1" t="s">
        <v>332</v>
      </c>
      <c r="L533" s="1" t="s">
        <v>396</v>
      </c>
      <c r="M533" s="1" t="s">
        <v>4499</v>
      </c>
      <c r="N533" s="1" t="s">
        <v>4507</v>
      </c>
      <c r="O533" s="1" t="s">
        <v>8209</v>
      </c>
    </row>
    <row r="534" spans="8:15" x14ac:dyDescent="0.25">
      <c r="H534" s="1">
        <v>1398886</v>
      </c>
      <c r="I534" s="4">
        <v>46330.583333333336</v>
      </c>
      <c r="J534" s="1" t="s">
        <v>32</v>
      </c>
      <c r="K534" s="1" t="s">
        <v>332</v>
      </c>
      <c r="L534" s="1" t="s">
        <v>396</v>
      </c>
      <c r="M534" s="1" t="s">
        <v>3698</v>
      </c>
      <c r="N534" s="1" t="s">
        <v>4501</v>
      </c>
      <c r="O534" s="1" t="s">
        <v>8210</v>
      </c>
    </row>
    <row r="535" spans="8:15" x14ac:dyDescent="0.25">
      <c r="H535" s="1">
        <v>1399223</v>
      </c>
      <c r="I535" s="4">
        <v>46330.583333333336</v>
      </c>
      <c r="J535" s="1" t="s">
        <v>32</v>
      </c>
      <c r="K535" s="1" t="s">
        <v>58</v>
      </c>
      <c r="L535" s="1" t="s">
        <v>4200</v>
      </c>
      <c r="M535" s="1" t="s">
        <v>4510</v>
      </c>
      <c r="N535" s="1" t="s">
        <v>4214</v>
      </c>
      <c r="O535" s="1" t="s">
        <v>8211</v>
      </c>
    </row>
    <row r="536" spans="8:15" x14ac:dyDescent="0.25">
      <c r="H536" s="1">
        <v>1399225</v>
      </c>
      <c r="I536" s="4">
        <v>46330.583333333336</v>
      </c>
      <c r="J536" s="1" t="s">
        <v>32</v>
      </c>
      <c r="K536" s="1" t="s">
        <v>58</v>
      </c>
      <c r="L536" s="1" t="s">
        <v>4200</v>
      </c>
      <c r="M536" s="1" t="s">
        <v>4513</v>
      </c>
      <c r="N536" s="1" t="s">
        <v>4950</v>
      </c>
      <c r="O536" s="1" t="s">
        <v>8212</v>
      </c>
    </row>
    <row r="537" spans="8:15" x14ac:dyDescent="0.25">
      <c r="H537" s="1">
        <v>1404233</v>
      </c>
      <c r="I537" s="4">
        <v>46330.583333333336</v>
      </c>
      <c r="J537" s="1" t="s">
        <v>32</v>
      </c>
      <c r="K537" s="1" t="s">
        <v>56</v>
      </c>
      <c r="L537" s="1" t="s">
        <v>81</v>
      </c>
      <c r="M537" s="1" t="s">
        <v>1631</v>
      </c>
      <c r="N537" s="1" t="s">
        <v>8213</v>
      </c>
      <c r="O537" s="1" t="s">
        <v>8214</v>
      </c>
    </row>
    <row r="538" spans="8:15" x14ac:dyDescent="0.25">
      <c r="H538" s="1">
        <v>1404235</v>
      </c>
      <c r="I538" s="4">
        <v>46330.583333333336</v>
      </c>
      <c r="J538" s="1" t="s">
        <v>32</v>
      </c>
      <c r="K538" s="1" t="s">
        <v>56</v>
      </c>
      <c r="L538" s="1" t="s">
        <v>81</v>
      </c>
      <c r="M538" s="1" t="s">
        <v>1630</v>
      </c>
      <c r="N538" s="1" t="s">
        <v>8215</v>
      </c>
      <c r="O538" s="1" t="s">
        <v>8216</v>
      </c>
    </row>
    <row r="539" spans="8:15" x14ac:dyDescent="0.25">
      <c r="H539" s="1">
        <v>1404608</v>
      </c>
      <c r="I539" s="4">
        <v>46330.583333333336</v>
      </c>
      <c r="J539" s="1" t="s">
        <v>32</v>
      </c>
      <c r="K539" s="1" t="s">
        <v>41</v>
      </c>
      <c r="L539" s="1" t="s">
        <v>262</v>
      </c>
      <c r="M539" s="1" t="s">
        <v>492</v>
      </c>
      <c r="N539" s="1" t="s">
        <v>3032</v>
      </c>
      <c r="O539" s="1" t="s">
        <v>8217</v>
      </c>
    </row>
    <row r="540" spans="8:15" x14ac:dyDescent="0.25">
      <c r="H540" s="1">
        <v>1406677</v>
      </c>
      <c r="I540" s="4">
        <v>46330.583333333336</v>
      </c>
      <c r="J540" s="1" t="s">
        <v>32</v>
      </c>
      <c r="K540" s="1" t="s">
        <v>43</v>
      </c>
      <c r="L540" s="1" t="s">
        <v>551</v>
      </c>
      <c r="M540" s="1" t="s">
        <v>1645</v>
      </c>
      <c r="N540" s="1" t="s">
        <v>1646</v>
      </c>
      <c r="O540" s="1" t="s">
        <v>8218</v>
      </c>
    </row>
    <row r="541" spans="8:15" x14ac:dyDescent="0.25">
      <c r="H541" s="1">
        <v>1407389</v>
      </c>
      <c r="I541" s="4">
        <v>46330.583333333336</v>
      </c>
      <c r="J541" s="1" t="s">
        <v>32</v>
      </c>
      <c r="K541" s="1" t="s">
        <v>43</v>
      </c>
      <c r="L541" s="1" t="s">
        <v>394</v>
      </c>
      <c r="M541" s="1" t="s">
        <v>1648</v>
      </c>
      <c r="N541" s="1" t="s">
        <v>1651</v>
      </c>
      <c r="O541" s="1" t="s">
        <v>8219</v>
      </c>
    </row>
    <row r="542" spans="8:15" x14ac:dyDescent="0.25">
      <c r="H542" s="1">
        <v>1407390</v>
      </c>
      <c r="I542" s="4">
        <v>46330.583333333336</v>
      </c>
      <c r="J542" s="1" t="s">
        <v>32</v>
      </c>
      <c r="K542" s="1" t="s">
        <v>43</v>
      </c>
      <c r="L542" s="1" t="s">
        <v>394</v>
      </c>
      <c r="M542" s="1" t="s">
        <v>4541</v>
      </c>
      <c r="N542" s="1" t="s">
        <v>8220</v>
      </c>
      <c r="O542" s="1" t="s">
        <v>8221</v>
      </c>
    </row>
    <row r="543" spans="8:15" x14ac:dyDescent="0.25">
      <c r="H543" s="1">
        <v>1408023</v>
      </c>
      <c r="I543" s="4">
        <v>46330.583333333336</v>
      </c>
      <c r="J543" s="1" t="s">
        <v>32</v>
      </c>
      <c r="K543" s="1" t="s">
        <v>43</v>
      </c>
      <c r="L543" s="1" t="s">
        <v>341</v>
      </c>
      <c r="M543" s="1" t="s">
        <v>4546</v>
      </c>
      <c r="N543" s="1" t="s">
        <v>8222</v>
      </c>
      <c r="O543" s="1" t="s">
        <v>8223</v>
      </c>
    </row>
    <row r="544" spans="8:15" x14ac:dyDescent="0.25">
      <c r="H544" s="1">
        <v>1409200</v>
      </c>
      <c r="I544" s="4">
        <v>46330.583333333336</v>
      </c>
      <c r="J544" s="1" t="s">
        <v>32</v>
      </c>
      <c r="K544" s="1" t="s">
        <v>43</v>
      </c>
      <c r="L544" s="1" t="s">
        <v>3777</v>
      </c>
      <c r="M544" s="1" t="s">
        <v>4548</v>
      </c>
      <c r="N544" s="1" t="s">
        <v>8224</v>
      </c>
      <c r="O544" s="1" t="s">
        <v>8225</v>
      </c>
    </row>
    <row r="545" spans="8:15" x14ac:dyDescent="0.25">
      <c r="H545" s="1">
        <v>1409201</v>
      </c>
      <c r="I545" s="4">
        <v>46330.583333333336</v>
      </c>
      <c r="J545" s="1" t="s">
        <v>32</v>
      </c>
      <c r="K545" s="1" t="s">
        <v>43</v>
      </c>
      <c r="L545" s="1" t="s">
        <v>3777</v>
      </c>
      <c r="M545" s="1" t="s">
        <v>4963</v>
      </c>
      <c r="N545" s="1" t="s">
        <v>3779</v>
      </c>
      <c r="O545" s="1" t="s">
        <v>8226</v>
      </c>
    </row>
    <row r="546" spans="8:15" x14ac:dyDescent="0.25">
      <c r="H546" s="1">
        <v>1409202</v>
      </c>
      <c r="I546" s="4">
        <v>46330.583333333336</v>
      </c>
      <c r="J546" s="1" t="s">
        <v>32</v>
      </c>
      <c r="K546" s="1" t="s">
        <v>43</v>
      </c>
      <c r="L546" s="1" t="s">
        <v>3777</v>
      </c>
      <c r="M546" s="1" t="s">
        <v>3785</v>
      </c>
      <c r="N546" s="1" t="s">
        <v>3782</v>
      </c>
      <c r="O546" s="1" t="s">
        <v>8227</v>
      </c>
    </row>
    <row r="547" spans="8:15" x14ac:dyDescent="0.25">
      <c r="H547" s="1">
        <v>1409661</v>
      </c>
      <c r="I547" s="4">
        <v>46330.583333333336</v>
      </c>
      <c r="J547" s="1" t="s">
        <v>32</v>
      </c>
      <c r="K547" s="1" t="s">
        <v>43</v>
      </c>
      <c r="L547" s="1" t="s">
        <v>3789</v>
      </c>
      <c r="M547" s="1" t="s">
        <v>3793</v>
      </c>
      <c r="N547" s="1" t="s">
        <v>8228</v>
      </c>
      <c r="O547" s="1" t="s">
        <v>8229</v>
      </c>
    </row>
    <row r="548" spans="8:15" x14ac:dyDescent="0.25">
      <c r="H548" s="1">
        <v>1409662</v>
      </c>
      <c r="I548" s="4">
        <v>46330.583333333336</v>
      </c>
      <c r="J548" s="1" t="s">
        <v>32</v>
      </c>
      <c r="K548" s="1" t="s">
        <v>43</v>
      </c>
      <c r="L548" s="1" t="s">
        <v>3789</v>
      </c>
      <c r="M548" s="1" t="s">
        <v>3791</v>
      </c>
      <c r="N548" s="1" t="s">
        <v>8230</v>
      </c>
      <c r="O548" s="1" t="s">
        <v>8231</v>
      </c>
    </row>
    <row r="549" spans="8:15" x14ac:dyDescent="0.25">
      <c r="H549" s="1">
        <v>1409663</v>
      </c>
      <c r="I549" s="4">
        <v>46330.583333333336</v>
      </c>
      <c r="J549" s="1" t="s">
        <v>32</v>
      </c>
      <c r="K549" s="1" t="s">
        <v>43</v>
      </c>
      <c r="L549" s="1" t="s">
        <v>3789</v>
      </c>
      <c r="M549" s="1" t="s">
        <v>8232</v>
      </c>
      <c r="N549" s="1" t="s">
        <v>3794</v>
      </c>
      <c r="O549" s="1" t="s">
        <v>8233</v>
      </c>
    </row>
    <row r="550" spans="8:15" x14ac:dyDescent="0.25">
      <c r="H550" s="1">
        <v>1410385</v>
      </c>
      <c r="I550" s="4">
        <v>46330.583333333336</v>
      </c>
      <c r="J550" s="1" t="s">
        <v>32</v>
      </c>
      <c r="K550" s="1" t="s">
        <v>51</v>
      </c>
      <c r="L550" s="1" t="s">
        <v>3147</v>
      </c>
      <c r="M550" s="1" t="s">
        <v>8234</v>
      </c>
      <c r="N550" s="1" t="s">
        <v>3819</v>
      </c>
      <c r="O550" s="1" t="s">
        <v>8235</v>
      </c>
    </row>
    <row r="551" spans="8:15" x14ac:dyDescent="0.25">
      <c r="H551" s="1">
        <v>1410691</v>
      </c>
      <c r="I551" s="4">
        <v>46330.583333333336</v>
      </c>
      <c r="J551" s="1" t="s">
        <v>32</v>
      </c>
      <c r="K551" s="1" t="s">
        <v>51</v>
      </c>
      <c r="L551" s="1" t="s">
        <v>386</v>
      </c>
      <c r="M551" s="1" t="s">
        <v>8236</v>
      </c>
      <c r="N551" s="1" t="s">
        <v>3398</v>
      </c>
      <c r="O551" s="1" t="s">
        <v>8237</v>
      </c>
    </row>
    <row r="552" spans="8:15" x14ac:dyDescent="0.25">
      <c r="H552" s="1">
        <v>1410693</v>
      </c>
      <c r="I552" s="4">
        <v>46330.583333333336</v>
      </c>
      <c r="J552" s="1" t="s">
        <v>32</v>
      </c>
      <c r="K552" s="1" t="s">
        <v>51</v>
      </c>
      <c r="L552" s="1" t="s">
        <v>386</v>
      </c>
      <c r="M552" s="1" t="s">
        <v>3399</v>
      </c>
      <c r="N552" s="1" t="s">
        <v>3831</v>
      </c>
      <c r="O552" s="1" t="s">
        <v>8238</v>
      </c>
    </row>
    <row r="553" spans="8:15" x14ac:dyDescent="0.25">
      <c r="H553" s="1">
        <v>1412942</v>
      </c>
      <c r="I553" s="4">
        <v>46330.583333333336</v>
      </c>
      <c r="J553" s="1" t="s">
        <v>32</v>
      </c>
      <c r="K553" s="1" t="s">
        <v>43</v>
      </c>
      <c r="L553" s="1" t="s">
        <v>606</v>
      </c>
      <c r="M553" s="1" t="s">
        <v>1668</v>
      </c>
      <c r="N553" s="1" t="s">
        <v>8239</v>
      </c>
      <c r="O553" s="1" t="s">
        <v>8240</v>
      </c>
    </row>
    <row r="554" spans="8:15" x14ac:dyDescent="0.25">
      <c r="H554" s="1">
        <v>1416157</v>
      </c>
      <c r="I554" s="4">
        <v>46330.583333333336</v>
      </c>
      <c r="J554" s="1" t="s">
        <v>32</v>
      </c>
      <c r="K554" s="1" t="s">
        <v>593</v>
      </c>
      <c r="L554" s="1" t="s">
        <v>81</v>
      </c>
      <c r="M554" s="1" t="s">
        <v>1441</v>
      </c>
      <c r="N554" s="1" t="s">
        <v>1439</v>
      </c>
      <c r="O554" s="1" t="s">
        <v>8241</v>
      </c>
    </row>
    <row r="555" spans="8:15" x14ac:dyDescent="0.25">
      <c r="H555" s="1">
        <v>1416158</v>
      </c>
      <c r="I555" s="4">
        <v>46330.583333333336</v>
      </c>
      <c r="J555" s="1" t="s">
        <v>32</v>
      </c>
      <c r="K555" s="1" t="s">
        <v>593</v>
      </c>
      <c r="L555" s="1" t="s">
        <v>81</v>
      </c>
      <c r="M555" s="1" t="s">
        <v>1440</v>
      </c>
      <c r="N555" s="1" t="s">
        <v>8242</v>
      </c>
      <c r="O555" s="1" t="s">
        <v>8243</v>
      </c>
    </row>
    <row r="556" spans="8:15" x14ac:dyDescent="0.25">
      <c r="H556" s="1">
        <v>1416159</v>
      </c>
      <c r="I556" s="4">
        <v>46330.583333333336</v>
      </c>
      <c r="J556" s="1" t="s">
        <v>32</v>
      </c>
      <c r="K556" s="1" t="s">
        <v>593</v>
      </c>
      <c r="L556" s="1" t="s">
        <v>81</v>
      </c>
      <c r="M556" s="1" t="s">
        <v>1443</v>
      </c>
      <c r="N556" s="1" t="s">
        <v>8244</v>
      </c>
      <c r="O556" s="1" t="s">
        <v>8245</v>
      </c>
    </row>
    <row r="557" spans="8:15" x14ac:dyDescent="0.25">
      <c r="H557" s="1">
        <v>1416160</v>
      </c>
      <c r="I557" s="4">
        <v>46330.583333333336</v>
      </c>
      <c r="J557" s="1" t="s">
        <v>32</v>
      </c>
      <c r="K557" s="1" t="s">
        <v>593</v>
      </c>
      <c r="L557" s="1" t="s">
        <v>81</v>
      </c>
      <c r="M557" s="1" t="s">
        <v>8246</v>
      </c>
      <c r="N557" s="1" t="s">
        <v>1438</v>
      </c>
      <c r="O557" s="1" t="s">
        <v>8247</v>
      </c>
    </row>
    <row r="558" spans="8:15" x14ac:dyDescent="0.25">
      <c r="H558" s="1">
        <v>1417587</v>
      </c>
      <c r="I558" s="4">
        <v>46330.583333333336</v>
      </c>
      <c r="J558" s="1" t="s">
        <v>32</v>
      </c>
      <c r="K558" s="1" t="s">
        <v>403</v>
      </c>
      <c r="L558" s="1" t="s">
        <v>404</v>
      </c>
      <c r="M558" s="1" t="s">
        <v>1685</v>
      </c>
      <c r="N558" s="1" t="s">
        <v>1688</v>
      </c>
      <c r="O558" s="1" t="s">
        <v>8248</v>
      </c>
    </row>
    <row r="559" spans="8:15" x14ac:dyDescent="0.25">
      <c r="H559" s="1">
        <v>1417588</v>
      </c>
      <c r="I559" s="4">
        <v>46330.583333333336</v>
      </c>
      <c r="J559" s="1" t="s">
        <v>32</v>
      </c>
      <c r="K559" s="1" t="s">
        <v>403</v>
      </c>
      <c r="L559" s="1" t="s">
        <v>404</v>
      </c>
      <c r="M559" s="1" t="s">
        <v>4571</v>
      </c>
      <c r="N559" s="1" t="s">
        <v>4575</v>
      </c>
      <c r="O559" s="1" t="s">
        <v>8249</v>
      </c>
    </row>
    <row r="560" spans="8:15" x14ac:dyDescent="0.25">
      <c r="H560" s="1">
        <v>1417590</v>
      </c>
      <c r="I560" s="4">
        <v>46330.583333333336</v>
      </c>
      <c r="J560" s="1" t="s">
        <v>32</v>
      </c>
      <c r="K560" s="1" t="s">
        <v>403</v>
      </c>
      <c r="L560" s="1" t="s">
        <v>404</v>
      </c>
      <c r="M560" s="1" t="s">
        <v>4574</v>
      </c>
      <c r="N560" s="1" t="s">
        <v>8250</v>
      </c>
      <c r="O560" s="1" t="s">
        <v>8251</v>
      </c>
    </row>
    <row r="561" spans="8:15" x14ac:dyDescent="0.25">
      <c r="H561" s="1">
        <v>1417592</v>
      </c>
      <c r="I561" s="4">
        <v>46330.583333333336</v>
      </c>
      <c r="J561" s="1" t="s">
        <v>32</v>
      </c>
      <c r="K561" s="1" t="s">
        <v>403</v>
      </c>
      <c r="L561" s="1" t="s">
        <v>404</v>
      </c>
      <c r="M561" s="1" t="s">
        <v>1686</v>
      </c>
      <c r="N561" s="1" t="s">
        <v>1690</v>
      </c>
      <c r="O561" s="1" t="s">
        <v>8252</v>
      </c>
    </row>
    <row r="562" spans="8:15" x14ac:dyDescent="0.25">
      <c r="H562" s="1">
        <v>1418678</v>
      </c>
      <c r="I562" s="4">
        <v>46330.583333333336</v>
      </c>
      <c r="J562" s="1" t="s">
        <v>32</v>
      </c>
      <c r="K562" s="1" t="s">
        <v>80</v>
      </c>
      <c r="L562" s="1" t="s">
        <v>626</v>
      </c>
      <c r="M562" s="1" t="s">
        <v>6080</v>
      </c>
      <c r="N562" s="1" t="s">
        <v>4965</v>
      </c>
      <c r="O562" s="1" t="s">
        <v>8253</v>
      </c>
    </row>
    <row r="563" spans="8:15" x14ac:dyDescent="0.25">
      <c r="H563" s="1">
        <v>1419922</v>
      </c>
      <c r="I563" s="4">
        <v>46330.583333333336</v>
      </c>
      <c r="J563" s="1" t="s">
        <v>32</v>
      </c>
      <c r="K563" s="1" t="s">
        <v>41</v>
      </c>
      <c r="L563" s="1" t="s">
        <v>348</v>
      </c>
      <c r="M563" s="1" t="s">
        <v>8254</v>
      </c>
      <c r="N563" s="1" t="s">
        <v>6716</v>
      </c>
      <c r="O563" s="1" t="s">
        <v>8255</v>
      </c>
    </row>
    <row r="564" spans="8:15" x14ac:dyDescent="0.25">
      <c r="H564" s="1">
        <v>1419923</v>
      </c>
      <c r="I564" s="4">
        <v>46330.583333333336</v>
      </c>
      <c r="J564" s="1" t="s">
        <v>32</v>
      </c>
      <c r="K564" s="1" t="s">
        <v>41</v>
      </c>
      <c r="L564" s="1" t="s">
        <v>348</v>
      </c>
      <c r="M564" s="1" t="s">
        <v>8256</v>
      </c>
      <c r="N564" s="1" t="s">
        <v>6190</v>
      </c>
      <c r="O564" s="1" t="s">
        <v>8257</v>
      </c>
    </row>
    <row r="565" spans="8:15" x14ac:dyDescent="0.25">
      <c r="H565" s="1">
        <v>1419924</v>
      </c>
      <c r="I565" s="4">
        <v>46330.583333333336</v>
      </c>
      <c r="J565" s="1" t="s">
        <v>32</v>
      </c>
      <c r="K565" s="1" t="s">
        <v>41</v>
      </c>
      <c r="L565" s="1" t="s">
        <v>348</v>
      </c>
      <c r="M565" s="1" t="s">
        <v>2284</v>
      </c>
      <c r="N565" s="1" t="s">
        <v>1695</v>
      </c>
      <c r="O565" s="1" t="s">
        <v>8258</v>
      </c>
    </row>
    <row r="566" spans="8:15" x14ac:dyDescent="0.25">
      <c r="H566" s="1">
        <v>1419925</v>
      </c>
      <c r="I566" s="4">
        <v>46330.583333333336</v>
      </c>
      <c r="J566" s="1" t="s">
        <v>32</v>
      </c>
      <c r="K566" s="1" t="s">
        <v>41</v>
      </c>
      <c r="L566" s="1" t="s">
        <v>348</v>
      </c>
      <c r="M566" s="1" t="s">
        <v>1699</v>
      </c>
      <c r="N566" s="1" t="s">
        <v>4585</v>
      </c>
      <c r="O566" s="1" t="s">
        <v>8259</v>
      </c>
    </row>
    <row r="567" spans="8:15" x14ac:dyDescent="0.25">
      <c r="H567" s="1">
        <v>1429658</v>
      </c>
      <c r="I567" s="4">
        <v>46330.583333333336</v>
      </c>
      <c r="J567" s="1" t="s">
        <v>32</v>
      </c>
      <c r="K567" s="1" t="s">
        <v>37</v>
      </c>
      <c r="L567" s="1" t="s">
        <v>238</v>
      </c>
      <c r="M567" s="1" t="s">
        <v>8260</v>
      </c>
      <c r="N567" s="1" t="s">
        <v>4230</v>
      </c>
      <c r="O567" s="1" t="s">
        <v>8261</v>
      </c>
    </row>
    <row r="568" spans="8:15" x14ac:dyDescent="0.25">
      <c r="H568" s="1">
        <v>1429659</v>
      </c>
      <c r="I568" s="4">
        <v>46330.583333333336</v>
      </c>
      <c r="J568" s="1" t="s">
        <v>32</v>
      </c>
      <c r="K568" s="1" t="s">
        <v>37</v>
      </c>
      <c r="L568" s="1" t="s">
        <v>238</v>
      </c>
      <c r="M568" s="1" t="s">
        <v>2153</v>
      </c>
      <c r="N568" s="1" t="s">
        <v>2154</v>
      </c>
      <c r="O568" s="1" t="s">
        <v>8262</v>
      </c>
    </row>
    <row r="569" spans="8:15" x14ac:dyDescent="0.25">
      <c r="H569" s="1">
        <v>1438101</v>
      </c>
      <c r="I569" s="4">
        <v>46330.583333333336</v>
      </c>
      <c r="J569" s="1" t="s">
        <v>32</v>
      </c>
      <c r="K569" s="1" t="s">
        <v>58</v>
      </c>
      <c r="L569" s="1" t="s">
        <v>621</v>
      </c>
      <c r="M569" s="1" t="s">
        <v>4637</v>
      </c>
      <c r="N569" s="1" t="s">
        <v>8263</v>
      </c>
      <c r="O569" s="1" t="s">
        <v>8264</v>
      </c>
    </row>
    <row r="570" spans="8:15" x14ac:dyDescent="0.25">
      <c r="H570" s="1">
        <v>1438102</v>
      </c>
      <c r="I570" s="4">
        <v>46330.583333333336</v>
      </c>
      <c r="J570" s="1" t="s">
        <v>32</v>
      </c>
      <c r="K570" s="1" t="s">
        <v>58</v>
      </c>
      <c r="L570" s="1" t="s">
        <v>621</v>
      </c>
      <c r="M570" s="1" t="s">
        <v>4640</v>
      </c>
      <c r="N570" s="1" t="s">
        <v>4232</v>
      </c>
      <c r="O570" s="1" t="s">
        <v>8265</v>
      </c>
    </row>
    <row r="571" spans="8:15" x14ac:dyDescent="0.25">
      <c r="H571" s="1">
        <v>1438406</v>
      </c>
      <c r="I571" s="4">
        <v>46330.583333333336</v>
      </c>
      <c r="J571" s="1" t="s">
        <v>32</v>
      </c>
      <c r="K571" s="1" t="s">
        <v>58</v>
      </c>
      <c r="L571" s="1" t="s">
        <v>622</v>
      </c>
      <c r="M571" s="1" t="s">
        <v>4643</v>
      </c>
      <c r="N571" s="1" t="s">
        <v>4647</v>
      </c>
      <c r="O571" s="1" t="s">
        <v>8266</v>
      </c>
    </row>
    <row r="572" spans="8:15" x14ac:dyDescent="0.25">
      <c r="H572" s="1">
        <v>1446388</v>
      </c>
      <c r="I572" s="4">
        <v>46330.583333333336</v>
      </c>
      <c r="J572" s="1" t="s">
        <v>32</v>
      </c>
      <c r="K572" s="1" t="s">
        <v>37</v>
      </c>
      <c r="L572" s="1" t="s">
        <v>617</v>
      </c>
      <c r="M572" s="1" t="s">
        <v>8267</v>
      </c>
      <c r="N572" s="1" t="s">
        <v>8268</v>
      </c>
      <c r="O572" s="1" t="s">
        <v>8269</v>
      </c>
    </row>
    <row r="573" spans="8:15" x14ac:dyDescent="0.25">
      <c r="H573" s="1">
        <v>1446389</v>
      </c>
      <c r="I573" s="4">
        <v>46330.583333333336</v>
      </c>
      <c r="J573" s="1" t="s">
        <v>32</v>
      </c>
      <c r="K573" s="1" t="s">
        <v>37</v>
      </c>
      <c r="L573" s="1" t="s">
        <v>617</v>
      </c>
      <c r="M573" s="1" t="s">
        <v>1565</v>
      </c>
      <c r="N573" s="1" t="s">
        <v>8270</v>
      </c>
      <c r="O573" s="1" t="s">
        <v>8271</v>
      </c>
    </row>
    <row r="574" spans="8:15" x14ac:dyDescent="0.25">
      <c r="H574" s="1">
        <v>1446390</v>
      </c>
      <c r="I574" s="4">
        <v>46330.583333333336</v>
      </c>
      <c r="J574" s="1" t="s">
        <v>32</v>
      </c>
      <c r="K574" s="1" t="s">
        <v>37</v>
      </c>
      <c r="L574" s="1" t="s">
        <v>617</v>
      </c>
      <c r="M574" s="1" t="s">
        <v>8272</v>
      </c>
      <c r="N574" s="1" t="s">
        <v>1563</v>
      </c>
      <c r="O574" s="1" t="s">
        <v>8273</v>
      </c>
    </row>
    <row r="575" spans="8:15" x14ac:dyDescent="0.25">
      <c r="H575" s="1">
        <v>1446391</v>
      </c>
      <c r="I575" s="4">
        <v>46330.583333333336</v>
      </c>
      <c r="J575" s="1" t="s">
        <v>32</v>
      </c>
      <c r="K575" s="1" t="s">
        <v>37</v>
      </c>
      <c r="L575" s="1" t="s">
        <v>617</v>
      </c>
      <c r="M575" s="1" t="s">
        <v>8274</v>
      </c>
      <c r="N575" s="1" t="s">
        <v>8275</v>
      </c>
      <c r="O575" s="1" t="s">
        <v>8276</v>
      </c>
    </row>
    <row r="576" spans="8:15" x14ac:dyDescent="0.25">
      <c r="H576" s="1">
        <v>1446392</v>
      </c>
      <c r="I576" s="4">
        <v>46330.583333333336</v>
      </c>
      <c r="J576" s="1" t="s">
        <v>32</v>
      </c>
      <c r="K576" s="1" t="s">
        <v>37</v>
      </c>
      <c r="L576" s="1" t="s">
        <v>617</v>
      </c>
      <c r="M576" s="1" t="s">
        <v>4307</v>
      </c>
      <c r="N576" s="1" t="s">
        <v>4302</v>
      </c>
      <c r="O576" s="1" t="s">
        <v>8277</v>
      </c>
    </row>
    <row r="577" spans="8:15" x14ac:dyDescent="0.25">
      <c r="H577" s="1">
        <v>1446457</v>
      </c>
      <c r="I577" s="4">
        <v>46330.583333333336</v>
      </c>
      <c r="J577" s="1" t="s">
        <v>32</v>
      </c>
      <c r="K577" s="1" t="s">
        <v>37</v>
      </c>
      <c r="L577" s="1" t="s">
        <v>617</v>
      </c>
      <c r="M577" s="1" t="s">
        <v>1564</v>
      </c>
      <c r="N577" s="1" t="s">
        <v>4306</v>
      </c>
      <c r="O577" s="1" t="s">
        <v>8278</v>
      </c>
    </row>
    <row r="578" spans="8:15" x14ac:dyDescent="0.25">
      <c r="H578" s="1">
        <v>1454577</v>
      </c>
      <c r="I578" s="4">
        <v>46330.583333333336</v>
      </c>
      <c r="J578" s="1" t="s">
        <v>32</v>
      </c>
      <c r="K578" s="1" t="s">
        <v>41</v>
      </c>
      <c r="L578" s="1" t="s">
        <v>4652</v>
      </c>
      <c r="M578" s="1" t="s">
        <v>8279</v>
      </c>
      <c r="N578" s="1" t="s">
        <v>8280</v>
      </c>
      <c r="O578" s="1" t="s">
        <v>8281</v>
      </c>
    </row>
    <row r="579" spans="8:15" x14ac:dyDescent="0.25">
      <c r="H579" s="1">
        <v>1454579</v>
      </c>
      <c r="I579" s="4">
        <v>46330.583333333336</v>
      </c>
      <c r="J579" s="1" t="s">
        <v>32</v>
      </c>
      <c r="K579" s="1" t="s">
        <v>41</v>
      </c>
      <c r="L579" s="1" t="s">
        <v>4652</v>
      </c>
      <c r="M579" s="1" t="s">
        <v>4654</v>
      </c>
      <c r="N579" s="1" t="s">
        <v>8282</v>
      </c>
      <c r="O579" s="1" t="s">
        <v>8283</v>
      </c>
    </row>
    <row r="580" spans="8:15" x14ac:dyDescent="0.25">
      <c r="H580" s="1">
        <v>1456087</v>
      </c>
      <c r="I580" s="4">
        <v>46330.583333333336</v>
      </c>
      <c r="J580" s="1" t="s">
        <v>32</v>
      </c>
      <c r="K580" s="1" t="s">
        <v>41</v>
      </c>
      <c r="L580" s="1" t="s">
        <v>8284</v>
      </c>
      <c r="M580" s="1" t="s">
        <v>8285</v>
      </c>
      <c r="N580" s="1" t="s">
        <v>8286</v>
      </c>
      <c r="O580" s="1" t="s">
        <v>8287</v>
      </c>
    </row>
    <row r="581" spans="8:15" x14ac:dyDescent="0.25">
      <c r="H581" s="1">
        <v>1468008</v>
      </c>
      <c r="I581" s="4">
        <v>46330.583333333336</v>
      </c>
      <c r="J581" s="1" t="s">
        <v>32</v>
      </c>
      <c r="K581" s="1" t="s">
        <v>41</v>
      </c>
      <c r="L581" s="1" t="s">
        <v>382</v>
      </c>
      <c r="M581" s="1" t="s">
        <v>4350</v>
      </c>
      <c r="N581" s="1" t="s">
        <v>3098</v>
      </c>
      <c r="O581" s="1" t="s">
        <v>8288</v>
      </c>
    </row>
    <row r="582" spans="8:15" x14ac:dyDescent="0.25">
      <c r="H582" s="1">
        <v>1468009</v>
      </c>
      <c r="I582" s="4">
        <v>46330.583333333336</v>
      </c>
      <c r="J582" s="1" t="s">
        <v>32</v>
      </c>
      <c r="K582" s="1" t="s">
        <v>41</v>
      </c>
      <c r="L582" s="1" t="s">
        <v>382</v>
      </c>
      <c r="M582" s="1" t="s">
        <v>3207</v>
      </c>
      <c r="N582" s="1" t="s">
        <v>3880</v>
      </c>
      <c r="O582" s="1" t="s">
        <v>8289</v>
      </c>
    </row>
    <row r="583" spans="8:15" x14ac:dyDescent="0.25">
      <c r="H583" s="1">
        <v>1468010</v>
      </c>
      <c r="I583" s="4">
        <v>46330.583333333336</v>
      </c>
      <c r="J583" s="1" t="s">
        <v>32</v>
      </c>
      <c r="K583" s="1" t="s">
        <v>41</v>
      </c>
      <c r="L583" s="1" t="s">
        <v>382</v>
      </c>
      <c r="M583" s="1" t="s">
        <v>3883</v>
      </c>
      <c r="N583" s="1" t="s">
        <v>4351</v>
      </c>
      <c r="O583" s="1" t="s">
        <v>8290</v>
      </c>
    </row>
    <row r="584" spans="8:15" x14ac:dyDescent="0.25">
      <c r="H584" s="1">
        <v>1468011</v>
      </c>
      <c r="I584" s="4">
        <v>46330.583333333336</v>
      </c>
      <c r="J584" s="1" t="s">
        <v>32</v>
      </c>
      <c r="K584" s="1" t="s">
        <v>41</v>
      </c>
      <c r="L584" s="1" t="s">
        <v>382</v>
      </c>
      <c r="M584" s="1" t="s">
        <v>3100</v>
      </c>
      <c r="N584" s="1" t="s">
        <v>4348</v>
      </c>
      <c r="O584" s="1" t="s">
        <v>8291</v>
      </c>
    </row>
    <row r="585" spans="8:15" x14ac:dyDescent="0.25">
      <c r="H585" s="1">
        <v>1468013</v>
      </c>
      <c r="I585" s="4">
        <v>46330.583333333336</v>
      </c>
      <c r="J585" s="1" t="s">
        <v>32</v>
      </c>
      <c r="K585" s="1" t="s">
        <v>41</v>
      </c>
      <c r="L585" s="1" t="s">
        <v>382</v>
      </c>
      <c r="M585" s="1" t="s">
        <v>3884</v>
      </c>
      <c r="N585" s="1" t="s">
        <v>4347</v>
      </c>
      <c r="O585" s="1" t="s">
        <v>8292</v>
      </c>
    </row>
    <row r="586" spans="8:15" x14ac:dyDescent="0.25">
      <c r="H586" s="1">
        <v>1468015</v>
      </c>
      <c r="I586" s="4">
        <v>46330.583333333336</v>
      </c>
      <c r="J586" s="1" t="s">
        <v>32</v>
      </c>
      <c r="K586" s="1" t="s">
        <v>41</v>
      </c>
      <c r="L586" s="1" t="s">
        <v>382</v>
      </c>
      <c r="M586" s="1" t="s">
        <v>4356</v>
      </c>
      <c r="N586" s="1" t="s">
        <v>4360</v>
      </c>
      <c r="O586" s="1" t="s">
        <v>8293</v>
      </c>
    </row>
    <row r="587" spans="8:15" x14ac:dyDescent="0.25">
      <c r="H587" s="1">
        <v>1468017</v>
      </c>
      <c r="I587" s="4">
        <v>46330.583333333336</v>
      </c>
      <c r="J587" s="1" t="s">
        <v>32</v>
      </c>
      <c r="K587" s="1" t="s">
        <v>41</v>
      </c>
      <c r="L587" s="1" t="s">
        <v>382</v>
      </c>
      <c r="M587" s="1" t="s">
        <v>3095</v>
      </c>
      <c r="N587" s="1" t="s">
        <v>4354</v>
      </c>
      <c r="O587" s="1" t="s">
        <v>8294</v>
      </c>
    </row>
    <row r="588" spans="8:15" x14ac:dyDescent="0.25">
      <c r="H588" s="1">
        <v>1468018</v>
      </c>
      <c r="I588" s="4">
        <v>46330.583333333336</v>
      </c>
      <c r="J588" s="1" t="s">
        <v>32</v>
      </c>
      <c r="K588" s="1" t="s">
        <v>41</v>
      </c>
      <c r="L588" s="1" t="s">
        <v>382</v>
      </c>
      <c r="M588" s="1" t="s">
        <v>4353</v>
      </c>
      <c r="N588" s="1" t="s">
        <v>4359</v>
      </c>
      <c r="O588" s="1" t="s">
        <v>8295</v>
      </c>
    </row>
    <row r="589" spans="8:15" x14ac:dyDescent="0.25">
      <c r="H589" s="1">
        <v>1468843</v>
      </c>
      <c r="I589" s="4">
        <v>46330.583333333336</v>
      </c>
      <c r="J589" s="1" t="s">
        <v>32</v>
      </c>
      <c r="K589" s="1" t="s">
        <v>41</v>
      </c>
      <c r="L589" s="1" t="s">
        <v>382</v>
      </c>
      <c r="M589" s="1" t="s">
        <v>3097</v>
      </c>
      <c r="N589" s="1" t="s">
        <v>5750</v>
      </c>
      <c r="O589" s="1" t="s">
        <v>8296</v>
      </c>
    </row>
    <row r="590" spans="8:15" x14ac:dyDescent="0.25">
      <c r="H590" s="1">
        <v>1468844</v>
      </c>
      <c r="I590" s="4">
        <v>46330.583333333336</v>
      </c>
      <c r="J590" s="1" t="s">
        <v>32</v>
      </c>
      <c r="K590" s="1" t="s">
        <v>41</v>
      </c>
      <c r="L590" s="1" t="s">
        <v>382</v>
      </c>
      <c r="M590" s="1" t="s">
        <v>5749</v>
      </c>
      <c r="N590" s="1" t="s">
        <v>3208</v>
      </c>
      <c r="O590" s="1" t="s">
        <v>8297</v>
      </c>
    </row>
    <row r="591" spans="8:15" x14ac:dyDescent="0.25">
      <c r="H591" s="1">
        <v>1468901</v>
      </c>
      <c r="I591" s="4">
        <v>46330.583333333336</v>
      </c>
      <c r="J591" s="1" t="s">
        <v>32</v>
      </c>
      <c r="K591" s="1" t="s">
        <v>41</v>
      </c>
      <c r="L591" s="1" t="s">
        <v>382</v>
      </c>
      <c r="M591" s="1" t="s">
        <v>3047</v>
      </c>
      <c r="N591" s="1" t="s">
        <v>1570</v>
      </c>
      <c r="O591" s="1" t="s">
        <v>8298</v>
      </c>
    </row>
    <row r="592" spans="8:15" x14ac:dyDescent="0.25">
      <c r="H592" s="1">
        <v>1468902</v>
      </c>
      <c r="I592" s="4">
        <v>46330.583333333336</v>
      </c>
      <c r="J592" s="1" t="s">
        <v>32</v>
      </c>
      <c r="K592" s="1" t="s">
        <v>41</v>
      </c>
      <c r="L592" s="1" t="s">
        <v>382</v>
      </c>
      <c r="M592" s="1" t="s">
        <v>3092</v>
      </c>
      <c r="N592" s="1" t="s">
        <v>1571</v>
      </c>
      <c r="O592" s="1" t="s">
        <v>8299</v>
      </c>
    </row>
    <row r="593" spans="8:15" x14ac:dyDescent="0.25">
      <c r="H593" s="1">
        <v>1487387</v>
      </c>
      <c r="I593" s="4">
        <v>46330.583333333336</v>
      </c>
      <c r="J593" s="1" t="s">
        <v>32</v>
      </c>
      <c r="K593" s="1" t="s">
        <v>381</v>
      </c>
      <c r="L593" s="1" t="s">
        <v>548</v>
      </c>
      <c r="M593" s="1" t="s">
        <v>1572</v>
      </c>
      <c r="N593" s="1" t="s">
        <v>881</v>
      </c>
      <c r="O593" s="1" t="s">
        <v>8300</v>
      </c>
    </row>
    <row r="594" spans="8:15" x14ac:dyDescent="0.25">
      <c r="H594" s="1">
        <v>1487765</v>
      </c>
      <c r="I594" s="4">
        <v>46330.583333333336</v>
      </c>
      <c r="J594" s="1" t="s">
        <v>32</v>
      </c>
      <c r="K594" s="1" t="s">
        <v>381</v>
      </c>
      <c r="L594" s="1" t="s">
        <v>572</v>
      </c>
      <c r="M594" s="1" t="s">
        <v>4754</v>
      </c>
      <c r="N594" s="1" t="s">
        <v>4759</v>
      </c>
      <c r="O594" s="1" t="s">
        <v>8301</v>
      </c>
    </row>
    <row r="595" spans="8:15" x14ac:dyDescent="0.25">
      <c r="H595" s="1">
        <v>1489524</v>
      </c>
      <c r="I595" s="4">
        <v>46330.583333333336</v>
      </c>
      <c r="J595" s="1" t="s">
        <v>32</v>
      </c>
      <c r="K595" s="1" t="s">
        <v>381</v>
      </c>
      <c r="L595" s="1" t="s">
        <v>573</v>
      </c>
      <c r="M595" s="1" t="s">
        <v>8302</v>
      </c>
      <c r="N595" s="1" t="s">
        <v>4761</v>
      </c>
      <c r="O595" s="1" t="s">
        <v>8303</v>
      </c>
    </row>
    <row r="596" spans="8:15" x14ac:dyDescent="0.25">
      <c r="H596" s="1">
        <v>1494123</v>
      </c>
      <c r="I596" s="4">
        <v>46330.583333333336</v>
      </c>
      <c r="J596" s="1" t="s">
        <v>32</v>
      </c>
      <c r="K596" s="1" t="s">
        <v>275</v>
      </c>
      <c r="L596" s="1" t="s">
        <v>8304</v>
      </c>
      <c r="M596" s="1" t="s">
        <v>1778</v>
      </c>
      <c r="N596" s="1" t="s">
        <v>2522</v>
      </c>
      <c r="O596" s="1" t="s">
        <v>8305</v>
      </c>
    </row>
    <row r="597" spans="8:15" x14ac:dyDescent="0.25">
      <c r="H597" s="1">
        <v>1494126</v>
      </c>
      <c r="I597" s="4">
        <v>46330.583333333336</v>
      </c>
      <c r="J597" s="1" t="s">
        <v>32</v>
      </c>
      <c r="K597" s="1" t="s">
        <v>275</v>
      </c>
      <c r="L597" s="1" t="s">
        <v>8304</v>
      </c>
      <c r="M597" s="1" t="s">
        <v>3489</v>
      </c>
      <c r="N597" s="1" t="s">
        <v>8306</v>
      </c>
      <c r="O597" s="1" t="s">
        <v>8307</v>
      </c>
    </row>
    <row r="598" spans="8:15" x14ac:dyDescent="0.25">
      <c r="H598" s="1">
        <v>1494128</v>
      </c>
      <c r="I598" s="4">
        <v>46330.583333333336</v>
      </c>
      <c r="J598" s="1" t="s">
        <v>32</v>
      </c>
      <c r="K598" s="1" t="s">
        <v>275</v>
      </c>
      <c r="L598" s="1" t="s">
        <v>8304</v>
      </c>
      <c r="M598" s="1" t="s">
        <v>2523</v>
      </c>
      <c r="N598" s="1" t="s">
        <v>1279</v>
      </c>
      <c r="O598" s="1" t="s">
        <v>8308</v>
      </c>
    </row>
    <row r="599" spans="8:15" x14ac:dyDescent="0.25">
      <c r="H599" s="1">
        <v>1495201</v>
      </c>
      <c r="I599" s="4">
        <v>46330.583333333336</v>
      </c>
      <c r="J599" s="1" t="s">
        <v>32</v>
      </c>
      <c r="K599" s="1" t="s">
        <v>541</v>
      </c>
      <c r="L599" s="1" t="s">
        <v>238</v>
      </c>
      <c r="M599" s="1" t="s">
        <v>1469</v>
      </c>
      <c r="N599" s="1" t="s">
        <v>1468</v>
      </c>
      <c r="O599" s="1" t="s">
        <v>8309</v>
      </c>
    </row>
    <row r="600" spans="8:15" x14ac:dyDescent="0.25">
      <c r="H600" s="1">
        <v>1495203</v>
      </c>
      <c r="I600" s="4">
        <v>46330.583333333336</v>
      </c>
      <c r="J600" s="1" t="s">
        <v>32</v>
      </c>
      <c r="K600" s="1" t="s">
        <v>541</v>
      </c>
      <c r="L600" s="1" t="s">
        <v>238</v>
      </c>
      <c r="M600" s="1" t="s">
        <v>1467</v>
      </c>
      <c r="N600" s="1" t="s">
        <v>1466</v>
      </c>
      <c r="O600" s="1" t="s">
        <v>8310</v>
      </c>
    </row>
    <row r="601" spans="8:15" x14ac:dyDescent="0.25">
      <c r="H601" s="1">
        <v>1495205</v>
      </c>
      <c r="I601" s="4">
        <v>46330.583333333336</v>
      </c>
      <c r="J601" s="1" t="s">
        <v>32</v>
      </c>
      <c r="K601" s="1" t="s">
        <v>541</v>
      </c>
      <c r="L601" s="1" t="s">
        <v>238</v>
      </c>
      <c r="M601" s="1" t="s">
        <v>8311</v>
      </c>
      <c r="N601" s="1" t="s">
        <v>1465</v>
      </c>
      <c r="O601" s="1" t="s">
        <v>8312</v>
      </c>
    </row>
    <row r="602" spans="8:15" x14ac:dyDescent="0.25">
      <c r="H602" s="1">
        <v>1495208</v>
      </c>
      <c r="I602" s="4">
        <v>46330.583333333336</v>
      </c>
      <c r="J602" s="1" t="s">
        <v>32</v>
      </c>
      <c r="K602" s="1" t="s">
        <v>541</v>
      </c>
      <c r="L602" s="1" t="s">
        <v>238</v>
      </c>
      <c r="M602" s="1" t="s">
        <v>4024</v>
      </c>
      <c r="N602" s="1" t="s">
        <v>8313</v>
      </c>
      <c r="O602" s="1" t="s">
        <v>8314</v>
      </c>
    </row>
    <row r="603" spans="8:15" x14ac:dyDescent="0.25">
      <c r="H603" s="1">
        <v>1495209</v>
      </c>
      <c r="I603" s="4">
        <v>46330.583333333336</v>
      </c>
      <c r="J603" s="1" t="s">
        <v>32</v>
      </c>
      <c r="K603" s="1" t="s">
        <v>541</v>
      </c>
      <c r="L603" s="1" t="s">
        <v>238</v>
      </c>
      <c r="M603" s="1" t="s">
        <v>4027</v>
      </c>
      <c r="N603" s="1" t="s">
        <v>4023</v>
      </c>
      <c r="O603" s="1" t="s">
        <v>8315</v>
      </c>
    </row>
    <row r="604" spans="8:15" x14ac:dyDescent="0.25">
      <c r="H604" s="1">
        <v>1496026</v>
      </c>
      <c r="I604" s="4">
        <v>46330.583333333336</v>
      </c>
      <c r="J604" s="1" t="s">
        <v>32</v>
      </c>
      <c r="K604" s="1" t="s">
        <v>85</v>
      </c>
      <c r="L604" s="1" t="s">
        <v>7989</v>
      </c>
      <c r="M604" s="1" t="s">
        <v>8316</v>
      </c>
      <c r="N604" s="1" t="s">
        <v>8317</v>
      </c>
      <c r="O604" s="1" t="s">
        <v>8318</v>
      </c>
    </row>
    <row r="605" spans="8:15" x14ac:dyDescent="0.25">
      <c r="H605" s="1">
        <v>1496568</v>
      </c>
      <c r="I605" s="4">
        <v>46330.583333333336</v>
      </c>
      <c r="J605" s="1" t="s">
        <v>32</v>
      </c>
      <c r="K605" s="1" t="s">
        <v>85</v>
      </c>
      <c r="L605" s="1" t="s">
        <v>7681</v>
      </c>
      <c r="M605" s="1" t="s">
        <v>8319</v>
      </c>
      <c r="N605" s="1" t="s">
        <v>8320</v>
      </c>
      <c r="O605" s="1" t="s">
        <v>8321</v>
      </c>
    </row>
    <row r="606" spans="8:15" x14ac:dyDescent="0.25">
      <c r="H606" s="1">
        <v>1496756</v>
      </c>
      <c r="I606" s="4">
        <v>46330.583333333336</v>
      </c>
      <c r="J606" s="1" t="s">
        <v>32</v>
      </c>
      <c r="K606" s="1" t="s">
        <v>85</v>
      </c>
      <c r="L606" s="1" t="s">
        <v>8003</v>
      </c>
      <c r="M606" s="1" t="s">
        <v>8322</v>
      </c>
      <c r="N606" s="1" t="s">
        <v>8323</v>
      </c>
      <c r="O606" s="1" t="s">
        <v>8324</v>
      </c>
    </row>
    <row r="607" spans="8:15" x14ac:dyDescent="0.25">
      <c r="H607" s="1">
        <v>1496938</v>
      </c>
      <c r="I607" s="4">
        <v>46330.583333333336</v>
      </c>
      <c r="J607" s="1" t="s">
        <v>32</v>
      </c>
      <c r="K607" s="1" t="s">
        <v>85</v>
      </c>
      <c r="L607" s="1" t="s">
        <v>7685</v>
      </c>
      <c r="M607" s="1" t="s">
        <v>8325</v>
      </c>
      <c r="N607" s="1" t="s">
        <v>8326</v>
      </c>
      <c r="O607" s="1" t="s">
        <v>8327</v>
      </c>
    </row>
    <row r="608" spans="8:15" x14ac:dyDescent="0.25">
      <c r="H608" s="1">
        <v>1497115</v>
      </c>
      <c r="I608" s="4">
        <v>46330.583333333336</v>
      </c>
      <c r="J608" s="1" t="s">
        <v>32</v>
      </c>
      <c r="K608" s="1" t="s">
        <v>85</v>
      </c>
      <c r="L608" s="1" t="s">
        <v>8328</v>
      </c>
      <c r="M608" s="1" t="s">
        <v>8329</v>
      </c>
      <c r="N608" s="1" t="s">
        <v>782</v>
      </c>
      <c r="O608" s="1" t="s">
        <v>8330</v>
      </c>
    </row>
    <row r="609" spans="8:15" x14ac:dyDescent="0.25">
      <c r="H609" s="1">
        <v>1497297</v>
      </c>
      <c r="I609" s="4">
        <v>46330.583333333336</v>
      </c>
      <c r="J609" s="1" t="s">
        <v>32</v>
      </c>
      <c r="K609" s="1" t="s">
        <v>85</v>
      </c>
      <c r="L609" s="1" t="s">
        <v>8016</v>
      </c>
      <c r="M609" s="1" t="s">
        <v>8331</v>
      </c>
      <c r="N609" s="1" t="s">
        <v>8332</v>
      </c>
      <c r="O609" s="1" t="s">
        <v>8333</v>
      </c>
    </row>
    <row r="610" spans="8:15" x14ac:dyDescent="0.25">
      <c r="H610" s="1">
        <v>1497299</v>
      </c>
      <c r="I610" s="4">
        <v>46330.583333333336</v>
      </c>
      <c r="J610" s="1" t="s">
        <v>32</v>
      </c>
      <c r="K610" s="1" t="s">
        <v>85</v>
      </c>
      <c r="L610" s="1" t="s">
        <v>8016</v>
      </c>
      <c r="M610" s="1" t="s">
        <v>8334</v>
      </c>
      <c r="N610" s="1" t="s">
        <v>8335</v>
      </c>
      <c r="O610" s="1" t="s">
        <v>8336</v>
      </c>
    </row>
    <row r="611" spans="8:15" x14ac:dyDescent="0.25">
      <c r="H611" s="1">
        <v>1497300</v>
      </c>
      <c r="I611" s="4">
        <v>46330.583333333336</v>
      </c>
      <c r="J611" s="1" t="s">
        <v>32</v>
      </c>
      <c r="K611" s="1" t="s">
        <v>85</v>
      </c>
      <c r="L611" s="1" t="s">
        <v>8016</v>
      </c>
      <c r="M611" s="1" t="s">
        <v>8337</v>
      </c>
      <c r="N611" s="1" t="s">
        <v>8338</v>
      </c>
      <c r="O611" s="1" t="s">
        <v>8339</v>
      </c>
    </row>
    <row r="612" spans="8:15" x14ac:dyDescent="0.25">
      <c r="H612" s="1">
        <v>1497524</v>
      </c>
      <c r="I612" s="4">
        <v>46330.583333333336</v>
      </c>
      <c r="J612" s="1" t="s">
        <v>32</v>
      </c>
      <c r="K612" s="1" t="s">
        <v>275</v>
      </c>
      <c r="L612" s="1" t="s">
        <v>7689</v>
      </c>
      <c r="M612" s="1" t="s">
        <v>8340</v>
      </c>
      <c r="N612" s="1" t="s">
        <v>1280</v>
      </c>
      <c r="O612" s="1" t="s">
        <v>8341</v>
      </c>
    </row>
    <row r="613" spans="8:15" x14ac:dyDescent="0.25">
      <c r="H613" s="1">
        <v>1506580</v>
      </c>
      <c r="I613" s="4">
        <v>46330.583333333336</v>
      </c>
      <c r="J613" s="1" t="s">
        <v>32</v>
      </c>
      <c r="K613" s="1" t="s">
        <v>610</v>
      </c>
      <c r="L613" s="1" t="s">
        <v>611</v>
      </c>
      <c r="M613" s="1" t="s">
        <v>5870</v>
      </c>
      <c r="N613" s="1" t="s">
        <v>4376</v>
      </c>
      <c r="O613" s="1" t="s">
        <v>8342</v>
      </c>
    </row>
    <row r="614" spans="8:15" x14ac:dyDescent="0.25">
      <c r="H614" s="1">
        <v>1506581</v>
      </c>
      <c r="I614" s="4">
        <v>46330.583333333336</v>
      </c>
      <c r="J614" s="1" t="s">
        <v>32</v>
      </c>
      <c r="K614" s="1" t="s">
        <v>610</v>
      </c>
      <c r="L614" s="1" t="s">
        <v>611</v>
      </c>
      <c r="M614" s="1" t="s">
        <v>2259</v>
      </c>
      <c r="N614" s="1" t="s">
        <v>4082</v>
      </c>
      <c r="O614" s="1" t="s">
        <v>8343</v>
      </c>
    </row>
    <row r="615" spans="8:15" x14ac:dyDescent="0.25">
      <c r="H615" s="1">
        <v>1508070</v>
      </c>
      <c r="I615" s="4">
        <v>46330.583333333336</v>
      </c>
      <c r="J615" s="1" t="s">
        <v>32</v>
      </c>
      <c r="K615" s="1" t="s">
        <v>8170</v>
      </c>
      <c r="L615" s="1" t="s">
        <v>49</v>
      </c>
      <c r="M615" s="1" t="s">
        <v>8344</v>
      </c>
      <c r="N615" s="1" t="s">
        <v>8345</v>
      </c>
      <c r="O615" s="1" t="s">
        <v>8346</v>
      </c>
    </row>
    <row r="616" spans="8:15" x14ac:dyDescent="0.25">
      <c r="H616" s="1">
        <v>1509734</v>
      </c>
      <c r="I616" s="4">
        <v>46330.583333333336</v>
      </c>
      <c r="J616" s="1" t="s">
        <v>32</v>
      </c>
      <c r="K616" s="1" t="s">
        <v>58</v>
      </c>
      <c r="L616" s="1" t="s">
        <v>3303</v>
      </c>
      <c r="M616" s="1" t="s">
        <v>6486</v>
      </c>
      <c r="N616" s="1" t="s">
        <v>3304</v>
      </c>
      <c r="O616" s="1" t="s">
        <v>8347</v>
      </c>
    </row>
    <row r="617" spans="8:15" x14ac:dyDescent="0.25">
      <c r="H617" s="1">
        <v>1509735</v>
      </c>
      <c r="I617" s="4">
        <v>46330.583333333336</v>
      </c>
      <c r="J617" s="1" t="s">
        <v>32</v>
      </c>
      <c r="K617" s="1" t="s">
        <v>58</v>
      </c>
      <c r="L617" s="1" t="s">
        <v>3303</v>
      </c>
      <c r="M617" s="1" t="s">
        <v>4838</v>
      </c>
      <c r="N617" s="1" t="s">
        <v>4403</v>
      </c>
      <c r="O617" s="1" t="s">
        <v>8348</v>
      </c>
    </row>
    <row r="618" spans="8:15" x14ac:dyDescent="0.25">
      <c r="H618" s="1">
        <v>1511089</v>
      </c>
      <c r="I618" s="4">
        <v>46330.583333333336</v>
      </c>
      <c r="J618" s="1" t="s">
        <v>32</v>
      </c>
      <c r="K618" s="1" t="s">
        <v>275</v>
      </c>
      <c r="L618" s="1" t="s">
        <v>7592</v>
      </c>
      <c r="M618" s="1" t="s">
        <v>8349</v>
      </c>
      <c r="N618" s="1" t="s">
        <v>8350</v>
      </c>
      <c r="O618" s="1" t="s">
        <v>8351</v>
      </c>
    </row>
    <row r="619" spans="8:15" x14ac:dyDescent="0.25">
      <c r="H619" s="1">
        <v>1512058</v>
      </c>
      <c r="I619" s="4">
        <v>46330.583333333336</v>
      </c>
      <c r="J619" s="1" t="s">
        <v>32</v>
      </c>
      <c r="K619" s="1" t="s">
        <v>595</v>
      </c>
      <c r="L619" s="1" t="s">
        <v>49</v>
      </c>
      <c r="M619" s="1" t="s">
        <v>8352</v>
      </c>
      <c r="N619" s="1" t="s">
        <v>8353</v>
      </c>
      <c r="O619" s="1" t="s">
        <v>8354</v>
      </c>
    </row>
    <row r="620" spans="8:15" x14ac:dyDescent="0.25">
      <c r="H620" s="1">
        <v>1514919</v>
      </c>
      <c r="I620" s="4">
        <v>46330.583333333336</v>
      </c>
      <c r="J620" s="1" t="s">
        <v>32</v>
      </c>
      <c r="K620" s="1" t="s">
        <v>493</v>
      </c>
      <c r="L620" s="1" t="s">
        <v>39</v>
      </c>
      <c r="M620" s="1" t="s">
        <v>4108</v>
      </c>
      <c r="N620" s="1" t="s">
        <v>8355</v>
      </c>
      <c r="O620" s="1" t="s">
        <v>8356</v>
      </c>
    </row>
    <row r="621" spans="8:15" x14ac:dyDescent="0.25">
      <c r="H621" s="1">
        <v>1514934</v>
      </c>
      <c r="I621" s="4">
        <v>46330.583333333336</v>
      </c>
      <c r="J621" s="1" t="s">
        <v>32</v>
      </c>
      <c r="K621" s="1" t="s">
        <v>493</v>
      </c>
      <c r="L621" s="1" t="s">
        <v>265</v>
      </c>
      <c r="M621" s="1" t="s">
        <v>8357</v>
      </c>
      <c r="N621" s="1" t="s">
        <v>8358</v>
      </c>
      <c r="O621" s="1" t="s">
        <v>8359</v>
      </c>
    </row>
    <row r="622" spans="8:15" x14ac:dyDescent="0.25">
      <c r="H622" s="1">
        <v>1515615</v>
      </c>
      <c r="I622" s="4">
        <v>46330.583333333336</v>
      </c>
      <c r="J622" s="1" t="s">
        <v>32</v>
      </c>
      <c r="K622" s="1" t="s">
        <v>86</v>
      </c>
      <c r="L622" s="1" t="s">
        <v>655</v>
      </c>
      <c r="M622" s="1" t="s">
        <v>1499</v>
      </c>
      <c r="N622" s="1" t="s">
        <v>1269</v>
      </c>
      <c r="O622" s="1" t="s">
        <v>8360</v>
      </c>
    </row>
    <row r="623" spans="8:15" x14ac:dyDescent="0.25">
      <c r="H623" s="1">
        <v>1515618</v>
      </c>
      <c r="I623" s="4">
        <v>46330.583333333336</v>
      </c>
      <c r="J623" s="1" t="s">
        <v>34</v>
      </c>
      <c r="K623" s="1" t="s">
        <v>86</v>
      </c>
      <c r="L623" s="1" t="s">
        <v>655</v>
      </c>
      <c r="M623" s="1" t="s">
        <v>2020</v>
      </c>
      <c r="N623" s="1" t="s">
        <v>1499</v>
      </c>
      <c r="O623" s="1" t="s">
        <v>8361</v>
      </c>
    </row>
    <row r="624" spans="8:15" x14ac:dyDescent="0.25">
      <c r="H624" s="1">
        <v>1515619</v>
      </c>
      <c r="I624" s="4">
        <v>46330.583333333336</v>
      </c>
      <c r="J624" s="1" t="s">
        <v>34</v>
      </c>
      <c r="K624" s="1" t="s">
        <v>86</v>
      </c>
      <c r="L624" s="1" t="s">
        <v>655</v>
      </c>
      <c r="M624" s="1" t="s">
        <v>1773</v>
      </c>
      <c r="N624" s="1" t="s">
        <v>322</v>
      </c>
      <c r="O624" s="1" t="s">
        <v>8362</v>
      </c>
    </row>
    <row r="625" spans="8:15" x14ac:dyDescent="0.25">
      <c r="H625" s="1">
        <v>1515620</v>
      </c>
      <c r="I625" s="4">
        <v>46330.583333333336</v>
      </c>
      <c r="J625" s="1" t="s">
        <v>34</v>
      </c>
      <c r="K625" s="1" t="s">
        <v>86</v>
      </c>
      <c r="L625" s="1" t="s">
        <v>655</v>
      </c>
      <c r="M625" s="1" t="s">
        <v>1775</v>
      </c>
      <c r="N625" s="1" t="s">
        <v>8363</v>
      </c>
      <c r="O625" s="1" t="s">
        <v>8364</v>
      </c>
    </row>
    <row r="626" spans="8:15" x14ac:dyDescent="0.25">
      <c r="H626" s="1">
        <v>1515621</v>
      </c>
      <c r="I626" s="4">
        <v>46330.583333333336</v>
      </c>
      <c r="J626" s="1" t="s">
        <v>34</v>
      </c>
      <c r="K626" s="1" t="s">
        <v>86</v>
      </c>
      <c r="L626" s="1" t="s">
        <v>655</v>
      </c>
      <c r="M626" s="1" t="s">
        <v>1500</v>
      </c>
      <c r="N626" s="1" t="s">
        <v>2021</v>
      </c>
      <c r="O626" s="1" t="s">
        <v>8365</v>
      </c>
    </row>
    <row r="627" spans="8:15" x14ac:dyDescent="0.25">
      <c r="H627" s="1">
        <v>1515622</v>
      </c>
      <c r="I627" s="4">
        <v>46330.583333333336</v>
      </c>
      <c r="J627" s="1" t="s">
        <v>34</v>
      </c>
      <c r="K627" s="1" t="s">
        <v>86</v>
      </c>
      <c r="L627" s="1" t="s">
        <v>655</v>
      </c>
      <c r="M627" s="1" t="s">
        <v>1269</v>
      </c>
      <c r="N627" s="1" t="s">
        <v>1771</v>
      </c>
      <c r="O627" s="1" t="s">
        <v>8366</v>
      </c>
    </row>
    <row r="628" spans="8:15" x14ac:dyDescent="0.25">
      <c r="H628" s="1">
        <v>1515623</v>
      </c>
      <c r="I628" s="4">
        <v>46330.583333333336</v>
      </c>
      <c r="J628" s="1" t="s">
        <v>34</v>
      </c>
      <c r="K628" s="1" t="s">
        <v>86</v>
      </c>
      <c r="L628" s="1" t="s">
        <v>655</v>
      </c>
      <c r="M628" s="1" t="s">
        <v>1819</v>
      </c>
      <c r="N628" s="1" t="s">
        <v>1774</v>
      </c>
      <c r="O628" s="1" t="s">
        <v>8367</v>
      </c>
    </row>
    <row r="629" spans="8:15" x14ac:dyDescent="0.25">
      <c r="H629" s="1">
        <v>1515624</v>
      </c>
      <c r="I629" s="4">
        <v>46330.583333333336</v>
      </c>
      <c r="J629" s="1" t="s">
        <v>34</v>
      </c>
      <c r="K629" s="1" t="s">
        <v>86</v>
      </c>
      <c r="L629" s="1" t="s">
        <v>655</v>
      </c>
      <c r="M629" s="1" t="s">
        <v>1772</v>
      </c>
      <c r="N629" s="1" t="s">
        <v>1270</v>
      </c>
      <c r="O629" s="1" t="s">
        <v>8368</v>
      </c>
    </row>
    <row r="630" spans="8:15" x14ac:dyDescent="0.25">
      <c r="H630" s="1">
        <v>1515625</v>
      </c>
      <c r="I630" s="4">
        <v>46330.583333333336</v>
      </c>
      <c r="J630" s="1" t="s">
        <v>34</v>
      </c>
      <c r="K630" s="1" t="s">
        <v>86</v>
      </c>
      <c r="L630" s="1" t="s">
        <v>655</v>
      </c>
      <c r="M630" s="1" t="s">
        <v>8369</v>
      </c>
      <c r="N630" s="1" t="s">
        <v>1776</v>
      </c>
      <c r="O630" s="1" t="s">
        <v>8370</v>
      </c>
    </row>
    <row r="631" spans="8:15" x14ac:dyDescent="0.25">
      <c r="H631" s="1">
        <v>1516292</v>
      </c>
      <c r="I631" s="4">
        <v>46330.583333333336</v>
      </c>
      <c r="J631" s="1" t="s">
        <v>32</v>
      </c>
      <c r="K631" s="1" t="s">
        <v>8371</v>
      </c>
      <c r="L631" s="1" t="s">
        <v>49</v>
      </c>
      <c r="M631" s="1" t="s">
        <v>8372</v>
      </c>
      <c r="N631" s="1" t="s">
        <v>8373</v>
      </c>
      <c r="O631" s="1" t="s">
        <v>8374</v>
      </c>
    </row>
    <row r="632" spans="8:15" x14ac:dyDescent="0.25">
      <c r="H632" s="1">
        <v>1517050</v>
      </c>
      <c r="I632" s="4">
        <v>46330.583333333336</v>
      </c>
      <c r="J632" s="1" t="s">
        <v>32</v>
      </c>
      <c r="K632" s="1" t="s">
        <v>44</v>
      </c>
      <c r="L632" s="1" t="s">
        <v>388</v>
      </c>
      <c r="M632" s="1" t="s">
        <v>4092</v>
      </c>
      <c r="N632" s="1" t="s">
        <v>1265</v>
      </c>
      <c r="O632" s="1" t="s">
        <v>8375</v>
      </c>
    </row>
    <row r="633" spans="8:15" x14ac:dyDescent="0.25">
      <c r="H633" s="1">
        <v>1517051</v>
      </c>
      <c r="I633" s="4">
        <v>46330.583333333336</v>
      </c>
      <c r="J633" s="1" t="s">
        <v>32</v>
      </c>
      <c r="K633" s="1" t="s">
        <v>44</v>
      </c>
      <c r="L633" s="1" t="s">
        <v>388</v>
      </c>
      <c r="M633" s="1" t="s">
        <v>4093</v>
      </c>
      <c r="N633" s="1" t="s">
        <v>1490</v>
      </c>
      <c r="O633" s="1" t="s">
        <v>8376</v>
      </c>
    </row>
    <row r="634" spans="8:15" x14ac:dyDescent="0.25">
      <c r="H634" s="1">
        <v>1517053</v>
      </c>
      <c r="I634" s="4">
        <v>46330.583333333336</v>
      </c>
      <c r="J634" s="1" t="s">
        <v>32</v>
      </c>
      <c r="K634" s="1" t="s">
        <v>44</v>
      </c>
      <c r="L634" s="1" t="s">
        <v>388</v>
      </c>
      <c r="M634" s="1" t="s">
        <v>1491</v>
      </c>
      <c r="N634" s="1" t="s">
        <v>8377</v>
      </c>
      <c r="O634" s="1" t="s">
        <v>8378</v>
      </c>
    </row>
    <row r="635" spans="8:15" x14ac:dyDescent="0.25">
      <c r="H635" s="1">
        <v>1517056</v>
      </c>
      <c r="I635" s="4">
        <v>46330.583333333336</v>
      </c>
      <c r="J635" s="1" t="s">
        <v>17</v>
      </c>
      <c r="K635" s="1" t="s">
        <v>44</v>
      </c>
      <c r="L635" s="1" t="s">
        <v>388</v>
      </c>
      <c r="M635" s="1" t="s">
        <v>8379</v>
      </c>
      <c r="N635" s="1" t="s">
        <v>4100</v>
      </c>
      <c r="O635" s="1" t="s">
        <v>8380</v>
      </c>
    </row>
    <row r="636" spans="8:15" x14ac:dyDescent="0.25">
      <c r="H636" s="1">
        <v>1517057</v>
      </c>
      <c r="I636" s="4">
        <v>46330.583333333336</v>
      </c>
      <c r="J636" s="1" t="s">
        <v>32</v>
      </c>
      <c r="K636" s="1" t="s">
        <v>44</v>
      </c>
      <c r="L636" s="1" t="s">
        <v>388</v>
      </c>
      <c r="M636" s="1" t="s">
        <v>4106</v>
      </c>
      <c r="N636" s="1" t="s">
        <v>4098</v>
      </c>
      <c r="O636" s="1" t="s">
        <v>8381</v>
      </c>
    </row>
    <row r="637" spans="8:15" x14ac:dyDescent="0.25">
      <c r="H637" s="1">
        <v>1517139</v>
      </c>
      <c r="I637" s="4">
        <v>46330.583333333336</v>
      </c>
      <c r="J637" s="1" t="s">
        <v>32</v>
      </c>
      <c r="K637" s="1" t="s">
        <v>5924</v>
      </c>
      <c r="L637" s="1" t="s">
        <v>7744</v>
      </c>
      <c r="M637" s="1" t="s">
        <v>8382</v>
      </c>
      <c r="N637" s="1" t="s">
        <v>8383</v>
      </c>
      <c r="O637" s="1" t="s">
        <v>8384</v>
      </c>
    </row>
    <row r="638" spans="8:15" x14ac:dyDescent="0.25">
      <c r="H638" s="1">
        <v>1518387</v>
      </c>
      <c r="I638" s="4">
        <v>46330.583333333336</v>
      </c>
      <c r="J638" s="1" t="s">
        <v>32</v>
      </c>
      <c r="K638" s="1" t="s">
        <v>43</v>
      </c>
      <c r="L638" s="1" t="s">
        <v>576</v>
      </c>
      <c r="M638" s="1" t="s">
        <v>3256</v>
      </c>
      <c r="N638" s="1" t="s">
        <v>8385</v>
      </c>
      <c r="O638" s="1" t="s">
        <v>8386</v>
      </c>
    </row>
    <row r="639" spans="8:15" x14ac:dyDescent="0.25">
      <c r="H639" s="1">
        <v>1518397</v>
      </c>
      <c r="I639" s="4">
        <v>46330.583333333336</v>
      </c>
      <c r="J639" s="1" t="s">
        <v>32</v>
      </c>
      <c r="K639" s="1" t="s">
        <v>43</v>
      </c>
      <c r="L639" s="1" t="s">
        <v>576</v>
      </c>
      <c r="M639" s="1" t="s">
        <v>4854</v>
      </c>
      <c r="N639" s="1" t="s">
        <v>8387</v>
      </c>
      <c r="O639" s="1" t="s">
        <v>8388</v>
      </c>
    </row>
    <row r="640" spans="8:15" x14ac:dyDescent="0.25">
      <c r="H640" s="1">
        <v>1521842</v>
      </c>
      <c r="I640" s="4">
        <v>46330.583333333336</v>
      </c>
      <c r="J640" s="1" t="s">
        <v>32</v>
      </c>
      <c r="K640" s="1" t="s">
        <v>493</v>
      </c>
      <c r="L640" s="1" t="s">
        <v>265</v>
      </c>
      <c r="M640" s="1" t="s">
        <v>1460</v>
      </c>
      <c r="N640" s="1" t="s">
        <v>2146</v>
      </c>
      <c r="O640" s="1" t="s">
        <v>8389</v>
      </c>
    </row>
    <row r="641" spans="8:15" x14ac:dyDescent="0.25">
      <c r="H641" s="1">
        <v>1523353</v>
      </c>
      <c r="I641" s="4">
        <v>46330.583333333336</v>
      </c>
      <c r="J641" s="1" t="s">
        <v>32</v>
      </c>
      <c r="K641" s="1" t="s">
        <v>616</v>
      </c>
      <c r="L641" s="1" t="s">
        <v>617</v>
      </c>
      <c r="M641" s="1" t="s">
        <v>8390</v>
      </c>
      <c r="N641" s="1" t="s">
        <v>4859</v>
      </c>
      <c r="O641" s="1" t="s">
        <v>8391</v>
      </c>
    </row>
    <row r="642" spans="8:15" x14ac:dyDescent="0.25">
      <c r="H642" s="1">
        <v>1523354</v>
      </c>
      <c r="I642" s="4">
        <v>46330.583333333336</v>
      </c>
      <c r="J642" s="1" t="s">
        <v>32</v>
      </c>
      <c r="K642" s="1" t="s">
        <v>616</v>
      </c>
      <c r="L642" s="1" t="s">
        <v>617</v>
      </c>
      <c r="M642" s="1" t="s">
        <v>8392</v>
      </c>
      <c r="N642" s="1" t="s">
        <v>8393</v>
      </c>
      <c r="O642" s="1" t="s">
        <v>8394</v>
      </c>
    </row>
    <row r="643" spans="8:15" x14ac:dyDescent="0.25">
      <c r="H643" s="1">
        <v>1523355</v>
      </c>
      <c r="I643" s="4">
        <v>46330.583333333336</v>
      </c>
      <c r="J643" s="1" t="s">
        <v>32</v>
      </c>
      <c r="K643" s="1" t="s">
        <v>616</v>
      </c>
      <c r="L643" s="1" t="s">
        <v>617</v>
      </c>
      <c r="M643" s="1" t="s">
        <v>8395</v>
      </c>
      <c r="N643" s="1" t="s">
        <v>8396</v>
      </c>
      <c r="O643" s="1" t="s">
        <v>8397</v>
      </c>
    </row>
    <row r="644" spans="8:15" x14ac:dyDescent="0.25">
      <c r="H644" s="1">
        <v>1523356</v>
      </c>
      <c r="I644" s="4">
        <v>46330.583333333336</v>
      </c>
      <c r="J644" s="1" t="s">
        <v>32</v>
      </c>
      <c r="K644" s="1" t="s">
        <v>616</v>
      </c>
      <c r="L644" s="1" t="s">
        <v>617</v>
      </c>
      <c r="M644" s="1" t="s">
        <v>8398</v>
      </c>
      <c r="N644" s="1" t="s">
        <v>8399</v>
      </c>
      <c r="O644" s="1" t="s">
        <v>8400</v>
      </c>
    </row>
    <row r="645" spans="8:15" x14ac:dyDescent="0.25">
      <c r="H645" s="1">
        <v>1523357</v>
      </c>
      <c r="I645" s="4">
        <v>46330.583333333336</v>
      </c>
      <c r="J645" s="1" t="s">
        <v>32</v>
      </c>
      <c r="K645" s="1" t="s">
        <v>616</v>
      </c>
      <c r="L645" s="1" t="s">
        <v>617</v>
      </c>
      <c r="M645" s="1" t="s">
        <v>8401</v>
      </c>
      <c r="N645" s="1" t="s">
        <v>4858</v>
      </c>
      <c r="O645" s="1" t="s">
        <v>8402</v>
      </c>
    </row>
    <row r="646" spans="8:15" x14ac:dyDescent="0.25">
      <c r="H646" s="1">
        <v>1523358</v>
      </c>
      <c r="I646" s="4">
        <v>46330.583333333336</v>
      </c>
      <c r="J646" s="1" t="s">
        <v>32</v>
      </c>
      <c r="K646" s="1" t="s">
        <v>616</v>
      </c>
      <c r="L646" s="1" t="s">
        <v>617</v>
      </c>
      <c r="M646" s="1" t="s">
        <v>8403</v>
      </c>
      <c r="N646" s="1" t="s">
        <v>8404</v>
      </c>
      <c r="O646" s="1" t="s">
        <v>8405</v>
      </c>
    </row>
    <row r="647" spans="8:15" x14ac:dyDescent="0.25">
      <c r="H647" s="1">
        <v>1525829</v>
      </c>
      <c r="I647" s="4">
        <v>46330.583333333336</v>
      </c>
      <c r="J647" s="1" t="s">
        <v>32</v>
      </c>
      <c r="K647" s="1" t="s">
        <v>389</v>
      </c>
      <c r="L647" s="1" t="s">
        <v>49</v>
      </c>
      <c r="M647" s="1" t="s">
        <v>8406</v>
      </c>
      <c r="N647" s="1" t="s">
        <v>3262</v>
      </c>
      <c r="O647" s="1" t="s">
        <v>8407</v>
      </c>
    </row>
    <row r="648" spans="8:15" x14ac:dyDescent="0.25">
      <c r="H648" s="1">
        <v>1526699</v>
      </c>
      <c r="I648" s="4">
        <v>46330.583333333336</v>
      </c>
      <c r="J648" s="1" t="s">
        <v>32</v>
      </c>
      <c r="K648" s="1" t="s">
        <v>377</v>
      </c>
      <c r="L648" s="1" t="s">
        <v>2949</v>
      </c>
      <c r="M648" s="1" t="s">
        <v>3063</v>
      </c>
      <c r="N648" s="1" t="s">
        <v>2951</v>
      </c>
      <c r="O648" s="1" t="s">
        <v>8408</v>
      </c>
    </row>
    <row r="649" spans="8:15" x14ac:dyDescent="0.25">
      <c r="H649" s="1">
        <v>1527482</v>
      </c>
      <c r="I649" s="4">
        <v>46330.583333333336</v>
      </c>
      <c r="J649" s="1" t="s">
        <v>32</v>
      </c>
      <c r="K649" s="1" t="s">
        <v>260</v>
      </c>
      <c r="L649" s="1" t="s">
        <v>399</v>
      </c>
      <c r="M649" s="1" t="s">
        <v>1012</v>
      </c>
      <c r="N649" s="1" t="s">
        <v>8409</v>
      </c>
      <c r="O649" s="1" t="s">
        <v>8410</v>
      </c>
    </row>
    <row r="650" spans="8:15" x14ac:dyDescent="0.25">
      <c r="H650" s="1">
        <v>1527930</v>
      </c>
      <c r="I650" s="4">
        <v>46330.583333333336</v>
      </c>
      <c r="J650" s="1" t="s">
        <v>32</v>
      </c>
      <c r="K650" s="1" t="s">
        <v>569</v>
      </c>
      <c r="L650" s="1" t="s">
        <v>49</v>
      </c>
      <c r="M650" s="1" t="s">
        <v>8411</v>
      </c>
      <c r="N650" s="1" t="s">
        <v>3071</v>
      </c>
      <c r="O650" s="1" t="s">
        <v>8412</v>
      </c>
    </row>
    <row r="651" spans="8:15" x14ac:dyDescent="0.25">
      <c r="H651" s="1">
        <v>1529500</v>
      </c>
      <c r="I651" s="4">
        <v>46330.583333333336</v>
      </c>
      <c r="J651" s="1" t="s">
        <v>32</v>
      </c>
      <c r="K651" s="1" t="s">
        <v>544</v>
      </c>
      <c r="L651" s="1" t="s">
        <v>4863</v>
      </c>
      <c r="M651" s="1" t="s">
        <v>4867</v>
      </c>
      <c r="N651" s="1" t="s">
        <v>4865</v>
      </c>
      <c r="O651" s="1" t="s">
        <v>8413</v>
      </c>
    </row>
    <row r="652" spans="8:15" x14ac:dyDescent="0.25">
      <c r="H652" s="1">
        <v>1531428</v>
      </c>
      <c r="I652" s="4">
        <v>46330.583333333336</v>
      </c>
      <c r="J652" s="1" t="s">
        <v>32</v>
      </c>
      <c r="K652" s="1" t="s">
        <v>596</v>
      </c>
      <c r="L652" s="1" t="s">
        <v>1288</v>
      </c>
      <c r="M652" s="1" t="s">
        <v>1292</v>
      </c>
      <c r="N652" s="1" t="s">
        <v>1302</v>
      </c>
      <c r="O652" s="1" t="s">
        <v>8414</v>
      </c>
    </row>
    <row r="653" spans="8:15" x14ac:dyDescent="0.25">
      <c r="H653" s="1">
        <v>1531430</v>
      </c>
      <c r="I653" s="4">
        <v>46330.583333333336</v>
      </c>
      <c r="J653" s="1" t="s">
        <v>32</v>
      </c>
      <c r="K653" s="1" t="s">
        <v>596</v>
      </c>
      <c r="L653" s="1" t="s">
        <v>1288</v>
      </c>
      <c r="M653" s="1" t="s">
        <v>1298</v>
      </c>
      <c r="N653" s="1" t="s">
        <v>1296</v>
      </c>
      <c r="O653" s="1" t="s">
        <v>8415</v>
      </c>
    </row>
    <row r="654" spans="8:15" x14ac:dyDescent="0.25">
      <c r="H654" s="1">
        <v>1531431</v>
      </c>
      <c r="I654" s="4">
        <v>46330.583333333336</v>
      </c>
      <c r="J654" s="1" t="s">
        <v>32</v>
      </c>
      <c r="K654" s="1" t="s">
        <v>596</v>
      </c>
      <c r="L654" s="1" t="s">
        <v>1288</v>
      </c>
      <c r="M654" s="1" t="s">
        <v>1300</v>
      </c>
      <c r="N654" s="1" t="s">
        <v>1305</v>
      </c>
      <c r="O654" s="1" t="s">
        <v>8416</v>
      </c>
    </row>
    <row r="655" spans="8:15" x14ac:dyDescent="0.25">
      <c r="H655" s="1">
        <v>1531433</v>
      </c>
      <c r="I655" s="4">
        <v>46330.583333333336</v>
      </c>
      <c r="J655" s="1" t="s">
        <v>32</v>
      </c>
      <c r="K655" s="1" t="s">
        <v>596</v>
      </c>
      <c r="L655" s="1" t="s">
        <v>1288</v>
      </c>
      <c r="M655" s="1" t="s">
        <v>1304</v>
      </c>
      <c r="N655" s="1" t="s">
        <v>1297</v>
      </c>
      <c r="O655" s="1" t="s">
        <v>8417</v>
      </c>
    </row>
    <row r="656" spans="8:15" x14ac:dyDescent="0.25">
      <c r="H656" s="1">
        <v>1531435</v>
      </c>
      <c r="I656" s="4">
        <v>46330.583333333336</v>
      </c>
      <c r="J656" s="1" t="s">
        <v>32</v>
      </c>
      <c r="K656" s="1" t="s">
        <v>596</v>
      </c>
      <c r="L656" s="1" t="s">
        <v>1288</v>
      </c>
      <c r="M656" s="1" t="s">
        <v>1290</v>
      </c>
      <c r="N656" s="1" t="s">
        <v>1295</v>
      </c>
      <c r="O656" s="1" t="s">
        <v>8418</v>
      </c>
    </row>
    <row r="657" spans="8:15" x14ac:dyDescent="0.25">
      <c r="H657" s="1">
        <v>1534263</v>
      </c>
      <c r="I657" s="4">
        <v>46330.583333333336</v>
      </c>
      <c r="J657" s="1" t="s">
        <v>32</v>
      </c>
      <c r="K657" s="1" t="s">
        <v>389</v>
      </c>
      <c r="L657" s="1" t="s">
        <v>335</v>
      </c>
      <c r="M657" s="1" t="s">
        <v>8419</v>
      </c>
      <c r="N657" s="1" t="s">
        <v>8420</v>
      </c>
      <c r="O657" s="1" t="s">
        <v>8421</v>
      </c>
    </row>
    <row r="658" spans="8:15" x14ac:dyDescent="0.25">
      <c r="H658" s="1">
        <v>1535048</v>
      </c>
      <c r="I658" s="4">
        <v>46330.583333333336</v>
      </c>
      <c r="J658" s="1" t="s">
        <v>32</v>
      </c>
      <c r="K658" s="1" t="s">
        <v>355</v>
      </c>
      <c r="L658" s="1" t="s">
        <v>8422</v>
      </c>
      <c r="M658" s="1" t="s">
        <v>8423</v>
      </c>
      <c r="N658" s="1" t="s">
        <v>8424</v>
      </c>
      <c r="O658" s="1" t="s">
        <v>8425</v>
      </c>
    </row>
    <row r="659" spans="8:15" x14ac:dyDescent="0.25">
      <c r="H659" s="1">
        <v>1535049</v>
      </c>
      <c r="I659" s="4">
        <v>46330.583333333336</v>
      </c>
      <c r="J659" s="1" t="s">
        <v>32</v>
      </c>
      <c r="K659" s="1" t="s">
        <v>355</v>
      </c>
      <c r="L659" s="1" t="s">
        <v>8422</v>
      </c>
      <c r="M659" s="1" t="s">
        <v>8426</v>
      </c>
      <c r="N659" s="1" t="s">
        <v>8427</v>
      </c>
      <c r="O659" s="1" t="s">
        <v>8428</v>
      </c>
    </row>
    <row r="660" spans="8:15" x14ac:dyDescent="0.25">
      <c r="H660" s="1">
        <v>1535807</v>
      </c>
      <c r="I660" s="4">
        <v>46330.583333333336</v>
      </c>
      <c r="J660" s="1" t="s">
        <v>32</v>
      </c>
      <c r="K660" s="1" t="s">
        <v>377</v>
      </c>
      <c r="L660" s="1" t="s">
        <v>45</v>
      </c>
      <c r="M660" s="1" t="s">
        <v>4861</v>
      </c>
      <c r="N660" s="1" t="s">
        <v>8429</v>
      </c>
      <c r="O660" s="1" t="s">
        <v>8430</v>
      </c>
    </row>
    <row r="661" spans="8:15" x14ac:dyDescent="0.25">
      <c r="H661" s="1">
        <v>1536111</v>
      </c>
      <c r="I661" s="4">
        <v>46330.583333333336</v>
      </c>
      <c r="J661" s="1" t="s">
        <v>32</v>
      </c>
      <c r="K661" s="1" t="s">
        <v>20</v>
      </c>
      <c r="L661" s="1" t="s">
        <v>8431</v>
      </c>
      <c r="M661" s="1" t="s">
        <v>8432</v>
      </c>
      <c r="N661" s="1" t="s">
        <v>8433</v>
      </c>
      <c r="O661" s="1" t="s">
        <v>8434</v>
      </c>
    </row>
    <row r="662" spans="8:15" x14ac:dyDescent="0.25">
      <c r="H662" s="1">
        <v>1536112</v>
      </c>
      <c r="I662" s="4">
        <v>46330.583333333336</v>
      </c>
      <c r="J662" s="1" t="s">
        <v>32</v>
      </c>
      <c r="K662" s="1" t="s">
        <v>20</v>
      </c>
      <c r="L662" s="1" t="s">
        <v>8431</v>
      </c>
      <c r="M662" s="1" t="s">
        <v>8435</v>
      </c>
      <c r="N662" s="1" t="s">
        <v>8436</v>
      </c>
      <c r="O662" s="1" t="s">
        <v>8437</v>
      </c>
    </row>
    <row r="663" spans="8:15" x14ac:dyDescent="0.25">
      <c r="H663" s="1">
        <v>1537239</v>
      </c>
      <c r="I663" s="4">
        <v>46330.583333333336</v>
      </c>
      <c r="J663" s="1" t="s">
        <v>32</v>
      </c>
      <c r="K663" s="1" t="s">
        <v>72</v>
      </c>
      <c r="L663" s="1" t="s">
        <v>73</v>
      </c>
      <c r="M663" s="1" t="s">
        <v>528</v>
      </c>
      <c r="N663" s="1" t="s">
        <v>8438</v>
      </c>
      <c r="O663" s="1" t="s">
        <v>8439</v>
      </c>
    </row>
    <row r="664" spans="8:15" x14ac:dyDescent="0.25">
      <c r="H664" s="1">
        <v>1537529</v>
      </c>
      <c r="I664" s="4">
        <v>46330.583333333336</v>
      </c>
      <c r="J664" s="1" t="s">
        <v>32</v>
      </c>
      <c r="K664" s="1" t="s">
        <v>596</v>
      </c>
      <c r="L664" s="1" t="s">
        <v>69</v>
      </c>
      <c r="M664" s="1" t="s">
        <v>8440</v>
      </c>
      <c r="N664" s="1" t="s">
        <v>2462</v>
      </c>
      <c r="O664" s="1" t="s">
        <v>8441</v>
      </c>
    </row>
    <row r="665" spans="8:15" x14ac:dyDescent="0.25">
      <c r="H665" s="1">
        <v>1539772</v>
      </c>
      <c r="I665" s="4">
        <v>46330.583333333336</v>
      </c>
      <c r="J665" s="1" t="s">
        <v>32</v>
      </c>
      <c r="K665" s="1" t="s">
        <v>5924</v>
      </c>
      <c r="L665" s="1" t="s">
        <v>7410</v>
      </c>
      <c r="M665" s="1" t="s">
        <v>8442</v>
      </c>
      <c r="N665" s="1" t="s">
        <v>8443</v>
      </c>
      <c r="O665" s="1" t="s">
        <v>8444</v>
      </c>
    </row>
    <row r="666" spans="8:15" x14ac:dyDescent="0.25">
      <c r="H666" s="1">
        <v>1540038</v>
      </c>
      <c r="I666" s="4">
        <v>46330.583333333336</v>
      </c>
      <c r="J666" s="1" t="s">
        <v>32</v>
      </c>
      <c r="K666" s="1" t="s">
        <v>570</v>
      </c>
      <c r="L666" s="1" t="s">
        <v>49</v>
      </c>
      <c r="M666" s="1" t="s">
        <v>8445</v>
      </c>
      <c r="N666" s="1" t="s">
        <v>8446</v>
      </c>
      <c r="O666" s="1" t="s">
        <v>8447</v>
      </c>
    </row>
    <row r="667" spans="8:15" x14ac:dyDescent="0.25">
      <c r="H667" s="1">
        <v>1540065</v>
      </c>
      <c r="I667" s="4">
        <v>46330.583333333336</v>
      </c>
      <c r="J667" s="1" t="s">
        <v>32</v>
      </c>
      <c r="K667" s="1" t="s">
        <v>21</v>
      </c>
      <c r="L667" s="1" t="s">
        <v>7529</v>
      </c>
      <c r="M667" s="1" t="s">
        <v>8448</v>
      </c>
      <c r="N667" s="1" t="s">
        <v>8449</v>
      </c>
      <c r="O667" s="1" t="s">
        <v>8450</v>
      </c>
    </row>
    <row r="668" spans="8:15" x14ac:dyDescent="0.25">
      <c r="H668" s="1">
        <v>1380343</v>
      </c>
      <c r="I668" s="4">
        <v>46330.59375</v>
      </c>
      <c r="J668" s="1" t="s">
        <v>32</v>
      </c>
      <c r="K668" s="1" t="s">
        <v>390</v>
      </c>
      <c r="L668" s="1" t="s">
        <v>400</v>
      </c>
      <c r="M668" s="1" t="s">
        <v>2205</v>
      </c>
      <c r="N668" s="1" t="s">
        <v>6018</v>
      </c>
      <c r="O668" s="1" t="s">
        <v>8452</v>
      </c>
    </row>
    <row r="669" spans="8:15" x14ac:dyDescent="0.25">
      <c r="H669" s="1">
        <v>1512053</v>
      </c>
      <c r="I669" s="4">
        <v>46330.59375</v>
      </c>
      <c r="J669" s="1" t="s">
        <v>32</v>
      </c>
      <c r="K669" s="1" t="s">
        <v>595</v>
      </c>
      <c r="L669" s="1" t="s">
        <v>49</v>
      </c>
      <c r="M669" s="1" t="s">
        <v>8453</v>
      </c>
      <c r="N669" s="1" t="s">
        <v>8454</v>
      </c>
      <c r="O669" s="1" t="s">
        <v>8455</v>
      </c>
    </row>
    <row r="670" spans="8:15" x14ac:dyDescent="0.25">
      <c r="H670" s="1">
        <v>1512054</v>
      </c>
      <c r="I670" s="4">
        <v>46330.59375</v>
      </c>
      <c r="J670" s="1" t="s">
        <v>32</v>
      </c>
      <c r="K670" s="1" t="s">
        <v>595</v>
      </c>
      <c r="L670" s="1" t="s">
        <v>49</v>
      </c>
      <c r="M670" s="1" t="s">
        <v>8456</v>
      </c>
      <c r="N670" s="1" t="s">
        <v>1497</v>
      </c>
      <c r="O670" s="1" t="s">
        <v>8457</v>
      </c>
    </row>
    <row r="671" spans="8:15" x14ac:dyDescent="0.25">
      <c r="H671" s="1">
        <v>1512055</v>
      </c>
      <c r="I671" s="4">
        <v>46330.59375</v>
      </c>
      <c r="J671" s="1" t="s">
        <v>32</v>
      </c>
      <c r="K671" s="1" t="s">
        <v>595</v>
      </c>
      <c r="L671" s="1" t="s">
        <v>49</v>
      </c>
      <c r="M671" s="1" t="s">
        <v>8458</v>
      </c>
      <c r="N671" s="1" t="s">
        <v>1495</v>
      </c>
      <c r="O671" s="1" t="s">
        <v>8459</v>
      </c>
    </row>
    <row r="672" spans="8:15" x14ac:dyDescent="0.25">
      <c r="H672" s="1">
        <v>1512059</v>
      </c>
      <c r="I672" s="4">
        <v>46330.59375</v>
      </c>
      <c r="J672" s="1" t="s">
        <v>32</v>
      </c>
      <c r="K672" s="1" t="s">
        <v>595</v>
      </c>
      <c r="L672" s="1" t="s">
        <v>49</v>
      </c>
      <c r="M672" s="1" t="s">
        <v>8460</v>
      </c>
      <c r="N672" s="1" t="s">
        <v>8461</v>
      </c>
      <c r="O672" s="1" t="s">
        <v>8462</v>
      </c>
    </row>
    <row r="673" spans="8:15" x14ac:dyDescent="0.25">
      <c r="H673" s="1">
        <v>1388561</v>
      </c>
      <c r="I673" s="4">
        <v>46330.604166666664</v>
      </c>
      <c r="J673" s="1" t="s">
        <v>32</v>
      </c>
      <c r="K673" s="1" t="s">
        <v>43</v>
      </c>
      <c r="L673" s="1" t="s">
        <v>347</v>
      </c>
      <c r="M673" s="1" t="s">
        <v>6513</v>
      </c>
      <c r="N673" s="1" t="s">
        <v>4945</v>
      </c>
      <c r="O673" s="1" t="s">
        <v>8464</v>
      </c>
    </row>
    <row r="674" spans="8:15" x14ac:dyDescent="0.25">
      <c r="H674" s="1">
        <v>1388563</v>
      </c>
      <c r="I674" s="4">
        <v>46330.604166666664</v>
      </c>
      <c r="J674" s="1" t="s">
        <v>32</v>
      </c>
      <c r="K674" s="1" t="s">
        <v>43</v>
      </c>
      <c r="L674" s="1" t="s">
        <v>347</v>
      </c>
      <c r="M674" s="1" t="s">
        <v>4944</v>
      </c>
      <c r="N674" s="1" t="s">
        <v>2174</v>
      </c>
      <c r="O674" s="1" t="s">
        <v>8465</v>
      </c>
    </row>
    <row r="675" spans="8:15" x14ac:dyDescent="0.25">
      <c r="H675" s="1">
        <v>1388565</v>
      </c>
      <c r="I675" s="4">
        <v>46330.604166666664</v>
      </c>
      <c r="J675" s="1" t="s">
        <v>32</v>
      </c>
      <c r="K675" s="1" t="s">
        <v>43</v>
      </c>
      <c r="L675" s="1" t="s">
        <v>347</v>
      </c>
      <c r="M675" s="1" t="s">
        <v>8466</v>
      </c>
      <c r="N675" s="1" t="s">
        <v>4942</v>
      </c>
      <c r="O675" s="1" t="s">
        <v>8467</v>
      </c>
    </row>
    <row r="676" spans="8:15" x14ac:dyDescent="0.25">
      <c r="H676" s="1">
        <v>1388568</v>
      </c>
      <c r="I676" s="4">
        <v>46330.604166666664</v>
      </c>
      <c r="J676" s="1" t="s">
        <v>32</v>
      </c>
      <c r="K676" s="1" t="s">
        <v>43</v>
      </c>
      <c r="L676" s="1" t="s">
        <v>347</v>
      </c>
      <c r="M676" s="1" t="s">
        <v>4947</v>
      </c>
      <c r="N676" s="1" t="s">
        <v>1799</v>
      </c>
      <c r="O676" s="1" t="s">
        <v>8468</v>
      </c>
    </row>
    <row r="677" spans="8:15" x14ac:dyDescent="0.25">
      <c r="H677" s="1">
        <v>1395467</v>
      </c>
      <c r="I677" s="4">
        <v>46330.604166666664</v>
      </c>
      <c r="J677" s="1" t="s">
        <v>32</v>
      </c>
      <c r="K677" s="1" t="s">
        <v>240</v>
      </c>
      <c r="L677" s="1" t="s">
        <v>241</v>
      </c>
      <c r="M677" s="1" t="s">
        <v>4474</v>
      </c>
      <c r="N677" s="1" t="s">
        <v>8469</v>
      </c>
      <c r="O677" s="1" t="s">
        <v>8470</v>
      </c>
    </row>
    <row r="678" spans="8:15" x14ac:dyDescent="0.25">
      <c r="H678" s="1">
        <v>1395621</v>
      </c>
      <c r="I678" s="4">
        <v>46330.604166666664</v>
      </c>
      <c r="J678" s="1" t="s">
        <v>32</v>
      </c>
      <c r="K678" s="1" t="s">
        <v>240</v>
      </c>
      <c r="L678" s="1" t="s">
        <v>241</v>
      </c>
      <c r="M678" s="1" t="s">
        <v>4476</v>
      </c>
      <c r="N678" s="1" t="s">
        <v>4471</v>
      </c>
      <c r="O678" s="1" t="s">
        <v>8471</v>
      </c>
    </row>
    <row r="679" spans="8:15" x14ac:dyDescent="0.25">
      <c r="H679" s="1">
        <v>1395624</v>
      </c>
      <c r="I679" s="4">
        <v>46330.604166666664</v>
      </c>
      <c r="J679" s="1" t="s">
        <v>32</v>
      </c>
      <c r="K679" s="1" t="s">
        <v>240</v>
      </c>
      <c r="L679" s="1" t="s">
        <v>241</v>
      </c>
      <c r="M679" s="1" t="s">
        <v>8472</v>
      </c>
      <c r="N679" s="1" t="s">
        <v>8473</v>
      </c>
      <c r="O679" s="1" t="s">
        <v>8474</v>
      </c>
    </row>
    <row r="680" spans="8:15" x14ac:dyDescent="0.25">
      <c r="H680" s="1">
        <v>1395660</v>
      </c>
      <c r="I680" s="4">
        <v>46330.604166666664</v>
      </c>
      <c r="J680" s="1" t="s">
        <v>32</v>
      </c>
      <c r="K680" s="1" t="s">
        <v>240</v>
      </c>
      <c r="L680" s="1" t="s">
        <v>241</v>
      </c>
      <c r="M680" s="1" t="s">
        <v>4480</v>
      </c>
      <c r="N680" s="1" t="s">
        <v>8475</v>
      </c>
      <c r="O680" s="1" t="s">
        <v>8476</v>
      </c>
    </row>
    <row r="681" spans="8:15" x14ac:dyDescent="0.25">
      <c r="H681" s="1">
        <v>1400221</v>
      </c>
      <c r="I681" s="4">
        <v>46330.604166666664</v>
      </c>
      <c r="J681" s="1" t="s">
        <v>32</v>
      </c>
      <c r="K681" s="1" t="s">
        <v>377</v>
      </c>
      <c r="L681" s="1" t="s">
        <v>49</v>
      </c>
      <c r="M681" s="1" t="s">
        <v>1628</v>
      </c>
      <c r="N681" s="1" t="s">
        <v>862</v>
      </c>
      <c r="O681" s="1" t="s">
        <v>8477</v>
      </c>
    </row>
    <row r="682" spans="8:15" x14ac:dyDescent="0.25">
      <c r="H682" s="1">
        <v>1406310</v>
      </c>
      <c r="I682" s="4">
        <v>46330.604166666664</v>
      </c>
      <c r="J682" s="1" t="s">
        <v>32</v>
      </c>
      <c r="K682" s="1" t="s">
        <v>43</v>
      </c>
      <c r="L682" s="1" t="s">
        <v>393</v>
      </c>
      <c r="M682" s="1" t="s">
        <v>4525</v>
      </c>
      <c r="N682" s="1" t="s">
        <v>3714</v>
      </c>
      <c r="O682" s="1" t="s">
        <v>8478</v>
      </c>
    </row>
    <row r="683" spans="8:15" x14ac:dyDescent="0.25">
      <c r="H683" s="1">
        <v>1406313</v>
      </c>
      <c r="I683" s="4">
        <v>46330.604166666664</v>
      </c>
      <c r="J683" s="1" t="s">
        <v>32</v>
      </c>
      <c r="K683" s="1" t="s">
        <v>43</v>
      </c>
      <c r="L683" s="1" t="s">
        <v>393</v>
      </c>
      <c r="M683" s="1" t="s">
        <v>4217</v>
      </c>
      <c r="N683" s="1" t="s">
        <v>4530</v>
      </c>
      <c r="O683" s="1" t="s">
        <v>8479</v>
      </c>
    </row>
    <row r="684" spans="8:15" x14ac:dyDescent="0.25">
      <c r="H684" s="1">
        <v>1406315</v>
      </c>
      <c r="I684" s="4">
        <v>46330.604166666664</v>
      </c>
      <c r="J684" s="1" t="s">
        <v>32</v>
      </c>
      <c r="K684" s="1" t="s">
        <v>43</v>
      </c>
      <c r="L684" s="1" t="s">
        <v>393</v>
      </c>
      <c r="M684" s="1" t="s">
        <v>1233</v>
      </c>
      <c r="N684" s="1" t="s">
        <v>4524</v>
      </c>
      <c r="O684" s="1" t="s">
        <v>8480</v>
      </c>
    </row>
    <row r="685" spans="8:15" x14ac:dyDescent="0.25">
      <c r="H685" s="1">
        <v>1406581</v>
      </c>
      <c r="I685" s="4">
        <v>46330.604166666664</v>
      </c>
      <c r="J685" s="1" t="s">
        <v>32</v>
      </c>
      <c r="K685" s="1" t="s">
        <v>43</v>
      </c>
      <c r="L685" s="1" t="s">
        <v>551</v>
      </c>
      <c r="M685" s="1" t="s">
        <v>4952</v>
      </c>
      <c r="N685" s="1" t="s">
        <v>4954</v>
      </c>
      <c r="O685" s="1" t="s">
        <v>8481</v>
      </c>
    </row>
    <row r="686" spans="8:15" x14ac:dyDescent="0.25">
      <c r="H686" s="1">
        <v>1406583</v>
      </c>
      <c r="I686" s="4">
        <v>46330.604166666664</v>
      </c>
      <c r="J686" s="1" t="s">
        <v>32</v>
      </c>
      <c r="K686" s="1" t="s">
        <v>43</v>
      </c>
      <c r="L686" s="1" t="s">
        <v>551</v>
      </c>
      <c r="M686" s="1" t="s">
        <v>8482</v>
      </c>
      <c r="N686" s="1" t="s">
        <v>8483</v>
      </c>
      <c r="O686" s="1" t="s">
        <v>8484</v>
      </c>
    </row>
    <row r="687" spans="8:15" x14ac:dyDescent="0.25">
      <c r="H687" s="1">
        <v>1412943</v>
      </c>
      <c r="I687" s="4">
        <v>46330.604166666664</v>
      </c>
      <c r="J687" s="1" t="s">
        <v>32</v>
      </c>
      <c r="K687" s="1" t="s">
        <v>43</v>
      </c>
      <c r="L687" s="1" t="s">
        <v>606</v>
      </c>
      <c r="M687" s="1" t="s">
        <v>5387</v>
      </c>
      <c r="N687" s="1" t="s">
        <v>1398</v>
      </c>
      <c r="O687" s="1" t="s">
        <v>8485</v>
      </c>
    </row>
    <row r="688" spans="8:15" x14ac:dyDescent="0.25">
      <c r="H688" s="1">
        <v>1418675</v>
      </c>
      <c r="I688" s="4">
        <v>46330.604166666664</v>
      </c>
      <c r="J688" s="1" t="s">
        <v>32</v>
      </c>
      <c r="K688" s="1" t="s">
        <v>80</v>
      </c>
      <c r="L688" s="1" t="s">
        <v>626</v>
      </c>
      <c r="M688" s="1" t="s">
        <v>5391</v>
      </c>
      <c r="N688" s="1" t="s">
        <v>6260</v>
      </c>
      <c r="O688" s="1" t="s">
        <v>8486</v>
      </c>
    </row>
    <row r="689" spans="8:15" x14ac:dyDescent="0.25">
      <c r="H689" s="1">
        <v>1425083</v>
      </c>
      <c r="I689" s="4">
        <v>46330.604166666664</v>
      </c>
      <c r="J689" s="1" t="s">
        <v>32</v>
      </c>
      <c r="K689" s="1" t="s">
        <v>43</v>
      </c>
      <c r="L689" s="1" t="s">
        <v>627</v>
      </c>
      <c r="M689" s="1" t="s">
        <v>1808</v>
      </c>
      <c r="N689" s="1" t="s">
        <v>1825</v>
      </c>
      <c r="O689" s="1" t="s">
        <v>8487</v>
      </c>
    </row>
    <row r="690" spans="8:15" x14ac:dyDescent="0.25">
      <c r="H690" s="1">
        <v>1441365</v>
      </c>
      <c r="I690" s="4">
        <v>46330.604166666664</v>
      </c>
      <c r="J690" s="1" t="s">
        <v>32</v>
      </c>
      <c r="K690" s="1" t="s">
        <v>108</v>
      </c>
      <c r="L690" s="1" t="s">
        <v>232</v>
      </c>
      <c r="M690" s="1" t="s">
        <v>4270</v>
      </c>
      <c r="N690" s="1" t="s">
        <v>4278</v>
      </c>
      <c r="O690" s="1" t="s">
        <v>8488</v>
      </c>
    </row>
    <row r="691" spans="8:15" x14ac:dyDescent="0.25">
      <c r="H691" s="1">
        <v>1441366</v>
      </c>
      <c r="I691" s="4">
        <v>46330.604166666664</v>
      </c>
      <c r="J691" s="1" t="s">
        <v>32</v>
      </c>
      <c r="K691" s="1" t="s">
        <v>108</v>
      </c>
      <c r="L691" s="1" t="s">
        <v>232</v>
      </c>
      <c r="M691" s="1" t="s">
        <v>4276</v>
      </c>
      <c r="N691" s="1" t="s">
        <v>4269</v>
      </c>
      <c r="O691" s="1" t="s">
        <v>8489</v>
      </c>
    </row>
    <row r="692" spans="8:15" x14ac:dyDescent="0.25">
      <c r="H692" s="1">
        <v>1441367</v>
      </c>
      <c r="I692" s="4">
        <v>46330.604166666664</v>
      </c>
      <c r="J692" s="1" t="s">
        <v>32</v>
      </c>
      <c r="K692" s="1" t="s">
        <v>108</v>
      </c>
      <c r="L692" s="1" t="s">
        <v>232</v>
      </c>
      <c r="M692" s="1" t="s">
        <v>4267</v>
      </c>
      <c r="N692" s="1" t="s">
        <v>496</v>
      </c>
      <c r="O692" s="1" t="s">
        <v>8490</v>
      </c>
    </row>
    <row r="693" spans="8:15" x14ac:dyDescent="0.25">
      <c r="H693" s="1">
        <v>1441368</v>
      </c>
      <c r="I693" s="4">
        <v>46330.604166666664</v>
      </c>
      <c r="J693" s="1" t="s">
        <v>32</v>
      </c>
      <c r="K693" s="1" t="s">
        <v>108</v>
      </c>
      <c r="L693" s="1" t="s">
        <v>232</v>
      </c>
      <c r="M693" s="1" t="s">
        <v>8085</v>
      </c>
      <c r="N693" s="1" t="s">
        <v>4299</v>
      </c>
      <c r="O693" s="1" t="s">
        <v>8491</v>
      </c>
    </row>
    <row r="694" spans="8:15" x14ac:dyDescent="0.25">
      <c r="H694" s="1">
        <v>1441369</v>
      </c>
      <c r="I694" s="4">
        <v>46330.604166666664</v>
      </c>
      <c r="J694" s="1" t="s">
        <v>32</v>
      </c>
      <c r="K694" s="1" t="s">
        <v>108</v>
      </c>
      <c r="L694" s="1" t="s">
        <v>232</v>
      </c>
      <c r="M694" s="1" t="s">
        <v>4275</v>
      </c>
      <c r="N694" s="1" t="s">
        <v>4272</v>
      </c>
      <c r="O694" s="1" t="s">
        <v>8492</v>
      </c>
    </row>
    <row r="695" spans="8:15" x14ac:dyDescent="0.25">
      <c r="H695" s="1">
        <v>1441370</v>
      </c>
      <c r="I695" s="4">
        <v>46330.604166666664</v>
      </c>
      <c r="J695" s="1" t="s">
        <v>32</v>
      </c>
      <c r="K695" s="1" t="s">
        <v>108</v>
      </c>
      <c r="L695" s="1" t="s">
        <v>232</v>
      </c>
      <c r="M695" s="1" t="s">
        <v>4273</v>
      </c>
      <c r="N695" s="1" t="s">
        <v>4266</v>
      </c>
      <c r="O695" s="1" t="s">
        <v>8493</v>
      </c>
    </row>
    <row r="696" spans="8:15" x14ac:dyDescent="0.25">
      <c r="H696" s="1">
        <v>1446107</v>
      </c>
      <c r="I696" s="4">
        <v>46330.604166666664</v>
      </c>
      <c r="J696" s="1" t="s">
        <v>32</v>
      </c>
      <c r="K696" s="1" t="s">
        <v>108</v>
      </c>
      <c r="L696" s="1" t="s">
        <v>232</v>
      </c>
      <c r="M696" s="1" t="s">
        <v>4297</v>
      </c>
      <c r="N696" s="1" t="s">
        <v>497</v>
      </c>
      <c r="O696" s="1" t="s">
        <v>8494</v>
      </c>
    </row>
    <row r="697" spans="8:15" x14ac:dyDescent="0.25">
      <c r="H697" s="1">
        <v>1446108</v>
      </c>
      <c r="I697" s="4">
        <v>46330.604166666664</v>
      </c>
      <c r="J697" s="1" t="s">
        <v>32</v>
      </c>
      <c r="K697" s="1" t="s">
        <v>108</v>
      </c>
      <c r="L697" s="1" t="s">
        <v>232</v>
      </c>
      <c r="M697" s="1" t="s">
        <v>4300</v>
      </c>
      <c r="N697" s="1" t="s">
        <v>4296</v>
      </c>
      <c r="O697" s="1" t="s">
        <v>8495</v>
      </c>
    </row>
    <row r="698" spans="8:15" x14ac:dyDescent="0.25">
      <c r="H698" s="1">
        <v>1475166</v>
      </c>
      <c r="I698" s="4">
        <v>46330.604166666664</v>
      </c>
      <c r="J698" s="1" t="s">
        <v>32</v>
      </c>
      <c r="K698" s="1" t="s">
        <v>336</v>
      </c>
      <c r="L698" s="1" t="s">
        <v>49</v>
      </c>
      <c r="M698" s="1" t="s">
        <v>8496</v>
      </c>
      <c r="N698" s="1" t="s">
        <v>8497</v>
      </c>
      <c r="O698" s="1" t="s">
        <v>8498</v>
      </c>
    </row>
    <row r="699" spans="8:15" x14ac:dyDescent="0.25">
      <c r="H699" s="1">
        <v>1475167</v>
      </c>
      <c r="I699" s="4">
        <v>46330.604166666664</v>
      </c>
      <c r="J699" s="1" t="s">
        <v>32</v>
      </c>
      <c r="K699" s="1" t="s">
        <v>336</v>
      </c>
      <c r="L699" s="1" t="s">
        <v>49</v>
      </c>
      <c r="M699" s="1" t="s">
        <v>8499</v>
      </c>
      <c r="N699" s="1" t="s">
        <v>8500</v>
      </c>
      <c r="O699" s="1" t="s">
        <v>8501</v>
      </c>
    </row>
    <row r="700" spans="8:15" x14ac:dyDescent="0.25">
      <c r="H700" s="1">
        <v>1475168</v>
      </c>
      <c r="I700" s="4">
        <v>46330.604166666664</v>
      </c>
      <c r="J700" s="1" t="s">
        <v>32</v>
      </c>
      <c r="K700" s="1" t="s">
        <v>336</v>
      </c>
      <c r="L700" s="1" t="s">
        <v>49</v>
      </c>
      <c r="M700" s="1" t="s">
        <v>8502</v>
      </c>
      <c r="N700" s="1" t="s">
        <v>1757</v>
      </c>
      <c r="O700" s="1" t="s">
        <v>8503</v>
      </c>
    </row>
    <row r="701" spans="8:15" x14ac:dyDescent="0.25">
      <c r="H701" s="1">
        <v>1475169</v>
      </c>
      <c r="I701" s="4">
        <v>46330.604166666664</v>
      </c>
      <c r="J701" s="1" t="s">
        <v>32</v>
      </c>
      <c r="K701" s="1" t="s">
        <v>336</v>
      </c>
      <c r="L701" s="1" t="s">
        <v>49</v>
      </c>
      <c r="M701" s="1" t="s">
        <v>8504</v>
      </c>
      <c r="N701" s="1" t="s">
        <v>8505</v>
      </c>
      <c r="O701" s="1" t="s">
        <v>8506</v>
      </c>
    </row>
    <row r="702" spans="8:15" x14ac:dyDescent="0.25">
      <c r="H702" s="1">
        <v>1475171</v>
      </c>
      <c r="I702" s="4">
        <v>46330.604166666664</v>
      </c>
      <c r="J702" s="1" t="s">
        <v>32</v>
      </c>
      <c r="K702" s="1" t="s">
        <v>336</v>
      </c>
      <c r="L702" s="1" t="s">
        <v>49</v>
      </c>
      <c r="M702" s="1" t="s">
        <v>8507</v>
      </c>
      <c r="N702" s="1" t="s">
        <v>1758</v>
      </c>
      <c r="O702" s="1" t="s">
        <v>8508</v>
      </c>
    </row>
    <row r="703" spans="8:15" x14ac:dyDescent="0.25">
      <c r="H703" s="1">
        <v>1487382</v>
      </c>
      <c r="I703" s="4">
        <v>46330.604166666664</v>
      </c>
      <c r="J703" s="1" t="s">
        <v>32</v>
      </c>
      <c r="K703" s="1" t="s">
        <v>381</v>
      </c>
      <c r="L703" s="1" t="s">
        <v>548</v>
      </c>
      <c r="M703" s="1" t="s">
        <v>1573</v>
      </c>
      <c r="N703" s="1" t="s">
        <v>877</v>
      </c>
      <c r="O703" s="1" t="s">
        <v>8509</v>
      </c>
    </row>
    <row r="704" spans="8:15" x14ac:dyDescent="0.25">
      <c r="H704" s="1">
        <v>1487384</v>
      </c>
      <c r="I704" s="4">
        <v>46330.604166666664</v>
      </c>
      <c r="J704" s="1" t="s">
        <v>32</v>
      </c>
      <c r="K704" s="1" t="s">
        <v>381</v>
      </c>
      <c r="L704" s="1" t="s">
        <v>548</v>
      </c>
      <c r="M704" s="1" t="s">
        <v>4740</v>
      </c>
      <c r="N704" s="1" t="s">
        <v>903</v>
      </c>
      <c r="O704" s="1" t="s">
        <v>8510</v>
      </c>
    </row>
    <row r="705" spans="8:15" x14ac:dyDescent="0.25">
      <c r="H705" s="1">
        <v>1487385</v>
      </c>
      <c r="I705" s="4">
        <v>46330.604166666664</v>
      </c>
      <c r="J705" s="1" t="s">
        <v>32</v>
      </c>
      <c r="K705" s="1" t="s">
        <v>381</v>
      </c>
      <c r="L705" s="1" t="s">
        <v>548</v>
      </c>
      <c r="M705" s="1" t="s">
        <v>884</v>
      </c>
      <c r="N705" s="1" t="s">
        <v>879</v>
      </c>
      <c r="O705" s="1" t="s">
        <v>8511</v>
      </c>
    </row>
    <row r="706" spans="8:15" x14ac:dyDescent="0.25">
      <c r="H706" s="1">
        <v>1487654</v>
      </c>
      <c r="I706" s="4">
        <v>46330.604166666664</v>
      </c>
      <c r="J706" s="1" t="s">
        <v>32</v>
      </c>
      <c r="K706" s="1" t="s">
        <v>381</v>
      </c>
      <c r="L706" s="1" t="s">
        <v>624</v>
      </c>
      <c r="M706" s="1" t="s">
        <v>8512</v>
      </c>
      <c r="N706" s="1" t="s">
        <v>4749</v>
      </c>
      <c r="O706" s="1" t="s">
        <v>8513</v>
      </c>
    </row>
    <row r="707" spans="8:15" x14ac:dyDescent="0.25">
      <c r="H707" s="1">
        <v>1487658</v>
      </c>
      <c r="I707" s="4">
        <v>46330.604166666664</v>
      </c>
      <c r="J707" s="1" t="s">
        <v>32</v>
      </c>
      <c r="K707" s="1" t="s">
        <v>381</v>
      </c>
      <c r="L707" s="1" t="s">
        <v>624</v>
      </c>
      <c r="M707" s="1" t="s">
        <v>1581</v>
      </c>
      <c r="N707" s="1" t="s">
        <v>1579</v>
      </c>
      <c r="O707" s="1" t="s">
        <v>8514</v>
      </c>
    </row>
    <row r="708" spans="8:15" x14ac:dyDescent="0.25">
      <c r="H708" s="1">
        <v>1487769</v>
      </c>
      <c r="I708" s="4">
        <v>46330.604166666664</v>
      </c>
      <c r="J708" s="1" t="s">
        <v>32</v>
      </c>
      <c r="K708" s="1" t="s">
        <v>381</v>
      </c>
      <c r="L708" s="1" t="s">
        <v>572</v>
      </c>
      <c r="M708" s="1" t="s">
        <v>1761</v>
      </c>
      <c r="N708" s="1" t="s">
        <v>1584</v>
      </c>
      <c r="O708" s="1" t="s">
        <v>8515</v>
      </c>
    </row>
    <row r="709" spans="8:15" x14ac:dyDescent="0.25">
      <c r="H709" s="1">
        <v>1487770</v>
      </c>
      <c r="I709" s="4">
        <v>46330.604166666664</v>
      </c>
      <c r="J709" s="1" t="s">
        <v>32</v>
      </c>
      <c r="K709" s="1" t="s">
        <v>381</v>
      </c>
      <c r="L709" s="1" t="s">
        <v>572</v>
      </c>
      <c r="M709" s="1" t="s">
        <v>1585</v>
      </c>
      <c r="N709" s="1" t="s">
        <v>1583</v>
      </c>
      <c r="O709" s="1" t="s">
        <v>8516</v>
      </c>
    </row>
    <row r="710" spans="8:15" x14ac:dyDescent="0.25">
      <c r="H710" s="1">
        <v>1518578</v>
      </c>
      <c r="I710" s="4">
        <v>46330.604166666664</v>
      </c>
      <c r="J710" s="1" t="s">
        <v>32</v>
      </c>
      <c r="K710" s="1" t="s">
        <v>43</v>
      </c>
      <c r="L710" s="1" t="s">
        <v>576</v>
      </c>
      <c r="M710" s="1" t="s">
        <v>8517</v>
      </c>
      <c r="N710" s="1" t="s">
        <v>960</v>
      </c>
      <c r="O710" s="1" t="s">
        <v>8518</v>
      </c>
    </row>
    <row r="711" spans="8:15" x14ac:dyDescent="0.25">
      <c r="H711" s="1">
        <v>1522779</v>
      </c>
      <c r="I711" s="4">
        <v>46330.604166666664</v>
      </c>
      <c r="J711" s="1" t="s">
        <v>32</v>
      </c>
      <c r="K711" s="1" t="s">
        <v>585</v>
      </c>
      <c r="L711" s="1" t="s">
        <v>586</v>
      </c>
      <c r="M711" s="1" t="s">
        <v>1311</v>
      </c>
      <c r="N711" s="1" t="s">
        <v>3560</v>
      </c>
      <c r="O711" s="1" t="s">
        <v>8519</v>
      </c>
    </row>
    <row r="712" spans="8:15" x14ac:dyDescent="0.25">
      <c r="H712" s="1">
        <v>1528487</v>
      </c>
      <c r="I712" s="4">
        <v>46330.604166666664</v>
      </c>
      <c r="J712" s="1" t="s">
        <v>32</v>
      </c>
      <c r="K712" s="1" t="s">
        <v>268</v>
      </c>
      <c r="L712" s="1" t="s">
        <v>265</v>
      </c>
      <c r="M712" s="1" t="s">
        <v>1823</v>
      </c>
      <c r="N712" s="1" t="s">
        <v>8520</v>
      </c>
      <c r="O712" s="1" t="s">
        <v>8521</v>
      </c>
    </row>
    <row r="713" spans="8:15" x14ac:dyDescent="0.25">
      <c r="H713" s="1">
        <v>1528488</v>
      </c>
      <c r="I713" s="4">
        <v>46330.604166666664</v>
      </c>
      <c r="J713" s="1" t="s">
        <v>32</v>
      </c>
      <c r="K713" s="1" t="s">
        <v>268</v>
      </c>
      <c r="L713" s="1" t="s">
        <v>265</v>
      </c>
      <c r="M713" s="1" t="s">
        <v>5012</v>
      </c>
      <c r="N713" s="1" t="s">
        <v>6494</v>
      </c>
      <c r="O713" s="1" t="s">
        <v>8522</v>
      </c>
    </row>
    <row r="714" spans="8:15" x14ac:dyDescent="0.25">
      <c r="H714" s="1">
        <v>1528517</v>
      </c>
      <c r="I714" s="4">
        <v>46330.604166666664</v>
      </c>
      <c r="J714" s="1" t="s">
        <v>32</v>
      </c>
      <c r="K714" s="1" t="s">
        <v>268</v>
      </c>
      <c r="L714" s="1" t="s">
        <v>265</v>
      </c>
      <c r="M714" s="1" t="s">
        <v>506</v>
      </c>
      <c r="N714" s="1" t="s">
        <v>5017</v>
      </c>
      <c r="O714" s="1" t="s">
        <v>8523</v>
      </c>
    </row>
    <row r="715" spans="8:15" x14ac:dyDescent="0.25">
      <c r="H715" s="1">
        <v>1531713</v>
      </c>
      <c r="I715" s="4">
        <v>46330.604166666664</v>
      </c>
      <c r="J715" s="1" t="s">
        <v>32</v>
      </c>
      <c r="K715" s="1" t="s">
        <v>108</v>
      </c>
      <c r="L715" s="1" t="s">
        <v>45</v>
      </c>
      <c r="M715" s="1" t="s">
        <v>2467</v>
      </c>
      <c r="N715" s="1" t="s">
        <v>495</v>
      </c>
      <c r="O715" s="1" t="s">
        <v>8524</v>
      </c>
    </row>
    <row r="716" spans="8:15" x14ac:dyDescent="0.25">
      <c r="H716" s="1">
        <v>1531715</v>
      </c>
      <c r="I716" s="4">
        <v>46330.604166666664</v>
      </c>
      <c r="J716" s="1" t="s">
        <v>32</v>
      </c>
      <c r="K716" s="1" t="s">
        <v>108</v>
      </c>
      <c r="L716" s="1" t="s">
        <v>45</v>
      </c>
      <c r="M716" s="1" t="s">
        <v>2468</v>
      </c>
      <c r="N716" s="1" t="s">
        <v>8525</v>
      </c>
      <c r="O716" s="1" t="s">
        <v>8526</v>
      </c>
    </row>
    <row r="717" spans="8:15" x14ac:dyDescent="0.25">
      <c r="H717" s="1">
        <v>1537525</v>
      </c>
      <c r="I717" s="4">
        <v>46330.604166666664</v>
      </c>
      <c r="J717" s="1" t="s">
        <v>32</v>
      </c>
      <c r="K717" s="1" t="s">
        <v>452</v>
      </c>
      <c r="L717" s="1" t="s">
        <v>49</v>
      </c>
      <c r="M717" s="1" t="s">
        <v>2452</v>
      </c>
      <c r="N717" s="1" t="s">
        <v>8527</v>
      </c>
      <c r="O717" s="1" t="s">
        <v>8528</v>
      </c>
    </row>
    <row r="718" spans="8:15" x14ac:dyDescent="0.25">
      <c r="H718" s="1">
        <v>1535029</v>
      </c>
      <c r="I718" s="4">
        <v>46330.614583333336</v>
      </c>
      <c r="J718" s="1" t="s">
        <v>32</v>
      </c>
      <c r="K718" s="1" t="s">
        <v>8530</v>
      </c>
      <c r="L718" s="1" t="s">
        <v>8531</v>
      </c>
      <c r="M718" s="1" t="s">
        <v>8532</v>
      </c>
      <c r="N718" s="1" t="s">
        <v>8533</v>
      </c>
      <c r="O718" s="1" t="s">
        <v>8534</v>
      </c>
    </row>
    <row r="719" spans="8:15" x14ac:dyDescent="0.25">
      <c r="H719" s="1">
        <v>1471982</v>
      </c>
      <c r="I719" s="4">
        <v>46330.618055555555</v>
      </c>
      <c r="J719" s="1" t="s">
        <v>32</v>
      </c>
      <c r="K719" s="1" t="s">
        <v>87</v>
      </c>
      <c r="L719" s="1" t="s">
        <v>83</v>
      </c>
      <c r="M719" s="1" t="s">
        <v>8536</v>
      </c>
      <c r="N719" s="1" t="s">
        <v>8537</v>
      </c>
      <c r="O719" s="1" t="s">
        <v>8538</v>
      </c>
    </row>
    <row r="720" spans="8:15" x14ac:dyDescent="0.25">
      <c r="H720" s="1">
        <v>1471983</v>
      </c>
      <c r="I720" s="4">
        <v>46330.618055555555</v>
      </c>
      <c r="J720" s="1" t="s">
        <v>32</v>
      </c>
      <c r="K720" s="1" t="s">
        <v>87</v>
      </c>
      <c r="L720" s="1" t="s">
        <v>83</v>
      </c>
      <c r="M720" s="1" t="s">
        <v>8539</v>
      </c>
      <c r="N720" s="1" t="s">
        <v>8540</v>
      </c>
      <c r="O720" s="1" t="s">
        <v>8541</v>
      </c>
    </row>
    <row r="721" spans="8:15" x14ac:dyDescent="0.25">
      <c r="H721" s="1">
        <v>1471984</v>
      </c>
      <c r="I721" s="4">
        <v>46330.618055555555</v>
      </c>
      <c r="J721" s="1" t="s">
        <v>32</v>
      </c>
      <c r="K721" s="1" t="s">
        <v>87</v>
      </c>
      <c r="L721" s="1" t="s">
        <v>83</v>
      </c>
      <c r="M721" s="1" t="s">
        <v>8542</v>
      </c>
      <c r="N721" s="1" t="s">
        <v>8543</v>
      </c>
      <c r="O721" s="1" t="s">
        <v>8544</v>
      </c>
    </row>
    <row r="722" spans="8:15" x14ac:dyDescent="0.25">
      <c r="H722" s="1">
        <v>1471985</v>
      </c>
      <c r="I722" s="4">
        <v>46330.618055555555</v>
      </c>
      <c r="J722" s="1" t="s">
        <v>32</v>
      </c>
      <c r="K722" s="1" t="s">
        <v>87</v>
      </c>
      <c r="L722" s="1" t="s">
        <v>83</v>
      </c>
      <c r="M722" s="1" t="s">
        <v>8545</v>
      </c>
      <c r="N722" s="1" t="s">
        <v>679</v>
      </c>
      <c r="O722" s="1" t="s">
        <v>8546</v>
      </c>
    </row>
    <row r="723" spans="8:15" x14ac:dyDescent="0.25">
      <c r="H723" s="1">
        <v>1471986</v>
      </c>
      <c r="I723" s="4">
        <v>46330.618055555555</v>
      </c>
      <c r="J723" s="1" t="s">
        <v>32</v>
      </c>
      <c r="K723" s="1" t="s">
        <v>87</v>
      </c>
      <c r="L723" s="1" t="s">
        <v>83</v>
      </c>
      <c r="M723" s="1" t="s">
        <v>8547</v>
      </c>
      <c r="N723" s="1" t="s">
        <v>2270</v>
      </c>
      <c r="O723" s="1" t="s">
        <v>8548</v>
      </c>
    </row>
    <row r="724" spans="8:15" x14ac:dyDescent="0.25">
      <c r="H724" s="1">
        <v>1537629</v>
      </c>
      <c r="I724" s="4">
        <v>46330.621527777781</v>
      </c>
      <c r="J724" s="1" t="s">
        <v>32</v>
      </c>
      <c r="K724" s="1" t="s">
        <v>87</v>
      </c>
      <c r="L724" s="1" t="s">
        <v>338</v>
      </c>
      <c r="M724" s="1" t="s">
        <v>8550</v>
      </c>
      <c r="N724" s="1" t="s">
        <v>8551</v>
      </c>
      <c r="O724" s="1" t="s">
        <v>8552</v>
      </c>
    </row>
    <row r="725" spans="8:15" x14ac:dyDescent="0.25">
      <c r="H725" s="1">
        <v>1537630</v>
      </c>
      <c r="I725" s="4">
        <v>46330.621527777781</v>
      </c>
      <c r="J725" s="1" t="s">
        <v>32</v>
      </c>
      <c r="K725" s="1" t="s">
        <v>87</v>
      </c>
      <c r="L725" s="1" t="s">
        <v>338</v>
      </c>
      <c r="M725" s="1" t="s">
        <v>5051</v>
      </c>
      <c r="N725" s="1" t="s">
        <v>8553</v>
      </c>
      <c r="O725" s="1" t="s">
        <v>8554</v>
      </c>
    </row>
    <row r="726" spans="8:15" x14ac:dyDescent="0.25">
      <c r="H726" s="1">
        <v>1537634</v>
      </c>
      <c r="I726" s="4">
        <v>46330.621527777781</v>
      </c>
      <c r="J726" s="1" t="s">
        <v>32</v>
      </c>
      <c r="K726" s="1" t="s">
        <v>87</v>
      </c>
      <c r="L726" s="1" t="s">
        <v>8555</v>
      </c>
      <c r="M726" s="1" t="s">
        <v>8556</v>
      </c>
      <c r="N726" s="1" t="s">
        <v>8557</v>
      </c>
      <c r="O726" s="1" t="s">
        <v>8558</v>
      </c>
    </row>
    <row r="727" spans="8:15" x14ac:dyDescent="0.25">
      <c r="H727" s="1">
        <v>1537635</v>
      </c>
      <c r="I727" s="4">
        <v>46330.621527777781</v>
      </c>
      <c r="J727" s="1" t="s">
        <v>32</v>
      </c>
      <c r="K727" s="1" t="s">
        <v>87</v>
      </c>
      <c r="L727" s="1" t="s">
        <v>8555</v>
      </c>
      <c r="M727" s="1" t="s">
        <v>8559</v>
      </c>
      <c r="N727" s="1" t="s">
        <v>8560</v>
      </c>
      <c r="O727" s="1" t="s">
        <v>8561</v>
      </c>
    </row>
    <row r="728" spans="8:15" x14ac:dyDescent="0.25">
      <c r="H728" s="1">
        <v>1379280</v>
      </c>
      <c r="I728" s="4">
        <v>46330.625</v>
      </c>
      <c r="J728" s="1" t="s">
        <v>32</v>
      </c>
      <c r="K728" s="1" t="s">
        <v>65</v>
      </c>
      <c r="L728" s="1" t="s">
        <v>49</v>
      </c>
      <c r="M728" s="1" t="s">
        <v>515</v>
      </c>
      <c r="N728" s="1" t="s">
        <v>6510</v>
      </c>
      <c r="O728" s="1" t="s">
        <v>8563</v>
      </c>
    </row>
    <row r="729" spans="8:15" x14ac:dyDescent="0.25">
      <c r="H729" s="1">
        <v>1379281</v>
      </c>
      <c r="I729" s="4">
        <v>46330.625</v>
      </c>
      <c r="J729" s="1" t="s">
        <v>32</v>
      </c>
      <c r="K729" s="1" t="s">
        <v>65</v>
      </c>
      <c r="L729" s="1" t="s">
        <v>49</v>
      </c>
      <c r="M729" s="1" t="s">
        <v>5054</v>
      </c>
      <c r="N729" s="1" t="s">
        <v>2579</v>
      </c>
      <c r="O729" s="1" t="s">
        <v>8564</v>
      </c>
    </row>
    <row r="730" spans="8:15" x14ac:dyDescent="0.25">
      <c r="H730" s="1">
        <v>1379931</v>
      </c>
      <c r="I730" s="4">
        <v>46330.625</v>
      </c>
      <c r="J730" s="1" t="s">
        <v>32</v>
      </c>
      <c r="K730" s="1" t="s">
        <v>92</v>
      </c>
      <c r="L730" s="1" t="s">
        <v>4449</v>
      </c>
      <c r="M730" s="1" t="s">
        <v>5062</v>
      </c>
      <c r="N730" s="1" t="s">
        <v>5060</v>
      </c>
      <c r="O730" s="1" t="s">
        <v>8565</v>
      </c>
    </row>
    <row r="731" spans="8:15" x14ac:dyDescent="0.25">
      <c r="H731" s="1">
        <v>1379932</v>
      </c>
      <c r="I731" s="4">
        <v>46330.625</v>
      </c>
      <c r="J731" s="1" t="s">
        <v>32</v>
      </c>
      <c r="K731" s="1" t="s">
        <v>92</v>
      </c>
      <c r="L731" s="1" t="s">
        <v>4449</v>
      </c>
      <c r="M731" s="1" t="s">
        <v>5068</v>
      </c>
      <c r="N731" s="1" t="s">
        <v>5066</v>
      </c>
      <c r="O731" s="1" t="s">
        <v>8566</v>
      </c>
    </row>
    <row r="732" spans="8:15" x14ac:dyDescent="0.25">
      <c r="H732" s="1">
        <v>1379933</v>
      </c>
      <c r="I732" s="4">
        <v>46330.625</v>
      </c>
      <c r="J732" s="1" t="s">
        <v>32</v>
      </c>
      <c r="K732" s="1" t="s">
        <v>92</v>
      </c>
      <c r="L732" s="1" t="s">
        <v>4449</v>
      </c>
      <c r="M732" s="1" t="s">
        <v>5069</v>
      </c>
      <c r="N732" s="1" t="s">
        <v>5063</v>
      </c>
      <c r="O732" s="1" t="s">
        <v>8567</v>
      </c>
    </row>
    <row r="733" spans="8:15" x14ac:dyDescent="0.25">
      <c r="H733" s="1">
        <v>1379934</v>
      </c>
      <c r="I733" s="4">
        <v>46330.625</v>
      </c>
      <c r="J733" s="1" t="s">
        <v>32</v>
      </c>
      <c r="K733" s="1" t="s">
        <v>92</v>
      </c>
      <c r="L733" s="1" t="s">
        <v>4449</v>
      </c>
      <c r="M733" s="1" t="s">
        <v>5071</v>
      </c>
      <c r="N733" s="1" t="s">
        <v>5065</v>
      </c>
      <c r="O733" s="1" t="s">
        <v>8568</v>
      </c>
    </row>
    <row r="734" spans="8:15" x14ac:dyDescent="0.25">
      <c r="H734" s="1">
        <v>1379935</v>
      </c>
      <c r="I734" s="4">
        <v>46330.625</v>
      </c>
      <c r="J734" s="1" t="s">
        <v>32</v>
      </c>
      <c r="K734" s="1" t="s">
        <v>92</v>
      </c>
      <c r="L734" s="1" t="s">
        <v>4449</v>
      </c>
      <c r="M734" s="1" t="s">
        <v>5078</v>
      </c>
      <c r="N734" s="1" t="s">
        <v>5075</v>
      </c>
      <c r="O734" s="1" t="s">
        <v>8569</v>
      </c>
    </row>
    <row r="735" spans="8:15" x14ac:dyDescent="0.25">
      <c r="H735" s="1">
        <v>1379936</v>
      </c>
      <c r="I735" s="4">
        <v>46330.625</v>
      </c>
      <c r="J735" s="1" t="s">
        <v>32</v>
      </c>
      <c r="K735" s="1" t="s">
        <v>92</v>
      </c>
      <c r="L735" s="1" t="s">
        <v>4449</v>
      </c>
      <c r="M735" s="1" t="s">
        <v>5074</v>
      </c>
      <c r="N735" s="1" t="s">
        <v>5072</v>
      </c>
      <c r="O735" s="1" t="s">
        <v>8570</v>
      </c>
    </row>
    <row r="736" spans="8:15" x14ac:dyDescent="0.25">
      <c r="H736" s="1">
        <v>1379937</v>
      </c>
      <c r="I736" s="4">
        <v>46330.625</v>
      </c>
      <c r="J736" s="1" t="s">
        <v>32</v>
      </c>
      <c r="K736" s="1" t="s">
        <v>92</v>
      </c>
      <c r="L736" s="1" t="s">
        <v>4449</v>
      </c>
      <c r="M736" s="1" t="s">
        <v>5077</v>
      </c>
      <c r="N736" s="1" t="s">
        <v>5081</v>
      </c>
      <c r="O736" s="1" t="s">
        <v>8571</v>
      </c>
    </row>
    <row r="737" spans="8:15" x14ac:dyDescent="0.25">
      <c r="H737" s="1">
        <v>1379938</v>
      </c>
      <c r="I737" s="4">
        <v>46330.625</v>
      </c>
      <c r="J737" s="1" t="s">
        <v>32</v>
      </c>
      <c r="K737" s="1" t="s">
        <v>92</v>
      </c>
      <c r="L737" s="1" t="s">
        <v>4449</v>
      </c>
      <c r="M737" s="1" t="s">
        <v>5080</v>
      </c>
      <c r="N737" s="1" t="s">
        <v>4451</v>
      </c>
      <c r="O737" s="1" t="s">
        <v>8572</v>
      </c>
    </row>
    <row r="738" spans="8:15" x14ac:dyDescent="0.25">
      <c r="H738" s="1">
        <v>1379939</v>
      </c>
      <c r="I738" s="4">
        <v>46330.625</v>
      </c>
      <c r="J738" s="1" t="s">
        <v>32</v>
      </c>
      <c r="K738" s="1" t="s">
        <v>92</v>
      </c>
      <c r="L738" s="1" t="s">
        <v>4449</v>
      </c>
      <c r="M738" s="1" t="s">
        <v>4450</v>
      </c>
      <c r="N738" s="1" t="s">
        <v>5059</v>
      </c>
      <c r="O738" s="1" t="s">
        <v>8573</v>
      </c>
    </row>
    <row r="739" spans="8:15" x14ac:dyDescent="0.25">
      <c r="H739" s="1">
        <v>1382858</v>
      </c>
      <c r="I739" s="4">
        <v>46330.625</v>
      </c>
      <c r="J739" s="1" t="s">
        <v>32</v>
      </c>
      <c r="K739" s="1" t="s">
        <v>92</v>
      </c>
      <c r="L739" s="1" t="s">
        <v>5083</v>
      </c>
      <c r="M739" s="1" t="s">
        <v>6573</v>
      </c>
      <c r="N739" s="1" t="s">
        <v>5093</v>
      </c>
      <c r="O739" s="1" t="s">
        <v>8574</v>
      </c>
    </row>
    <row r="740" spans="8:15" x14ac:dyDescent="0.25">
      <c r="H740" s="1">
        <v>1382859</v>
      </c>
      <c r="I740" s="4">
        <v>46330.625</v>
      </c>
      <c r="J740" s="1" t="s">
        <v>32</v>
      </c>
      <c r="K740" s="1" t="s">
        <v>92</v>
      </c>
      <c r="L740" s="1" t="s">
        <v>5083</v>
      </c>
      <c r="M740" s="1" t="s">
        <v>1506</v>
      </c>
      <c r="N740" s="1" t="s">
        <v>518</v>
      </c>
      <c r="O740" s="1" t="s">
        <v>8575</v>
      </c>
    </row>
    <row r="741" spans="8:15" x14ac:dyDescent="0.25">
      <c r="H741" s="1">
        <v>1382860</v>
      </c>
      <c r="I741" s="4">
        <v>46330.625</v>
      </c>
      <c r="J741" s="1" t="s">
        <v>32</v>
      </c>
      <c r="K741" s="1" t="s">
        <v>92</v>
      </c>
      <c r="L741" s="1" t="s">
        <v>5083</v>
      </c>
      <c r="M741" s="1" t="s">
        <v>8576</v>
      </c>
      <c r="N741" s="1" t="s">
        <v>5090</v>
      </c>
      <c r="O741" s="1" t="s">
        <v>8577</v>
      </c>
    </row>
    <row r="742" spans="8:15" x14ac:dyDescent="0.25">
      <c r="H742" s="1">
        <v>1382862</v>
      </c>
      <c r="I742" s="4">
        <v>46330.625</v>
      </c>
      <c r="J742" s="1" t="s">
        <v>32</v>
      </c>
      <c r="K742" s="1" t="s">
        <v>92</v>
      </c>
      <c r="L742" s="1" t="s">
        <v>5083</v>
      </c>
      <c r="M742" s="1" t="s">
        <v>5086</v>
      </c>
      <c r="N742" s="1" t="s">
        <v>5092</v>
      </c>
      <c r="O742" s="1" t="s">
        <v>8578</v>
      </c>
    </row>
    <row r="743" spans="8:15" x14ac:dyDescent="0.25">
      <c r="H743" s="1">
        <v>1382863</v>
      </c>
      <c r="I743" s="4">
        <v>46330.625</v>
      </c>
      <c r="J743" s="1" t="s">
        <v>32</v>
      </c>
      <c r="K743" s="1" t="s">
        <v>92</v>
      </c>
      <c r="L743" s="1" t="s">
        <v>5083</v>
      </c>
      <c r="M743" s="1" t="s">
        <v>5089</v>
      </c>
      <c r="N743" s="1" t="s">
        <v>5087</v>
      </c>
      <c r="O743" s="1" t="s">
        <v>8579</v>
      </c>
    </row>
    <row r="744" spans="8:15" x14ac:dyDescent="0.25">
      <c r="H744" s="1">
        <v>1383024</v>
      </c>
      <c r="I744" s="4">
        <v>46330.625</v>
      </c>
      <c r="J744" s="1" t="s">
        <v>32</v>
      </c>
      <c r="K744" s="1" t="s">
        <v>92</v>
      </c>
      <c r="L744" s="1" t="s">
        <v>70</v>
      </c>
      <c r="M744" s="1" t="s">
        <v>5098</v>
      </c>
      <c r="N744" s="1" t="s">
        <v>5095</v>
      </c>
      <c r="O744" s="1" t="s">
        <v>8580</v>
      </c>
    </row>
    <row r="745" spans="8:15" x14ac:dyDescent="0.25">
      <c r="H745" s="1">
        <v>1383025</v>
      </c>
      <c r="I745" s="4">
        <v>46330.625</v>
      </c>
      <c r="J745" s="1" t="s">
        <v>32</v>
      </c>
      <c r="K745" s="1" t="s">
        <v>92</v>
      </c>
      <c r="L745" s="1" t="s">
        <v>70</v>
      </c>
      <c r="M745" s="1" t="s">
        <v>2329</v>
      </c>
      <c r="N745" s="1" t="s">
        <v>5105</v>
      </c>
      <c r="O745" s="1" t="s">
        <v>8581</v>
      </c>
    </row>
    <row r="746" spans="8:15" x14ac:dyDescent="0.25">
      <c r="H746" s="1">
        <v>1383027</v>
      </c>
      <c r="I746" s="4">
        <v>46330.625</v>
      </c>
      <c r="J746" s="1" t="s">
        <v>32</v>
      </c>
      <c r="K746" s="1" t="s">
        <v>92</v>
      </c>
      <c r="L746" s="1" t="s">
        <v>70</v>
      </c>
      <c r="M746" s="1" t="s">
        <v>5101</v>
      </c>
      <c r="N746" s="1" t="s">
        <v>5099</v>
      </c>
      <c r="O746" s="1" t="s">
        <v>8582</v>
      </c>
    </row>
    <row r="747" spans="8:15" x14ac:dyDescent="0.25">
      <c r="H747" s="1">
        <v>1383028</v>
      </c>
      <c r="I747" s="4">
        <v>46330.625</v>
      </c>
      <c r="J747" s="1" t="s">
        <v>32</v>
      </c>
      <c r="K747" s="1" t="s">
        <v>92</v>
      </c>
      <c r="L747" s="1" t="s">
        <v>70</v>
      </c>
      <c r="M747" s="1" t="s">
        <v>8583</v>
      </c>
      <c r="N747" s="1" t="s">
        <v>5102</v>
      </c>
      <c r="O747" s="1" t="s">
        <v>8584</v>
      </c>
    </row>
    <row r="748" spans="8:15" x14ac:dyDescent="0.25">
      <c r="H748" s="1">
        <v>1383204</v>
      </c>
      <c r="I748" s="4">
        <v>46330.625</v>
      </c>
      <c r="J748" s="1" t="s">
        <v>32</v>
      </c>
      <c r="K748" s="1" t="s">
        <v>92</v>
      </c>
      <c r="L748" s="1" t="s">
        <v>266</v>
      </c>
      <c r="M748" s="1" t="s">
        <v>5117</v>
      </c>
      <c r="N748" s="1" t="s">
        <v>5113</v>
      </c>
      <c r="O748" s="1" t="s">
        <v>8585</v>
      </c>
    </row>
    <row r="749" spans="8:15" x14ac:dyDescent="0.25">
      <c r="H749" s="1">
        <v>1383205</v>
      </c>
      <c r="I749" s="4">
        <v>46330.625</v>
      </c>
      <c r="J749" s="1" t="s">
        <v>32</v>
      </c>
      <c r="K749" s="1" t="s">
        <v>92</v>
      </c>
      <c r="L749" s="1" t="s">
        <v>266</v>
      </c>
      <c r="M749" s="1" t="s">
        <v>5111</v>
      </c>
      <c r="N749" s="1" t="s">
        <v>5107</v>
      </c>
      <c r="O749" s="1" t="s">
        <v>8586</v>
      </c>
    </row>
    <row r="750" spans="8:15" x14ac:dyDescent="0.25">
      <c r="H750" s="1">
        <v>1383206</v>
      </c>
      <c r="I750" s="4">
        <v>46330.625</v>
      </c>
      <c r="J750" s="1" t="s">
        <v>32</v>
      </c>
      <c r="K750" s="1" t="s">
        <v>92</v>
      </c>
      <c r="L750" s="1" t="s">
        <v>266</v>
      </c>
      <c r="M750" s="1" t="s">
        <v>5120</v>
      </c>
      <c r="N750" s="1" t="s">
        <v>5114</v>
      </c>
      <c r="O750" s="1" t="s">
        <v>8587</v>
      </c>
    </row>
    <row r="751" spans="8:15" x14ac:dyDescent="0.25">
      <c r="H751" s="1">
        <v>1383207</v>
      </c>
      <c r="I751" s="4">
        <v>46330.625</v>
      </c>
      <c r="J751" s="1" t="s">
        <v>32</v>
      </c>
      <c r="K751" s="1" t="s">
        <v>92</v>
      </c>
      <c r="L751" s="1" t="s">
        <v>266</v>
      </c>
      <c r="M751" s="1" t="s">
        <v>5116</v>
      </c>
      <c r="N751" s="1" t="s">
        <v>5110</v>
      </c>
      <c r="O751" s="1" t="s">
        <v>8588</v>
      </c>
    </row>
    <row r="752" spans="8:15" x14ac:dyDescent="0.25">
      <c r="H752" s="1">
        <v>1383384</v>
      </c>
      <c r="I752" s="4">
        <v>46330.625</v>
      </c>
      <c r="J752" s="1" t="s">
        <v>32</v>
      </c>
      <c r="K752" s="1" t="s">
        <v>92</v>
      </c>
      <c r="L752" s="1" t="s">
        <v>2834</v>
      </c>
      <c r="M752" s="1" t="s">
        <v>5125</v>
      </c>
      <c r="N752" s="1" t="s">
        <v>5129</v>
      </c>
      <c r="O752" s="1" t="s">
        <v>8589</v>
      </c>
    </row>
    <row r="753" spans="8:15" x14ac:dyDescent="0.25">
      <c r="H753" s="1">
        <v>1383385</v>
      </c>
      <c r="I753" s="4">
        <v>46330.625</v>
      </c>
      <c r="J753" s="1" t="s">
        <v>32</v>
      </c>
      <c r="K753" s="1" t="s">
        <v>92</v>
      </c>
      <c r="L753" s="1" t="s">
        <v>2834</v>
      </c>
      <c r="M753" s="1" t="s">
        <v>5131</v>
      </c>
      <c r="N753" s="1" t="s">
        <v>5122</v>
      </c>
      <c r="O753" s="1" t="s">
        <v>8590</v>
      </c>
    </row>
    <row r="754" spans="8:15" x14ac:dyDescent="0.25">
      <c r="H754" s="1">
        <v>1383386</v>
      </c>
      <c r="I754" s="4">
        <v>46330.625</v>
      </c>
      <c r="J754" s="1" t="s">
        <v>32</v>
      </c>
      <c r="K754" s="1" t="s">
        <v>92</v>
      </c>
      <c r="L754" s="1" t="s">
        <v>2834</v>
      </c>
      <c r="M754" s="1" t="s">
        <v>5132</v>
      </c>
      <c r="N754" s="1" t="s">
        <v>5126</v>
      </c>
      <c r="O754" s="1" t="s">
        <v>8591</v>
      </c>
    </row>
    <row r="755" spans="8:15" x14ac:dyDescent="0.25">
      <c r="H755" s="1">
        <v>1383387</v>
      </c>
      <c r="I755" s="4">
        <v>46330.625</v>
      </c>
      <c r="J755" s="1" t="s">
        <v>32</v>
      </c>
      <c r="K755" s="1" t="s">
        <v>92</v>
      </c>
      <c r="L755" s="1" t="s">
        <v>2834</v>
      </c>
      <c r="M755" s="1" t="s">
        <v>5134</v>
      </c>
      <c r="N755" s="1" t="s">
        <v>5128</v>
      </c>
      <c r="O755" s="1" t="s">
        <v>8592</v>
      </c>
    </row>
    <row r="756" spans="8:15" x14ac:dyDescent="0.25">
      <c r="H756" s="1">
        <v>1383388</v>
      </c>
      <c r="I756" s="4">
        <v>46330.625</v>
      </c>
      <c r="J756" s="1" t="s">
        <v>32</v>
      </c>
      <c r="K756" s="1" t="s">
        <v>92</v>
      </c>
      <c r="L756" s="1" t="s">
        <v>2834</v>
      </c>
      <c r="M756" s="1" t="s">
        <v>5135</v>
      </c>
      <c r="N756" s="1" t="s">
        <v>5123</v>
      </c>
      <c r="O756" s="1" t="s">
        <v>8593</v>
      </c>
    </row>
    <row r="757" spans="8:15" x14ac:dyDescent="0.25">
      <c r="H757" s="1">
        <v>1384060</v>
      </c>
      <c r="I757" s="4">
        <v>46330.625</v>
      </c>
      <c r="J757" s="1" t="s">
        <v>32</v>
      </c>
      <c r="K757" s="1" t="s">
        <v>326</v>
      </c>
      <c r="L757" s="1" t="s">
        <v>331</v>
      </c>
      <c r="M757" s="1" t="s">
        <v>6187</v>
      </c>
      <c r="N757" s="1" t="s">
        <v>8594</v>
      </c>
      <c r="O757" s="1" t="s">
        <v>8595</v>
      </c>
    </row>
    <row r="758" spans="8:15" x14ac:dyDescent="0.25">
      <c r="H758" s="1">
        <v>1386500</v>
      </c>
      <c r="I758" s="4">
        <v>46330.625</v>
      </c>
      <c r="J758" s="1" t="s">
        <v>32</v>
      </c>
      <c r="K758" s="1" t="s">
        <v>65</v>
      </c>
      <c r="L758" s="1" t="s">
        <v>2834</v>
      </c>
      <c r="M758" s="1" t="s">
        <v>5163</v>
      </c>
      <c r="N758" s="1" t="s">
        <v>5169</v>
      </c>
      <c r="O758" s="1" t="s">
        <v>8596</v>
      </c>
    </row>
    <row r="759" spans="8:15" x14ac:dyDescent="0.25">
      <c r="H759" s="1">
        <v>1386501</v>
      </c>
      <c r="I759" s="4">
        <v>46330.625</v>
      </c>
      <c r="J759" s="1" t="s">
        <v>32</v>
      </c>
      <c r="K759" s="1" t="s">
        <v>65</v>
      </c>
      <c r="L759" s="1" t="s">
        <v>2834</v>
      </c>
      <c r="M759" s="1" t="s">
        <v>3569</v>
      </c>
      <c r="N759" s="1" t="s">
        <v>5176</v>
      </c>
      <c r="O759" s="1" t="s">
        <v>8597</v>
      </c>
    </row>
    <row r="760" spans="8:15" x14ac:dyDescent="0.25">
      <c r="H760" s="1">
        <v>1386503</v>
      </c>
      <c r="I760" s="4">
        <v>46330.625</v>
      </c>
      <c r="J760" s="1" t="s">
        <v>32</v>
      </c>
      <c r="K760" s="1" t="s">
        <v>65</v>
      </c>
      <c r="L760" s="1" t="s">
        <v>2834</v>
      </c>
      <c r="M760" s="1" t="s">
        <v>3565</v>
      </c>
      <c r="N760" s="1" t="s">
        <v>5178</v>
      </c>
      <c r="O760" s="1" t="s">
        <v>8598</v>
      </c>
    </row>
    <row r="761" spans="8:15" x14ac:dyDescent="0.25">
      <c r="H761" s="1">
        <v>1386504</v>
      </c>
      <c r="I761" s="4">
        <v>46330.625</v>
      </c>
      <c r="J761" s="1" t="s">
        <v>32</v>
      </c>
      <c r="K761" s="1" t="s">
        <v>65</v>
      </c>
      <c r="L761" s="1" t="s">
        <v>2834</v>
      </c>
      <c r="M761" s="1" t="s">
        <v>5164</v>
      </c>
      <c r="N761" s="1" t="s">
        <v>5187</v>
      </c>
      <c r="O761" s="1" t="s">
        <v>8599</v>
      </c>
    </row>
    <row r="762" spans="8:15" x14ac:dyDescent="0.25">
      <c r="H762" s="1">
        <v>1386506</v>
      </c>
      <c r="I762" s="4">
        <v>46330.625</v>
      </c>
      <c r="J762" s="1" t="s">
        <v>32</v>
      </c>
      <c r="K762" s="1" t="s">
        <v>65</v>
      </c>
      <c r="L762" s="1" t="s">
        <v>2834</v>
      </c>
      <c r="M762" s="1" t="s">
        <v>5175</v>
      </c>
      <c r="N762" s="1" t="s">
        <v>5185</v>
      </c>
      <c r="O762" s="1" t="s">
        <v>8600</v>
      </c>
    </row>
    <row r="763" spans="8:15" x14ac:dyDescent="0.25">
      <c r="H763" s="1">
        <v>1386508</v>
      </c>
      <c r="I763" s="4">
        <v>46330.625</v>
      </c>
      <c r="J763" s="1" t="s">
        <v>32</v>
      </c>
      <c r="K763" s="1" t="s">
        <v>65</v>
      </c>
      <c r="L763" s="1" t="s">
        <v>2834</v>
      </c>
      <c r="M763" s="1" t="s">
        <v>3566</v>
      </c>
      <c r="N763" s="1" t="s">
        <v>5172</v>
      </c>
      <c r="O763" s="1" t="s">
        <v>8601</v>
      </c>
    </row>
    <row r="764" spans="8:15" x14ac:dyDescent="0.25">
      <c r="H764" s="1">
        <v>1386509</v>
      </c>
      <c r="I764" s="4">
        <v>46330.625</v>
      </c>
      <c r="J764" s="1" t="s">
        <v>32</v>
      </c>
      <c r="K764" s="1" t="s">
        <v>65</v>
      </c>
      <c r="L764" s="1" t="s">
        <v>2834</v>
      </c>
      <c r="M764" s="1" t="s">
        <v>5184</v>
      </c>
      <c r="N764" s="1" t="s">
        <v>5181</v>
      </c>
      <c r="O764" s="1" t="s">
        <v>8602</v>
      </c>
    </row>
    <row r="765" spans="8:15" x14ac:dyDescent="0.25">
      <c r="H765" s="1">
        <v>1386510</v>
      </c>
      <c r="I765" s="4">
        <v>46330.625</v>
      </c>
      <c r="J765" s="1" t="s">
        <v>32</v>
      </c>
      <c r="K765" s="1" t="s">
        <v>65</v>
      </c>
      <c r="L765" s="1" t="s">
        <v>2834</v>
      </c>
      <c r="M765" s="1" t="s">
        <v>5190</v>
      </c>
      <c r="N765" s="1" t="s">
        <v>5179</v>
      </c>
      <c r="O765" s="1" t="s">
        <v>8603</v>
      </c>
    </row>
    <row r="766" spans="8:15" x14ac:dyDescent="0.25">
      <c r="H766" s="1">
        <v>1386511</v>
      </c>
      <c r="I766" s="4">
        <v>46330.625</v>
      </c>
      <c r="J766" s="1" t="s">
        <v>32</v>
      </c>
      <c r="K766" s="1" t="s">
        <v>65</v>
      </c>
      <c r="L766" s="1" t="s">
        <v>2834</v>
      </c>
      <c r="M766" s="1" t="s">
        <v>5191</v>
      </c>
      <c r="N766" s="1" t="s">
        <v>5182</v>
      </c>
      <c r="O766" s="1" t="s">
        <v>8604</v>
      </c>
    </row>
    <row r="767" spans="8:15" x14ac:dyDescent="0.25">
      <c r="H767" s="1">
        <v>1387045</v>
      </c>
      <c r="I767" s="4">
        <v>46330.625</v>
      </c>
      <c r="J767" s="1" t="s">
        <v>32</v>
      </c>
      <c r="K767" s="1" t="s">
        <v>65</v>
      </c>
      <c r="L767" s="1" t="s">
        <v>70</v>
      </c>
      <c r="M767" s="1" t="s">
        <v>5198</v>
      </c>
      <c r="N767" s="1" t="s">
        <v>6500</v>
      </c>
      <c r="O767" s="1" t="s">
        <v>8605</v>
      </c>
    </row>
    <row r="768" spans="8:15" x14ac:dyDescent="0.25">
      <c r="H768" s="1">
        <v>1387046</v>
      </c>
      <c r="I768" s="4">
        <v>46330.625</v>
      </c>
      <c r="J768" s="1" t="s">
        <v>32</v>
      </c>
      <c r="K768" s="1" t="s">
        <v>65</v>
      </c>
      <c r="L768" s="1" t="s">
        <v>70</v>
      </c>
      <c r="M768" s="1" t="s">
        <v>5204</v>
      </c>
      <c r="N768" s="1" t="s">
        <v>5200</v>
      </c>
      <c r="O768" s="1" t="s">
        <v>8606</v>
      </c>
    </row>
    <row r="769" spans="8:15" x14ac:dyDescent="0.25">
      <c r="H769" s="1">
        <v>1387047</v>
      </c>
      <c r="I769" s="4">
        <v>46330.625</v>
      </c>
      <c r="J769" s="1" t="s">
        <v>32</v>
      </c>
      <c r="K769" s="1" t="s">
        <v>65</v>
      </c>
      <c r="L769" s="1" t="s">
        <v>70</v>
      </c>
      <c r="M769" s="1" t="s">
        <v>5195</v>
      </c>
      <c r="N769" s="1" t="s">
        <v>5197</v>
      </c>
      <c r="O769" s="1" t="s">
        <v>8607</v>
      </c>
    </row>
    <row r="770" spans="8:15" x14ac:dyDescent="0.25">
      <c r="H770" s="1">
        <v>1387050</v>
      </c>
      <c r="I770" s="4">
        <v>46330.625</v>
      </c>
      <c r="J770" s="1" t="s">
        <v>32</v>
      </c>
      <c r="K770" s="1" t="s">
        <v>65</v>
      </c>
      <c r="L770" s="1" t="s">
        <v>70</v>
      </c>
      <c r="M770" s="1" t="s">
        <v>473</v>
      </c>
      <c r="N770" s="1" t="s">
        <v>598</v>
      </c>
      <c r="O770" s="1" t="s">
        <v>8608</v>
      </c>
    </row>
    <row r="771" spans="8:15" x14ac:dyDescent="0.25">
      <c r="H771" s="1">
        <v>1387052</v>
      </c>
      <c r="I771" s="4">
        <v>46330.625</v>
      </c>
      <c r="J771" s="1" t="s">
        <v>32</v>
      </c>
      <c r="K771" s="1" t="s">
        <v>65</v>
      </c>
      <c r="L771" s="1" t="s">
        <v>70</v>
      </c>
      <c r="M771" s="1" t="s">
        <v>8609</v>
      </c>
      <c r="N771" s="1" t="s">
        <v>3576</v>
      </c>
      <c r="O771" s="1" t="s">
        <v>8610</v>
      </c>
    </row>
    <row r="772" spans="8:15" x14ac:dyDescent="0.25">
      <c r="H772" s="1">
        <v>1387053</v>
      </c>
      <c r="I772" s="4">
        <v>46330.625</v>
      </c>
      <c r="J772" s="1" t="s">
        <v>32</v>
      </c>
      <c r="K772" s="1" t="s">
        <v>65</v>
      </c>
      <c r="L772" s="1" t="s">
        <v>70</v>
      </c>
      <c r="M772" s="1" t="s">
        <v>1282</v>
      </c>
      <c r="N772" s="1" t="s">
        <v>3573</v>
      </c>
      <c r="O772" s="1" t="s">
        <v>8611</v>
      </c>
    </row>
    <row r="773" spans="8:15" x14ac:dyDescent="0.25">
      <c r="H773" s="1">
        <v>1387054</v>
      </c>
      <c r="I773" s="4">
        <v>46330.625</v>
      </c>
      <c r="J773" s="1" t="s">
        <v>32</v>
      </c>
      <c r="K773" s="1" t="s">
        <v>65</v>
      </c>
      <c r="L773" s="1" t="s">
        <v>70</v>
      </c>
      <c r="M773" s="1" t="s">
        <v>5193</v>
      </c>
      <c r="N773" s="1" t="s">
        <v>8612</v>
      </c>
      <c r="O773" s="1" t="s">
        <v>8613</v>
      </c>
    </row>
    <row r="774" spans="8:15" x14ac:dyDescent="0.25">
      <c r="H774" s="1">
        <v>1387607</v>
      </c>
      <c r="I774" s="4">
        <v>46330.625</v>
      </c>
      <c r="J774" s="1" t="s">
        <v>32</v>
      </c>
      <c r="K774" s="1" t="s">
        <v>65</v>
      </c>
      <c r="L774" s="1" t="s">
        <v>266</v>
      </c>
      <c r="M774" s="1" t="s">
        <v>3581</v>
      </c>
      <c r="N774" s="1" t="s">
        <v>642</v>
      </c>
      <c r="O774" s="1" t="s">
        <v>8614</v>
      </c>
    </row>
    <row r="775" spans="8:15" x14ac:dyDescent="0.25">
      <c r="H775" s="1">
        <v>1387608</v>
      </c>
      <c r="I775" s="4">
        <v>46330.625</v>
      </c>
      <c r="J775" s="1" t="s">
        <v>32</v>
      </c>
      <c r="K775" s="1" t="s">
        <v>65</v>
      </c>
      <c r="L775" s="1" t="s">
        <v>266</v>
      </c>
      <c r="M775" s="1" t="s">
        <v>641</v>
      </c>
      <c r="N775" s="1" t="s">
        <v>5225</v>
      </c>
      <c r="O775" s="1" t="s">
        <v>8615</v>
      </c>
    </row>
    <row r="776" spans="8:15" x14ac:dyDescent="0.25">
      <c r="H776" s="1">
        <v>1387609</v>
      </c>
      <c r="I776" s="4">
        <v>46330.625</v>
      </c>
      <c r="J776" s="1" t="s">
        <v>32</v>
      </c>
      <c r="K776" s="1" t="s">
        <v>65</v>
      </c>
      <c r="L776" s="1" t="s">
        <v>266</v>
      </c>
      <c r="M776" s="1" t="s">
        <v>5214</v>
      </c>
      <c r="N776" s="1" t="s">
        <v>1224</v>
      </c>
      <c r="O776" s="1" t="s">
        <v>8616</v>
      </c>
    </row>
    <row r="777" spans="8:15" x14ac:dyDescent="0.25">
      <c r="H777" s="1">
        <v>1387610</v>
      </c>
      <c r="I777" s="4">
        <v>46330.625</v>
      </c>
      <c r="J777" s="1" t="s">
        <v>32</v>
      </c>
      <c r="K777" s="1" t="s">
        <v>65</v>
      </c>
      <c r="L777" s="1" t="s">
        <v>266</v>
      </c>
      <c r="M777" s="1" t="s">
        <v>5212</v>
      </c>
      <c r="N777" s="1" t="s">
        <v>5226</v>
      </c>
      <c r="O777" s="1" t="s">
        <v>8617</v>
      </c>
    </row>
    <row r="778" spans="8:15" x14ac:dyDescent="0.25">
      <c r="H778" s="1">
        <v>1387611</v>
      </c>
      <c r="I778" s="4">
        <v>46330.625</v>
      </c>
      <c r="J778" s="1" t="s">
        <v>32</v>
      </c>
      <c r="K778" s="1" t="s">
        <v>65</v>
      </c>
      <c r="L778" s="1" t="s">
        <v>266</v>
      </c>
      <c r="M778" s="1" t="s">
        <v>5222</v>
      </c>
      <c r="N778" s="1" t="s">
        <v>521</v>
      </c>
      <c r="O778" s="1" t="s">
        <v>8618</v>
      </c>
    </row>
    <row r="779" spans="8:15" x14ac:dyDescent="0.25">
      <c r="H779" s="1">
        <v>1387615</v>
      </c>
      <c r="I779" s="4">
        <v>46330.625</v>
      </c>
      <c r="J779" s="1" t="s">
        <v>32</v>
      </c>
      <c r="K779" s="1" t="s">
        <v>65</v>
      </c>
      <c r="L779" s="1" t="s">
        <v>266</v>
      </c>
      <c r="M779" s="1" t="s">
        <v>5218</v>
      </c>
      <c r="N779" s="1" t="s">
        <v>5211</v>
      </c>
      <c r="O779" s="1" t="s">
        <v>8619</v>
      </c>
    </row>
    <row r="780" spans="8:15" x14ac:dyDescent="0.25">
      <c r="H780" s="1">
        <v>1387617</v>
      </c>
      <c r="I780" s="4">
        <v>46330.625</v>
      </c>
      <c r="J780" s="1" t="s">
        <v>32</v>
      </c>
      <c r="K780" s="1" t="s">
        <v>65</v>
      </c>
      <c r="L780" s="1" t="s">
        <v>266</v>
      </c>
      <c r="M780" s="1" t="s">
        <v>5228</v>
      </c>
      <c r="N780" s="1" t="s">
        <v>520</v>
      </c>
      <c r="O780" s="1" t="s">
        <v>8620</v>
      </c>
    </row>
    <row r="781" spans="8:15" x14ac:dyDescent="0.25">
      <c r="H781" s="1">
        <v>1389073</v>
      </c>
      <c r="I781" s="4">
        <v>46330.625</v>
      </c>
      <c r="J781" s="1" t="s">
        <v>32</v>
      </c>
      <c r="K781" s="1" t="s">
        <v>64</v>
      </c>
      <c r="L781" s="1" t="s">
        <v>269</v>
      </c>
      <c r="M781" s="1" t="s">
        <v>2260</v>
      </c>
      <c r="N781" s="1" t="s">
        <v>8621</v>
      </c>
      <c r="O781" s="1" t="s">
        <v>8622</v>
      </c>
    </row>
    <row r="782" spans="8:15" x14ac:dyDescent="0.25">
      <c r="H782" s="1">
        <v>1389074</v>
      </c>
      <c r="I782" s="4">
        <v>46330.625</v>
      </c>
      <c r="J782" s="1" t="s">
        <v>32</v>
      </c>
      <c r="K782" s="1" t="s">
        <v>64</v>
      </c>
      <c r="L782" s="1" t="s">
        <v>269</v>
      </c>
      <c r="M782" s="1" t="s">
        <v>8623</v>
      </c>
      <c r="N782" s="1" t="s">
        <v>5230</v>
      </c>
      <c r="O782" s="1" t="s">
        <v>8624</v>
      </c>
    </row>
    <row r="783" spans="8:15" x14ac:dyDescent="0.25">
      <c r="H783" s="1">
        <v>1389569</v>
      </c>
      <c r="I783" s="4">
        <v>46330.625</v>
      </c>
      <c r="J783" s="1" t="s">
        <v>32</v>
      </c>
      <c r="K783" s="1" t="s">
        <v>5138</v>
      </c>
      <c r="L783" s="1" t="s">
        <v>5233</v>
      </c>
      <c r="M783" s="1" t="s">
        <v>5234</v>
      </c>
      <c r="N783" s="1" t="s">
        <v>5244</v>
      </c>
      <c r="O783" s="1" t="s">
        <v>8625</v>
      </c>
    </row>
    <row r="784" spans="8:15" x14ac:dyDescent="0.25">
      <c r="H784" s="1">
        <v>1389570</v>
      </c>
      <c r="I784" s="4">
        <v>46330.625</v>
      </c>
      <c r="J784" s="1" t="s">
        <v>32</v>
      </c>
      <c r="K784" s="1" t="s">
        <v>5138</v>
      </c>
      <c r="L784" s="1" t="s">
        <v>5233</v>
      </c>
      <c r="M784" s="1" t="s">
        <v>5247</v>
      </c>
      <c r="N784" s="1" t="s">
        <v>5237</v>
      </c>
      <c r="O784" s="1" t="s">
        <v>8626</v>
      </c>
    </row>
    <row r="785" spans="8:15" x14ac:dyDescent="0.25">
      <c r="H785" s="1">
        <v>1389571</v>
      </c>
      <c r="I785" s="4">
        <v>46330.625</v>
      </c>
      <c r="J785" s="1" t="s">
        <v>32</v>
      </c>
      <c r="K785" s="1" t="s">
        <v>5138</v>
      </c>
      <c r="L785" s="1" t="s">
        <v>5233</v>
      </c>
      <c r="M785" s="1" t="s">
        <v>5249</v>
      </c>
      <c r="N785" s="1" t="s">
        <v>5235</v>
      </c>
      <c r="O785" s="1" t="s">
        <v>8627</v>
      </c>
    </row>
    <row r="786" spans="8:15" x14ac:dyDescent="0.25">
      <c r="H786" s="1">
        <v>1389572</v>
      </c>
      <c r="I786" s="4">
        <v>46330.625</v>
      </c>
      <c r="J786" s="1" t="s">
        <v>32</v>
      </c>
      <c r="K786" s="1" t="s">
        <v>5138</v>
      </c>
      <c r="L786" s="1" t="s">
        <v>5233</v>
      </c>
      <c r="M786" s="1" t="s">
        <v>5253</v>
      </c>
      <c r="N786" s="1" t="s">
        <v>5238</v>
      </c>
      <c r="O786" s="1" t="s">
        <v>8628</v>
      </c>
    </row>
    <row r="787" spans="8:15" x14ac:dyDescent="0.25">
      <c r="H787" s="1">
        <v>1389573</v>
      </c>
      <c r="I787" s="4">
        <v>46330.625</v>
      </c>
      <c r="J787" s="1" t="s">
        <v>32</v>
      </c>
      <c r="K787" s="1" t="s">
        <v>5138</v>
      </c>
      <c r="L787" s="1" t="s">
        <v>5233</v>
      </c>
      <c r="M787" s="1" t="s">
        <v>5246</v>
      </c>
      <c r="N787" s="1" t="s">
        <v>5252</v>
      </c>
      <c r="O787" s="1" t="s">
        <v>8629</v>
      </c>
    </row>
    <row r="788" spans="8:15" x14ac:dyDescent="0.25">
      <c r="H788" s="1">
        <v>1389574</v>
      </c>
      <c r="I788" s="4">
        <v>46330.625</v>
      </c>
      <c r="J788" s="1" t="s">
        <v>32</v>
      </c>
      <c r="K788" s="1" t="s">
        <v>5138</v>
      </c>
      <c r="L788" s="1" t="s">
        <v>5233</v>
      </c>
      <c r="M788" s="1" t="s">
        <v>5243</v>
      </c>
      <c r="N788" s="1" t="s">
        <v>5240</v>
      </c>
      <c r="O788" s="1" t="s">
        <v>8630</v>
      </c>
    </row>
    <row r="789" spans="8:15" x14ac:dyDescent="0.25">
      <c r="H789" s="1">
        <v>1389575</v>
      </c>
      <c r="I789" s="4">
        <v>46330.625</v>
      </c>
      <c r="J789" s="1" t="s">
        <v>32</v>
      </c>
      <c r="K789" s="1" t="s">
        <v>5138</v>
      </c>
      <c r="L789" s="1" t="s">
        <v>5233</v>
      </c>
      <c r="M789" s="1" t="s">
        <v>5250</v>
      </c>
      <c r="N789" s="1" t="s">
        <v>5241</v>
      </c>
      <c r="O789" s="1" t="s">
        <v>8631</v>
      </c>
    </row>
    <row r="790" spans="8:15" x14ac:dyDescent="0.25">
      <c r="H790" s="1">
        <v>1392804</v>
      </c>
      <c r="I790" s="4">
        <v>46330.625</v>
      </c>
      <c r="J790" s="1" t="s">
        <v>32</v>
      </c>
      <c r="K790" s="1" t="s">
        <v>71</v>
      </c>
      <c r="L790" s="1" t="s">
        <v>344</v>
      </c>
      <c r="M790" s="1" t="s">
        <v>6792</v>
      </c>
      <c r="N790" s="1" t="s">
        <v>6790</v>
      </c>
      <c r="O790" s="1" t="s">
        <v>8632</v>
      </c>
    </row>
    <row r="791" spans="8:15" x14ac:dyDescent="0.25">
      <c r="H791" s="1">
        <v>1394006</v>
      </c>
      <c r="I791" s="4">
        <v>46330.625</v>
      </c>
      <c r="J791" s="1" t="s">
        <v>32</v>
      </c>
      <c r="K791" s="1" t="s">
        <v>390</v>
      </c>
      <c r="L791" s="1" t="s">
        <v>391</v>
      </c>
      <c r="M791" s="1" t="s">
        <v>1362</v>
      </c>
      <c r="N791" s="1" t="s">
        <v>1623</v>
      </c>
      <c r="O791" s="1" t="s">
        <v>8633</v>
      </c>
    </row>
    <row r="792" spans="8:15" x14ac:dyDescent="0.25">
      <c r="H792" s="1">
        <v>1394007</v>
      </c>
      <c r="I792" s="4">
        <v>46330.625</v>
      </c>
      <c r="J792" s="1" t="s">
        <v>32</v>
      </c>
      <c r="K792" s="1" t="s">
        <v>390</v>
      </c>
      <c r="L792" s="1" t="s">
        <v>391</v>
      </c>
      <c r="M792" s="1" t="s">
        <v>1363</v>
      </c>
      <c r="N792" s="1" t="s">
        <v>1622</v>
      </c>
      <c r="O792" s="1" t="s">
        <v>8634</v>
      </c>
    </row>
    <row r="793" spans="8:15" x14ac:dyDescent="0.25">
      <c r="H793" s="1">
        <v>1394012</v>
      </c>
      <c r="I793" s="4">
        <v>46330.625</v>
      </c>
      <c r="J793" s="1" t="s">
        <v>32</v>
      </c>
      <c r="K793" s="1" t="s">
        <v>390</v>
      </c>
      <c r="L793" s="1" t="s">
        <v>391</v>
      </c>
      <c r="M793" s="1" t="s">
        <v>1365</v>
      </c>
      <c r="N793" s="1" t="s">
        <v>1624</v>
      </c>
      <c r="O793" s="1" t="s">
        <v>8635</v>
      </c>
    </row>
    <row r="794" spans="8:15" x14ac:dyDescent="0.25">
      <c r="H794" s="1">
        <v>1394685</v>
      </c>
      <c r="I794" s="4">
        <v>46330.625</v>
      </c>
      <c r="J794" s="1" t="s">
        <v>32</v>
      </c>
      <c r="K794" s="1" t="s">
        <v>42</v>
      </c>
      <c r="L794" s="1" t="s">
        <v>61</v>
      </c>
      <c r="M794" s="1" t="s">
        <v>508</v>
      </c>
      <c r="N794" s="1" t="s">
        <v>509</v>
      </c>
      <c r="O794" s="1" t="s">
        <v>8636</v>
      </c>
    </row>
    <row r="795" spans="8:15" x14ac:dyDescent="0.25">
      <c r="H795" s="1">
        <v>1394924</v>
      </c>
      <c r="I795" s="4">
        <v>46330.625</v>
      </c>
      <c r="J795" s="1" t="s">
        <v>32</v>
      </c>
      <c r="K795" s="1" t="s">
        <v>268</v>
      </c>
      <c r="L795" s="1" t="s">
        <v>392</v>
      </c>
      <c r="M795" s="1" t="s">
        <v>914</v>
      </c>
      <c r="N795" s="1" t="s">
        <v>4458</v>
      </c>
      <c r="O795" s="1" t="s">
        <v>8637</v>
      </c>
    </row>
    <row r="796" spans="8:15" x14ac:dyDescent="0.25">
      <c r="H796" s="1">
        <v>1394925</v>
      </c>
      <c r="I796" s="4">
        <v>46330.625</v>
      </c>
      <c r="J796" s="1" t="s">
        <v>32</v>
      </c>
      <c r="K796" s="1" t="s">
        <v>268</v>
      </c>
      <c r="L796" s="1" t="s">
        <v>392</v>
      </c>
      <c r="M796" s="1" t="s">
        <v>4466</v>
      </c>
      <c r="N796" s="1" t="s">
        <v>896</v>
      </c>
      <c r="O796" s="1" t="s">
        <v>8638</v>
      </c>
    </row>
    <row r="797" spans="8:15" x14ac:dyDescent="0.25">
      <c r="H797" s="1">
        <v>1394926</v>
      </c>
      <c r="I797" s="4">
        <v>46330.625</v>
      </c>
      <c r="J797" s="1" t="s">
        <v>32</v>
      </c>
      <c r="K797" s="1" t="s">
        <v>268</v>
      </c>
      <c r="L797" s="1" t="s">
        <v>392</v>
      </c>
      <c r="M797" s="1" t="s">
        <v>8639</v>
      </c>
      <c r="N797" s="1" t="s">
        <v>8640</v>
      </c>
      <c r="O797" s="1" t="s">
        <v>8641</v>
      </c>
    </row>
    <row r="798" spans="8:15" x14ac:dyDescent="0.25">
      <c r="H798" s="1">
        <v>1394927</v>
      </c>
      <c r="I798" s="4">
        <v>46330.625</v>
      </c>
      <c r="J798" s="1" t="s">
        <v>32</v>
      </c>
      <c r="K798" s="1" t="s">
        <v>268</v>
      </c>
      <c r="L798" s="1" t="s">
        <v>392</v>
      </c>
      <c r="M798" s="1" t="s">
        <v>897</v>
      </c>
      <c r="N798" s="1" t="s">
        <v>4463</v>
      </c>
      <c r="O798" s="1" t="s">
        <v>8642</v>
      </c>
    </row>
    <row r="799" spans="8:15" x14ac:dyDescent="0.25">
      <c r="H799" s="1">
        <v>1396744</v>
      </c>
      <c r="I799" s="4">
        <v>46330.625</v>
      </c>
      <c r="J799" s="1" t="s">
        <v>32</v>
      </c>
      <c r="K799" s="1" t="s">
        <v>682</v>
      </c>
      <c r="L799" s="1" t="s">
        <v>683</v>
      </c>
      <c r="M799" s="1" t="s">
        <v>8643</v>
      </c>
      <c r="N799" s="1" t="s">
        <v>2262</v>
      </c>
      <c r="O799" s="1" t="s">
        <v>8644</v>
      </c>
    </row>
    <row r="800" spans="8:15" x14ac:dyDescent="0.25">
      <c r="H800" s="1">
        <v>1398881</v>
      </c>
      <c r="I800" s="4">
        <v>46330.625</v>
      </c>
      <c r="J800" s="1" t="s">
        <v>32</v>
      </c>
      <c r="K800" s="1" t="s">
        <v>332</v>
      </c>
      <c r="L800" s="1" t="s">
        <v>396</v>
      </c>
      <c r="M800" s="1" t="s">
        <v>4498</v>
      </c>
      <c r="N800" s="1" t="s">
        <v>3701</v>
      </c>
      <c r="O800" s="1" t="s">
        <v>8645</v>
      </c>
    </row>
    <row r="801" spans="8:15" x14ac:dyDescent="0.25">
      <c r="H801" s="1">
        <v>1399914</v>
      </c>
      <c r="I801" s="4">
        <v>46330.625</v>
      </c>
      <c r="J801" s="1" t="s">
        <v>32</v>
      </c>
      <c r="K801" s="1" t="s">
        <v>65</v>
      </c>
      <c r="L801" s="1" t="s">
        <v>104</v>
      </c>
      <c r="M801" s="1" t="s">
        <v>3584</v>
      </c>
      <c r="N801" s="1" t="s">
        <v>5264</v>
      </c>
      <c r="O801" s="1" t="s">
        <v>8646</v>
      </c>
    </row>
    <row r="802" spans="8:15" x14ac:dyDescent="0.25">
      <c r="H802" s="1">
        <v>1399915</v>
      </c>
      <c r="I802" s="4">
        <v>46330.625</v>
      </c>
      <c r="J802" s="1" t="s">
        <v>32</v>
      </c>
      <c r="K802" s="1" t="s">
        <v>65</v>
      </c>
      <c r="L802" s="1" t="s">
        <v>104</v>
      </c>
      <c r="M802" s="1" t="s">
        <v>5260</v>
      </c>
      <c r="N802" s="1" t="s">
        <v>5276</v>
      </c>
      <c r="O802" s="1" t="s">
        <v>8647</v>
      </c>
    </row>
    <row r="803" spans="8:15" x14ac:dyDescent="0.25">
      <c r="H803" s="1">
        <v>1399917</v>
      </c>
      <c r="I803" s="4">
        <v>46330.625</v>
      </c>
      <c r="J803" s="1" t="s">
        <v>32</v>
      </c>
      <c r="K803" s="1" t="s">
        <v>65</v>
      </c>
      <c r="L803" s="1" t="s">
        <v>104</v>
      </c>
      <c r="M803" s="1" t="s">
        <v>5270</v>
      </c>
      <c r="N803" s="1" t="s">
        <v>5282</v>
      </c>
      <c r="O803" s="1" t="s">
        <v>8648</v>
      </c>
    </row>
    <row r="804" spans="8:15" x14ac:dyDescent="0.25">
      <c r="H804" s="1">
        <v>1399918</v>
      </c>
      <c r="I804" s="4">
        <v>46330.625</v>
      </c>
      <c r="J804" s="1" t="s">
        <v>32</v>
      </c>
      <c r="K804" s="1" t="s">
        <v>65</v>
      </c>
      <c r="L804" s="1" t="s">
        <v>104</v>
      </c>
      <c r="M804" s="1" t="s">
        <v>5269</v>
      </c>
      <c r="N804" s="1" t="s">
        <v>5281</v>
      </c>
      <c r="O804" s="1" t="s">
        <v>8649</v>
      </c>
    </row>
    <row r="805" spans="8:15" x14ac:dyDescent="0.25">
      <c r="H805" s="1">
        <v>1399919</v>
      </c>
      <c r="I805" s="4">
        <v>46330.625</v>
      </c>
      <c r="J805" s="1" t="s">
        <v>32</v>
      </c>
      <c r="K805" s="1" t="s">
        <v>65</v>
      </c>
      <c r="L805" s="1" t="s">
        <v>104</v>
      </c>
      <c r="M805" s="1" t="s">
        <v>5272</v>
      </c>
      <c r="N805" s="1" t="s">
        <v>5266</v>
      </c>
      <c r="O805" s="1" t="s">
        <v>8650</v>
      </c>
    </row>
    <row r="806" spans="8:15" x14ac:dyDescent="0.25">
      <c r="H806" s="1">
        <v>1399921</v>
      </c>
      <c r="I806" s="4">
        <v>46330.625</v>
      </c>
      <c r="J806" s="1" t="s">
        <v>32</v>
      </c>
      <c r="K806" s="1" t="s">
        <v>65</v>
      </c>
      <c r="L806" s="1" t="s">
        <v>104</v>
      </c>
      <c r="M806" s="1" t="s">
        <v>5267</v>
      </c>
      <c r="N806" s="1" t="s">
        <v>5288</v>
      </c>
      <c r="O806" s="1" t="s">
        <v>8651</v>
      </c>
    </row>
    <row r="807" spans="8:15" x14ac:dyDescent="0.25">
      <c r="H807" s="1">
        <v>1399922</v>
      </c>
      <c r="I807" s="4">
        <v>46330.625</v>
      </c>
      <c r="J807" s="1" t="s">
        <v>32</v>
      </c>
      <c r="K807" s="1" t="s">
        <v>65</v>
      </c>
      <c r="L807" s="1" t="s">
        <v>104</v>
      </c>
      <c r="M807" s="1" t="s">
        <v>5261</v>
      </c>
      <c r="N807" s="1" t="s">
        <v>6526</v>
      </c>
      <c r="O807" s="1" t="s">
        <v>8652</v>
      </c>
    </row>
    <row r="808" spans="8:15" x14ac:dyDescent="0.25">
      <c r="H808" s="1">
        <v>1399924</v>
      </c>
      <c r="I808" s="4">
        <v>46330.625</v>
      </c>
      <c r="J808" s="1" t="s">
        <v>32</v>
      </c>
      <c r="K808" s="1" t="s">
        <v>65</v>
      </c>
      <c r="L808" s="1" t="s">
        <v>104</v>
      </c>
      <c r="M808" s="1" t="s">
        <v>3583</v>
      </c>
      <c r="N808" s="1" t="s">
        <v>5285</v>
      </c>
      <c r="O808" s="1" t="s">
        <v>8653</v>
      </c>
    </row>
    <row r="809" spans="8:15" x14ac:dyDescent="0.25">
      <c r="H809" s="1">
        <v>1399925</v>
      </c>
      <c r="I809" s="4">
        <v>46330.625</v>
      </c>
      <c r="J809" s="1" t="s">
        <v>32</v>
      </c>
      <c r="K809" s="1" t="s">
        <v>65</v>
      </c>
      <c r="L809" s="1" t="s">
        <v>104</v>
      </c>
      <c r="M809" s="1" t="s">
        <v>5284</v>
      </c>
      <c r="N809" s="1" t="s">
        <v>6527</v>
      </c>
      <c r="O809" s="1" t="s">
        <v>8654</v>
      </c>
    </row>
    <row r="810" spans="8:15" x14ac:dyDescent="0.25">
      <c r="H810" s="1">
        <v>1402007</v>
      </c>
      <c r="I810" s="4">
        <v>46330.625</v>
      </c>
      <c r="J810" s="1" t="s">
        <v>32</v>
      </c>
      <c r="K810" s="1" t="s">
        <v>65</v>
      </c>
      <c r="L810" s="1" t="s">
        <v>5290</v>
      </c>
      <c r="M810" s="1" t="s">
        <v>5291</v>
      </c>
      <c r="N810" s="1" t="s">
        <v>5319</v>
      </c>
      <c r="O810" s="1" t="s">
        <v>8655</v>
      </c>
    </row>
    <row r="811" spans="8:15" x14ac:dyDescent="0.25">
      <c r="H811" s="1">
        <v>1402008</v>
      </c>
      <c r="I811" s="4">
        <v>46330.625</v>
      </c>
      <c r="J811" s="1" t="s">
        <v>32</v>
      </c>
      <c r="K811" s="1" t="s">
        <v>65</v>
      </c>
      <c r="L811" s="1" t="s">
        <v>5290</v>
      </c>
      <c r="M811" s="1" t="s">
        <v>5325</v>
      </c>
      <c r="N811" s="1" t="s">
        <v>5297</v>
      </c>
      <c r="O811" s="1" t="s">
        <v>8656</v>
      </c>
    </row>
    <row r="812" spans="8:15" x14ac:dyDescent="0.25">
      <c r="H812" s="1">
        <v>1402009</v>
      </c>
      <c r="I812" s="4">
        <v>46330.625</v>
      </c>
      <c r="J812" s="1" t="s">
        <v>32</v>
      </c>
      <c r="K812" s="1" t="s">
        <v>65</v>
      </c>
      <c r="L812" s="1" t="s">
        <v>5290</v>
      </c>
      <c r="M812" s="1" t="s">
        <v>5294</v>
      </c>
      <c r="N812" s="1" t="s">
        <v>5318</v>
      </c>
      <c r="O812" s="1" t="s">
        <v>8657</v>
      </c>
    </row>
    <row r="813" spans="8:15" x14ac:dyDescent="0.25">
      <c r="H813" s="1">
        <v>1402010</v>
      </c>
      <c r="I813" s="4">
        <v>46330.625</v>
      </c>
      <c r="J813" s="1" t="s">
        <v>32</v>
      </c>
      <c r="K813" s="1" t="s">
        <v>65</v>
      </c>
      <c r="L813" s="1" t="s">
        <v>5290</v>
      </c>
      <c r="M813" s="1" t="s">
        <v>5295</v>
      </c>
      <c r="N813" s="1" t="s">
        <v>5309</v>
      </c>
      <c r="O813" s="1" t="s">
        <v>8658</v>
      </c>
    </row>
    <row r="814" spans="8:15" x14ac:dyDescent="0.25">
      <c r="H814" s="1">
        <v>1402011</v>
      </c>
      <c r="I814" s="4">
        <v>46330.625</v>
      </c>
      <c r="J814" s="1" t="s">
        <v>32</v>
      </c>
      <c r="K814" s="1" t="s">
        <v>65</v>
      </c>
      <c r="L814" s="1" t="s">
        <v>5290</v>
      </c>
      <c r="M814" s="1" t="s">
        <v>5312</v>
      </c>
      <c r="N814" s="1" t="s">
        <v>5300</v>
      </c>
      <c r="O814" s="1" t="s">
        <v>8659</v>
      </c>
    </row>
    <row r="815" spans="8:15" x14ac:dyDescent="0.25">
      <c r="H815" s="1">
        <v>1402012</v>
      </c>
      <c r="I815" s="4">
        <v>46330.625</v>
      </c>
      <c r="J815" s="1" t="s">
        <v>32</v>
      </c>
      <c r="K815" s="1" t="s">
        <v>65</v>
      </c>
      <c r="L815" s="1" t="s">
        <v>5290</v>
      </c>
      <c r="M815" s="1" t="s">
        <v>5316</v>
      </c>
      <c r="N815" s="1" t="s">
        <v>5301</v>
      </c>
      <c r="O815" s="1" t="s">
        <v>8660</v>
      </c>
    </row>
    <row r="816" spans="8:15" x14ac:dyDescent="0.25">
      <c r="H816" s="1">
        <v>1402013</v>
      </c>
      <c r="I816" s="4">
        <v>46330.625</v>
      </c>
      <c r="J816" s="1" t="s">
        <v>32</v>
      </c>
      <c r="K816" s="1" t="s">
        <v>65</v>
      </c>
      <c r="L816" s="1" t="s">
        <v>5290</v>
      </c>
      <c r="M816" s="1" t="s">
        <v>5315</v>
      </c>
      <c r="N816" s="1" t="s">
        <v>5306</v>
      </c>
      <c r="O816" s="1" t="s">
        <v>8661</v>
      </c>
    </row>
    <row r="817" spans="8:15" x14ac:dyDescent="0.25">
      <c r="H817" s="1">
        <v>1402014</v>
      </c>
      <c r="I817" s="4">
        <v>46330.625</v>
      </c>
      <c r="J817" s="1" t="s">
        <v>32</v>
      </c>
      <c r="K817" s="1" t="s">
        <v>65</v>
      </c>
      <c r="L817" s="1" t="s">
        <v>5290</v>
      </c>
      <c r="M817" s="1" t="s">
        <v>5313</v>
      </c>
      <c r="N817" s="1" t="s">
        <v>5298</v>
      </c>
      <c r="O817" s="1" t="s">
        <v>8662</v>
      </c>
    </row>
    <row r="818" spans="8:15" x14ac:dyDescent="0.25">
      <c r="H818" s="1">
        <v>1402015</v>
      </c>
      <c r="I818" s="4">
        <v>46330.625</v>
      </c>
      <c r="J818" s="1" t="s">
        <v>32</v>
      </c>
      <c r="K818" s="1" t="s">
        <v>65</v>
      </c>
      <c r="L818" s="1" t="s">
        <v>5290</v>
      </c>
      <c r="M818" s="1" t="s">
        <v>5310</v>
      </c>
      <c r="N818" s="1" t="s">
        <v>5304</v>
      </c>
      <c r="O818" s="1" t="s">
        <v>8663</v>
      </c>
    </row>
    <row r="819" spans="8:15" x14ac:dyDescent="0.25">
      <c r="H819" s="1">
        <v>1402016</v>
      </c>
      <c r="I819" s="4">
        <v>46330.625</v>
      </c>
      <c r="J819" s="1" t="s">
        <v>32</v>
      </c>
      <c r="K819" s="1" t="s">
        <v>65</v>
      </c>
      <c r="L819" s="1" t="s">
        <v>5290</v>
      </c>
      <c r="M819" s="1" t="s">
        <v>5324</v>
      </c>
      <c r="N819" s="1" t="s">
        <v>5321</v>
      </c>
      <c r="O819" s="1" t="s">
        <v>8664</v>
      </c>
    </row>
    <row r="820" spans="8:15" x14ac:dyDescent="0.25">
      <c r="H820" s="1">
        <v>1402017</v>
      </c>
      <c r="I820" s="4">
        <v>46330.625</v>
      </c>
      <c r="J820" s="1" t="s">
        <v>32</v>
      </c>
      <c r="K820" s="1" t="s">
        <v>65</v>
      </c>
      <c r="L820" s="1" t="s">
        <v>5290</v>
      </c>
      <c r="M820" s="1" t="s">
        <v>5307</v>
      </c>
      <c r="N820" s="1" t="s">
        <v>5322</v>
      </c>
      <c r="O820" s="1" t="s">
        <v>8665</v>
      </c>
    </row>
    <row r="821" spans="8:15" x14ac:dyDescent="0.25">
      <c r="H821" s="1">
        <v>1402018</v>
      </c>
      <c r="I821" s="4">
        <v>46330.625</v>
      </c>
      <c r="J821" s="1" t="s">
        <v>32</v>
      </c>
      <c r="K821" s="1" t="s">
        <v>65</v>
      </c>
      <c r="L821" s="1" t="s">
        <v>5290</v>
      </c>
      <c r="M821" s="1" t="s">
        <v>5292</v>
      </c>
      <c r="N821" s="1" t="s">
        <v>5303</v>
      </c>
      <c r="O821" s="1" t="s">
        <v>8666</v>
      </c>
    </row>
    <row r="822" spans="8:15" x14ac:dyDescent="0.25">
      <c r="H822" s="1">
        <v>1402559</v>
      </c>
      <c r="I822" s="4">
        <v>46330.625</v>
      </c>
      <c r="J822" s="1" t="s">
        <v>32</v>
      </c>
      <c r="K822" s="1" t="s">
        <v>65</v>
      </c>
      <c r="L822" s="1" t="s">
        <v>5327</v>
      </c>
      <c r="M822" s="1" t="s">
        <v>5359</v>
      </c>
      <c r="N822" s="1" t="s">
        <v>5346</v>
      </c>
      <c r="O822" s="1" t="s">
        <v>8667</v>
      </c>
    </row>
    <row r="823" spans="8:15" x14ac:dyDescent="0.25">
      <c r="H823" s="1">
        <v>1402560</v>
      </c>
      <c r="I823" s="4">
        <v>46330.625</v>
      </c>
      <c r="J823" s="1" t="s">
        <v>32</v>
      </c>
      <c r="K823" s="1" t="s">
        <v>65</v>
      </c>
      <c r="L823" s="1" t="s">
        <v>5327</v>
      </c>
      <c r="M823" s="1" t="s">
        <v>5332</v>
      </c>
      <c r="N823" s="1" t="s">
        <v>5344</v>
      </c>
      <c r="O823" s="1" t="s">
        <v>8668</v>
      </c>
    </row>
    <row r="824" spans="8:15" x14ac:dyDescent="0.25">
      <c r="H824" s="1">
        <v>1402561</v>
      </c>
      <c r="I824" s="4">
        <v>46330.625</v>
      </c>
      <c r="J824" s="1" t="s">
        <v>32</v>
      </c>
      <c r="K824" s="1" t="s">
        <v>65</v>
      </c>
      <c r="L824" s="1" t="s">
        <v>5327</v>
      </c>
      <c r="M824" s="1" t="s">
        <v>5331</v>
      </c>
      <c r="N824" s="1" t="s">
        <v>5341</v>
      </c>
      <c r="O824" s="1" t="s">
        <v>8669</v>
      </c>
    </row>
    <row r="825" spans="8:15" x14ac:dyDescent="0.25">
      <c r="H825" s="1">
        <v>1402562</v>
      </c>
      <c r="I825" s="4">
        <v>46330.625</v>
      </c>
      <c r="J825" s="1" t="s">
        <v>32</v>
      </c>
      <c r="K825" s="1" t="s">
        <v>65</v>
      </c>
      <c r="L825" s="1" t="s">
        <v>5327</v>
      </c>
      <c r="M825" s="1" t="s">
        <v>5334</v>
      </c>
      <c r="N825" s="1" t="s">
        <v>5362</v>
      </c>
      <c r="O825" s="1" t="s">
        <v>8670</v>
      </c>
    </row>
    <row r="826" spans="8:15" x14ac:dyDescent="0.25">
      <c r="H826" s="1">
        <v>1402563</v>
      </c>
      <c r="I826" s="4">
        <v>46330.625</v>
      </c>
      <c r="J826" s="1" t="s">
        <v>32</v>
      </c>
      <c r="K826" s="1" t="s">
        <v>65</v>
      </c>
      <c r="L826" s="1" t="s">
        <v>5327</v>
      </c>
      <c r="M826" s="1" t="s">
        <v>5347</v>
      </c>
      <c r="N826" s="1" t="s">
        <v>5338</v>
      </c>
      <c r="O826" s="1" t="s">
        <v>8671</v>
      </c>
    </row>
    <row r="827" spans="8:15" x14ac:dyDescent="0.25">
      <c r="H827" s="1">
        <v>1402564</v>
      </c>
      <c r="I827" s="4">
        <v>46330.625</v>
      </c>
      <c r="J827" s="1" t="s">
        <v>32</v>
      </c>
      <c r="K827" s="1" t="s">
        <v>65</v>
      </c>
      <c r="L827" s="1" t="s">
        <v>5327</v>
      </c>
      <c r="M827" s="1" t="s">
        <v>5350</v>
      </c>
      <c r="N827" s="1" t="s">
        <v>5329</v>
      </c>
      <c r="O827" s="1" t="s">
        <v>8672</v>
      </c>
    </row>
    <row r="828" spans="8:15" x14ac:dyDescent="0.25">
      <c r="H828" s="1">
        <v>1402565</v>
      </c>
      <c r="I828" s="4">
        <v>46330.625</v>
      </c>
      <c r="J828" s="1" t="s">
        <v>32</v>
      </c>
      <c r="K828" s="1" t="s">
        <v>65</v>
      </c>
      <c r="L828" s="1" t="s">
        <v>5327</v>
      </c>
      <c r="M828" s="1" t="s">
        <v>5353</v>
      </c>
      <c r="N828" s="1" t="s">
        <v>5337</v>
      </c>
      <c r="O828" s="1" t="s">
        <v>8673</v>
      </c>
    </row>
    <row r="829" spans="8:15" x14ac:dyDescent="0.25">
      <c r="H829" s="1">
        <v>1402566</v>
      </c>
      <c r="I829" s="4">
        <v>46330.625</v>
      </c>
      <c r="J829" s="1" t="s">
        <v>32</v>
      </c>
      <c r="K829" s="1" t="s">
        <v>65</v>
      </c>
      <c r="L829" s="1" t="s">
        <v>5327</v>
      </c>
      <c r="M829" s="1" t="s">
        <v>5356</v>
      </c>
      <c r="N829" s="1" t="s">
        <v>5343</v>
      </c>
      <c r="O829" s="1" t="s">
        <v>8674</v>
      </c>
    </row>
    <row r="830" spans="8:15" x14ac:dyDescent="0.25">
      <c r="H830" s="1">
        <v>1402567</v>
      </c>
      <c r="I830" s="4">
        <v>46330.625</v>
      </c>
      <c r="J830" s="1" t="s">
        <v>32</v>
      </c>
      <c r="K830" s="1" t="s">
        <v>65</v>
      </c>
      <c r="L830" s="1" t="s">
        <v>5327</v>
      </c>
      <c r="M830" s="1" t="s">
        <v>5349</v>
      </c>
      <c r="N830" s="1" t="s">
        <v>5328</v>
      </c>
      <c r="O830" s="1" t="s">
        <v>8675</v>
      </c>
    </row>
    <row r="831" spans="8:15" x14ac:dyDescent="0.25">
      <c r="H831" s="1">
        <v>1402568</v>
      </c>
      <c r="I831" s="4">
        <v>46330.625</v>
      </c>
      <c r="J831" s="1" t="s">
        <v>32</v>
      </c>
      <c r="K831" s="1" t="s">
        <v>65</v>
      </c>
      <c r="L831" s="1" t="s">
        <v>5327</v>
      </c>
      <c r="M831" s="1" t="s">
        <v>5352</v>
      </c>
      <c r="N831" s="1" t="s">
        <v>5355</v>
      </c>
      <c r="O831" s="1" t="s">
        <v>8676</v>
      </c>
    </row>
    <row r="832" spans="8:15" x14ac:dyDescent="0.25">
      <c r="H832" s="1">
        <v>1402569</v>
      </c>
      <c r="I832" s="4">
        <v>46330.625</v>
      </c>
      <c r="J832" s="1" t="s">
        <v>32</v>
      </c>
      <c r="K832" s="1" t="s">
        <v>65</v>
      </c>
      <c r="L832" s="1" t="s">
        <v>5327</v>
      </c>
      <c r="M832" s="1" t="s">
        <v>5335</v>
      </c>
      <c r="N832" s="1" t="s">
        <v>5340</v>
      </c>
      <c r="O832" s="1" t="s">
        <v>8677</v>
      </c>
    </row>
    <row r="833" spans="8:15" x14ac:dyDescent="0.25">
      <c r="H833" s="1">
        <v>1402570</v>
      </c>
      <c r="I833" s="4">
        <v>46330.625</v>
      </c>
      <c r="J833" s="1" t="s">
        <v>32</v>
      </c>
      <c r="K833" s="1" t="s">
        <v>65</v>
      </c>
      <c r="L833" s="1" t="s">
        <v>5327</v>
      </c>
      <c r="M833" s="1" t="s">
        <v>5358</v>
      </c>
      <c r="N833" s="1" t="s">
        <v>5361</v>
      </c>
      <c r="O833" s="1" t="s">
        <v>8678</v>
      </c>
    </row>
    <row r="834" spans="8:15" x14ac:dyDescent="0.25">
      <c r="H834" s="1">
        <v>1405308</v>
      </c>
      <c r="I834" s="4">
        <v>46330.625</v>
      </c>
      <c r="J834" s="1" t="s">
        <v>32</v>
      </c>
      <c r="K834" s="1" t="s">
        <v>92</v>
      </c>
      <c r="L834" s="1" t="s">
        <v>5364</v>
      </c>
      <c r="M834" s="1" t="s">
        <v>5368</v>
      </c>
      <c r="N834" s="1" t="s">
        <v>5375</v>
      </c>
      <c r="O834" s="1" t="s">
        <v>8679</v>
      </c>
    </row>
    <row r="835" spans="8:15" x14ac:dyDescent="0.25">
      <c r="H835" s="1">
        <v>1405309</v>
      </c>
      <c r="I835" s="4">
        <v>46330.625</v>
      </c>
      <c r="J835" s="1" t="s">
        <v>32</v>
      </c>
      <c r="K835" s="1" t="s">
        <v>92</v>
      </c>
      <c r="L835" s="1" t="s">
        <v>5364</v>
      </c>
      <c r="M835" s="1" t="s">
        <v>5371</v>
      </c>
      <c r="N835" s="1" t="s">
        <v>8680</v>
      </c>
      <c r="O835" s="1" t="s">
        <v>8681</v>
      </c>
    </row>
    <row r="836" spans="8:15" x14ac:dyDescent="0.25">
      <c r="H836" s="1">
        <v>1405310</v>
      </c>
      <c r="I836" s="4">
        <v>46330.625</v>
      </c>
      <c r="J836" s="1" t="s">
        <v>32</v>
      </c>
      <c r="K836" s="1" t="s">
        <v>92</v>
      </c>
      <c r="L836" s="1" t="s">
        <v>5364</v>
      </c>
      <c r="M836" s="1" t="s">
        <v>5374</v>
      </c>
      <c r="N836" s="1" t="s">
        <v>8682</v>
      </c>
      <c r="O836" s="1" t="s">
        <v>8683</v>
      </c>
    </row>
    <row r="837" spans="8:15" x14ac:dyDescent="0.25">
      <c r="H837" s="1">
        <v>1405312</v>
      </c>
      <c r="I837" s="4">
        <v>46330.625</v>
      </c>
      <c r="J837" s="1" t="s">
        <v>32</v>
      </c>
      <c r="K837" s="1" t="s">
        <v>92</v>
      </c>
      <c r="L837" s="1" t="s">
        <v>5364</v>
      </c>
      <c r="M837" s="1" t="s">
        <v>8684</v>
      </c>
      <c r="N837" s="1" t="s">
        <v>5369</v>
      </c>
      <c r="O837" s="1" t="s">
        <v>8685</v>
      </c>
    </row>
    <row r="838" spans="8:15" x14ac:dyDescent="0.25">
      <c r="H838" s="1">
        <v>1405313</v>
      </c>
      <c r="I838" s="4">
        <v>46330.625</v>
      </c>
      <c r="J838" s="1" t="s">
        <v>32</v>
      </c>
      <c r="K838" s="1" t="s">
        <v>92</v>
      </c>
      <c r="L838" s="1" t="s">
        <v>5364</v>
      </c>
      <c r="M838" s="1" t="s">
        <v>8686</v>
      </c>
      <c r="N838" s="1" t="s">
        <v>5381</v>
      </c>
      <c r="O838" s="1" t="s">
        <v>8687</v>
      </c>
    </row>
    <row r="839" spans="8:15" x14ac:dyDescent="0.25">
      <c r="H839" s="1">
        <v>1405314</v>
      </c>
      <c r="I839" s="4">
        <v>46330.625</v>
      </c>
      <c r="J839" s="1" t="s">
        <v>32</v>
      </c>
      <c r="K839" s="1" t="s">
        <v>92</v>
      </c>
      <c r="L839" s="1" t="s">
        <v>5364</v>
      </c>
      <c r="M839" s="1" t="s">
        <v>5365</v>
      </c>
      <c r="N839" s="1" t="s">
        <v>8688</v>
      </c>
      <c r="O839" s="1" t="s">
        <v>8689</v>
      </c>
    </row>
    <row r="840" spans="8:15" x14ac:dyDescent="0.25">
      <c r="H840" s="1">
        <v>1405315</v>
      </c>
      <c r="I840" s="4">
        <v>46330.625</v>
      </c>
      <c r="J840" s="1" t="s">
        <v>32</v>
      </c>
      <c r="K840" s="1" t="s">
        <v>92</v>
      </c>
      <c r="L840" s="1" t="s">
        <v>5364</v>
      </c>
      <c r="M840" s="1" t="s">
        <v>5377</v>
      </c>
      <c r="N840" s="1" t="s">
        <v>5366</v>
      </c>
      <c r="O840" s="1" t="s">
        <v>8690</v>
      </c>
    </row>
    <row r="841" spans="8:15" x14ac:dyDescent="0.25">
      <c r="H841" s="1">
        <v>1408311</v>
      </c>
      <c r="I841" s="4">
        <v>46330.625</v>
      </c>
      <c r="J841" s="1" t="s">
        <v>32</v>
      </c>
      <c r="K841" s="1" t="s">
        <v>43</v>
      </c>
      <c r="L841" s="1" t="s">
        <v>591</v>
      </c>
      <c r="M841" s="1" t="s">
        <v>1326</v>
      </c>
      <c r="N841" s="1" t="s">
        <v>1654</v>
      </c>
      <c r="O841" s="1" t="s">
        <v>8691</v>
      </c>
    </row>
    <row r="842" spans="8:15" x14ac:dyDescent="0.25">
      <c r="H842" s="1">
        <v>1408315</v>
      </c>
      <c r="I842" s="4">
        <v>46330.625</v>
      </c>
      <c r="J842" s="1" t="s">
        <v>32</v>
      </c>
      <c r="K842" s="1" t="s">
        <v>43</v>
      </c>
      <c r="L842" s="1" t="s">
        <v>591</v>
      </c>
      <c r="M842" s="1" t="s">
        <v>1656</v>
      </c>
      <c r="N842" s="1" t="s">
        <v>1387</v>
      </c>
      <c r="O842" s="1" t="s">
        <v>8692</v>
      </c>
    </row>
    <row r="843" spans="8:15" x14ac:dyDescent="0.25">
      <c r="H843" s="1">
        <v>1410993</v>
      </c>
      <c r="I843" s="4">
        <v>46330.625</v>
      </c>
      <c r="J843" s="1" t="s">
        <v>32</v>
      </c>
      <c r="K843" s="1" t="s">
        <v>51</v>
      </c>
      <c r="L843" s="1" t="s">
        <v>539</v>
      </c>
      <c r="M843" s="1" t="s">
        <v>8693</v>
      </c>
      <c r="N843" s="1" t="s">
        <v>1027</v>
      </c>
      <c r="O843" s="1" t="s">
        <v>8694</v>
      </c>
    </row>
    <row r="844" spans="8:15" x14ac:dyDescent="0.25">
      <c r="H844" s="1">
        <v>1411297</v>
      </c>
      <c r="I844" s="4">
        <v>46330.625</v>
      </c>
      <c r="J844" s="1" t="s">
        <v>32</v>
      </c>
      <c r="K844" s="1" t="s">
        <v>51</v>
      </c>
      <c r="L844" s="1" t="s">
        <v>581</v>
      </c>
      <c r="M844" s="1" t="s">
        <v>3834</v>
      </c>
      <c r="N844" s="1" t="s">
        <v>8695</v>
      </c>
      <c r="O844" s="1" t="s">
        <v>8696</v>
      </c>
    </row>
    <row r="845" spans="8:15" x14ac:dyDescent="0.25">
      <c r="H845" s="1">
        <v>1411299</v>
      </c>
      <c r="I845" s="4">
        <v>46330.625</v>
      </c>
      <c r="J845" s="1" t="s">
        <v>32</v>
      </c>
      <c r="K845" s="1" t="s">
        <v>51</v>
      </c>
      <c r="L845" s="1" t="s">
        <v>581</v>
      </c>
      <c r="M845" s="1" t="s">
        <v>3157</v>
      </c>
      <c r="N845" s="1" t="s">
        <v>3159</v>
      </c>
      <c r="O845" s="1" t="s">
        <v>8697</v>
      </c>
    </row>
    <row r="846" spans="8:15" x14ac:dyDescent="0.25">
      <c r="H846" s="1">
        <v>1411300</v>
      </c>
      <c r="I846" s="4">
        <v>46330.625</v>
      </c>
      <c r="J846" s="1" t="s">
        <v>32</v>
      </c>
      <c r="K846" s="1" t="s">
        <v>51</v>
      </c>
      <c r="L846" s="1" t="s">
        <v>581</v>
      </c>
      <c r="M846" s="1" t="s">
        <v>3156</v>
      </c>
      <c r="N846" s="1" t="s">
        <v>1350</v>
      </c>
      <c r="O846" s="1" t="s">
        <v>8698</v>
      </c>
    </row>
    <row r="847" spans="8:15" x14ac:dyDescent="0.25">
      <c r="H847" s="1">
        <v>1412275</v>
      </c>
      <c r="I847" s="4">
        <v>46330.625</v>
      </c>
      <c r="J847" s="1" t="s">
        <v>32</v>
      </c>
      <c r="K847" s="1" t="s">
        <v>43</v>
      </c>
      <c r="L847" s="1" t="s">
        <v>600</v>
      </c>
      <c r="M847" s="1" t="s">
        <v>8699</v>
      </c>
      <c r="N847" s="1" t="s">
        <v>1393</v>
      </c>
      <c r="O847" s="1" t="s">
        <v>8700</v>
      </c>
    </row>
    <row r="848" spans="8:15" x14ac:dyDescent="0.25">
      <c r="H848" s="1">
        <v>1414480</v>
      </c>
      <c r="I848" s="4">
        <v>46330.625</v>
      </c>
      <c r="J848" s="1" t="s">
        <v>32</v>
      </c>
      <c r="K848" s="1" t="s">
        <v>390</v>
      </c>
      <c r="L848" s="1" t="s">
        <v>920</v>
      </c>
      <c r="M848" s="1" t="s">
        <v>1406</v>
      </c>
      <c r="N848" s="1" t="s">
        <v>1408</v>
      </c>
      <c r="O848" s="1" t="s">
        <v>8701</v>
      </c>
    </row>
    <row r="849" spans="8:15" x14ac:dyDescent="0.25">
      <c r="H849" s="1">
        <v>1414481</v>
      </c>
      <c r="I849" s="4">
        <v>46330.625</v>
      </c>
      <c r="J849" s="1" t="s">
        <v>32</v>
      </c>
      <c r="K849" s="1" t="s">
        <v>390</v>
      </c>
      <c r="L849" s="1" t="s">
        <v>920</v>
      </c>
      <c r="M849" s="1" t="s">
        <v>1403</v>
      </c>
      <c r="N849" s="1" t="s">
        <v>2078</v>
      </c>
      <c r="O849" s="1" t="s">
        <v>8702</v>
      </c>
    </row>
    <row r="850" spans="8:15" x14ac:dyDescent="0.25">
      <c r="H850" s="1">
        <v>1414483</v>
      </c>
      <c r="I850" s="4">
        <v>46330.625</v>
      </c>
      <c r="J850" s="1" t="s">
        <v>32</v>
      </c>
      <c r="K850" s="1" t="s">
        <v>390</v>
      </c>
      <c r="L850" s="1" t="s">
        <v>920</v>
      </c>
      <c r="M850" s="1" t="s">
        <v>1401</v>
      </c>
      <c r="N850" s="1" t="s">
        <v>1405</v>
      </c>
      <c r="O850" s="1" t="s">
        <v>8703</v>
      </c>
    </row>
    <row r="851" spans="8:15" x14ac:dyDescent="0.25">
      <c r="H851" s="1">
        <v>1414484</v>
      </c>
      <c r="I851" s="4">
        <v>46330.625</v>
      </c>
      <c r="J851" s="1" t="s">
        <v>32</v>
      </c>
      <c r="K851" s="1" t="s">
        <v>390</v>
      </c>
      <c r="L851" s="1" t="s">
        <v>920</v>
      </c>
      <c r="M851" s="1" t="s">
        <v>2079</v>
      </c>
      <c r="N851" s="1" t="s">
        <v>922</v>
      </c>
      <c r="O851" s="1" t="s">
        <v>8704</v>
      </c>
    </row>
    <row r="852" spans="8:15" x14ac:dyDescent="0.25">
      <c r="H852" s="1">
        <v>1414485</v>
      </c>
      <c r="I852" s="4">
        <v>46330.625</v>
      </c>
      <c r="J852" s="1" t="s">
        <v>32</v>
      </c>
      <c r="K852" s="1" t="s">
        <v>390</v>
      </c>
      <c r="L852" s="1" t="s">
        <v>920</v>
      </c>
      <c r="M852" s="1" t="s">
        <v>1410</v>
      </c>
      <c r="N852" s="1" t="s">
        <v>1906</v>
      </c>
      <c r="O852" s="1" t="s">
        <v>8705</v>
      </c>
    </row>
    <row r="853" spans="8:15" x14ac:dyDescent="0.25">
      <c r="H853" s="1">
        <v>1414486</v>
      </c>
      <c r="I853" s="4">
        <v>46330.625</v>
      </c>
      <c r="J853" s="1" t="s">
        <v>32</v>
      </c>
      <c r="K853" s="1" t="s">
        <v>390</v>
      </c>
      <c r="L853" s="1" t="s">
        <v>920</v>
      </c>
      <c r="M853" s="1" t="s">
        <v>1404</v>
      </c>
      <c r="N853" s="1" t="s">
        <v>921</v>
      </c>
      <c r="O853" s="1" t="s">
        <v>8706</v>
      </c>
    </row>
    <row r="854" spans="8:15" x14ac:dyDescent="0.25">
      <c r="H854" s="1">
        <v>1414487</v>
      </c>
      <c r="I854" s="4">
        <v>46330.625</v>
      </c>
      <c r="J854" s="1" t="s">
        <v>32</v>
      </c>
      <c r="K854" s="1" t="s">
        <v>390</v>
      </c>
      <c r="L854" s="1" t="s">
        <v>920</v>
      </c>
      <c r="M854" s="1" t="s">
        <v>1402</v>
      </c>
      <c r="N854" s="1" t="s">
        <v>1407</v>
      </c>
      <c r="O854" s="1" t="s">
        <v>8707</v>
      </c>
    </row>
    <row r="855" spans="8:15" x14ac:dyDescent="0.25">
      <c r="H855" s="1">
        <v>1414698</v>
      </c>
      <c r="I855" s="4">
        <v>46330.625</v>
      </c>
      <c r="J855" s="1" t="s">
        <v>32</v>
      </c>
      <c r="K855" s="1" t="s">
        <v>390</v>
      </c>
      <c r="L855" s="1" t="s">
        <v>923</v>
      </c>
      <c r="M855" s="1" t="s">
        <v>1414</v>
      </c>
      <c r="N855" s="1" t="s">
        <v>1241</v>
      </c>
      <c r="O855" s="1" t="s">
        <v>8708</v>
      </c>
    </row>
    <row r="856" spans="8:15" x14ac:dyDescent="0.25">
      <c r="H856" s="1">
        <v>1414699</v>
      </c>
      <c r="I856" s="4">
        <v>46330.625</v>
      </c>
      <c r="J856" s="1" t="s">
        <v>32</v>
      </c>
      <c r="K856" s="1" t="s">
        <v>390</v>
      </c>
      <c r="L856" s="1" t="s">
        <v>923</v>
      </c>
      <c r="M856" s="1" t="s">
        <v>927</v>
      </c>
      <c r="N856" s="1" t="s">
        <v>924</v>
      </c>
      <c r="O856" s="1" t="s">
        <v>8709</v>
      </c>
    </row>
    <row r="857" spans="8:15" x14ac:dyDescent="0.25">
      <c r="H857" s="1">
        <v>1414703</v>
      </c>
      <c r="I857" s="4">
        <v>46330.625</v>
      </c>
      <c r="J857" s="1" t="s">
        <v>32</v>
      </c>
      <c r="K857" s="1" t="s">
        <v>390</v>
      </c>
      <c r="L857" s="1" t="s">
        <v>923</v>
      </c>
      <c r="M857" s="1" t="s">
        <v>1242</v>
      </c>
      <c r="N857" s="1" t="s">
        <v>1413</v>
      </c>
      <c r="O857" s="1" t="s">
        <v>8710</v>
      </c>
    </row>
    <row r="858" spans="8:15" x14ac:dyDescent="0.25">
      <c r="H858" s="1">
        <v>1414705</v>
      </c>
      <c r="I858" s="4">
        <v>46330.625</v>
      </c>
      <c r="J858" s="1" t="s">
        <v>32</v>
      </c>
      <c r="K858" s="1" t="s">
        <v>390</v>
      </c>
      <c r="L858" s="1" t="s">
        <v>923</v>
      </c>
      <c r="M858" s="1" t="s">
        <v>1415</v>
      </c>
      <c r="N858" s="1" t="s">
        <v>1416</v>
      </c>
      <c r="O858" s="1" t="s">
        <v>8711</v>
      </c>
    </row>
    <row r="859" spans="8:15" x14ac:dyDescent="0.25">
      <c r="H859" s="1">
        <v>1414919</v>
      </c>
      <c r="I859" s="4">
        <v>46330.625</v>
      </c>
      <c r="J859" s="1" t="s">
        <v>32</v>
      </c>
      <c r="K859" s="1" t="s">
        <v>390</v>
      </c>
      <c r="L859" s="1" t="s">
        <v>928</v>
      </c>
      <c r="M859" s="1" t="s">
        <v>2083</v>
      </c>
      <c r="N859" s="1" t="s">
        <v>1422</v>
      </c>
      <c r="O859" s="1" t="s">
        <v>8712</v>
      </c>
    </row>
    <row r="860" spans="8:15" x14ac:dyDescent="0.25">
      <c r="H860" s="1">
        <v>1414920</v>
      </c>
      <c r="I860" s="4">
        <v>46330.625</v>
      </c>
      <c r="J860" s="1" t="s">
        <v>32</v>
      </c>
      <c r="K860" s="1" t="s">
        <v>390</v>
      </c>
      <c r="L860" s="1" t="s">
        <v>928</v>
      </c>
      <c r="M860" s="1" t="s">
        <v>2082</v>
      </c>
      <c r="N860" s="1" t="s">
        <v>929</v>
      </c>
      <c r="O860" s="1" t="s">
        <v>8713</v>
      </c>
    </row>
    <row r="861" spans="8:15" x14ac:dyDescent="0.25">
      <c r="H861" s="1">
        <v>1414922</v>
      </c>
      <c r="I861" s="4">
        <v>46330.625</v>
      </c>
      <c r="J861" s="1" t="s">
        <v>32</v>
      </c>
      <c r="K861" s="1" t="s">
        <v>390</v>
      </c>
      <c r="L861" s="1" t="s">
        <v>928</v>
      </c>
      <c r="M861" s="1" t="s">
        <v>1909</v>
      </c>
      <c r="N861" s="1" t="s">
        <v>1420</v>
      </c>
      <c r="O861" s="1" t="s">
        <v>8714</v>
      </c>
    </row>
    <row r="862" spans="8:15" x14ac:dyDescent="0.25">
      <c r="H862" s="1">
        <v>1414923</v>
      </c>
      <c r="I862" s="4">
        <v>46330.625</v>
      </c>
      <c r="J862" s="1" t="s">
        <v>32</v>
      </c>
      <c r="K862" s="1" t="s">
        <v>390</v>
      </c>
      <c r="L862" s="1" t="s">
        <v>928</v>
      </c>
      <c r="M862" s="1" t="s">
        <v>930</v>
      </c>
      <c r="N862" s="1" t="s">
        <v>1423</v>
      </c>
      <c r="O862" s="1" t="s">
        <v>8715</v>
      </c>
    </row>
    <row r="863" spans="8:15" x14ac:dyDescent="0.25">
      <c r="H863" s="1">
        <v>1414925</v>
      </c>
      <c r="I863" s="4">
        <v>46330.625</v>
      </c>
      <c r="J863" s="1" t="s">
        <v>32</v>
      </c>
      <c r="K863" s="1" t="s">
        <v>390</v>
      </c>
      <c r="L863" s="1" t="s">
        <v>928</v>
      </c>
      <c r="M863" s="1" t="s">
        <v>1419</v>
      </c>
      <c r="N863" s="1" t="s">
        <v>931</v>
      </c>
      <c r="O863" s="1" t="s">
        <v>8716</v>
      </c>
    </row>
    <row r="864" spans="8:15" x14ac:dyDescent="0.25">
      <c r="H864" s="1">
        <v>1414926</v>
      </c>
      <c r="I864" s="4">
        <v>46330.625</v>
      </c>
      <c r="J864" s="1" t="s">
        <v>32</v>
      </c>
      <c r="K864" s="1" t="s">
        <v>390</v>
      </c>
      <c r="L864" s="1" t="s">
        <v>928</v>
      </c>
      <c r="M864" s="1" t="s">
        <v>932</v>
      </c>
      <c r="N864" s="1" t="s">
        <v>1418</v>
      </c>
      <c r="O864" s="1" t="s">
        <v>8717</v>
      </c>
    </row>
    <row r="865" spans="8:15" x14ac:dyDescent="0.25">
      <c r="H865" s="1">
        <v>1415119</v>
      </c>
      <c r="I865" s="4">
        <v>46330.625</v>
      </c>
      <c r="J865" s="1" t="s">
        <v>32</v>
      </c>
      <c r="K865" s="1" t="s">
        <v>390</v>
      </c>
      <c r="L865" s="1" t="s">
        <v>1243</v>
      </c>
      <c r="M865" s="1" t="s">
        <v>1245</v>
      </c>
      <c r="N865" s="1" t="s">
        <v>1437</v>
      </c>
      <c r="O865" s="1" t="s">
        <v>8718</v>
      </c>
    </row>
    <row r="866" spans="8:15" x14ac:dyDescent="0.25">
      <c r="H866" s="1">
        <v>1415120</v>
      </c>
      <c r="I866" s="4">
        <v>46330.625</v>
      </c>
      <c r="J866" s="1" t="s">
        <v>32</v>
      </c>
      <c r="K866" s="1" t="s">
        <v>390</v>
      </c>
      <c r="L866" s="1" t="s">
        <v>1243</v>
      </c>
      <c r="M866" s="1" t="s">
        <v>1432</v>
      </c>
      <c r="N866" s="1" t="s">
        <v>1426</v>
      </c>
      <c r="O866" s="1" t="s">
        <v>8719</v>
      </c>
    </row>
    <row r="867" spans="8:15" x14ac:dyDescent="0.25">
      <c r="H867" s="1">
        <v>1415121</v>
      </c>
      <c r="I867" s="4">
        <v>46330.625</v>
      </c>
      <c r="J867" s="1" t="s">
        <v>32</v>
      </c>
      <c r="K867" s="1" t="s">
        <v>390</v>
      </c>
      <c r="L867" s="1" t="s">
        <v>1243</v>
      </c>
      <c r="M867" s="1" t="s">
        <v>1433</v>
      </c>
      <c r="N867" s="1" t="s">
        <v>1434</v>
      </c>
      <c r="O867" s="1" t="s">
        <v>8720</v>
      </c>
    </row>
    <row r="868" spans="8:15" x14ac:dyDescent="0.25">
      <c r="H868" s="1">
        <v>1415123</v>
      </c>
      <c r="I868" s="4">
        <v>46330.625</v>
      </c>
      <c r="J868" s="1" t="s">
        <v>32</v>
      </c>
      <c r="K868" s="1" t="s">
        <v>390</v>
      </c>
      <c r="L868" s="1" t="s">
        <v>1243</v>
      </c>
      <c r="M868" s="1" t="s">
        <v>1431</v>
      </c>
      <c r="N868" s="1" t="s">
        <v>1428</v>
      </c>
      <c r="O868" s="1" t="s">
        <v>8721</v>
      </c>
    </row>
    <row r="869" spans="8:15" x14ac:dyDescent="0.25">
      <c r="H869" s="1">
        <v>1415124</v>
      </c>
      <c r="I869" s="4">
        <v>46330.625</v>
      </c>
      <c r="J869" s="1" t="s">
        <v>32</v>
      </c>
      <c r="K869" s="1" t="s">
        <v>390</v>
      </c>
      <c r="L869" s="1" t="s">
        <v>1243</v>
      </c>
      <c r="M869" s="1" t="s">
        <v>1427</v>
      </c>
      <c r="N869" s="1" t="s">
        <v>1435</v>
      </c>
      <c r="O869" s="1" t="s">
        <v>8722</v>
      </c>
    </row>
    <row r="870" spans="8:15" x14ac:dyDescent="0.25">
      <c r="H870" s="1">
        <v>1418673</v>
      </c>
      <c r="I870" s="4">
        <v>46330.625</v>
      </c>
      <c r="J870" s="1" t="s">
        <v>32</v>
      </c>
      <c r="K870" s="1" t="s">
        <v>80</v>
      </c>
      <c r="L870" s="1" t="s">
        <v>626</v>
      </c>
      <c r="M870" s="1" t="s">
        <v>6203</v>
      </c>
      <c r="N870" s="1" t="s">
        <v>1694</v>
      </c>
      <c r="O870" s="1" t="s">
        <v>8723</v>
      </c>
    </row>
    <row r="871" spans="8:15" x14ac:dyDescent="0.25">
      <c r="H871" s="1">
        <v>1418674</v>
      </c>
      <c r="I871" s="4">
        <v>46330.625</v>
      </c>
      <c r="J871" s="1" t="s">
        <v>32</v>
      </c>
      <c r="K871" s="1" t="s">
        <v>80</v>
      </c>
      <c r="L871" s="1" t="s">
        <v>626</v>
      </c>
      <c r="M871" s="1" t="s">
        <v>4581</v>
      </c>
      <c r="N871" s="1" t="s">
        <v>6079</v>
      </c>
      <c r="O871" s="1" t="s">
        <v>8724</v>
      </c>
    </row>
    <row r="872" spans="8:15" x14ac:dyDescent="0.25">
      <c r="H872" s="1">
        <v>1418679</v>
      </c>
      <c r="I872" s="4">
        <v>46330.625</v>
      </c>
      <c r="J872" s="1" t="s">
        <v>32</v>
      </c>
      <c r="K872" s="1" t="s">
        <v>80</v>
      </c>
      <c r="L872" s="1" t="s">
        <v>626</v>
      </c>
      <c r="M872" s="1" t="s">
        <v>6261</v>
      </c>
      <c r="N872" s="1" t="s">
        <v>4966</v>
      </c>
      <c r="O872" s="1" t="s">
        <v>8725</v>
      </c>
    </row>
    <row r="873" spans="8:15" x14ac:dyDescent="0.25">
      <c r="H873" s="1">
        <v>1418681</v>
      </c>
      <c r="I873" s="4">
        <v>46330.625</v>
      </c>
      <c r="J873" s="1" t="s">
        <v>32</v>
      </c>
      <c r="K873" s="1" t="s">
        <v>80</v>
      </c>
      <c r="L873" s="1" t="s">
        <v>626</v>
      </c>
      <c r="M873" s="1" t="s">
        <v>4578</v>
      </c>
      <c r="N873" s="1" t="s">
        <v>4580</v>
      </c>
      <c r="O873" s="1" t="s">
        <v>8726</v>
      </c>
    </row>
    <row r="874" spans="8:15" x14ac:dyDescent="0.25">
      <c r="H874" s="1">
        <v>1421978</v>
      </c>
      <c r="I874" s="4">
        <v>46330.625</v>
      </c>
      <c r="J874" s="1" t="s">
        <v>32</v>
      </c>
      <c r="K874" s="1" t="s">
        <v>268</v>
      </c>
      <c r="L874" s="1" t="s">
        <v>601</v>
      </c>
      <c r="M874" s="1" t="s">
        <v>4593</v>
      </c>
      <c r="N874" s="1" t="s">
        <v>900</v>
      </c>
      <c r="O874" s="1" t="s">
        <v>8727</v>
      </c>
    </row>
    <row r="875" spans="8:15" x14ac:dyDescent="0.25">
      <c r="H875" s="1">
        <v>1422063</v>
      </c>
      <c r="I875" s="4">
        <v>46330.625</v>
      </c>
      <c r="J875" s="1" t="s">
        <v>32</v>
      </c>
      <c r="K875" s="1" t="s">
        <v>268</v>
      </c>
      <c r="L875" s="1" t="s">
        <v>601</v>
      </c>
      <c r="M875" s="1" t="s">
        <v>4596</v>
      </c>
      <c r="N875" s="1" t="s">
        <v>4601</v>
      </c>
      <c r="O875" s="1" t="s">
        <v>8728</v>
      </c>
    </row>
    <row r="876" spans="8:15" x14ac:dyDescent="0.25">
      <c r="H876" s="1">
        <v>1422064</v>
      </c>
      <c r="I876" s="4">
        <v>46330.625</v>
      </c>
      <c r="J876" s="1" t="s">
        <v>32</v>
      </c>
      <c r="K876" s="1" t="s">
        <v>268</v>
      </c>
      <c r="L876" s="1" t="s">
        <v>601</v>
      </c>
      <c r="M876" s="1" t="s">
        <v>4599</v>
      </c>
      <c r="N876" s="1" t="s">
        <v>1701</v>
      </c>
      <c r="O876" s="1" t="s">
        <v>8729</v>
      </c>
    </row>
    <row r="877" spans="8:15" x14ac:dyDescent="0.25">
      <c r="H877" s="1">
        <v>1422065</v>
      </c>
      <c r="I877" s="4">
        <v>46330.625</v>
      </c>
      <c r="J877" s="1" t="s">
        <v>32</v>
      </c>
      <c r="K877" s="1" t="s">
        <v>268</v>
      </c>
      <c r="L877" s="1" t="s">
        <v>601</v>
      </c>
      <c r="M877" s="1" t="s">
        <v>4602</v>
      </c>
      <c r="N877" s="1" t="s">
        <v>8730</v>
      </c>
      <c r="O877" s="1" t="s">
        <v>8731</v>
      </c>
    </row>
    <row r="878" spans="8:15" x14ac:dyDescent="0.25">
      <c r="H878" s="1">
        <v>1422237</v>
      </c>
      <c r="I878" s="4">
        <v>46330.625</v>
      </c>
      <c r="J878" s="1" t="s">
        <v>32</v>
      </c>
      <c r="K878" s="1" t="s">
        <v>268</v>
      </c>
      <c r="L878" s="1" t="s">
        <v>619</v>
      </c>
      <c r="M878" s="1" t="s">
        <v>8732</v>
      </c>
      <c r="N878" s="1" t="s">
        <v>4612</v>
      </c>
      <c r="O878" s="1" t="s">
        <v>8733</v>
      </c>
    </row>
    <row r="879" spans="8:15" x14ac:dyDescent="0.25">
      <c r="H879" s="1">
        <v>1422238</v>
      </c>
      <c r="I879" s="4">
        <v>46330.625</v>
      </c>
      <c r="J879" s="1" t="s">
        <v>32</v>
      </c>
      <c r="K879" s="1" t="s">
        <v>268</v>
      </c>
      <c r="L879" s="1" t="s">
        <v>619</v>
      </c>
      <c r="M879" s="1" t="s">
        <v>1537</v>
      </c>
      <c r="N879" s="1" t="s">
        <v>4611</v>
      </c>
      <c r="O879" s="1" t="s">
        <v>8734</v>
      </c>
    </row>
    <row r="880" spans="8:15" x14ac:dyDescent="0.25">
      <c r="H880" s="1">
        <v>1422239</v>
      </c>
      <c r="I880" s="4">
        <v>46330.625</v>
      </c>
      <c r="J880" s="1" t="s">
        <v>32</v>
      </c>
      <c r="K880" s="1" t="s">
        <v>268</v>
      </c>
      <c r="L880" s="1" t="s">
        <v>619</v>
      </c>
      <c r="M880" s="1" t="s">
        <v>8735</v>
      </c>
      <c r="N880" s="1" t="s">
        <v>8736</v>
      </c>
      <c r="O880" s="1" t="s">
        <v>8737</v>
      </c>
    </row>
    <row r="881" spans="8:15" x14ac:dyDescent="0.25">
      <c r="H881" s="1">
        <v>1422240</v>
      </c>
      <c r="I881" s="4">
        <v>46330.625</v>
      </c>
      <c r="J881" s="1" t="s">
        <v>32</v>
      </c>
      <c r="K881" s="1" t="s">
        <v>268</v>
      </c>
      <c r="L881" s="1" t="s">
        <v>619</v>
      </c>
      <c r="M881" s="1" t="s">
        <v>8738</v>
      </c>
      <c r="N881" s="1" t="s">
        <v>4604</v>
      </c>
      <c r="O881" s="1" t="s">
        <v>8739</v>
      </c>
    </row>
    <row r="882" spans="8:15" x14ac:dyDescent="0.25">
      <c r="H882" s="1">
        <v>1422449</v>
      </c>
      <c r="I882" s="4">
        <v>46330.625</v>
      </c>
      <c r="J882" s="1" t="s">
        <v>32</v>
      </c>
      <c r="K882" s="1" t="s">
        <v>268</v>
      </c>
      <c r="L882" s="1" t="s">
        <v>620</v>
      </c>
      <c r="M882" s="1" t="s">
        <v>4617</v>
      </c>
      <c r="N882" s="1" t="s">
        <v>4614</v>
      </c>
      <c r="O882" s="1" t="s">
        <v>8740</v>
      </c>
    </row>
    <row r="883" spans="8:15" x14ac:dyDescent="0.25">
      <c r="H883" s="1">
        <v>1422451</v>
      </c>
      <c r="I883" s="4">
        <v>46330.625</v>
      </c>
      <c r="J883" s="1" t="s">
        <v>32</v>
      </c>
      <c r="K883" s="1" t="s">
        <v>268</v>
      </c>
      <c r="L883" s="1" t="s">
        <v>620</v>
      </c>
      <c r="M883" s="1" t="s">
        <v>4615</v>
      </c>
      <c r="N883" s="1" t="s">
        <v>1538</v>
      </c>
      <c r="O883" s="1" t="s">
        <v>8741</v>
      </c>
    </row>
    <row r="884" spans="8:15" x14ac:dyDescent="0.25">
      <c r="H884" s="1">
        <v>1422452</v>
      </c>
      <c r="I884" s="4">
        <v>46330.625</v>
      </c>
      <c r="J884" s="1" t="s">
        <v>32</v>
      </c>
      <c r="K884" s="1" t="s">
        <v>268</v>
      </c>
      <c r="L884" s="1" t="s">
        <v>620</v>
      </c>
      <c r="M884" s="1" t="s">
        <v>4618</v>
      </c>
      <c r="N884" s="1" t="s">
        <v>1540</v>
      </c>
      <c r="O884" s="1" t="s">
        <v>8742</v>
      </c>
    </row>
    <row r="885" spans="8:15" x14ac:dyDescent="0.25">
      <c r="H885" s="1">
        <v>1422456</v>
      </c>
      <c r="I885" s="4">
        <v>46330.625</v>
      </c>
      <c r="J885" s="1" t="s">
        <v>32</v>
      </c>
      <c r="K885" s="1" t="s">
        <v>268</v>
      </c>
      <c r="L885" s="1" t="s">
        <v>620</v>
      </c>
      <c r="M885" s="1" t="s">
        <v>8743</v>
      </c>
      <c r="N885" s="1" t="s">
        <v>8744</v>
      </c>
      <c r="O885" s="1" t="s">
        <v>8745</v>
      </c>
    </row>
    <row r="886" spans="8:15" x14ac:dyDescent="0.25">
      <c r="H886" s="1">
        <v>1424831</v>
      </c>
      <c r="I886" s="4">
        <v>46330.625</v>
      </c>
      <c r="J886" s="1" t="s">
        <v>32</v>
      </c>
      <c r="K886" s="1" t="s">
        <v>65</v>
      </c>
      <c r="L886" s="1" t="s">
        <v>5397</v>
      </c>
      <c r="M886" s="1" t="s">
        <v>5399</v>
      </c>
      <c r="N886" s="1" t="s">
        <v>5425</v>
      </c>
      <c r="O886" s="1" t="s">
        <v>8746</v>
      </c>
    </row>
    <row r="887" spans="8:15" x14ac:dyDescent="0.25">
      <c r="H887" s="1">
        <v>1424832</v>
      </c>
      <c r="I887" s="4">
        <v>46330.625</v>
      </c>
      <c r="J887" s="1" t="s">
        <v>32</v>
      </c>
      <c r="K887" s="1" t="s">
        <v>65</v>
      </c>
      <c r="L887" s="1" t="s">
        <v>5397</v>
      </c>
      <c r="M887" s="1" t="s">
        <v>5413</v>
      </c>
      <c r="N887" s="1" t="s">
        <v>5407</v>
      </c>
      <c r="O887" s="1" t="s">
        <v>8747</v>
      </c>
    </row>
    <row r="888" spans="8:15" x14ac:dyDescent="0.25">
      <c r="H888" s="1">
        <v>1424833</v>
      </c>
      <c r="I888" s="4">
        <v>46330.625</v>
      </c>
      <c r="J888" s="1" t="s">
        <v>32</v>
      </c>
      <c r="K888" s="1" t="s">
        <v>65</v>
      </c>
      <c r="L888" s="1" t="s">
        <v>5397</v>
      </c>
      <c r="M888" s="1" t="s">
        <v>5398</v>
      </c>
      <c r="N888" s="1" t="s">
        <v>5401</v>
      </c>
      <c r="O888" s="1" t="s">
        <v>8748</v>
      </c>
    </row>
    <row r="889" spans="8:15" x14ac:dyDescent="0.25">
      <c r="H889" s="1">
        <v>1424834</v>
      </c>
      <c r="I889" s="4">
        <v>46330.625</v>
      </c>
      <c r="J889" s="1" t="s">
        <v>32</v>
      </c>
      <c r="K889" s="1" t="s">
        <v>65</v>
      </c>
      <c r="L889" s="1" t="s">
        <v>5397</v>
      </c>
      <c r="M889" s="1" t="s">
        <v>5416</v>
      </c>
      <c r="N889" s="1" t="s">
        <v>5404</v>
      </c>
      <c r="O889" s="1" t="s">
        <v>8749</v>
      </c>
    </row>
    <row r="890" spans="8:15" x14ac:dyDescent="0.25">
      <c r="H890" s="1">
        <v>1424835</v>
      </c>
      <c r="I890" s="4">
        <v>46330.625</v>
      </c>
      <c r="J890" s="1" t="s">
        <v>32</v>
      </c>
      <c r="K890" s="1" t="s">
        <v>65</v>
      </c>
      <c r="L890" s="1" t="s">
        <v>5397</v>
      </c>
      <c r="M890" s="1" t="s">
        <v>5414</v>
      </c>
      <c r="N890" s="1" t="s">
        <v>5405</v>
      </c>
      <c r="O890" s="1" t="s">
        <v>8750</v>
      </c>
    </row>
    <row r="891" spans="8:15" x14ac:dyDescent="0.25">
      <c r="H891" s="1">
        <v>1424836</v>
      </c>
      <c r="I891" s="4">
        <v>46330.625</v>
      </c>
      <c r="J891" s="1" t="s">
        <v>32</v>
      </c>
      <c r="K891" s="1" t="s">
        <v>65</v>
      </c>
      <c r="L891" s="1" t="s">
        <v>5397</v>
      </c>
      <c r="M891" s="1" t="s">
        <v>5423</v>
      </c>
      <c r="N891" s="1" t="s">
        <v>5420</v>
      </c>
      <c r="O891" s="1" t="s">
        <v>8751</v>
      </c>
    </row>
    <row r="892" spans="8:15" x14ac:dyDescent="0.25">
      <c r="H892" s="1">
        <v>1424837</v>
      </c>
      <c r="I892" s="4">
        <v>46330.625</v>
      </c>
      <c r="J892" s="1" t="s">
        <v>32</v>
      </c>
      <c r="K892" s="1" t="s">
        <v>65</v>
      </c>
      <c r="L892" s="1" t="s">
        <v>5397</v>
      </c>
      <c r="M892" s="1" t="s">
        <v>5410</v>
      </c>
      <c r="N892" s="1" t="s">
        <v>5402</v>
      </c>
      <c r="O892" s="1" t="s">
        <v>8752</v>
      </c>
    </row>
    <row r="893" spans="8:15" x14ac:dyDescent="0.25">
      <c r="H893" s="1">
        <v>1424838</v>
      </c>
      <c r="I893" s="4">
        <v>46330.625</v>
      </c>
      <c r="J893" s="1" t="s">
        <v>32</v>
      </c>
      <c r="K893" s="1" t="s">
        <v>65</v>
      </c>
      <c r="L893" s="1" t="s">
        <v>5397</v>
      </c>
      <c r="M893" s="1" t="s">
        <v>5411</v>
      </c>
      <c r="N893" s="1" t="s">
        <v>5426</v>
      </c>
      <c r="O893" s="1" t="s">
        <v>8753</v>
      </c>
    </row>
    <row r="894" spans="8:15" x14ac:dyDescent="0.25">
      <c r="H894" s="1">
        <v>1424839</v>
      </c>
      <c r="I894" s="4">
        <v>46330.625</v>
      </c>
      <c r="J894" s="1" t="s">
        <v>32</v>
      </c>
      <c r="K894" s="1" t="s">
        <v>65</v>
      </c>
      <c r="L894" s="1" t="s">
        <v>5397</v>
      </c>
      <c r="M894" s="1" t="s">
        <v>5417</v>
      </c>
      <c r="N894" s="1" t="s">
        <v>5429</v>
      </c>
      <c r="O894" s="1" t="s">
        <v>8754</v>
      </c>
    </row>
    <row r="895" spans="8:15" x14ac:dyDescent="0.25">
      <c r="H895" s="1">
        <v>1424840</v>
      </c>
      <c r="I895" s="4">
        <v>46330.625</v>
      </c>
      <c r="J895" s="1" t="s">
        <v>32</v>
      </c>
      <c r="K895" s="1" t="s">
        <v>65</v>
      </c>
      <c r="L895" s="1" t="s">
        <v>5397</v>
      </c>
      <c r="M895" s="1" t="s">
        <v>5419</v>
      </c>
      <c r="N895" s="1" t="s">
        <v>5428</v>
      </c>
      <c r="O895" s="1" t="s">
        <v>8755</v>
      </c>
    </row>
    <row r="896" spans="8:15" x14ac:dyDescent="0.25">
      <c r="H896" s="1">
        <v>1424841</v>
      </c>
      <c r="I896" s="4">
        <v>46330.625</v>
      </c>
      <c r="J896" s="1" t="s">
        <v>32</v>
      </c>
      <c r="K896" s="1" t="s">
        <v>65</v>
      </c>
      <c r="L896" s="1" t="s">
        <v>5397</v>
      </c>
      <c r="M896" s="1" t="s">
        <v>5422</v>
      </c>
      <c r="N896" s="1" t="s">
        <v>5408</v>
      </c>
      <c r="O896" s="1" t="s">
        <v>8756</v>
      </c>
    </row>
    <row r="897" spans="8:15" x14ac:dyDescent="0.25">
      <c r="H897" s="1">
        <v>1427753</v>
      </c>
      <c r="I897" s="4">
        <v>46330.625</v>
      </c>
      <c r="J897" s="1" t="s">
        <v>32</v>
      </c>
      <c r="K897" s="1" t="s">
        <v>65</v>
      </c>
      <c r="L897" s="1" t="s">
        <v>5436</v>
      </c>
      <c r="M897" s="1" t="s">
        <v>5449</v>
      </c>
      <c r="N897" s="1" t="s">
        <v>5447</v>
      </c>
      <c r="O897" s="1" t="s">
        <v>8757</v>
      </c>
    </row>
    <row r="898" spans="8:15" x14ac:dyDescent="0.25">
      <c r="H898" s="1">
        <v>1428124</v>
      </c>
      <c r="I898" s="4">
        <v>46330.625</v>
      </c>
      <c r="J898" s="1" t="s">
        <v>32</v>
      </c>
      <c r="K898" s="1" t="s">
        <v>65</v>
      </c>
      <c r="L898" s="1" t="s">
        <v>5436</v>
      </c>
      <c r="M898" s="1" t="s">
        <v>5467</v>
      </c>
      <c r="N898" s="1" t="s">
        <v>5438</v>
      </c>
      <c r="O898" s="1" t="s">
        <v>8758</v>
      </c>
    </row>
    <row r="899" spans="8:15" x14ac:dyDescent="0.25">
      <c r="H899" s="1">
        <v>1428125</v>
      </c>
      <c r="I899" s="4">
        <v>46330.625</v>
      </c>
      <c r="J899" s="1" t="s">
        <v>32</v>
      </c>
      <c r="K899" s="1" t="s">
        <v>65</v>
      </c>
      <c r="L899" s="1" t="s">
        <v>5436</v>
      </c>
      <c r="M899" s="1" t="s">
        <v>5444</v>
      </c>
      <c r="N899" s="1" t="s">
        <v>5452</v>
      </c>
      <c r="O899" s="1" t="s">
        <v>8759</v>
      </c>
    </row>
    <row r="900" spans="8:15" x14ac:dyDescent="0.25">
      <c r="H900" s="1">
        <v>1428126</v>
      </c>
      <c r="I900" s="4">
        <v>46330.625</v>
      </c>
      <c r="J900" s="1" t="s">
        <v>32</v>
      </c>
      <c r="K900" s="1" t="s">
        <v>65</v>
      </c>
      <c r="L900" s="1" t="s">
        <v>5436</v>
      </c>
      <c r="M900" s="1" t="s">
        <v>5440</v>
      </c>
      <c r="N900" s="1" t="s">
        <v>5459</v>
      </c>
      <c r="O900" s="1" t="s">
        <v>8760</v>
      </c>
    </row>
    <row r="901" spans="8:15" x14ac:dyDescent="0.25">
      <c r="H901" s="1">
        <v>1428128</v>
      </c>
      <c r="I901" s="4">
        <v>46330.625</v>
      </c>
      <c r="J901" s="1" t="s">
        <v>32</v>
      </c>
      <c r="K901" s="1" t="s">
        <v>65</v>
      </c>
      <c r="L901" s="1" t="s">
        <v>5436</v>
      </c>
      <c r="M901" s="1" t="s">
        <v>5446</v>
      </c>
      <c r="N901" s="1" t="s">
        <v>5453</v>
      </c>
      <c r="O901" s="1" t="s">
        <v>8761</v>
      </c>
    </row>
    <row r="902" spans="8:15" x14ac:dyDescent="0.25">
      <c r="H902" s="1">
        <v>1428129</v>
      </c>
      <c r="I902" s="4">
        <v>46330.625</v>
      </c>
      <c r="J902" s="1" t="s">
        <v>32</v>
      </c>
      <c r="K902" s="1" t="s">
        <v>65</v>
      </c>
      <c r="L902" s="1" t="s">
        <v>5436</v>
      </c>
      <c r="M902" s="1" t="s">
        <v>5441</v>
      </c>
      <c r="N902" s="1" t="s">
        <v>5458</v>
      </c>
      <c r="O902" s="1" t="s">
        <v>8762</v>
      </c>
    </row>
    <row r="903" spans="8:15" x14ac:dyDescent="0.25">
      <c r="H903" s="1">
        <v>1428130</v>
      </c>
      <c r="I903" s="4">
        <v>46330.625</v>
      </c>
      <c r="J903" s="1" t="s">
        <v>32</v>
      </c>
      <c r="K903" s="1" t="s">
        <v>65</v>
      </c>
      <c r="L903" s="1" t="s">
        <v>5436</v>
      </c>
      <c r="M903" s="1" t="s">
        <v>5437</v>
      </c>
      <c r="N903" s="1" t="s">
        <v>5455</v>
      </c>
      <c r="O903" s="1" t="s">
        <v>8763</v>
      </c>
    </row>
    <row r="904" spans="8:15" x14ac:dyDescent="0.25">
      <c r="H904" s="1">
        <v>1428131</v>
      </c>
      <c r="I904" s="4">
        <v>46330.625</v>
      </c>
      <c r="J904" s="1" t="s">
        <v>32</v>
      </c>
      <c r="K904" s="1" t="s">
        <v>65</v>
      </c>
      <c r="L904" s="1" t="s">
        <v>5436</v>
      </c>
      <c r="M904" s="1" t="s">
        <v>5461</v>
      </c>
      <c r="N904" s="1" t="s">
        <v>5456</v>
      </c>
      <c r="O904" s="1" t="s">
        <v>8764</v>
      </c>
    </row>
    <row r="905" spans="8:15" x14ac:dyDescent="0.25">
      <c r="H905" s="1">
        <v>1428132</v>
      </c>
      <c r="I905" s="4">
        <v>46330.625</v>
      </c>
      <c r="J905" s="1" t="s">
        <v>32</v>
      </c>
      <c r="K905" s="1" t="s">
        <v>65</v>
      </c>
      <c r="L905" s="1" t="s">
        <v>5436</v>
      </c>
      <c r="M905" s="1" t="s">
        <v>5468</v>
      </c>
      <c r="N905" s="1" t="s">
        <v>5465</v>
      </c>
      <c r="O905" s="1" t="s">
        <v>8765</v>
      </c>
    </row>
    <row r="906" spans="8:15" x14ac:dyDescent="0.25">
      <c r="H906" s="1">
        <v>1428133</v>
      </c>
      <c r="I906" s="4">
        <v>46330.625</v>
      </c>
      <c r="J906" s="1" t="s">
        <v>32</v>
      </c>
      <c r="K906" s="1" t="s">
        <v>65</v>
      </c>
      <c r="L906" s="1" t="s">
        <v>5436</v>
      </c>
      <c r="M906" s="1" t="s">
        <v>5443</v>
      </c>
      <c r="N906" s="1" t="s">
        <v>5464</v>
      </c>
      <c r="O906" s="1" t="s">
        <v>8766</v>
      </c>
    </row>
    <row r="907" spans="8:15" x14ac:dyDescent="0.25">
      <c r="H907" s="1">
        <v>1428134</v>
      </c>
      <c r="I907" s="4">
        <v>46330.625</v>
      </c>
      <c r="J907" s="1" t="s">
        <v>32</v>
      </c>
      <c r="K907" s="1" t="s">
        <v>65</v>
      </c>
      <c r="L907" s="1" t="s">
        <v>5436</v>
      </c>
      <c r="M907" s="1" t="s">
        <v>5462</v>
      </c>
      <c r="N907" s="1" t="s">
        <v>5450</v>
      </c>
      <c r="O907" s="1" t="s">
        <v>8767</v>
      </c>
    </row>
    <row r="908" spans="8:15" x14ac:dyDescent="0.25">
      <c r="H908" s="1">
        <v>1428586</v>
      </c>
      <c r="I908" s="4">
        <v>46330.625</v>
      </c>
      <c r="J908" s="1" t="s">
        <v>32</v>
      </c>
      <c r="K908" s="1" t="s">
        <v>65</v>
      </c>
      <c r="L908" s="1" t="s">
        <v>5470</v>
      </c>
      <c r="M908" s="1" t="s">
        <v>5501</v>
      </c>
      <c r="N908" s="1" t="s">
        <v>5472</v>
      </c>
      <c r="O908" s="1" t="s">
        <v>8768</v>
      </c>
    </row>
    <row r="909" spans="8:15" x14ac:dyDescent="0.25">
      <c r="H909" s="1">
        <v>1428587</v>
      </c>
      <c r="I909" s="4">
        <v>46330.625</v>
      </c>
      <c r="J909" s="1" t="s">
        <v>32</v>
      </c>
      <c r="K909" s="1" t="s">
        <v>65</v>
      </c>
      <c r="L909" s="1" t="s">
        <v>5470</v>
      </c>
      <c r="M909" s="1" t="s">
        <v>5478</v>
      </c>
      <c r="N909" s="1" t="s">
        <v>5471</v>
      </c>
      <c r="O909" s="1" t="s">
        <v>8769</v>
      </c>
    </row>
    <row r="910" spans="8:15" x14ac:dyDescent="0.25">
      <c r="H910" s="1">
        <v>1428588</v>
      </c>
      <c r="I910" s="4">
        <v>46330.625</v>
      </c>
      <c r="J910" s="1" t="s">
        <v>32</v>
      </c>
      <c r="K910" s="1" t="s">
        <v>65</v>
      </c>
      <c r="L910" s="1" t="s">
        <v>5470</v>
      </c>
      <c r="M910" s="1" t="s">
        <v>5477</v>
      </c>
      <c r="N910" s="1" t="s">
        <v>5492</v>
      </c>
      <c r="O910" s="1" t="s">
        <v>8770</v>
      </c>
    </row>
    <row r="911" spans="8:15" x14ac:dyDescent="0.25">
      <c r="H911" s="1">
        <v>1428589</v>
      </c>
      <c r="I911" s="4">
        <v>46330.625</v>
      </c>
      <c r="J911" s="1" t="s">
        <v>32</v>
      </c>
      <c r="K911" s="1" t="s">
        <v>65</v>
      </c>
      <c r="L911" s="1" t="s">
        <v>5470</v>
      </c>
      <c r="M911" s="1" t="s">
        <v>5481</v>
      </c>
      <c r="N911" s="1" t="s">
        <v>5484</v>
      </c>
      <c r="O911" s="1" t="s">
        <v>8771</v>
      </c>
    </row>
    <row r="912" spans="8:15" x14ac:dyDescent="0.25">
      <c r="H912" s="1">
        <v>1428590</v>
      </c>
      <c r="I912" s="4">
        <v>46330.625</v>
      </c>
      <c r="J912" s="1" t="s">
        <v>32</v>
      </c>
      <c r="K912" s="1" t="s">
        <v>65</v>
      </c>
      <c r="L912" s="1" t="s">
        <v>5470</v>
      </c>
      <c r="M912" s="1" t="s">
        <v>5502</v>
      </c>
      <c r="N912" s="1" t="s">
        <v>5489</v>
      </c>
      <c r="O912" s="1" t="s">
        <v>8772</v>
      </c>
    </row>
    <row r="913" spans="8:15" x14ac:dyDescent="0.25">
      <c r="H913" s="1">
        <v>1428591</v>
      </c>
      <c r="I913" s="4">
        <v>46330.625</v>
      </c>
      <c r="J913" s="1" t="s">
        <v>32</v>
      </c>
      <c r="K913" s="1" t="s">
        <v>65</v>
      </c>
      <c r="L913" s="1" t="s">
        <v>5470</v>
      </c>
      <c r="M913" s="1" t="s">
        <v>5498</v>
      </c>
      <c r="N913" s="1" t="s">
        <v>5475</v>
      </c>
      <c r="O913" s="1" t="s">
        <v>8773</v>
      </c>
    </row>
    <row r="914" spans="8:15" x14ac:dyDescent="0.25">
      <c r="H914" s="1">
        <v>1428592</v>
      </c>
      <c r="I914" s="4">
        <v>46330.625</v>
      </c>
      <c r="J914" s="1" t="s">
        <v>32</v>
      </c>
      <c r="K914" s="1" t="s">
        <v>65</v>
      </c>
      <c r="L914" s="1" t="s">
        <v>5470</v>
      </c>
      <c r="M914" s="1" t="s">
        <v>5474</v>
      </c>
      <c r="N914" s="1" t="s">
        <v>5483</v>
      </c>
      <c r="O914" s="1" t="s">
        <v>8774</v>
      </c>
    </row>
    <row r="915" spans="8:15" x14ac:dyDescent="0.25">
      <c r="H915" s="1">
        <v>1428593</v>
      </c>
      <c r="I915" s="4">
        <v>46330.625</v>
      </c>
      <c r="J915" s="1" t="s">
        <v>32</v>
      </c>
      <c r="K915" s="1" t="s">
        <v>65</v>
      </c>
      <c r="L915" s="1" t="s">
        <v>5470</v>
      </c>
      <c r="M915" s="1" t="s">
        <v>5486</v>
      </c>
      <c r="N915" s="1" t="s">
        <v>5496</v>
      </c>
      <c r="O915" s="1" t="s">
        <v>8775</v>
      </c>
    </row>
    <row r="916" spans="8:15" x14ac:dyDescent="0.25">
      <c r="H916" s="1">
        <v>1428594</v>
      </c>
      <c r="I916" s="4">
        <v>46330.625</v>
      </c>
      <c r="J916" s="1" t="s">
        <v>32</v>
      </c>
      <c r="K916" s="1" t="s">
        <v>65</v>
      </c>
      <c r="L916" s="1" t="s">
        <v>5470</v>
      </c>
      <c r="M916" s="1" t="s">
        <v>5480</v>
      </c>
      <c r="N916" s="1" t="s">
        <v>5493</v>
      </c>
      <c r="O916" s="1" t="s">
        <v>8776</v>
      </c>
    </row>
    <row r="917" spans="8:15" x14ac:dyDescent="0.25">
      <c r="H917" s="1">
        <v>1428595</v>
      </c>
      <c r="I917" s="4">
        <v>46330.625</v>
      </c>
      <c r="J917" s="1" t="s">
        <v>32</v>
      </c>
      <c r="K917" s="1" t="s">
        <v>65</v>
      </c>
      <c r="L917" s="1" t="s">
        <v>5470</v>
      </c>
      <c r="M917" s="1" t="s">
        <v>5487</v>
      </c>
      <c r="N917" s="1" t="s">
        <v>5495</v>
      </c>
      <c r="O917" s="1" t="s">
        <v>8777</v>
      </c>
    </row>
    <row r="918" spans="8:15" x14ac:dyDescent="0.25">
      <c r="H918" s="1">
        <v>1428596</v>
      </c>
      <c r="I918" s="4">
        <v>46330.625</v>
      </c>
      <c r="J918" s="1" t="s">
        <v>32</v>
      </c>
      <c r="K918" s="1" t="s">
        <v>65</v>
      </c>
      <c r="L918" s="1" t="s">
        <v>5470</v>
      </c>
      <c r="M918" s="1" t="s">
        <v>5499</v>
      </c>
      <c r="N918" s="1" t="s">
        <v>5490</v>
      </c>
      <c r="O918" s="1" t="s">
        <v>8778</v>
      </c>
    </row>
    <row r="919" spans="8:15" x14ac:dyDescent="0.25">
      <c r="H919" s="1">
        <v>1429009</v>
      </c>
      <c r="I919" s="4">
        <v>46330.625</v>
      </c>
      <c r="J919" s="1" t="s">
        <v>32</v>
      </c>
      <c r="K919" s="1" t="s">
        <v>65</v>
      </c>
      <c r="L919" s="1" t="s">
        <v>5504</v>
      </c>
      <c r="M919" s="1" t="s">
        <v>5511</v>
      </c>
      <c r="N919" s="1" t="s">
        <v>5506</v>
      </c>
      <c r="O919" s="1" t="s">
        <v>8779</v>
      </c>
    </row>
    <row r="920" spans="8:15" x14ac:dyDescent="0.25">
      <c r="H920" s="1">
        <v>1429010</v>
      </c>
      <c r="I920" s="4">
        <v>46330.625</v>
      </c>
      <c r="J920" s="1" t="s">
        <v>32</v>
      </c>
      <c r="K920" s="1" t="s">
        <v>65</v>
      </c>
      <c r="L920" s="1" t="s">
        <v>5504</v>
      </c>
      <c r="M920" s="1" t="s">
        <v>5508</v>
      </c>
      <c r="N920" s="1" t="s">
        <v>5514</v>
      </c>
      <c r="O920" s="1" t="s">
        <v>8780</v>
      </c>
    </row>
    <row r="921" spans="8:15" x14ac:dyDescent="0.25">
      <c r="H921" s="1">
        <v>1429011</v>
      </c>
      <c r="I921" s="4">
        <v>46330.625</v>
      </c>
      <c r="J921" s="1" t="s">
        <v>32</v>
      </c>
      <c r="K921" s="1" t="s">
        <v>65</v>
      </c>
      <c r="L921" s="1" t="s">
        <v>5504</v>
      </c>
      <c r="M921" s="1" t="s">
        <v>5512</v>
      </c>
      <c r="N921" s="1" t="s">
        <v>5523</v>
      </c>
      <c r="O921" s="1" t="s">
        <v>8781</v>
      </c>
    </row>
    <row r="922" spans="8:15" x14ac:dyDescent="0.25">
      <c r="H922" s="1">
        <v>1429012</v>
      </c>
      <c r="I922" s="4">
        <v>46330.625</v>
      </c>
      <c r="J922" s="1" t="s">
        <v>32</v>
      </c>
      <c r="K922" s="1" t="s">
        <v>65</v>
      </c>
      <c r="L922" s="1" t="s">
        <v>5504</v>
      </c>
      <c r="M922" s="1" t="s">
        <v>5517</v>
      </c>
      <c r="N922" s="1" t="s">
        <v>5524</v>
      </c>
      <c r="O922" s="1" t="s">
        <v>8782</v>
      </c>
    </row>
    <row r="923" spans="8:15" x14ac:dyDescent="0.25">
      <c r="H923" s="1">
        <v>1429013</v>
      </c>
      <c r="I923" s="4">
        <v>46330.625</v>
      </c>
      <c r="J923" s="1" t="s">
        <v>32</v>
      </c>
      <c r="K923" s="1" t="s">
        <v>65</v>
      </c>
      <c r="L923" s="1" t="s">
        <v>5504</v>
      </c>
      <c r="M923" s="1" t="s">
        <v>5526</v>
      </c>
      <c r="N923" s="1" t="s">
        <v>5515</v>
      </c>
      <c r="O923" s="1" t="s">
        <v>8783</v>
      </c>
    </row>
    <row r="924" spans="8:15" x14ac:dyDescent="0.25">
      <c r="H924" s="1">
        <v>1429014</v>
      </c>
      <c r="I924" s="4">
        <v>46330.625</v>
      </c>
      <c r="J924" s="1" t="s">
        <v>32</v>
      </c>
      <c r="K924" s="1" t="s">
        <v>65</v>
      </c>
      <c r="L924" s="1" t="s">
        <v>5504</v>
      </c>
      <c r="M924" s="1" t="s">
        <v>5518</v>
      </c>
      <c r="N924" s="1" t="s">
        <v>5520</v>
      </c>
      <c r="O924" s="1" t="s">
        <v>8784</v>
      </c>
    </row>
    <row r="925" spans="8:15" x14ac:dyDescent="0.25">
      <c r="H925" s="1">
        <v>1429015</v>
      </c>
      <c r="I925" s="4">
        <v>46330.625</v>
      </c>
      <c r="J925" s="1" t="s">
        <v>32</v>
      </c>
      <c r="K925" s="1" t="s">
        <v>65</v>
      </c>
      <c r="L925" s="1" t="s">
        <v>5504</v>
      </c>
      <c r="M925" s="1" t="s">
        <v>5533</v>
      </c>
      <c r="N925" s="1" t="s">
        <v>5521</v>
      </c>
      <c r="O925" s="1" t="s">
        <v>8785</v>
      </c>
    </row>
    <row r="926" spans="8:15" x14ac:dyDescent="0.25">
      <c r="H926" s="1">
        <v>1429016</v>
      </c>
      <c r="I926" s="4">
        <v>46330.625</v>
      </c>
      <c r="J926" s="1" t="s">
        <v>32</v>
      </c>
      <c r="K926" s="1" t="s">
        <v>65</v>
      </c>
      <c r="L926" s="1" t="s">
        <v>5504</v>
      </c>
      <c r="M926" s="1" t="s">
        <v>8786</v>
      </c>
      <c r="N926" s="1" t="s">
        <v>5530</v>
      </c>
      <c r="O926" s="1" t="s">
        <v>8787</v>
      </c>
    </row>
    <row r="927" spans="8:15" x14ac:dyDescent="0.25">
      <c r="H927" s="1">
        <v>1429017</v>
      </c>
      <c r="I927" s="4">
        <v>46330.625</v>
      </c>
      <c r="J927" s="1" t="s">
        <v>32</v>
      </c>
      <c r="K927" s="1" t="s">
        <v>65</v>
      </c>
      <c r="L927" s="1" t="s">
        <v>5504</v>
      </c>
      <c r="M927" s="1" t="s">
        <v>5505</v>
      </c>
      <c r="N927" s="1" t="s">
        <v>5532</v>
      </c>
      <c r="O927" s="1" t="s">
        <v>8788</v>
      </c>
    </row>
    <row r="928" spans="8:15" x14ac:dyDescent="0.25">
      <c r="H928" s="1">
        <v>1429018</v>
      </c>
      <c r="I928" s="4">
        <v>46330.625</v>
      </c>
      <c r="J928" s="1" t="s">
        <v>32</v>
      </c>
      <c r="K928" s="1" t="s">
        <v>65</v>
      </c>
      <c r="L928" s="1" t="s">
        <v>5504</v>
      </c>
      <c r="M928" s="1" t="s">
        <v>5527</v>
      </c>
      <c r="N928" s="1" t="s">
        <v>5529</v>
      </c>
      <c r="O928" s="1" t="s">
        <v>8789</v>
      </c>
    </row>
    <row r="929" spans="8:15" x14ac:dyDescent="0.25">
      <c r="H929" s="1">
        <v>1430145</v>
      </c>
      <c r="I929" s="4">
        <v>46330.625</v>
      </c>
      <c r="J929" s="1" t="s">
        <v>32</v>
      </c>
      <c r="K929" s="1" t="s">
        <v>80</v>
      </c>
      <c r="L929" s="1" t="s">
        <v>607</v>
      </c>
      <c r="M929" s="1" t="s">
        <v>5536</v>
      </c>
      <c r="N929" s="1" t="s">
        <v>8790</v>
      </c>
      <c r="O929" s="1" t="s">
        <v>8791</v>
      </c>
    </row>
    <row r="930" spans="8:15" x14ac:dyDescent="0.25">
      <c r="H930" s="1">
        <v>1430146</v>
      </c>
      <c r="I930" s="4">
        <v>46330.625</v>
      </c>
      <c r="J930" s="1" t="s">
        <v>32</v>
      </c>
      <c r="K930" s="1" t="s">
        <v>80</v>
      </c>
      <c r="L930" s="1" t="s">
        <v>607</v>
      </c>
      <c r="M930" s="1" t="s">
        <v>5542</v>
      </c>
      <c r="N930" s="1" t="s">
        <v>1724</v>
      </c>
      <c r="O930" s="1" t="s">
        <v>8792</v>
      </c>
    </row>
    <row r="931" spans="8:15" x14ac:dyDescent="0.25">
      <c r="H931" s="1">
        <v>1430147</v>
      </c>
      <c r="I931" s="4">
        <v>46330.625</v>
      </c>
      <c r="J931" s="1" t="s">
        <v>32</v>
      </c>
      <c r="K931" s="1" t="s">
        <v>80</v>
      </c>
      <c r="L931" s="1" t="s">
        <v>607</v>
      </c>
      <c r="M931" s="1" t="s">
        <v>5541</v>
      </c>
      <c r="N931" s="1" t="s">
        <v>8793</v>
      </c>
      <c r="O931" s="1" t="s">
        <v>8794</v>
      </c>
    </row>
    <row r="932" spans="8:15" x14ac:dyDescent="0.25">
      <c r="H932" s="1">
        <v>1430362</v>
      </c>
      <c r="I932" s="4">
        <v>46330.625</v>
      </c>
      <c r="J932" s="1" t="s">
        <v>32</v>
      </c>
      <c r="K932" s="1" t="s">
        <v>80</v>
      </c>
      <c r="L932" s="1" t="s">
        <v>628</v>
      </c>
      <c r="M932" s="1" t="s">
        <v>8795</v>
      </c>
      <c r="N932" s="1" t="s">
        <v>1544</v>
      </c>
      <c r="O932" s="1" t="s">
        <v>8796</v>
      </c>
    </row>
    <row r="933" spans="8:15" x14ac:dyDescent="0.25">
      <c r="H933" s="1">
        <v>1430566</v>
      </c>
      <c r="I933" s="4">
        <v>46330.625</v>
      </c>
      <c r="J933" s="1" t="s">
        <v>32</v>
      </c>
      <c r="K933" s="1" t="s">
        <v>80</v>
      </c>
      <c r="L933" s="1" t="s">
        <v>629</v>
      </c>
      <c r="M933" s="1" t="s">
        <v>1450</v>
      </c>
      <c r="N933" s="1" t="s">
        <v>5546</v>
      </c>
      <c r="O933" s="1" t="s">
        <v>8797</v>
      </c>
    </row>
    <row r="934" spans="8:15" x14ac:dyDescent="0.25">
      <c r="H934" s="1">
        <v>1430567</v>
      </c>
      <c r="I934" s="4">
        <v>46330.625</v>
      </c>
      <c r="J934" s="1" t="s">
        <v>32</v>
      </c>
      <c r="K934" s="1" t="s">
        <v>80</v>
      </c>
      <c r="L934" s="1" t="s">
        <v>629</v>
      </c>
      <c r="M934" s="1" t="s">
        <v>4629</v>
      </c>
      <c r="N934" s="1" t="s">
        <v>6093</v>
      </c>
      <c r="O934" s="1" t="s">
        <v>8798</v>
      </c>
    </row>
    <row r="935" spans="8:15" x14ac:dyDescent="0.25">
      <c r="H935" s="1">
        <v>1430568</v>
      </c>
      <c r="I935" s="4">
        <v>46330.625</v>
      </c>
      <c r="J935" s="1" t="s">
        <v>32</v>
      </c>
      <c r="K935" s="1" t="s">
        <v>80</v>
      </c>
      <c r="L935" s="1" t="s">
        <v>629</v>
      </c>
      <c r="M935" s="1" t="s">
        <v>8799</v>
      </c>
      <c r="N935" s="1" t="s">
        <v>4631</v>
      </c>
      <c r="O935" s="1" t="s">
        <v>8800</v>
      </c>
    </row>
    <row r="936" spans="8:15" x14ac:dyDescent="0.25">
      <c r="H936" s="1">
        <v>1430569</v>
      </c>
      <c r="I936" s="4">
        <v>46330.625</v>
      </c>
      <c r="J936" s="1" t="s">
        <v>32</v>
      </c>
      <c r="K936" s="1" t="s">
        <v>80</v>
      </c>
      <c r="L936" s="1" t="s">
        <v>629</v>
      </c>
      <c r="M936" s="1" t="s">
        <v>5547</v>
      </c>
      <c r="N936" s="1" t="s">
        <v>6094</v>
      </c>
      <c r="O936" s="1" t="s">
        <v>8801</v>
      </c>
    </row>
    <row r="937" spans="8:15" x14ac:dyDescent="0.25">
      <c r="H937" s="1">
        <v>1430570</v>
      </c>
      <c r="I937" s="4">
        <v>46330.625</v>
      </c>
      <c r="J937" s="1" t="s">
        <v>32</v>
      </c>
      <c r="K937" s="1" t="s">
        <v>80</v>
      </c>
      <c r="L937" s="1" t="s">
        <v>629</v>
      </c>
      <c r="M937" s="1" t="s">
        <v>8802</v>
      </c>
      <c r="N937" s="1" t="s">
        <v>8803</v>
      </c>
      <c r="O937" s="1" t="s">
        <v>8804</v>
      </c>
    </row>
    <row r="938" spans="8:15" x14ac:dyDescent="0.25">
      <c r="H938" s="1">
        <v>1435125</v>
      </c>
      <c r="I938" s="4">
        <v>46330.625</v>
      </c>
      <c r="J938" s="1" t="s">
        <v>32</v>
      </c>
      <c r="K938" s="1" t="s">
        <v>65</v>
      </c>
      <c r="L938" s="1" t="s">
        <v>4922</v>
      </c>
      <c r="M938" s="1" t="s">
        <v>5997</v>
      </c>
      <c r="N938" s="1" t="s">
        <v>4927</v>
      </c>
      <c r="O938" s="1" t="s">
        <v>8805</v>
      </c>
    </row>
    <row r="939" spans="8:15" x14ac:dyDescent="0.25">
      <c r="H939" s="1">
        <v>1437633</v>
      </c>
      <c r="I939" s="4">
        <v>46330.625</v>
      </c>
      <c r="J939" s="1" t="s">
        <v>32</v>
      </c>
      <c r="K939" s="1" t="s">
        <v>65</v>
      </c>
      <c r="L939" s="1" t="s">
        <v>3178</v>
      </c>
      <c r="M939" s="1" t="s">
        <v>4634</v>
      </c>
      <c r="N939" s="1" t="s">
        <v>3186</v>
      </c>
      <c r="O939" s="1" t="s">
        <v>8806</v>
      </c>
    </row>
    <row r="940" spans="8:15" x14ac:dyDescent="0.25">
      <c r="H940" s="1">
        <v>1442987</v>
      </c>
      <c r="I940" s="4">
        <v>46330.625</v>
      </c>
      <c r="J940" s="1" t="s">
        <v>32</v>
      </c>
      <c r="K940" s="1" t="s">
        <v>65</v>
      </c>
      <c r="L940" s="1" t="s">
        <v>5554</v>
      </c>
      <c r="M940" s="1" t="s">
        <v>5561</v>
      </c>
      <c r="N940" s="1" t="s">
        <v>5576</v>
      </c>
      <c r="O940" s="1" t="s">
        <v>8807</v>
      </c>
    </row>
    <row r="941" spans="8:15" x14ac:dyDescent="0.25">
      <c r="H941" s="1">
        <v>1442988</v>
      </c>
      <c r="I941" s="4">
        <v>46330.625</v>
      </c>
      <c r="J941" s="1" t="s">
        <v>32</v>
      </c>
      <c r="K941" s="1" t="s">
        <v>65</v>
      </c>
      <c r="L941" s="1" t="s">
        <v>5554</v>
      </c>
      <c r="M941" s="1" t="s">
        <v>5555</v>
      </c>
      <c r="N941" s="1" t="s">
        <v>5577</v>
      </c>
      <c r="O941" s="1" t="s">
        <v>8808</v>
      </c>
    </row>
    <row r="942" spans="8:15" x14ac:dyDescent="0.25">
      <c r="H942" s="1">
        <v>1442989</v>
      </c>
      <c r="I942" s="4">
        <v>46330.625</v>
      </c>
      <c r="J942" s="1" t="s">
        <v>32</v>
      </c>
      <c r="K942" s="1" t="s">
        <v>65</v>
      </c>
      <c r="L942" s="1" t="s">
        <v>5554</v>
      </c>
      <c r="M942" s="1" t="s">
        <v>5558</v>
      </c>
      <c r="N942" s="1" t="s">
        <v>5571</v>
      </c>
      <c r="O942" s="1" t="s">
        <v>8809</v>
      </c>
    </row>
    <row r="943" spans="8:15" x14ac:dyDescent="0.25">
      <c r="H943" s="1">
        <v>1442990</v>
      </c>
      <c r="I943" s="4">
        <v>46330.625</v>
      </c>
      <c r="J943" s="1" t="s">
        <v>32</v>
      </c>
      <c r="K943" s="1" t="s">
        <v>65</v>
      </c>
      <c r="L943" s="1" t="s">
        <v>5554</v>
      </c>
      <c r="M943" s="1" t="s">
        <v>5564</v>
      </c>
      <c r="N943" s="1" t="s">
        <v>5567</v>
      </c>
      <c r="O943" s="1" t="s">
        <v>8810</v>
      </c>
    </row>
    <row r="944" spans="8:15" x14ac:dyDescent="0.25">
      <c r="H944" s="1">
        <v>1442991</v>
      </c>
      <c r="I944" s="4">
        <v>46330.625</v>
      </c>
      <c r="J944" s="1" t="s">
        <v>32</v>
      </c>
      <c r="K944" s="1" t="s">
        <v>65</v>
      </c>
      <c r="L944" s="1" t="s">
        <v>5554</v>
      </c>
      <c r="M944" s="1" t="s">
        <v>5556</v>
      </c>
      <c r="N944" s="1" t="s">
        <v>5583</v>
      </c>
      <c r="O944" s="1" t="s">
        <v>8811</v>
      </c>
    </row>
    <row r="945" spans="8:15" x14ac:dyDescent="0.25">
      <c r="H945" s="1">
        <v>1442992</v>
      </c>
      <c r="I945" s="4">
        <v>46330.625</v>
      </c>
      <c r="J945" s="1" t="s">
        <v>32</v>
      </c>
      <c r="K945" s="1" t="s">
        <v>65</v>
      </c>
      <c r="L945" s="1" t="s">
        <v>5554</v>
      </c>
      <c r="M945" s="1" t="s">
        <v>5573</v>
      </c>
      <c r="N945" s="1" t="s">
        <v>5580</v>
      </c>
      <c r="O945" s="1" t="s">
        <v>8812</v>
      </c>
    </row>
    <row r="946" spans="8:15" x14ac:dyDescent="0.25">
      <c r="H946" s="1">
        <v>1442993</v>
      </c>
      <c r="I946" s="4">
        <v>46330.625</v>
      </c>
      <c r="J946" s="1" t="s">
        <v>32</v>
      </c>
      <c r="K946" s="1" t="s">
        <v>65</v>
      </c>
      <c r="L946" s="1" t="s">
        <v>5554</v>
      </c>
      <c r="M946" s="1" t="s">
        <v>5574</v>
      </c>
      <c r="N946" s="1" t="s">
        <v>5570</v>
      </c>
      <c r="O946" s="1" t="s">
        <v>8813</v>
      </c>
    </row>
    <row r="947" spans="8:15" x14ac:dyDescent="0.25">
      <c r="H947" s="1">
        <v>1442994</v>
      </c>
      <c r="I947" s="4">
        <v>46330.625</v>
      </c>
      <c r="J947" s="1" t="s">
        <v>32</v>
      </c>
      <c r="K947" s="1" t="s">
        <v>65</v>
      </c>
      <c r="L947" s="1" t="s">
        <v>5554</v>
      </c>
      <c r="M947" s="1" t="s">
        <v>5568</v>
      </c>
      <c r="N947" s="1" t="s">
        <v>5565</v>
      </c>
      <c r="O947" s="1" t="s">
        <v>8814</v>
      </c>
    </row>
    <row r="948" spans="8:15" x14ac:dyDescent="0.25">
      <c r="H948" s="1">
        <v>1442995</v>
      </c>
      <c r="I948" s="4">
        <v>46330.625</v>
      </c>
      <c r="J948" s="1" t="s">
        <v>32</v>
      </c>
      <c r="K948" s="1" t="s">
        <v>65</v>
      </c>
      <c r="L948" s="1" t="s">
        <v>5554</v>
      </c>
      <c r="M948" s="1" t="s">
        <v>5586</v>
      </c>
      <c r="N948" s="1" t="s">
        <v>5582</v>
      </c>
      <c r="O948" s="1" t="s">
        <v>8815</v>
      </c>
    </row>
    <row r="949" spans="8:15" x14ac:dyDescent="0.25">
      <c r="H949" s="1">
        <v>1442996</v>
      </c>
      <c r="I949" s="4">
        <v>46330.625</v>
      </c>
      <c r="J949" s="1" t="s">
        <v>32</v>
      </c>
      <c r="K949" s="1" t="s">
        <v>65</v>
      </c>
      <c r="L949" s="1" t="s">
        <v>5554</v>
      </c>
      <c r="M949" s="1" t="s">
        <v>5559</v>
      </c>
      <c r="N949" s="1" t="s">
        <v>5579</v>
      </c>
      <c r="O949" s="1" t="s">
        <v>8816</v>
      </c>
    </row>
    <row r="950" spans="8:15" x14ac:dyDescent="0.25">
      <c r="H950" s="1">
        <v>1442997</v>
      </c>
      <c r="I950" s="4">
        <v>46330.625</v>
      </c>
      <c r="J950" s="1" t="s">
        <v>32</v>
      </c>
      <c r="K950" s="1" t="s">
        <v>65</v>
      </c>
      <c r="L950" s="1" t="s">
        <v>5554</v>
      </c>
      <c r="M950" s="1" t="s">
        <v>5585</v>
      </c>
      <c r="N950" s="1" t="s">
        <v>5562</v>
      </c>
      <c r="O950" s="1" t="s">
        <v>8817</v>
      </c>
    </row>
    <row r="951" spans="8:15" x14ac:dyDescent="0.25">
      <c r="H951" s="1">
        <v>1443449</v>
      </c>
      <c r="I951" s="4">
        <v>46330.625</v>
      </c>
      <c r="J951" s="1" t="s">
        <v>32</v>
      </c>
      <c r="K951" s="1" t="s">
        <v>65</v>
      </c>
      <c r="L951" s="1" t="s">
        <v>5588</v>
      </c>
      <c r="M951" s="1" t="s">
        <v>5590</v>
      </c>
      <c r="N951" s="1" t="s">
        <v>5617</v>
      </c>
      <c r="O951" s="1" t="s">
        <v>8818</v>
      </c>
    </row>
    <row r="952" spans="8:15" x14ac:dyDescent="0.25">
      <c r="H952" s="1">
        <v>1443450</v>
      </c>
      <c r="I952" s="4">
        <v>46330.625</v>
      </c>
      <c r="J952" s="1" t="s">
        <v>32</v>
      </c>
      <c r="K952" s="1" t="s">
        <v>65</v>
      </c>
      <c r="L952" s="1" t="s">
        <v>5588</v>
      </c>
      <c r="M952" s="1" t="s">
        <v>5614</v>
      </c>
      <c r="N952" s="1" t="s">
        <v>5593</v>
      </c>
      <c r="O952" s="1" t="s">
        <v>8819</v>
      </c>
    </row>
    <row r="953" spans="8:15" x14ac:dyDescent="0.25">
      <c r="H953" s="1">
        <v>1443451</v>
      </c>
      <c r="I953" s="4">
        <v>46330.625</v>
      </c>
      <c r="J953" s="1" t="s">
        <v>32</v>
      </c>
      <c r="K953" s="1" t="s">
        <v>65</v>
      </c>
      <c r="L953" s="1" t="s">
        <v>5588</v>
      </c>
      <c r="M953" s="1" t="s">
        <v>5596</v>
      </c>
      <c r="N953" s="1" t="s">
        <v>5592</v>
      </c>
      <c r="O953" s="1" t="s">
        <v>8820</v>
      </c>
    </row>
    <row r="954" spans="8:15" x14ac:dyDescent="0.25">
      <c r="H954" s="1">
        <v>1443452</v>
      </c>
      <c r="I954" s="4">
        <v>46330.625</v>
      </c>
      <c r="J954" s="1" t="s">
        <v>32</v>
      </c>
      <c r="K954" s="1" t="s">
        <v>65</v>
      </c>
      <c r="L954" s="1" t="s">
        <v>5588</v>
      </c>
      <c r="M954" s="1" t="s">
        <v>5610</v>
      </c>
      <c r="N954" s="1" t="s">
        <v>5598</v>
      </c>
      <c r="O954" s="1" t="s">
        <v>8821</v>
      </c>
    </row>
    <row r="955" spans="8:15" x14ac:dyDescent="0.25">
      <c r="H955" s="1">
        <v>1443453</v>
      </c>
      <c r="I955" s="4">
        <v>46330.625</v>
      </c>
      <c r="J955" s="1" t="s">
        <v>32</v>
      </c>
      <c r="K955" s="1" t="s">
        <v>65</v>
      </c>
      <c r="L955" s="1" t="s">
        <v>5588</v>
      </c>
      <c r="M955" s="1" t="s">
        <v>5607</v>
      </c>
      <c r="N955" s="1" t="s">
        <v>5599</v>
      </c>
      <c r="O955" s="1" t="s">
        <v>8822</v>
      </c>
    </row>
    <row r="956" spans="8:15" x14ac:dyDescent="0.25">
      <c r="H956" s="1">
        <v>1443454</v>
      </c>
      <c r="I956" s="4">
        <v>46330.625</v>
      </c>
      <c r="J956" s="1" t="s">
        <v>32</v>
      </c>
      <c r="K956" s="1" t="s">
        <v>65</v>
      </c>
      <c r="L956" s="1" t="s">
        <v>5588</v>
      </c>
      <c r="M956" s="1" t="s">
        <v>5608</v>
      </c>
      <c r="N956" s="1" t="s">
        <v>5605</v>
      </c>
      <c r="O956" s="1" t="s">
        <v>8823</v>
      </c>
    </row>
    <row r="957" spans="8:15" x14ac:dyDescent="0.25">
      <c r="H957" s="1">
        <v>1443455</v>
      </c>
      <c r="I957" s="4">
        <v>46330.625</v>
      </c>
      <c r="J957" s="1" t="s">
        <v>32</v>
      </c>
      <c r="K957" s="1" t="s">
        <v>65</v>
      </c>
      <c r="L957" s="1" t="s">
        <v>5588</v>
      </c>
      <c r="M957" s="1" t="s">
        <v>5613</v>
      </c>
      <c r="N957" s="1" t="s">
        <v>5602</v>
      </c>
      <c r="O957" s="1" t="s">
        <v>8824</v>
      </c>
    </row>
    <row r="958" spans="8:15" x14ac:dyDescent="0.25">
      <c r="H958" s="1">
        <v>1443456</v>
      </c>
      <c r="I958" s="4">
        <v>46330.625</v>
      </c>
      <c r="J958" s="1" t="s">
        <v>32</v>
      </c>
      <c r="K958" s="1" t="s">
        <v>65</v>
      </c>
      <c r="L958" s="1" t="s">
        <v>5588</v>
      </c>
      <c r="M958" s="1" t="s">
        <v>5604</v>
      </c>
      <c r="N958" s="1" t="s">
        <v>5601</v>
      </c>
      <c r="O958" s="1" t="s">
        <v>8825</v>
      </c>
    </row>
    <row r="959" spans="8:15" x14ac:dyDescent="0.25">
      <c r="H959" s="1">
        <v>1443457</v>
      </c>
      <c r="I959" s="4">
        <v>46330.625</v>
      </c>
      <c r="J959" s="1" t="s">
        <v>32</v>
      </c>
      <c r="K959" s="1" t="s">
        <v>65</v>
      </c>
      <c r="L959" s="1" t="s">
        <v>5588</v>
      </c>
      <c r="M959" s="1" t="s">
        <v>5595</v>
      </c>
      <c r="N959" s="1" t="s">
        <v>5620</v>
      </c>
      <c r="O959" s="1" t="s">
        <v>8826</v>
      </c>
    </row>
    <row r="960" spans="8:15" x14ac:dyDescent="0.25">
      <c r="H960" s="1">
        <v>1443458</v>
      </c>
      <c r="I960" s="4">
        <v>46330.625</v>
      </c>
      <c r="J960" s="1" t="s">
        <v>32</v>
      </c>
      <c r="K960" s="1" t="s">
        <v>65</v>
      </c>
      <c r="L960" s="1" t="s">
        <v>5588</v>
      </c>
      <c r="M960" s="1" t="s">
        <v>5589</v>
      </c>
      <c r="N960" s="1" t="s">
        <v>5616</v>
      </c>
      <c r="O960" s="1" t="s">
        <v>8827</v>
      </c>
    </row>
    <row r="961" spans="8:15" x14ac:dyDescent="0.25">
      <c r="H961" s="1">
        <v>1443459</v>
      </c>
      <c r="I961" s="4">
        <v>46330.625</v>
      </c>
      <c r="J961" s="1" t="s">
        <v>32</v>
      </c>
      <c r="K961" s="1" t="s">
        <v>65</v>
      </c>
      <c r="L961" s="1" t="s">
        <v>5588</v>
      </c>
      <c r="M961" s="1" t="s">
        <v>5619</v>
      </c>
      <c r="N961" s="1" t="s">
        <v>5611</v>
      </c>
      <c r="O961" s="1" t="s">
        <v>8828</v>
      </c>
    </row>
    <row r="962" spans="8:15" x14ac:dyDescent="0.25">
      <c r="H962" s="1">
        <v>1444370</v>
      </c>
      <c r="I962" s="4">
        <v>46330.625</v>
      </c>
      <c r="J962" s="1" t="s">
        <v>32</v>
      </c>
      <c r="K962" s="1" t="s">
        <v>65</v>
      </c>
      <c r="L962" s="1" t="s">
        <v>5653</v>
      </c>
      <c r="M962" s="1" t="s">
        <v>5669</v>
      </c>
      <c r="N962" s="1" t="s">
        <v>5655</v>
      </c>
      <c r="O962" s="1" t="s">
        <v>8829</v>
      </c>
    </row>
    <row r="963" spans="8:15" x14ac:dyDescent="0.25">
      <c r="H963" s="1">
        <v>1444371</v>
      </c>
      <c r="I963" s="4">
        <v>46330.625</v>
      </c>
      <c r="J963" s="1" t="s">
        <v>32</v>
      </c>
      <c r="K963" s="1" t="s">
        <v>65</v>
      </c>
      <c r="L963" s="1" t="s">
        <v>5653</v>
      </c>
      <c r="M963" s="1" t="s">
        <v>5664</v>
      </c>
      <c r="N963" s="1" t="s">
        <v>5660</v>
      </c>
      <c r="O963" s="1" t="s">
        <v>8830</v>
      </c>
    </row>
    <row r="964" spans="8:15" x14ac:dyDescent="0.25">
      <c r="H964" s="1">
        <v>1444372</v>
      </c>
      <c r="I964" s="4">
        <v>46330.625</v>
      </c>
      <c r="J964" s="1" t="s">
        <v>32</v>
      </c>
      <c r="K964" s="1" t="s">
        <v>65</v>
      </c>
      <c r="L964" s="1" t="s">
        <v>5653</v>
      </c>
      <c r="M964" s="1" t="s">
        <v>5684</v>
      </c>
      <c r="N964" s="1" t="s">
        <v>5654</v>
      </c>
      <c r="O964" s="1" t="s">
        <v>8831</v>
      </c>
    </row>
    <row r="965" spans="8:15" x14ac:dyDescent="0.25">
      <c r="H965" s="1">
        <v>1444373</v>
      </c>
      <c r="I965" s="4">
        <v>46330.625</v>
      </c>
      <c r="J965" s="1" t="s">
        <v>32</v>
      </c>
      <c r="K965" s="1" t="s">
        <v>65</v>
      </c>
      <c r="L965" s="1" t="s">
        <v>5653</v>
      </c>
      <c r="M965" s="1" t="s">
        <v>5682</v>
      </c>
      <c r="N965" s="1" t="s">
        <v>5657</v>
      </c>
      <c r="O965" s="1" t="s">
        <v>8832</v>
      </c>
    </row>
    <row r="966" spans="8:15" x14ac:dyDescent="0.25">
      <c r="H966" s="1">
        <v>1444374</v>
      </c>
      <c r="I966" s="4">
        <v>46330.625</v>
      </c>
      <c r="J966" s="1" t="s">
        <v>32</v>
      </c>
      <c r="K966" s="1" t="s">
        <v>65</v>
      </c>
      <c r="L966" s="1" t="s">
        <v>5653</v>
      </c>
      <c r="M966" s="1" t="s">
        <v>5663</v>
      </c>
      <c r="N966" s="1" t="s">
        <v>5666</v>
      </c>
      <c r="O966" s="1" t="s">
        <v>8833</v>
      </c>
    </row>
    <row r="967" spans="8:15" x14ac:dyDescent="0.25">
      <c r="H967" s="1">
        <v>1444375</v>
      </c>
      <c r="I967" s="4">
        <v>46330.625</v>
      </c>
      <c r="J967" s="1" t="s">
        <v>32</v>
      </c>
      <c r="K967" s="1" t="s">
        <v>65</v>
      </c>
      <c r="L967" s="1" t="s">
        <v>5653</v>
      </c>
      <c r="M967" s="1" t="s">
        <v>5670</v>
      </c>
      <c r="N967" s="1" t="s">
        <v>5676</v>
      </c>
      <c r="O967" s="1" t="s">
        <v>8834</v>
      </c>
    </row>
    <row r="968" spans="8:15" x14ac:dyDescent="0.25">
      <c r="H968" s="1">
        <v>1444376</v>
      </c>
      <c r="I968" s="4">
        <v>46330.625</v>
      </c>
      <c r="J968" s="1" t="s">
        <v>32</v>
      </c>
      <c r="K968" s="1" t="s">
        <v>65</v>
      </c>
      <c r="L968" s="1" t="s">
        <v>5653</v>
      </c>
      <c r="M968" s="1" t="s">
        <v>5661</v>
      </c>
      <c r="N968" s="1" t="s">
        <v>5667</v>
      </c>
      <c r="O968" s="1" t="s">
        <v>8835</v>
      </c>
    </row>
    <row r="969" spans="8:15" x14ac:dyDescent="0.25">
      <c r="H969" s="1">
        <v>1444377</v>
      </c>
      <c r="I969" s="4">
        <v>46330.625</v>
      </c>
      <c r="J969" s="1" t="s">
        <v>32</v>
      </c>
      <c r="K969" s="1" t="s">
        <v>65</v>
      </c>
      <c r="L969" s="1" t="s">
        <v>5653</v>
      </c>
      <c r="M969" s="1" t="s">
        <v>5672</v>
      </c>
      <c r="N969" s="1" t="s">
        <v>5678</v>
      </c>
      <c r="O969" s="1" t="s">
        <v>8836</v>
      </c>
    </row>
    <row r="970" spans="8:15" x14ac:dyDescent="0.25">
      <c r="H970" s="1">
        <v>1444378</v>
      </c>
      <c r="I970" s="4">
        <v>46330.625</v>
      </c>
      <c r="J970" s="1" t="s">
        <v>32</v>
      </c>
      <c r="K970" s="1" t="s">
        <v>65</v>
      </c>
      <c r="L970" s="1" t="s">
        <v>5653</v>
      </c>
      <c r="M970" s="1" t="s">
        <v>5681</v>
      </c>
      <c r="N970" s="1" t="s">
        <v>5673</v>
      </c>
      <c r="O970" s="1" t="s">
        <v>8837</v>
      </c>
    </row>
    <row r="971" spans="8:15" x14ac:dyDescent="0.25">
      <c r="H971" s="1">
        <v>1444379</v>
      </c>
      <c r="I971" s="4">
        <v>46330.625</v>
      </c>
      <c r="J971" s="1" t="s">
        <v>32</v>
      </c>
      <c r="K971" s="1" t="s">
        <v>65</v>
      </c>
      <c r="L971" s="1" t="s">
        <v>5653</v>
      </c>
      <c r="M971" s="1" t="s">
        <v>5679</v>
      </c>
      <c r="N971" s="1" t="s">
        <v>5675</v>
      </c>
      <c r="O971" s="1" t="s">
        <v>8838</v>
      </c>
    </row>
    <row r="972" spans="8:15" x14ac:dyDescent="0.25">
      <c r="H972" s="1">
        <v>1444439</v>
      </c>
      <c r="I972" s="4">
        <v>46330.625</v>
      </c>
      <c r="J972" s="1" t="s">
        <v>32</v>
      </c>
      <c r="K972" s="1" t="s">
        <v>65</v>
      </c>
      <c r="L972" s="1" t="s">
        <v>5653</v>
      </c>
      <c r="M972" s="1" t="s">
        <v>5685</v>
      </c>
      <c r="N972" s="1" t="s">
        <v>5658</v>
      </c>
      <c r="O972" s="1" t="s">
        <v>8839</v>
      </c>
    </row>
    <row r="973" spans="8:15" x14ac:dyDescent="0.25">
      <c r="H973" s="1">
        <v>1445240</v>
      </c>
      <c r="I973" s="4">
        <v>46330.625</v>
      </c>
      <c r="J973" s="1" t="s">
        <v>32</v>
      </c>
      <c r="K973" s="1" t="s">
        <v>63</v>
      </c>
      <c r="L973" s="1" t="s">
        <v>623</v>
      </c>
      <c r="M973" s="1" t="s">
        <v>4283</v>
      </c>
      <c r="N973" s="1" t="s">
        <v>4280</v>
      </c>
      <c r="O973" s="1" t="s">
        <v>8840</v>
      </c>
    </row>
    <row r="974" spans="8:15" x14ac:dyDescent="0.25">
      <c r="H974" s="1">
        <v>1445241</v>
      </c>
      <c r="I974" s="4">
        <v>46330.625</v>
      </c>
      <c r="J974" s="1" t="s">
        <v>32</v>
      </c>
      <c r="K974" s="1" t="s">
        <v>63</v>
      </c>
      <c r="L974" s="1" t="s">
        <v>623</v>
      </c>
      <c r="M974" s="1" t="s">
        <v>4286</v>
      </c>
      <c r="N974" s="1" t="s">
        <v>4293</v>
      </c>
      <c r="O974" s="1" t="s">
        <v>8841</v>
      </c>
    </row>
    <row r="975" spans="8:15" x14ac:dyDescent="0.25">
      <c r="H975" s="1">
        <v>1445242</v>
      </c>
      <c r="I975" s="4">
        <v>46330.625</v>
      </c>
      <c r="J975" s="1" t="s">
        <v>32</v>
      </c>
      <c r="K975" s="1" t="s">
        <v>63</v>
      </c>
      <c r="L975" s="1" t="s">
        <v>623</v>
      </c>
      <c r="M975" s="1" t="s">
        <v>4294</v>
      </c>
      <c r="N975" s="1" t="s">
        <v>4291</v>
      </c>
      <c r="O975" s="1" t="s">
        <v>8842</v>
      </c>
    </row>
    <row r="976" spans="8:15" x14ac:dyDescent="0.25">
      <c r="H976" s="1">
        <v>1445243</v>
      </c>
      <c r="I976" s="4">
        <v>46330.625</v>
      </c>
      <c r="J976" s="1" t="s">
        <v>32</v>
      </c>
      <c r="K976" s="1" t="s">
        <v>63</v>
      </c>
      <c r="L976" s="1" t="s">
        <v>623</v>
      </c>
      <c r="M976" s="1" t="s">
        <v>4285</v>
      </c>
      <c r="N976" s="1" t="s">
        <v>4290</v>
      </c>
      <c r="O976" s="1" t="s">
        <v>8843</v>
      </c>
    </row>
    <row r="977" spans="8:15" x14ac:dyDescent="0.25">
      <c r="H977" s="1">
        <v>1445244</v>
      </c>
      <c r="I977" s="4">
        <v>46330.625</v>
      </c>
      <c r="J977" s="1" t="s">
        <v>32</v>
      </c>
      <c r="K977" s="1" t="s">
        <v>63</v>
      </c>
      <c r="L977" s="1" t="s">
        <v>623</v>
      </c>
      <c r="M977" s="1" t="s">
        <v>1562</v>
      </c>
      <c r="N977" s="1" t="s">
        <v>4281</v>
      </c>
      <c r="O977" s="1" t="s">
        <v>8844</v>
      </c>
    </row>
    <row r="978" spans="8:15" x14ac:dyDescent="0.25">
      <c r="H978" s="1">
        <v>1445247</v>
      </c>
      <c r="I978" s="4">
        <v>46330.625</v>
      </c>
      <c r="J978" s="1" t="s">
        <v>32</v>
      </c>
      <c r="K978" s="1" t="s">
        <v>63</v>
      </c>
      <c r="L978" s="1" t="s">
        <v>623</v>
      </c>
      <c r="M978" s="1" t="s">
        <v>4365</v>
      </c>
      <c r="N978" s="1" t="s">
        <v>1561</v>
      </c>
      <c r="O978" s="1" t="s">
        <v>8845</v>
      </c>
    </row>
    <row r="979" spans="8:15" x14ac:dyDescent="0.25">
      <c r="H979" s="1">
        <v>1445926</v>
      </c>
      <c r="I979" s="4">
        <v>46330.625</v>
      </c>
      <c r="J979" s="1" t="s">
        <v>32</v>
      </c>
      <c r="K979" s="1" t="s">
        <v>66</v>
      </c>
      <c r="L979" s="1" t="s">
        <v>582</v>
      </c>
      <c r="M979" s="1" t="s">
        <v>8215</v>
      </c>
      <c r="N979" s="1" t="s">
        <v>499</v>
      </c>
      <c r="O979" s="1" t="s">
        <v>8846</v>
      </c>
    </row>
    <row r="980" spans="8:15" x14ac:dyDescent="0.25">
      <c r="H980" s="1">
        <v>1449518</v>
      </c>
      <c r="I980" s="4">
        <v>46330.625</v>
      </c>
      <c r="J980" s="1" t="s">
        <v>32</v>
      </c>
      <c r="K980" s="1" t="s">
        <v>64</v>
      </c>
      <c r="L980" s="1" t="s">
        <v>3448</v>
      </c>
      <c r="M980" s="1" t="s">
        <v>8847</v>
      </c>
      <c r="N980" s="1" t="s">
        <v>4312</v>
      </c>
      <c r="O980" s="1" t="s">
        <v>8848</v>
      </c>
    </row>
    <row r="981" spans="8:15" x14ac:dyDescent="0.25">
      <c r="H981" s="1">
        <v>1449519</v>
      </c>
      <c r="I981" s="4">
        <v>46330.625</v>
      </c>
      <c r="J981" s="1" t="s">
        <v>32</v>
      </c>
      <c r="K981" s="1" t="s">
        <v>64</v>
      </c>
      <c r="L981" s="1" t="s">
        <v>3448</v>
      </c>
      <c r="M981" s="1" t="s">
        <v>3450</v>
      </c>
      <c r="N981" s="1" t="s">
        <v>8849</v>
      </c>
      <c r="O981" s="1" t="s">
        <v>8850</v>
      </c>
    </row>
    <row r="982" spans="8:15" x14ac:dyDescent="0.25">
      <c r="H982" s="1">
        <v>1449522</v>
      </c>
      <c r="I982" s="4">
        <v>46330.625</v>
      </c>
      <c r="J982" s="1" t="s">
        <v>32</v>
      </c>
      <c r="K982" s="1" t="s">
        <v>64</v>
      </c>
      <c r="L982" s="1" t="s">
        <v>3448</v>
      </c>
      <c r="M982" s="1" t="s">
        <v>4316</v>
      </c>
      <c r="N982" s="1" t="s">
        <v>4309</v>
      </c>
      <c r="O982" s="1" t="s">
        <v>8851</v>
      </c>
    </row>
    <row r="983" spans="8:15" x14ac:dyDescent="0.25">
      <c r="H983" s="1">
        <v>1449523</v>
      </c>
      <c r="I983" s="4">
        <v>46330.625</v>
      </c>
      <c r="J983" s="1" t="s">
        <v>32</v>
      </c>
      <c r="K983" s="1" t="s">
        <v>64</v>
      </c>
      <c r="L983" s="1" t="s">
        <v>3448</v>
      </c>
      <c r="M983" s="1" t="s">
        <v>3449</v>
      </c>
      <c r="N983" s="1" t="s">
        <v>8852</v>
      </c>
      <c r="O983" s="1" t="s">
        <v>8853</v>
      </c>
    </row>
    <row r="984" spans="8:15" x14ac:dyDescent="0.25">
      <c r="H984" s="1">
        <v>1449524</v>
      </c>
      <c r="I984" s="4">
        <v>46330.625</v>
      </c>
      <c r="J984" s="1" t="s">
        <v>32</v>
      </c>
      <c r="K984" s="1" t="s">
        <v>64</v>
      </c>
      <c r="L984" s="1" t="s">
        <v>3448</v>
      </c>
      <c r="M984" s="1" t="s">
        <v>4319</v>
      </c>
      <c r="N984" s="1" t="s">
        <v>4315</v>
      </c>
      <c r="O984" s="1" t="s">
        <v>8854</v>
      </c>
    </row>
    <row r="985" spans="8:15" x14ac:dyDescent="0.25">
      <c r="H985" s="1">
        <v>1450791</v>
      </c>
      <c r="I985" s="4">
        <v>46330.625</v>
      </c>
      <c r="J985" s="1" t="s">
        <v>32</v>
      </c>
      <c r="K985" s="1" t="s">
        <v>71</v>
      </c>
      <c r="L985" s="1" t="s">
        <v>676</v>
      </c>
      <c r="M985" s="1" t="s">
        <v>1567</v>
      </c>
      <c r="N985" s="1" t="s">
        <v>8855</v>
      </c>
      <c r="O985" s="1" t="s">
        <v>8856</v>
      </c>
    </row>
    <row r="986" spans="8:15" x14ac:dyDescent="0.25">
      <c r="H986" s="1">
        <v>1459079</v>
      </c>
      <c r="I986" s="4">
        <v>46330.625</v>
      </c>
      <c r="J986" s="1" t="s">
        <v>32</v>
      </c>
      <c r="K986" s="1" t="s">
        <v>40</v>
      </c>
      <c r="L986" s="1" t="s">
        <v>639</v>
      </c>
      <c r="M986" s="1" t="s">
        <v>6435</v>
      </c>
      <c r="N986" s="1" t="s">
        <v>8857</v>
      </c>
      <c r="O986" s="1" t="s">
        <v>8858</v>
      </c>
    </row>
    <row r="987" spans="8:15" x14ac:dyDescent="0.25">
      <c r="H987" s="1">
        <v>1460066</v>
      </c>
      <c r="I987" s="4">
        <v>46330.625</v>
      </c>
      <c r="J987" s="1" t="s">
        <v>32</v>
      </c>
      <c r="K987" s="1" t="s">
        <v>40</v>
      </c>
      <c r="L987" s="1" t="s">
        <v>1005</v>
      </c>
      <c r="M987" s="1" t="s">
        <v>2298</v>
      </c>
      <c r="N987" s="1" t="s">
        <v>1252</v>
      </c>
      <c r="O987" s="1" t="s">
        <v>8859</v>
      </c>
    </row>
    <row r="988" spans="8:15" x14ac:dyDescent="0.25">
      <c r="H988" s="1">
        <v>1460371</v>
      </c>
      <c r="I988" s="4">
        <v>46330.625</v>
      </c>
      <c r="J988" s="1" t="s">
        <v>32</v>
      </c>
      <c r="K988" s="1" t="s">
        <v>40</v>
      </c>
      <c r="L988" s="1" t="s">
        <v>647</v>
      </c>
      <c r="M988" s="1" t="s">
        <v>8860</v>
      </c>
      <c r="N988" s="1" t="s">
        <v>6120</v>
      </c>
      <c r="O988" s="1" t="s">
        <v>8861</v>
      </c>
    </row>
    <row r="989" spans="8:15" x14ac:dyDescent="0.25">
      <c r="H989" s="1">
        <v>1460671</v>
      </c>
      <c r="I989" s="4">
        <v>46330.625</v>
      </c>
      <c r="J989" s="1" t="s">
        <v>32</v>
      </c>
      <c r="K989" s="1" t="s">
        <v>40</v>
      </c>
      <c r="L989" s="1" t="s">
        <v>678</v>
      </c>
      <c r="M989" s="1" t="s">
        <v>1256</v>
      </c>
      <c r="N989" s="1" t="s">
        <v>8862</v>
      </c>
      <c r="O989" s="1" t="s">
        <v>8863</v>
      </c>
    </row>
    <row r="990" spans="8:15" x14ac:dyDescent="0.25">
      <c r="H990" s="1">
        <v>1461286</v>
      </c>
      <c r="I990" s="4">
        <v>46330.625</v>
      </c>
      <c r="J990" s="1" t="s">
        <v>32</v>
      </c>
      <c r="K990" s="1" t="s">
        <v>40</v>
      </c>
      <c r="L990" s="1" t="s">
        <v>648</v>
      </c>
      <c r="M990" s="1" t="s">
        <v>8864</v>
      </c>
      <c r="N990" s="1" t="s">
        <v>1019</v>
      </c>
      <c r="O990" s="1" t="s">
        <v>8865</v>
      </c>
    </row>
    <row r="991" spans="8:15" x14ac:dyDescent="0.25">
      <c r="H991" s="1">
        <v>1461290</v>
      </c>
      <c r="I991" s="4">
        <v>46330.625</v>
      </c>
      <c r="J991" s="1" t="s">
        <v>32</v>
      </c>
      <c r="K991" s="1" t="s">
        <v>40</v>
      </c>
      <c r="L991" s="1" t="s">
        <v>648</v>
      </c>
      <c r="M991" s="1" t="s">
        <v>5692</v>
      </c>
      <c r="N991" s="1" t="s">
        <v>8866</v>
      </c>
      <c r="O991" s="1" t="s">
        <v>8867</v>
      </c>
    </row>
    <row r="992" spans="8:15" x14ac:dyDescent="0.25">
      <c r="H992" s="1">
        <v>1461896</v>
      </c>
      <c r="I992" s="4">
        <v>46330.625</v>
      </c>
      <c r="J992" s="1" t="s">
        <v>32</v>
      </c>
      <c r="K992" s="1" t="s">
        <v>40</v>
      </c>
      <c r="L992" s="1" t="s">
        <v>649</v>
      </c>
      <c r="M992" s="1" t="s">
        <v>1123</v>
      </c>
      <c r="N992" s="1" t="s">
        <v>8868</v>
      </c>
      <c r="O992" s="1" t="s">
        <v>8869</v>
      </c>
    </row>
    <row r="993" spans="8:15" x14ac:dyDescent="0.25">
      <c r="H993" s="1">
        <v>1464823</v>
      </c>
      <c r="I993" s="4">
        <v>46330.625</v>
      </c>
      <c r="J993" s="1" t="s">
        <v>32</v>
      </c>
      <c r="K993" s="1" t="s">
        <v>332</v>
      </c>
      <c r="L993" s="1" t="s">
        <v>4660</v>
      </c>
      <c r="M993" s="1" t="s">
        <v>4677</v>
      </c>
      <c r="N993" s="1" t="s">
        <v>4670</v>
      </c>
      <c r="O993" s="1" t="s">
        <v>8870</v>
      </c>
    </row>
    <row r="994" spans="8:15" x14ac:dyDescent="0.25">
      <c r="H994" s="1">
        <v>1464824</v>
      </c>
      <c r="I994" s="4">
        <v>46330.625</v>
      </c>
      <c r="J994" s="1" t="s">
        <v>32</v>
      </c>
      <c r="K994" s="1" t="s">
        <v>332</v>
      </c>
      <c r="L994" s="1" t="s">
        <v>4660</v>
      </c>
      <c r="M994" s="1" t="s">
        <v>4671</v>
      </c>
      <c r="N994" s="1" t="s">
        <v>4664</v>
      </c>
      <c r="O994" s="1" t="s">
        <v>8871</v>
      </c>
    </row>
    <row r="995" spans="8:15" x14ac:dyDescent="0.25">
      <c r="H995" s="1">
        <v>1464825</v>
      </c>
      <c r="I995" s="4">
        <v>46330.625</v>
      </c>
      <c r="J995" s="1" t="s">
        <v>32</v>
      </c>
      <c r="K995" s="1" t="s">
        <v>332</v>
      </c>
      <c r="L995" s="1" t="s">
        <v>4660</v>
      </c>
      <c r="M995" s="1" t="s">
        <v>4668</v>
      </c>
      <c r="N995" s="1" t="s">
        <v>4665</v>
      </c>
      <c r="O995" s="1" t="s">
        <v>8872</v>
      </c>
    </row>
    <row r="996" spans="8:15" x14ac:dyDescent="0.25">
      <c r="H996" s="1">
        <v>1464826</v>
      </c>
      <c r="I996" s="4">
        <v>46330.625</v>
      </c>
      <c r="J996" s="1" t="s">
        <v>32</v>
      </c>
      <c r="K996" s="1" t="s">
        <v>332</v>
      </c>
      <c r="L996" s="1" t="s">
        <v>4660</v>
      </c>
      <c r="M996" s="1" t="s">
        <v>4674</v>
      </c>
      <c r="N996" s="1" t="s">
        <v>4661</v>
      </c>
      <c r="O996" s="1" t="s">
        <v>8873</v>
      </c>
    </row>
    <row r="997" spans="8:15" x14ac:dyDescent="0.25">
      <c r="H997" s="1">
        <v>1464827</v>
      </c>
      <c r="I997" s="4">
        <v>46330.625</v>
      </c>
      <c r="J997" s="1" t="s">
        <v>32</v>
      </c>
      <c r="K997" s="1" t="s">
        <v>332</v>
      </c>
      <c r="L997" s="1" t="s">
        <v>4660</v>
      </c>
      <c r="M997" s="1" t="s">
        <v>4683</v>
      </c>
      <c r="N997" s="1" t="s">
        <v>4673</v>
      </c>
      <c r="O997" s="1" t="s">
        <v>8874</v>
      </c>
    </row>
    <row r="998" spans="8:15" x14ac:dyDescent="0.25">
      <c r="H998" s="1">
        <v>1464828</v>
      </c>
      <c r="I998" s="4">
        <v>46330.625</v>
      </c>
      <c r="J998" s="1" t="s">
        <v>32</v>
      </c>
      <c r="K998" s="1" t="s">
        <v>332</v>
      </c>
      <c r="L998" s="1" t="s">
        <v>4660</v>
      </c>
      <c r="M998" s="1" t="s">
        <v>4676</v>
      </c>
      <c r="N998" s="1" t="s">
        <v>4679</v>
      </c>
      <c r="O998" s="1" t="s">
        <v>8875</v>
      </c>
    </row>
    <row r="999" spans="8:15" x14ac:dyDescent="0.25">
      <c r="H999" s="1">
        <v>1464829</v>
      </c>
      <c r="I999" s="4">
        <v>46330.625</v>
      </c>
      <c r="J999" s="1" t="s">
        <v>32</v>
      </c>
      <c r="K999" s="1" t="s">
        <v>332</v>
      </c>
      <c r="L999" s="1" t="s">
        <v>4660</v>
      </c>
      <c r="M999" s="1" t="s">
        <v>4680</v>
      </c>
      <c r="N999" s="1" t="s">
        <v>4667</v>
      </c>
      <c r="O999" s="1" t="s">
        <v>8876</v>
      </c>
    </row>
    <row r="1000" spans="8:15" x14ac:dyDescent="0.25">
      <c r="H1000" s="1">
        <v>1464830</v>
      </c>
      <c r="I1000" s="4">
        <v>46330.625</v>
      </c>
      <c r="J1000" s="1" t="s">
        <v>32</v>
      </c>
      <c r="K1000" s="1" t="s">
        <v>332</v>
      </c>
      <c r="L1000" s="1" t="s">
        <v>4660</v>
      </c>
      <c r="M1000" s="1" t="s">
        <v>4662</v>
      </c>
      <c r="N1000" s="1" t="s">
        <v>4682</v>
      </c>
      <c r="O1000" s="1" t="s">
        <v>8877</v>
      </c>
    </row>
    <row r="1001" spans="8:15" x14ac:dyDescent="0.25">
      <c r="H1001" s="1">
        <v>1465078</v>
      </c>
      <c r="I1001" s="4">
        <v>46330.625</v>
      </c>
      <c r="J1001" s="1" t="s">
        <v>32</v>
      </c>
      <c r="K1001" s="1" t="s">
        <v>332</v>
      </c>
      <c r="L1001" s="1" t="s">
        <v>4685</v>
      </c>
      <c r="M1001" s="1" t="s">
        <v>8878</v>
      </c>
      <c r="N1001" s="1" t="s">
        <v>8879</v>
      </c>
      <c r="O1001" s="1" t="s">
        <v>8880</v>
      </c>
    </row>
    <row r="1002" spans="8:15" x14ac:dyDescent="0.25">
      <c r="H1002" s="1">
        <v>1471739</v>
      </c>
      <c r="I1002" s="4">
        <v>46330.625</v>
      </c>
      <c r="J1002" s="1" t="s">
        <v>32</v>
      </c>
      <c r="K1002" s="1" t="s">
        <v>329</v>
      </c>
      <c r="L1002" s="1" t="s">
        <v>330</v>
      </c>
      <c r="M1002" s="1" t="s">
        <v>4690</v>
      </c>
      <c r="N1002" s="1" t="s">
        <v>5752</v>
      </c>
      <c r="O1002" s="1" t="s">
        <v>8881</v>
      </c>
    </row>
    <row r="1003" spans="8:15" x14ac:dyDescent="0.25">
      <c r="H1003" s="1">
        <v>1471740</v>
      </c>
      <c r="I1003" s="4">
        <v>46330.625</v>
      </c>
      <c r="J1003" s="1" t="s">
        <v>32</v>
      </c>
      <c r="K1003" s="1" t="s">
        <v>329</v>
      </c>
      <c r="L1003" s="1" t="s">
        <v>330</v>
      </c>
      <c r="M1003" s="1" t="s">
        <v>4689</v>
      </c>
      <c r="N1003" s="1" t="s">
        <v>631</v>
      </c>
      <c r="O1003" s="1" t="s">
        <v>8882</v>
      </c>
    </row>
    <row r="1004" spans="8:15" x14ac:dyDescent="0.25">
      <c r="H1004" s="1">
        <v>1472591</v>
      </c>
      <c r="I1004" s="4">
        <v>46330.625</v>
      </c>
      <c r="J1004" s="1" t="s">
        <v>32</v>
      </c>
      <c r="K1004" s="1" t="s">
        <v>63</v>
      </c>
      <c r="L1004" s="1" t="s">
        <v>623</v>
      </c>
      <c r="M1004" s="1" t="s">
        <v>4368</v>
      </c>
      <c r="N1004" s="1" t="s">
        <v>4288</v>
      </c>
      <c r="O1004" s="1" t="s">
        <v>8883</v>
      </c>
    </row>
    <row r="1005" spans="8:15" x14ac:dyDescent="0.25">
      <c r="H1005" s="1">
        <v>1472592</v>
      </c>
      <c r="I1005" s="4">
        <v>46330.625</v>
      </c>
      <c r="J1005" s="1" t="s">
        <v>32</v>
      </c>
      <c r="K1005" s="1" t="s">
        <v>63</v>
      </c>
      <c r="L1005" s="1" t="s">
        <v>623</v>
      </c>
      <c r="M1005" s="1" t="s">
        <v>4364</v>
      </c>
      <c r="N1005" s="1" t="s">
        <v>4367</v>
      </c>
      <c r="O1005" s="1" t="s">
        <v>8884</v>
      </c>
    </row>
    <row r="1006" spans="8:15" x14ac:dyDescent="0.25">
      <c r="H1006" s="1">
        <v>1473372</v>
      </c>
      <c r="I1006" s="4">
        <v>46330.625</v>
      </c>
      <c r="J1006" s="1" t="s">
        <v>32</v>
      </c>
      <c r="K1006" s="1" t="s">
        <v>65</v>
      </c>
      <c r="L1006" s="1" t="s">
        <v>5759</v>
      </c>
      <c r="M1006" s="1" t="s">
        <v>5760</v>
      </c>
      <c r="N1006" s="1" t="s">
        <v>5775</v>
      </c>
      <c r="O1006" s="1" t="s">
        <v>8885</v>
      </c>
    </row>
    <row r="1007" spans="8:15" x14ac:dyDescent="0.25">
      <c r="H1007" s="1">
        <v>1473373</v>
      </c>
      <c r="I1007" s="4">
        <v>46330.625</v>
      </c>
      <c r="J1007" s="1" t="s">
        <v>32</v>
      </c>
      <c r="K1007" s="1" t="s">
        <v>65</v>
      </c>
      <c r="L1007" s="1" t="s">
        <v>5759</v>
      </c>
      <c r="M1007" s="1" t="s">
        <v>5766</v>
      </c>
      <c r="N1007" s="1" t="s">
        <v>5764</v>
      </c>
      <c r="O1007" s="1" t="s">
        <v>8886</v>
      </c>
    </row>
    <row r="1008" spans="8:15" x14ac:dyDescent="0.25">
      <c r="H1008" s="1">
        <v>1473374</v>
      </c>
      <c r="I1008" s="4">
        <v>46330.625</v>
      </c>
      <c r="J1008" s="1" t="s">
        <v>32</v>
      </c>
      <c r="K1008" s="1" t="s">
        <v>65</v>
      </c>
      <c r="L1008" s="1" t="s">
        <v>5759</v>
      </c>
      <c r="M1008" s="1" t="s">
        <v>5772</v>
      </c>
      <c r="N1008" s="1" t="s">
        <v>5769</v>
      </c>
      <c r="O1008" s="1" t="s">
        <v>8887</v>
      </c>
    </row>
    <row r="1009" spans="8:15" x14ac:dyDescent="0.25">
      <c r="H1009" s="1">
        <v>1473375</v>
      </c>
      <c r="I1009" s="4">
        <v>46330.625</v>
      </c>
      <c r="J1009" s="1" t="s">
        <v>32</v>
      </c>
      <c r="K1009" s="1" t="s">
        <v>65</v>
      </c>
      <c r="L1009" s="1" t="s">
        <v>5759</v>
      </c>
      <c r="M1009" s="1" t="s">
        <v>5782</v>
      </c>
      <c r="N1009" s="1" t="s">
        <v>5761</v>
      </c>
      <c r="O1009" s="1" t="s">
        <v>8888</v>
      </c>
    </row>
    <row r="1010" spans="8:15" x14ac:dyDescent="0.25">
      <c r="H1010" s="1">
        <v>1473376</v>
      </c>
      <c r="I1010" s="4">
        <v>46330.625</v>
      </c>
      <c r="J1010" s="1" t="s">
        <v>32</v>
      </c>
      <c r="K1010" s="1" t="s">
        <v>65</v>
      </c>
      <c r="L1010" s="1" t="s">
        <v>5759</v>
      </c>
      <c r="M1010" s="1" t="s">
        <v>5767</v>
      </c>
      <c r="N1010" s="1" t="s">
        <v>5785</v>
      </c>
      <c r="O1010" s="1" t="s">
        <v>8889</v>
      </c>
    </row>
    <row r="1011" spans="8:15" x14ac:dyDescent="0.25">
      <c r="H1011" s="1">
        <v>1473377</v>
      </c>
      <c r="I1011" s="4">
        <v>46330.625</v>
      </c>
      <c r="J1011" s="1" t="s">
        <v>32</v>
      </c>
      <c r="K1011" s="1" t="s">
        <v>65</v>
      </c>
      <c r="L1011" s="1" t="s">
        <v>5759</v>
      </c>
      <c r="M1011" s="1" t="s">
        <v>5778</v>
      </c>
      <c r="N1011" s="1" t="s">
        <v>5784</v>
      </c>
      <c r="O1011" s="1" t="s">
        <v>8890</v>
      </c>
    </row>
    <row r="1012" spans="8:15" x14ac:dyDescent="0.25">
      <c r="H1012" s="1">
        <v>1473378</v>
      </c>
      <c r="I1012" s="4">
        <v>46330.625</v>
      </c>
      <c r="J1012" s="1" t="s">
        <v>32</v>
      </c>
      <c r="K1012" s="1" t="s">
        <v>65</v>
      </c>
      <c r="L1012" s="1" t="s">
        <v>5759</v>
      </c>
      <c r="M1012" s="1" t="s">
        <v>5779</v>
      </c>
      <c r="N1012" s="1" t="s">
        <v>5770</v>
      </c>
      <c r="O1012" s="1" t="s">
        <v>8891</v>
      </c>
    </row>
    <row r="1013" spans="8:15" x14ac:dyDescent="0.25">
      <c r="H1013" s="1">
        <v>1473379</v>
      </c>
      <c r="I1013" s="4">
        <v>46330.625</v>
      </c>
      <c r="J1013" s="1" t="s">
        <v>32</v>
      </c>
      <c r="K1013" s="1" t="s">
        <v>65</v>
      </c>
      <c r="L1013" s="1" t="s">
        <v>5759</v>
      </c>
      <c r="M1013" s="1" t="s">
        <v>5763</v>
      </c>
      <c r="N1013" s="1" t="s">
        <v>5776</v>
      </c>
      <c r="O1013" s="1" t="s">
        <v>8892</v>
      </c>
    </row>
    <row r="1014" spans="8:15" x14ac:dyDescent="0.25">
      <c r="H1014" s="1">
        <v>1473380</v>
      </c>
      <c r="I1014" s="4">
        <v>46330.625</v>
      </c>
      <c r="J1014" s="1" t="s">
        <v>32</v>
      </c>
      <c r="K1014" s="1" t="s">
        <v>65</v>
      </c>
      <c r="L1014" s="1" t="s">
        <v>5759</v>
      </c>
      <c r="M1014" s="1" t="s">
        <v>5787</v>
      </c>
      <c r="N1014" s="1" t="s">
        <v>5781</v>
      </c>
      <c r="O1014" s="1" t="s">
        <v>8893</v>
      </c>
    </row>
    <row r="1015" spans="8:15" x14ac:dyDescent="0.25">
      <c r="H1015" s="1">
        <v>1473381</v>
      </c>
      <c r="I1015" s="4">
        <v>46330.625</v>
      </c>
      <c r="J1015" s="1" t="s">
        <v>32</v>
      </c>
      <c r="K1015" s="1" t="s">
        <v>65</v>
      </c>
      <c r="L1015" s="1" t="s">
        <v>5759</v>
      </c>
      <c r="M1015" s="1" t="s">
        <v>5773</v>
      </c>
      <c r="N1015" s="1" t="s">
        <v>5790</v>
      </c>
      <c r="O1015" s="1" t="s">
        <v>8894</v>
      </c>
    </row>
    <row r="1016" spans="8:15" x14ac:dyDescent="0.25">
      <c r="H1016" s="1">
        <v>1473382</v>
      </c>
      <c r="I1016" s="4">
        <v>46330.625</v>
      </c>
      <c r="J1016" s="1" t="s">
        <v>32</v>
      </c>
      <c r="K1016" s="1" t="s">
        <v>65</v>
      </c>
      <c r="L1016" s="1" t="s">
        <v>5759</v>
      </c>
      <c r="M1016" s="1" t="s">
        <v>5788</v>
      </c>
      <c r="N1016" s="1" t="s">
        <v>5791</v>
      </c>
      <c r="O1016" s="1" t="s">
        <v>8895</v>
      </c>
    </row>
    <row r="1017" spans="8:15" x14ac:dyDescent="0.25">
      <c r="H1017" s="1">
        <v>1474676</v>
      </c>
      <c r="I1017" s="4">
        <v>46330.625</v>
      </c>
      <c r="J1017" s="1" t="s">
        <v>32</v>
      </c>
      <c r="K1017" s="1" t="s">
        <v>267</v>
      </c>
      <c r="L1017" s="1" t="s">
        <v>4696</v>
      </c>
      <c r="M1017" s="1" t="s">
        <v>4704</v>
      </c>
      <c r="N1017" s="1" t="s">
        <v>5794</v>
      </c>
      <c r="O1017" s="1" t="s">
        <v>8896</v>
      </c>
    </row>
    <row r="1018" spans="8:15" x14ac:dyDescent="0.25">
      <c r="H1018" s="1">
        <v>1474677</v>
      </c>
      <c r="I1018" s="4">
        <v>46330.625</v>
      </c>
      <c r="J1018" s="1" t="s">
        <v>32</v>
      </c>
      <c r="K1018" s="1" t="s">
        <v>267</v>
      </c>
      <c r="L1018" s="1" t="s">
        <v>4696</v>
      </c>
      <c r="M1018" s="1" t="s">
        <v>8897</v>
      </c>
      <c r="N1018" s="1" t="s">
        <v>5793</v>
      </c>
      <c r="O1018" s="1" t="s">
        <v>8898</v>
      </c>
    </row>
    <row r="1019" spans="8:15" x14ac:dyDescent="0.25">
      <c r="H1019" s="1">
        <v>1474678</v>
      </c>
      <c r="I1019" s="4">
        <v>46330.625</v>
      </c>
      <c r="J1019" s="1" t="s">
        <v>32</v>
      </c>
      <c r="K1019" s="1" t="s">
        <v>267</v>
      </c>
      <c r="L1019" s="1" t="s">
        <v>4696</v>
      </c>
      <c r="M1019" s="1" t="s">
        <v>4706</v>
      </c>
      <c r="N1019" s="1" t="s">
        <v>8899</v>
      </c>
      <c r="O1019" s="1" t="s">
        <v>8900</v>
      </c>
    </row>
    <row r="1020" spans="8:15" x14ac:dyDescent="0.25">
      <c r="H1020" s="1">
        <v>1474679</v>
      </c>
      <c r="I1020" s="4">
        <v>46330.625</v>
      </c>
      <c r="J1020" s="1" t="s">
        <v>32</v>
      </c>
      <c r="K1020" s="1" t="s">
        <v>267</v>
      </c>
      <c r="L1020" s="1" t="s">
        <v>4696</v>
      </c>
      <c r="M1020" s="1" t="s">
        <v>4698</v>
      </c>
      <c r="N1020" s="1" t="s">
        <v>4703</v>
      </c>
      <c r="O1020" s="1" t="s">
        <v>8901</v>
      </c>
    </row>
    <row r="1021" spans="8:15" x14ac:dyDescent="0.25">
      <c r="H1021" s="1">
        <v>1474680</v>
      </c>
      <c r="I1021" s="4">
        <v>46330.625</v>
      </c>
      <c r="J1021" s="1" t="s">
        <v>32</v>
      </c>
      <c r="K1021" s="1" t="s">
        <v>267</v>
      </c>
      <c r="L1021" s="1" t="s">
        <v>4696</v>
      </c>
      <c r="M1021" s="1" t="s">
        <v>4738</v>
      </c>
      <c r="N1021" s="1" t="s">
        <v>4700</v>
      </c>
      <c r="O1021" s="1" t="s">
        <v>8902</v>
      </c>
    </row>
    <row r="1022" spans="8:15" x14ac:dyDescent="0.25">
      <c r="H1022" s="1">
        <v>1474681</v>
      </c>
      <c r="I1022" s="4">
        <v>46330.625</v>
      </c>
      <c r="J1022" s="1" t="s">
        <v>32</v>
      </c>
      <c r="K1022" s="1" t="s">
        <v>267</v>
      </c>
      <c r="L1022" s="1" t="s">
        <v>4696</v>
      </c>
      <c r="M1022" s="1" t="s">
        <v>4707</v>
      </c>
      <c r="N1022" s="1" t="s">
        <v>4737</v>
      </c>
      <c r="O1022" s="1" t="s">
        <v>8903</v>
      </c>
    </row>
    <row r="1023" spans="8:15" x14ac:dyDescent="0.25">
      <c r="H1023" s="1">
        <v>1476380</v>
      </c>
      <c r="I1023" s="4">
        <v>46330.625</v>
      </c>
      <c r="J1023" s="1" t="s">
        <v>32</v>
      </c>
      <c r="K1023" s="1" t="s">
        <v>65</v>
      </c>
      <c r="L1023" s="1" t="s">
        <v>5799</v>
      </c>
      <c r="M1023" s="1" t="s">
        <v>5815</v>
      </c>
      <c r="N1023" s="1" t="s">
        <v>5822</v>
      </c>
      <c r="O1023" s="1" t="s">
        <v>8904</v>
      </c>
    </row>
    <row r="1024" spans="8:15" x14ac:dyDescent="0.25">
      <c r="H1024" s="1">
        <v>1476381</v>
      </c>
      <c r="I1024" s="4">
        <v>46330.625</v>
      </c>
      <c r="J1024" s="1" t="s">
        <v>32</v>
      </c>
      <c r="K1024" s="1" t="s">
        <v>65</v>
      </c>
      <c r="L1024" s="1" t="s">
        <v>5799</v>
      </c>
      <c r="M1024" s="1" t="s">
        <v>5825</v>
      </c>
      <c r="N1024" s="1" t="s">
        <v>5828</v>
      </c>
      <c r="O1024" s="1" t="s">
        <v>8905</v>
      </c>
    </row>
    <row r="1025" spans="8:15" x14ac:dyDescent="0.25">
      <c r="H1025" s="1">
        <v>1476382</v>
      </c>
      <c r="I1025" s="4">
        <v>46330.625</v>
      </c>
      <c r="J1025" s="1" t="s">
        <v>32</v>
      </c>
      <c r="K1025" s="1" t="s">
        <v>65</v>
      </c>
      <c r="L1025" s="1" t="s">
        <v>5799</v>
      </c>
      <c r="M1025" s="1" t="s">
        <v>5806</v>
      </c>
      <c r="N1025" s="1" t="s">
        <v>5818</v>
      </c>
      <c r="O1025" s="1" t="s">
        <v>8906</v>
      </c>
    </row>
    <row r="1026" spans="8:15" x14ac:dyDescent="0.25">
      <c r="H1026" s="1">
        <v>1476383</v>
      </c>
      <c r="I1026" s="4">
        <v>46330.625</v>
      </c>
      <c r="J1026" s="1" t="s">
        <v>32</v>
      </c>
      <c r="K1026" s="1" t="s">
        <v>65</v>
      </c>
      <c r="L1026" s="1" t="s">
        <v>5799</v>
      </c>
      <c r="M1026" s="1" t="s">
        <v>5816</v>
      </c>
      <c r="N1026" s="1" t="s">
        <v>5809</v>
      </c>
      <c r="O1026" s="1" t="s">
        <v>8907</v>
      </c>
    </row>
    <row r="1027" spans="8:15" x14ac:dyDescent="0.25">
      <c r="H1027" s="1">
        <v>1476384</v>
      </c>
      <c r="I1027" s="4">
        <v>46330.625</v>
      </c>
      <c r="J1027" s="1" t="s">
        <v>32</v>
      </c>
      <c r="K1027" s="1" t="s">
        <v>65</v>
      </c>
      <c r="L1027" s="1" t="s">
        <v>5799</v>
      </c>
      <c r="M1027" s="1" t="s">
        <v>5807</v>
      </c>
      <c r="N1027" s="1" t="s">
        <v>5813</v>
      </c>
      <c r="O1027" s="1" t="s">
        <v>8908</v>
      </c>
    </row>
    <row r="1028" spans="8:15" x14ac:dyDescent="0.25">
      <c r="H1028" s="1">
        <v>1476385</v>
      </c>
      <c r="I1028" s="4">
        <v>46330.625</v>
      </c>
      <c r="J1028" s="1" t="s">
        <v>32</v>
      </c>
      <c r="K1028" s="1" t="s">
        <v>65</v>
      </c>
      <c r="L1028" s="1" t="s">
        <v>5799</v>
      </c>
      <c r="M1028" s="1" t="s">
        <v>5824</v>
      </c>
      <c r="N1028" s="1" t="s">
        <v>5810</v>
      </c>
      <c r="O1028" s="1" t="s">
        <v>8909</v>
      </c>
    </row>
    <row r="1029" spans="8:15" x14ac:dyDescent="0.25">
      <c r="H1029" s="1">
        <v>1476386</v>
      </c>
      <c r="I1029" s="4">
        <v>46330.625</v>
      </c>
      <c r="J1029" s="1" t="s">
        <v>32</v>
      </c>
      <c r="K1029" s="1" t="s">
        <v>65</v>
      </c>
      <c r="L1029" s="1" t="s">
        <v>5799</v>
      </c>
      <c r="M1029" s="1" t="s">
        <v>5803</v>
      </c>
      <c r="N1029" s="1" t="s">
        <v>5812</v>
      </c>
      <c r="O1029" s="1" t="s">
        <v>8910</v>
      </c>
    </row>
    <row r="1030" spans="8:15" x14ac:dyDescent="0.25">
      <c r="H1030" s="1">
        <v>1476387</v>
      </c>
      <c r="I1030" s="4">
        <v>46330.625</v>
      </c>
      <c r="J1030" s="1" t="s">
        <v>32</v>
      </c>
      <c r="K1030" s="1" t="s">
        <v>65</v>
      </c>
      <c r="L1030" s="1" t="s">
        <v>5799</v>
      </c>
      <c r="M1030" s="1" t="s">
        <v>5831</v>
      </c>
      <c r="N1030" s="1" t="s">
        <v>5801</v>
      </c>
      <c r="O1030" s="1" t="s">
        <v>8911</v>
      </c>
    </row>
    <row r="1031" spans="8:15" x14ac:dyDescent="0.25">
      <c r="H1031" s="1">
        <v>1476388</v>
      </c>
      <c r="I1031" s="4">
        <v>46330.625</v>
      </c>
      <c r="J1031" s="1" t="s">
        <v>32</v>
      </c>
      <c r="K1031" s="1" t="s">
        <v>65</v>
      </c>
      <c r="L1031" s="1" t="s">
        <v>5799</v>
      </c>
      <c r="M1031" s="1" t="s">
        <v>5804</v>
      </c>
      <c r="N1031" s="1" t="s">
        <v>5830</v>
      </c>
      <c r="O1031" s="1" t="s">
        <v>8912</v>
      </c>
    </row>
    <row r="1032" spans="8:15" x14ac:dyDescent="0.25">
      <c r="H1032" s="1">
        <v>1476389</v>
      </c>
      <c r="I1032" s="4">
        <v>46330.625</v>
      </c>
      <c r="J1032" s="1" t="s">
        <v>32</v>
      </c>
      <c r="K1032" s="1" t="s">
        <v>65</v>
      </c>
      <c r="L1032" s="1" t="s">
        <v>5799</v>
      </c>
      <c r="M1032" s="1" t="s">
        <v>5819</v>
      </c>
      <c r="N1032" s="1" t="s">
        <v>5800</v>
      </c>
      <c r="O1032" s="1" t="s">
        <v>8913</v>
      </c>
    </row>
    <row r="1033" spans="8:15" x14ac:dyDescent="0.25">
      <c r="H1033" s="1">
        <v>1476497</v>
      </c>
      <c r="I1033" s="4">
        <v>46330.625</v>
      </c>
      <c r="J1033" s="1" t="s">
        <v>32</v>
      </c>
      <c r="K1033" s="1" t="s">
        <v>65</v>
      </c>
      <c r="L1033" s="1" t="s">
        <v>5622</v>
      </c>
      <c r="M1033" s="1" t="s">
        <v>5999</v>
      </c>
      <c r="N1033" s="1" t="s">
        <v>5635</v>
      </c>
      <c r="O1033" s="1" t="s">
        <v>8914</v>
      </c>
    </row>
    <row r="1034" spans="8:15" x14ac:dyDescent="0.25">
      <c r="H1034" s="1">
        <v>1476498</v>
      </c>
      <c r="I1034" s="4">
        <v>46330.625</v>
      </c>
      <c r="J1034" s="1" t="s">
        <v>32</v>
      </c>
      <c r="K1034" s="1" t="s">
        <v>65</v>
      </c>
      <c r="L1034" s="1" t="s">
        <v>5622</v>
      </c>
      <c r="M1034" s="1" t="s">
        <v>5651</v>
      </c>
      <c r="N1034" s="1" t="s">
        <v>5629</v>
      </c>
      <c r="O1034" s="1" t="s">
        <v>8915</v>
      </c>
    </row>
    <row r="1035" spans="8:15" x14ac:dyDescent="0.25">
      <c r="H1035" s="1">
        <v>1476499</v>
      </c>
      <c r="I1035" s="4">
        <v>46330.625</v>
      </c>
      <c r="J1035" s="1" t="s">
        <v>32</v>
      </c>
      <c r="K1035" s="1" t="s">
        <v>65</v>
      </c>
      <c r="L1035" s="1" t="s">
        <v>5622</v>
      </c>
      <c r="M1035" s="1" t="s">
        <v>5636</v>
      </c>
      <c r="N1035" s="1" t="s">
        <v>5623</v>
      </c>
      <c r="O1035" s="1" t="s">
        <v>8916</v>
      </c>
    </row>
    <row r="1036" spans="8:15" x14ac:dyDescent="0.25">
      <c r="H1036" s="1">
        <v>1476500</v>
      </c>
      <c r="I1036" s="4">
        <v>46330.625</v>
      </c>
      <c r="J1036" s="1" t="s">
        <v>32</v>
      </c>
      <c r="K1036" s="1" t="s">
        <v>65</v>
      </c>
      <c r="L1036" s="1" t="s">
        <v>5622</v>
      </c>
      <c r="M1036" s="1" t="s">
        <v>5624</v>
      </c>
      <c r="N1036" s="1" t="s">
        <v>5641</v>
      </c>
      <c r="O1036" s="1" t="s">
        <v>8917</v>
      </c>
    </row>
    <row r="1037" spans="8:15" x14ac:dyDescent="0.25">
      <c r="H1037" s="1">
        <v>1476501</v>
      </c>
      <c r="I1037" s="4">
        <v>46330.625</v>
      </c>
      <c r="J1037" s="1" t="s">
        <v>32</v>
      </c>
      <c r="K1037" s="1" t="s">
        <v>65</v>
      </c>
      <c r="L1037" s="1" t="s">
        <v>5622</v>
      </c>
      <c r="M1037" s="1" t="s">
        <v>5626</v>
      </c>
      <c r="N1037" s="1" t="s">
        <v>5630</v>
      </c>
      <c r="O1037" s="1" t="s">
        <v>8918</v>
      </c>
    </row>
    <row r="1038" spans="8:15" x14ac:dyDescent="0.25">
      <c r="H1038" s="1">
        <v>1476502</v>
      </c>
      <c r="I1038" s="4">
        <v>46330.625</v>
      </c>
      <c r="J1038" s="1" t="s">
        <v>32</v>
      </c>
      <c r="K1038" s="1" t="s">
        <v>65</v>
      </c>
      <c r="L1038" s="1" t="s">
        <v>5622</v>
      </c>
      <c r="M1038" s="1" t="s">
        <v>5627</v>
      </c>
      <c r="N1038" s="1" t="s">
        <v>5648</v>
      </c>
      <c r="O1038" s="1" t="s">
        <v>8919</v>
      </c>
    </row>
    <row r="1039" spans="8:15" x14ac:dyDescent="0.25">
      <c r="H1039" s="1">
        <v>1476503</v>
      </c>
      <c r="I1039" s="4">
        <v>46330.625</v>
      </c>
      <c r="J1039" s="1" t="s">
        <v>32</v>
      </c>
      <c r="K1039" s="1" t="s">
        <v>65</v>
      </c>
      <c r="L1039" s="1" t="s">
        <v>5622</v>
      </c>
      <c r="M1039" s="1" t="s">
        <v>5639</v>
      </c>
      <c r="N1039" s="1" t="s">
        <v>5645</v>
      </c>
      <c r="O1039" s="1" t="s">
        <v>8920</v>
      </c>
    </row>
    <row r="1040" spans="8:15" x14ac:dyDescent="0.25">
      <c r="H1040" s="1">
        <v>1476504</v>
      </c>
      <c r="I1040" s="4">
        <v>46330.625</v>
      </c>
      <c r="J1040" s="1" t="s">
        <v>32</v>
      </c>
      <c r="K1040" s="1" t="s">
        <v>65</v>
      </c>
      <c r="L1040" s="1" t="s">
        <v>5622</v>
      </c>
      <c r="M1040" s="1" t="s">
        <v>5647</v>
      </c>
      <c r="N1040" s="1" t="s">
        <v>5633</v>
      </c>
      <c r="O1040" s="1" t="s">
        <v>8921</v>
      </c>
    </row>
    <row r="1041" spans="8:15" x14ac:dyDescent="0.25">
      <c r="H1041" s="1">
        <v>1476505</v>
      </c>
      <c r="I1041" s="4">
        <v>46330.625</v>
      </c>
      <c r="J1041" s="1" t="s">
        <v>32</v>
      </c>
      <c r="K1041" s="1" t="s">
        <v>65</v>
      </c>
      <c r="L1041" s="1" t="s">
        <v>5622</v>
      </c>
      <c r="M1041" s="1" t="s">
        <v>6000</v>
      </c>
      <c r="N1041" s="1" t="s">
        <v>5642</v>
      </c>
      <c r="O1041" s="1" t="s">
        <v>8922</v>
      </c>
    </row>
    <row r="1042" spans="8:15" x14ac:dyDescent="0.25">
      <c r="H1042" s="1">
        <v>1476506</v>
      </c>
      <c r="I1042" s="4">
        <v>46330.625</v>
      </c>
      <c r="J1042" s="1" t="s">
        <v>32</v>
      </c>
      <c r="K1042" s="1" t="s">
        <v>65</v>
      </c>
      <c r="L1042" s="1" t="s">
        <v>5622</v>
      </c>
      <c r="M1042" s="1" t="s">
        <v>5650</v>
      </c>
      <c r="N1042" s="1" t="s">
        <v>5644</v>
      </c>
      <c r="O1042" s="1" t="s">
        <v>8923</v>
      </c>
    </row>
    <row r="1043" spans="8:15" x14ac:dyDescent="0.25">
      <c r="H1043" s="1">
        <v>1476507</v>
      </c>
      <c r="I1043" s="4">
        <v>46330.625</v>
      </c>
      <c r="J1043" s="1" t="s">
        <v>32</v>
      </c>
      <c r="K1043" s="1" t="s">
        <v>65</v>
      </c>
      <c r="L1043" s="1" t="s">
        <v>5622</v>
      </c>
      <c r="M1043" s="1" t="s">
        <v>5638</v>
      </c>
      <c r="N1043" s="1" t="s">
        <v>5632</v>
      </c>
      <c r="O1043" s="1" t="s">
        <v>8924</v>
      </c>
    </row>
    <row r="1044" spans="8:15" x14ac:dyDescent="0.25">
      <c r="H1044" s="1">
        <v>1477378</v>
      </c>
      <c r="I1044" s="4">
        <v>46330.625</v>
      </c>
      <c r="J1044" s="1" t="s">
        <v>32</v>
      </c>
      <c r="K1044" s="1" t="s">
        <v>381</v>
      </c>
      <c r="L1044" s="1" t="s">
        <v>397</v>
      </c>
      <c r="M1044" s="1" t="s">
        <v>5833</v>
      </c>
      <c r="N1044" s="1" t="s">
        <v>1610</v>
      </c>
      <c r="O1044" s="1" t="s">
        <v>8925</v>
      </c>
    </row>
    <row r="1045" spans="8:15" x14ac:dyDescent="0.25">
      <c r="H1045" s="1">
        <v>1480381</v>
      </c>
      <c r="I1045" s="4">
        <v>46330.625</v>
      </c>
      <c r="J1045" s="1" t="s">
        <v>32</v>
      </c>
      <c r="K1045" s="1" t="s">
        <v>51</v>
      </c>
      <c r="L1045" s="1" t="s">
        <v>386</v>
      </c>
      <c r="M1045" s="1" t="s">
        <v>3844</v>
      </c>
      <c r="N1045" s="1" t="s">
        <v>3825</v>
      </c>
      <c r="O1045" s="1" t="s">
        <v>8926</v>
      </c>
    </row>
    <row r="1046" spans="8:15" x14ac:dyDescent="0.25">
      <c r="H1046" s="1">
        <v>1480400</v>
      </c>
      <c r="I1046" s="4">
        <v>46330.625</v>
      </c>
      <c r="J1046" s="1" t="s">
        <v>32</v>
      </c>
      <c r="K1046" s="1" t="s">
        <v>80</v>
      </c>
      <c r="L1046" s="1" t="s">
        <v>629</v>
      </c>
      <c r="M1046" s="1" t="s">
        <v>4632</v>
      </c>
      <c r="N1046" s="1" t="s">
        <v>8927</v>
      </c>
      <c r="O1046" s="1" t="s">
        <v>8928</v>
      </c>
    </row>
    <row r="1047" spans="8:15" x14ac:dyDescent="0.25">
      <c r="H1047" s="1">
        <v>1494621</v>
      </c>
      <c r="I1047" s="4">
        <v>46330.625</v>
      </c>
      <c r="J1047" s="1" t="s">
        <v>32</v>
      </c>
      <c r="K1047" s="1" t="s">
        <v>85</v>
      </c>
      <c r="L1047" s="1" t="s">
        <v>5853</v>
      </c>
      <c r="M1047" s="1" t="s">
        <v>8929</v>
      </c>
      <c r="N1047" s="1" t="s">
        <v>6143</v>
      </c>
      <c r="O1047" s="1" t="s">
        <v>8930</v>
      </c>
    </row>
    <row r="1048" spans="8:15" x14ac:dyDescent="0.25">
      <c r="H1048" s="1">
        <v>1495653</v>
      </c>
      <c r="I1048" s="4">
        <v>46330.625</v>
      </c>
      <c r="J1048" s="1" t="s">
        <v>32</v>
      </c>
      <c r="K1048" s="1" t="s">
        <v>5924</v>
      </c>
      <c r="L1048" s="1" t="s">
        <v>7669</v>
      </c>
      <c r="M1048" s="1" t="s">
        <v>3281</v>
      </c>
      <c r="N1048" s="1" t="s">
        <v>3278</v>
      </c>
      <c r="O1048" s="1" t="s">
        <v>8931</v>
      </c>
    </row>
    <row r="1049" spans="8:15" x14ac:dyDescent="0.25">
      <c r="H1049" s="1">
        <v>1496025</v>
      </c>
      <c r="I1049" s="4">
        <v>46330.625</v>
      </c>
      <c r="J1049" s="1" t="s">
        <v>32</v>
      </c>
      <c r="K1049" s="1" t="s">
        <v>85</v>
      </c>
      <c r="L1049" s="1" t="s">
        <v>7989</v>
      </c>
      <c r="M1049" s="1" t="s">
        <v>8932</v>
      </c>
      <c r="N1049" s="1" t="s">
        <v>8933</v>
      </c>
      <c r="O1049" s="1" t="s">
        <v>8934</v>
      </c>
    </row>
    <row r="1050" spans="8:15" x14ac:dyDescent="0.25">
      <c r="H1050" s="1">
        <v>1503310</v>
      </c>
      <c r="I1050" s="4">
        <v>46330.625</v>
      </c>
      <c r="J1050" s="1" t="s">
        <v>32</v>
      </c>
      <c r="K1050" s="1" t="s">
        <v>46</v>
      </c>
      <c r="L1050" s="1" t="s">
        <v>47</v>
      </c>
      <c r="M1050" s="1" t="s">
        <v>8935</v>
      </c>
      <c r="N1050" s="1" t="s">
        <v>8936</v>
      </c>
      <c r="O1050" s="1" t="s">
        <v>8937</v>
      </c>
    </row>
    <row r="1051" spans="8:15" x14ac:dyDescent="0.25">
      <c r="H1051" s="1">
        <v>1504381</v>
      </c>
      <c r="I1051" s="4">
        <v>46330.625</v>
      </c>
      <c r="J1051" s="1" t="s">
        <v>32</v>
      </c>
      <c r="K1051" s="1" t="s">
        <v>275</v>
      </c>
      <c r="L1051" s="1" t="s">
        <v>7693</v>
      </c>
      <c r="M1051" s="1" t="s">
        <v>3492</v>
      </c>
      <c r="N1051" s="1" t="s">
        <v>3494</v>
      </c>
      <c r="O1051" s="1" t="s">
        <v>8938</v>
      </c>
    </row>
    <row r="1052" spans="8:15" x14ac:dyDescent="0.25">
      <c r="H1052" s="1">
        <v>1504383</v>
      </c>
      <c r="I1052" s="4">
        <v>46330.625</v>
      </c>
      <c r="J1052" s="1" t="s">
        <v>32</v>
      </c>
      <c r="K1052" s="1" t="s">
        <v>275</v>
      </c>
      <c r="L1052" s="1" t="s">
        <v>7693</v>
      </c>
      <c r="M1052" s="1" t="s">
        <v>3496</v>
      </c>
      <c r="N1052" s="1" t="s">
        <v>8939</v>
      </c>
      <c r="O1052" s="1" t="s">
        <v>8940</v>
      </c>
    </row>
    <row r="1053" spans="8:15" x14ac:dyDescent="0.25">
      <c r="H1053" s="1">
        <v>1504384</v>
      </c>
      <c r="I1053" s="4">
        <v>46330.625</v>
      </c>
      <c r="J1053" s="1" t="s">
        <v>32</v>
      </c>
      <c r="K1053" s="1" t="s">
        <v>275</v>
      </c>
      <c r="L1053" s="1" t="s">
        <v>7693</v>
      </c>
      <c r="M1053" s="1" t="s">
        <v>2901</v>
      </c>
      <c r="N1053" s="1" t="s">
        <v>8941</v>
      </c>
      <c r="O1053" s="1" t="s">
        <v>8942</v>
      </c>
    </row>
    <row r="1054" spans="8:15" x14ac:dyDescent="0.25">
      <c r="H1054" s="1">
        <v>1505099</v>
      </c>
      <c r="I1054" s="4">
        <v>46330.625</v>
      </c>
      <c r="J1054" s="1" t="s">
        <v>32</v>
      </c>
      <c r="K1054" s="1" t="s">
        <v>275</v>
      </c>
      <c r="L1054" s="1" t="s">
        <v>8943</v>
      </c>
      <c r="M1054" s="1" t="s">
        <v>3246</v>
      </c>
      <c r="N1054" s="1" t="s">
        <v>5879</v>
      </c>
      <c r="O1054" s="1" t="s">
        <v>8944</v>
      </c>
    </row>
    <row r="1055" spans="8:15" x14ac:dyDescent="0.25">
      <c r="H1055" s="1">
        <v>1505100</v>
      </c>
      <c r="I1055" s="4">
        <v>46330.625</v>
      </c>
      <c r="J1055" s="1" t="s">
        <v>32</v>
      </c>
      <c r="K1055" s="1" t="s">
        <v>275</v>
      </c>
      <c r="L1055" s="1" t="s">
        <v>8943</v>
      </c>
      <c r="M1055" s="1" t="s">
        <v>8945</v>
      </c>
      <c r="N1055" s="1" t="s">
        <v>3615</v>
      </c>
      <c r="O1055" s="1" t="s">
        <v>8946</v>
      </c>
    </row>
    <row r="1056" spans="8:15" x14ac:dyDescent="0.25">
      <c r="H1056" s="1">
        <v>1505104</v>
      </c>
      <c r="I1056" s="4">
        <v>46330.625</v>
      </c>
      <c r="J1056" s="1" t="s">
        <v>32</v>
      </c>
      <c r="K1056" s="1" t="s">
        <v>275</v>
      </c>
      <c r="L1056" s="1" t="s">
        <v>8943</v>
      </c>
      <c r="M1056" s="1" t="s">
        <v>8947</v>
      </c>
      <c r="N1056" s="1" t="s">
        <v>8948</v>
      </c>
      <c r="O1056" s="1" t="s">
        <v>8949</v>
      </c>
    </row>
    <row r="1057" spans="8:15" x14ac:dyDescent="0.25">
      <c r="H1057" s="1">
        <v>1506582</v>
      </c>
      <c r="I1057" s="4">
        <v>46330.625</v>
      </c>
      <c r="J1057" s="1" t="s">
        <v>32</v>
      </c>
      <c r="K1057" s="1" t="s">
        <v>610</v>
      </c>
      <c r="L1057" s="1" t="s">
        <v>611</v>
      </c>
      <c r="M1057" s="1" t="s">
        <v>4079</v>
      </c>
      <c r="N1057" s="1" t="s">
        <v>8950</v>
      </c>
      <c r="O1057" s="1" t="s">
        <v>8951</v>
      </c>
    </row>
    <row r="1058" spans="8:15" x14ac:dyDescent="0.25">
      <c r="H1058" s="1">
        <v>1506794</v>
      </c>
      <c r="I1058" s="4">
        <v>46330.625</v>
      </c>
      <c r="J1058" s="1" t="s">
        <v>32</v>
      </c>
      <c r="K1058" s="1" t="s">
        <v>53</v>
      </c>
      <c r="L1058" s="1" t="s">
        <v>5872</v>
      </c>
      <c r="M1058" s="1" t="s">
        <v>5873</v>
      </c>
      <c r="N1058" s="1" t="s">
        <v>5877</v>
      </c>
      <c r="O1058" s="1" t="s">
        <v>8952</v>
      </c>
    </row>
    <row r="1059" spans="8:15" x14ac:dyDescent="0.25">
      <c r="H1059" s="1">
        <v>1506813</v>
      </c>
      <c r="I1059" s="4">
        <v>46330.625</v>
      </c>
      <c r="J1059" s="1" t="s">
        <v>32</v>
      </c>
      <c r="K1059" s="1" t="s">
        <v>53</v>
      </c>
      <c r="L1059" s="1" t="s">
        <v>5872</v>
      </c>
      <c r="M1059" s="1" t="s">
        <v>6151</v>
      </c>
      <c r="N1059" s="1" t="s">
        <v>8953</v>
      </c>
      <c r="O1059" s="1" t="s">
        <v>8954</v>
      </c>
    </row>
    <row r="1060" spans="8:15" x14ac:dyDescent="0.25">
      <c r="H1060" s="1">
        <v>1509060</v>
      </c>
      <c r="I1060" s="4">
        <v>46330.625</v>
      </c>
      <c r="J1060" s="1" t="s">
        <v>32</v>
      </c>
      <c r="K1060" s="1" t="s">
        <v>408</v>
      </c>
      <c r="L1060" s="1" t="s">
        <v>409</v>
      </c>
      <c r="M1060" s="1" t="s">
        <v>8955</v>
      </c>
      <c r="N1060" s="1" t="s">
        <v>8956</v>
      </c>
      <c r="O1060" s="1" t="s">
        <v>8957</v>
      </c>
    </row>
    <row r="1061" spans="8:15" x14ac:dyDescent="0.25">
      <c r="H1061" s="1">
        <v>1511086</v>
      </c>
      <c r="I1061" s="4">
        <v>46330.625</v>
      </c>
      <c r="J1061" s="1" t="s">
        <v>32</v>
      </c>
      <c r="K1061" s="1" t="s">
        <v>275</v>
      </c>
      <c r="L1061" s="1" t="s">
        <v>7592</v>
      </c>
      <c r="M1061" s="1" t="s">
        <v>8958</v>
      </c>
      <c r="N1061" s="1" t="s">
        <v>8959</v>
      </c>
      <c r="O1061" s="1" t="s">
        <v>8960</v>
      </c>
    </row>
    <row r="1062" spans="8:15" x14ac:dyDescent="0.25">
      <c r="H1062" s="1">
        <v>1513454</v>
      </c>
      <c r="I1062" s="4">
        <v>46330.625</v>
      </c>
      <c r="J1062" s="1" t="s">
        <v>32</v>
      </c>
      <c r="K1062" s="1" t="s">
        <v>527</v>
      </c>
      <c r="L1062" s="1" t="s">
        <v>47</v>
      </c>
      <c r="M1062" s="1" t="s">
        <v>1769</v>
      </c>
      <c r="N1062" s="1" t="s">
        <v>8961</v>
      </c>
      <c r="O1062" s="1" t="s">
        <v>8962</v>
      </c>
    </row>
    <row r="1063" spans="8:15" x14ac:dyDescent="0.25">
      <c r="H1063" s="1">
        <v>1513456</v>
      </c>
      <c r="I1063" s="4">
        <v>46330.625</v>
      </c>
      <c r="J1063" s="1" t="s">
        <v>32</v>
      </c>
      <c r="K1063" s="1" t="s">
        <v>527</v>
      </c>
      <c r="L1063" s="1" t="s">
        <v>47</v>
      </c>
      <c r="M1063" s="1" t="s">
        <v>8963</v>
      </c>
      <c r="N1063" s="1" t="s">
        <v>1770</v>
      </c>
      <c r="O1063" s="1" t="s">
        <v>8964</v>
      </c>
    </row>
    <row r="1064" spans="8:15" x14ac:dyDescent="0.25">
      <c r="H1064" s="1">
        <v>1513520</v>
      </c>
      <c r="I1064" s="4">
        <v>46330.625</v>
      </c>
      <c r="J1064" s="1" t="s">
        <v>32</v>
      </c>
      <c r="K1064" s="1" t="s">
        <v>546</v>
      </c>
      <c r="L1064" s="1" t="s">
        <v>580</v>
      </c>
      <c r="M1064" s="1" t="s">
        <v>3107</v>
      </c>
      <c r="N1064" s="1" t="s">
        <v>3618</v>
      </c>
      <c r="O1064" s="1" t="s">
        <v>8965</v>
      </c>
    </row>
    <row r="1065" spans="8:15" x14ac:dyDescent="0.25">
      <c r="H1065" s="1">
        <v>1515039</v>
      </c>
      <c r="I1065" s="4">
        <v>46330.625</v>
      </c>
      <c r="J1065" s="1" t="s">
        <v>32</v>
      </c>
      <c r="K1065" s="1" t="s">
        <v>53</v>
      </c>
      <c r="L1065" s="1" t="s">
        <v>654</v>
      </c>
      <c r="M1065" s="1" t="s">
        <v>2354</v>
      </c>
      <c r="N1065" s="1" t="s">
        <v>2014</v>
      </c>
      <c r="O1065" s="1" t="s">
        <v>8966</v>
      </c>
    </row>
    <row r="1066" spans="8:15" x14ac:dyDescent="0.25">
      <c r="H1066" s="1">
        <v>1515099</v>
      </c>
      <c r="I1066" s="4">
        <v>46330.625</v>
      </c>
      <c r="J1066" s="1" t="s">
        <v>32</v>
      </c>
      <c r="K1066" s="1" t="s">
        <v>53</v>
      </c>
      <c r="L1066" s="1" t="s">
        <v>654</v>
      </c>
      <c r="M1066" s="1" t="s">
        <v>8967</v>
      </c>
      <c r="N1066" s="1" t="s">
        <v>6490</v>
      </c>
      <c r="O1066" s="1" t="s">
        <v>8968</v>
      </c>
    </row>
    <row r="1067" spans="8:15" x14ac:dyDescent="0.25">
      <c r="H1067" s="1">
        <v>1515101</v>
      </c>
      <c r="I1067" s="4">
        <v>46330.625</v>
      </c>
      <c r="J1067" s="1" t="s">
        <v>32</v>
      </c>
      <c r="K1067" s="1" t="s">
        <v>53</v>
      </c>
      <c r="L1067" s="1" t="s">
        <v>654</v>
      </c>
      <c r="M1067" s="1" t="s">
        <v>2016</v>
      </c>
      <c r="N1067" s="1" t="s">
        <v>426</v>
      </c>
      <c r="O1067" s="1" t="s">
        <v>8969</v>
      </c>
    </row>
    <row r="1068" spans="8:15" x14ac:dyDescent="0.25">
      <c r="H1068" s="1">
        <v>1515612</v>
      </c>
      <c r="I1068" s="4">
        <v>46330.625</v>
      </c>
      <c r="J1068" s="1" t="s">
        <v>32</v>
      </c>
      <c r="K1068" s="1" t="s">
        <v>86</v>
      </c>
      <c r="L1068" s="1" t="s">
        <v>655</v>
      </c>
      <c r="M1068" s="1" t="s">
        <v>1776</v>
      </c>
      <c r="N1068" s="1" t="s">
        <v>1819</v>
      </c>
      <c r="O1068" s="1" t="s">
        <v>8970</v>
      </c>
    </row>
    <row r="1069" spans="8:15" x14ac:dyDescent="0.25">
      <c r="H1069" s="1">
        <v>1515613</v>
      </c>
      <c r="I1069" s="4">
        <v>46330.625</v>
      </c>
      <c r="J1069" s="1" t="s">
        <v>32</v>
      </c>
      <c r="K1069" s="1" t="s">
        <v>86</v>
      </c>
      <c r="L1069" s="1" t="s">
        <v>655</v>
      </c>
      <c r="M1069" s="1" t="s">
        <v>322</v>
      </c>
      <c r="N1069" s="1" t="s">
        <v>1775</v>
      </c>
      <c r="O1069" s="1" t="s">
        <v>8971</v>
      </c>
    </row>
    <row r="1070" spans="8:15" x14ac:dyDescent="0.25">
      <c r="H1070" s="1">
        <v>1515690</v>
      </c>
      <c r="I1070" s="4">
        <v>46330.625</v>
      </c>
      <c r="J1070" s="1" t="s">
        <v>32</v>
      </c>
      <c r="K1070" s="1" t="s">
        <v>275</v>
      </c>
      <c r="L1070" s="1" t="s">
        <v>7737</v>
      </c>
      <c r="M1070" s="1" t="s">
        <v>8972</v>
      </c>
      <c r="N1070" s="1" t="s">
        <v>8973</v>
      </c>
      <c r="O1070" s="1" t="s">
        <v>8974</v>
      </c>
    </row>
    <row r="1071" spans="8:15" x14ac:dyDescent="0.25">
      <c r="H1071" s="1">
        <v>1517140</v>
      </c>
      <c r="I1071" s="4">
        <v>46330.625</v>
      </c>
      <c r="J1071" s="1" t="s">
        <v>32</v>
      </c>
      <c r="K1071" s="1" t="s">
        <v>5924</v>
      </c>
      <c r="L1071" s="1" t="s">
        <v>7744</v>
      </c>
      <c r="M1071" s="1" t="s">
        <v>8975</v>
      </c>
      <c r="N1071" s="1" t="s">
        <v>8976</v>
      </c>
      <c r="O1071" s="1" t="s">
        <v>8977</v>
      </c>
    </row>
    <row r="1072" spans="8:15" x14ac:dyDescent="0.25">
      <c r="H1072" s="1">
        <v>1517141</v>
      </c>
      <c r="I1072" s="4">
        <v>46330.625</v>
      </c>
      <c r="J1072" s="1" t="s">
        <v>32</v>
      </c>
      <c r="K1072" s="1" t="s">
        <v>5924</v>
      </c>
      <c r="L1072" s="1" t="s">
        <v>7744</v>
      </c>
      <c r="M1072" s="1" t="s">
        <v>8978</v>
      </c>
      <c r="N1072" s="1" t="s">
        <v>8979</v>
      </c>
      <c r="O1072" s="1" t="s">
        <v>8980</v>
      </c>
    </row>
    <row r="1073" spans="8:15" x14ac:dyDescent="0.25">
      <c r="H1073" s="1">
        <v>1521325</v>
      </c>
      <c r="I1073" s="4">
        <v>46330.625</v>
      </c>
      <c r="J1073" s="1" t="s">
        <v>32</v>
      </c>
      <c r="K1073" s="1" t="s">
        <v>260</v>
      </c>
      <c r="L1073" s="1" t="s">
        <v>261</v>
      </c>
      <c r="M1073" s="1" t="s">
        <v>8981</v>
      </c>
      <c r="N1073" s="1" t="s">
        <v>4856</v>
      </c>
      <c r="O1073" s="1" t="s">
        <v>8982</v>
      </c>
    </row>
    <row r="1074" spans="8:15" x14ac:dyDescent="0.25">
      <c r="H1074" s="1">
        <v>1527564</v>
      </c>
      <c r="I1074" s="4">
        <v>46330.625</v>
      </c>
      <c r="J1074" s="1" t="s">
        <v>32</v>
      </c>
      <c r="K1074" s="1" t="s">
        <v>422</v>
      </c>
      <c r="L1074" s="1" t="s">
        <v>49</v>
      </c>
      <c r="M1074" s="1" t="s">
        <v>498</v>
      </c>
      <c r="N1074" s="1" t="s">
        <v>5905</v>
      </c>
      <c r="O1074" s="1" t="s">
        <v>8983</v>
      </c>
    </row>
    <row r="1075" spans="8:15" x14ac:dyDescent="0.25">
      <c r="H1075" s="1">
        <v>1529499</v>
      </c>
      <c r="I1075" s="4">
        <v>46330.625</v>
      </c>
      <c r="J1075" s="1" t="s">
        <v>32</v>
      </c>
      <c r="K1075" s="1" t="s">
        <v>544</v>
      </c>
      <c r="L1075" s="1" t="s">
        <v>4863</v>
      </c>
      <c r="M1075" s="1" t="s">
        <v>8984</v>
      </c>
      <c r="N1075" s="1" t="s">
        <v>4868</v>
      </c>
      <c r="O1075" s="1" t="s">
        <v>8985</v>
      </c>
    </row>
    <row r="1076" spans="8:15" x14ac:dyDescent="0.25">
      <c r="H1076" s="1">
        <v>1529801</v>
      </c>
      <c r="I1076" s="4">
        <v>46330.625</v>
      </c>
      <c r="J1076" s="1" t="s">
        <v>32</v>
      </c>
      <c r="K1076" s="1" t="s">
        <v>63</v>
      </c>
      <c r="L1076" s="1" t="s">
        <v>625</v>
      </c>
      <c r="M1076" s="1" t="s">
        <v>8986</v>
      </c>
      <c r="N1076" s="1" t="s">
        <v>4883</v>
      </c>
      <c r="O1076" s="1" t="s">
        <v>8987</v>
      </c>
    </row>
    <row r="1077" spans="8:15" x14ac:dyDescent="0.25">
      <c r="H1077" s="1">
        <v>1529802</v>
      </c>
      <c r="I1077" s="4">
        <v>46330.625</v>
      </c>
      <c r="J1077" s="1" t="s">
        <v>32</v>
      </c>
      <c r="K1077" s="1" t="s">
        <v>63</v>
      </c>
      <c r="L1077" s="1" t="s">
        <v>625</v>
      </c>
      <c r="M1077" s="1" t="s">
        <v>8988</v>
      </c>
      <c r="N1077" s="1" t="s">
        <v>4881</v>
      </c>
      <c r="O1077" s="1" t="s">
        <v>8989</v>
      </c>
    </row>
    <row r="1078" spans="8:15" x14ac:dyDescent="0.25">
      <c r="H1078" s="1">
        <v>1529803</v>
      </c>
      <c r="I1078" s="4">
        <v>46330.625</v>
      </c>
      <c r="J1078" s="1" t="s">
        <v>32</v>
      </c>
      <c r="K1078" s="1" t="s">
        <v>63</v>
      </c>
      <c r="L1078" s="1" t="s">
        <v>625</v>
      </c>
      <c r="M1078" s="1" t="s">
        <v>4884</v>
      </c>
      <c r="N1078" s="1" t="s">
        <v>4872</v>
      </c>
      <c r="O1078" s="1" t="s">
        <v>8990</v>
      </c>
    </row>
    <row r="1079" spans="8:15" x14ac:dyDescent="0.25">
      <c r="H1079" s="1">
        <v>1529804</v>
      </c>
      <c r="I1079" s="4">
        <v>46330.625</v>
      </c>
      <c r="J1079" s="1" t="s">
        <v>32</v>
      </c>
      <c r="K1079" s="1" t="s">
        <v>63</v>
      </c>
      <c r="L1079" s="1" t="s">
        <v>625</v>
      </c>
      <c r="M1079" s="1" t="s">
        <v>4877</v>
      </c>
      <c r="N1079" s="1" t="s">
        <v>4880</v>
      </c>
      <c r="O1079" s="1" t="s">
        <v>8991</v>
      </c>
    </row>
    <row r="1080" spans="8:15" x14ac:dyDescent="0.25">
      <c r="H1080" s="1">
        <v>1529805</v>
      </c>
      <c r="I1080" s="4">
        <v>46330.625</v>
      </c>
      <c r="J1080" s="1" t="s">
        <v>32</v>
      </c>
      <c r="K1080" s="1" t="s">
        <v>63</v>
      </c>
      <c r="L1080" s="1" t="s">
        <v>625</v>
      </c>
      <c r="M1080" s="1" t="s">
        <v>1607</v>
      </c>
      <c r="N1080" s="1" t="s">
        <v>4874</v>
      </c>
      <c r="O1080" s="1" t="s">
        <v>8992</v>
      </c>
    </row>
    <row r="1081" spans="8:15" x14ac:dyDescent="0.25">
      <c r="H1081" s="1">
        <v>1534260</v>
      </c>
      <c r="I1081" s="4">
        <v>46330.625</v>
      </c>
      <c r="J1081" s="1" t="s">
        <v>32</v>
      </c>
      <c r="K1081" s="1" t="s">
        <v>389</v>
      </c>
      <c r="L1081" s="1" t="s">
        <v>335</v>
      </c>
      <c r="M1081" s="1" t="s">
        <v>8993</v>
      </c>
      <c r="N1081" s="1" t="s">
        <v>8994</v>
      </c>
      <c r="O1081" s="1" t="s">
        <v>8995</v>
      </c>
    </row>
    <row r="1082" spans="8:15" x14ac:dyDescent="0.25">
      <c r="H1082" s="1">
        <v>1535806</v>
      </c>
      <c r="I1082" s="4">
        <v>46330.625</v>
      </c>
      <c r="J1082" s="1" t="s">
        <v>32</v>
      </c>
      <c r="K1082" s="1" t="s">
        <v>377</v>
      </c>
      <c r="L1082" s="1" t="s">
        <v>45</v>
      </c>
      <c r="M1082" s="1" t="s">
        <v>8996</v>
      </c>
      <c r="N1082" s="1" t="s">
        <v>8997</v>
      </c>
      <c r="O1082" s="1" t="s">
        <v>8998</v>
      </c>
    </row>
    <row r="1083" spans="8:15" x14ac:dyDescent="0.25">
      <c r="H1083" s="1">
        <v>1535892</v>
      </c>
      <c r="I1083" s="4">
        <v>46330.625</v>
      </c>
      <c r="J1083" s="1" t="s">
        <v>32</v>
      </c>
      <c r="K1083" s="1" t="s">
        <v>5138</v>
      </c>
      <c r="L1083" s="1" t="s">
        <v>70</v>
      </c>
      <c r="M1083" s="1" t="s">
        <v>5148</v>
      </c>
      <c r="N1083" s="1" t="s">
        <v>5160</v>
      </c>
      <c r="O1083" s="1" t="s">
        <v>8999</v>
      </c>
    </row>
    <row r="1084" spans="8:15" x14ac:dyDescent="0.25">
      <c r="H1084" s="1">
        <v>1535893</v>
      </c>
      <c r="I1084" s="4">
        <v>46330.625</v>
      </c>
      <c r="J1084" s="1" t="s">
        <v>32</v>
      </c>
      <c r="K1084" s="1" t="s">
        <v>5138</v>
      </c>
      <c r="L1084" s="1" t="s">
        <v>70</v>
      </c>
      <c r="M1084" s="1" t="s">
        <v>9000</v>
      </c>
      <c r="N1084" s="1" t="s">
        <v>5154</v>
      </c>
      <c r="O1084" s="1" t="s">
        <v>9001</v>
      </c>
    </row>
    <row r="1085" spans="8:15" x14ac:dyDescent="0.25">
      <c r="H1085" s="1">
        <v>1535894</v>
      </c>
      <c r="I1085" s="4">
        <v>46330.625</v>
      </c>
      <c r="J1085" s="1" t="s">
        <v>32</v>
      </c>
      <c r="K1085" s="1" t="s">
        <v>5138</v>
      </c>
      <c r="L1085" s="1" t="s">
        <v>70</v>
      </c>
      <c r="M1085" s="1" t="s">
        <v>5157</v>
      </c>
      <c r="N1085" s="1" t="s">
        <v>5155</v>
      </c>
      <c r="O1085" s="1" t="s">
        <v>9002</v>
      </c>
    </row>
    <row r="1086" spans="8:15" x14ac:dyDescent="0.25">
      <c r="H1086" s="1">
        <v>1535908</v>
      </c>
      <c r="I1086" s="4">
        <v>46330.625</v>
      </c>
      <c r="J1086" s="1" t="s">
        <v>32</v>
      </c>
      <c r="K1086" s="1" t="s">
        <v>5138</v>
      </c>
      <c r="L1086" s="1" t="s">
        <v>70</v>
      </c>
      <c r="M1086" s="1" t="s">
        <v>5149</v>
      </c>
      <c r="N1086" s="1" t="s">
        <v>5152</v>
      </c>
      <c r="O1086" s="1" t="s">
        <v>9003</v>
      </c>
    </row>
    <row r="1087" spans="8:15" x14ac:dyDescent="0.25">
      <c r="H1087" s="1">
        <v>1535909</v>
      </c>
      <c r="I1087" s="4">
        <v>46330.625</v>
      </c>
      <c r="J1087" s="1" t="s">
        <v>32</v>
      </c>
      <c r="K1087" s="1" t="s">
        <v>5138</v>
      </c>
      <c r="L1087" s="1" t="s">
        <v>70</v>
      </c>
      <c r="M1087" s="1" t="s">
        <v>9004</v>
      </c>
      <c r="N1087" s="1" t="s">
        <v>5158</v>
      </c>
      <c r="O1087" s="1" t="s">
        <v>9005</v>
      </c>
    </row>
    <row r="1088" spans="8:15" x14ac:dyDescent="0.25">
      <c r="H1088" s="1">
        <v>1535922</v>
      </c>
      <c r="I1088" s="4">
        <v>46330.625</v>
      </c>
      <c r="J1088" s="1" t="s">
        <v>32</v>
      </c>
      <c r="K1088" s="1" t="s">
        <v>5138</v>
      </c>
      <c r="L1088" s="1" t="s">
        <v>5083</v>
      </c>
      <c r="M1088" s="1" t="s">
        <v>5140</v>
      </c>
      <c r="N1088" s="1" t="s">
        <v>9006</v>
      </c>
      <c r="O1088" s="1" t="s">
        <v>9007</v>
      </c>
    </row>
    <row r="1089" spans="8:15" x14ac:dyDescent="0.25">
      <c r="H1089" s="1">
        <v>1535923</v>
      </c>
      <c r="I1089" s="4">
        <v>46330.625</v>
      </c>
      <c r="J1089" s="1" t="s">
        <v>32</v>
      </c>
      <c r="K1089" s="1" t="s">
        <v>5138</v>
      </c>
      <c r="L1089" s="1" t="s">
        <v>5083</v>
      </c>
      <c r="M1089" s="1" t="s">
        <v>9008</v>
      </c>
      <c r="N1089" s="1" t="s">
        <v>6915</v>
      </c>
      <c r="O1089" s="1" t="s">
        <v>9009</v>
      </c>
    </row>
    <row r="1090" spans="8:15" x14ac:dyDescent="0.25">
      <c r="H1090" s="1">
        <v>1535924</v>
      </c>
      <c r="I1090" s="4">
        <v>46330.625</v>
      </c>
      <c r="J1090" s="1" t="s">
        <v>32</v>
      </c>
      <c r="K1090" s="1" t="s">
        <v>5138</v>
      </c>
      <c r="L1090" s="1" t="s">
        <v>5083</v>
      </c>
      <c r="M1090" s="1" t="s">
        <v>5146</v>
      </c>
      <c r="N1090" s="1" t="s">
        <v>5145</v>
      </c>
      <c r="O1090" s="1" t="s">
        <v>9010</v>
      </c>
    </row>
    <row r="1091" spans="8:15" x14ac:dyDescent="0.25">
      <c r="H1091" s="1">
        <v>1535937</v>
      </c>
      <c r="I1091" s="4">
        <v>46330.625</v>
      </c>
      <c r="J1091" s="1" t="s">
        <v>32</v>
      </c>
      <c r="K1091" s="1" t="s">
        <v>5138</v>
      </c>
      <c r="L1091" s="1" t="s">
        <v>5083</v>
      </c>
      <c r="M1091" s="1" t="s">
        <v>5143</v>
      </c>
      <c r="N1091" s="1" t="s">
        <v>6914</v>
      </c>
      <c r="O1091" s="1" t="s">
        <v>9011</v>
      </c>
    </row>
    <row r="1092" spans="8:15" x14ac:dyDescent="0.25">
      <c r="H1092" s="1">
        <v>1535938</v>
      </c>
      <c r="I1092" s="4">
        <v>46330.625</v>
      </c>
      <c r="J1092" s="1" t="s">
        <v>32</v>
      </c>
      <c r="K1092" s="1" t="s">
        <v>5138</v>
      </c>
      <c r="L1092" s="1" t="s">
        <v>5083</v>
      </c>
      <c r="M1092" s="1" t="s">
        <v>5142</v>
      </c>
      <c r="N1092" s="1" t="s">
        <v>5139</v>
      </c>
      <c r="O1092" s="1" t="s">
        <v>9012</v>
      </c>
    </row>
    <row r="1093" spans="8:15" x14ac:dyDescent="0.25">
      <c r="H1093" s="1">
        <v>1536181</v>
      </c>
      <c r="I1093" s="4">
        <v>46330.625</v>
      </c>
      <c r="J1093" s="1" t="s">
        <v>32</v>
      </c>
      <c r="K1093" s="1" t="s">
        <v>377</v>
      </c>
      <c r="L1093" s="1" t="s">
        <v>7790</v>
      </c>
      <c r="M1093" s="1" t="s">
        <v>9013</v>
      </c>
      <c r="N1093" s="1" t="s">
        <v>9014</v>
      </c>
      <c r="O1093" s="1" t="s">
        <v>9015</v>
      </c>
    </row>
    <row r="1094" spans="8:15" x14ac:dyDescent="0.25">
      <c r="H1094" s="1">
        <v>1536531</v>
      </c>
      <c r="I1094" s="4">
        <v>46330.625</v>
      </c>
      <c r="J1094" s="1" t="s">
        <v>32</v>
      </c>
      <c r="K1094" s="1" t="s">
        <v>377</v>
      </c>
      <c r="L1094" s="1" t="s">
        <v>7242</v>
      </c>
      <c r="M1094" s="1" t="s">
        <v>9016</v>
      </c>
      <c r="N1094" s="1" t="s">
        <v>9017</v>
      </c>
      <c r="O1094" s="1" t="s">
        <v>9018</v>
      </c>
    </row>
    <row r="1095" spans="8:15" x14ac:dyDescent="0.25">
      <c r="H1095" s="1">
        <v>1536533</v>
      </c>
      <c r="I1095" s="4">
        <v>46330.625</v>
      </c>
      <c r="J1095" s="1" t="s">
        <v>32</v>
      </c>
      <c r="K1095" s="1" t="s">
        <v>377</v>
      </c>
      <c r="L1095" s="1" t="s">
        <v>7242</v>
      </c>
      <c r="M1095" s="1" t="s">
        <v>9019</v>
      </c>
      <c r="N1095" s="1" t="s">
        <v>9020</v>
      </c>
      <c r="O1095" s="1" t="s">
        <v>9021</v>
      </c>
    </row>
    <row r="1096" spans="8:15" x14ac:dyDescent="0.25">
      <c r="H1096" s="1">
        <v>1536968</v>
      </c>
      <c r="I1096" s="4">
        <v>46330.625</v>
      </c>
      <c r="J1096" s="1" t="s">
        <v>32</v>
      </c>
      <c r="K1096" s="1" t="s">
        <v>71</v>
      </c>
      <c r="L1096" s="1" t="s">
        <v>350</v>
      </c>
      <c r="M1096" s="1" t="s">
        <v>2277</v>
      </c>
      <c r="N1096" s="1" t="s">
        <v>9022</v>
      </c>
      <c r="O1096" s="1" t="s">
        <v>9023</v>
      </c>
    </row>
    <row r="1097" spans="8:15" x14ac:dyDescent="0.25">
      <c r="H1097" s="1">
        <v>1538439</v>
      </c>
      <c r="I1097" s="4">
        <v>46330.625</v>
      </c>
      <c r="J1097" s="1" t="s">
        <v>32</v>
      </c>
      <c r="K1097" s="1" t="s">
        <v>68</v>
      </c>
      <c r="L1097" s="1" t="s">
        <v>47</v>
      </c>
      <c r="M1097" s="1" t="s">
        <v>9024</v>
      </c>
      <c r="N1097" s="1" t="s">
        <v>1283</v>
      </c>
      <c r="O1097" s="1" t="s">
        <v>9025</v>
      </c>
    </row>
    <row r="1098" spans="8:15" x14ac:dyDescent="0.25">
      <c r="H1098" s="1">
        <v>1538440</v>
      </c>
      <c r="I1098" s="4">
        <v>46330.625</v>
      </c>
      <c r="J1098" s="1" t="s">
        <v>32</v>
      </c>
      <c r="K1098" s="1" t="s">
        <v>68</v>
      </c>
      <c r="L1098" s="1" t="s">
        <v>47</v>
      </c>
      <c r="M1098" s="1" t="s">
        <v>9026</v>
      </c>
      <c r="N1098" s="1" t="s">
        <v>1286</v>
      </c>
      <c r="O1098" s="1" t="s">
        <v>9027</v>
      </c>
    </row>
    <row r="1099" spans="8:15" x14ac:dyDescent="0.25">
      <c r="H1099" s="1">
        <v>1538442</v>
      </c>
      <c r="I1099" s="4">
        <v>46330.625</v>
      </c>
      <c r="J1099" s="1" t="s">
        <v>32</v>
      </c>
      <c r="K1099" s="1" t="s">
        <v>68</v>
      </c>
      <c r="L1099" s="1" t="s">
        <v>47</v>
      </c>
      <c r="M1099" s="1" t="s">
        <v>1285</v>
      </c>
      <c r="N1099" s="1" t="s">
        <v>1284</v>
      </c>
      <c r="O1099" s="1" t="s">
        <v>9028</v>
      </c>
    </row>
    <row r="1100" spans="8:15" x14ac:dyDescent="0.25">
      <c r="H1100" s="1">
        <v>1539959</v>
      </c>
      <c r="I1100" s="4">
        <v>46330.625</v>
      </c>
      <c r="J1100" s="1" t="s">
        <v>32</v>
      </c>
      <c r="K1100" s="1" t="s">
        <v>68</v>
      </c>
      <c r="L1100" s="1" t="s">
        <v>236</v>
      </c>
      <c r="M1100" s="1" t="s">
        <v>9029</v>
      </c>
      <c r="N1100" s="1" t="s">
        <v>9030</v>
      </c>
      <c r="O1100" s="1" t="s">
        <v>9031</v>
      </c>
    </row>
    <row r="1101" spans="8:15" x14ac:dyDescent="0.25">
      <c r="H1101" s="1">
        <v>1539960</v>
      </c>
      <c r="I1101" s="4">
        <v>46330.625</v>
      </c>
      <c r="J1101" s="1" t="s">
        <v>32</v>
      </c>
      <c r="K1101" s="1" t="s">
        <v>68</v>
      </c>
      <c r="L1101" s="1" t="s">
        <v>236</v>
      </c>
      <c r="M1101" s="1" t="s">
        <v>9032</v>
      </c>
      <c r="N1101" s="1" t="s">
        <v>9033</v>
      </c>
      <c r="O1101" s="1" t="s">
        <v>9034</v>
      </c>
    </row>
    <row r="1102" spans="8:15" x14ac:dyDescent="0.25">
      <c r="H1102" s="1">
        <v>1539961</v>
      </c>
      <c r="I1102" s="4">
        <v>46330.625</v>
      </c>
      <c r="J1102" s="1" t="s">
        <v>32</v>
      </c>
      <c r="K1102" s="1" t="s">
        <v>68</v>
      </c>
      <c r="L1102" s="1" t="s">
        <v>236</v>
      </c>
      <c r="M1102" s="1" t="s">
        <v>9035</v>
      </c>
      <c r="N1102" s="1" t="s">
        <v>9036</v>
      </c>
      <c r="O1102" s="1" t="s">
        <v>9037</v>
      </c>
    </row>
    <row r="1103" spans="8:15" x14ac:dyDescent="0.25">
      <c r="H1103" s="1">
        <v>1539962</v>
      </c>
      <c r="I1103" s="4">
        <v>46330.625</v>
      </c>
      <c r="J1103" s="1" t="s">
        <v>32</v>
      </c>
      <c r="K1103" s="1" t="s">
        <v>68</v>
      </c>
      <c r="L1103" s="1" t="s">
        <v>236</v>
      </c>
      <c r="M1103" s="1" t="s">
        <v>9038</v>
      </c>
      <c r="N1103" s="1" t="s">
        <v>9039</v>
      </c>
      <c r="O1103" s="1" t="s">
        <v>9040</v>
      </c>
    </row>
    <row r="1104" spans="8:15" x14ac:dyDescent="0.25">
      <c r="H1104" s="1">
        <v>1539963</v>
      </c>
      <c r="I1104" s="4">
        <v>46330.625</v>
      </c>
      <c r="J1104" s="1" t="s">
        <v>32</v>
      </c>
      <c r="K1104" s="1" t="s">
        <v>68</v>
      </c>
      <c r="L1104" s="1" t="s">
        <v>236</v>
      </c>
      <c r="M1104" s="1" t="s">
        <v>9041</v>
      </c>
      <c r="N1104" s="1" t="s">
        <v>3483</v>
      </c>
      <c r="O1104" s="1" t="s">
        <v>9042</v>
      </c>
    </row>
    <row r="1105" spans="8:15" x14ac:dyDescent="0.25">
      <c r="H1105" s="1">
        <v>1539964</v>
      </c>
      <c r="I1105" s="4">
        <v>46330.625</v>
      </c>
      <c r="J1105" s="1" t="s">
        <v>32</v>
      </c>
      <c r="K1105" s="1" t="s">
        <v>68</v>
      </c>
      <c r="L1105" s="1" t="s">
        <v>236</v>
      </c>
      <c r="M1105" s="1" t="s">
        <v>9043</v>
      </c>
      <c r="N1105" s="1" t="s">
        <v>9044</v>
      </c>
      <c r="O1105" s="1" t="s">
        <v>9045</v>
      </c>
    </row>
    <row r="1106" spans="8:15" x14ac:dyDescent="0.25">
      <c r="H1106" s="1">
        <v>1539965</v>
      </c>
      <c r="I1106" s="4">
        <v>46330.625</v>
      </c>
      <c r="J1106" s="1" t="s">
        <v>32</v>
      </c>
      <c r="K1106" s="1" t="s">
        <v>68</v>
      </c>
      <c r="L1106" s="1" t="s">
        <v>236</v>
      </c>
      <c r="M1106" s="1" t="s">
        <v>9046</v>
      </c>
      <c r="N1106" s="1" t="s">
        <v>9047</v>
      </c>
      <c r="O1106" s="1" t="s">
        <v>9048</v>
      </c>
    </row>
    <row r="1107" spans="8:15" x14ac:dyDescent="0.25">
      <c r="H1107" s="1">
        <v>1539984</v>
      </c>
      <c r="I1107" s="4">
        <v>46330.625</v>
      </c>
      <c r="J1107" s="1" t="s">
        <v>32</v>
      </c>
      <c r="K1107" s="1" t="s">
        <v>5924</v>
      </c>
      <c r="L1107" s="1" t="s">
        <v>7410</v>
      </c>
      <c r="M1107" s="1" t="s">
        <v>9049</v>
      </c>
      <c r="N1107" s="1" t="s">
        <v>9050</v>
      </c>
      <c r="O1107" s="1" t="s">
        <v>9051</v>
      </c>
    </row>
    <row r="1108" spans="8:15" x14ac:dyDescent="0.25">
      <c r="H1108" s="1">
        <v>1539993</v>
      </c>
      <c r="I1108" s="4">
        <v>46330.625</v>
      </c>
      <c r="J1108" s="1" t="s">
        <v>32</v>
      </c>
      <c r="K1108" s="1" t="s">
        <v>5924</v>
      </c>
      <c r="L1108" s="1" t="s">
        <v>7410</v>
      </c>
      <c r="M1108" s="1" t="s">
        <v>9052</v>
      </c>
      <c r="N1108" s="1" t="s">
        <v>9053</v>
      </c>
      <c r="O1108" s="1" t="s">
        <v>9054</v>
      </c>
    </row>
    <row r="1109" spans="8:15" x14ac:dyDescent="0.25">
      <c r="H1109" s="1">
        <v>1540048</v>
      </c>
      <c r="I1109" s="4">
        <v>46330.625</v>
      </c>
      <c r="J1109" s="1" t="s">
        <v>32</v>
      </c>
      <c r="K1109" s="1" t="s">
        <v>63</v>
      </c>
      <c r="L1109" s="1" t="s">
        <v>635</v>
      </c>
      <c r="M1109" s="1" t="s">
        <v>1786</v>
      </c>
      <c r="N1109" s="1" t="s">
        <v>1788</v>
      </c>
      <c r="O1109" s="1" t="s">
        <v>9055</v>
      </c>
    </row>
    <row r="1110" spans="8:15" x14ac:dyDescent="0.25">
      <c r="H1110" s="1">
        <v>1540049</v>
      </c>
      <c r="I1110" s="4">
        <v>46330.625</v>
      </c>
      <c r="J1110" s="1" t="s">
        <v>32</v>
      </c>
      <c r="K1110" s="1" t="s">
        <v>63</v>
      </c>
      <c r="L1110" s="1" t="s">
        <v>635</v>
      </c>
      <c r="M1110" s="1" t="s">
        <v>1787</v>
      </c>
      <c r="N1110" s="1" t="s">
        <v>1789</v>
      </c>
      <c r="O1110" s="1" t="s">
        <v>9056</v>
      </c>
    </row>
    <row r="1111" spans="8:15" x14ac:dyDescent="0.25">
      <c r="H1111" s="1">
        <v>1540050</v>
      </c>
      <c r="I1111" s="4">
        <v>46330.625</v>
      </c>
      <c r="J1111" s="1" t="s">
        <v>32</v>
      </c>
      <c r="K1111" s="1" t="s">
        <v>63</v>
      </c>
      <c r="L1111" s="1" t="s">
        <v>635</v>
      </c>
      <c r="M1111" s="1" t="s">
        <v>4909</v>
      </c>
      <c r="N1111" s="1" t="s">
        <v>4911</v>
      </c>
      <c r="O1111" s="1" t="s">
        <v>9057</v>
      </c>
    </row>
    <row r="1112" spans="8:15" x14ac:dyDescent="0.25">
      <c r="H1112" s="1">
        <v>1435126</v>
      </c>
      <c r="I1112" s="4">
        <v>46330.625</v>
      </c>
      <c r="J1112" s="1" t="s">
        <v>32</v>
      </c>
      <c r="K1112" s="1" t="s">
        <v>65</v>
      </c>
      <c r="L1112" s="1" t="s">
        <v>4922</v>
      </c>
      <c r="M1112" s="1" t="s">
        <v>5988</v>
      </c>
      <c r="N1112" s="1" t="s">
        <v>5982</v>
      </c>
      <c r="O1112" s="1" t="s">
        <v>9058</v>
      </c>
    </row>
    <row r="1113" spans="8:15" x14ac:dyDescent="0.25">
      <c r="H1113" s="1">
        <v>1435127</v>
      </c>
      <c r="I1113" s="4">
        <v>46330.625</v>
      </c>
      <c r="J1113" s="1" t="s">
        <v>32</v>
      </c>
      <c r="K1113" s="1" t="s">
        <v>65</v>
      </c>
      <c r="L1113" s="1" t="s">
        <v>4922</v>
      </c>
      <c r="M1113" s="1" t="s">
        <v>5984</v>
      </c>
      <c r="N1113" s="1" t="s">
        <v>5945</v>
      </c>
      <c r="O1113" s="1" t="s">
        <v>9059</v>
      </c>
    </row>
    <row r="1114" spans="8:15" x14ac:dyDescent="0.25">
      <c r="H1114" s="1">
        <v>1435489</v>
      </c>
      <c r="I1114" s="4">
        <v>46330.625</v>
      </c>
      <c r="J1114" s="1" t="s">
        <v>32</v>
      </c>
      <c r="K1114" s="1" t="s">
        <v>65</v>
      </c>
      <c r="L1114" s="1" t="s">
        <v>5947</v>
      </c>
      <c r="M1114" s="1" t="s">
        <v>5957</v>
      </c>
      <c r="N1114" s="1" t="s">
        <v>5949</v>
      </c>
      <c r="O1114" s="1" t="s">
        <v>9060</v>
      </c>
    </row>
    <row r="1115" spans="8:15" x14ac:dyDescent="0.25">
      <c r="H1115" s="1">
        <v>1435490</v>
      </c>
      <c r="I1115" s="4">
        <v>46330.625</v>
      </c>
      <c r="J1115" s="1" t="s">
        <v>32</v>
      </c>
      <c r="K1115" s="1" t="s">
        <v>65</v>
      </c>
      <c r="L1115" s="1" t="s">
        <v>5947</v>
      </c>
      <c r="M1115" s="1" t="s">
        <v>5963</v>
      </c>
      <c r="N1115" s="1" t="s">
        <v>5979</v>
      </c>
      <c r="O1115" s="1" t="s">
        <v>9061</v>
      </c>
    </row>
    <row r="1116" spans="8:15" x14ac:dyDescent="0.25">
      <c r="H1116" s="1">
        <v>1435491</v>
      </c>
      <c r="I1116" s="4">
        <v>46330.625</v>
      </c>
      <c r="J1116" s="1" t="s">
        <v>32</v>
      </c>
      <c r="K1116" s="1" t="s">
        <v>65</v>
      </c>
      <c r="L1116" s="1" t="s">
        <v>5947</v>
      </c>
      <c r="M1116" s="1" t="s">
        <v>5960</v>
      </c>
      <c r="N1116" s="1" t="s">
        <v>5952</v>
      </c>
      <c r="O1116" s="1" t="s">
        <v>9062</v>
      </c>
    </row>
    <row r="1117" spans="8:15" x14ac:dyDescent="0.25">
      <c r="H1117" s="1">
        <v>1435492</v>
      </c>
      <c r="I1117" s="4">
        <v>46330.625</v>
      </c>
      <c r="J1117" s="1" t="s">
        <v>32</v>
      </c>
      <c r="K1117" s="1" t="s">
        <v>65</v>
      </c>
      <c r="L1117" s="1" t="s">
        <v>5947</v>
      </c>
      <c r="M1117" s="1" t="s">
        <v>5954</v>
      </c>
      <c r="N1117" s="1" t="s">
        <v>5964</v>
      </c>
      <c r="O1117" s="1" t="s">
        <v>9063</v>
      </c>
    </row>
    <row r="1118" spans="8:15" x14ac:dyDescent="0.25">
      <c r="H1118" s="1">
        <v>1435493</v>
      </c>
      <c r="I1118" s="4">
        <v>46330.625</v>
      </c>
      <c r="J1118" s="1" t="s">
        <v>32</v>
      </c>
      <c r="K1118" s="1" t="s">
        <v>65</v>
      </c>
      <c r="L1118" s="1" t="s">
        <v>5947</v>
      </c>
      <c r="M1118" s="1" t="s">
        <v>5975</v>
      </c>
      <c r="N1118" s="1" t="s">
        <v>5955</v>
      </c>
      <c r="O1118" s="1" t="s">
        <v>9064</v>
      </c>
    </row>
    <row r="1119" spans="8:15" x14ac:dyDescent="0.25">
      <c r="H1119" s="1">
        <v>1435494</v>
      </c>
      <c r="I1119" s="4">
        <v>46330.625</v>
      </c>
      <c r="J1119" s="1" t="s">
        <v>32</v>
      </c>
      <c r="K1119" s="1" t="s">
        <v>65</v>
      </c>
      <c r="L1119" s="1" t="s">
        <v>5947</v>
      </c>
      <c r="M1119" s="1" t="s">
        <v>5948</v>
      </c>
      <c r="N1119" s="1" t="s">
        <v>5958</v>
      </c>
      <c r="O1119" s="1" t="s">
        <v>9065</v>
      </c>
    </row>
    <row r="1120" spans="8:15" x14ac:dyDescent="0.25">
      <c r="H1120" s="1">
        <v>1435495</v>
      </c>
      <c r="I1120" s="4">
        <v>46330.625</v>
      </c>
      <c r="J1120" s="1" t="s">
        <v>32</v>
      </c>
      <c r="K1120" s="1" t="s">
        <v>65</v>
      </c>
      <c r="L1120" s="1" t="s">
        <v>5947</v>
      </c>
      <c r="M1120" s="1" t="s">
        <v>5969</v>
      </c>
      <c r="N1120" s="1" t="s">
        <v>5961</v>
      </c>
      <c r="O1120" s="1" t="s">
        <v>9066</v>
      </c>
    </row>
    <row r="1121" spans="8:15" x14ac:dyDescent="0.25">
      <c r="H1121" s="1">
        <v>1435496</v>
      </c>
      <c r="I1121" s="4">
        <v>46330.625</v>
      </c>
      <c r="J1121" s="1" t="s">
        <v>32</v>
      </c>
      <c r="K1121" s="1" t="s">
        <v>65</v>
      </c>
      <c r="L1121" s="1" t="s">
        <v>5947</v>
      </c>
      <c r="M1121" s="1" t="s">
        <v>5972</v>
      </c>
      <c r="N1121" s="1" t="s">
        <v>5967</v>
      </c>
      <c r="O1121" s="1" t="s">
        <v>9067</v>
      </c>
    </row>
    <row r="1122" spans="8:15" x14ac:dyDescent="0.25">
      <c r="H1122" s="1">
        <v>1435497</v>
      </c>
      <c r="I1122" s="4">
        <v>46330.625</v>
      </c>
      <c r="J1122" s="1" t="s">
        <v>32</v>
      </c>
      <c r="K1122" s="1" t="s">
        <v>65</v>
      </c>
      <c r="L1122" s="1" t="s">
        <v>5947</v>
      </c>
      <c r="M1122" s="1" t="s">
        <v>5966</v>
      </c>
      <c r="N1122" s="1" t="s">
        <v>5973</v>
      </c>
      <c r="O1122" s="1" t="s">
        <v>9068</v>
      </c>
    </row>
    <row r="1123" spans="8:15" x14ac:dyDescent="0.25">
      <c r="H1123" s="1">
        <v>1435542</v>
      </c>
      <c r="I1123" s="4">
        <v>46330.625</v>
      </c>
      <c r="J1123" s="1" t="s">
        <v>32</v>
      </c>
      <c r="K1123" s="1" t="s">
        <v>65</v>
      </c>
      <c r="L1123" s="1" t="s">
        <v>5947</v>
      </c>
      <c r="M1123" s="1" t="s">
        <v>5951</v>
      </c>
      <c r="N1123" s="1" t="s">
        <v>5976</v>
      </c>
      <c r="O1123" s="1" t="s">
        <v>9069</v>
      </c>
    </row>
    <row r="1124" spans="8:15" x14ac:dyDescent="0.25">
      <c r="H1124" s="1">
        <v>1444522</v>
      </c>
      <c r="I1124" s="4">
        <v>46330.625</v>
      </c>
      <c r="J1124" s="1" t="s">
        <v>32</v>
      </c>
      <c r="K1124" s="1" t="s">
        <v>65</v>
      </c>
      <c r="L1124" s="1" t="s">
        <v>5947</v>
      </c>
      <c r="M1124" s="1" t="s">
        <v>5978</v>
      </c>
      <c r="N1124" s="1" t="s">
        <v>5970</v>
      </c>
      <c r="O1124" s="1" t="s">
        <v>9070</v>
      </c>
    </row>
    <row r="1125" spans="8:15" x14ac:dyDescent="0.25">
      <c r="H1125" s="1">
        <v>1444479</v>
      </c>
      <c r="I1125" s="4">
        <v>46330.625</v>
      </c>
      <c r="J1125" s="1" t="s">
        <v>32</v>
      </c>
      <c r="K1125" s="1" t="s">
        <v>65</v>
      </c>
      <c r="L1125" s="1" t="s">
        <v>4922</v>
      </c>
      <c r="M1125" s="1" t="s">
        <v>5551</v>
      </c>
      <c r="N1125" s="1" t="s">
        <v>5941</v>
      </c>
      <c r="O1125" s="1" t="s">
        <v>9071</v>
      </c>
    </row>
    <row r="1126" spans="8:15" x14ac:dyDescent="0.25">
      <c r="H1126" s="1">
        <v>1435128</v>
      </c>
      <c r="I1126" s="4">
        <v>46330.625</v>
      </c>
      <c r="J1126" s="1" t="s">
        <v>32</v>
      </c>
      <c r="K1126" s="1" t="s">
        <v>65</v>
      </c>
      <c r="L1126" s="1" t="s">
        <v>4922</v>
      </c>
      <c r="M1126" s="1" t="s">
        <v>5985</v>
      </c>
      <c r="N1126" s="1" t="s">
        <v>5942</v>
      </c>
      <c r="O1126" s="1" t="s">
        <v>9072</v>
      </c>
    </row>
    <row r="1127" spans="8:15" x14ac:dyDescent="0.25">
      <c r="H1127" s="1">
        <v>1435129</v>
      </c>
      <c r="I1127" s="4">
        <v>46330.625</v>
      </c>
      <c r="J1127" s="1" t="s">
        <v>32</v>
      </c>
      <c r="K1127" s="1" t="s">
        <v>65</v>
      </c>
      <c r="L1127" s="1" t="s">
        <v>4922</v>
      </c>
      <c r="M1127" s="1" t="s">
        <v>5944</v>
      </c>
      <c r="N1127" s="1" t="s">
        <v>5994</v>
      </c>
      <c r="O1127" s="1" t="s">
        <v>9073</v>
      </c>
    </row>
    <row r="1128" spans="8:15" x14ac:dyDescent="0.25">
      <c r="H1128" s="1">
        <v>1435130</v>
      </c>
      <c r="I1128" s="4">
        <v>46330.625</v>
      </c>
      <c r="J1128" s="1" t="s">
        <v>32</v>
      </c>
      <c r="K1128" s="1" t="s">
        <v>65</v>
      </c>
      <c r="L1128" s="1" t="s">
        <v>4922</v>
      </c>
      <c r="M1128" s="1" t="s">
        <v>5987</v>
      </c>
      <c r="N1128" s="1" t="s">
        <v>4926</v>
      </c>
      <c r="O1128" s="1" t="s">
        <v>9074</v>
      </c>
    </row>
    <row r="1129" spans="8:15" x14ac:dyDescent="0.25">
      <c r="H1129" s="1">
        <v>1435131</v>
      </c>
      <c r="I1129" s="4">
        <v>46330.625</v>
      </c>
      <c r="J1129" s="1" t="s">
        <v>32</v>
      </c>
      <c r="K1129" s="1" t="s">
        <v>65</v>
      </c>
      <c r="L1129" s="1" t="s">
        <v>4922</v>
      </c>
      <c r="M1129" s="1" t="s">
        <v>4924</v>
      </c>
      <c r="N1129" s="1" t="s">
        <v>5552</v>
      </c>
      <c r="O1129" s="1" t="s">
        <v>9075</v>
      </c>
    </row>
    <row r="1130" spans="8:15" x14ac:dyDescent="0.25">
      <c r="H1130" s="1">
        <v>1435132</v>
      </c>
      <c r="I1130" s="4">
        <v>46330.625</v>
      </c>
      <c r="J1130" s="1" t="s">
        <v>32</v>
      </c>
      <c r="K1130" s="1" t="s">
        <v>65</v>
      </c>
      <c r="L1130" s="1" t="s">
        <v>4922</v>
      </c>
      <c r="M1130" s="1" t="s">
        <v>5981</v>
      </c>
      <c r="N1130" s="1" t="s">
        <v>5990</v>
      </c>
      <c r="O1130" s="1" t="s">
        <v>9076</v>
      </c>
    </row>
    <row r="1131" spans="8:15" x14ac:dyDescent="0.25">
      <c r="H1131" s="1">
        <v>1435133</v>
      </c>
      <c r="I1131" s="4">
        <v>46330.625</v>
      </c>
      <c r="J1131" s="1" t="s">
        <v>32</v>
      </c>
      <c r="K1131" s="1" t="s">
        <v>65</v>
      </c>
      <c r="L1131" s="1" t="s">
        <v>4922</v>
      </c>
      <c r="M1131" s="1" t="s">
        <v>5996</v>
      </c>
      <c r="N1131" s="1" t="s">
        <v>5993</v>
      </c>
      <c r="O1131" s="1" t="s">
        <v>9077</v>
      </c>
    </row>
    <row r="1132" spans="8:15" x14ac:dyDescent="0.25">
      <c r="H1132" s="1">
        <v>1435134</v>
      </c>
      <c r="I1132" s="4">
        <v>46330.625</v>
      </c>
      <c r="J1132" s="1" t="s">
        <v>32</v>
      </c>
      <c r="K1132" s="1" t="s">
        <v>65</v>
      </c>
      <c r="L1132" s="1" t="s">
        <v>4922</v>
      </c>
      <c r="M1132" s="1" t="s">
        <v>4923</v>
      </c>
      <c r="N1132" s="1" t="s">
        <v>5991</v>
      </c>
      <c r="O1132" s="1" t="s">
        <v>9078</v>
      </c>
    </row>
    <row r="1133" spans="8:15" x14ac:dyDescent="0.25">
      <c r="H1133" s="1">
        <v>1391122</v>
      </c>
      <c r="I1133" s="4">
        <v>46330.635416666664</v>
      </c>
      <c r="J1133" s="1" t="s">
        <v>32</v>
      </c>
      <c r="K1133" s="1" t="s">
        <v>40</v>
      </c>
      <c r="L1133" s="1" t="s">
        <v>74</v>
      </c>
      <c r="M1133" s="1" t="s">
        <v>1359</v>
      </c>
      <c r="N1133" s="1" t="s">
        <v>2338</v>
      </c>
      <c r="O1133" s="1" t="s">
        <v>9080</v>
      </c>
    </row>
    <row r="1134" spans="8:15" x14ac:dyDescent="0.25">
      <c r="H1134" s="1">
        <v>1392142</v>
      </c>
      <c r="I1134" s="4">
        <v>46330.635416666664</v>
      </c>
      <c r="J1134" s="1" t="s">
        <v>32</v>
      </c>
      <c r="K1134" s="1" t="s">
        <v>40</v>
      </c>
      <c r="L1134" s="1" t="s">
        <v>75</v>
      </c>
      <c r="M1134" s="1" t="s">
        <v>9081</v>
      </c>
      <c r="N1134" s="1" t="s">
        <v>427</v>
      </c>
      <c r="O1134" s="1" t="s">
        <v>9082</v>
      </c>
    </row>
    <row r="1135" spans="8:15" x14ac:dyDescent="0.25">
      <c r="H1135" s="1">
        <v>1392146</v>
      </c>
      <c r="I1135" s="4">
        <v>46330.635416666664</v>
      </c>
      <c r="J1135" s="1" t="s">
        <v>32</v>
      </c>
      <c r="K1135" s="1" t="s">
        <v>40</v>
      </c>
      <c r="L1135" s="1" t="s">
        <v>75</v>
      </c>
      <c r="M1135" s="1" t="s">
        <v>428</v>
      </c>
      <c r="N1135" s="1" t="s">
        <v>6004</v>
      </c>
      <c r="O1135" s="1" t="s">
        <v>9083</v>
      </c>
    </row>
    <row r="1136" spans="8:15" x14ac:dyDescent="0.25">
      <c r="H1136" s="1">
        <v>1431446</v>
      </c>
      <c r="I1136" s="4">
        <v>46330.635416666664</v>
      </c>
      <c r="J1136" s="1" t="s">
        <v>32</v>
      </c>
      <c r="K1136" s="1" t="s">
        <v>40</v>
      </c>
      <c r="L1136" s="1" t="s">
        <v>349</v>
      </c>
      <c r="M1136" s="1" t="s">
        <v>1913</v>
      </c>
      <c r="N1136" s="1" t="s">
        <v>1035</v>
      </c>
      <c r="O1136" s="1" t="s">
        <v>9084</v>
      </c>
    </row>
    <row r="1137" spans="8:15" x14ac:dyDescent="0.25">
      <c r="H1137" s="1">
        <v>1431824</v>
      </c>
      <c r="I1137" s="4">
        <v>46330.635416666664</v>
      </c>
      <c r="J1137" s="1" t="s">
        <v>32</v>
      </c>
      <c r="K1137" s="1" t="s">
        <v>40</v>
      </c>
      <c r="L1137" s="1" t="s">
        <v>340</v>
      </c>
      <c r="M1137" s="1" t="s">
        <v>9085</v>
      </c>
      <c r="N1137" s="1" t="s">
        <v>1036</v>
      </c>
      <c r="O1137" s="1" t="s">
        <v>9086</v>
      </c>
    </row>
    <row r="1138" spans="8:15" x14ac:dyDescent="0.25">
      <c r="H1138" s="1">
        <v>1431825</v>
      </c>
      <c r="I1138" s="4">
        <v>46330.635416666664</v>
      </c>
      <c r="J1138" s="1" t="s">
        <v>32</v>
      </c>
      <c r="K1138" s="1" t="s">
        <v>40</v>
      </c>
      <c r="L1138" s="1" t="s">
        <v>340</v>
      </c>
      <c r="M1138" s="1" t="s">
        <v>2249</v>
      </c>
      <c r="N1138" s="1" t="s">
        <v>9087</v>
      </c>
      <c r="O1138" s="1" t="s">
        <v>9088</v>
      </c>
    </row>
    <row r="1139" spans="8:15" x14ac:dyDescent="0.25">
      <c r="H1139" s="1">
        <v>1531521</v>
      </c>
      <c r="I1139" s="4">
        <v>46330.635416666664</v>
      </c>
      <c r="J1139" s="1" t="s">
        <v>32</v>
      </c>
      <c r="K1139" s="1" t="s">
        <v>95</v>
      </c>
      <c r="L1139" s="1" t="s">
        <v>96</v>
      </c>
      <c r="M1139" s="1" t="s">
        <v>9089</v>
      </c>
      <c r="N1139" s="1" t="s">
        <v>9090</v>
      </c>
      <c r="O1139" s="1" t="s">
        <v>9091</v>
      </c>
    </row>
    <row r="1140" spans="8:15" x14ac:dyDescent="0.25">
      <c r="H1140" s="1">
        <v>1530940</v>
      </c>
      <c r="I1140" s="4">
        <v>46330.638888888891</v>
      </c>
      <c r="J1140" s="1" t="s">
        <v>32</v>
      </c>
      <c r="K1140" s="1" t="s">
        <v>9093</v>
      </c>
      <c r="L1140" s="1" t="s">
        <v>9094</v>
      </c>
      <c r="M1140" s="1" t="s">
        <v>9095</v>
      </c>
      <c r="N1140" s="1" t="s">
        <v>9096</v>
      </c>
      <c r="O1140" s="1" t="s">
        <v>9097</v>
      </c>
    </row>
    <row r="1141" spans="8:15" x14ac:dyDescent="0.25">
      <c r="H1141" s="1">
        <v>1381135</v>
      </c>
      <c r="I1141" s="4">
        <v>46330.645833333336</v>
      </c>
      <c r="J1141" s="1" t="s">
        <v>32</v>
      </c>
      <c r="K1141" s="1" t="s">
        <v>58</v>
      </c>
      <c r="L1141" s="1" t="s">
        <v>59</v>
      </c>
      <c r="M1141" s="1" t="s">
        <v>9099</v>
      </c>
      <c r="N1141" s="1" t="s">
        <v>1523</v>
      </c>
      <c r="O1141" s="1" t="s">
        <v>9100</v>
      </c>
    </row>
    <row r="1142" spans="8:15" x14ac:dyDescent="0.25">
      <c r="H1142" s="1">
        <v>1382268</v>
      </c>
      <c r="I1142" s="4">
        <v>46330.645833333336</v>
      </c>
      <c r="J1142" s="1" t="s">
        <v>32</v>
      </c>
      <c r="K1142" s="1" t="s">
        <v>58</v>
      </c>
      <c r="L1142" s="1" t="s">
        <v>88</v>
      </c>
      <c r="M1142" s="1" t="s">
        <v>9101</v>
      </c>
      <c r="N1142" s="1" t="s">
        <v>1184</v>
      </c>
      <c r="O1142" s="1" t="s">
        <v>9102</v>
      </c>
    </row>
    <row r="1143" spans="8:15" x14ac:dyDescent="0.25">
      <c r="H1143" s="1">
        <v>1388247</v>
      </c>
      <c r="I1143" s="4">
        <v>46330.645833333336</v>
      </c>
      <c r="J1143" s="1" t="s">
        <v>32</v>
      </c>
      <c r="K1143" s="1" t="s">
        <v>267</v>
      </c>
      <c r="L1143" s="1" t="s">
        <v>402</v>
      </c>
      <c r="M1143" s="1" t="s">
        <v>1797</v>
      </c>
      <c r="N1143" s="1" t="s">
        <v>1618</v>
      </c>
      <c r="O1143" s="1" t="s">
        <v>9103</v>
      </c>
    </row>
    <row r="1144" spans="8:15" x14ac:dyDescent="0.25">
      <c r="H1144" s="1">
        <v>1394375</v>
      </c>
      <c r="I1144" s="4">
        <v>46330.645833333336</v>
      </c>
      <c r="J1144" s="1" t="s">
        <v>32</v>
      </c>
      <c r="K1144" s="1" t="s">
        <v>43</v>
      </c>
      <c r="L1144" s="1" t="s">
        <v>339</v>
      </c>
      <c r="M1144" s="1" t="s">
        <v>9104</v>
      </c>
      <c r="N1144" s="1" t="s">
        <v>3672</v>
      </c>
      <c r="O1144" s="1" t="s">
        <v>9105</v>
      </c>
    </row>
    <row r="1145" spans="8:15" x14ac:dyDescent="0.25">
      <c r="H1145" s="1">
        <v>1396489</v>
      </c>
      <c r="I1145" s="4">
        <v>46330.645833333336</v>
      </c>
      <c r="J1145" s="1" t="s">
        <v>32</v>
      </c>
      <c r="K1145" s="1" t="s">
        <v>53</v>
      </c>
      <c r="L1145" s="1" t="s">
        <v>99</v>
      </c>
      <c r="M1145" s="1" t="s">
        <v>6961</v>
      </c>
      <c r="N1145" s="1" t="s">
        <v>558</v>
      </c>
      <c r="O1145" s="1" t="s">
        <v>9106</v>
      </c>
    </row>
    <row r="1146" spans="8:15" x14ac:dyDescent="0.25">
      <c r="H1146" s="1">
        <v>1411293</v>
      </c>
      <c r="I1146" s="4">
        <v>46330.645833333336</v>
      </c>
      <c r="J1146" s="1" t="s">
        <v>32</v>
      </c>
      <c r="K1146" s="1" t="s">
        <v>51</v>
      </c>
      <c r="L1146" s="1" t="s">
        <v>581</v>
      </c>
      <c r="M1146" s="1" t="s">
        <v>9107</v>
      </c>
      <c r="N1146" s="1" t="s">
        <v>3838</v>
      </c>
      <c r="O1146" s="1" t="s">
        <v>9108</v>
      </c>
    </row>
    <row r="1147" spans="8:15" x14ac:dyDescent="0.25">
      <c r="H1147" s="1">
        <v>1449413</v>
      </c>
      <c r="I1147" s="4">
        <v>46330.645833333336</v>
      </c>
      <c r="J1147" s="1" t="s">
        <v>32</v>
      </c>
      <c r="K1147" s="1" t="s">
        <v>64</v>
      </c>
      <c r="L1147" s="1" t="s">
        <v>9109</v>
      </c>
      <c r="M1147" s="1" t="s">
        <v>9110</v>
      </c>
      <c r="N1147" s="1" t="s">
        <v>9111</v>
      </c>
      <c r="O1147" s="1" t="s">
        <v>9112</v>
      </c>
    </row>
    <row r="1148" spans="8:15" x14ac:dyDescent="0.25">
      <c r="H1148" s="1">
        <v>1449414</v>
      </c>
      <c r="I1148" s="4">
        <v>46330.645833333336</v>
      </c>
      <c r="J1148" s="1" t="s">
        <v>32</v>
      </c>
      <c r="K1148" s="1" t="s">
        <v>64</v>
      </c>
      <c r="L1148" s="1" t="s">
        <v>9109</v>
      </c>
      <c r="M1148" s="1" t="s">
        <v>9113</v>
      </c>
      <c r="N1148" s="1" t="s">
        <v>9114</v>
      </c>
      <c r="O1148" s="1" t="s">
        <v>9115</v>
      </c>
    </row>
    <row r="1149" spans="8:15" x14ac:dyDescent="0.25">
      <c r="H1149" s="1">
        <v>1449416</v>
      </c>
      <c r="I1149" s="4">
        <v>46330.645833333336</v>
      </c>
      <c r="J1149" s="1" t="s">
        <v>32</v>
      </c>
      <c r="K1149" s="1" t="s">
        <v>64</v>
      </c>
      <c r="L1149" s="1" t="s">
        <v>9109</v>
      </c>
      <c r="M1149" s="1" t="s">
        <v>9116</v>
      </c>
      <c r="N1149" s="1" t="s">
        <v>9117</v>
      </c>
      <c r="O1149" s="1" t="s">
        <v>9118</v>
      </c>
    </row>
    <row r="1150" spans="8:15" x14ac:dyDescent="0.25">
      <c r="H1150" s="1">
        <v>1459081</v>
      </c>
      <c r="I1150" s="4">
        <v>46330.645833333336</v>
      </c>
      <c r="J1150" s="1" t="s">
        <v>32</v>
      </c>
      <c r="K1150" s="1" t="s">
        <v>40</v>
      </c>
      <c r="L1150" s="1" t="s">
        <v>639</v>
      </c>
      <c r="M1150" s="1" t="s">
        <v>9119</v>
      </c>
      <c r="N1150" s="1" t="s">
        <v>9120</v>
      </c>
      <c r="O1150" s="1" t="s">
        <v>9121</v>
      </c>
    </row>
    <row r="1151" spans="8:15" x14ac:dyDescent="0.25">
      <c r="H1151" s="1">
        <v>1462506</v>
      </c>
      <c r="I1151" s="4">
        <v>46330.645833333336</v>
      </c>
      <c r="J1151" s="1" t="s">
        <v>32</v>
      </c>
      <c r="K1151" s="1" t="s">
        <v>40</v>
      </c>
      <c r="L1151" s="1" t="s">
        <v>650</v>
      </c>
      <c r="M1151" s="1" t="s">
        <v>5695</v>
      </c>
      <c r="N1151" s="1" t="s">
        <v>9122</v>
      </c>
      <c r="O1151" s="1" t="s">
        <v>9123</v>
      </c>
    </row>
    <row r="1152" spans="8:15" x14ac:dyDescent="0.25">
      <c r="H1152" s="1">
        <v>1462509</v>
      </c>
      <c r="I1152" s="4">
        <v>46330.645833333336</v>
      </c>
      <c r="J1152" s="1" t="s">
        <v>32</v>
      </c>
      <c r="K1152" s="1" t="s">
        <v>40</v>
      </c>
      <c r="L1152" s="1" t="s">
        <v>650</v>
      </c>
      <c r="M1152" s="1" t="s">
        <v>6048</v>
      </c>
      <c r="N1152" s="1" t="s">
        <v>9124</v>
      </c>
      <c r="O1152" s="1" t="s">
        <v>9125</v>
      </c>
    </row>
    <row r="1153" spans="8:15" x14ac:dyDescent="0.25">
      <c r="H1153" s="1">
        <v>1463879</v>
      </c>
      <c r="I1153" s="4">
        <v>46330.645833333336</v>
      </c>
      <c r="J1153" s="1" t="s">
        <v>32</v>
      </c>
      <c r="K1153" s="1" t="s">
        <v>332</v>
      </c>
      <c r="L1153" s="1" t="s">
        <v>4971</v>
      </c>
      <c r="M1153" s="1" t="s">
        <v>4994</v>
      </c>
      <c r="N1153" s="1" t="s">
        <v>4972</v>
      </c>
      <c r="O1153" s="1" t="s">
        <v>9126</v>
      </c>
    </row>
    <row r="1154" spans="8:15" x14ac:dyDescent="0.25">
      <c r="H1154" s="1">
        <v>1463880</v>
      </c>
      <c r="I1154" s="4">
        <v>46330.645833333336</v>
      </c>
      <c r="J1154" s="1" t="s">
        <v>32</v>
      </c>
      <c r="K1154" s="1" t="s">
        <v>332</v>
      </c>
      <c r="L1154" s="1" t="s">
        <v>4971</v>
      </c>
      <c r="M1154" s="1" t="s">
        <v>4988</v>
      </c>
      <c r="N1154" s="1" t="s">
        <v>4975</v>
      </c>
      <c r="O1154" s="1" t="s">
        <v>9127</v>
      </c>
    </row>
    <row r="1155" spans="8:15" x14ac:dyDescent="0.25">
      <c r="H1155" s="1">
        <v>1463881</v>
      </c>
      <c r="I1155" s="4">
        <v>46330.645833333336</v>
      </c>
      <c r="J1155" s="1" t="s">
        <v>32</v>
      </c>
      <c r="K1155" s="1" t="s">
        <v>332</v>
      </c>
      <c r="L1155" s="1" t="s">
        <v>4971</v>
      </c>
      <c r="M1155" s="1" t="s">
        <v>4991</v>
      </c>
      <c r="N1155" s="1" t="s">
        <v>4982</v>
      </c>
      <c r="O1155" s="1" t="s">
        <v>9128</v>
      </c>
    </row>
    <row r="1156" spans="8:15" x14ac:dyDescent="0.25">
      <c r="H1156" s="1">
        <v>1463882</v>
      </c>
      <c r="I1156" s="4">
        <v>46330.645833333336</v>
      </c>
      <c r="J1156" s="1" t="s">
        <v>32</v>
      </c>
      <c r="K1156" s="1" t="s">
        <v>332</v>
      </c>
      <c r="L1156" s="1" t="s">
        <v>4971</v>
      </c>
      <c r="M1156" s="1" t="s">
        <v>4993</v>
      </c>
      <c r="N1156" s="1" t="s">
        <v>4984</v>
      </c>
      <c r="O1156" s="1" t="s">
        <v>9129</v>
      </c>
    </row>
    <row r="1157" spans="8:15" x14ac:dyDescent="0.25">
      <c r="H1157" s="1">
        <v>1463883</v>
      </c>
      <c r="I1157" s="4">
        <v>46330.645833333336</v>
      </c>
      <c r="J1157" s="1" t="s">
        <v>32</v>
      </c>
      <c r="K1157" s="1" t="s">
        <v>332</v>
      </c>
      <c r="L1157" s="1" t="s">
        <v>4971</v>
      </c>
      <c r="M1157" s="1" t="s">
        <v>4973</v>
      </c>
      <c r="N1157" s="1" t="s">
        <v>4981</v>
      </c>
      <c r="O1157" s="1" t="s">
        <v>9130</v>
      </c>
    </row>
    <row r="1158" spans="8:15" x14ac:dyDescent="0.25">
      <c r="H1158" s="1">
        <v>1463884</v>
      </c>
      <c r="I1158" s="4">
        <v>46330.645833333336</v>
      </c>
      <c r="J1158" s="1" t="s">
        <v>32</v>
      </c>
      <c r="K1158" s="1" t="s">
        <v>332</v>
      </c>
      <c r="L1158" s="1" t="s">
        <v>4971</v>
      </c>
      <c r="M1158" s="1" t="s">
        <v>4976</v>
      </c>
      <c r="N1158" s="1" t="s">
        <v>4978</v>
      </c>
      <c r="O1158" s="1" t="s">
        <v>9131</v>
      </c>
    </row>
    <row r="1159" spans="8:15" x14ac:dyDescent="0.25">
      <c r="H1159" s="1">
        <v>1463885</v>
      </c>
      <c r="I1159" s="4">
        <v>46330.645833333336</v>
      </c>
      <c r="J1159" s="1" t="s">
        <v>32</v>
      </c>
      <c r="K1159" s="1" t="s">
        <v>332</v>
      </c>
      <c r="L1159" s="1" t="s">
        <v>4971</v>
      </c>
      <c r="M1159" s="1" t="s">
        <v>4985</v>
      </c>
      <c r="N1159" s="1" t="s">
        <v>4990</v>
      </c>
      <c r="O1159" s="1" t="s">
        <v>9132</v>
      </c>
    </row>
    <row r="1160" spans="8:15" x14ac:dyDescent="0.25">
      <c r="H1160" s="1">
        <v>1463886</v>
      </c>
      <c r="I1160" s="4">
        <v>46330.645833333336</v>
      </c>
      <c r="J1160" s="1" t="s">
        <v>32</v>
      </c>
      <c r="K1160" s="1" t="s">
        <v>332</v>
      </c>
      <c r="L1160" s="1" t="s">
        <v>4971</v>
      </c>
      <c r="M1160" s="1" t="s">
        <v>4979</v>
      </c>
      <c r="N1160" s="1" t="s">
        <v>4987</v>
      </c>
      <c r="O1160" s="1" t="s">
        <v>9133</v>
      </c>
    </row>
    <row r="1161" spans="8:15" x14ac:dyDescent="0.25">
      <c r="H1161" s="1">
        <v>1471742</v>
      </c>
      <c r="I1161" s="4">
        <v>46330.645833333336</v>
      </c>
      <c r="J1161" s="1" t="s">
        <v>32</v>
      </c>
      <c r="K1161" s="1" t="s">
        <v>329</v>
      </c>
      <c r="L1161" s="1" t="s">
        <v>330</v>
      </c>
      <c r="M1161" s="1" t="s">
        <v>4996</v>
      </c>
      <c r="N1161" s="1" t="s">
        <v>636</v>
      </c>
      <c r="O1161" s="1" t="s">
        <v>9134</v>
      </c>
    </row>
    <row r="1162" spans="8:15" x14ac:dyDescent="0.25">
      <c r="H1162" s="1">
        <v>1474857</v>
      </c>
      <c r="I1162" s="4">
        <v>46330.645833333336</v>
      </c>
      <c r="J1162" s="1" t="s">
        <v>32</v>
      </c>
      <c r="K1162" s="1" t="s">
        <v>267</v>
      </c>
      <c r="L1162" s="1" t="s">
        <v>632</v>
      </c>
      <c r="M1162" s="1" t="s">
        <v>4710</v>
      </c>
      <c r="N1162" s="1" t="s">
        <v>6454</v>
      </c>
      <c r="O1162" s="1" t="s">
        <v>9135</v>
      </c>
    </row>
    <row r="1163" spans="8:15" x14ac:dyDescent="0.25">
      <c r="H1163" s="1">
        <v>1474858</v>
      </c>
      <c r="I1163" s="4">
        <v>46330.645833333336</v>
      </c>
      <c r="J1163" s="1" t="s">
        <v>32</v>
      </c>
      <c r="K1163" s="1" t="s">
        <v>267</v>
      </c>
      <c r="L1163" s="1" t="s">
        <v>632</v>
      </c>
      <c r="M1163" s="1" t="s">
        <v>3459</v>
      </c>
      <c r="N1163" s="1" t="s">
        <v>4712</v>
      </c>
      <c r="O1163" s="1" t="s">
        <v>9136</v>
      </c>
    </row>
    <row r="1164" spans="8:15" x14ac:dyDescent="0.25">
      <c r="H1164" s="1">
        <v>1474862</v>
      </c>
      <c r="I1164" s="4">
        <v>46330.645833333336</v>
      </c>
      <c r="J1164" s="1" t="s">
        <v>32</v>
      </c>
      <c r="K1164" s="1" t="s">
        <v>267</v>
      </c>
      <c r="L1164" s="1" t="s">
        <v>632</v>
      </c>
      <c r="M1164" s="1" t="s">
        <v>4713</v>
      </c>
      <c r="N1164" s="1" t="s">
        <v>6453</v>
      </c>
      <c r="O1164" s="1" t="s">
        <v>9137</v>
      </c>
    </row>
    <row r="1165" spans="8:15" x14ac:dyDescent="0.25">
      <c r="H1165" s="1">
        <v>1474863</v>
      </c>
      <c r="I1165" s="4">
        <v>46330.645833333336</v>
      </c>
      <c r="J1165" s="1" t="s">
        <v>32</v>
      </c>
      <c r="K1165" s="1" t="s">
        <v>267</v>
      </c>
      <c r="L1165" s="1" t="s">
        <v>632</v>
      </c>
      <c r="M1165" s="1" t="s">
        <v>5797</v>
      </c>
      <c r="N1165" s="1" t="s">
        <v>9138</v>
      </c>
      <c r="O1165" s="1" t="s">
        <v>9139</v>
      </c>
    </row>
    <row r="1166" spans="8:15" x14ac:dyDescent="0.25">
      <c r="H1166" s="1">
        <v>1475527</v>
      </c>
      <c r="I1166" s="4">
        <v>46330.645833333336</v>
      </c>
      <c r="J1166" s="1" t="s">
        <v>32</v>
      </c>
      <c r="K1166" s="1" t="s">
        <v>326</v>
      </c>
      <c r="L1166" s="1" t="s">
        <v>633</v>
      </c>
      <c r="M1166" s="1" t="s">
        <v>1760</v>
      </c>
      <c r="N1166" s="1" t="s">
        <v>4735</v>
      </c>
      <c r="O1166" s="1" t="s">
        <v>9140</v>
      </c>
    </row>
    <row r="1167" spans="8:15" x14ac:dyDescent="0.25">
      <c r="H1167" s="1">
        <v>1475528</v>
      </c>
      <c r="I1167" s="4">
        <v>46330.645833333336</v>
      </c>
      <c r="J1167" s="1" t="s">
        <v>32</v>
      </c>
      <c r="K1167" s="1" t="s">
        <v>326</v>
      </c>
      <c r="L1167" s="1" t="s">
        <v>633</v>
      </c>
      <c r="M1167" s="1" t="s">
        <v>9141</v>
      </c>
      <c r="N1167" s="1" t="s">
        <v>4734</v>
      </c>
      <c r="O1167" s="1" t="s">
        <v>9142</v>
      </c>
    </row>
    <row r="1168" spans="8:15" x14ac:dyDescent="0.25">
      <c r="H1168" s="1">
        <v>1475529</v>
      </c>
      <c r="I1168" s="4">
        <v>46330.645833333336</v>
      </c>
      <c r="J1168" s="1" t="s">
        <v>32</v>
      </c>
      <c r="K1168" s="1" t="s">
        <v>326</v>
      </c>
      <c r="L1168" s="1" t="s">
        <v>633</v>
      </c>
      <c r="M1168" s="1" t="s">
        <v>4720</v>
      </c>
      <c r="N1168" s="1" t="s">
        <v>4717</v>
      </c>
      <c r="O1168" s="1" t="s">
        <v>9143</v>
      </c>
    </row>
    <row r="1169" spans="8:15" x14ac:dyDescent="0.25">
      <c r="H1169" s="1">
        <v>1475530</v>
      </c>
      <c r="I1169" s="4">
        <v>46330.645833333336</v>
      </c>
      <c r="J1169" s="1" t="s">
        <v>32</v>
      </c>
      <c r="K1169" s="1" t="s">
        <v>326</v>
      </c>
      <c r="L1169" s="1" t="s">
        <v>633</v>
      </c>
      <c r="M1169" s="1" t="s">
        <v>4718</v>
      </c>
      <c r="N1169" s="1" t="s">
        <v>4726</v>
      </c>
      <c r="O1169" s="1" t="s">
        <v>9144</v>
      </c>
    </row>
    <row r="1170" spans="8:15" x14ac:dyDescent="0.25">
      <c r="H1170" s="1">
        <v>1475531</v>
      </c>
      <c r="I1170" s="4">
        <v>46330.645833333336</v>
      </c>
      <c r="J1170" s="1" t="s">
        <v>32</v>
      </c>
      <c r="K1170" s="1" t="s">
        <v>326</v>
      </c>
      <c r="L1170" s="1" t="s">
        <v>633</v>
      </c>
      <c r="M1170" s="1" t="s">
        <v>4729</v>
      </c>
      <c r="N1170" s="1" t="s">
        <v>4723</v>
      </c>
      <c r="O1170" s="1" t="s">
        <v>9145</v>
      </c>
    </row>
    <row r="1171" spans="8:15" x14ac:dyDescent="0.25">
      <c r="H1171" s="1">
        <v>1475532</v>
      </c>
      <c r="I1171" s="4">
        <v>46330.645833333336</v>
      </c>
      <c r="J1171" s="1" t="s">
        <v>32</v>
      </c>
      <c r="K1171" s="1" t="s">
        <v>326</v>
      </c>
      <c r="L1171" s="1" t="s">
        <v>633</v>
      </c>
      <c r="M1171" s="1" t="s">
        <v>4721</v>
      </c>
      <c r="N1171" s="1" t="s">
        <v>1759</v>
      </c>
      <c r="O1171" s="1" t="s">
        <v>9146</v>
      </c>
    </row>
    <row r="1172" spans="8:15" x14ac:dyDescent="0.25">
      <c r="H1172" s="1">
        <v>1475533</v>
      </c>
      <c r="I1172" s="4">
        <v>46330.645833333336</v>
      </c>
      <c r="J1172" s="1" t="s">
        <v>32</v>
      </c>
      <c r="K1172" s="1" t="s">
        <v>326</v>
      </c>
      <c r="L1172" s="1" t="s">
        <v>633</v>
      </c>
      <c r="M1172" s="1" t="s">
        <v>4724</v>
      </c>
      <c r="N1172" s="1" t="s">
        <v>4731</v>
      </c>
      <c r="O1172" s="1" t="s">
        <v>9147</v>
      </c>
    </row>
    <row r="1173" spans="8:15" x14ac:dyDescent="0.25">
      <c r="H1173" s="1">
        <v>1489525</v>
      </c>
      <c r="I1173" s="4">
        <v>46330.645833333336</v>
      </c>
      <c r="J1173" s="1" t="s">
        <v>32</v>
      </c>
      <c r="K1173" s="1" t="s">
        <v>381</v>
      </c>
      <c r="L1173" s="1" t="s">
        <v>573</v>
      </c>
      <c r="M1173" s="1" t="s">
        <v>1587</v>
      </c>
      <c r="N1173" s="1" t="s">
        <v>9148</v>
      </c>
      <c r="O1173" s="1" t="s">
        <v>9149</v>
      </c>
    </row>
    <row r="1174" spans="8:15" x14ac:dyDescent="0.25">
      <c r="H1174" s="1">
        <v>1489530</v>
      </c>
      <c r="I1174" s="4">
        <v>46330.645833333336</v>
      </c>
      <c r="J1174" s="1" t="s">
        <v>32</v>
      </c>
      <c r="K1174" s="1" t="s">
        <v>381</v>
      </c>
      <c r="L1174" s="1" t="s">
        <v>573</v>
      </c>
      <c r="M1174" s="1" t="s">
        <v>4764</v>
      </c>
      <c r="N1174" s="1" t="s">
        <v>1590</v>
      </c>
      <c r="O1174" s="1" t="s">
        <v>9150</v>
      </c>
    </row>
    <row r="1175" spans="8:15" x14ac:dyDescent="0.25">
      <c r="H1175" s="1">
        <v>1489667</v>
      </c>
      <c r="I1175" s="4">
        <v>46330.645833333336</v>
      </c>
      <c r="J1175" s="1" t="s">
        <v>32</v>
      </c>
      <c r="K1175" s="1" t="s">
        <v>381</v>
      </c>
      <c r="L1175" s="1" t="s">
        <v>568</v>
      </c>
      <c r="M1175" s="1" t="s">
        <v>890</v>
      </c>
      <c r="N1175" s="1" t="s">
        <v>2993</v>
      </c>
      <c r="O1175" s="1" t="s">
        <v>9151</v>
      </c>
    </row>
    <row r="1176" spans="8:15" x14ac:dyDescent="0.25">
      <c r="H1176" s="1">
        <v>1489800</v>
      </c>
      <c r="I1176" s="4">
        <v>46330.645833333336</v>
      </c>
      <c r="J1176" s="1" t="s">
        <v>32</v>
      </c>
      <c r="K1176" s="1" t="s">
        <v>381</v>
      </c>
      <c r="L1176" s="1" t="s">
        <v>550</v>
      </c>
      <c r="M1176" s="1" t="s">
        <v>4772</v>
      </c>
      <c r="N1176" s="1" t="s">
        <v>9152</v>
      </c>
      <c r="O1176" s="1" t="s">
        <v>9153</v>
      </c>
    </row>
    <row r="1177" spans="8:15" x14ac:dyDescent="0.25">
      <c r="H1177" s="1">
        <v>1489801</v>
      </c>
      <c r="I1177" s="4">
        <v>46330.645833333336</v>
      </c>
      <c r="J1177" s="1" t="s">
        <v>32</v>
      </c>
      <c r="K1177" s="1" t="s">
        <v>381</v>
      </c>
      <c r="L1177" s="1" t="s">
        <v>550</v>
      </c>
      <c r="M1177" s="1" t="s">
        <v>4768</v>
      </c>
      <c r="N1177" s="1" t="s">
        <v>4770</v>
      </c>
      <c r="O1177" s="1" t="s">
        <v>9154</v>
      </c>
    </row>
    <row r="1178" spans="8:15" x14ac:dyDescent="0.25">
      <c r="H1178" s="1">
        <v>1489803</v>
      </c>
      <c r="I1178" s="4">
        <v>46330.645833333336</v>
      </c>
      <c r="J1178" s="1" t="s">
        <v>32</v>
      </c>
      <c r="K1178" s="1" t="s">
        <v>381</v>
      </c>
      <c r="L1178" s="1" t="s">
        <v>550</v>
      </c>
      <c r="M1178" s="1" t="s">
        <v>1593</v>
      </c>
      <c r="N1178" s="1" t="s">
        <v>3019</v>
      </c>
      <c r="O1178" s="1" t="s">
        <v>9155</v>
      </c>
    </row>
    <row r="1179" spans="8:15" x14ac:dyDescent="0.25">
      <c r="H1179" s="1">
        <v>1489917</v>
      </c>
      <c r="I1179" s="4">
        <v>46330.645833333336</v>
      </c>
      <c r="J1179" s="1" t="s">
        <v>32</v>
      </c>
      <c r="K1179" s="1" t="s">
        <v>381</v>
      </c>
      <c r="L1179" s="1" t="s">
        <v>574</v>
      </c>
      <c r="M1179" s="1" t="s">
        <v>4777</v>
      </c>
      <c r="N1179" s="1" t="s">
        <v>1598</v>
      </c>
      <c r="O1179" s="1" t="s">
        <v>9156</v>
      </c>
    </row>
    <row r="1180" spans="8:15" x14ac:dyDescent="0.25">
      <c r="H1180" s="1">
        <v>1489918</v>
      </c>
      <c r="I1180" s="4">
        <v>46330.645833333336</v>
      </c>
      <c r="J1180" s="1" t="s">
        <v>32</v>
      </c>
      <c r="K1180" s="1" t="s">
        <v>381</v>
      </c>
      <c r="L1180" s="1" t="s">
        <v>574</v>
      </c>
      <c r="M1180" s="1" t="s">
        <v>9157</v>
      </c>
      <c r="N1180" s="1" t="s">
        <v>2999</v>
      </c>
      <c r="O1180" s="1" t="s">
        <v>9158</v>
      </c>
    </row>
    <row r="1181" spans="8:15" x14ac:dyDescent="0.25">
      <c r="H1181" s="1">
        <v>1489920</v>
      </c>
      <c r="I1181" s="4">
        <v>46330.645833333336</v>
      </c>
      <c r="J1181" s="1" t="s">
        <v>32</v>
      </c>
      <c r="K1181" s="1" t="s">
        <v>381</v>
      </c>
      <c r="L1181" s="1" t="s">
        <v>574</v>
      </c>
      <c r="M1181" s="1" t="s">
        <v>1599</v>
      </c>
      <c r="N1181" s="1" t="s">
        <v>9159</v>
      </c>
      <c r="O1181" s="1" t="s">
        <v>9160</v>
      </c>
    </row>
    <row r="1182" spans="8:15" x14ac:dyDescent="0.25">
      <c r="H1182" s="1">
        <v>1489923</v>
      </c>
      <c r="I1182" s="4">
        <v>46330.645833333336</v>
      </c>
      <c r="J1182" s="1" t="s">
        <v>32</v>
      </c>
      <c r="K1182" s="1" t="s">
        <v>381</v>
      </c>
      <c r="L1182" s="1" t="s">
        <v>574</v>
      </c>
      <c r="M1182" s="1" t="s">
        <v>4780</v>
      </c>
      <c r="N1182" s="1" t="s">
        <v>3001</v>
      </c>
      <c r="O1182" s="1" t="s">
        <v>9161</v>
      </c>
    </row>
    <row r="1183" spans="8:15" x14ac:dyDescent="0.25">
      <c r="H1183" s="1">
        <v>1490039</v>
      </c>
      <c r="I1183" s="4">
        <v>46330.645833333336</v>
      </c>
      <c r="J1183" s="1" t="s">
        <v>32</v>
      </c>
      <c r="K1183" s="1" t="s">
        <v>381</v>
      </c>
      <c r="L1183" s="1" t="s">
        <v>575</v>
      </c>
      <c r="M1183" s="1" t="s">
        <v>3024</v>
      </c>
      <c r="N1183" s="1" t="s">
        <v>9162</v>
      </c>
      <c r="O1183" s="1" t="s">
        <v>9163</v>
      </c>
    </row>
    <row r="1184" spans="8:15" x14ac:dyDescent="0.25">
      <c r="H1184" s="1">
        <v>1490040</v>
      </c>
      <c r="I1184" s="4">
        <v>46330.645833333336</v>
      </c>
      <c r="J1184" s="1" t="s">
        <v>32</v>
      </c>
      <c r="K1184" s="1" t="s">
        <v>381</v>
      </c>
      <c r="L1184" s="1" t="s">
        <v>575</v>
      </c>
      <c r="M1184" s="1" t="s">
        <v>4786</v>
      </c>
      <c r="N1184" s="1" t="s">
        <v>4783</v>
      </c>
      <c r="O1184" s="1" t="s">
        <v>9164</v>
      </c>
    </row>
    <row r="1185" spans="8:15" x14ac:dyDescent="0.25">
      <c r="H1185" s="1">
        <v>1490043</v>
      </c>
      <c r="I1185" s="4">
        <v>46330.645833333336</v>
      </c>
      <c r="J1185" s="1" t="s">
        <v>32</v>
      </c>
      <c r="K1185" s="1" t="s">
        <v>381</v>
      </c>
      <c r="L1185" s="1" t="s">
        <v>575</v>
      </c>
      <c r="M1185" s="1" t="s">
        <v>6140</v>
      </c>
      <c r="N1185" s="1" t="s">
        <v>3003</v>
      </c>
      <c r="O1185" s="1" t="s">
        <v>9165</v>
      </c>
    </row>
    <row r="1186" spans="8:15" x14ac:dyDescent="0.25">
      <c r="H1186" s="1">
        <v>1524296</v>
      </c>
      <c r="I1186" s="4">
        <v>46330.645833333336</v>
      </c>
      <c r="J1186" s="1" t="s">
        <v>32</v>
      </c>
      <c r="K1186" s="1" t="s">
        <v>48</v>
      </c>
      <c r="L1186" s="1" t="s">
        <v>342</v>
      </c>
      <c r="M1186" s="1" t="s">
        <v>2063</v>
      </c>
      <c r="N1186" s="1" t="s">
        <v>2330</v>
      </c>
      <c r="O1186" s="1" t="s">
        <v>9166</v>
      </c>
    </row>
    <row r="1187" spans="8:15" x14ac:dyDescent="0.25">
      <c r="H1187" s="1">
        <v>1527562</v>
      </c>
      <c r="I1187" s="4">
        <v>46330.645833333336</v>
      </c>
      <c r="J1187" s="1" t="s">
        <v>32</v>
      </c>
      <c r="K1187" s="1" t="s">
        <v>422</v>
      </c>
      <c r="L1187" s="1" t="s">
        <v>49</v>
      </c>
      <c r="M1187" s="1" t="s">
        <v>456</v>
      </c>
      <c r="N1187" s="1" t="s">
        <v>874</v>
      </c>
      <c r="O1187" s="1" t="s">
        <v>9167</v>
      </c>
    </row>
    <row r="1188" spans="8:15" x14ac:dyDescent="0.25">
      <c r="H1188" s="1">
        <v>1529501</v>
      </c>
      <c r="I1188" s="4">
        <v>46330.645833333336</v>
      </c>
      <c r="J1188" s="1" t="s">
        <v>32</v>
      </c>
      <c r="K1188" s="1" t="s">
        <v>544</v>
      </c>
      <c r="L1188" s="1" t="s">
        <v>4863</v>
      </c>
      <c r="M1188" s="1" t="s">
        <v>9168</v>
      </c>
      <c r="N1188" s="1" t="s">
        <v>4864</v>
      </c>
      <c r="O1188" s="1" t="s">
        <v>9169</v>
      </c>
    </row>
    <row r="1189" spans="8:15" x14ac:dyDescent="0.25">
      <c r="H1189" s="1">
        <v>1531553</v>
      </c>
      <c r="I1189" s="4">
        <v>46330.645833333336</v>
      </c>
      <c r="J1189" s="1" t="s">
        <v>32</v>
      </c>
      <c r="K1189" s="1" t="s">
        <v>352</v>
      </c>
      <c r="L1189" s="1" t="s">
        <v>25</v>
      </c>
      <c r="M1189" s="1" t="s">
        <v>9170</v>
      </c>
      <c r="N1189" s="1" t="s">
        <v>6233</v>
      </c>
      <c r="O1189" s="1" t="s">
        <v>9171</v>
      </c>
    </row>
    <row r="1190" spans="8:15" x14ac:dyDescent="0.25">
      <c r="H1190" s="1">
        <v>1534177</v>
      </c>
      <c r="I1190" s="4">
        <v>46330.645833333336</v>
      </c>
      <c r="J1190" s="1" t="s">
        <v>32</v>
      </c>
      <c r="K1190" s="1" t="s">
        <v>326</v>
      </c>
      <c r="L1190" s="1" t="s">
        <v>327</v>
      </c>
      <c r="M1190" s="1" t="s">
        <v>9172</v>
      </c>
      <c r="N1190" s="1" t="s">
        <v>9173</v>
      </c>
      <c r="O1190" s="1" t="s">
        <v>9174</v>
      </c>
    </row>
    <row r="1191" spans="8:15" x14ac:dyDescent="0.25">
      <c r="H1191" s="1">
        <v>1538977</v>
      </c>
      <c r="I1191" s="4">
        <v>46330.645833333336</v>
      </c>
      <c r="J1191" s="1" t="s">
        <v>32</v>
      </c>
      <c r="K1191" s="1" t="s">
        <v>326</v>
      </c>
      <c r="L1191" s="1" t="s">
        <v>4809</v>
      </c>
      <c r="M1191" s="1" t="s">
        <v>4810</v>
      </c>
      <c r="N1191" s="1" t="s">
        <v>9175</v>
      </c>
      <c r="O1191" s="1" t="s">
        <v>9176</v>
      </c>
    </row>
    <row r="1192" spans="8:15" x14ac:dyDescent="0.25">
      <c r="H1192" s="1">
        <v>1538978</v>
      </c>
      <c r="I1192" s="4">
        <v>46330.645833333336</v>
      </c>
      <c r="J1192" s="1" t="s">
        <v>32</v>
      </c>
      <c r="K1192" s="1" t="s">
        <v>326</v>
      </c>
      <c r="L1192" s="1" t="s">
        <v>4809</v>
      </c>
      <c r="M1192" s="1" t="s">
        <v>9177</v>
      </c>
      <c r="N1192" s="1" t="s">
        <v>4822</v>
      </c>
      <c r="O1192" s="1" t="s">
        <v>9178</v>
      </c>
    </row>
    <row r="1193" spans="8:15" x14ac:dyDescent="0.25">
      <c r="H1193" s="1">
        <v>1538980</v>
      </c>
      <c r="I1193" s="4">
        <v>46330.645833333336</v>
      </c>
      <c r="J1193" s="1" t="s">
        <v>32</v>
      </c>
      <c r="K1193" s="1" t="s">
        <v>326</v>
      </c>
      <c r="L1193" s="1" t="s">
        <v>4809</v>
      </c>
      <c r="M1193" s="1" t="s">
        <v>4817</v>
      </c>
      <c r="N1193" s="1" t="s">
        <v>4825</v>
      </c>
      <c r="O1193" s="1" t="s">
        <v>9179</v>
      </c>
    </row>
    <row r="1194" spans="8:15" x14ac:dyDescent="0.25">
      <c r="H1194" s="1">
        <v>1538981</v>
      </c>
      <c r="I1194" s="4">
        <v>46330.645833333336</v>
      </c>
      <c r="J1194" s="1" t="s">
        <v>32</v>
      </c>
      <c r="K1194" s="1" t="s">
        <v>326</v>
      </c>
      <c r="L1194" s="1" t="s">
        <v>4809</v>
      </c>
      <c r="M1194" s="1" t="s">
        <v>4829</v>
      </c>
      <c r="N1194" s="1" t="s">
        <v>4813</v>
      </c>
      <c r="O1194" s="1" t="s">
        <v>9180</v>
      </c>
    </row>
    <row r="1195" spans="8:15" x14ac:dyDescent="0.25">
      <c r="H1195" s="1">
        <v>1538982</v>
      </c>
      <c r="I1195" s="4">
        <v>46330.645833333336</v>
      </c>
      <c r="J1195" s="1" t="s">
        <v>32</v>
      </c>
      <c r="K1195" s="1" t="s">
        <v>326</v>
      </c>
      <c r="L1195" s="1" t="s">
        <v>4809</v>
      </c>
      <c r="M1195" s="1" t="s">
        <v>4828</v>
      </c>
      <c r="N1195" s="1" t="s">
        <v>4819</v>
      </c>
      <c r="O1195" s="1" t="s">
        <v>9181</v>
      </c>
    </row>
    <row r="1196" spans="8:15" x14ac:dyDescent="0.25">
      <c r="H1196" s="1">
        <v>1538983</v>
      </c>
      <c r="I1196" s="4">
        <v>46330.645833333336</v>
      </c>
      <c r="J1196" s="1" t="s">
        <v>32</v>
      </c>
      <c r="K1196" s="1" t="s">
        <v>326</v>
      </c>
      <c r="L1196" s="1" t="s">
        <v>4809</v>
      </c>
      <c r="M1196" s="1" t="s">
        <v>4814</v>
      </c>
      <c r="N1196" s="1" t="s">
        <v>4820</v>
      </c>
      <c r="O1196" s="1" t="s">
        <v>9182</v>
      </c>
    </row>
    <row r="1197" spans="8:15" x14ac:dyDescent="0.25">
      <c r="H1197" s="1">
        <v>1539974</v>
      </c>
      <c r="I1197" s="4">
        <v>46330.645833333336</v>
      </c>
      <c r="J1197" s="1" t="s">
        <v>32</v>
      </c>
      <c r="K1197" s="1" t="s">
        <v>5019</v>
      </c>
      <c r="L1197" s="1" t="s">
        <v>5020</v>
      </c>
      <c r="M1197" s="1" t="s">
        <v>5021</v>
      </c>
      <c r="N1197" s="1" t="s">
        <v>5027</v>
      </c>
      <c r="O1197" s="1" t="s">
        <v>9183</v>
      </c>
    </row>
    <row r="1198" spans="8:15" x14ac:dyDescent="0.25">
      <c r="H1198" s="1">
        <v>1539975</v>
      </c>
      <c r="I1198" s="4">
        <v>46330.645833333336</v>
      </c>
      <c r="J1198" s="1" t="s">
        <v>32</v>
      </c>
      <c r="K1198" s="1" t="s">
        <v>5019</v>
      </c>
      <c r="L1198" s="1" t="s">
        <v>5020</v>
      </c>
      <c r="M1198" s="1" t="s">
        <v>5037</v>
      </c>
      <c r="N1198" s="1" t="s">
        <v>5034</v>
      </c>
      <c r="O1198" s="1" t="s">
        <v>9184</v>
      </c>
    </row>
    <row r="1199" spans="8:15" x14ac:dyDescent="0.25">
      <c r="H1199" s="1">
        <v>1539976</v>
      </c>
      <c r="I1199" s="4">
        <v>46330.645833333336</v>
      </c>
      <c r="J1199" s="1" t="s">
        <v>32</v>
      </c>
      <c r="K1199" s="1" t="s">
        <v>5019</v>
      </c>
      <c r="L1199" s="1" t="s">
        <v>5020</v>
      </c>
      <c r="M1199" s="1" t="s">
        <v>5025</v>
      </c>
      <c r="N1199" s="1" t="s">
        <v>5028</v>
      </c>
      <c r="O1199" s="1" t="s">
        <v>9185</v>
      </c>
    </row>
    <row r="1200" spans="8:15" x14ac:dyDescent="0.25">
      <c r="H1200" s="1">
        <v>1539980</v>
      </c>
      <c r="I1200" s="4">
        <v>46330.645833333336</v>
      </c>
      <c r="J1200" s="1" t="s">
        <v>32</v>
      </c>
      <c r="K1200" s="1" t="s">
        <v>5019</v>
      </c>
      <c r="L1200" s="1" t="s">
        <v>5020</v>
      </c>
      <c r="M1200" s="1" t="s">
        <v>5036</v>
      </c>
      <c r="N1200" s="1" t="s">
        <v>5024</v>
      </c>
      <c r="O1200" s="1" t="s">
        <v>9186</v>
      </c>
    </row>
    <row r="1201" spans="8:15" x14ac:dyDescent="0.25">
      <c r="H1201" s="1">
        <v>1540128</v>
      </c>
      <c r="I1201" s="4">
        <v>46330.645833333336</v>
      </c>
      <c r="J1201" s="1" t="s">
        <v>32</v>
      </c>
      <c r="K1201" s="1" t="s">
        <v>78</v>
      </c>
      <c r="L1201" s="1" t="s">
        <v>549</v>
      </c>
      <c r="M1201" s="1" t="s">
        <v>9187</v>
      </c>
      <c r="N1201" s="1" t="s">
        <v>3665</v>
      </c>
      <c r="O1201" s="1" t="s">
        <v>9188</v>
      </c>
    </row>
    <row r="1202" spans="8:15" x14ac:dyDescent="0.25">
      <c r="H1202" s="1">
        <v>1458771</v>
      </c>
      <c r="I1202" s="4">
        <v>46330.65625</v>
      </c>
      <c r="J1202" s="1" t="s">
        <v>32</v>
      </c>
      <c r="K1202" s="1" t="s">
        <v>40</v>
      </c>
      <c r="L1202" s="1" t="s">
        <v>658</v>
      </c>
      <c r="M1202" s="1" t="s">
        <v>6041</v>
      </c>
      <c r="N1202" s="1" t="s">
        <v>6565</v>
      </c>
      <c r="O1202" s="1" t="s">
        <v>9190</v>
      </c>
    </row>
    <row r="1203" spans="8:15" x14ac:dyDescent="0.25">
      <c r="H1203" s="1">
        <v>1384371</v>
      </c>
      <c r="I1203" s="4">
        <v>46330.666666666664</v>
      </c>
      <c r="J1203" s="1" t="s">
        <v>2909</v>
      </c>
      <c r="K1203" s="1" t="s">
        <v>267</v>
      </c>
      <c r="L1203" s="1" t="s">
        <v>659</v>
      </c>
      <c r="M1203" s="1" t="s">
        <v>1616</v>
      </c>
      <c r="N1203" s="1" t="s">
        <v>6060</v>
      </c>
      <c r="O1203" s="1" t="s">
        <v>9192</v>
      </c>
    </row>
    <row r="1204" spans="8:15" x14ac:dyDescent="0.25">
      <c r="H1204" s="1">
        <v>1388245</v>
      </c>
      <c r="I1204" s="4">
        <v>46330.666666666664</v>
      </c>
      <c r="J1204" s="1" t="s">
        <v>32</v>
      </c>
      <c r="K1204" s="1" t="s">
        <v>267</v>
      </c>
      <c r="L1204" s="1" t="s">
        <v>402</v>
      </c>
      <c r="M1204" s="1" t="s">
        <v>4935</v>
      </c>
      <c r="N1204" s="1" t="s">
        <v>3643</v>
      </c>
      <c r="O1204" s="1" t="s">
        <v>9193</v>
      </c>
    </row>
    <row r="1205" spans="8:15" x14ac:dyDescent="0.25">
      <c r="H1205" s="1">
        <v>1391596</v>
      </c>
      <c r="I1205" s="4">
        <v>46330.666666666664</v>
      </c>
      <c r="J1205" s="1" t="s">
        <v>32</v>
      </c>
      <c r="K1205" s="1" t="s">
        <v>319</v>
      </c>
      <c r="L1205" s="1" t="s">
        <v>49</v>
      </c>
      <c r="M1205" s="1" t="s">
        <v>2486</v>
      </c>
      <c r="N1205" s="1" t="s">
        <v>9194</v>
      </c>
      <c r="O1205" s="1" t="s">
        <v>9195</v>
      </c>
    </row>
    <row r="1206" spans="8:15" x14ac:dyDescent="0.25">
      <c r="H1206" s="1">
        <v>1394005</v>
      </c>
      <c r="I1206" s="4">
        <v>46330.666666666664</v>
      </c>
      <c r="J1206" s="1" t="s">
        <v>32</v>
      </c>
      <c r="K1206" s="1" t="s">
        <v>390</v>
      </c>
      <c r="L1206" s="1" t="s">
        <v>391</v>
      </c>
      <c r="M1206" s="1" t="s">
        <v>1619</v>
      </c>
      <c r="N1206" s="1" t="s">
        <v>1364</v>
      </c>
      <c r="O1206" s="1" t="s">
        <v>9196</v>
      </c>
    </row>
    <row r="1207" spans="8:15" x14ac:dyDescent="0.25">
      <c r="H1207" s="1">
        <v>1394008</v>
      </c>
      <c r="I1207" s="4">
        <v>46330.666666666664</v>
      </c>
      <c r="J1207" s="1" t="s">
        <v>32</v>
      </c>
      <c r="K1207" s="1" t="s">
        <v>390</v>
      </c>
      <c r="L1207" s="1" t="s">
        <v>391</v>
      </c>
      <c r="M1207" s="1" t="s">
        <v>1620</v>
      </c>
      <c r="N1207" s="1" t="s">
        <v>1621</v>
      </c>
      <c r="O1207" s="1" t="s">
        <v>9197</v>
      </c>
    </row>
    <row r="1208" spans="8:15" x14ac:dyDescent="0.25">
      <c r="H1208" s="1">
        <v>1394009</v>
      </c>
      <c r="I1208" s="4">
        <v>46330.666666666664</v>
      </c>
      <c r="J1208" s="1" t="s">
        <v>32</v>
      </c>
      <c r="K1208" s="1" t="s">
        <v>390</v>
      </c>
      <c r="L1208" s="1" t="s">
        <v>391</v>
      </c>
      <c r="M1208" s="1" t="s">
        <v>470</v>
      </c>
      <c r="N1208" s="1" t="s">
        <v>1366</v>
      </c>
      <c r="O1208" s="1" t="s">
        <v>9198</v>
      </c>
    </row>
    <row r="1209" spans="8:15" x14ac:dyDescent="0.25">
      <c r="H1209" s="1">
        <v>1394011</v>
      </c>
      <c r="I1209" s="4">
        <v>46330.666666666664</v>
      </c>
      <c r="J1209" s="1" t="s">
        <v>32</v>
      </c>
      <c r="K1209" s="1" t="s">
        <v>390</v>
      </c>
      <c r="L1209" s="1" t="s">
        <v>391</v>
      </c>
      <c r="M1209" s="1" t="s">
        <v>514</v>
      </c>
      <c r="N1209" s="1" t="s">
        <v>469</v>
      </c>
      <c r="O1209" s="1" t="s">
        <v>9199</v>
      </c>
    </row>
    <row r="1210" spans="8:15" x14ac:dyDescent="0.25">
      <c r="H1210" s="1">
        <v>1396047</v>
      </c>
      <c r="I1210" s="4">
        <v>46330.666666666664</v>
      </c>
      <c r="J1210" s="1" t="s">
        <v>32</v>
      </c>
      <c r="K1210" s="1" t="s">
        <v>51</v>
      </c>
      <c r="L1210" s="1" t="s">
        <v>385</v>
      </c>
      <c r="M1210" s="1" t="s">
        <v>1229</v>
      </c>
      <c r="N1210" s="1" t="s">
        <v>1023</v>
      </c>
      <c r="O1210" s="1" t="s">
        <v>9200</v>
      </c>
    </row>
    <row r="1211" spans="8:15" x14ac:dyDescent="0.25">
      <c r="H1211" s="1">
        <v>1410386</v>
      </c>
      <c r="I1211" s="4">
        <v>46330.666666666664</v>
      </c>
      <c r="J1211" s="1" t="s">
        <v>32</v>
      </c>
      <c r="K1211" s="1" t="s">
        <v>51</v>
      </c>
      <c r="L1211" s="1" t="s">
        <v>3147</v>
      </c>
      <c r="M1211" s="1" t="s">
        <v>4558</v>
      </c>
      <c r="N1211" s="1" t="s">
        <v>3148</v>
      </c>
      <c r="O1211" s="1" t="s">
        <v>9201</v>
      </c>
    </row>
    <row r="1212" spans="8:15" x14ac:dyDescent="0.25">
      <c r="H1212" s="1">
        <v>1410996</v>
      </c>
      <c r="I1212" s="4">
        <v>46330.666666666664</v>
      </c>
      <c r="J1212" s="1" t="s">
        <v>32</v>
      </c>
      <c r="K1212" s="1" t="s">
        <v>51</v>
      </c>
      <c r="L1212" s="1" t="s">
        <v>539</v>
      </c>
      <c r="M1212" s="1" t="s">
        <v>9202</v>
      </c>
      <c r="N1212" s="1" t="s">
        <v>3153</v>
      </c>
      <c r="O1212" s="1" t="s">
        <v>9203</v>
      </c>
    </row>
    <row r="1213" spans="8:15" x14ac:dyDescent="0.25">
      <c r="H1213" s="1">
        <v>1411294</v>
      </c>
      <c r="I1213" s="4">
        <v>46330.666666666664</v>
      </c>
      <c r="J1213" s="1" t="s">
        <v>32</v>
      </c>
      <c r="K1213" s="1" t="s">
        <v>51</v>
      </c>
      <c r="L1213" s="1" t="s">
        <v>581</v>
      </c>
      <c r="M1213" s="1" t="s">
        <v>3835</v>
      </c>
      <c r="N1213" s="1" t="s">
        <v>4565</v>
      </c>
      <c r="O1213" s="1" t="s">
        <v>9204</v>
      </c>
    </row>
    <row r="1214" spans="8:15" x14ac:dyDescent="0.25">
      <c r="H1214" s="1">
        <v>1412944</v>
      </c>
      <c r="I1214" s="4">
        <v>46330.666666666664</v>
      </c>
      <c r="J1214" s="1" t="s">
        <v>32</v>
      </c>
      <c r="K1214" s="1" t="s">
        <v>43</v>
      </c>
      <c r="L1214" s="1" t="s">
        <v>606</v>
      </c>
      <c r="M1214" s="1" t="s">
        <v>6074</v>
      </c>
      <c r="N1214" s="1" t="s">
        <v>9205</v>
      </c>
      <c r="O1214" s="1" t="s">
        <v>9206</v>
      </c>
    </row>
    <row r="1215" spans="8:15" x14ac:dyDescent="0.25">
      <c r="H1215" s="1">
        <v>1430150</v>
      </c>
      <c r="I1215" s="4">
        <v>46330.666666666664</v>
      </c>
      <c r="J1215" s="1" t="s">
        <v>32</v>
      </c>
      <c r="K1215" s="1" t="s">
        <v>80</v>
      </c>
      <c r="L1215" s="1" t="s">
        <v>607</v>
      </c>
      <c r="M1215" s="1" t="s">
        <v>6082</v>
      </c>
      <c r="N1215" s="1" t="s">
        <v>5535</v>
      </c>
      <c r="O1215" s="1" t="s">
        <v>9207</v>
      </c>
    </row>
    <row r="1216" spans="8:15" x14ac:dyDescent="0.25">
      <c r="H1216" s="1">
        <v>1430363</v>
      </c>
      <c r="I1216" s="4">
        <v>46330.666666666664</v>
      </c>
      <c r="J1216" s="1" t="s">
        <v>32</v>
      </c>
      <c r="K1216" s="1" t="s">
        <v>80</v>
      </c>
      <c r="L1216" s="1" t="s">
        <v>628</v>
      </c>
      <c r="M1216" s="1" t="s">
        <v>1543</v>
      </c>
      <c r="N1216" s="1" t="s">
        <v>6091</v>
      </c>
      <c r="O1216" s="1" t="s">
        <v>9208</v>
      </c>
    </row>
    <row r="1217" spans="8:15" x14ac:dyDescent="0.25">
      <c r="H1217" s="1">
        <v>1430364</v>
      </c>
      <c r="I1217" s="4">
        <v>46330.666666666664</v>
      </c>
      <c r="J1217" s="1" t="s">
        <v>32</v>
      </c>
      <c r="K1217" s="1" t="s">
        <v>80</v>
      </c>
      <c r="L1217" s="1" t="s">
        <v>628</v>
      </c>
      <c r="M1217" s="1" t="s">
        <v>1542</v>
      </c>
      <c r="N1217" s="1" t="s">
        <v>6597</v>
      </c>
      <c r="O1217" s="1" t="s">
        <v>9209</v>
      </c>
    </row>
    <row r="1218" spans="8:15" x14ac:dyDescent="0.25">
      <c r="H1218" s="1">
        <v>1430365</v>
      </c>
      <c r="I1218" s="4">
        <v>46330.666666666664</v>
      </c>
      <c r="J1218" s="1" t="s">
        <v>32</v>
      </c>
      <c r="K1218" s="1" t="s">
        <v>80</v>
      </c>
      <c r="L1218" s="1" t="s">
        <v>628</v>
      </c>
      <c r="M1218" s="1" t="s">
        <v>6088</v>
      </c>
      <c r="N1218" s="1" t="s">
        <v>9210</v>
      </c>
      <c r="O1218" s="1" t="s">
        <v>9211</v>
      </c>
    </row>
    <row r="1219" spans="8:15" x14ac:dyDescent="0.25">
      <c r="H1219" s="1">
        <v>1430367</v>
      </c>
      <c r="I1219" s="4">
        <v>46330.666666666664</v>
      </c>
      <c r="J1219" s="1" t="s">
        <v>32</v>
      </c>
      <c r="K1219" s="1" t="s">
        <v>80</v>
      </c>
      <c r="L1219" s="1" t="s">
        <v>628</v>
      </c>
      <c r="M1219" s="1" t="s">
        <v>6089</v>
      </c>
      <c r="N1219" s="1" t="s">
        <v>5544</v>
      </c>
      <c r="O1219" s="1" t="s">
        <v>9212</v>
      </c>
    </row>
    <row r="1220" spans="8:15" x14ac:dyDescent="0.25">
      <c r="H1220" s="1">
        <v>1430571</v>
      </c>
      <c r="I1220" s="4">
        <v>46330.666666666664</v>
      </c>
      <c r="J1220" s="1" t="s">
        <v>32</v>
      </c>
      <c r="K1220" s="1" t="s">
        <v>80</v>
      </c>
      <c r="L1220" s="1" t="s">
        <v>629</v>
      </c>
      <c r="M1220" s="1" t="s">
        <v>9213</v>
      </c>
      <c r="N1220" s="1" t="s">
        <v>4628</v>
      </c>
      <c r="O1220" s="1" t="s">
        <v>9214</v>
      </c>
    </row>
    <row r="1221" spans="8:15" x14ac:dyDescent="0.25">
      <c r="H1221" s="1">
        <v>1432468</v>
      </c>
      <c r="I1221" s="4">
        <v>46330.666666666664</v>
      </c>
      <c r="J1221" s="1" t="s">
        <v>32</v>
      </c>
      <c r="K1221" s="1" t="s">
        <v>40</v>
      </c>
      <c r="L1221" s="1" t="s">
        <v>645</v>
      </c>
      <c r="M1221" s="1" t="s">
        <v>1040</v>
      </c>
      <c r="N1221" s="1" t="s">
        <v>2094</v>
      </c>
      <c r="O1221" s="1" t="s">
        <v>9215</v>
      </c>
    </row>
    <row r="1222" spans="8:15" x14ac:dyDescent="0.25">
      <c r="H1222" s="1">
        <v>1433384</v>
      </c>
      <c r="I1222" s="4">
        <v>46330.666666666664</v>
      </c>
      <c r="J1222" s="1" t="s">
        <v>32</v>
      </c>
      <c r="K1222" s="1" t="s">
        <v>40</v>
      </c>
      <c r="L1222" s="1" t="s">
        <v>661</v>
      </c>
      <c r="M1222" s="1" t="s">
        <v>1059</v>
      </c>
      <c r="N1222" s="1" t="s">
        <v>2252</v>
      </c>
      <c r="O1222" s="1" t="s">
        <v>9216</v>
      </c>
    </row>
    <row r="1223" spans="8:15" x14ac:dyDescent="0.25">
      <c r="H1223" s="1">
        <v>1446841</v>
      </c>
      <c r="I1223" s="4">
        <v>46330.666666666664</v>
      </c>
      <c r="J1223" s="1" t="s">
        <v>32</v>
      </c>
      <c r="K1223" s="1" t="s">
        <v>276</v>
      </c>
      <c r="L1223" s="1" t="s">
        <v>277</v>
      </c>
      <c r="M1223" s="1" t="s">
        <v>1937</v>
      </c>
      <c r="N1223" s="1" t="s">
        <v>1930</v>
      </c>
      <c r="O1223" s="1" t="s">
        <v>9217</v>
      </c>
    </row>
    <row r="1224" spans="8:15" x14ac:dyDescent="0.25">
      <c r="H1224" s="1">
        <v>1458769</v>
      </c>
      <c r="I1224" s="4">
        <v>46330.666666666664</v>
      </c>
      <c r="J1224" s="1" t="s">
        <v>32</v>
      </c>
      <c r="K1224" s="1" t="s">
        <v>40</v>
      </c>
      <c r="L1224" s="1" t="s">
        <v>658</v>
      </c>
      <c r="M1224" s="1" t="s">
        <v>2035</v>
      </c>
      <c r="N1224" s="1" t="s">
        <v>6566</v>
      </c>
      <c r="O1224" s="1" t="s">
        <v>9218</v>
      </c>
    </row>
    <row r="1225" spans="8:15" x14ac:dyDescent="0.25">
      <c r="H1225" s="1">
        <v>1459080</v>
      </c>
      <c r="I1225" s="4">
        <v>46330.666666666664</v>
      </c>
      <c r="J1225" s="1" t="s">
        <v>32</v>
      </c>
      <c r="K1225" s="1" t="s">
        <v>40</v>
      </c>
      <c r="L1225" s="1" t="s">
        <v>639</v>
      </c>
      <c r="M1225" s="1" t="s">
        <v>561</v>
      </c>
      <c r="N1225" s="1" t="s">
        <v>6214</v>
      </c>
      <c r="O1225" s="1" t="s">
        <v>9219</v>
      </c>
    </row>
    <row r="1226" spans="8:15" x14ac:dyDescent="0.25">
      <c r="H1226" s="1">
        <v>1459082</v>
      </c>
      <c r="I1226" s="4">
        <v>46330.666666666664</v>
      </c>
      <c r="J1226" s="1" t="s">
        <v>32</v>
      </c>
      <c r="K1226" s="1" t="s">
        <v>40</v>
      </c>
      <c r="L1226" s="1" t="s">
        <v>639</v>
      </c>
      <c r="M1226" s="1" t="s">
        <v>6111</v>
      </c>
      <c r="N1226" s="1" t="s">
        <v>9220</v>
      </c>
      <c r="O1226" s="1" t="s">
        <v>9221</v>
      </c>
    </row>
    <row r="1227" spans="8:15" x14ac:dyDescent="0.25">
      <c r="H1227" s="1">
        <v>1460368</v>
      </c>
      <c r="I1227" s="4">
        <v>46330.666666666664</v>
      </c>
      <c r="J1227" s="1" t="s">
        <v>32</v>
      </c>
      <c r="K1227" s="1" t="s">
        <v>40</v>
      </c>
      <c r="L1227" s="1" t="s">
        <v>647</v>
      </c>
      <c r="M1227" s="1" t="s">
        <v>6438</v>
      </c>
      <c r="N1227" s="1" t="s">
        <v>9222</v>
      </c>
      <c r="O1227" s="1" t="s">
        <v>9223</v>
      </c>
    </row>
    <row r="1228" spans="8:15" x14ac:dyDescent="0.25">
      <c r="H1228" s="1">
        <v>1460370</v>
      </c>
      <c r="I1228" s="4">
        <v>46330.666666666664</v>
      </c>
      <c r="J1228" s="1" t="s">
        <v>32</v>
      </c>
      <c r="K1228" s="1" t="s">
        <v>40</v>
      </c>
      <c r="L1228" s="1" t="s">
        <v>647</v>
      </c>
      <c r="M1228" s="1" t="s">
        <v>6118</v>
      </c>
      <c r="N1228" s="1" t="s">
        <v>1254</v>
      </c>
      <c r="O1228" s="1" t="s">
        <v>9224</v>
      </c>
    </row>
    <row r="1229" spans="8:15" x14ac:dyDescent="0.25">
      <c r="H1229" s="1">
        <v>1460375</v>
      </c>
      <c r="I1229" s="4">
        <v>46330.666666666664</v>
      </c>
      <c r="J1229" s="1" t="s">
        <v>32</v>
      </c>
      <c r="K1229" s="1" t="s">
        <v>40</v>
      </c>
      <c r="L1229" s="1" t="s">
        <v>647</v>
      </c>
      <c r="M1229" s="1" t="s">
        <v>1102</v>
      </c>
      <c r="N1229" s="1" t="s">
        <v>5687</v>
      </c>
      <c r="O1229" s="1" t="s">
        <v>9225</v>
      </c>
    </row>
    <row r="1230" spans="8:15" x14ac:dyDescent="0.25">
      <c r="H1230" s="1">
        <v>1461589</v>
      </c>
      <c r="I1230" s="4">
        <v>46330.666666666664</v>
      </c>
      <c r="J1230" s="1" t="s">
        <v>32</v>
      </c>
      <c r="K1230" s="1" t="s">
        <v>40</v>
      </c>
      <c r="L1230" s="1" t="s">
        <v>584</v>
      </c>
      <c r="M1230" s="1" t="s">
        <v>6447</v>
      </c>
      <c r="N1230" s="1" t="s">
        <v>1121</v>
      </c>
      <c r="O1230" s="1" t="s">
        <v>9226</v>
      </c>
    </row>
    <row r="1231" spans="8:15" x14ac:dyDescent="0.25">
      <c r="H1231" s="1">
        <v>1462507</v>
      </c>
      <c r="I1231" s="4">
        <v>46330.666666666664</v>
      </c>
      <c r="J1231" s="1" t="s">
        <v>32</v>
      </c>
      <c r="K1231" s="1" t="s">
        <v>40</v>
      </c>
      <c r="L1231" s="1" t="s">
        <v>650</v>
      </c>
      <c r="M1231" s="1" t="s">
        <v>9227</v>
      </c>
      <c r="N1231" s="1" t="s">
        <v>9228</v>
      </c>
      <c r="O1231" s="1" t="s">
        <v>9229</v>
      </c>
    </row>
    <row r="1232" spans="8:15" x14ac:dyDescent="0.25">
      <c r="H1232" s="1">
        <v>1462508</v>
      </c>
      <c r="I1232" s="4">
        <v>46330.666666666664</v>
      </c>
      <c r="J1232" s="1" t="s">
        <v>32</v>
      </c>
      <c r="K1232" s="1" t="s">
        <v>40</v>
      </c>
      <c r="L1232" s="1" t="s">
        <v>650</v>
      </c>
      <c r="M1232" s="1" t="s">
        <v>6123</v>
      </c>
      <c r="N1232" s="1" t="s">
        <v>9230</v>
      </c>
      <c r="O1232" s="1" t="s">
        <v>9231</v>
      </c>
    </row>
    <row r="1233" spans="8:15" x14ac:dyDescent="0.25">
      <c r="H1233" s="1">
        <v>1462511</v>
      </c>
      <c r="I1233" s="4">
        <v>46330.666666666664</v>
      </c>
      <c r="J1233" s="1" t="s">
        <v>32</v>
      </c>
      <c r="K1233" s="1" t="s">
        <v>40</v>
      </c>
      <c r="L1233" s="1" t="s">
        <v>650</v>
      </c>
      <c r="M1233" s="1" t="s">
        <v>2257</v>
      </c>
      <c r="N1233" s="1" t="s">
        <v>4969</v>
      </c>
      <c r="O1233" s="1" t="s">
        <v>9232</v>
      </c>
    </row>
    <row r="1234" spans="8:15" x14ac:dyDescent="0.25">
      <c r="H1234" s="1">
        <v>1463415</v>
      </c>
      <c r="I1234" s="4">
        <v>46330.666666666664</v>
      </c>
      <c r="J1234" s="1" t="s">
        <v>32</v>
      </c>
      <c r="K1234" s="1" t="s">
        <v>40</v>
      </c>
      <c r="L1234" s="1" t="s">
        <v>652</v>
      </c>
      <c r="M1234" s="1" t="s">
        <v>9233</v>
      </c>
      <c r="N1234" s="1" t="s">
        <v>1140</v>
      </c>
      <c r="O1234" s="1" t="s">
        <v>9234</v>
      </c>
    </row>
    <row r="1235" spans="8:15" x14ac:dyDescent="0.25">
      <c r="H1235" s="1">
        <v>1463416</v>
      </c>
      <c r="I1235" s="4">
        <v>46330.666666666664</v>
      </c>
      <c r="J1235" s="1" t="s">
        <v>32</v>
      </c>
      <c r="K1235" s="1" t="s">
        <v>40</v>
      </c>
      <c r="L1235" s="1" t="s">
        <v>652</v>
      </c>
      <c r="M1235" s="1" t="s">
        <v>6451</v>
      </c>
      <c r="N1235" s="1" t="s">
        <v>1139</v>
      </c>
      <c r="O1235" s="1" t="s">
        <v>9235</v>
      </c>
    </row>
    <row r="1236" spans="8:15" x14ac:dyDescent="0.25">
      <c r="H1236" s="1">
        <v>1463420</v>
      </c>
      <c r="I1236" s="4">
        <v>46330.666666666664</v>
      </c>
      <c r="J1236" s="1" t="s">
        <v>32</v>
      </c>
      <c r="K1236" s="1" t="s">
        <v>40</v>
      </c>
      <c r="L1236" s="1" t="s">
        <v>652</v>
      </c>
      <c r="M1236" s="1" t="s">
        <v>5700</v>
      </c>
      <c r="N1236" s="1" t="s">
        <v>686</v>
      </c>
      <c r="O1236" s="1" t="s">
        <v>9236</v>
      </c>
    </row>
    <row r="1237" spans="8:15" x14ac:dyDescent="0.25">
      <c r="H1237" s="1">
        <v>1464591</v>
      </c>
      <c r="I1237" s="4">
        <v>46330.666666666664</v>
      </c>
      <c r="J1237" s="1" t="s">
        <v>32</v>
      </c>
      <c r="K1237" s="1" t="s">
        <v>332</v>
      </c>
      <c r="L1237" s="1" t="s">
        <v>5702</v>
      </c>
      <c r="M1237" s="1" t="s">
        <v>5722</v>
      </c>
      <c r="N1237" s="1" t="s">
        <v>5706</v>
      </c>
      <c r="O1237" s="1" t="s">
        <v>9237</v>
      </c>
    </row>
    <row r="1238" spans="8:15" x14ac:dyDescent="0.25">
      <c r="H1238" s="1">
        <v>1464592</v>
      </c>
      <c r="I1238" s="4">
        <v>46330.666666666664</v>
      </c>
      <c r="J1238" s="1" t="s">
        <v>32</v>
      </c>
      <c r="K1238" s="1" t="s">
        <v>332</v>
      </c>
      <c r="L1238" s="1" t="s">
        <v>5702</v>
      </c>
      <c r="M1238" s="1" t="s">
        <v>5719</v>
      </c>
      <c r="N1238" s="1" t="s">
        <v>5715</v>
      </c>
      <c r="O1238" s="1" t="s">
        <v>9238</v>
      </c>
    </row>
    <row r="1239" spans="8:15" x14ac:dyDescent="0.25">
      <c r="H1239" s="1">
        <v>1464593</v>
      </c>
      <c r="I1239" s="4">
        <v>46330.666666666664</v>
      </c>
      <c r="J1239" s="1" t="s">
        <v>32</v>
      </c>
      <c r="K1239" s="1" t="s">
        <v>332</v>
      </c>
      <c r="L1239" s="1" t="s">
        <v>5702</v>
      </c>
      <c r="M1239" s="1" t="s">
        <v>5713</v>
      </c>
      <c r="N1239" s="1" t="s">
        <v>5703</v>
      </c>
      <c r="O1239" s="1" t="s">
        <v>9239</v>
      </c>
    </row>
    <row r="1240" spans="8:15" x14ac:dyDescent="0.25">
      <c r="H1240" s="1">
        <v>1464594</v>
      </c>
      <c r="I1240" s="4">
        <v>46330.666666666664</v>
      </c>
      <c r="J1240" s="1" t="s">
        <v>32</v>
      </c>
      <c r="K1240" s="1" t="s">
        <v>332</v>
      </c>
      <c r="L1240" s="1" t="s">
        <v>5702</v>
      </c>
      <c r="M1240" s="1" t="s">
        <v>5716</v>
      </c>
      <c r="N1240" s="1" t="s">
        <v>5704</v>
      </c>
      <c r="O1240" s="1" t="s">
        <v>9240</v>
      </c>
    </row>
    <row r="1241" spans="8:15" x14ac:dyDescent="0.25">
      <c r="H1241" s="1">
        <v>1464595</v>
      </c>
      <c r="I1241" s="4">
        <v>46330.666666666664</v>
      </c>
      <c r="J1241" s="1" t="s">
        <v>32</v>
      </c>
      <c r="K1241" s="1" t="s">
        <v>332</v>
      </c>
      <c r="L1241" s="1" t="s">
        <v>5702</v>
      </c>
      <c r="M1241" s="1" t="s">
        <v>5709</v>
      </c>
      <c r="N1241" s="1" t="s">
        <v>5718</v>
      </c>
      <c r="O1241" s="1" t="s">
        <v>9241</v>
      </c>
    </row>
    <row r="1242" spans="8:15" x14ac:dyDescent="0.25">
      <c r="H1242" s="1">
        <v>1464596</v>
      </c>
      <c r="I1242" s="4">
        <v>46330.666666666664</v>
      </c>
      <c r="J1242" s="1" t="s">
        <v>32</v>
      </c>
      <c r="K1242" s="1" t="s">
        <v>332</v>
      </c>
      <c r="L1242" s="1" t="s">
        <v>5702</v>
      </c>
      <c r="M1242" s="1" t="s">
        <v>5710</v>
      </c>
      <c r="N1242" s="1" t="s">
        <v>5712</v>
      </c>
      <c r="O1242" s="1" t="s">
        <v>9242</v>
      </c>
    </row>
    <row r="1243" spans="8:15" x14ac:dyDescent="0.25">
      <c r="H1243" s="1">
        <v>1464597</v>
      </c>
      <c r="I1243" s="4">
        <v>46330.666666666664</v>
      </c>
      <c r="J1243" s="1" t="s">
        <v>32</v>
      </c>
      <c r="K1243" s="1" t="s">
        <v>332</v>
      </c>
      <c r="L1243" s="1" t="s">
        <v>5702</v>
      </c>
      <c r="M1243" s="1" t="s">
        <v>5707</v>
      </c>
      <c r="N1243" s="1" t="s">
        <v>5724</v>
      </c>
      <c r="O1243" s="1" t="s">
        <v>9243</v>
      </c>
    </row>
    <row r="1244" spans="8:15" x14ac:dyDescent="0.25">
      <c r="H1244" s="1">
        <v>1464598</v>
      </c>
      <c r="I1244" s="4">
        <v>46330.666666666664</v>
      </c>
      <c r="J1244" s="1" t="s">
        <v>32</v>
      </c>
      <c r="K1244" s="1" t="s">
        <v>332</v>
      </c>
      <c r="L1244" s="1" t="s">
        <v>5702</v>
      </c>
      <c r="M1244" s="1" t="s">
        <v>5725</v>
      </c>
      <c r="N1244" s="1" t="s">
        <v>5721</v>
      </c>
      <c r="O1244" s="1" t="s">
        <v>9244</v>
      </c>
    </row>
    <row r="1245" spans="8:15" x14ac:dyDescent="0.25">
      <c r="H1245" s="1">
        <v>1465263</v>
      </c>
      <c r="I1245" s="4">
        <v>46330.666666666664</v>
      </c>
      <c r="J1245" s="1" t="s">
        <v>32</v>
      </c>
      <c r="K1245" s="1" t="s">
        <v>332</v>
      </c>
      <c r="L1245" s="1" t="s">
        <v>5727</v>
      </c>
      <c r="M1245" s="1" t="s">
        <v>5731</v>
      </c>
      <c r="N1245" s="1" t="s">
        <v>5743</v>
      </c>
      <c r="O1245" s="1" t="s">
        <v>9245</v>
      </c>
    </row>
    <row r="1246" spans="8:15" x14ac:dyDescent="0.25">
      <c r="H1246" s="1">
        <v>1465264</v>
      </c>
      <c r="I1246" s="4">
        <v>46330.666666666664</v>
      </c>
      <c r="J1246" s="1" t="s">
        <v>32</v>
      </c>
      <c r="K1246" s="1" t="s">
        <v>332</v>
      </c>
      <c r="L1246" s="1" t="s">
        <v>5727</v>
      </c>
      <c r="M1246" s="1" t="s">
        <v>5738</v>
      </c>
      <c r="N1246" s="1" t="s">
        <v>5735</v>
      </c>
      <c r="O1246" s="1" t="s">
        <v>9246</v>
      </c>
    </row>
    <row r="1247" spans="8:15" x14ac:dyDescent="0.25">
      <c r="H1247" s="1">
        <v>1465265</v>
      </c>
      <c r="I1247" s="4">
        <v>46330.666666666664</v>
      </c>
      <c r="J1247" s="1" t="s">
        <v>32</v>
      </c>
      <c r="K1247" s="1" t="s">
        <v>332</v>
      </c>
      <c r="L1247" s="1" t="s">
        <v>5727</v>
      </c>
      <c r="M1247" s="1" t="s">
        <v>5737</v>
      </c>
      <c r="N1247" s="1" t="s">
        <v>5732</v>
      </c>
      <c r="O1247" s="1" t="s">
        <v>9247</v>
      </c>
    </row>
    <row r="1248" spans="8:15" x14ac:dyDescent="0.25">
      <c r="H1248" s="1">
        <v>1465266</v>
      </c>
      <c r="I1248" s="4">
        <v>46330.666666666664</v>
      </c>
      <c r="J1248" s="1" t="s">
        <v>32</v>
      </c>
      <c r="K1248" s="1" t="s">
        <v>332</v>
      </c>
      <c r="L1248" s="1" t="s">
        <v>5727</v>
      </c>
      <c r="M1248" s="1" t="s">
        <v>5746</v>
      </c>
      <c r="N1248" s="1" t="s">
        <v>5740</v>
      </c>
      <c r="O1248" s="1" t="s">
        <v>9248</v>
      </c>
    </row>
    <row r="1249" spans="8:15" x14ac:dyDescent="0.25">
      <c r="H1249" s="1">
        <v>1465267</v>
      </c>
      <c r="I1249" s="4">
        <v>46330.666666666664</v>
      </c>
      <c r="J1249" s="1" t="s">
        <v>32</v>
      </c>
      <c r="K1249" s="1" t="s">
        <v>332</v>
      </c>
      <c r="L1249" s="1" t="s">
        <v>5727</v>
      </c>
      <c r="M1249" s="1" t="s">
        <v>5728</v>
      </c>
      <c r="N1249" s="1" t="s">
        <v>5747</v>
      </c>
      <c r="O1249" s="1" t="s">
        <v>9249</v>
      </c>
    </row>
    <row r="1250" spans="8:15" x14ac:dyDescent="0.25">
      <c r="H1250" s="1">
        <v>1465268</v>
      </c>
      <c r="I1250" s="4">
        <v>46330.666666666664</v>
      </c>
      <c r="J1250" s="1" t="s">
        <v>32</v>
      </c>
      <c r="K1250" s="1" t="s">
        <v>332</v>
      </c>
      <c r="L1250" s="1" t="s">
        <v>5727</v>
      </c>
      <c r="M1250" s="1" t="s">
        <v>5734</v>
      </c>
      <c r="N1250" s="1" t="s">
        <v>5741</v>
      </c>
      <c r="O1250" s="1" t="s">
        <v>9250</v>
      </c>
    </row>
    <row r="1251" spans="8:15" x14ac:dyDescent="0.25">
      <c r="H1251" s="1">
        <v>1465269</v>
      </c>
      <c r="I1251" s="4">
        <v>46330.666666666664</v>
      </c>
      <c r="J1251" s="1" t="s">
        <v>32</v>
      </c>
      <c r="K1251" s="1" t="s">
        <v>332</v>
      </c>
      <c r="L1251" s="1" t="s">
        <v>5727</v>
      </c>
      <c r="M1251" s="1" t="s">
        <v>5729</v>
      </c>
      <c r="N1251" s="1" t="s">
        <v>5744</v>
      </c>
      <c r="O1251" s="1" t="s">
        <v>9251</v>
      </c>
    </row>
    <row r="1252" spans="8:15" x14ac:dyDescent="0.25">
      <c r="H1252" s="1">
        <v>1468734</v>
      </c>
      <c r="I1252" s="4">
        <v>46330.666666666664</v>
      </c>
      <c r="J1252" s="1" t="s">
        <v>32</v>
      </c>
      <c r="K1252" s="1" t="s">
        <v>98</v>
      </c>
      <c r="L1252" s="1" t="s">
        <v>49</v>
      </c>
      <c r="M1252" s="1" t="s">
        <v>9252</v>
      </c>
      <c r="N1252" s="1" t="s">
        <v>1965</v>
      </c>
      <c r="O1252" s="1" t="s">
        <v>9253</v>
      </c>
    </row>
    <row r="1253" spans="8:15" x14ac:dyDescent="0.25">
      <c r="H1253" s="1">
        <v>1471741</v>
      </c>
      <c r="I1253" s="4">
        <v>46330.666666666664</v>
      </c>
      <c r="J1253" s="1" t="s">
        <v>32</v>
      </c>
      <c r="K1253" s="1" t="s">
        <v>329</v>
      </c>
      <c r="L1253" s="1" t="s">
        <v>330</v>
      </c>
      <c r="M1253" s="1" t="s">
        <v>5754</v>
      </c>
      <c r="N1253" s="1" t="s">
        <v>9254</v>
      </c>
      <c r="O1253" s="1" t="s">
        <v>9255</v>
      </c>
    </row>
    <row r="1254" spans="8:15" x14ac:dyDescent="0.25">
      <c r="H1254" s="1">
        <v>1471744</v>
      </c>
      <c r="I1254" s="4">
        <v>46330.666666666664</v>
      </c>
      <c r="J1254" s="1" t="s">
        <v>32</v>
      </c>
      <c r="K1254" s="1" t="s">
        <v>329</v>
      </c>
      <c r="L1254" s="1" t="s">
        <v>330</v>
      </c>
      <c r="M1254" s="1" t="s">
        <v>637</v>
      </c>
      <c r="N1254" s="1" t="s">
        <v>9256</v>
      </c>
      <c r="O1254" s="1" t="s">
        <v>9257</v>
      </c>
    </row>
    <row r="1255" spans="8:15" x14ac:dyDescent="0.25">
      <c r="H1255" s="1">
        <v>1471825</v>
      </c>
      <c r="I1255" s="4">
        <v>46330.666666666664</v>
      </c>
      <c r="J1255" s="1" t="s">
        <v>32</v>
      </c>
      <c r="K1255" s="1" t="s">
        <v>329</v>
      </c>
      <c r="L1255" s="1" t="s">
        <v>330</v>
      </c>
      <c r="M1255" s="1" t="s">
        <v>542</v>
      </c>
      <c r="N1255" s="1" t="s">
        <v>1754</v>
      </c>
      <c r="O1255" s="1" t="s">
        <v>9258</v>
      </c>
    </row>
    <row r="1256" spans="8:15" x14ac:dyDescent="0.25">
      <c r="H1256" s="1">
        <v>1471826</v>
      </c>
      <c r="I1256" s="4">
        <v>46330.666666666664</v>
      </c>
      <c r="J1256" s="1" t="s">
        <v>32</v>
      </c>
      <c r="K1256" s="1" t="s">
        <v>329</v>
      </c>
      <c r="L1256" s="1" t="s">
        <v>330</v>
      </c>
      <c r="M1256" s="1" t="s">
        <v>1969</v>
      </c>
      <c r="N1256" s="1" t="s">
        <v>9259</v>
      </c>
      <c r="O1256" s="1" t="s">
        <v>9260</v>
      </c>
    </row>
    <row r="1257" spans="8:15" x14ac:dyDescent="0.25">
      <c r="H1257" s="1">
        <v>1474860</v>
      </c>
      <c r="I1257" s="4">
        <v>46330.666666666664</v>
      </c>
      <c r="J1257" s="1" t="s">
        <v>32</v>
      </c>
      <c r="K1257" s="1" t="s">
        <v>267</v>
      </c>
      <c r="L1257" s="1" t="s">
        <v>632</v>
      </c>
      <c r="M1257" s="1" t="s">
        <v>1756</v>
      </c>
      <c r="N1257" s="1" t="s">
        <v>4709</v>
      </c>
      <c r="O1257" s="1" t="s">
        <v>9261</v>
      </c>
    </row>
    <row r="1258" spans="8:15" x14ac:dyDescent="0.25">
      <c r="H1258" s="1">
        <v>1474861</v>
      </c>
      <c r="I1258" s="4">
        <v>46330.666666666664</v>
      </c>
      <c r="J1258" s="1" t="s">
        <v>32</v>
      </c>
      <c r="K1258" s="1" t="s">
        <v>267</v>
      </c>
      <c r="L1258" s="1" t="s">
        <v>632</v>
      </c>
      <c r="M1258" s="1" t="s">
        <v>1755</v>
      </c>
      <c r="N1258" s="1" t="s">
        <v>5796</v>
      </c>
      <c r="O1258" s="1" t="s">
        <v>9262</v>
      </c>
    </row>
    <row r="1259" spans="8:15" x14ac:dyDescent="0.25">
      <c r="H1259" s="1">
        <v>1479124</v>
      </c>
      <c r="I1259" s="4">
        <v>46330.666666666664</v>
      </c>
      <c r="J1259" s="1" t="s">
        <v>32</v>
      </c>
      <c r="K1259" s="1" t="s">
        <v>98</v>
      </c>
      <c r="L1259" s="1" t="s">
        <v>237</v>
      </c>
      <c r="M1259" s="1" t="s">
        <v>9263</v>
      </c>
      <c r="N1259" s="1" t="s">
        <v>9264</v>
      </c>
      <c r="O1259" s="1" t="s">
        <v>9265</v>
      </c>
    </row>
    <row r="1260" spans="8:15" x14ac:dyDescent="0.25">
      <c r="H1260" s="1">
        <v>1479131</v>
      </c>
      <c r="I1260" s="4">
        <v>46330.666666666664</v>
      </c>
      <c r="J1260" s="1" t="s">
        <v>32</v>
      </c>
      <c r="K1260" s="1" t="s">
        <v>98</v>
      </c>
      <c r="L1260" s="1" t="s">
        <v>237</v>
      </c>
      <c r="M1260" s="1" t="s">
        <v>1981</v>
      </c>
      <c r="N1260" s="1" t="s">
        <v>1983</v>
      </c>
      <c r="O1260" s="1" t="s">
        <v>9266</v>
      </c>
    </row>
    <row r="1261" spans="8:15" x14ac:dyDescent="0.25">
      <c r="H1261" s="1">
        <v>1479132</v>
      </c>
      <c r="I1261" s="4">
        <v>46330.666666666664</v>
      </c>
      <c r="J1261" s="1" t="s">
        <v>32</v>
      </c>
      <c r="K1261" s="1" t="s">
        <v>98</v>
      </c>
      <c r="L1261" s="1" t="s">
        <v>237</v>
      </c>
      <c r="M1261" s="1" t="s">
        <v>9267</v>
      </c>
      <c r="N1261" s="1" t="s">
        <v>1990</v>
      </c>
      <c r="O1261" s="1" t="s">
        <v>9268</v>
      </c>
    </row>
    <row r="1262" spans="8:15" x14ac:dyDescent="0.25">
      <c r="H1262" s="1">
        <v>1479138</v>
      </c>
      <c r="I1262" s="4">
        <v>46330.666666666664</v>
      </c>
      <c r="J1262" s="1" t="s">
        <v>32</v>
      </c>
      <c r="K1262" s="1" t="s">
        <v>98</v>
      </c>
      <c r="L1262" s="1" t="s">
        <v>237</v>
      </c>
      <c r="M1262" s="1" t="s">
        <v>5850</v>
      </c>
      <c r="N1262" s="1" t="s">
        <v>1974</v>
      </c>
      <c r="O1262" s="1" t="s">
        <v>9269</v>
      </c>
    </row>
    <row r="1263" spans="8:15" x14ac:dyDescent="0.25">
      <c r="H1263" s="1">
        <v>1479139</v>
      </c>
      <c r="I1263" s="4">
        <v>46330.666666666664</v>
      </c>
      <c r="J1263" s="1" t="s">
        <v>32</v>
      </c>
      <c r="K1263" s="1" t="s">
        <v>98</v>
      </c>
      <c r="L1263" s="1" t="s">
        <v>237</v>
      </c>
      <c r="M1263" s="1" t="s">
        <v>9270</v>
      </c>
      <c r="N1263" s="1" t="s">
        <v>1972</v>
      </c>
      <c r="O1263" s="1" t="s">
        <v>9271</v>
      </c>
    </row>
    <row r="1264" spans="8:15" x14ac:dyDescent="0.25">
      <c r="H1264" s="1">
        <v>1479142</v>
      </c>
      <c r="I1264" s="4">
        <v>46330.666666666664</v>
      </c>
      <c r="J1264" s="1" t="s">
        <v>32</v>
      </c>
      <c r="K1264" s="1" t="s">
        <v>98</v>
      </c>
      <c r="L1264" s="1" t="s">
        <v>237</v>
      </c>
      <c r="M1264" s="1" t="s">
        <v>9272</v>
      </c>
      <c r="N1264" s="1" t="s">
        <v>1984</v>
      </c>
      <c r="O1264" s="1" t="s">
        <v>9273</v>
      </c>
    </row>
    <row r="1265" spans="8:15" x14ac:dyDescent="0.25">
      <c r="H1265" s="1">
        <v>1479143</v>
      </c>
      <c r="I1265" s="4">
        <v>46330.666666666664</v>
      </c>
      <c r="J1265" s="1" t="s">
        <v>32</v>
      </c>
      <c r="K1265" s="1" t="s">
        <v>98</v>
      </c>
      <c r="L1265" s="1" t="s">
        <v>237</v>
      </c>
      <c r="M1265" s="1" t="s">
        <v>9274</v>
      </c>
      <c r="N1265" s="1" t="s">
        <v>1977</v>
      </c>
      <c r="O1265" s="1" t="s">
        <v>9275</v>
      </c>
    </row>
    <row r="1266" spans="8:15" x14ac:dyDescent="0.25">
      <c r="H1266" s="1">
        <v>1497526</v>
      </c>
      <c r="I1266" s="4">
        <v>46330.666666666664</v>
      </c>
      <c r="J1266" s="1" t="s">
        <v>32</v>
      </c>
      <c r="K1266" s="1" t="s">
        <v>275</v>
      </c>
      <c r="L1266" s="1" t="s">
        <v>7689</v>
      </c>
      <c r="M1266" s="1" t="s">
        <v>1780</v>
      </c>
      <c r="N1266" s="1" t="s">
        <v>5918</v>
      </c>
      <c r="O1266" s="1" t="s">
        <v>9276</v>
      </c>
    </row>
    <row r="1267" spans="8:15" x14ac:dyDescent="0.25">
      <c r="H1267" s="1">
        <v>1498225</v>
      </c>
      <c r="I1267" s="4">
        <v>46330.666666666664</v>
      </c>
      <c r="J1267" s="1" t="s">
        <v>32</v>
      </c>
      <c r="K1267" s="1" t="s">
        <v>18</v>
      </c>
      <c r="L1267" s="1" t="s">
        <v>500</v>
      </c>
      <c r="M1267" s="1" t="s">
        <v>5858</v>
      </c>
      <c r="N1267" s="1" t="s">
        <v>5863</v>
      </c>
      <c r="O1267" s="1" t="s">
        <v>9277</v>
      </c>
    </row>
    <row r="1268" spans="8:15" x14ac:dyDescent="0.25">
      <c r="H1268" s="1">
        <v>1498226</v>
      </c>
      <c r="I1268" s="4">
        <v>46330.666666666664</v>
      </c>
      <c r="J1268" s="1" t="s">
        <v>32</v>
      </c>
      <c r="K1268" s="1" t="s">
        <v>18</v>
      </c>
      <c r="L1268" s="1" t="s">
        <v>500</v>
      </c>
      <c r="M1268" s="1" t="s">
        <v>2001</v>
      </c>
      <c r="N1268" s="1" t="s">
        <v>9278</v>
      </c>
      <c r="O1268" s="1" t="s">
        <v>9279</v>
      </c>
    </row>
    <row r="1269" spans="8:15" x14ac:dyDescent="0.25">
      <c r="H1269" s="1">
        <v>1498227</v>
      </c>
      <c r="I1269" s="4">
        <v>46330.666666666664</v>
      </c>
      <c r="J1269" s="1" t="s">
        <v>32</v>
      </c>
      <c r="K1269" s="1" t="s">
        <v>18</v>
      </c>
      <c r="L1269" s="1" t="s">
        <v>500</v>
      </c>
      <c r="M1269" s="1" t="s">
        <v>2000</v>
      </c>
      <c r="N1269" s="1" t="s">
        <v>9280</v>
      </c>
      <c r="O1269" s="1" t="s">
        <v>9281</v>
      </c>
    </row>
    <row r="1270" spans="8:15" x14ac:dyDescent="0.25">
      <c r="H1270" s="1">
        <v>1498228</v>
      </c>
      <c r="I1270" s="4">
        <v>46330.666666666664</v>
      </c>
      <c r="J1270" s="1" t="s">
        <v>32</v>
      </c>
      <c r="K1270" s="1" t="s">
        <v>18</v>
      </c>
      <c r="L1270" s="1" t="s">
        <v>500</v>
      </c>
      <c r="M1270" s="1" t="s">
        <v>9282</v>
      </c>
      <c r="N1270" s="1" t="s">
        <v>5864</v>
      </c>
      <c r="O1270" s="1" t="s">
        <v>9283</v>
      </c>
    </row>
    <row r="1271" spans="8:15" x14ac:dyDescent="0.25">
      <c r="H1271" s="1">
        <v>1504201</v>
      </c>
      <c r="I1271" s="4">
        <v>46330.666666666664</v>
      </c>
      <c r="J1271" s="1" t="s">
        <v>32</v>
      </c>
      <c r="K1271" s="1" t="s">
        <v>5924</v>
      </c>
      <c r="L1271" s="1" t="s">
        <v>9284</v>
      </c>
      <c r="M1271" s="1" t="s">
        <v>3537</v>
      </c>
      <c r="N1271" s="1" t="s">
        <v>9285</v>
      </c>
      <c r="O1271" s="1" t="s">
        <v>9286</v>
      </c>
    </row>
    <row r="1272" spans="8:15" x14ac:dyDescent="0.25">
      <c r="H1272" s="1">
        <v>1506795</v>
      </c>
      <c r="I1272" s="4">
        <v>46330.666666666664</v>
      </c>
      <c r="J1272" s="1" t="s">
        <v>32</v>
      </c>
      <c r="K1272" s="1" t="s">
        <v>53</v>
      </c>
      <c r="L1272" s="1" t="s">
        <v>5872</v>
      </c>
      <c r="M1272" s="1" t="s">
        <v>9287</v>
      </c>
      <c r="N1272" s="1" t="s">
        <v>5876</v>
      </c>
      <c r="O1272" s="1" t="s">
        <v>9288</v>
      </c>
    </row>
    <row r="1273" spans="8:15" x14ac:dyDescent="0.25">
      <c r="H1273" s="1">
        <v>1506796</v>
      </c>
      <c r="I1273" s="4">
        <v>46330.666666666664</v>
      </c>
      <c r="J1273" s="1" t="s">
        <v>32</v>
      </c>
      <c r="K1273" s="1" t="s">
        <v>53</v>
      </c>
      <c r="L1273" s="1" t="s">
        <v>5872</v>
      </c>
      <c r="M1273" s="1" t="s">
        <v>9289</v>
      </c>
      <c r="N1273" s="1" t="s">
        <v>9290</v>
      </c>
      <c r="O1273" s="1" t="s">
        <v>9291</v>
      </c>
    </row>
    <row r="1274" spans="8:15" x14ac:dyDescent="0.25">
      <c r="H1274" s="1">
        <v>1506797</v>
      </c>
      <c r="I1274" s="4">
        <v>46330.666666666664</v>
      </c>
      <c r="J1274" s="1" t="s">
        <v>32</v>
      </c>
      <c r="K1274" s="1" t="s">
        <v>53</v>
      </c>
      <c r="L1274" s="1" t="s">
        <v>5872</v>
      </c>
      <c r="M1274" s="1" t="s">
        <v>9292</v>
      </c>
      <c r="N1274" s="1" t="s">
        <v>9293</v>
      </c>
      <c r="O1274" s="1" t="s">
        <v>9294</v>
      </c>
    </row>
    <row r="1275" spans="8:15" x14ac:dyDescent="0.25">
      <c r="H1275" s="1">
        <v>1506798</v>
      </c>
      <c r="I1275" s="4">
        <v>46330.666666666664</v>
      </c>
      <c r="J1275" s="1" t="s">
        <v>32</v>
      </c>
      <c r="K1275" s="1" t="s">
        <v>53</v>
      </c>
      <c r="L1275" s="1" t="s">
        <v>5872</v>
      </c>
      <c r="M1275" s="1" t="s">
        <v>9295</v>
      </c>
      <c r="N1275" s="1" t="s">
        <v>5874</v>
      </c>
      <c r="O1275" s="1" t="s">
        <v>9296</v>
      </c>
    </row>
    <row r="1276" spans="8:15" x14ac:dyDescent="0.25">
      <c r="H1276" s="1">
        <v>1506799</v>
      </c>
      <c r="I1276" s="4">
        <v>46330.666666666664</v>
      </c>
      <c r="J1276" s="1" t="s">
        <v>32</v>
      </c>
      <c r="K1276" s="1" t="s">
        <v>53</v>
      </c>
      <c r="L1276" s="1" t="s">
        <v>5872</v>
      </c>
      <c r="M1276" s="1" t="s">
        <v>9297</v>
      </c>
      <c r="N1276" s="1" t="s">
        <v>9298</v>
      </c>
      <c r="O1276" s="1" t="s">
        <v>9299</v>
      </c>
    </row>
    <row r="1277" spans="8:15" x14ac:dyDescent="0.25">
      <c r="H1277" s="1">
        <v>1506838</v>
      </c>
      <c r="I1277" s="4">
        <v>46330.666666666664</v>
      </c>
      <c r="J1277" s="1" t="s">
        <v>32</v>
      </c>
      <c r="K1277" s="1" t="s">
        <v>53</v>
      </c>
      <c r="L1277" s="1" t="s">
        <v>5872</v>
      </c>
      <c r="M1277" s="1" t="s">
        <v>9300</v>
      </c>
      <c r="N1277" s="1" t="s">
        <v>6150</v>
      </c>
      <c r="O1277" s="1" t="s">
        <v>9301</v>
      </c>
    </row>
    <row r="1278" spans="8:15" x14ac:dyDescent="0.25">
      <c r="H1278" s="1">
        <v>1507098</v>
      </c>
      <c r="I1278" s="4">
        <v>46330.666666666664</v>
      </c>
      <c r="J1278" s="1" t="s">
        <v>32</v>
      </c>
      <c r="K1278" s="1" t="s">
        <v>408</v>
      </c>
      <c r="L1278" s="1" t="s">
        <v>7701</v>
      </c>
      <c r="M1278" s="1" t="s">
        <v>9302</v>
      </c>
      <c r="N1278" s="1" t="s">
        <v>9303</v>
      </c>
      <c r="O1278" s="1" t="s">
        <v>9304</v>
      </c>
    </row>
    <row r="1279" spans="8:15" x14ac:dyDescent="0.25">
      <c r="H1279" s="1">
        <v>1515610</v>
      </c>
      <c r="I1279" s="4">
        <v>46330.666666666664</v>
      </c>
      <c r="J1279" s="1" t="s">
        <v>32</v>
      </c>
      <c r="K1279" s="1" t="s">
        <v>86</v>
      </c>
      <c r="L1279" s="1" t="s">
        <v>655</v>
      </c>
      <c r="M1279" s="1" t="s">
        <v>2021</v>
      </c>
      <c r="N1279" s="1" t="s">
        <v>1772</v>
      </c>
      <c r="O1279" s="1" t="s">
        <v>9305</v>
      </c>
    </row>
    <row r="1280" spans="8:15" x14ac:dyDescent="0.25">
      <c r="H1280" s="1">
        <v>1521843</v>
      </c>
      <c r="I1280" s="4">
        <v>46330.666666666664</v>
      </c>
      <c r="J1280" s="1" t="s">
        <v>32</v>
      </c>
      <c r="K1280" s="1" t="s">
        <v>493</v>
      </c>
      <c r="L1280" s="1" t="s">
        <v>265</v>
      </c>
      <c r="M1280" s="1" t="s">
        <v>1459</v>
      </c>
      <c r="N1280" s="1" t="s">
        <v>4788</v>
      </c>
      <c r="O1280" s="1" t="s">
        <v>9306</v>
      </c>
    </row>
    <row r="1281" spans="8:15" x14ac:dyDescent="0.25">
      <c r="H1281" s="1">
        <v>1521844</v>
      </c>
      <c r="I1281" s="4">
        <v>46330.666666666664</v>
      </c>
      <c r="J1281" s="1" t="s">
        <v>32</v>
      </c>
      <c r="K1281" s="1" t="s">
        <v>493</v>
      </c>
      <c r="L1281" s="1" t="s">
        <v>265</v>
      </c>
      <c r="M1281" s="1" t="s">
        <v>2147</v>
      </c>
      <c r="N1281" s="1" t="s">
        <v>6148</v>
      </c>
      <c r="O1281" s="1" t="s">
        <v>9307</v>
      </c>
    </row>
    <row r="1282" spans="8:15" x14ac:dyDescent="0.25">
      <c r="H1282" s="1">
        <v>1525828</v>
      </c>
      <c r="I1282" s="4">
        <v>46330.666666666664</v>
      </c>
      <c r="J1282" s="1" t="s">
        <v>32</v>
      </c>
      <c r="K1282" s="1" t="s">
        <v>389</v>
      </c>
      <c r="L1282" s="1" t="s">
        <v>49</v>
      </c>
      <c r="M1282" s="1" t="s">
        <v>1507</v>
      </c>
      <c r="N1282" s="1" t="s">
        <v>597</v>
      </c>
      <c r="O1282" s="1" t="s">
        <v>9308</v>
      </c>
    </row>
    <row r="1283" spans="8:15" x14ac:dyDescent="0.25">
      <c r="H1283" s="1">
        <v>1527927</v>
      </c>
      <c r="I1283" s="4">
        <v>46330.666666666664</v>
      </c>
      <c r="J1283" s="1" t="s">
        <v>32</v>
      </c>
      <c r="K1283" s="1" t="s">
        <v>569</v>
      </c>
      <c r="L1283" s="1" t="s">
        <v>49</v>
      </c>
      <c r="M1283" s="1" t="s">
        <v>1513</v>
      </c>
      <c r="N1283" s="1" t="s">
        <v>9309</v>
      </c>
      <c r="O1283" s="1" t="s">
        <v>9310</v>
      </c>
    </row>
    <row r="1284" spans="8:15" x14ac:dyDescent="0.25">
      <c r="H1284" s="1">
        <v>1529074</v>
      </c>
      <c r="I1284" s="4">
        <v>46330.666666666664</v>
      </c>
      <c r="J1284" s="1" t="s">
        <v>32</v>
      </c>
      <c r="K1284" s="1" t="s">
        <v>354</v>
      </c>
      <c r="L1284" s="1" t="s">
        <v>75</v>
      </c>
      <c r="M1284" s="1" t="s">
        <v>9311</v>
      </c>
      <c r="N1284" s="1" t="s">
        <v>9312</v>
      </c>
      <c r="O1284" s="1" t="s">
        <v>9313</v>
      </c>
    </row>
    <row r="1285" spans="8:15" x14ac:dyDescent="0.25">
      <c r="H1285" s="1">
        <v>1529502</v>
      </c>
      <c r="I1285" s="4">
        <v>46330.666666666664</v>
      </c>
      <c r="J1285" s="1" t="s">
        <v>32</v>
      </c>
      <c r="K1285" s="1" t="s">
        <v>544</v>
      </c>
      <c r="L1285" s="1" t="s">
        <v>4863</v>
      </c>
      <c r="M1285" s="1" t="s">
        <v>9314</v>
      </c>
      <c r="N1285" s="1" t="s">
        <v>9315</v>
      </c>
      <c r="O1285" s="1" t="s">
        <v>9316</v>
      </c>
    </row>
    <row r="1286" spans="8:15" x14ac:dyDescent="0.25">
      <c r="H1286" s="1">
        <v>1531266</v>
      </c>
      <c r="I1286" s="4">
        <v>46330.666666666664</v>
      </c>
      <c r="J1286" s="1" t="s">
        <v>32</v>
      </c>
      <c r="K1286" s="1" t="s">
        <v>332</v>
      </c>
      <c r="L1286" s="1" t="s">
        <v>347</v>
      </c>
      <c r="M1286" s="1" t="s">
        <v>2077</v>
      </c>
      <c r="N1286" s="1" t="s">
        <v>2073</v>
      </c>
      <c r="O1286" s="1" t="s">
        <v>9317</v>
      </c>
    </row>
    <row r="1287" spans="8:15" x14ac:dyDescent="0.25">
      <c r="H1287" s="1">
        <v>1531267</v>
      </c>
      <c r="I1287" s="4">
        <v>46330.666666666664</v>
      </c>
      <c r="J1287" s="1" t="s">
        <v>32</v>
      </c>
      <c r="K1287" s="1" t="s">
        <v>332</v>
      </c>
      <c r="L1287" s="1" t="s">
        <v>347</v>
      </c>
      <c r="M1287" s="1" t="s">
        <v>2068</v>
      </c>
      <c r="N1287" s="1" t="s">
        <v>2074</v>
      </c>
      <c r="O1287" s="1" t="s">
        <v>9318</v>
      </c>
    </row>
    <row r="1288" spans="8:15" x14ac:dyDescent="0.25">
      <c r="H1288" s="1">
        <v>1532476</v>
      </c>
      <c r="I1288" s="4">
        <v>46330.666666666664</v>
      </c>
      <c r="J1288" s="1" t="s">
        <v>32</v>
      </c>
      <c r="K1288" s="1" t="s">
        <v>9319</v>
      </c>
      <c r="L1288" s="1" t="s">
        <v>9320</v>
      </c>
      <c r="M1288" s="1" t="s">
        <v>9321</v>
      </c>
      <c r="N1288" s="1" t="s">
        <v>9322</v>
      </c>
      <c r="O1288" s="1" t="s">
        <v>9323</v>
      </c>
    </row>
    <row r="1289" spans="8:15" x14ac:dyDescent="0.25">
      <c r="H1289" s="1">
        <v>1532477</v>
      </c>
      <c r="I1289" s="4">
        <v>46330.666666666664</v>
      </c>
      <c r="J1289" s="1" t="s">
        <v>32</v>
      </c>
      <c r="K1289" s="1" t="s">
        <v>9319</v>
      </c>
      <c r="L1289" s="1" t="s">
        <v>9320</v>
      </c>
      <c r="M1289" s="1" t="s">
        <v>9324</v>
      </c>
      <c r="N1289" s="1" t="s">
        <v>9325</v>
      </c>
      <c r="O1289" s="1" t="s">
        <v>9326</v>
      </c>
    </row>
    <row r="1290" spans="8:15" x14ac:dyDescent="0.25">
      <c r="H1290" s="1">
        <v>1532478</v>
      </c>
      <c r="I1290" s="4">
        <v>46330.666666666664</v>
      </c>
      <c r="J1290" s="1" t="s">
        <v>32</v>
      </c>
      <c r="K1290" s="1" t="s">
        <v>9319</v>
      </c>
      <c r="L1290" s="1" t="s">
        <v>9320</v>
      </c>
      <c r="M1290" s="1" t="s">
        <v>9327</v>
      </c>
      <c r="N1290" s="1" t="s">
        <v>9328</v>
      </c>
      <c r="O1290" s="1" t="s">
        <v>9329</v>
      </c>
    </row>
    <row r="1291" spans="8:15" x14ac:dyDescent="0.25">
      <c r="H1291" s="1">
        <v>1533667</v>
      </c>
      <c r="I1291" s="4">
        <v>46330.666666666664</v>
      </c>
      <c r="J1291" s="1" t="s">
        <v>32</v>
      </c>
      <c r="K1291" s="1" t="s">
        <v>219</v>
      </c>
      <c r="L1291" s="1" t="s">
        <v>49</v>
      </c>
      <c r="M1291" s="1" t="s">
        <v>2536</v>
      </c>
      <c r="N1291" s="1" t="s">
        <v>6840</v>
      </c>
      <c r="O1291" s="1" t="s">
        <v>9330</v>
      </c>
    </row>
    <row r="1292" spans="8:15" x14ac:dyDescent="0.25">
      <c r="H1292" s="1">
        <v>1534523</v>
      </c>
      <c r="I1292" s="4">
        <v>46330.666666666664</v>
      </c>
      <c r="J1292" s="1" t="s">
        <v>32</v>
      </c>
      <c r="K1292" s="1" t="s">
        <v>389</v>
      </c>
      <c r="L1292" s="1" t="s">
        <v>335</v>
      </c>
      <c r="M1292" s="1" t="s">
        <v>9331</v>
      </c>
      <c r="N1292" s="1" t="s">
        <v>9332</v>
      </c>
      <c r="O1292" s="1" t="s">
        <v>9333</v>
      </c>
    </row>
    <row r="1293" spans="8:15" x14ac:dyDescent="0.25">
      <c r="H1293" s="1">
        <v>1538882</v>
      </c>
      <c r="I1293" s="4">
        <v>46330.666666666664</v>
      </c>
      <c r="J1293" s="1" t="s">
        <v>32</v>
      </c>
      <c r="K1293" s="1" t="s">
        <v>21</v>
      </c>
      <c r="L1293" s="1" t="s">
        <v>7468</v>
      </c>
      <c r="M1293" s="1" t="s">
        <v>9334</v>
      </c>
      <c r="N1293" s="1" t="s">
        <v>9335</v>
      </c>
      <c r="O1293" s="1" t="s">
        <v>9336</v>
      </c>
    </row>
    <row r="1294" spans="8:15" x14ac:dyDescent="0.25">
      <c r="H1294" s="1">
        <v>1539977</v>
      </c>
      <c r="I1294" s="4">
        <v>46330.666666666664</v>
      </c>
      <c r="J1294" s="1" t="s">
        <v>32</v>
      </c>
      <c r="K1294" s="1" t="s">
        <v>5019</v>
      </c>
      <c r="L1294" s="1" t="s">
        <v>5020</v>
      </c>
      <c r="M1294" s="1" t="s">
        <v>5031</v>
      </c>
      <c r="N1294" s="1" t="s">
        <v>5033</v>
      </c>
      <c r="O1294" s="1" t="s">
        <v>9337</v>
      </c>
    </row>
    <row r="1295" spans="8:15" x14ac:dyDescent="0.25">
      <c r="H1295" s="1">
        <v>1419927</v>
      </c>
      <c r="I1295" s="4">
        <v>46330.677083333336</v>
      </c>
      <c r="J1295" s="1" t="s">
        <v>32</v>
      </c>
      <c r="K1295" s="1" t="s">
        <v>41</v>
      </c>
      <c r="L1295" s="1" t="s">
        <v>348</v>
      </c>
      <c r="M1295" s="1" t="s">
        <v>9339</v>
      </c>
      <c r="N1295" s="1" t="s">
        <v>1696</v>
      </c>
      <c r="O1295" s="1" t="s">
        <v>9340</v>
      </c>
    </row>
    <row r="1296" spans="8:15" x14ac:dyDescent="0.25">
      <c r="H1296" s="1">
        <v>1498229</v>
      </c>
      <c r="I1296" s="4">
        <v>46330.677083333336</v>
      </c>
      <c r="J1296" s="1" t="s">
        <v>32</v>
      </c>
      <c r="K1296" s="1" t="s">
        <v>18</v>
      </c>
      <c r="L1296" s="1" t="s">
        <v>500</v>
      </c>
      <c r="M1296" s="1" t="s">
        <v>9341</v>
      </c>
      <c r="N1296" s="1" t="s">
        <v>505</v>
      </c>
      <c r="O1296" s="1" t="s">
        <v>9342</v>
      </c>
    </row>
    <row r="1297" spans="8:15" x14ac:dyDescent="0.25">
      <c r="H1297" s="1">
        <v>1380635</v>
      </c>
      <c r="I1297" s="4">
        <v>46330.6875</v>
      </c>
      <c r="J1297" s="1" t="s">
        <v>32</v>
      </c>
      <c r="K1297" s="1" t="s">
        <v>51</v>
      </c>
      <c r="L1297" s="1" t="s">
        <v>57</v>
      </c>
      <c r="M1297" s="1" t="s">
        <v>9344</v>
      </c>
      <c r="N1297" s="1" t="s">
        <v>1608</v>
      </c>
      <c r="O1297" s="1" t="s">
        <v>9345</v>
      </c>
    </row>
    <row r="1298" spans="8:15" x14ac:dyDescent="0.25">
      <c r="H1298" s="1">
        <v>1384372</v>
      </c>
      <c r="I1298" s="4">
        <v>46330.6875</v>
      </c>
      <c r="J1298" s="1" t="s">
        <v>32</v>
      </c>
      <c r="K1298" s="1" t="s">
        <v>267</v>
      </c>
      <c r="L1298" s="1" t="s">
        <v>659</v>
      </c>
      <c r="M1298" s="1" t="s">
        <v>6197</v>
      </c>
      <c r="N1298" s="1" t="s">
        <v>2502</v>
      </c>
      <c r="O1298" s="1" t="s">
        <v>9346</v>
      </c>
    </row>
    <row r="1299" spans="8:15" x14ac:dyDescent="0.25">
      <c r="H1299" s="1">
        <v>1418677</v>
      </c>
      <c r="I1299" s="4">
        <v>46330.6875</v>
      </c>
      <c r="J1299" s="1" t="s">
        <v>32</v>
      </c>
      <c r="K1299" s="1" t="s">
        <v>80</v>
      </c>
      <c r="L1299" s="1" t="s">
        <v>626</v>
      </c>
      <c r="M1299" s="1" t="s">
        <v>6202</v>
      </c>
      <c r="N1299" s="1" t="s">
        <v>6199</v>
      </c>
      <c r="O1299" s="1" t="s">
        <v>9347</v>
      </c>
    </row>
    <row r="1300" spans="8:15" x14ac:dyDescent="0.25">
      <c r="H1300" s="1">
        <v>1429660</v>
      </c>
      <c r="I1300" s="4">
        <v>46330.6875</v>
      </c>
      <c r="J1300" s="1" t="s">
        <v>32</v>
      </c>
      <c r="K1300" s="1" t="s">
        <v>37</v>
      </c>
      <c r="L1300" s="1" t="s">
        <v>238</v>
      </c>
      <c r="M1300" s="1" t="s">
        <v>9348</v>
      </c>
      <c r="N1300" s="1" t="s">
        <v>6086</v>
      </c>
      <c r="O1300" s="1" t="s">
        <v>9349</v>
      </c>
    </row>
    <row r="1301" spans="8:15" x14ac:dyDescent="0.25">
      <c r="H1301" s="1">
        <v>1429661</v>
      </c>
      <c r="I1301" s="4">
        <v>46330.6875</v>
      </c>
      <c r="J1301" s="1" t="s">
        <v>32</v>
      </c>
      <c r="K1301" s="1" t="s">
        <v>37</v>
      </c>
      <c r="L1301" s="1" t="s">
        <v>238</v>
      </c>
      <c r="M1301" s="1" t="s">
        <v>9350</v>
      </c>
      <c r="N1301" s="1" t="s">
        <v>4226</v>
      </c>
      <c r="O1301" s="1" t="s">
        <v>9351</v>
      </c>
    </row>
    <row r="1302" spans="8:15" x14ac:dyDescent="0.25">
      <c r="H1302" s="1">
        <v>1430366</v>
      </c>
      <c r="I1302" s="4">
        <v>46330.6875</v>
      </c>
      <c r="J1302" s="1" t="s">
        <v>32</v>
      </c>
      <c r="K1302" s="1" t="s">
        <v>80</v>
      </c>
      <c r="L1302" s="1" t="s">
        <v>628</v>
      </c>
      <c r="M1302" s="1" t="s">
        <v>9352</v>
      </c>
      <c r="N1302" s="1" t="s">
        <v>1447</v>
      </c>
      <c r="O1302" s="1" t="s">
        <v>9353</v>
      </c>
    </row>
    <row r="1303" spans="8:15" x14ac:dyDescent="0.25">
      <c r="H1303" s="1">
        <v>1432467</v>
      </c>
      <c r="I1303" s="4">
        <v>46330.6875</v>
      </c>
      <c r="J1303" s="1" t="s">
        <v>32</v>
      </c>
      <c r="K1303" s="1" t="s">
        <v>40</v>
      </c>
      <c r="L1303" s="1" t="s">
        <v>645</v>
      </c>
      <c r="M1303" s="1" t="s">
        <v>2099</v>
      </c>
      <c r="N1303" s="1" t="s">
        <v>2095</v>
      </c>
      <c r="O1303" s="1" t="s">
        <v>9354</v>
      </c>
    </row>
    <row r="1304" spans="8:15" x14ac:dyDescent="0.25">
      <c r="H1304" s="1">
        <v>1439328</v>
      </c>
      <c r="I1304" s="4">
        <v>46330.6875</v>
      </c>
      <c r="J1304" s="1" t="s">
        <v>32</v>
      </c>
      <c r="K1304" s="1" t="s">
        <v>41</v>
      </c>
      <c r="L1304" s="1" t="s">
        <v>4255</v>
      </c>
      <c r="M1304" s="1" t="s">
        <v>6209</v>
      </c>
      <c r="N1304" s="1" t="s">
        <v>9355</v>
      </c>
      <c r="O1304" s="1" t="s">
        <v>9356</v>
      </c>
    </row>
    <row r="1305" spans="8:15" x14ac:dyDescent="0.25">
      <c r="H1305" s="1">
        <v>1439716</v>
      </c>
      <c r="I1305" s="4">
        <v>46330.6875</v>
      </c>
      <c r="J1305" s="1" t="s">
        <v>32</v>
      </c>
      <c r="K1305" s="1" t="s">
        <v>41</v>
      </c>
      <c r="L1305" s="1" t="s">
        <v>1198</v>
      </c>
      <c r="M1305" s="1" t="s">
        <v>1201</v>
      </c>
      <c r="N1305" s="1" t="s">
        <v>2541</v>
      </c>
      <c r="O1305" s="1" t="s">
        <v>9357</v>
      </c>
    </row>
    <row r="1306" spans="8:15" x14ac:dyDescent="0.25">
      <c r="H1306" s="1">
        <v>1458196</v>
      </c>
      <c r="I1306" s="4">
        <v>46330.6875</v>
      </c>
      <c r="J1306" s="1" t="s">
        <v>32</v>
      </c>
      <c r="K1306" s="1" t="s">
        <v>40</v>
      </c>
      <c r="L1306" s="1" t="s">
        <v>662</v>
      </c>
      <c r="M1306" s="1" t="s">
        <v>9358</v>
      </c>
      <c r="N1306" s="1" t="s">
        <v>2044</v>
      </c>
      <c r="O1306" s="1" t="s">
        <v>9359</v>
      </c>
    </row>
    <row r="1307" spans="8:15" x14ac:dyDescent="0.25">
      <c r="H1307" s="1">
        <v>1459077</v>
      </c>
      <c r="I1307" s="4">
        <v>46330.6875</v>
      </c>
      <c r="J1307" s="1" t="s">
        <v>32</v>
      </c>
      <c r="K1307" s="1" t="s">
        <v>40</v>
      </c>
      <c r="L1307" s="1" t="s">
        <v>639</v>
      </c>
      <c r="M1307" s="1" t="s">
        <v>9360</v>
      </c>
      <c r="N1307" s="1" t="s">
        <v>9361</v>
      </c>
      <c r="O1307" s="1" t="s">
        <v>9362</v>
      </c>
    </row>
    <row r="1308" spans="8:15" x14ac:dyDescent="0.25">
      <c r="H1308" s="1">
        <v>1459144</v>
      </c>
      <c r="I1308" s="4">
        <v>46330.6875</v>
      </c>
      <c r="J1308" s="1" t="s">
        <v>32</v>
      </c>
      <c r="K1308" s="1" t="s">
        <v>40</v>
      </c>
      <c r="L1308" s="1" t="s">
        <v>639</v>
      </c>
      <c r="M1308" s="1" t="s">
        <v>2222</v>
      </c>
      <c r="N1308" s="1" t="s">
        <v>9363</v>
      </c>
      <c r="O1308" s="1" t="s">
        <v>9364</v>
      </c>
    </row>
    <row r="1309" spans="8:15" x14ac:dyDescent="0.25">
      <c r="H1309" s="1">
        <v>1460372</v>
      </c>
      <c r="I1309" s="4">
        <v>46330.6875</v>
      </c>
      <c r="J1309" s="1" t="s">
        <v>32</v>
      </c>
      <c r="K1309" s="1" t="s">
        <v>40</v>
      </c>
      <c r="L1309" s="1" t="s">
        <v>647</v>
      </c>
      <c r="M1309" s="1" t="s">
        <v>5690</v>
      </c>
      <c r="N1309" s="1" t="s">
        <v>1253</v>
      </c>
      <c r="O1309" s="1" t="s">
        <v>9365</v>
      </c>
    </row>
    <row r="1310" spans="8:15" x14ac:dyDescent="0.25">
      <c r="H1310" s="1">
        <v>1461284</v>
      </c>
      <c r="I1310" s="4">
        <v>46330.6875</v>
      </c>
      <c r="J1310" s="1" t="s">
        <v>32</v>
      </c>
      <c r="K1310" s="1" t="s">
        <v>40</v>
      </c>
      <c r="L1310" s="1" t="s">
        <v>648</v>
      </c>
      <c r="M1310" s="1" t="s">
        <v>1190</v>
      </c>
      <c r="N1310" s="1" t="s">
        <v>6043</v>
      </c>
      <c r="O1310" s="1" t="s">
        <v>9366</v>
      </c>
    </row>
    <row r="1311" spans="8:15" x14ac:dyDescent="0.25">
      <c r="H1311" s="1">
        <v>1463113</v>
      </c>
      <c r="I1311" s="4">
        <v>46330.6875</v>
      </c>
      <c r="J1311" s="1" t="s">
        <v>32</v>
      </c>
      <c r="K1311" s="1" t="s">
        <v>40</v>
      </c>
      <c r="L1311" s="1" t="s">
        <v>651</v>
      </c>
      <c r="M1311" s="1" t="s">
        <v>2051</v>
      </c>
      <c r="N1311" s="1" t="s">
        <v>9367</v>
      </c>
      <c r="O1311" s="1" t="s">
        <v>9368</v>
      </c>
    </row>
    <row r="1312" spans="8:15" x14ac:dyDescent="0.25">
      <c r="H1312" s="1">
        <v>1463419</v>
      </c>
      <c r="I1312" s="4">
        <v>46330.6875</v>
      </c>
      <c r="J1312" s="1" t="s">
        <v>32</v>
      </c>
      <c r="K1312" s="1" t="s">
        <v>40</v>
      </c>
      <c r="L1312" s="1" t="s">
        <v>652</v>
      </c>
      <c r="M1312" s="1" t="s">
        <v>6603</v>
      </c>
      <c r="N1312" s="1" t="s">
        <v>2167</v>
      </c>
      <c r="O1312" s="1" t="s">
        <v>9369</v>
      </c>
    </row>
    <row r="1313" spans="8:15" x14ac:dyDescent="0.25">
      <c r="H1313" s="1">
        <v>1463423</v>
      </c>
      <c r="I1313" s="4">
        <v>46330.6875</v>
      </c>
      <c r="J1313" s="1" t="s">
        <v>32</v>
      </c>
      <c r="K1313" s="1" t="s">
        <v>40</v>
      </c>
      <c r="L1313" s="1" t="s">
        <v>652</v>
      </c>
      <c r="M1313" s="1" t="s">
        <v>6127</v>
      </c>
      <c r="N1313" s="1" t="s">
        <v>6602</v>
      </c>
      <c r="O1313" s="1" t="s">
        <v>9370</v>
      </c>
    </row>
    <row r="1314" spans="8:15" x14ac:dyDescent="0.25">
      <c r="H1314" s="1">
        <v>1504200</v>
      </c>
      <c r="I1314" s="4">
        <v>46330.6875</v>
      </c>
      <c r="J1314" s="1" t="s">
        <v>32</v>
      </c>
      <c r="K1314" s="1" t="s">
        <v>5924</v>
      </c>
      <c r="L1314" s="1" t="s">
        <v>9284</v>
      </c>
      <c r="M1314" s="1" t="s">
        <v>5915</v>
      </c>
      <c r="N1314" s="1" t="s">
        <v>3540</v>
      </c>
      <c r="O1314" s="1" t="s">
        <v>9371</v>
      </c>
    </row>
    <row r="1315" spans="8:15" x14ac:dyDescent="0.25">
      <c r="H1315" s="1">
        <v>1534135</v>
      </c>
      <c r="I1315" s="4">
        <v>46330.6875</v>
      </c>
      <c r="J1315" s="1" t="s">
        <v>32</v>
      </c>
      <c r="K1315" s="1" t="s">
        <v>48</v>
      </c>
      <c r="L1315" s="1" t="s">
        <v>49</v>
      </c>
      <c r="M1315" s="1" t="s">
        <v>2010</v>
      </c>
      <c r="N1315" s="1" t="s">
        <v>9372</v>
      </c>
      <c r="O1315" s="1" t="s">
        <v>9373</v>
      </c>
    </row>
    <row r="1316" spans="8:15" x14ac:dyDescent="0.25">
      <c r="H1316" s="1">
        <v>1534149</v>
      </c>
      <c r="I1316" s="4">
        <v>46330.6875</v>
      </c>
      <c r="J1316" s="1" t="s">
        <v>32</v>
      </c>
      <c r="K1316" s="1" t="s">
        <v>48</v>
      </c>
      <c r="L1316" s="1" t="s">
        <v>49</v>
      </c>
      <c r="M1316" s="1" t="s">
        <v>2061</v>
      </c>
      <c r="N1316" s="1" t="s">
        <v>1485</v>
      </c>
      <c r="O1316" s="1" t="s">
        <v>9374</v>
      </c>
    </row>
    <row r="1317" spans="8:15" x14ac:dyDescent="0.25">
      <c r="H1317" s="1">
        <v>1540039</v>
      </c>
      <c r="I1317" s="4">
        <v>46330.6875</v>
      </c>
      <c r="J1317" s="1" t="s">
        <v>32</v>
      </c>
      <c r="K1317" s="1" t="s">
        <v>570</v>
      </c>
      <c r="L1317" s="1" t="s">
        <v>49</v>
      </c>
      <c r="M1317" s="1" t="s">
        <v>1517</v>
      </c>
      <c r="N1317" s="1" t="s">
        <v>9375</v>
      </c>
      <c r="O1317" s="1" t="s">
        <v>9376</v>
      </c>
    </row>
    <row r="1318" spans="8:15" x14ac:dyDescent="0.25">
      <c r="H1318" s="1">
        <v>1436164</v>
      </c>
      <c r="I1318" s="4">
        <v>46330.694444444445</v>
      </c>
      <c r="J1318" s="1" t="s">
        <v>34</v>
      </c>
      <c r="K1318" s="1" t="s">
        <v>82</v>
      </c>
      <c r="L1318" s="1" t="s">
        <v>338</v>
      </c>
      <c r="M1318" s="1" t="s">
        <v>9378</v>
      </c>
      <c r="N1318" s="1" t="s">
        <v>9379</v>
      </c>
      <c r="O1318" s="1" t="s">
        <v>9380</v>
      </c>
    </row>
    <row r="1319" spans="8:15" x14ac:dyDescent="0.25">
      <c r="H1319" s="1">
        <v>1380345</v>
      </c>
      <c r="I1319" s="4">
        <v>46330.697916666664</v>
      </c>
      <c r="J1319" s="1" t="s">
        <v>32</v>
      </c>
      <c r="K1319" s="1" t="s">
        <v>390</v>
      </c>
      <c r="L1319" s="1" t="s">
        <v>400</v>
      </c>
      <c r="M1319" s="1" t="s">
        <v>1312</v>
      </c>
      <c r="N1319" s="1" t="s">
        <v>6017</v>
      </c>
      <c r="O1319" s="1" t="s">
        <v>9382</v>
      </c>
    </row>
    <row r="1320" spans="8:15" x14ac:dyDescent="0.25">
      <c r="H1320" s="1">
        <v>1378180</v>
      </c>
      <c r="I1320" s="4">
        <v>46330.708333333336</v>
      </c>
      <c r="J1320" s="1" t="s">
        <v>32</v>
      </c>
      <c r="K1320" s="1" t="s">
        <v>41</v>
      </c>
      <c r="L1320" s="1" t="s">
        <v>60</v>
      </c>
      <c r="M1320" s="1" t="s">
        <v>2336</v>
      </c>
      <c r="N1320" s="1" t="s">
        <v>9384</v>
      </c>
      <c r="O1320" s="1" t="s">
        <v>9385</v>
      </c>
    </row>
    <row r="1321" spans="8:15" x14ac:dyDescent="0.25">
      <c r="H1321" s="1">
        <v>1384579</v>
      </c>
      <c r="I1321" s="4">
        <v>46330.708333333336</v>
      </c>
      <c r="J1321" s="1" t="s">
        <v>32</v>
      </c>
      <c r="K1321" s="1" t="s">
        <v>381</v>
      </c>
      <c r="L1321" s="1" t="s">
        <v>397</v>
      </c>
      <c r="M1321" s="1" t="s">
        <v>6238</v>
      </c>
      <c r="N1321" s="1" t="s">
        <v>9386</v>
      </c>
      <c r="O1321" s="1" t="s">
        <v>9387</v>
      </c>
    </row>
    <row r="1322" spans="8:15" x14ac:dyDescent="0.25">
      <c r="H1322" s="1">
        <v>1384881</v>
      </c>
      <c r="I1322" s="4">
        <v>46330.708333333336</v>
      </c>
      <c r="J1322" s="1" t="s">
        <v>32</v>
      </c>
      <c r="K1322" s="1" t="s">
        <v>381</v>
      </c>
      <c r="L1322" s="1" t="s">
        <v>401</v>
      </c>
      <c r="M1322" s="1" t="s">
        <v>9388</v>
      </c>
      <c r="N1322" s="1" t="s">
        <v>1792</v>
      </c>
      <c r="O1322" s="1" t="s">
        <v>9389</v>
      </c>
    </row>
    <row r="1323" spans="8:15" x14ac:dyDescent="0.25">
      <c r="H1323" s="1">
        <v>1388251</v>
      </c>
      <c r="I1323" s="4">
        <v>46330.708333333336</v>
      </c>
      <c r="J1323" s="1" t="s">
        <v>32</v>
      </c>
      <c r="K1323" s="1" t="s">
        <v>267</v>
      </c>
      <c r="L1323" s="1" t="s">
        <v>402</v>
      </c>
      <c r="M1323" s="1" t="s">
        <v>1226</v>
      </c>
      <c r="N1323" s="1" t="s">
        <v>4934</v>
      </c>
      <c r="O1323" s="1" t="s">
        <v>9390</v>
      </c>
    </row>
    <row r="1324" spans="8:15" x14ac:dyDescent="0.25">
      <c r="H1324" s="1">
        <v>1396053</v>
      </c>
      <c r="I1324" s="4">
        <v>46330.708333333336</v>
      </c>
      <c r="J1324" s="1" t="s">
        <v>32</v>
      </c>
      <c r="K1324" s="1" t="s">
        <v>51</v>
      </c>
      <c r="L1324" s="1" t="s">
        <v>385</v>
      </c>
      <c r="M1324" s="1" t="s">
        <v>9391</v>
      </c>
      <c r="N1324" s="1" t="s">
        <v>6246</v>
      </c>
      <c r="O1324" s="1" t="s">
        <v>9392</v>
      </c>
    </row>
    <row r="1325" spans="8:15" x14ac:dyDescent="0.25">
      <c r="H1325" s="1">
        <v>1398657</v>
      </c>
      <c r="I1325" s="4">
        <v>46330.708333333336</v>
      </c>
      <c r="J1325" s="1" t="s">
        <v>32</v>
      </c>
      <c r="K1325" s="1" t="s">
        <v>42</v>
      </c>
      <c r="L1325" s="1" t="s">
        <v>50</v>
      </c>
      <c r="M1325" s="1" t="s">
        <v>2212</v>
      </c>
      <c r="N1325" s="1" t="s">
        <v>3083</v>
      </c>
      <c r="O1325" s="1" t="s">
        <v>9393</v>
      </c>
    </row>
    <row r="1326" spans="8:15" x14ac:dyDescent="0.25">
      <c r="H1326" s="1">
        <v>1399227</v>
      </c>
      <c r="I1326" s="4">
        <v>46330.708333333336</v>
      </c>
      <c r="J1326" s="1" t="s">
        <v>32</v>
      </c>
      <c r="K1326" s="1" t="s">
        <v>58</v>
      </c>
      <c r="L1326" s="1" t="s">
        <v>4200</v>
      </c>
      <c r="M1326" s="1" t="s">
        <v>6248</v>
      </c>
      <c r="N1326" s="1" t="s">
        <v>4211</v>
      </c>
      <c r="O1326" s="1" t="s">
        <v>9394</v>
      </c>
    </row>
    <row r="1327" spans="8:15" x14ac:dyDescent="0.25">
      <c r="H1327" s="1">
        <v>1410387</v>
      </c>
      <c r="I1327" s="4">
        <v>46330.708333333336</v>
      </c>
      <c r="J1327" s="1" t="s">
        <v>32</v>
      </c>
      <c r="K1327" s="1" t="s">
        <v>51</v>
      </c>
      <c r="L1327" s="1" t="s">
        <v>3147</v>
      </c>
      <c r="M1327" s="1" t="s">
        <v>9395</v>
      </c>
      <c r="N1327" s="1" t="s">
        <v>3820</v>
      </c>
      <c r="O1327" s="1" t="s">
        <v>9396</v>
      </c>
    </row>
    <row r="1328" spans="8:15" x14ac:dyDescent="0.25">
      <c r="H1328" s="1">
        <v>1410991</v>
      </c>
      <c r="I1328" s="4">
        <v>46330.708333333336</v>
      </c>
      <c r="J1328" s="1" t="s">
        <v>32</v>
      </c>
      <c r="K1328" s="1" t="s">
        <v>51</v>
      </c>
      <c r="L1328" s="1" t="s">
        <v>539</v>
      </c>
      <c r="M1328" s="1" t="s">
        <v>3402</v>
      </c>
      <c r="N1328" s="1" t="s">
        <v>6251</v>
      </c>
      <c r="O1328" s="1" t="s">
        <v>9397</v>
      </c>
    </row>
    <row r="1329" spans="8:15" x14ac:dyDescent="0.25">
      <c r="H1329" s="1">
        <v>1414924</v>
      </c>
      <c r="I1329" s="4">
        <v>46330.708333333336</v>
      </c>
      <c r="J1329" s="1" t="s">
        <v>32</v>
      </c>
      <c r="K1329" s="1" t="s">
        <v>390</v>
      </c>
      <c r="L1329" s="1" t="s">
        <v>928</v>
      </c>
      <c r="M1329" s="1" t="s">
        <v>1908</v>
      </c>
      <c r="N1329" s="1" t="s">
        <v>2080</v>
      </c>
      <c r="O1329" s="1" t="s">
        <v>9398</v>
      </c>
    </row>
    <row r="1330" spans="8:15" x14ac:dyDescent="0.25">
      <c r="H1330" s="1">
        <v>1425347</v>
      </c>
      <c r="I1330" s="4">
        <v>46330.708333333336</v>
      </c>
      <c r="J1330" s="1" t="s">
        <v>32</v>
      </c>
      <c r="K1330" s="1" t="s">
        <v>89</v>
      </c>
      <c r="L1330" s="1" t="s">
        <v>6270</v>
      </c>
      <c r="M1330" s="1" t="s">
        <v>6275</v>
      </c>
      <c r="N1330" s="1" t="s">
        <v>9399</v>
      </c>
      <c r="O1330" s="1" t="s">
        <v>9400</v>
      </c>
    </row>
    <row r="1331" spans="8:15" x14ac:dyDescent="0.25">
      <c r="H1331" s="1">
        <v>1425348</v>
      </c>
      <c r="I1331" s="4">
        <v>46330.708333333336</v>
      </c>
      <c r="J1331" s="1" t="s">
        <v>32</v>
      </c>
      <c r="K1331" s="1" t="s">
        <v>89</v>
      </c>
      <c r="L1331" s="1" t="s">
        <v>6270</v>
      </c>
      <c r="M1331" s="1" t="s">
        <v>6284</v>
      </c>
      <c r="N1331" s="1" t="s">
        <v>6289</v>
      </c>
      <c r="O1331" s="1" t="s">
        <v>9401</v>
      </c>
    </row>
    <row r="1332" spans="8:15" x14ac:dyDescent="0.25">
      <c r="H1332" s="1">
        <v>1425349</v>
      </c>
      <c r="I1332" s="4">
        <v>46330.708333333336</v>
      </c>
      <c r="J1332" s="1" t="s">
        <v>32</v>
      </c>
      <c r="K1332" s="1" t="s">
        <v>89</v>
      </c>
      <c r="L1332" s="1" t="s">
        <v>6270</v>
      </c>
      <c r="M1332" s="1" t="s">
        <v>9402</v>
      </c>
      <c r="N1332" s="1" t="s">
        <v>6277</v>
      </c>
      <c r="O1332" s="1" t="s">
        <v>9403</v>
      </c>
    </row>
    <row r="1333" spans="8:15" x14ac:dyDescent="0.25">
      <c r="H1333" s="1">
        <v>1425350</v>
      </c>
      <c r="I1333" s="4">
        <v>46330.708333333336</v>
      </c>
      <c r="J1333" s="1" t="s">
        <v>32</v>
      </c>
      <c r="K1333" s="1" t="s">
        <v>89</v>
      </c>
      <c r="L1333" s="1" t="s">
        <v>6270</v>
      </c>
      <c r="M1333" s="1" t="s">
        <v>6287</v>
      </c>
      <c r="N1333" s="1" t="s">
        <v>6280</v>
      </c>
      <c r="O1333" s="1" t="s">
        <v>9404</v>
      </c>
    </row>
    <row r="1334" spans="8:15" x14ac:dyDescent="0.25">
      <c r="H1334" s="1">
        <v>1425352</v>
      </c>
      <c r="I1334" s="4">
        <v>46330.708333333336</v>
      </c>
      <c r="J1334" s="1" t="s">
        <v>32</v>
      </c>
      <c r="K1334" s="1" t="s">
        <v>89</v>
      </c>
      <c r="L1334" s="1" t="s">
        <v>6270</v>
      </c>
      <c r="M1334" s="1" t="s">
        <v>6278</v>
      </c>
      <c r="N1334" s="1" t="s">
        <v>6274</v>
      </c>
      <c r="O1334" s="1" t="s">
        <v>9405</v>
      </c>
    </row>
    <row r="1335" spans="8:15" x14ac:dyDescent="0.25">
      <c r="H1335" s="1">
        <v>1425354</v>
      </c>
      <c r="I1335" s="4">
        <v>46330.708333333336</v>
      </c>
      <c r="J1335" s="1" t="s">
        <v>32</v>
      </c>
      <c r="K1335" s="1" t="s">
        <v>89</v>
      </c>
      <c r="L1335" s="1" t="s">
        <v>6270</v>
      </c>
      <c r="M1335" s="1" t="s">
        <v>6271</v>
      </c>
      <c r="N1335" s="1" t="s">
        <v>6286</v>
      </c>
      <c r="O1335" s="1" t="s">
        <v>9406</v>
      </c>
    </row>
    <row r="1336" spans="8:15" x14ac:dyDescent="0.25">
      <c r="H1336" s="1">
        <v>1425585</v>
      </c>
      <c r="I1336" s="4">
        <v>46330.708333333336</v>
      </c>
      <c r="J1336" s="1" t="s">
        <v>32</v>
      </c>
      <c r="K1336" s="1" t="s">
        <v>89</v>
      </c>
      <c r="L1336" s="1" t="s">
        <v>552</v>
      </c>
      <c r="M1336" s="1" t="s">
        <v>6306</v>
      </c>
      <c r="N1336" s="1" t="s">
        <v>5431</v>
      </c>
      <c r="O1336" s="1" t="s">
        <v>9407</v>
      </c>
    </row>
    <row r="1337" spans="8:15" x14ac:dyDescent="0.25">
      <c r="H1337" s="1">
        <v>1425587</v>
      </c>
      <c r="I1337" s="4">
        <v>46330.708333333336</v>
      </c>
      <c r="J1337" s="1" t="s">
        <v>32</v>
      </c>
      <c r="K1337" s="1" t="s">
        <v>89</v>
      </c>
      <c r="L1337" s="1" t="s">
        <v>552</v>
      </c>
      <c r="M1337" s="1" t="s">
        <v>5432</v>
      </c>
      <c r="N1337" s="1" t="s">
        <v>6300</v>
      </c>
      <c r="O1337" s="1" t="s">
        <v>9408</v>
      </c>
    </row>
    <row r="1338" spans="8:15" x14ac:dyDescent="0.25">
      <c r="H1338" s="1">
        <v>1425588</v>
      </c>
      <c r="I1338" s="4">
        <v>46330.708333333336</v>
      </c>
      <c r="J1338" s="1" t="s">
        <v>32</v>
      </c>
      <c r="K1338" s="1" t="s">
        <v>89</v>
      </c>
      <c r="L1338" s="1" t="s">
        <v>552</v>
      </c>
      <c r="M1338" s="1" t="s">
        <v>1445</v>
      </c>
      <c r="N1338" s="1" t="s">
        <v>6302</v>
      </c>
      <c r="O1338" s="1" t="s">
        <v>9409</v>
      </c>
    </row>
    <row r="1339" spans="8:15" x14ac:dyDescent="0.25">
      <c r="H1339" s="1">
        <v>1425589</v>
      </c>
      <c r="I1339" s="4">
        <v>46330.708333333336</v>
      </c>
      <c r="J1339" s="1" t="s">
        <v>32</v>
      </c>
      <c r="K1339" s="1" t="s">
        <v>89</v>
      </c>
      <c r="L1339" s="1" t="s">
        <v>552</v>
      </c>
      <c r="M1339" s="1" t="s">
        <v>6296</v>
      </c>
      <c r="N1339" s="1" t="s">
        <v>6293</v>
      </c>
      <c r="O1339" s="1" t="s">
        <v>9410</v>
      </c>
    </row>
    <row r="1340" spans="8:15" x14ac:dyDescent="0.25">
      <c r="H1340" s="1">
        <v>1425590</v>
      </c>
      <c r="I1340" s="4">
        <v>46330.708333333336</v>
      </c>
      <c r="J1340" s="1" t="s">
        <v>32</v>
      </c>
      <c r="K1340" s="1" t="s">
        <v>89</v>
      </c>
      <c r="L1340" s="1" t="s">
        <v>552</v>
      </c>
      <c r="M1340" s="1" t="s">
        <v>1446</v>
      </c>
      <c r="N1340" s="1" t="s">
        <v>6305</v>
      </c>
      <c r="O1340" s="1" t="s">
        <v>9411</v>
      </c>
    </row>
    <row r="1341" spans="8:15" x14ac:dyDescent="0.25">
      <c r="H1341" s="1">
        <v>1425591</v>
      </c>
      <c r="I1341" s="4">
        <v>46330.708333333336</v>
      </c>
      <c r="J1341" s="1" t="s">
        <v>32</v>
      </c>
      <c r="K1341" s="1" t="s">
        <v>89</v>
      </c>
      <c r="L1341" s="1" t="s">
        <v>552</v>
      </c>
      <c r="M1341" s="1" t="s">
        <v>6719</v>
      </c>
      <c r="N1341" s="1" t="s">
        <v>6292</v>
      </c>
      <c r="O1341" s="1" t="s">
        <v>9412</v>
      </c>
    </row>
    <row r="1342" spans="8:15" x14ac:dyDescent="0.25">
      <c r="H1342" s="1">
        <v>1425820</v>
      </c>
      <c r="I1342" s="4">
        <v>46330.708333333336</v>
      </c>
      <c r="J1342" s="1" t="s">
        <v>32</v>
      </c>
      <c r="K1342" s="1" t="s">
        <v>89</v>
      </c>
      <c r="L1342" s="1" t="s">
        <v>6308</v>
      </c>
      <c r="M1342" s="1" t="s">
        <v>6310</v>
      </c>
      <c r="N1342" s="1" t="s">
        <v>9413</v>
      </c>
      <c r="O1342" s="1" t="s">
        <v>9414</v>
      </c>
    </row>
    <row r="1343" spans="8:15" x14ac:dyDescent="0.25">
      <c r="H1343" s="1">
        <v>1425822</v>
      </c>
      <c r="I1343" s="4">
        <v>46330.708333333336</v>
      </c>
      <c r="J1343" s="1" t="s">
        <v>32</v>
      </c>
      <c r="K1343" s="1" t="s">
        <v>89</v>
      </c>
      <c r="L1343" s="1" t="s">
        <v>6308</v>
      </c>
      <c r="M1343" s="1" t="s">
        <v>9415</v>
      </c>
      <c r="N1343" s="1" t="s">
        <v>6312</v>
      </c>
      <c r="O1343" s="1" t="s">
        <v>9416</v>
      </c>
    </row>
    <row r="1344" spans="8:15" x14ac:dyDescent="0.25">
      <c r="H1344" s="1">
        <v>1425823</v>
      </c>
      <c r="I1344" s="4">
        <v>46330.708333333336</v>
      </c>
      <c r="J1344" s="1" t="s">
        <v>32</v>
      </c>
      <c r="K1344" s="1" t="s">
        <v>89</v>
      </c>
      <c r="L1344" s="1" t="s">
        <v>6308</v>
      </c>
      <c r="M1344" s="1" t="s">
        <v>6319</v>
      </c>
      <c r="N1344" s="1" t="s">
        <v>6315</v>
      </c>
      <c r="O1344" s="1" t="s">
        <v>9417</v>
      </c>
    </row>
    <row r="1345" spans="8:15" x14ac:dyDescent="0.25">
      <c r="H1345" s="1">
        <v>1425824</v>
      </c>
      <c r="I1345" s="4">
        <v>46330.708333333336</v>
      </c>
      <c r="J1345" s="1" t="s">
        <v>32</v>
      </c>
      <c r="K1345" s="1" t="s">
        <v>89</v>
      </c>
      <c r="L1345" s="1" t="s">
        <v>6308</v>
      </c>
      <c r="M1345" s="1" t="s">
        <v>6316</v>
      </c>
      <c r="N1345" s="1" t="s">
        <v>9418</v>
      </c>
      <c r="O1345" s="1" t="s">
        <v>9419</v>
      </c>
    </row>
    <row r="1346" spans="8:15" x14ac:dyDescent="0.25">
      <c r="H1346" s="1">
        <v>1425826</v>
      </c>
      <c r="I1346" s="4">
        <v>46330.708333333336</v>
      </c>
      <c r="J1346" s="1" t="s">
        <v>32</v>
      </c>
      <c r="K1346" s="1" t="s">
        <v>89</v>
      </c>
      <c r="L1346" s="1" t="s">
        <v>6308</v>
      </c>
      <c r="M1346" s="1" t="s">
        <v>6313</v>
      </c>
      <c r="N1346" s="1" t="s">
        <v>9420</v>
      </c>
      <c r="O1346" s="1" t="s">
        <v>9421</v>
      </c>
    </row>
    <row r="1347" spans="8:15" x14ac:dyDescent="0.25">
      <c r="H1347" s="1">
        <v>1426010</v>
      </c>
      <c r="I1347" s="4">
        <v>46330.708333333336</v>
      </c>
      <c r="J1347" s="1" t="s">
        <v>32</v>
      </c>
      <c r="K1347" s="1" t="s">
        <v>89</v>
      </c>
      <c r="L1347" s="1" t="s">
        <v>670</v>
      </c>
      <c r="M1347" s="1" t="s">
        <v>1705</v>
      </c>
      <c r="N1347" s="1" t="s">
        <v>6539</v>
      </c>
      <c r="O1347" s="1" t="s">
        <v>9422</v>
      </c>
    </row>
    <row r="1348" spans="8:15" x14ac:dyDescent="0.25">
      <c r="H1348" s="1">
        <v>1426011</v>
      </c>
      <c r="I1348" s="4">
        <v>46330.708333333336</v>
      </c>
      <c r="J1348" s="1" t="s">
        <v>32</v>
      </c>
      <c r="K1348" s="1" t="s">
        <v>89</v>
      </c>
      <c r="L1348" s="1" t="s">
        <v>670</v>
      </c>
      <c r="M1348" s="1" t="s">
        <v>6324</v>
      </c>
      <c r="N1348" s="1" t="s">
        <v>9423</v>
      </c>
      <c r="O1348" s="1" t="s">
        <v>9424</v>
      </c>
    </row>
    <row r="1349" spans="8:15" x14ac:dyDescent="0.25">
      <c r="H1349" s="1">
        <v>1426012</v>
      </c>
      <c r="I1349" s="4">
        <v>46330.708333333336</v>
      </c>
      <c r="J1349" s="1" t="s">
        <v>32</v>
      </c>
      <c r="K1349" s="1" t="s">
        <v>89</v>
      </c>
      <c r="L1349" s="1" t="s">
        <v>670</v>
      </c>
      <c r="M1349" s="1" t="s">
        <v>6326</v>
      </c>
      <c r="N1349" s="1" t="s">
        <v>6536</v>
      </c>
      <c r="O1349" s="1" t="s">
        <v>9425</v>
      </c>
    </row>
    <row r="1350" spans="8:15" x14ac:dyDescent="0.25">
      <c r="H1350" s="1">
        <v>1426172</v>
      </c>
      <c r="I1350" s="4">
        <v>46330.708333333336</v>
      </c>
      <c r="J1350" s="1" t="s">
        <v>32</v>
      </c>
      <c r="K1350" s="1" t="s">
        <v>89</v>
      </c>
      <c r="L1350" s="1" t="s">
        <v>671</v>
      </c>
      <c r="M1350" s="1" t="s">
        <v>6331</v>
      </c>
      <c r="N1350" s="1" t="s">
        <v>1707</v>
      </c>
      <c r="O1350" s="1" t="s">
        <v>9426</v>
      </c>
    </row>
    <row r="1351" spans="8:15" x14ac:dyDescent="0.25">
      <c r="H1351" s="1">
        <v>1426173</v>
      </c>
      <c r="I1351" s="4">
        <v>46330.708333333336</v>
      </c>
      <c r="J1351" s="1" t="s">
        <v>32</v>
      </c>
      <c r="K1351" s="1" t="s">
        <v>89</v>
      </c>
      <c r="L1351" s="1" t="s">
        <v>671</v>
      </c>
      <c r="M1351" s="1" t="s">
        <v>6329</v>
      </c>
      <c r="N1351" s="1" t="s">
        <v>6591</v>
      </c>
      <c r="O1351" s="1" t="s">
        <v>9427</v>
      </c>
    </row>
    <row r="1352" spans="8:15" x14ac:dyDescent="0.25">
      <c r="H1352" s="1">
        <v>1426174</v>
      </c>
      <c r="I1352" s="4">
        <v>46330.708333333336</v>
      </c>
      <c r="J1352" s="1" t="s">
        <v>32</v>
      </c>
      <c r="K1352" s="1" t="s">
        <v>89</v>
      </c>
      <c r="L1352" s="1" t="s">
        <v>671</v>
      </c>
      <c r="M1352" s="1" t="s">
        <v>6334</v>
      </c>
      <c r="N1352" s="1" t="s">
        <v>6338</v>
      </c>
      <c r="O1352" s="1" t="s">
        <v>9428</v>
      </c>
    </row>
    <row r="1353" spans="8:15" x14ac:dyDescent="0.25">
      <c r="H1353" s="1">
        <v>1426175</v>
      </c>
      <c r="I1353" s="4">
        <v>46330.708333333336</v>
      </c>
      <c r="J1353" s="1" t="s">
        <v>32</v>
      </c>
      <c r="K1353" s="1" t="s">
        <v>89</v>
      </c>
      <c r="L1353" s="1" t="s">
        <v>671</v>
      </c>
      <c r="M1353" s="1" t="s">
        <v>6337</v>
      </c>
      <c r="N1353" s="1" t="s">
        <v>6592</v>
      </c>
      <c r="O1353" s="1" t="s">
        <v>9429</v>
      </c>
    </row>
    <row r="1354" spans="8:15" x14ac:dyDescent="0.25">
      <c r="H1354" s="1">
        <v>1426327</v>
      </c>
      <c r="I1354" s="4">
        <v>46330.708333333336</v>
      </c>
      <c r="J1354" s="1" t="s">
        <v>32</v>
      </c>
      <c r="K1354" s="1" t="s">
        <v>89</v>
      </c>
      <c r="L1354" s="1" t="s">
        <v>672</v>
      </c>
      <c r="M1354" s="1" t="s">
        <v>6343</v>
      </c>
      <c r="N1354" s="1" t="s">
        <v>6347</v>
      </c>
      <c r="O1354" s="1" t="s">
        <v>9430</v>
      </c>
    </row>
    <row r="1355" spans="8:15" x14ac:dyDescent="0.25">
      <c r="H1355" s="1">
        <v>1426328</v>
      </c>
      <c r="I1355" s="4">
        <v>46330.708333333336</v>
      </c>
      <c r="J1355" s="1" t="s">
        <v>32</v>
      </c>
      <c r="K1355" s="1" t="s">
        <v>89</v>
      </c>
      <c r="L1355" s="1" t="s">
        <v>672</v>
      </c>
      <c r="M1355" s="1" t="s">
        <v>6349</v>
      </c>
      <c r="N1355" s="1" t="s">
        <v>1709</v>
      </c>
      <c r="O1355" s="1" t="s">
        <v>9431</v>
      </c>
    </row>
    <row r="1356" spans="8:15" x14ac:dyDescent="0.25">
      <c r="H1356" s="1">
        <v>1426329</v>
      </c>
      <c r="I1356" s="4">
        <v>46330.708333333336</v>
      </c>
      <c r="J1356" s="1" t="s">
        <v>32</v>
      </c>
      <c r="K1356" s="1" t="s">
        <v>89</v>
      </c>
      <c r="L1356" s="1" t="s">
        <v>672</v>
      </c>
      <c r="M1356" s="1" t="s">
        <v>6346</v>
      </c>
      <c r="N1356" s="1" t="s">
        <v>6341</v>
      </c>
      <c r="O1356" s="1" t="s">
        <v>9432</v>
      </c>
    </row>
    <row r="1357" spans="8:15" x14ac:dyDescent="0.25">
      <c r="H1357" s="1">
        <v>1426330</v>
      </c>
      <c r="I1357" s="4">
        <v>46330.708333333336</v>
      </c>
      <c r="J1357" s="1" t="s">
        <v>32</v>
      </c>
      <c r="K1357" s="1" t="s">
        <v>89</v>
      </c>
      <c r="L1357" s="1" t="s">
        <v>672</v>
      </c>
      <c r="M1357" s="1" t="s">
        <v>9433</v>
      </c>
      <c r="N1357" s="1" t="s">
        <v>6350</v>
      </c>
      <c r="O1357" s="1" t="s">
        <v>9434</v>
      </c>
    </row>
    <row r="1358" spans="8:15" x14ac:dyDescent="0.25">
      <c r="H1358" s="1">
        <v>1426331</v>
      </c>
      <c r="I1358" s="4">
        <v>46330.708333333336</v>
      </c>
      <c r="J1358" s="1" t="s">
        <v>32</v>
      </c>
      <c r="K1358" s="1" t="s">
        <v>89</v>
      </c>
      <c r="L1358" s="1" t="s">
        <v>672</v>
      </c>
      <c r="M1358" s="1" t="s">
        <v>6340</v>
      </c>
      <c r="N1358" s="1" t="s">
        <v>1708</v>
      </c>
      <c r="O1358" s="1" t="s">
        <v>9435</v>
      </c>
    </row>
    <row r="1359" spans="8:15" x14ac:dyDescent="0.25">
      <c r="H1359" s="1">
        <v>1426377</v>
      </c>
      <c r="I1359" s="4">
        <v>46330.708333333336</v>
      </c>
      <c r="J1359" s="1" t="s">
        <v>32</v>
      </c>
      <c r="K1359" s="1" t="s">
        <v>89</v>
      </c>
      <c r="L1359" s="1" t="s">
        <v>672</v>
      </c>
      <c r="M1359" s="1" t="s">
        <v>6352</v>
      </c>
      <c r="N1359" s="1" t="s">
        <v>9436</v>
      </c>
      <c r="O1359" s="1" t="s">
        <v>9437</v>
      </c>
    </row>
    <row r="1360" spans="8:15" x14ac:dyDescent="0.25">
      <c r="H1360" s="1">
        <v>1426515</v>
      </c>
      <c r="I1360" s="4">
        <v>46330.708333333336</v>
      </c>
      <c r="J1360" s="1" t="s">
        <v>32</v>
      </c>
      <c r="K1360" s="1" t="s">
        <v>89</v>
      </c>
      <c r="L1360" s="1" t="s">
        <v>6354</v>
      </c>
      <c r="M1360" s="1" t="s">
        <v>6364</v>
      </c>
      <c r="N1360" s="1" t="s">
        <v>6594</v>
      </c>
      <c r="O1360" s="1" t="s">
        <v>9438</v>
      </c>
    </row>
    <row r="1361" spans="8:15" x14ac:dyDescent="0.25">
      <c r="H1361" s="1">
        <v>1426516</v>
      </c>
      <c r="I1361" s="4">
        <v>46330.708333333336</v>
      </c>
      <c r="J1361" s="1" t="s">
        <v>32</v>
      </c>
      <c r="K1361" s="1" t="s">
        <v>89</v>
      </c>
      <c r="L1361" s="1" t="s">
        <v>6354</v>
      </c>
      <c r="M1361" s="1" t="s">
        <v>6358</v>
      </c>
      <c r="N1361" s="1" t="s">
        <v>6365</v>
      </c>
      <c r="O1361" s="1" t="s">
        <v>9439</v>
      </c>
    </row>
    <row r="1362" spans="8:15" x14ac:dyDescent="0.25">
      <c r="H1362" s="1">
        <v>1426517</v>
      </c>
      <c r="I1362" s="4">
        <v>46330.708333333336</v>
      </c>
      <c r="J1362" s="1" t="s">
        <v>32</v>
      </c>
      <c r="K1362" s="1" t="s">
        <v>89</v>
      </c>
      <c r="L1362" s="1" t="s">
        <v>6354</v>
      </c>
      <c r="M1362" s="1" t="s">
        <v>6361</v>
      </c>
      <c r="N1362" s="1" t="s">
        <v>6356</v>
      </c>
      <c r="O1362" s="1" t="s">
        <v>9440</v>
      </c>
    </row>
    <row r="1363" spans="8:15" x14ac:dyDescent="0.25">
      <c r="H1363" s="1">
        <v>1426518</v>
      </c>
      <c r="I1363" s="4">
        <v>46330.708333333336</v>
      </c>
      <c r="J1363" s="1" t="s">
        <v>32</v>
      </c>
      <c r="K1363" s="1" t="s">
        <v>89</v>
      </c>
      <c r="L1363" s="1" t="s">
        <v>6354</v>
      </c>
      <c r="M1363" s="1" t="s">
        <v>6355</v>
      </c>
      <c r="N1363" s="1" t="s">
        <v>6595</v>
      </c>
      <c r="O1363" s="1" t="s">
        <v>9441</v>
      </c>
    </row>
    <row r="1364" spans="8:15" x14ac:dyDescent="0.25">
      <c r="H1364" s="1">
        <v>1426519</v>
      </c>
      <c r="I1364" s="4">
        <v>46330.708333333336</v>
      </c>
      <c r="J1364" s="1" t="s">
        <v>32</v>
      </c>
      <c r="K1364" s="1" t="s">
        <v>89</v>
      </c>
      <c r="L1364" s="1" t="s">
        <v>6354</v>
      </c>
      <c r="M1364" s="1" t="s">
        <v>6370</v>
      </c>
      <c r="N1364" s="1" t="s">
        <v>6368</v>
      </c>
      <c r="O1364" s="1" t="s">
        <v>9442</v>
      </c>
    </row>
    <row r="1365" spans="8:15" x14ac:dyDescent="0.25">
      <c r="H1365" s="1">
        <v>1426520</v>
      </c>
      <c r="I1365" s="4">
        <v>46330.708333333336</v>
      </c>
      <c r="J1365" s="1" t="s">
        <v>32</v>
      </c>
      <c r="K1365" s="1" t="s">
        <v>89</v>
      </c>
      <c r="L1365" s="1" t="s">
        <v>6354</v>
      </c>
      <c r="M1365" s="1" t="s">
        <v>6371</v>
      </c>
      <c r="N1365" s="1" t="s">
        <v>6362</v>
      </c>
      <c r="O1365" s="1" t="s">
        <v>9443</v>
      </c>
    </row>
    <row r="1366" spans="8:15" x14ac:dyDescent="0.25">
      <c r="H1366" s="1">
        <v>1426521</v>
      </c>
      <c r="I1366" s="4">
        <v>46330.708333333336</v>
      </c>
      <c r="J1366" s="1" t="s">
        <v>32</v>
      </c>
      <c r="K1366" s="1" t="s">
        <v>89</v>
      </c>
      <c r="L1366" s="1" t="s">
        <v>6354</v>
      </c>
      <c r="M1366" s="1" t="s">
        <v>6367</v>
      </c>
      <c r="N1366" s="1" t="s">
        <v>6359</v>
      </c>
      <c r="O1366" s="1" t="s">
        <v>9444</v>
      </c>
    </row>
    <row r="1367" spans="8:15" x14ac:dyDescent="0.25">
      <c r="H1367" s="1">
        <v>1426697</v>
      </c>
      <c r="I1367" s="4">
        <v>46330.708333333336</v>
      </c>
      <c r="J1367" s="1" t="s">
        <v>32</v>
      </c>
      <c r="K1367" s="1" t="s">
        <v>89</v>
      </c>
      <c r="L1367" s="1" t="s">
        <v>644</v>
      </c>
      <c r="M1367" s="1" t="s">
        <v>6373</v>
      </c>
      <c r="N1367" s="1" t="s">
        <v>6384</v>
      </c>
      <c r="O1367" s="1" t="s">
        <v>9445</v>
      </c>
    </row>
    <row r="1368" spans="8:15" x14ac:dyDescent="0.25">
      <c r="H1368" s="1">
        <v>1426698</v>
      </c>
      <c r="I1368" s="4">
        <v>46330.708333333336</v>
      </c>
      <c r="J1368" s="1" t="s">
        <v>32</v>
      </c>
      <c r="K1368" s="1" t="s">
        <v>89</v>
      </c>
      <c r="L1368" s="1" t="s">
        <v>644</v>
      </c>
      <c r="M1368" s="1" t="s">
        <v>6383</v>
      </c>
      <c r="N1368" s="1" t="s">
        <v>1713</v>
      </c>
      <c r="O1368" s="1" t="s">
        <v>9446</v>
      </c>
    </row>
    <row r="1369" spans="8:15" x14ac:dyDescent="0.25">
      <c r="H1369" s="1">
        <v>1426699</v>
      </c>
      <c r="I1369" s="4">
        <v>46330.708333333336</v>
      </c>
      <c r="J1369" s="1" t="s">
        <v>32</v>
      </c>
      <c r="K1369" s="1" t="s">
        <v>89</v>
      </c>
      <c r="L1369" s="1" t="s">
        <v>644</v>
      </c>
      <c r="M1369" s="1" t="s">
        <v>6381</v>
      </c>
      <c r="N1369" s="1" t="s">
        <v>1712</v>
      </c>
      <c r="O1369" s="1" t="s">
        <v>9447</v>
      </c>
    </row>
    <row r="1370" spans="8:15" x14ac:dyDescent="0.25">
      <c r="H1370" s="1">
        <v>1426700</v>
      </c>
      <c r="I1370" s="4">
        <v>46330.708333333336</v>
      </c>
      <c r="J1370" s="1" t="s">
        <v>32</v>
      </c>
      <c r="K1370" s="1" t="s">
        <v>89</v>
      </c>
      <c r="L1370" s="1" t="s">
        <v>644</v>
      </c>
      <c r="M1370" s="1" t="s">
        <v>6376</v>
      </c>
      <c r="N1370" s="1" t="s">
        <v>9448</v>
      </c>
      <c r="O1370" s="1" t="s">
        <v>9449</v>
      </c>
    </row>
    <row r="1371" spans="8:15" x14ac:dyDescent="0.25">
      <c r="H1371" s="1">
        <v>1426701</v>
      </c>
      <c r="I1371" s="4">
        <v>46330.708333333336</v>
      </c>
      <c r="J1371" s="1" t="s">
        <v>32</v>
      </c>
      <c r="K1371" s="1" t="s">
        <v>89</v>
      </c>
      <c r="L1371" s="1" t="s">
        <v>644</v>
      </c>
      <c r="M1371" s="1" t="s">
        <v>5434</v>
      </c>
      <c r="N1371" s="1" t="s">
        <v>6378</v>
      </c>
      <c r="O1371" s="1" t="s">
        <v>9450</v>
      </c>
    </row>
    <row r="1372" spans="8:15" x14ac:dyDescent="0.25">
      <c r="H1372" s="1">
        <v>1426702</v>
      </c>
      <c r="I1372" s="4">
        <v>46330.708333333336</v>
      </c>
      <c r="J1372" s="1" t="s">
        <v>32</v>
      </c>
      <c r="K1372" s="1" t="s">
        <v>89</v>
      </c>
      <c r="L1372" s="1" t="s">
        <v>644</v>
      </c>
      <c r="M1372" s="1" t="s">
        <v>6374</v>
      </c>
      <c r="N1372" s="1" t="s">
        <v>1711</v>
      </c>
      <c r="O1372" s="1" t="s">
        <v>9451</v>
      </c>
    </row>
    <row r="1373" spans="8:15" x14ac:dyDescent="0.25">
      <c r="H1373" s="1">
        <v>1426872</v>
      </c>
      <c r="I1373" s="4">
        <v>46330.708333333336</v>
      </c>
      <c r="J1373" s="1" t="s">
        <v>32</v>
      </c>
      <c r="K1373" s="1" t="s">
        <v>89</v>
      </c>
      <c r="L1373" s="1" t="s">
        <v>673</v>
      </c>
      <c r="M1373" s="1" t="s">
        <v>6391</v>
      </c>
      <c r="N1373" s="1" t="s">
        <v>6386</v>
      </c>
      <c r="O1373" s="1" t="s">
        <v>9452</v>
      </c>
    </row>
    <row r="1374" spans="8:15" x14ac:dyDescent="0.25">
      <c r="H1374" s="1">
        <v>1426873</v>
      </c>
      <c r="I1374" s="4">
        <v>46330.708333333336</v>
      </c>
      <c r="J1374" s="1" t="s">
        <v>32</v>
      </c>
      <c r="K1374" s="1" t="s">
        <v>89</v>
      </c>
      <c r="L1374" s="1" t="s">
        <v>673</v>
      </c>
      <c r="M1374" s="1" t="s">
        <v>6394</v>
      </c>
      <c r="N1374" s="1" t="s">
        <v>6545</v>
      </c>
      <c r="O1374" s="1" t="s">
        <v>9453</v>
      </c>
    </row>
    <row r="1375" spans="8:15" x14ac:dyDescent="0.25">
      <c r="H1375" s="1">
        <v>1426874</v>
      </c>
      <c r="I1375" s="4">
        <v>46330.708333333336</v>
      </c>
      <c r="J1375" s="1" t="s">
        <v>32</v>
      </c>
      <c r="K1375" s="1" t="s">
        <v>89</v>
      </c>
      <c r="L1375" s="1" t="s">
        <v>673</v>
      </c>
      <c r="M1375" s="1" t="s">
        <v>6389</v>
      </c>
      <c r="N1375" s="1" t="s">
        <v>9454</v>
      </c>
      <c r="O1375" s="1" t="s">
        <v>9455</v>
      </c>
    </row>
    <row r="1376" spans="8:15" x14ac:dyDescent="0.25">
      <c r="H1376" s="1">
        <v>1426875</v>
      </c>
      <c r="I1376" s="4">
        <v>46330.708333333336</v>
      </c>
      <c r="J1376" s="1" t="s">
        <v>32</v>
      </c>
      <c r="K1376" s="1" t="s">
        <v>89</v>
      </c>
      <c r="L1376" s="1" t="s">
        <v>673</v>
      </c>
      <c r="M1376" s="1" t="s">
        <v>6397</v>
      </c>
      <c r="N1376" s="1" t="s">
        <v>1715</v>
      </c>
      <c r="O1376" s="1" t="s">
        <v>9456</v>
      </c>
    </row>
    <row r="1377" spans="8:15" x14ac:dyDescent="0.25">
      <c r="H1377" s="1">
        <v>1427047</v>
      </c>
      <c r="I1377" s="4">
        <v>46330.708333333336</v>
      </c>
      <c r="J1377" s="1" t="s">
        <v>32</v>
      </c>
      <c r="K1377" s="1" t="s">
        <v>89</v>
      </c>
      <c r="L1377" s="1" t="s">
        <v>674</v>
      </c>
      <c r="M1377" s="1" t="s">
        <v>6408</v>
      </c>
      <c r="N1377" s="1" t="s">
        <v>6411</v>
      </c>
      <c r="O1377" s="1" t="s">
        <v>9457</v>
      </c>
    </row>
    <row r="1378" spans="8:15" x14ac:dyDescent="0.25">
      <c r="H1378" s="1">
        <v>1427048</v>
      </c>
      <c r="I1378" s="4">
        <v>46330.708333333336</v>
      </c>
      <c r="J1378" s="1" t="s">
        <v>32</v>
      </c>
      <c r="K1378" s="1" t="s">
        <v>89</v>
      </c>
      <c r="L1378" s="1" t="s">
        <v>674</v>
      </c>
      <c r="M1378" s="1" t="s">
        <v>6400</v>
      </c>
      <c r="N1378" s="1" t="s">
        <v>1719</v>
      </c>
      <c r="O1378" s="1" t="s">
        <v>9458</v>
      </c>
    </row>
    <row r="1379" spans="8:15" x14ac:dyDescent="0.25">
      <c r="H1379" s="1">
        <v>1427049</v>
      </c>
      <c r="I1379" s="4">
        <v>46330.708333333336</v>
      </c>
      <c r="J1379" s="1" t="s">
        <v>32</v>
      </c>
      <c r="K1379" s="1" t="s">
        <v>89</v>
      </c>
      <c r="L1379" s="1" t="s">
        <v>674</v>
      </c>
      <c r="M1379" s="1" t="s">
        <v>6405</v>
      </c>
      <c r="N1379" s="1" t="s">
        <v>6412</v>
      </c>
      <c r="O1379" s="1" t="s">
        <v>9459</v>
      </c>
    </row>
    <row r="1380" spans="8:15" x14ac:dyDescent="0.25">
      <c r="H1380" s="1">
        <v>1427050</v>
      </c>
      <c r="I1380" s="4">
        <v>46330.708333333336</v>
      </c>
      <c r="J1380" s="1" t="s">
        <v>32</v>
      </c>
      <c r="K1380" s="1" t="s">
        <v>89</v>
      </c>
      <c r="L1380" s="1" t="s">
        <v>674</v>
      </c>
      <c r="M1380" s="1" t="s">
        <v>6402</v>
      </c>
      <c r="N1380" s="1" t="s">
        <v>6406</v>
      </c>
      <c r="O1380" s="1" t="s">
        <v>9460</v>
      </c>
    </row>
    <row r="1381" spans="8:15" x14ac:dyDescent="0.25">
      <c r="H1381" s="1">
        <v>1427051</v>
      </c>
      <c r="I1381" s="4">
        <v>46330.708333333336</v>
      </c>
      <c r="J1381" s="1" t="s">
        <v>32</v>
      </c>
      <c r="K1381" s="1" t="s">
        <v>89</v>
      </c>
      <c r="L1381" s="1" t="s">
        <v>674</v>
      </c>
      <c r="M1381" s="1" t="s">
        <v>1717</v>
      </c>
      <c r="N1381" s="1" t="s">
        <v>6403</v>
      </c>
      <c r="O1381" s="1" t="s">
        <v>9461</v>
      </c>
    </row>
    <row r="1382" spans="8:15" x14ac:dyDescent="0.25">
      <c r="H1382" s="1">
        <v>1427215</v>
      </c>
      <c r="I1382" s="4">
        <v>46330.708333333336</v>
      </c>
      <c r="J1382" s="1" t="s">
        <v>32</v>
      </c>
      <c r="K1382" s="1" t="s">
        <v>89</v>
      </c>
      <c r="L1382" s="1" t="s">
        <v>675</v>
      </c>
      <c r="M1382" s="1" t="s">
        <v>6414</v>
      </c>
      <c r="N1382" s="1" t="s">
        <v>1722</v>
      </c>
      <c r="O1382" s="1" t="s">
        <v>9462</v>
      </c>
    </row>
    <row r="1383" spans="8:15" x14ac:dyDescent="0.25">
      <c r="H1383" s="1">
        <v>1427216</v>
      </c>
      <c r="I1383" s="4">
        <v>46330.708333333336</v>
      </c>
      <c r="J1383" s="1" t="s">
        <v>32</v>
      </c>
      <c r="K1383" s="1" t="s">
        <v>89</v>
      </c>
      <c r="L1383" s="1" t="s">
        <v>675</v>
      </c>
      <c r="M1383" s="1" t="s">
        <v>6417</v>
      </c>
      <c r="N1383" s="1" t="s">
        <v>6415</v>
      </c>
      <c r="O1383" s="1" t="s">
        <v>9463</v>
      </c>
    </row>
    <row r="1384" spans="8:15" x14ac:dyDescent="0.25">
      <c r="H1384" s="1">
        <v>1427217</v>
      </c>
      <c r="I1384" s="4">
        <v>46330.708333333336</v>
      </c>
      <c r="J1384" s="1" t="s">
        <v>32</v>
      </c>
      <c r="K1384" s="1" t="s">
        <v>89</v>
      </c>
      <c r="L1384" s="1" t="s">
        <v>675</v>
      </c>
      <c r="M1384" s="1" t="s">
        <v>6421</v>
      </c>
      <c r="N1384" s="1" t="s">
        <v>1721</v>
      </c>
      <c r="O1384" s="1" t="s">
        <v>9464</v>
      </c>
    </row>
    <row r="1385" spans="8:15" x14ac:dyDescent="0.25">
      <c r="H1385" s="1">
        <v>1427218</v>
      </c>
      <c r="I1385" s="4">
        <v>46330.708333333336</v>
      </c>
      <c r="J1385" s="1" t="s">
        <v>32</v>
      </c>
      <c r="K1385" s="1" t="s">
        <v>89</v>
      </c>
      <c r="L1385" s="1" t="s">
        <v>675</v>
      </c>
      <c r="M1385" s="1" t="s">
        <v>6420</v>
      </c>
      <c r="N1385" s="1" t="s">
        <v>6550</v>
      </c>
      <c r="O1385" s="1" t="s">
        <v>9465</v>
      </c>
    </row>
    <row r="1386" spans="8:15" x14ac:dyDescent="0.25">
      <c r="H1386" s="1">
        <v>1432465</v>
      </c>
      <c r="I1386" s="4">
        <v>46330.708333333336</v>
      </c>
      <c r="J1386" s="1" t="s">
        <v>32</v>
      </c>
      <c r="K1386" s="1" t="s">
        <v>40</v>
      </c>
      <c r="L1386" s="1" t="s">
        <v>645</v>
      </c>
      <c r="M1386" s="1" t="s">
        <v>2093</v>
      </c>
      <c r="N1386" s="1" t="s">
        <v>1042</v>
      </c>
      <c r="O1386" s="1" t="s">
        <v>9466</v>
      </c>
    </row>
    <row r="1387" spans="8:15" x14ac:dyDescent="0.25">
      <c r="H1387" s="1">
        <v>1433389</v>
      </c>
      <c r="I1387" s="4">
        <v>46330.708333333336</v>
      </c>
      <c r="J1387" s="1" t="s">
        <v>32</v>
      </c>
      <c r="K1387" s="1" t="s">
        <v>40</v>
      </c>
      <c r="L1387" s="1" t="s">
        <v>661</v>
      </c>
      <c r="M1387" s="1" t="s">
        <v>6098</v>
      </c>
      <c r="N1387" s="1" t="s">
        <v>970</v>
      </c>
      <c r="O1387" s="1" t="s">
        <v>9467</v>
      </c>
    </row>
    <row r="1388" spans="8:15" x14ac:dyDescent="0.25">
      <c r="H1388" s="1">
        <v>1436158</v>
      </c>
      <c r="I1388" s="4">
        <v>46330.708333333336</v>
      </c>
      <c r="J1388" s="1" t="s">
        <v>32</v>
      </c>
      <c r="K1388" s="1" t="s">
        <v>82</v>
      </c>
      <c r="L1388" s="1" t="s">
        <v>338</v>
      </c>
      <c r="M1388" s="1" t="s">
        <v>9468</v>
      </c>
      <c r="N1388" s="1" t="s">
        <v>9469</v>
      </c>
      <c r="O1388" s="1" t="s">
        <v>9470</v>
      </c>
    </row>
    <row r="1389" spans="8:15" x14ac:dyDescent="0.25">
      <c r="H1389" s="1">
        <v>1436161</v>
      </c>
      <c r="I1389" s="4">
        <v>46330.708333333336</v>
      </c>
      <c r="J1389" s="1" t="s">
        <v>32</v>
      </c>
      <c r="K1389" s="1" t="s">
        <v>82</v>
      </c>
      <c r="L1389" s="1" t="s">
        <v>338</v>
      </c>
      <c r="M1389" s="1" t="s">
        <v>9471</v>
      </c>
      <c r="N1389" s="1" t="s">
        <v>9472</v>
      </c>
      <c r="O1389" s="1" t="s">
        <v>9473</v>
      </c>
    </row>
    <row r="1390" spans="8:15" x14ac:dyDescent="0.25">
      <c r="H1390" s="1">
        <v>1438104</v>
      </c>
      <c r="I1390" s="4">
        <v>46330.708333333336</v>
      </c>
      <c r="J1390" s="1" t="s">
        <v>32</v>
      </c>
      <c r="K1390" s="1" t="s">
        <v>58</v>
      </c>
      <c r="L1390" s="1" t="s">
        <v>621</v>
      </c>
      <c r="M1390" s="1" t="s">
        <v>9474</v>
      </c>
      <c r="N1390" s="1" t="s">
        <v>4233</v>
      </c>
      <c r="O1390" s="1" t="s">
        <v>9475</v>
      </c>
    </row>
    <row r="1391" spans="8:15" x14ac:dyDescent="0.25">
      <c r="H1391" s="1">
        <v>1445924</v>
      </c>
      <c r="I1391" s="4">
        <v>46330.708333333336</v>
      </c>
      <c r="J1391" s="1" t="s">
        <v>32</v>
      </c>
      <c r="K1391" s="1" t="s">
        <v>66</v>
      </c>
      <c r="L1391" s="1" t="s">
        <v>582</v>
      </c>
      <c r="M1391" s="1" t="s">
        <v>2503</v>
      </c>
      <c r="N1391" s="1" t="s">
        <v>2033</v>
      </c>
      <c r="O1391" s="1" t="s">
        <v>9476</v>
      </c>
    </row>
    <row r="1392" spans="8:15" x14ac:dyDescent="0.25">
      <c r="H1392" s="1">
        <v>1457056</v>
      </c>
      <c r="I1392" s="4">
        <v>46330.708333333336</v>
      </c>
      <c r="J1392" s="1" t="s">
        <v>32</v>
      </c>
      <c r="K1392" s="1" t="s">
        <v>18</v>
      </c>
      <c r="L1392" s="1" t="s">
        <v>19</v>
      </c>
      <c r="M1392" s="1" t="s">
        <v>6103</v>
      </c>
      <c r="N1392" s="1" t="s">
        <v>9477</v>
      </c>
      <c r="O1392" s="1" t="s">
        <v>9478</v>
      </c>
    </row>
    <row r="1393" spans="8:15" x14ac:dyDescent="0.25">
      <c r="H1393" s="1">
        <v>1458772</v>
      </c>
      <c r="I1393" s="4">
        <v>46330.708333333336</v>
      </c>
      <c r="J1393" s="1" t="s">
        <v>32</v>
      </c>
      <c r="K1393" s="1" t="s">
        <v>40</v>
      </c>
      <c r="L1393" s="1" t="s">
        <v>658</v>
      </c>
      <c r="M1393" s="1" t="s">
        <v>9479</v>
      </c>
      <c r="N1393" s="1" t="s">
        <v>9480</v>
      </c>
      <c r="O1393" s="1" t="s">
        <v>9481</v>
      </c>
    </row>
    <row r="1394" spans="8:15" x14ac:dyDescent="0.25">
      <c r="H1394" s="1">
        <v>1458838</v>
      </c>
      <c r="I1394" s="4">
        <v>46330.708333333336</v>
      </c>
      <c r="J1394" s="1" t="s">
        <v>32</v>
      </c>
      <c r="K1394" s="1" t="s">
        <v>40</v>
      </c>
      <c r="L1394" s="1" t="s">
        <v>658</v>
      </c>
      <c r="M1394" s="1" t="s">
        <v>9482</v>
      </c>
      <c r="N1394" s="1" t="s">
        <v>9483</v>
      </c>
      <c r="O1394" s="1" t="s">
        <v>9484</v>
      </c>
    </row>
    <row r="1395" spans="8:15" x14ac:dyDescent="0.25">
      <c r="H1395" s="1">
        <v>1459764</v>
      </c>
      <c r="I1395" s="4">
        <v>46330.708333333336</v>
      </c>
      <c r="J1395" s="1" t="s">
        <v>32</v>
      </c>
      <c r="K1395" s="1" t="s">
        <v>40</v>
      </c>
      <c r="L1395" s="1" t="s">
        <v>646</v>
      </c>
      <c r="M1395" s="1" t="s">
        <v>2113</v>
      </c>
      <c r="N1395" s="1" t="s">
        <v>1002</v>
      </c>
      <c r="O1395" s="1" t="s">
        <v>9485</v>
      </c>
    </row>
    <row r="1396" spans="8:15" x14ac:dyDescent="0.25">
      <c r="H1396" s="1">
        <v>1460067</v>
      </c>
      <c r="I1396" s="4">
        <v>46330.708333333336</v>
      </c>
      <c r="J1396" s="1" t="s">
        <v>32</v>
      </c>
      <c r="K1396" s="1" t="s">
        <v>40</v>
      </c>
      <c r="L1396" s="1" t="s">
        <v>1005</v>
      </c>
      <c r="M1396" s="1" t="s">
        <v>2267</v>
      </c>
      <c r="N1396" s="1" t="s">
        <v>1098</v>
      </c>
      <c r="O1396" s="1" t="s">
        <v>9486</v>
      </c>
    </row>
    <row r="1397" spans="8:15" x14ac:dyDescent="0.25">
      <c r="H1397" s="1">
        <v>1460369</v>
      </c>
      <c r="I1397" s="4">
        <v>46330.708333333336</v>
      </c>
      <c r="J1397" s="1" t="s">
        <v>32</v>
      </c>
      <c r="K1397" s="1" t="s">
        <v>40</v>
      </c>
      <c r="L1397" s="1" t="s">
        <v>647</v>
      </c>
      <c r="M1397" s="1" t="s">
        <v>6114</v>
      </c>
      <c r="N1397" s="1" t="s">
        <v>2117</v>
      </c>
      <c r="O1397" s="1" t="s">
        <v>9487</v>
      </c>
    </row>
    <row r="1398" spans="8:15" x14ac:dyDescent="0.25">
      <c r="H1398" s="1">
        <v>1460376</v>
      </c>
      <c r="I1398" s="4">
        <v>46330.708333333336</v>
      </c>
      <c r="J1398" s="1" t="s">
        <v>32</v>
      </c>
      <c r="K1398" s="1" t="s">
        <v>40</v>
      </c>
      <c r="L1398" s="1" t="s">
        <v>647</v>
      </c>
      <c r="M1398" s="1" t="s">
        <v>1103</v>
      </c>
      <c r="N1398" s="1" t="s">
        <v>2116</v>
      </c>
      <c r="O1398" s="1" t="s">
        <v>9488</v>
      </c>
    </row>
    <row r="1399" spans="8:15" x14ac:dyDescent="0.25">
      <c r="H1399" s="1">
        <v>1461291</v>
      </c>
      <c r="I1399" s="4">
        <v>46330.708333333336</v>
      </c>
      <c r="J1399" s="1" t="s">
        <v>32</v>
      </c>
      <c r="K1399" s="1" t="s">
        <v>40</v>
      </c>
      <c r="L1399" s="1" t="s">
        <v>648</v>
      </c>
      <c r="M1399" s="1" t="s">
        <v>6441</v>
      </c>
      <c r="N1399" s="1" t="s">
        <v>1118</v>
      </c>
      <c r="O1399" s="1" t="s">
        <v>9489</v>
      </c>
    </row>
    <row r="1400" spans="8:15" x14ac:dyDescent="0.25">
      <c r="H1400" s="1">
        <v>1461587</v>
      </c>
      <c r="I1400" s="4">
        <v>46330.708333333336</v>
      </c>
      <c r="J1400" s="1" t="s">
        <v>32</v>
      </c>
      <c r="K1400" s="1" t="s">
        <v>40</v>
      </c>
      <c r="L1400" s="1" t="s">
        <v>584</v>
      </c>
      <c r="M1400" s="1" t="s">
        <v>6445</v>
      </c>
      <c r="N1400" s="1" t="s">
        <v>3606</v>
      </c>
      <c r="O1400" s="1" t="s">
        <v>9490</v>
      </c>
    </row>
    <row r="1401" spans="8:15" x14ac:dyDescent="0.25">
      <c r="H1401" s="1">
        <v>1461588</v>
      </c>
      <c r="I1401" s="4">
        <v>46330.708333333336</v>
      </c>
      <c r="J1401" s="1" t="s">
        <v>32</v>
      </c>
      <c r="K1401" s="1" t="s">
        <v>40</v>
      </c>
      <c r="L1401" s="1" t="s">
        <v>584</v>
      </c>
      <c r="M1401" s="1" t="s">
        <v>9491</v>
      </c>
      <c r="N1401" s="1" t="s">
        <v>1122</v>
      </c>
      <c r="O1401" s="1" t="s">
        <v>9492</v>
      </c>
    </row>
    <row r="1402" spans="8:15" x14ac:dyDescent="0.25">
      <c r="H1402" s="1">
        <v>1461900</v>
      </c>
      <c r="I1402" s="4">
        <v>46330.708333333336</v>
      </c>
      <c r="J1402" s="1" t="s">
        <v>32</v>
      </c>
      <c r="K1402" s="1" t="s">
        <v>40</v>
      </c>
      <c r="L1402" s="1" t="s">
        <v>649</v>
      </c>
      <c r="M1402" s="1" t="s">
        <v>2123</v>
      </c>
      <c r="N1402" s="1" t="s">
        <v>9493</v>
      </c>
      <c r="O1402" s="1" t="s">
        <v>9494</v>
      </c>
    </row>
    <row r="1403" spans="8:15" x14ac:dyDescent="0.25">
      <c r="H1403" s="1">
        <v>1463418</v>
      </c>
      <c r="I1403" s="4">
        <v>46330.708333333336</v>
      </c>
      <c r="J1403" s="1" t="s">
        <v>32</v>
      </c>
      <c r="K1403" s="1" t="s">
        <v>40</v>
      </c>
      <c r="L1403" s="1" t="s">
        <v>652</v>
      </c>
      <c r="M1403" s="1" t="s">
        <v>6220</v>
      </c>
      <c r="N1403" s="1" t="s">
        <v>2140</v>
      </c>
      <c r="O1403" s="1" t="s">
        <v>9495</v>
      </c>
    </row>
    <row r="1404" spans="8:15" x14ac:dyDescent="0.25">
      <c r="H1404" s="1">
        <v>1469458</v>
      </c>
      <c r="I1404" s="4">
        <v>46330.708333333336</v>
      </c>
      <c r="J1404" s="1" t="s">
        <v>32</v>
      </c>
      <c r="K1404" s="1" t="s">
        <v>2141</v>
      </c>
      <c r="L1404" s="1" t="s">
        <v>47</v>
      </c>
      <c r="M1404" s="1" t="s">
        <v>2492</v>
      </c>
      <c r="N1404" s="1" t="s">
        <v>2496</v>
      </c>
      <c r="O1404" s="1" t="s">
        <v>9496</v>
      </c>
    </row>
    <row r="1405" spans="8:15" x14ac:dyDescent="0.25">
      <c r="H1405" s="1">
        <v>1469461</v>
      </c>
      <c r="I1405" s="4">
        <v>46330.708333333336</v>
      </c>
      <c r="J1405" s="1" t="s">
        <v>32</v>
      </c>
      <c r="K1405" s="1" t="s">
        <v>2141</v>
      </c>
      <c r="L1405" s="1" t="s">
        <v>47</v>
      </c>
      <c r="M1405" s="1" t="s">
        <v>9497</v>
      </c>
      <c r="N1405" s="1" t="s">
        <v>2143</v>
      </c>
      <c r="O1405" s="1" t="s">
        <v>9498</v>
      </c>
    </row>
    <row r="1406" spans="8:15" x14ac:dyDescent="0.25">
      <c r="H1406" s="1">
        <v>1469462</v>
      </c>
      <c r="I1406" s="4">
        <v>46330.708333333336</v>
      </c>
      <c r="J1406" s="1" t="s">
        <v>32</v>
      </c>
      <c r="K1406" s="1" t="s">
        <v>2141</v>
      </c>
      <c r="L1406" s="1" t="s">
        <v>47</v>
      </c>
      <c r="M1406" s="1" t="s">
        <v>2142</v>
      </c>
      <c r="N1406" s="1" t="s">
        <v>2498</v>
      </c>
      <c r="O1406" s="1" t="s">
        <v>9499</v>
      </c>
    </row>
    <row r="1407" spans="8:15" x14ac:dyDescent="0.25">
      <c r="H1407" s="1">
        <v>1491414</v>
      </c>
      <c r="I1407" s="4">
        <v>46330.708333333336</v>
      </c>
      <c r="J1407" s="1" t="s">
        <v>32</v>
      </c>
      <c r="K1407" s="1" t="s">
        <v>80</v>
      </c>
      <c r="L1407" s="1" t="s">
        <v>342</v>
      </c>
      <c r="M1407" s="1" t="s">
        <v>9500</v>
      </c>
      <c r="N1407" s="1" t="s">
        <v>6460</v>
      </c>
      <c r="O1407" s="1" t="s">
        <v>9501</v>
      </c>
    </row>
    <row r="1408" spans="8:15" x14ac:dyDescent="0.25">
      <c r="H1408" s="1">
        <v>1491416</v>
      </c>
      <c r="I1408" s="4">
        <v>46330.708333333336</v>
      </c>
      <c r="J1408" s="1" t="s">
        <v>32</v>
      </c>
      <c r="K1408" s="1" t="s">
        <v>80</v>
      </c>
      <c r="L1408" s="1" t="s">
        <v>342</v>
      </c>
      <c r="M1408" s="1" t="s">
        <v>9502</v>
      </c>
      <c r="N1408" s="1" t="s">
        <v>9503</v>
      </c>
      <c r="O1408" s="1" t="s">
        <v>9504</v>
      </c>
    </row>
    <row r="1409" spans="8:15" x14ac:dyDescent="0.25">
      <c r="H1409" s="1">
        <v>1494593</v>
      </c>
      <c r="I1409" s="4">
        <v>46330.708333333336</v>
      </c>
      <c r="J1409" s="1" t="s">
        <v>32</v>
      </c>
      <c r="K1409" s="1" t="s">
        <v>80</v>
      </c>
      <c r="L1409" s="1" t="s">
        <v>81</v>
      </c>
      <c r="M1409" s="1" t="s">
        <v>9505</v>
      </c>
      <c r="N1409" s="1" t="s">
        <v>2057</v>
      </c>
      <c r="O1409" s="1" t="s">
        <v>9506</v>
      </c>
    </row>
    <row r="1410" spans="8:15" x14ac:dyDescent="0.25">
      <c r="H1410" s="1">
        <v>1494595</v>
      </c>
      <c r="I1410" s="4">
        <v>46330.708333333336</v>
      </c>
      <c r="J1410" s="1" t="s">
        <v>32</v>
      </c>
      <c r="K1410" s="1" t="s">
        <v>80</v>
      </c>
      <c r="L1410" s="1" t="s">
        <v>81</v>
      </c>
      <c r="M1410" s="1" t="s">
        <v>6465</v>
      </c>
      <c r="N1410" s="1" t="s">
        <v>9507</v>
      </c>
      <c r="O1410" s="1" t="s">
        <v>9508</v>
      </c>
    </row>
    <row r="1411" spans="8:15" x14ac:dyDescent="0.25">
      <c r="H1411" s="1">
        <v>1494622</v>
      </c>
      <c r="I1411" s="4">
        <v>46330.708333333336</v>
      </c>
      <c r="J1411" s="1" t="s">
        <v>32</v>
      </c>
      <c r="K1411" s="1" t="s">
        <v>85</v>
      </c>
      <c r="L1411" s="1" t="s">
        <v>5853</v>
      </c>
      <c r="M1411" s="1" t="s">
        <v>6467</v>
      </c>
      <c r="N1411" s="1" t="s">
        <v>6145</v>
      </c>
      <c r="O1411" s="1" t="s">
        <v>9509</v>
      </c>
    </row>
    <row r="1412" spans="8:15" x14ac:dyDescent="0.25">
      <c r="H1412" s="1">
        <v>1495654</v>
      </c>
      <c r="I1412" s="4">
        <v>46330.708333333336</v>
      </c>
      <c r="J1412" s="1" t="s">
        <v>32</v>
      </c>
      <c r="K1412" s="1" t="s">
        <v>5924</v>
      </c>
      <c r="L1412" s="1" t="s">
        <v>7669</v>
      </c>
      <c r="M1412" s="1" t="s">
        <v>5925</v>
      </c>
      <c r="N1412" s="1" t="s">
        <v>9510</v>
      </c>
      <c r="O1412" s="1" t="s">
        <v>9511</v>
      </c>
    </row>
    <row r="1413" spans="8:15" x14ac:dyDescent="0.25">
      <c r="H1413" s="1">
        <v>1496390</v>
      </c>
      <c r="I1413" s="4">
        <v>46330.708333333336</v>
      </c>
      <c r="J1413" s="1" t="s">
        <v>32</v>
      </c>
      <c r="K1413" s="1" t="s">
        <v>85</v>
      </c>
      <c r="L1413" s="1" t="s">
        <v>7674</v>
      </c>
      <c r="M1413" s="1" t="s">
        <v>9512</v>
      </c>
      <c r="N1413" s="1" t="s">
        <v>9513</v>
      </c>
      <c r="O1413" s="1" t="s">
        <v>9514</v>
      </c>
    </row>
    <row r="1414" spans="8:15" x14ac:dyDescent="0.25">
      <c r="H1414" s="1">
        <v>1506443</v>
      </c>
      <c r="I1414" s="4">
        <v>46330.708333333336</v>
      </c>
      <c r="J1414" s="1" t="s">
        <v>32</v>
      </c>
      <c r="K1414" s="1" t="s">
        <v>610</v>
      </c>
      <c r="L1414" s="1" t="s">
        <v>668</v>
      </c>
      <c r="M1414" s="1" t="s">
        <v>2005</v>
      </c>
      <c r="N1414" s="1" t="s">
        <v>2239</v>
      </c>
      <c r="O1414" s="1" t="s">
        <v>9515</v>
      </c>
    </row>
    <row r="1415" spans="8:15" x14ac:dyDescent="0.25">
      <c r="H1415" s="1">
        <v>1509058</v>
      </c>
      <c r="I1415" s="4">
        <v>46330.708333333336</v>
      </c>
      <c r="J1415" s="1" t="s">
        <v>32</v>
      </c>
      <c r="K1415" s="1" t="s">
        <v>408</v>
      </c>
      <c r="L1415" s="1" t="s">
        <v>409</v>
      </c>
      <c r="M1415" s="1" t="s">
        <v>9516</v>
      </c>
      <c r="N1415" s="1" t="s">
        <v>1149</v>
      </c>
      <c r="O1415" s="1" t="s">
        <v>9517</v>
      </c>
    </row>
    <row r="1416" spans="8:15" x14ac:dyDescent="0.25">
      <c r="H1416" s="1">
        <v>1509737</v>
      </c>
      <c r="I1416" s="4">
        <v>46330.708333333336</v>
      </c>
      <c r="J1416" s="1" t="s">
        <v>32</v>
      </c>
      <c r="K1416" s="1" t="s">
        <v>58</v>
      </c>
      <c r="L1416" s="1" t="s">
        <v>3303</v>
      </c>
      <c r="M1416" s="1" t="s">
        <v>6485</v>
      </c>
      <c r="N1416" s="1" t="s">
        <v>4837</v>
      </c>
      <c r="O1416" s="1" t="s">
        <v>9518</v>
      </c>
    </row>
    <row r="1417" spans="8:15" x14ac:dyDescent="0.25">
      <c r="H1417" s="1">
        <v>1515038</v>
      </c>
      <c r="I1417" s="4">
        <v>46330.708333333336</v>
      </c>
      <c r="J1417" s="1" t="s">
        <v>32</v>
      </c>
      <c r="K1417" s="1" t="s">
        <v>53</v>
      </c>
      <c r="L1417" s="1" t="s">
        <v>654</v>
      </c>
      <c r="M1417" s="1" t="s">
        <v>2355</v>
      </c>
      <c r="N1417" s="1" t="s">
        <v>1157</v>
      </c>
      <c r="O1417" s="1" t="s">
        <v>9519</v>
      </c>
    </row>
    <row r="1418" spans="8:15" x14ac:dyDescent="0.25">
      <c r="H1418" s="1">
        <v>1521571</v>
      </c>
      <c r="I1418" s="4">
        <v>46330.708333333336</v>
      </c>
      <c r="J1418" s="1" t="s">
        <v>32</v>
      </c>
      <c r="K1418" s="1" t="s">
        <v>546</v>
      </c>
      <c r="L1418" s="1" t="s">
        <v>638</v>
      </c>
      <c r="M1418" s="1" t="s">
        <v>9520</v>
      </c>
      <c r="N1418" s="1" t="s">
        <v>5885</v>
      </c>
      <c r="O1418" s="1" t="s">
        <v>9521</v>
      </c>
    </row>
    <row r="1419" spans="8:15" x14ac:dyDescent="0.25">
      <c r="H1419" s="1">
        <v>1521572</v>
      </c>
      <c r="I1419" s="4">
        <v>46330.708333333336</v>
      </c>
      <c r="J1419" s="1" t="s">
        <v>32</v>
      </c>
      <c r="K1419" s="1" t="s">
        <v>546</v>
      </c>
      <c r="L1419" s="1" t="s">
        <v>638</v>
      </c>
      <c r="M1419" s="1" t="s">
        <v>2025</v>
      </c>
      <c r="N1419" s="1" t="s">
        <v>9522</v>
      </c>
      <c r="O1419" s="1" t="s">
        <v>9523</v>
      </c>
    </row>
    <row r="1420" spans="8:15" x14ac:dyDescent="0.25">
      <c r="H1420" s="1">
        <v>1524319</v>
      </c>
      <c r="I1420" s="4">
        <v>46330.708333333336</v>
      </c>
      <c r="J1420" s="1" t="s">
        <v>32</v>
      </c>
      <c r="K1420" s="1" t="s">
        <v>48</v>
      </c>
      <c r="L1420" s="1" t="s">
        <v>342</v>
      </c>
      <c r="M1420" s="1" t="s">
        <v>1821</v>
      </c>
      <c r="N1420" s="1" t="s">
        <v>9524</v>
      </c>
      <c r="O1420" s="1" t="s">
        <v>9525</v>
      </c>
    </row>
    <row r="1421" spans="8:15" x14ac:dyDescent="0.25">
      <c r="H1421" s="1">
        <v>1528518</v>
      </c>
      <c r="I1421" s="4">
        <v>46330.708333333336</v>
      </c>
      <c r="J1421" s="1" t="s">
        <v>32</v>
      </c>
      <c r="K1421" s="1" t="s">
        <v>268</v>
      </c>
      <c r="L1421" s="1" t="s">
        <v>265</v>
      </c>
      <c r="M1421" s="1" t="s">
        <v>9526</v>
      </c>
      <c r="N1421" s="1" t="s">
        <v>5015</v>
      </c>
      <c r="O1421" s="1" t="s">
        <v>9527</v>
      </c>
    </row>
    <row r="1422" spans="8:15" x14ac:dyDescent="0.25">
      <c r="H1422" s="1">
        <v>1536085</v>
      </c>
      <c r="I1422" s="4">
        <v>46330.708333333336</v>
      </c>
      <c r="J1422" s="1" t="s">
        <v>32</v>
      </c>
      <c r="K1422" s="1" t="s">
        <v>21</v>
      </c>
      <c r="L1422" s="1" t="s">
        <v>6838</v>
      </c>
      <c r="M1422" s="1" t="s">
        <v>2384</v>
      </c>
      <c r="N1422" s="1" t="s">
        <v>9528</v>
      </c>
      <c r="O1422" s="1" t="s">
        <v>9529</v>
      </c>
    </row>
    <row r="1423" spans="8:15" x14ac:dyDescent="0.25">
      <c r="H1423" s="1">
        <v>1538407</v>
      </c>
      <c r="I1423" s="4">
        <v>46330.708333333336</v>
      </c>
      <c r="J1423" s="1" t="s">
        <v>32</v>
      </c>
      <c r="K1423" s="1" t="s">
        <v>90</v>
      </c>
      <c r="L1423" s="1" t="s">
        <v>55</v>
      </c>
      <c r="M1423" s="1" t="s">
        <v>2011</v>
      </c>
      <c r="N1423" s="1" t="s">
        <v>9530</v>
      </c>
      <c r="O1423" s="1" t="s">
        <v>9531</v>
      </c>
    </row>
    <row r="1424" spans="8:15" x14ac:dyDescent="0.25">
      <c r="H1424" s="1">
        <v>1540073</v>
      </c>
      <c r="I1424" s="4">
        <v>46330.708333333336</v>
      </c>
      <c r="J1424" s="1" t="s">
        <v>32</v>
      </c>
      <c r="K1424" s="1" t="s">
        <v>407</v>
      </c>
      <c r="L1424" s="1" t="s">
        <v>47</v>
      </c>
      <c r="M1424" s="1" t="s">
        <v>9532</v>
      </c>
      <c r="N1424" s="1" t="s">
        <v>2158</v>
      </c>
      <c r="O1424" s="1" t="s">
        <v>9533</v>
      </c>
    </row>
    <row r="1425" spans="8:15" x14ac:dyDescent="0.25">
      <c r="H1425" s="1">
        <v>1540135</v>
      </c>
      <c r="I1425" s="4">
        <v>46330.708333333336</v>
      </c>
      <c r="J1425" s="1" t="s">
        <v>32</v>
      </c>
      <c r="K1425" s="1" t="s">
        <v>461</v>
      </c>
      <c r="L1425" s="1" t="s">
        <v>47</v>
      </c>
      <c r="M1425" s="1" t="s">
        <v>9534</v>
      </c>
      <c r="N1425" s="1" t="s">
        <v>2155</v>
      </c>
      <c r="O1425" s="1" t="s">
        <v>9535</v>
      </c>
    </row>
    <row r="1426" spans="8:15" x14ac:dyDescent="0.25">
      <c r="H1426" s="1">
        <v>1436157</v>
      </c>
      <c r="I1426" s="4">
        <v>46330.711805555555</v>
      </c>
      <c r="J1426" s="1" t="s">
        <v>32</v>
      </c>
      <c r="K1426" s="1" t="s">
        <v>82</v>
      </c>
      <c r="L1426" s="1" t="s">
        <v>338</v>
      </c>
      <c r="M1426" s="1" t="s">
        <v>9537</v>
      </c>
      <c r="N1426" s="1" t="s">
        <v>9538</v>
      </c>
      <c r="O1426" s="1" t="s">
        <v>9539</v>
      </c>
    </row>
    <row r="1427" spans="8:15" x14ac:dyDescent="0.25">
      <c r="H1427" s="1">
        <v>1535028</v>
      </c>
      <c r="I1427" s="4">
        <v>46330.71875</v>
      </c>
      <c r="J1427" s="1" t="s">
        <v>32</v>
      </c>
      <c r="K1427" s="1" t="s">
        <v>8530</v>
      </c>
      <c r="L1427" s="1" t="s">
        <v>8531</v>
      </c>
      <c r="M1427" s="1" t="s">
        <v>9541</v>
      </c>
      <c r="N1427" s="1" t="s">
        <v>9542</v>
      </c>
      <c r="O1427" s="1" t="s">
        <v>9543</v>
      </c>
    </row>
    <row r="1428" spans="8:15" x14ac:dyDescent="0.25">
      <c r="H1428" s="1">
        <v>1536940</v>
      </c>
      <c r="I1428" s="4">
        <v>46330.71875</v>
      </c>
      <c r="J1428" s="1" t="s">
        <v>32</v>
      </c>
      <c r="K1428" s="1" t="s">
        <v>71</v>
      </c>
      <c r="L1428" s="1" t="s">
        <v>350</v>
      </c>
      <c r="M1428" s="1" t="s">
        <v>2243</v>
      </c>
      <c r="N1428" s="1" t="s">
        <v>9544</v>
      </c>
      <c r="O1428" s="1" t="s">
        <v>9545</v>
      </c>
    </row>
    <row r="1429" spans="8:15" x14ac:dyDescent="0.25">
      <c r="H1429" s="1">
        <v>1538086</v>
      </c>
      <c r="I1429" s="4">
        <v>46330.71875</v>
      </c>
      <c r="J1429" s="1" t="s">
        <v>32</v>
      </c>
      <c r="K1429" s="1" t="s">
        <v>665</v>
      </c>
      <c r="L1429" s="1" t="s">
        <v>47</v>
      </c>
      <c r="M1429" s="1" t="s">
        <v>9546</v>
      </c>
      <c r="N1429" s="1" t="s">
        <v>9547</v>
      </c>
      <c r="O1429" s="1" t="s">
        <v>9548</v>
      </c>
    </row>
    <row r="1430" spans="8:15" x14ac:dyDescent="0.25">
      <c r="H1430" s="1">
        <v>1436156</v>
      </c>
      <c r="I1430" s="4">
        <v>46330.722222222219</v>
      </c>
      <c r="J1430" s="1" t="s">
        <v>34</v>
      </c>
      <c r="K1430" s="1" t="s">
        <v>82</v>
      </c>
      <c r="L1430" s="1" t="s">
        <v>338</v>
      </c>
      <c r="M1430" s="1" t="s">
        <v>468</v>
      </c>
      <c r="N1430" s="1" t="s">
        <v>9550</v>
      </c>
      <c r="O1430" s="1" t="s">
        <v>9551</v>
      </c>
    </row>
    <row r="1431" spans="8:15" x14ac:dyDescent="0.25">
      <c r="H1431" s="1">
        <v>1379284</v>
      </c>
      <c r="I1431" s="4">
        <v>46330.729166666664</v>
      </c>
      <c r="J1431" s="1" t="s">
        <v>32</v>
      </c>
      <c r="K1431" s="1" t="s">
        <v>65</v>
      </c>
      <c r="L1431" s="1" t="s">
        <v>49</v>
      </c>
      <c r="M1431" s="1" t="s">
        <v>3563</v>
      </c>
      <c r="N1431" s="1" t="s">
        <v>1281</v>
      </c>
      <c r="O1431" s="1" t="s">
        <v>9553</v>
      </c>
    </row>
    <row r="1432" spans="8:15" x14ac:dyDescent="0.25">
      <c r="H1432" s="1">
        <v>1383208</v>
      </c>
      <c r="I1432" s="4">
        <v>46330.729166666664</v>
      </c>
      <c r="J1432" s="1" t="s">
        <v>32</v>
      </c>
      <c r="K1432" s="1" t="s">
        <v>92</v>
      </c>
      <c r="L1432" s="1" t="s">
        <v>266</v>
      </c>
      <c r="M1432" s="1" t="s">
        <v>5119</v>
      </c>
      <c r="N1432" s="1" t="s">
        <v>5108</v>
      </c>
      <c r="O1432" s="1" t="s">
        <v>9554</v>
      </c>
    </row>
    <row r="1433" spans="8:15" x14ac:dyDescent="0.25">
      <c r="H1433" s="1">
        <v>1388566</v>
      </c>
      <c r="I1433" s="4">
        <v>46330.729166666664</v>
      </c>
      <c r="J1433" s="1" t="s">
        <v>32</v>
      </c>
      <c r="K1433" s="1" t="s">
        <v>43</v>
      </c>
      <c r="L1433" s="1" t="s">
        <v>347</v>
      </c>
      <c r="M1433" s="1" t="s">
        <v>1798</v>
      </c>
      <c r="N1433" s="1" t="s">
        <v>4939</v>
      </c>
      <c r="O1433" s="1" t="s">
        <v>9555</v>
      </c>
    </row>
    <row r="1434" spans="8:15" x14ac:dyDescent="0.25">
      <c r="H1434" s="1">
        <v>1389070</v>
      </c>
      <c r="I1434" s="4">
        <v>46330.729166666664</v>
      </c>
      <c r="J1434" s="1" t="s">
        <v>32</v>
      </c>
      <c r="K1434" s="1" t="s">
        <v>64</v>
      </c>
      <c r="L1434" s="1" t="s">
        <v>269</v>
      </c>
      <c r="M1434" s="1" t="s">
        <v>9556</v>
      </c>
      <c r="N1434" s="1" t="s">
        <v>474</v>
      </c>
      <c r="O1434" s="1" t="s">
        <v>9557</v>
      </c>
    </row>
    <row r="1435" spans="8:15" x14ac:dyDescent="0.25">
      <c r="H1435" s="1">
        <v>1391120</v>
      </c>
      <c r="I1435" s="4">
        <v>46330.729166666664</v>
      </c>
      <c r="J1435" s="1" t="s">
        <v>32</v>
      </c>
      <c r="K1435" s="1" t="s">
        <v>40</v>
      </c>
      <c r="L1435" s="1" t="s">
        <v>74</v>
      </c>
      <c r="M1435" s="1" t="s">
        <v>9558</v>
      </c>
      <c r="N1435" s="1" t="s">
        <v>2550</v>
      </c>
      <c r="O1435" s="1" t="s">
        <v>9559</v>
      </c>
    </row>
    <row r="1436" spans="8:15" x14ac:dyDescent="0.25">
      <c r="H1436" s="1">
        <v>1392140</v>
      </c>
      <c r="I1436" s="4">
        <v>46330.729166666664</v>
      </c>
      <c r="J1436" s="1" t="s">
        <v>32</v>
      </c>
      <c r="K1436" s="1" t="s">
        <v>40</v>
      </c>
      <c r="L1436" s="1" t="s">
        <v>75</v>
      </c>
      <c r="M1436" s="1" t="s">
        <v>6524</v>
      </c>
      <c r="N1436" s="1" t="s">
        <v>1360</v>
      </c>
      <c r="O1436" s="1" t="s">
        <v>9560</v>
      </c>
    </row>
    <row r="1437" spans="8:15" x14ac:dyDescent="0.25">
      <c r="H1437" s="1">
        <v>1399920</v>
      </c>
      <c r="I1437" s="4">
        <v>46330.729166666664</v>
      </c>
      <c r="J1437" s="1" t="s">
        <v>32</v>
      </c>
      <c r="K1437" s="1" t="s">
        <v>65</v>
      </c>
      <c r="L1437" s="1" t="s">
        <v>104</v>
      </c>
      <c r="M1437" s="1" t="s">
        <v>5278</v>
      </c>
      <c r="N1437" s="1" t="s">
        <v>5273</v>
      </c>
      <c r="O1437" s="1" t="s">
        <v>9561</v>
      </c>
    </row>
    <row r="1438" spans="8:15" x14ac:dyDescent="0.25">
      <c r="H1438" s="1">
        <v>1400216</v>
      </c>
      <c r="I1438" s="4">
        <v>46330.729166666664</v>
      </c>
      <c r="J1438" s="1" t="s">
        <v>32</v>
      </c>
      <c r="K1438" s="1" t="s">
        <v>377</v>
      </c>
      <c r="L1438" s="1" t="s">
        <v>49</v>
      </c>
      <c r="M1438" s="1" t="s">
        <v>6529</v>
      </c>
      <c r="N1438" s="1" t="s">
        <v>6007</v>
      </c>
      <c r="O1438" s="1" t="s">
        <v>9562</v>
      </c>
    </row>
    <row r="1439" spans="8:15" x14ac:dyDescent="0.25">
      <c r="H1439" s="1">
        <v>1426013</v>
      </c>
      <c r="I1439" s="4">
        <v>46330.729166666664</v>
      </c>
      <c r="J1439" s="1" t="s">
        <v>32</v>
      </c>
      <c r="K1439" s="1" t="s">
        <v>89</v>
      </c>
      <c r="L1439" s="1" t="s">
        <v>670</v>
      </c>
      <c r="M1439" s="1" t="s">
        <v>6535</v>
      </c>
      <c r="N1439" s="1" t="s">
        <v>6321</v>
      </c>
      <c r="O1439" s="1" t="s">
        <v>9563</v>
      </c>
    </row>
    <row r="1440" spans="8:15" x14ac:dyDescent="0.25">
      <c r="H1440" s="1">
        <v>1426014</v>
      </c>
      <c r="I1440" s="4">
        <v>46330.729166666664</v>
      </c>
      <c r="J1440" s="1" t="s">
        <v>32</v>
      </c>
      <c r="K1440" s="1" t="s">
        <v>89</v>
      </c>
      <c r="L1440" s="1" t="s">
        <v>670</v>
      </c>
      <c r="M1440" s="1" t="s">
        <v>6538</v>
      </c>
      <c r="N1440" s="1" t="s">
        <v>6587</v>
      </c>
      <c r="O1440" s="1" t="s">
        <v>9564</v>
      </c>
    </row>
    <row r="1441" spans="8:15" x14ac:dyDescent="0.25">
      <c r="H1441" s="1">
        <v>1426176</v>
      </c>
      <c r="I1441" s="4">
        <v>46330.729166666664</v>
      </c>
      <c r="J1441" s="1" t="s">
        <v>32</v>
      </c>
      <c r="K1441" s="1" t="s">
        <v>89</v>
      </c>
      <c r="L1441" s="1" t="s">
        <v>671</v>
      </c>
      <c r="M1441" s="1" t="s">
        <v>6541</v>
      </c>
      <c r="N1441" s="1" t="s">
        <v>6332</v>
      </c>
      <c r="O1441" s="1" t="s">
        <v>9565</v>
      </c>
    </row>
    <row r="1442" spans="8:15" x14ac:dyDescent="0.25">
      <c r="H1442" s="1">
        <v>1426876</v>
      </c>
      <c r="I1442" s="4">
        <v>46330.729166666664</v>
      </c>
      <c r="J1442" s="1" t="s">
        <v>32</v>
      </c>
      <c r="K1442" s="1" t="s">
        <v>89</v>
      </c>
      <c r="L1442" s="1" t="s">
        <v>673</v>
      </c>
      <c r="M1442" s="1" t="s">
        <v>6544</v>
      </c>
      <c r="N1442" s="1" t="s">
        <v>6387</v>
      </c>
      <c r="O1442" s="1" t="s">
        <v>9566</v>
      </c>
    </row>
    <row r="1443" spans="8:15" x14ac:dyDescent="0.25">
      <c r="H1443" s="1">
        <v>1427219</v>
      </c>
      <c r="I1443" s="4">
        <v>46330.729166666664</v>
      </c>
      <c r="J1443" s="1" t="s">
        <v>32</v>
      </c>
      <c r="K1443" s="1" t="s">
        <v>89</v>
      </c>
      <c r="L1443" s="1" t="s">
        <v>675</v>
      </c>
      <c r="M1443" s="1" t="s">
        <v>6549</v>
      </c>
      <c r="N1443" s="1" t="s">
        <v>6418</v>
      </c>
      <c r="O1443" s="1" t="s">
        <v>9567</v>
      </c>
    </row>
    <row r="1444" spans="8:15" x14ac:dyDescent="0.25">
      <c r="H1444" s="1">
        <v>1427220</v>
      </c>
      <c r="I1444" s="4">
        <v>46330.729166666664</v>
      </c>
      <c r="J1444" s="1" t="s">
        <v>32</v>
      </c>
      <c r="K1444" s="1" t="s">
        <v>89</v>
      </c>
      <c r="L1444" s="1" t="s">
        <v>675</v>
      </c>
      <c r="M1444" s="1" t="s">
        <v>6547</v>
      </c>
      <c r="N1444" s="1" t="s">
        <v>1723</v>
      </c>
      <c r="O1444" s="1" t="s">
        <v>9568</v>
      </c>
    </row>
    <row r="1445" spans="8:15" x14ac:dyDescent="0.25">
      <c r="H1445" s="1">
        <v>1431440</v>
      </c>
      <c r="I1445" s="4">
        <v>46330.729166666664</v>
      </c>
      <c r="J1445" s="1" t="s">
        <v>32</v>
      </c>
      <c r="K1445" s="1" t="s">
        <v>40</v>
      </c>
      <c r="L1445" s="1" t="s">
        <v>349</v>
      </c>
      <c r="M1445" s="1" t="s">
        <v>9569</v>
      </c>
      <c r="N1445" s="1" t="s">
        <v>9570</v>
      </c>
      <c r="O1445" s="1" t="s">
        <v>9571</v>
      </c>
    </row>
    <row r="1446" spans="8:15" x14ac:dyDescent="0.25">
      <c r="H1446" s="1">
        <v>1431442</v>
      </c>
      <c r="I1446" s="4">
        <v>46330.729166666664</v>
      </c>
      <c r="J1446" s="1" t="s">
        <v>32</v>
      </c>
      <c r="K1446" s="1" t="s">
        <v>40</v>
      </c>
      <c r="L1446" s="1" t="s">
        <v>349</v>
      </c>
      <c r="M1446" s="1" t="s">
        <v>1914</v>
      </c>
      <c r="N1446" s="1" t="s">
        <v>6552</v>
      </c>
      <c r="O1446" s="1" t="s">
        <v>9572</v>
      </c>
    </row>
    <row r="1447" spans="8:15" x14ac:dyDescent="0.25">
      <c r="H1447" s="1">
        <v>1431443</v>
      </c>
      <c r="I1447" s="4">
        <v>46330.729166666664</v>
      </c>
      <c r="J1447" s="1" t="s">
        <v>32</v>
      </c>
      <c r="K1447" s="1" t="s">
        <v>40</v>
      </c>
      <c r="L1447" s="1" t="s">
        <v>349</v>
      </c>
      <c r="M1447" s="1" t="s">
        <v>9573</v>
      </c>
      <c r="N1447" s="1" t="s">
        <v>9574</v>
      </c>
      <c r="O1447" s="1" t="s">
        <v>9575</v>
      </c>
    </row>
    <row r="1448" spans="8:15" x14ac:dyDescent="0.25">
      <c r="H1448" s="1">
        <v>1450551</v>
      </c>
      <c r="I1448" s="4">
        <v>46330.729166666664</v>
      </c>
      <c r="J1448" s="1" t="s">
        <v>32</v>
      </c>
      <c r="K1448" s="1" t="s">
        <v>71</v>
      </c>
      <c r="L1448" s="1" t="s">
        <v>410</v>
      </c>
      <c r="M1448" s="1" t="s">
        <v>6801</v>
      </c>
      <c r="N1448" s="1" t="s">
        <v>9576</v>
      </c>
      <c r="O1448" s="1" t="s">
        <v>9577</v>
      </c>
    </row>
    <row r="1449" spans="8:15" x14ac:dyDescent="0.25">
      <c r="H1449" s="1">
        <v>1450785</v>
      </c>
      <c r="I1449" s="4">
        <v>46330.729166666664</v>
      </c>
      <c r="J1449" s="1" t="s">
        <v>32</v>
      </c>
      <c r="K1449" s="1" t="s">
        <v>71</v>
      </c>
      <c r="L1449" s="1" t="s">
        <v>676</v>
      </c>
      <c r="M1449" s="1" t="s">
        <v>6559</v>
      </c>
      <c r="N1449" s="1" t="s">
        <v>9578</v>
      </c>
      <c r="O1449" s="1" t="s">
        <v>9579</v>
      </c>
    </row>
    <row r="1450" spans="8:15" x14ac:dyDescent="0.25">
      <c r="H1450" s="1">
        <v>1454268</v>
      </c>
      <c r="I1450" s="4">
        <v>46330.729166666664</v>
      </c>
      <c r="J1450" s="1" t="s">
        <v>32</v>
      </c>
      <c r="K1450" s="1" t="s">
        <v>41</v>
      </c>
      <c r="L1450" s="1" t="s">
        <v>4339</v>
      </c>
      <c r="M1450" s="1" t="s">
        <v>9580</v>
      </c>
      <c r="N1450" s="1" t="s">
        <v>9581</v>
      </c>
      <c r="O1450" s="1" t="s">
        <v>9582</v>
      </c>
    </row>
    <row r="1451" spans="8:15" x14ac:dyDescent="0.25">
      <c r="H1451" s="1">
        <v>1458773</v>
      </c>
      <c r="I1451" s="4">
        <v>46330.729166666664</v>
      </c>
      <c r="J1451" s="1" t="s">
        <v>32</v>
      </c>
      <c r="K1451" s="1" t="s">
        <v>40</v>
      </c>
      <c r="L1451" s="1" t="s">
        <v>658</v>
      </c>
      <c r="M1451" s="1" t="s">
        <v>6109</v>
      </c>
      <c r="N1451" s="1" t="s">
        <v>6562</v>
      </c>
      <c r="O1451" s="1" t="s">
        <v>9583</v>
      </c>
    </row>
    <row r="1452" spans="8:15" x14ac:dyDescent="0.25">
      <c r="H1452" s="1">
        <v>1459761</v>
      </c>
      <c r="I1452" s="4">
        <v>46330.729166666664</v>
      </c>
      <c r="J1452" s="1" t="s">
        <v>32</v>
      </c>
      <c r="K1452" s="1" t="s">
        <v>40</v>
      </c>
      <c r="L1452" s="1" t="s">
        <v>646</v>
      </c>
      <c r="M1452" s="1" t="s">
        <v>9584</v>
      </c>
      <c r="N1452" s="1" t="s">
        <v>1001</v>
      </c>
      <c r="O1452" s="1" t="s">
        <v>9585</v>
      </c>
    </row>
    <row r="1453" spans="8:15" x14ac:dyDescent="0.25">
      <c r="H1453" s="1">
        <v>1537626</v>
      </c>
      <c r="I1453" s="4">
        <v>46330.729166666664</v>
      </c>
      <c r="J1453" s="1" t="s">
        <v>32</v>
      </c>
      <c r="K1453" s="1" t="s">
        <v>87</v>
      </c>
      <c r="L1453" s="1" t="s">
        <v>338</v>
      </c>
      <c r="M1453" s="1" t="s">
        <v>9586</v>
      </c>
      <c r="N1453" s="1" t="s">
        <v>9587</v>
      </c>
      <c r="O1453" s="1" t="s">
        <v>9588</v>
      </c>
    </row>
    <row r="1454" spans="8:15" x14ac:dyDescent="0.25">
      <c r="H1454" s="1">
        <v>1537631</v>
      </c>
      <c r="I1454" s="4">
        <v>46330.729166666664</v>
      </c>
      <c r="J1454" s="1" t="s">
        <v>32</v>
      </c>
      <c r="K1454" s="1" t="s">
        <v>87</v>
      </c>
      <c r="L1454" s="1" t="s">
        <v>338</v>
      </c>
      <c r="M1454" s="1" t="s">
        <v>9589</v>
      </c>
      <c r="N1454" s="1" t="s">
        <v>9590</v>
      </c>
      <c r="O1454" s="1" t="s">
        <v>9591</v>
      </c>
    </row>
    <row r="1455" spans="8:15" x14ac:dyDescent="0.25">
      <c r="H1455" s="1">
        <v>1538087</v>
      </c>
      <c r="I1455" s="4">
        <v>46330.729166666664</v>
      </c>
      <c r="J1455" s="1" t="s">
        <v>32</v>
      </c>
      <c r="K1455" s="1" t="s">
        <v>665</v>
      </c>
      <c r="L1455" s="1" t="s">
        <v>47</v>
      </c>
      <c r="M1455" s="1" t="s">
        <v>2196</v>
      </c>
      <c r="N1455" s="1" t="s">
        <v>2200</v>
      </c>
      <c r="O1455" s="1" t="s">
        <v>9592</v>
      </c>
    </row>
    <row r="1456" spans="8:15" x14ac:dyDescent="0.25">
      <c r="H1456" s="1">
        <v>1538092</v>
      </c>
      <c r="I1456" s="4">
        <v>46330.729166666664</v>
      </c>
      <c r="J1456" s="1" t="s">
        <v>32</v>
      </c>
      <c r="K1456" s="1" t="s">
        <v>665</v>
      </c>
      <c r="L1456" s="1" t="s">
        <v>47</v>
      </c>
      <c r="M1456" s="1" t="s">
        <v>2195</v>
      </c>
      <c r="N1456" s="1" t="s">
        <v>2201</v>
      </c>
      <c r="O1456" s="1" t="s">
        <v>9593</v>
      </c>
    </row>
    <row r="1457" spans="8:15" x14ac:dyDescent="0.25">
      <c r="H1457" s="1">
        <v>1538854</v>
      </c>
      <c r="I1457" s="4">
        <v>46330.729166666664</v>
      </c>
      <c r="J1457" s="1" t="s">
        <v>32</v>
      </c>
      <c r="K1457" s="1" t="s">
        <v>278</v>
      </c>
      <c r="L1457" s="1" t="s">
        <v>49</v>
      </c>
      <c r="M1457" s="1" t="s">
        <v>9594</v>
      </c>
      <c r="N1457" s="1" t="s">
        <v>9595</v>
      </c>
      <c r="O1457" s="1" t="s">
        <v>9596</v>
      </c>
    </row>
    <row r="1458" spans="8:15" x14ac:dyDescent="0.25">
      <c r="H1458" s="1">
        <v>1538855</v>
      </c>
      <c r="I1458" s="4">
        <v>46330.729166666664</v>
      </c>
      <c r="J1458" s="1" t="s">
        <v>32</v>
      </c>
      <c r="K1458" s="1" t="s">
        <v>278</v>
      </c>
      <c r="L1458" s="1" t="s">
        <v>49</v>
      </c>
      <c r="M1458" s="1" t="s">
        <v>9597</v>
      </c>
      <c r="N1458" s="1" t="s">
        <v>2410</v>
      </c>
      <c r="O1458" s="1" t="s">
        <v>9598</v>
      </c>
    </row>
    <row r="1459" spans="8:15" x14ac:dyDescent="0.25">
      <c r="H1459" s="1">
        <v>1381133</v>
      </c>
      <c r="I1459" s="4">
        <v>46330.739583333336</v>
      </c>
      <c r="J1459" s="1" t="s">
        <v>32</v>
      </c>
      <c r="K1459" s="1" t="s">
        <v>58</v>
      </c>
      <c r="L1459" s="1" t="s">
        <v>59</v>
      </c>
      <c r="M1459" s="1" t="s">
        <v>1182</v>
      </c>
      <c r="N1459" s="1" t="s">
        <v>9600</v>
      </c>
      <c r="O1459" s="1" t="s">
        <v>9601</v>
      </c>
    </row>
    <row r="1460" spans="8:15" x14ac:dyDescent="0.25">
      <c r="H1460" s="1">
        <v>1458195</v>
      </c>
      <c r="I1460" s="4">
        <v>46330.739583333336</v>
      </c>
      <c r="J1460" s="1" t="s">
        <v>32</v>
      </c>
      <c r="K1460" s="1" t="s">
        <v>40</v>
      </c>
      <c r="L1460" s="1" t="s">
        <v>662</v>
      </c>
      <c r="M1460" s="1" t="s">
        <v>9602</v>
      </c>
      <c r="N1460" s="1" t="s">
        <v>2043</v>
      </c>
      <c r="O1460" s="1" t="s">
        <v>9603</v>
      </c>
    </row>
    <row r="1461" spans="8:15" x14ac:dyDescent="0.25">
      <c r="H1461" s="1">
        <v>1538856</v>
      </c>
      <c r="I1461" s="4">
        <v>46330.739583333336</v>
      </c>
      <c r="J1461" s="1" t="s">
        <v>32</v>
      </c>
      <c r="K1461" s="1" t="s">
        <v>278</v>
      </c>
      <c r="L1461" s="1" t="s">
        <v>49</v>
      </c>
      <c r="M1461" s="1" t="s">
        <v>482</v>
      </c>
      <c r="N1461" s="1" t="s">
        <v>9604</v>
      </c>
      <c r="O1461" s="1" t="s">
        <v>9605</v>
      </c>
    </row>
    <row r="1462" spans="8:15" x14ac:dyDescent="0.25">
      <c r="H1462" s="1">
        <v>1387950</v>
      </c>
      <c r="I1462" s="4">
        <v>46330.75</v>
      </c>
      <c r="J1462" s="1" t="s">
        <v>32</v>
      </c>
      <c r="K1462" s="1" t="s">
        <v>89</v>
      </c>
      <c r="L1462" s="1" t="s">
        <v>47</v>
      </c>
      <c r="M1462" s="1" t="s">
        <v>6577</v>
      </c>
      <c r="N1462" s="1" t="s">
        <v>9607</v>
      </c>
      <c r="O1462" s="1" t="s">
        <v>9608</v>
      </c>
    </row>
    <row r="1463" spans="8:15" x14ac:dyDescent="0.25">
      <c r="H1463" s="1">
        <v>1388249</v>
      </c>
      <c r="I1463" s="4">
        <v>46330.75</v>
      </c>
      <c r="J1463" s="1" t="s">
        <v>32</v>
      </c>
      <c r="K1463" s="1" t="s">
        <v>267</v>
      </c>
      <c r="L1463" s="1" t="s">
        <v>402</v>
      </c>
      <c r="M1463" s="1" t="s">
        <v>669</v>
      </c>
      <c r="N1463" s="1" t="s">
        <v>9609</v>
      </c>
      <c r="O1463" s="1" t="s">
        <v>9610</v>
      </c>
    </row>
    <row r="1464" spans="8:15" x14ac:dyDescent="0.25">
      <c r="H1464" s="1">
        <v>1389765</v>
      </c>
      <c r="I1464" s="4">
        <v>46330.75</v>
      </c>
      <c r="J1464" s="1" t="s">
        <v>32</v>
      </c>
      <c r="K1464" s="1" t="s">
        <v>107</v>
      </c>
      <c r="L1464" s="1" t="s">
        <v>235</v>
      </c>
      <c r="M1464" s="1" t="s">
        <v>9611</v>
      </c>
      <c r="N1464" s="1" t="s">
        <v>9612</v>
      </c>
      <c r="O1464" s="1" t="s">
        <v>9613</v>
      </c>
    </row>
    <row r="1465" spans="8:15" x14ac:dyDescent="0.25">
      <c r="H1465" s="1">
        <v>1389766</v>
      </c>
      <c r="I1465" s="4">
        <v>46330.75</v>
      </c>
      <c r="J1465" s="1" t="s">
        <v>32</v>
      </c>
      <c r="K1465" s="1" t="s">
        <v>107</v>
      </c>
      <c r="L1465" s="1" t="s">
        <v>235</v>
      </c>
      <c r="M1465" s="1" t="s">
        <v>9614</v>
      </c>
      <c r="N1465" s="1" t="s">
        <v>9615</v>
      </c>
      <c r="O1465" s="1" t="s">
        <v>9616</v>
      </c>
    </row>
    <row r="1466" spans="8:15" x14ac:dyDescent="0.25">
      <c r="H1466" s="1">
        <v>1389768</v>
      </c>
      <c r="I1466" s="4">
        <v>46330.75</v>
      </c>
      <c r="J1466" s="1" t="s">
        <v>32</v>
      </c>
      <c r="K1466" s="1" t="s">
        <v>107</v>
      </c>
      <c r="L1466" s="1" t="s">
        <v>235</v>
      </c>
      <c r="M1466" s="1" t="s">
        <v>9617</v>
      </c>
      <c r="N1466" s="1" t="s">
        <v>9618</v>
      </c>
      <c r="O1466" s="1" t="s">
        <v>9619</v>
      </c>
    </row>
    <row r="1467" spans="8:15" x14ac:dyDescent="0.25">
      <c r="H1467" s="1">
        <v>1389770</v>
      </c>
      <c r="I1467" s="4">
        <v>46330.75</v>
      </c>
      <c r="J1467" s="1" t="s">
        <v>32</v>
      </c>
      <c r="K1467" s="1" t="s">
        <v>107</v>
      </c>
      <c r="L1467" s="1" t="s">
        <v>235</v>
      </c>
      <c r="M1467" s="1" t="s">
        <v>9620</v>
      </c>
      <c r="N1467" s="1" t="s">
        <v>9621</v>
      </c>
      <c r="O1467" s="1" t="s">
        <v>9622</v>
      </c>
    </row>
    <row r="1468" spans="8:15" x14ac:dyDescent="0.25">
      <c r="H1468" s="1">
        <v>1394010</v>
      </c>
      <c r="I1468" s="4">
        <v>46330.75</v>
      </c>
      <c r="J1468" s="1" t="s">
        <v>32</v>
      </c>
      <c r="K1468" s="1" t="s">
        <v>390</v>
      </c>
      <c r="L1468" s="1" t="s">
        <v>391</v>
      </c>
      <c r="M1468" s="1" t="s">
        <v>2529</v>
      </c>
      <c r="N1468" s="1" t="s">
        <v>1625</v>
      </c>
      <c r="O1468" s="1" t="s">
        <v>9623</v>
      </c>
    </row>
    <row r="1469" spans="8:15" x14ac:dyDescent="0.25">
      <c r="H1469" s="1">
        <v>1394691</v>
      </c>
      <c r="I1469" s="4">
        <v>46330.75</v>
      </c>
      <c r="J1469" s="1" t="s">
        <v>32</v>
      </c>
      <c r="K1469" s="1" t="s">
        <v>42</v>
      </c>
      <c r="L1469" s="1" t="s">
        <v>61</v>
      </c>
      <c r="M1469" s="1" t="s">
        <v>2509</v>
      </c>
      <c r="N1469" s="1" t="s">
        <v>2211</v>
      </c>
      <c r="O1469" s="1" t="s">
        <v>9624</v>
      </c>
    </row>
    <row r="1470" spans="8:15" x14ac:dyDescent="0.25">
      <c r="H1470" s="1">
        <v>1396496</v>
      </c>
      <c r="I1470" s="4">
        <v>46330.75</v>
      </c>
      <c r="J1470" s="1" t="s">
        <v>32</v>
      </c>
      <c r="K1470" s="1" t="s">
        <v>53</v>
      </c>
      <c r="L1470" s="1" t="s">
        <v>99</v>
      </c>
      <c r="M1470" s="1" t="s">
        <v>418</v>
      </c>
      <c r="N1470" s="1" t="s">
        <v>298</v>
      </c>
      <c r="O1470" s="1" t="s">
        <v>9625</v>
      </c>
    </row>
    <row r="1471" spans="8:15" x14ac:dyDescent="0.25">
      <c r="H1471" s="1">
        <v>1397903</v>
      </c>
      <c r="I1471" s="4">
        <v>46330.75</v>
      </c>
      <c r="J1471" s="1" t="s">
        <v>32</v>
      </c>
      <c r="K1471" s="1" t="s">
        <v>332</v>
      </c>
      <c r="L1471" s="1" t="s">
        <v>4196</v>
      </c>
      <c r="M1471" s="1" t="s">
        <v>4198</v>
      </c>
      <c r="N1471" s="1" t="s">
        <v>5710</v>
      </c>
      <c r="O1471" s="1" t="s">
        <v>9626</v>
      </c>
    </row>
    <row r="1472" spans="8:15" x14ac:dyDescent="0.25">
      <c r="H1472" s="1">
        <v>1398221</v>
      </c>
      <c r="I1472" s="4">
        <v>46330.75</v>
      </c>
      <c r="J1472" s="1" t="s">
        <v>32</v>
      </c>
      <c r="K1472" s="1" t="s">
        <v>53</v>
      </c>
      <c r="L1472" s="1" t="s">
        <v>264</v>
      </c>
      <c r="M1472" s="1" t="s">
        <v>2515</v>
      </c>
      <c r="N1472" s="1" t="s">
        <v>1627</v>
      </c>
      <c r="O1472" s="1" t="s">
        <v>9627</v>
      </c>
    </row>
    <row r="1473" spans="8:15" x14ac:dyDescent="0.25">
      <c r="H1473" s="1">
        <v>1398222</v>
      </c>
      <c r="I1473" s="4">
        <v>46330.75</v>
      </c>
      <c r="J1473" s="1" t="s">
        <v>32</v>
      </c>
      <c r="K1473" s="1" t="s">
        <v>53</v>
      </c>
      <c r="L1473" s="1" t="s">
        <v>264</v>
      </c>
      <c r="M1473" s="1" t="s">
        <v>9628</v>
      </c>
      <c r="N1473" s="1" t="s">
        <v>9629</v>
      </c>
      <c r="O1473" s="1" t="s">
        <v>9630</v>
      </c>
    </row>
    <row r="1474" spans="8:15" x14ac:dyDescent="0.25">
      <c r="H1474" s="1">
        <v>1410692</v>
      </c>
      <c r="I1474" s="4">
        <v>46330.75</v>
      </c>
      <c r="J1474" s="1" t="s">
        <v>32</v>
      </c>
      <c r="K1474" s="1" t="s">
        <v>51</v>
      </c>
      <c r="L1474" s="1" t="s">
        <v>386</v>
      </c>
      <c r="M1474" s="1" t="s">
        <v>1395</v>
      </c>
      <c r="N1474" s="1" t="s">
        <v>3843</v>
      </c>
      <c r="O1474" s="1" t="s">
        <v>9631</v>
      </c>
    </row>
    <row r="1475" spans="8:15" x14ac:dyDescent="0.25">
      <c r="H1475" s="1">
        <v>1415552</v>
      </c>
      <c r="I1475" s="4">
        <v>46330.75</v>
      </c>
      <c r="J1475" s="1" t="s">
        <v>32</v>
      </c>
      <c r="K1475" s="1" t="s">
        <v>616</v>
      </c>
      <c r="L1475" s="1" t="s">
        <v>69</v>
      </c>
      <c r="M1475" s="1" t="s">
        <v>2213</v>
      </c>
      <c r="N1475" s="1" t="s">
        <v>1673</v>
      </c>
      <c r="O1475" s="1" t="s">
        <v>9632</v>
      </c>
    </row>
    <row r="1476" spans="8:15" x14ac:dyDescent="0.25">
      <c r="H1476" s="1">
        <v>1418680</v>
      </c>
      <c r="I1476" s="4">
        <v>46330.75</v>
      </c>
      <c r="J1476" s="1" t="s">
        <v>32</v>
      </c>
      <c r="K1476" s="1" t="s">
        <v>80</v>
      </c>
      <c r="L1476" s="1" t="s">
        <v>626</v>
      </c>
      <c r="M1476" s="1" t="s">
        <v>6200</v>
      </c>
      <c r="N1476" s="1" t="s">
        <v>6258</v>
      </c>
      <c r="O1476" s="1" t="s">
        <v>9633</v>
      </c>
    </row>
    <row r="1477" spans="8:15" x14ac:dyDescent="0.25">
      <c r="H1477" s="1">
        <v>1426015</v>
      </c>
      <c r="I1477" s="4">
        <v>46330.75</v>
      </c>
      <c r="J1477" s="1" t="s">
        <v>32</v>
      </c>
      <c r="K1477" s="1" t="s">
        <v>89</v>
      </c>
      <c r="L1477" s="1" t="s">
        <v>670</v>
      </c>
      <c r="M1477" s="1" t="s">
        <v>6586</v>
      </c>
      <c r="N1477" s="1" t="s">
        <v>6322</v>
      </c>
      <c r="O1477" s="1" t="s">
        <v>9634</v>
      </c>
    </row>
    <row r="1478" spans="8:15" x14ac:dyDescent="0.25">
      <c r="H1478" s="1">
        <v>1426177</v>
      </c>
      <c r="I1478" s="4">
        <v>46330.75</v>
      </c>
      <c r="J1478" s="1" t="s">
        <v>32</v>
      </c>
      <c r="K1478" s="1" t="s">
        <v>89</v>
      </c>
      <c r="L1478" s="1" t="s">
        <v>671</v>
      </c>
      <c r="M1478" s="1" t="s">
        <v>6589</v>
      </c>
      <c r="N1478" s="1" t="s">
        <v>1706</v>
      </c>
      <c r="O1478" s="1" t="s">
        <v>9635</v>
      </c>
    </row>
    <row r="1479" spans="8:15" x14ac:dyDescent="0.25">
      <c r="H1479" s="1">
        <v>1426178</v>
      </c>
      <c r="I1479" s="4">
        <v>46330.75</v>
      </c>
      <c r="J1479" s="1" t="s">
        <v>32</v>
      </c>
      <c r="K1479" s="1" t="s">
        <v>89</v>
      </c>
      <c r="L1479" s="1" t="s">
        <v>671</v>
      </c>
      <c r="M1479" s="1" t="s">
        <v>6542</v>
      </c>
      <c r="N1479" s="1" t="s">
        <v>6335</v>
      </c>
      <c r="O1479" s="1" t="s">
        <v>9636</v>
      </c>
    </row>
    <row r="1480" spans="8:15" x14ac:dyDescent="0.25">
      <c r="H1480" s="1">
        <v>1433077</v>
      </c>
      <c r="I1480" s="4">
        <v>46330.75</v>
      </c>
      <c r="J1480" s="1" t="s">
        <v>32</v>
      </c>
      <c r="K1480" s="1" t="s">
        <v>40</v>
      </c>
      <c r="L1480" s="1" t="s">
        <v>1046</v>
      </c>
      <c r="M1480" s="1" t="s">
        <v>1047</v>
      </c>
      <c r="N1480" s="1" t="s">
        <v>1049</v>
      </c>
      <c r="O1480" s="1" t="s">
        <v>9637</v>
      </c>
    </row>
    <row r="1481" spans="8:15" x14ac:dyDescent="0.25">
      <c r="H1481" s="1">
        <v>1438407</v>
      </c>
      <c r="I1481" s="4">
        <v>46330.75</v>
      </c>
      <c r="J1481" s="1" t="s">
        <v>32</v>
      </c>
      <c r="K1481" s="1" t="s">
        <v>58</v>
      </c>
      <c r="L1481" s="1" t="s">
        <v>622</v>
      </c>
      <c r="M1481" s="1" t="s">
        <v>4646</v>
      </c>
      <c r="N1481" s="1" t="s">
        <v>4253</v>
      </c>
      <c r="O1481" s="1" t="s">
        <v>9638</v>
      </c>
    </row>
    <row r="1482" spans="8:15" x14ac:dyDescent="0.25">
      <c r="H1482" s="1">
        <v>1447000</v>
      </c>
      <c r="I1482" s="4">
        <v>46330.75</v>
      </c>
      <c r="J1482" s="1" t="s">
        <v>32</v>
      </c>
      <c r="K1482" s="1" t="s">
        <v>18</v>
      </c>
      <c r="L1482" s="1" t="s">
        <v>19</v>
      </c>
      <c r="M1482" s="1" t="s">
        <v>6100</v>
      </c>
      <c r="N1482" s="1" t="s">
        <v>9639</v>
      </c>
      <c r="O1482" s="1" t="s">
        <v>9640</v>
      </c>
    </row>
    <row r="1483" spans="8:15" x14ac:dyDescent="0.25">
      <c r="H1483" s="1">
        <v>1460679</v>
      </c>
      <c r="I1483" s="4">
        <v>46330.75</v>
      </c>
      <c r="J1483" s="1" t="s">
        <v>32</v>
      </c>
      <c r="K1483" s="1" t="s">
        <v>40</v>
      </c>
      <c r="L1483" s="1" t="s">
        <v>678</v>
      </c>
      <c r="M1483" s="1" t="s">
        <v>1105</v>
      </c>
      <c r="N1483" s="1" t="s">
        <v>2224</v>
      </c>
      <c r="O1483" s="1" t="s">
        <v>9641</v>
      </c>
    </row>
    <row r="1484" spans="8:15" x14ac:dyDescent="0.25">
      <c r="H1484" s="1">
        <v>1475172</v>
      </c>
      <c r="I1484" s="4">
        <v>46330.75</v>
      </c>
      <c r="J1484" s="1" t="s">
        <v>32</v>
      </c>
      <c r="K1484" s="1" t="s">
        <v>336</v>
      </c>
      <c r="L1484" s="1" t="s">
        <v>49</v>
      </c>
      <c r="M1484" s="1" t="s">
        <v>9642</v>
      </c>
      <c r="N1484" s="1" t="s">
        <v>9643</v>
      </c>
      <c r="O1484" s="1" t="s">
        <v>9644</v>
      </c>
    </row>
    <row r="1485" spans="8:15" x14ac:dyDescent="0.25">
      <c r="H1485" s="1">
        <v>1490196</v>
      </c>
      <c r="I1485" s="4">
        <v>46330.75</v>
      </c>
      <c r="J1485" s="1" t="s">
        <v>32</v>
      </c>
      <c r="K1485" s="1" t="s">
        <v>362</v>
      </c>
      <c r="L1485" s="1" t="s">
        <v>413</v>
      </c>
      <c r="M1485" s="1" t="s">
        <v>2414</v>
      </c>
      <c r="N1485" s="1" t="s">
        <v>2413</v>
      </c>
      <c r="O1485" s="1" t="s">
        <v>9645</v>
      </c>
    </row>
    <row r="1486" spans="8:15" x14ac:dyDescent="0.25">
      <c r="H1486" s="1">
        <v>1516293</v>
      </c>
      <c r="I1486" s="4">
        <v>46330.75</v>
      </c>
      <c r="J1486" s="1" t="s">
        <v>32</v>
      </c>
      <c r="K1486" s="1" t="s">
        <v>8371</v>
      </c>
      <c r="L1486" s="1" t="s">
        <v>49</v>
      </c>
      <c r="M1486" s="1" t="s">
        <v>9646</v>
      </c>
      <c r="N1486" s="1" t="s">
        <v>9647</v>
      </c>
      <c r="O1486" s="1" t="s">
        <v>9648</v>
      </c>
    </row>
    <row r="1487" spans="8:15" x14ac:dyDescent="0.25">
      <c r="H1487" s="1">
        <v>1524320</v>
      </c>
      <c r="I1487" s="4">
        <v>46330.75</v>
      </c>
      <c r="J1487" s="1" t="s">
        <v>32</v>
      </c>
      <c r="K1487" s="1" t="s">
        <v>48</v>
      </c>
      <c r="L1487" s="1" t="s">
        <v>342</v>
      </c>
      <c r="M1487" s="1" t="s">
        <v>9649</v>
      </c>
      <c r="N1487" s="1" t="s">
        <v>2235</v>
      </c>
      <c r="O1487" s="1" t="s">
        <v>9650</v>
      </c>
    </row>
    <row r="1488" spans="8:15" x14ac:dyDescent="0.25">
      <c r="H1488" s="1">
        <v>1525830</v>
      </c>
      <c r="I1488" s="4">
        <v>46330.75</v>
      </c>
      <c r="J1488" s="1" t="s">
        <v>32</v>
      </c>
      <c r="K1488" s="1" t="s">
        <v>389</v>
      </c>
      <c r="L1488" s="1" t="s">
        <v>49</v>
      </c>
      <c r="M1488" s="1" t="s">
        <v>5900</v>
      </c>
      <c r="N1488" s="1" t="s">
        <v>4188</v>
      </c>
      <c r="O1488" s="1" t="s">
        <v>9651</v>
      </c>
    </row>
    <row r="1489" spans="8:15" x14ac:dyDescent="0.25">
      <c r="H1489" s="1">
        <v>1531518</v>
      </c>
      <c r="I1489" s="4">
        <v>46330.75</v>
      </c>
      <c r="J1489" s="1" t="s">
        <v>32</v>
      </c>
      <c r="K1489" s="1" t="s">
        <v>95</v>
      </c>
      <c r="L1489" s="1" t="s">
        <v>96</v>
      </c>
      <c r="M1489" s="1" t="s">
        <v>9652</v>
      </c>
      <c r="N1489" s="1" t="s">
        <v>1316</v>
      </c>
      <c r="O1489" s="1" t="s">
        <v>9653</v>
      </c>
    </row>
    <row r="1490" spans="8:15" x14ac:dyDescent="0.25">
      <c r="H1490" s="1">
        <v>1538091</v>
      </c>
      <c r="I1490" s="4">
        <v>46330.75</v>
      </c>
      <c r="J1490" s="1" t="s">
        <v>32</v>
      </c>
      <c r="K1490" s="1" t="s">
        <v>665</v>
      </c>
      <c r="L1490" s="1" t="s">
        <v>47</v>
      </c>
      <c r="M1490" s="1" t="s">
        <v>9654</v>
      </c>
      <c r="N1490" s="1" t="s">
        <v>2197</v>
      </c>
      <c r="O1490" s="1" t="s">
        <v>9655</v>
      </c>
    </row>
    <row r="1491" spans="8:15" x14ac:dyDescent="0.25">
      <c r="H1491" s="1">
        <v>1539758</v>
      </c>
      <c r="I1491" s="4">
        <v>46330.75</v>
      </c>
      <c r="J1491" s="1" t="s">
        <v>32</v>
      </c>
      <c r="K1491" s="1" t="s">
        <v>5924</v>
      </c>
      <c r="L1491" s="1" t="s">
        <v>7410</v>
      </c>
      <c r="M1491" s="1" t="s">
        <v>9656</v>
      </c>
      <c r="N1491" s="1" t="s">
        <v>9657</v>
      </c>
      <c r="O1491" s="1" t="s">
        <v>9658</v>
      </c>
    </row>
    <row r="1492" spans="8:15" x14ac:dyDescent="0.25">
      <c r="H1492" s="1">
        <v>1411295</v>
      </c>
      <c r="I1492" s="4">
        <v>46330.770138888889</v>
      </c>
      <c r="J1492" s="1" t="s">
        <v>32</v>
      </c>
      <c r="K1492" s="1" t="s">
        <v>51</v>
      </c>
      <c r="L1492" s="1" t="s">
        <v>581</v>
      </c>
      <c r="M1492" s="1" t="s">
        <v>6254</v>
      </c>
      <c r="N1492" s="1" t="s">
        <v>9660</v>
      </c>
      <c r="O1492" s="1" t="s">
        <v>9661</v>
      </c>
    </row>
    <row r="1493" spans="8:15" x14ac:dyDescent="0.25">
      <c r="H1493" s="1">
        <v>1381761</v>
      </c>
      <c r="I1493" s="4">
        <v>46330.770833333336</v>
      </c>
      <c r="J1493" s="1" t="s">
        <v>32</v>
      </c>
      <c r="K1493" s="1" t="s">
        <v>51</v>
      </c>
      <c r="L1493" s="1" t="s">
        <v>52</v>
      </c>
      <c r="M1493" s="1" t="s">
        <v>9663</v>
      </c>
      <c r="N1493" s="1" t="s">
        <v>9664</v>
      </c>
      <c r="O1493" s="1" t="s">
        <v>9665</v>
      </c>
    </row>
    <row r="1494" spans="8:15" x14ac:dyDescent="0.25">
      <c r="H1494" s="1">
        <v>1381768</v>
      </c>
      <c r="I1494" s="4">
        <v>46330.770833333336</v>
      </c>
      <c r="J1494" s="1" t="s">
        <v>32</v>
      </c>
      <c r="K1494" s="1" t="s">
        <v>51</v>
      </c>
      <c r="L1494" s="1" t="s">
        <v>52</v>
      </c>
      <c r="M1494" s="1" t="s">
        <v>1525</v>
      </c>
      <c r="N1494" s="1" t="s">
        <v>9666</v>
      </c>
      <c r="O1494" s="1" t="s">
        <v>9667</v>
      </c>
    </row>
    <row r="1495" spans="8:15" x14ac:dyDescent="0.25">
      <c r="H1495" s="1">
        <v>1381769</v>
      </c>
      <c r="I1495" s="4">
        <v>46330.770833333336</v>
      </c>
      <c r="J1495" s="1" t="s">
        <v>32</v>
      </c>
      <c r="K1495" s="1" t="s">
        <v>51</v>
      </c>
      <c r="L1495" s="1" t="s">
        <v>52</v>
      </c>
      <c r="M1495" s="1" t="s">
        <v>9668</v>
      </c>
      <c r="N1495" s="1" t="s">
        <v>9669</v>
      </c>
      <c r="O1495" s="1" t="s">
        <v>9670</v>
      </c>
    </row>
    <row r="1496" spans="8:15" x14ac:dyDescent="0.25">
      <c r="H1496" s="1">
        <v>1396745</v>
      </c>
      <c r="I1496" s="4">
        <v>46330.770833333336</v>
      </c>
      <c r="J1496" s="1" t="s">
        <v>32</v>
      </c>
      <c r="K1496" s="1" t="s">
        <v>682</v>
      </c>
      <c r="L1496" s="1" t="s">
        <v>683</v>
      </c>
      <c r="M1496" s="1" t="s">
        <v>9671</v>
      </c>
      <c r="N1496" s="1" t="s">
        <v>1848</v>
      </c>
      <c r="O1496" s="1" t="s">
        <v>9672</v>
      </c>
    </row>
    <row r="1497" spans="8:15" x14ac:dyDescent="0.25">
      <c r="H1497" s="1">
        <v>1410995</v>
      </c>
      <c r="I1497" s="4">
        <v>46330.770833333336</v>
      </c>
      <c r="J1497" s="1" t="s">
        <v>32</v>
      </c>
      <c r="K1497" s="1" t="s">
        <v>51</v>
      </c>
      <c r="L1497" s="1" t="s">
        <v>539</v>
      </c>
      <c r="M1497" s="1" t="s">
        <v>9673</v>
      </c>
      <c r="N1497" s="1" t="s">
        <v>4560</v>
      </c>
      <c r="O1497" s="1" t="s">
        <v>9674</v>
      </c>
    </row>
    <row r="1498" spans="8:15" x14ac:dyDescent="0.25">
      <c r="H1498" s="1">
        <v>1416944</v>
      </c>
      <c r="I1498" s="4">
        <v>46330.770833333336</v>
      </c>
      <c r="J1498" s="1" t="s">
        <v>32</v>
      </c>
      <c r="K1498" s="1" t="s">
        <v>71</v>
      </c>
      <c r="L1498" s="1" t="s">
        <v>346</v>
      </c>
      <c r="M1498" s="1" t="s">
        <v>6712</v>
      </c>
      <c r="N1498" s="1" t="s">
        <v>1676</v>
      </c>
      <c r="O1498" s="1" t="s">
        <v>9675</v>
      </c>
    </row>
    <row r="1499" spans="8:15" x14ac:dyDescent="0.25">
      <c r="H1499" s="1">
        <v>1416948</v>
      </c>
      <c r="I1499" s="4">
        <v>46330.770833333336</v>
      </c>
      <c r="J1499" s="1" t="s">
        <v>32</v>
      </c>
      <c r="K1499" s="1" t="s">
        <v>71</v>
      </c>
      <c r="L1499" s="1" t="s">
        <v>346</v>
      </c>
      <c r="M1499" s="1" t="s">
        <v>1682</v>
      </c>
      <c r="N1499" s="1" t="s">
        <v>1684</v>
      </c>
      <c r="O1499" s="1" t="s">
        <v>9676</v>
      </c>
    </row>
    <row r="1500" spans="8:15" x14ac:dyDescent="0.25">
      <c r="H1500" s="1">
        <v>1418676</v>
      </c>
      <c r="I1500" s="4">
        <v>46330.770833333336</v>
      </c>
      <c r="J1500" s="1" t="s">
        <v>32</v>
      </c>
      <c r="K1500" s="1" t="s">
        <v>80</v>
      </c>
      <c r="L1500" s="1" t="s">
        <v>626</v>
      </c>
      <c r="M1500" s="1" t="s">
        <v>1693</v>
      </c>
      <c r="N1500" s="1" t="s">
        <v>4577</v>
      </c>
      <c r="O1500" s="1" t="s">
        <v>9677</v>
      </c>
    </row>
    <row r="1501" spans="8:15" x14ac:dyDescent="0.25">
      <c r="H1501" s="1">
        <v>1419930</v>
      </c>
      <c r="I1501" s="4">
        <v>46330.770833333336</v>
      </c>
      <c r="J1501" s="1" t="s">
        <v>32</v>
      </c>
      <c r="K1501" s="1" t="s">
        <v>41</v>
      </c>
      <c r="L1501" s="1" t="s">
        <v>348</v>
      </c>
      <c r="M1501" s="1" t="s">
        <v>6189</v>
      </c>
      <c r="N1501" s="1" t="s">
        <v>2285</v>
      </c>
      <c r="O1501" s="1" t="s">
        <v>9678</v>
      </c>
    </row>
    <row r="1502" spans="8:15" x14ac:dyDescent="0.25">
      <c r="H1502" s="1">
        <v>1450314</v>
      </c>
      <c r="I1502" s="4">
        <v>46330.770833333336</v>
      </c>
      <c r="J1502" s="1" t="s">
        <v>32</v>
      </c>
      <c r="K1502" s="1" t="s">
        <v>71</v>
      </c>
      <c r="L1502" s="1" t="s">
        <v>684</v>
      </c>
      <c r="M1502" s="1" t="s">
        <v>9679</v>
      </c>
      <c r="N1502" s="1" t="s">
        <v>1727</v>
      </c>
      <c r="O1502" s="1" t="s">
        <v>9680</v>
      </c>
    </row>
    <row r="1503" spans="8:15" x14ac:dyDescent="0.25">
      <c r="H1503" s="1">
        <v>1450552</v>
      </c>
      <c r="I1503" s="4">
        <v>46330.770833333336</v>
      </c>
      <c r="J1503" s="1" t="s">
        <v>32</v>
      </c>
      <c r="K1503" s="1" t="s">
        <v>71</v>
      </c>
      <c r="L1503" s="1" t="s">
        <v>410</v>
      </c>
      <c r="M1503" s="1" t="s">
        <v>6728</v>
      </c>
      <c r="N1503" s="1" t="s">
        <v>9681</v>
      </c>
      <c r="O1503" s="1" t="s">
        <v>9682</v>
      </c>
    </row>
    <row r="1504" spans="8:15" x14ac:dyDescent="0.25">
      <c r="H1504" s="1">
        <v>1450556</v>
      </c>
      <c r="I1504" s="4">
        <v>46330.770833333336</v>
      </c>
      <c r="J1504" s="1" t="s">
        <v>32</v>
      </c>
      <c r="K1504" s="1" t="s">
        <v>71</v>
      </c>
      <c r="L1504" s="1" t="s">
        <v>410</v>
      </c>
      <c r="M1504" s="1" t="s">
        <v>9683</v>
      </c>
      <c r="N1504" s="1" t="s">
        <v>6804</v>
      </c>
      <c r="O1504" s="1" t="s">
        <v>9684</v>
      </c>
    </row>
    <row r="1505" spans="8:15" x14ac:dyDescent="0.25">
      <c r="H1505" s="1">
        <v>1450786</v>
      </c>
      <c r="I1505" s="4">
        <v>46330.770833333336</v>
      </c>
      <c r="J1505" s="1" t="s">
        <v>32</v>
      </c>
      <c r="K1505" s="1" t="s">
        <v>71</v>
      </c>
      <c r="L1505" s="1" t="s">
        <v>676</v>
      </c>
      <c r="M1505" s="1" t="s">
        <v>6730</v>
      </c>
      <c r="N1505" s="1" t="s">
        <v>9685</v>
      </c>
      <c r="O1505" s="1" t="s">
        <v>9686</v>
      </c>
    </row>
    <row r="1506" spans="8:15" x14ac:dyDescent="0.25">
      <c r="H1506" s="1">
        <v>1506444</v>
      </c>
      <c r="I1506" s="4">
        <v>46330.770833333336</v>
      </c>
      <c r="J1506" s="1" t="s">
        <v>32</v>
      </c>
      <c r="K1506" s="1" t="s">
        <v>610</v>
      </c>
      <c r="L1506" s="1" t="s">
        <v>668</v>
      </c>
      <c r="M1506" s="1" t="s">
        <v>2004</v>
      </c>
      <c r="N1506" s="1" t="s">
        <v>6483</v>
      </c>
      <c r="O1506" s="1" t="s">
        <v>9687</v>
      </c>
    </row>
    <row r="1507" spans="8:15" x14ac:dyDescent="0.25">
      <c r="H1507" s="1">
        <v>1525565</v>
      </c>
      <c r="I1507" s="4">
        <v>46330.770833333336</v>
      </c>
      <c r="J1507" s="1" t="s">
        <v>32</v>
      </c>
      <c r="K1507" s="1" t="s">
        <v>71</v>
      </c>
      <c r="L1507" s="1" t="s">
        <v>346</v>
      </c>
      <c r="M1507" s="1" t="s">
        <v>6760</v>
      </c>
      <c r="N1507" s="1" t="s">
        <v>555</v>
      </c>
      <c r="O1507" s="1" t="s">
        <v>9688</v>
      </c>
    </row>
    <row r="1508" spans="8:15" x14ac:dyDescent="0.25">
      <c r="H1508" s="1">
        <v>1531268</v>
      </c>
      <c r="I1508" s="4">
        <v>46330.770833333336</v>
      </c>
      <c r="J1508" s="1" t="s">
        <v>32</v>
      </c>
      <c r="K1508" s="1" t="s">
        <v>332</v>
      </c>
      <c r="L1508" s="1" t="s">
        <v>347</v>
      </c>
      <c r="M1508" s="1" t="s">
        <v>2071</v>
      </c>
      <c r="N1508" s="1" t="s">
        <v>2072</v>
      </c>
      <c r="O1508" s="1" t="s">
        <v>9689</v>
      </c>
    </row>
    <row r="1509" spans="8:15" x14ac:dyDescent="0.25">
      <c r="H1509" s="1">
        <v>1531554</v>
      </c>
      <c r="I1509" s="4">
        <v>46330.770833333336</v>
      </c>
      <c r="J1509" s="1" t="s">
        <v>32</v>
      </c>
      <c r="K1509" s="1" t="s">
        <v>352</v>
      </c>
      <c r="L1509" s="1" t="s">
        <v>25</v>
      </c>
      <c r="M1509" s="1" t="s">
        <v>2286</v>
      </c>
      <c r="N1509" s="1" t="s">
        <v>6232</v>
      </c>
      <c r="O1509" s="1" t="s">
        <v>9690</v>
      </c>
    </row>
    <row r="1510" spans="8:15" x14ac:dyDescent="0.25">
      <c r="H1510" s="1">
        <v>1449417</v>
      </c>
      <c r="I1510" s="4">
        <v>46330.78125</v>
      </c>
      <c r="J1510" s="1" t="s">
        <v>32</v>
      </c>
      <c r="K1510" s="1" t="s">
        <v>64</v>
      </c>
      <c r="L1510" s="1" t="s">
        <v>9109</v>
      </c>
      <c r="M1510" s="1" t="s">
        <v>9692</v>
      </c>
      <c r="N1510" s="1" t="s">
        <v>9693</v>
      </c>
      <c r="O1510" s="1" t="s">
        <v>9694</v>
      </c>
    </row>
    <row r="1511" spans="8:15" x14ac:dyDescent="0.25">
      <c r="H1511" s="1">
        <v>1380346</v>
      </c>
      <c r="I1511" s="4">
        <v>46330.791666666664</v>
      </c>
      <c r="J1511" s="1" t="s">
        <v>32</v>
      </c>
      <c r="K1511" s="1" t="s">
        <v>390</v>
      </c>
      <c r="L1511" s="1" t="s">
        <v>400</v>
      </c>
      <c r="M1511" s="1" t="s">
        <v>2241</v>
      </c>
      <c r="N1511" s="1" t="s">
        <v>9696</v>
      </c>
      <c r="O1511" s="1" t="s">
        <v>9697</v>
      </c>
    </row>
    <row r="1512" spans="8:15" x14ac:dyDescent="0.25">
      <c r="H1512" s="1">
        <v>1381129</v>
      </c>
      <c r="I1512" s="4">
        <v>46330.791666666664</v>
      </c>
      <c r="J1512" s="1" t="s">
        <v>32</v>
      </c>
      <c r="K1512" s="1" t="s">
        <v>58</v>
      </c>
      <c r="L1512" s="1" t="s">
        <v>59</v>
      </c>
      <c r="M1512" s="1" t="s">
        <v>9698</v>
      </c>
      <c r="N1512" s="1" t="s">
        <v>1520</v>
      </c>
      <c r="O1512" s="1" t="s">
        <v>9699</v>
      </c>
    </row>
    <row r="1513" spans="8:15" x14ac:dyDescent="0.25">
      <c r="H1513" s="1">
        <v>1389373</v>
      </c>
      <c r="I1513" s="4">
        <v>46330.791666666664</v>
      </c>
      <c r="J1513" s="1" t="s">
        <v>32</v>
      </c>
      <c r="K1513" s="1" t="s">
        <v>89</v>
      </c>
      <c r="L1513" s="1" t="s">
        <v>236</v>
      </c>
      <c r="M1513" s="1" t="s">
        <v>6787</v>
      </c>
      <c r="N1513" s="1" t="s">
        <v>2549</v>
      </c>
      <c r="O1513" s="1" t="s">
        <v>9700</v>
      </c>
    </row>
    <row r="1514" spans="8:15" x14ac:dyDescent="0.25">
      <c r="H1514" s="1">
        <v>1392801</v>
      </c>
      <c r="I1514" s="4">
        <v>46330.791666666664</v>
      </c>
      <c r="J1514" s="1" t="s">
        <v>32</v>
      </c>
      <c r="K1514" s="1" t="s">
        <v>71</v>
      </c>
      <c r="L1514" s="1" t="s">
        <v>344</v>
      </c>
      <c r="M1514" s="1" t="s">
        <v>1831</v>
      </c>
      <c r="N1514" s="1" t="s">
        <v>9701</v>
      </c>
      <c r="O1514" s="1" t="s">
        <v>9702</v>
      </c>
    </row>
    <row r="1515" spans="8:15" x14ac:dyDescent="0.25">
      <c r="H1515" s="1">
        <v>1392802</v>
      </c>
      <c r="I1515" s="4">
        <v>46330.791666666664</v>
      </c>
      <c r="J1515" s="1" t="s">
        <v>32</v>
      </c>
      <c r="K1515" s="1" t="s">
        <v>71</v>
      </c>
      <c r="L1515" s="1" t="s">
        <v>344</v>
      </c>
      <c r="M1515" s="1" t="s">
        <v>9703</v>
      </c>
      <c r="N1515" s="1" t="s">
        <v>6793</v>
      </c>
      <c r="O1515" s="1" t="s">
        <v>9704</v>
      </c>
    </row>
    <row r="1516" spans="8:15" x14ac:dyDescent="0.25">
      <c r="H1516" s="1">
        <v>1392803</v>
      </c>
      <c r="I1516" s="4">
        <v>46330.791666666664</v>
      </c>
      <c r="J1516" s="1" t="s">
        <v>32</v>
      </c>
      <c r="K1516" s="1" t="s">
        <v>71</v>
      </c>
      <c r="L1516" s="1" t="s">
        <v>344</v>
      </c>
      <c r="M1516" s="1" t="s">
        <v>9705</v>
      </c>
      <c r="N1516" s="1" t="s">
        <v>5256</v>
      </c>
      <c r="O1516" s="1" t="s">
        <v>9706</v>
      </c>
    </row>
    <row r="1517" spans="8:15" x14ac:dyDescent="0.25">
      <c r="H1517" s="1">
        <v>1395030</v>
      </c>
      <c r="I1517" s="4">
        <v>46330.791666666664</v>
      </c>
      <c r="J1517" s="1" t="s">
        <v>32</v>
      </c>
      <c r="K1517" s="1" t="s">
        <v>71</v>
      </c>
      <c r="L1517" s="1" t="s">
        <v>344</v>
      </c>
      <c r="M1517" s="1" t="s">
        <v>1323</v>
      </c>
      <c r="N1517" s="1" t="s">
        <v>5258</v>
      </c>
      <c r="O1517" s="1" t="s">
        <v>9707</v>
      </c>
    </row>
    <row r="1518" spans="8:15" x14ac:dyDescent="0.25">
      <c r="H1518" s="1">
        <v>1416945</v>
      </c>
      <c r="I1518" s="4">
        <v>46330.791666666664</v>
      </c>
      <c r="J1518" s="1" t="s">
        <v>32</v>
      </c>
      <c r="K1518" s="1" t="s">
        <v>71</v>
      </c>
      <c r="L1518" s="1" t="s">
        <v>346</v>
      </c>
      <c r="M1518" s="1" t="s">
        <v>9708</v>
      </c>
      <c r="N1518" s="1" t="s">
        <v>9709</v>
      </c>
      <c r="O1518" s="1" t="s">
        <v>9710</v>
      </c>
    </row>
    <row r="1519" spans="8:15" x14ac:dyDescent="0.25">
      <c r="H1519" s="1">
        <v>1416946</v>
      </c>
      <c r="I1519" s="4">
        <v>46330.791666666664</v>
      </c>
      <c r="J1519" s="1" t="s">
        <v>32</v>
      </c>
      <c r="K1519" s="1" t="s">
        <v>71</v>
      </c>
      <c r="L1519" s="1" t="s">
        <v>346</v>
      </c>
      <c r="M1519" s="1" t="s">
        <v>1678</v>
      </c>
      <c r="N1519" s="1" t="s">
        <v>6714</v>
      </c>
      <c r="O1519" s="1" t="s">
        <v>9711</v>
      </c>
    </row>
    <row r="1520" spans="8:15" x14ac:dyDescent="0.25">
      <c r="H1520" s="1">
        <v>1416951</v>
      </c>
      <c r="I1520" s="4">
        <v>46330.791666666664</v>
      </c>
      <c r="J1520" s="1" t="s">
        <v>32</v>
      </c>
      <c r="K1520" s="1" t="s">
        <v>71</v>
      </c>
      <c r="L1520" s="1" t="s">
        <v>346</v>
      </c>
      <c r="M1520" s="1" t="s">
        <v>1683</v>
      </c>
      <c r="N1520" s="1" t="s">
        <v>1680</v>
      </c>
      <c r="O1520" s="1" t="s">
        <v>9712</v>
      </c>
    </row>
    <row r="1521" spans="8:15" x14ac:dyDescent="0.25">
      <c r="H1521" s="1">
        <v>1429662</v>
      </c>
      <c r="I1521" s="4">
        <v>46330.791666666664</v>
      </c>
      <c r="J1521" s="1" t="s">
        <v>32</v>
      </c>
      <c r="K1521" s="1" t="s">
        <v>37</v>
      </c>
      <c r="L1521" s="1" t="s">
        <v>238</v>
      </c>
      <c r="M1521" s="1" t="s">
        <v>4227</v>
      </c>
      <c r="N1521" s="1" t="s">
        <v>4229</v>
      </c>
      <c r="O1521" s="1" t="s">
        <v>9713</v>
      </c>
    </row>
    <row r="1522" spans="8:15" x14ac:dyDescent="0.25">
      <c r="H1522" s="1">
        <v>1436162</v>
      </c>
      <c r="I1522" s="4">
        <v>46330.791666666664</v>
      </c>
      <c r="J1522" s="1" t="s">
        <v>32</v>
      </c>
      <c r="K1522" s="1" t="s">
        <v>82</v>
      </c>
      <c r="L1522" s="1" t="s">
        <v>338</v>
      </c>
      <c r="M1522" s="1" t="s">
        <v>9714</v>
      </c>
      <c r="N1522" s="1" t="s">
        <v>9715</v>
      </c>
      <c r="O1522" s="1" t="s">
        <v>9716</v>
      </c>
    </row>
    <row r="1523" spans="8:15" x14ac:dyDescent="0.25">
      <c r="H1523" s="1">
        <v>1450315</v>
      </c>
      <c r="I1523" s="4">
        <v>46330.791666666664</v>
      </c>
      <c r="J1523" s="1" t="s">
        <v>32</v>
      </c>
      <c r="K1523" s="1" t="s">
        <v>71</v>
      </c>
      <c r="L1523" s="1" t="s">
        <v>684</v>
      </c>
      <c r="M1523" s="1" t="s">
        <v>6724</v>
      </c>
      <c r="N1523" s="1" t="s">
        <v>6798</v>
      </c>
      <c r="O1523" s="1" t="s">
        <v>9717</v>
      </c>
    </row>
    <row r="1524" spans="8:15" x14ac:dyDescent="0.25">
      <c r="H1524" s="1">
        <v>1450553</v>
      </c>
      <c r="I1524" s="4">
        <v>46330.791666666664</v>
      </c>
      <c r="J1524" s="1" t="s">
        <v>32</v>
      </c>
      <c r="K1524" s="1" t="s">
        <v>71</v>
      </c>
      <c r="L1524" s="1" t="s">
        <v>410</v>
      </c>
      <c r="M1524" s="1" t="s">
        <v>6800</v>
      </c>
      <c r="N1524" s="1" t="s">
        <v>1734</v>
      </c>
      <c r="O1524" s="1" t="s">
        <v>9718</v>
      </c>
    </row>
    <row r="1525" spans="8:15" x14ac:dyDescent="0.25">
      <c r="H1525" s="1">
        <v>1450555</v>
      </c>
      <c r="I1525" s="4">
        <v>46330.791666666664</v>
      </c>
      <c r="J1525" s="1" t="s">
        <v>32</v>
      </c>
      <c r="K1525" s="1" t="s">
        <v>71</v>
      </c>
      <c r="L1525" s="1" t="s">
        <v>410</v>
      </c>
      <c r="M1525" s="1" t="s">
        <v>6806</v>
      </c>
      <c r="N1525" s="1" t="s">
        <v>1733</v>
      </c>
      <c r="O1525" s="1" t="s">
        <v>9719</v>
      </c>
    </row>
    <row r="1526" spans="8:15" x14ac:dyDescent="0.25">
      <c r="H1526" s="1">
        <v>1450557</v>
      </c>
      <c r="I1526" s="4">
        <v>46330.791666666664</v>
      </c>
      <c r="J1526" s="1" t="s">
        <v>32</v>
      </c>
      <c r="K1526" s="1" t="s">
        <v>71</v>
      </c>
      <c r="L1526" s="1" t="s">
        <v>410</v>
      </c>
      <c r="M1526" s="1" t="s">
        <v>1735</v>
      </c>
      <c r="N1526" s="1" t="s">
        <v>6803</v>
      </c>
      <c r="O1526" s="1" t="s">
        <v>9720</v>
      </c>
    </row>
    <row r="1527" spans="8:15" x14ac:dyDescent="0.25">
      <c r="H1527" s="1">
        <v>1450558</v>
      </c>
      <c r="I1527" s="4">
        <v>46330.791666666664</v>
      </c>
      <c r="J1527" s="1" t="s">
        <v>32</v>
      </c>
      <c r="K1527" s="1" t="s">
        <v>71</v>
      </c>
      <c r="L1527" s="1" t="s">
        <v>410</v>
      </c>
      <c r="M1527" s="1" t="s">
        <v>9721</v>
      </c>
      <c r="N1527" s="1" t="s">
        <v>1736</v>
      </c>
      <c r="O1527" s="1" t="s">
        <v>9722</v>
      </c>
    </row>
    <row r="1528" spans="8:15" x14ac:dyDescent="0.25">
      <c r="H1528" s="1">
        <v>1450787</v>
      </c>
      <c r="I1528" s="4">
        <v>46330.791666666664</v>
      </c>
      <c r="J1528" s="1" t="s">
        <v>32</v>
      </c>
      <c r="K1528" s="1" t="s">
        <v>71</v>
      </c>
      <c r="L1528" s="1" t="s">
        <v>676</v>
      </c>
      <c r="M1528" s="1" t="s">
        <v>6731</v>
      </c>
      <c r="N1528" s="1" t="s">
        <v>6879</v>
      </c>
      <c r="O1528" s="1" t="s">
        <v>9723</v>
      </c>
    </row>
    <row r="1529" spans="8:15" x14ac:dyDescent="0.25">
      <c r="H1529" s="1">
        <v>1450788</v>
      </c>
      <c r="I1529" s="4">
        <v>46330.791666666664</v>
      </c>
      <c r="J1529" s="1" t="s">
        <v>32</v>
      </c>
      <c r="K1529" s="1" t="s">
        <v>71</v>
      </c>
      <c r="L1529" s="1" t="s">
        <v>676</v>
      </c>
      <c r="M1529" s="1" t="s">
        <v>6808</v>
      </c>
      <c r="N1529" s="1" t="s">
        <v>1568</v>
      </c>
      <c r="O1529" s="1" t="s">
        <v>9724</v>
      </c>
    </row>
    <row r="1530" spans="8:15" x14ac:dyDescent="0.25">
      <c r="H1530" s="1">
        <v>1450789</v>
      </c>
      <c r="I1530" s="4">
        <v>46330.791666666664</v>
      </c>
      <c r="J1530" s="1" t="s">
        <v>32</v>
      </c>
      <c r="K1530" s="1" t="s">
        <v>71</v>
      </c>
      <c r="L1530" s="1" t="s">
        <v>676</v>
      </c>
      <c r="M1530" s="1" t="s">
        <v>9725</v>
      </c>
      <c r="N1530" s="1" t="s">
        <v>6560</v>
      </c>
      <c r="O1530" s="1" t="s">
        <v>9726</v>
      </c>
    </row>
    <row r="1531" spans="8:15" x14ac:dyDescent="0.25">
      <c r="H1531" s="1">
        <v>1450792</v>
      </c>
      <c r="I1531" s="4">
        <v>46330.791666666664</v>
      </c>
      <c r="J1531" s="1" t="s">
        <v>32</v>
      </c>
      <c r="K1531" s="1" t="s">
        <v>71</v>
      </c>
      <c r="L1531" s="1" t="s">
        <v>676</v>
      </c>
      <c r="M1531" s="1" t="s">
        <v>9727</v>
      </c>
      <c r="N1531" s="1" t="s">
        <v>6809</v>
      </c>
      <c r="O1531" s="1" t="s">
        <v>9728</v>
      </c>
    </row>
    <row r="1532" spans="8:15" x14ac:dyDescent="0.25">
      <c r="H1532" s="1">
        <v>1459758</v>
      </c>
      <c r="I1532" s="4">
        <v>46330.791666666664</v>
      </c>
      <c r="J1532" s="1" t="s">
        <v>32</v>
      </c>
      <c r="K1532" s="1" t="s">
        <v>40</v>
      </c>
      <c r="L1532" s="1" t="s">
        <v>646</v>
      </c>
      <c r="M1532" s="1" t="s">
        <v>1004</v>
      </c>
      <c r="N1532" s="1" t="s">
        <v>2111</v>
      </c>
      <c r="O1532" s="1" t="s">
        <v>9729</v>
      </c>
    </row>
    <row r="1533" spans="8:15" x14ac:dyDescent="0.25">
      <c r="H1533" s="1">
        <v>1492017</v>
      </c>
      <c r="I1533" s="4">
        <v>46330.791666666664</v>
      </c>
      <c r="J1533" s="1" t="s">
        <v>32</v>
      </c>
      <c r="K1533" s="1" t="s">
        <v>28</v>
      </c>
      <c r="L1533" s="1" t="s">
        <v>2588</v>
      </c>
      <c r="M1533" s="1" t="s">
        <v>9730</v>
      </c>
      <c r="N1533" s="1" t="s">
        <v>9731</v>
      </c>
      <c r="O1533" s="1" t="s">
        <v>9732</v>
      </c>
    </row>
    <row r="1534" spans="8:15" x14ac:dyDescent="0.25">
      <c r="H1534" s="1">
        <v>1525595</v>
      </c>
      <c r="I1534" s="4">
        <v>46330.791666666664</v>
      </c>
      <c r="J1534" s="1" t="s">
        <v>32</v>
      </c>
      <c r="K1534" s="1" t="s">
        <v>71</v>
      </c>
      <c r="L1534" s="1" t="s">
        <v>346</v>
      </c>
      <c r="M1534" s="1" t="s">
        <v>6849</v>
      </c>
      <c r="N1534" s="1" t="s">
        <v>6848</v>
      </c>
      <c r="O1534" s="1" t="s">
        <v>9733</v>
      </c>
    </row>
    <row r="1535" spans="8:15" x14ac:dyDescent="0.25">
      <c r="H1535" s="1">
        <v>1525596</v>
      </c>
      <c r="I1535" s="4">
        <v>46330.791666666664</v>
      </c>
      <c r="J1535" s="1" t="s">
        <v>32</v>
      </c>
      <c r="K1535" s="1" t="s">
        <v>71</v>
      </c>
      <c r="L1535" s="1" t="s">
        <v>346</v>
      </c>
      <c r="M1535" s="1" t="s">
        <v>6845</v>
      </c>
      <c r="N1535" s="1" t="s">
        <v>6842</v>
      </c>
      <c r="O1535" s="1" t="s">
        <v>9734</v>
      </c>
    </row>
    <row r="1536" spans="8:15" x14ac:dyDescent="0.25">
      <c r="H1536" s="1">
        <v>1530789</v>
      </c>
      <c r="I1536" s="4">
        <v>46330.791666666664</v>
      </c>
      <c r="J1536" s="1" t="s">
        <v>32</v>
      </c>
      <c r="K1536" s="1" t="s">
        <v>20</v>
      </c>
      <c r="L1536" s="1" t="s">
        <v>3524</v>
      </c>
      <c r="M1536" s="1" t="s">
        <v>3525</v>
      </c>
      <c r="N1536" s="1" t="s">
        <v>3529</v>
      </c>
      <c r="O1536" s="1" t="s">
        <v>9735</v>
      </c>
    </row>
    <row r="1537" spans="8:15" x14ac:dyDescent="0.25">
      <c r="H1537" s="1">
        <v>1530790</v>
      </c>
      <c r="I1537" s="4">
        <v>46330.791666666664</v>
      </c>
      <c r="J1537" s="1" t="s">
        <v>32</v>
      </c>
      <c r="K1537" s="1" t="s">
        <v>20</v>
      </c>
      <c r="L1537" s="1" t="s">
        <v>3524</v>
      </c>
      <c r="M1537" s="1" t="s">
        <v>6664</v>
      </c>
      <c r="N1537" s="1" t="s">
        <v>3532</v>
      </c>
      <c r="O1537" s="1" t="s">
        <v>9736</v>
      </c>
    </row>
    <row r="1538" spans="8:15" x14ac:dyDescent="0.25">
      <c r="H1538" s="1">
        <v>1530791</v>
      </c>
      <c r="I1538" s="4">
        <v>46330.791666666664</v>
      </c>
      <c r="J1538" s="1" t="s">
        <v>32</v>
      </c>
      <c r="K1538" s="1" t="s">
        <v>20</v>
      </c>
      <c r="L1538" s="1" t="s">
        <v>3524</v>
      </c>
      <c r="M1538" s="1" t="s">
        <v>3526</v>
      </c>
      <c r="N1538" s="1" t="s">
        <v>3528</v>
      </c>
      <c r="O1538" s="1" t="s">
        <v>9737</v>
      </c>
    </row>
    <row r="1539" spans="8:15" x14ac:dyDescent="0.25">
      <c r="H1539" s="1">
        <v>1530792</v>
      </c>
      <c r="I1539" s="4">
        <v>46330.791666666664</v>
      </c>
      <c r="J1539" s="1" t="s">
        <v>32</v>
      </c>
      <c r="K1539" s="1" t="s">
        <v>20</v>
      </c>
      <c r="L1539" s="1" t="s">
        <v>3524</v>
      </c>
      <c r="M1539" s="1" t="s">
        <v>6669</v>
      </c>
      <c r="N1539" s="1" t="s">
        <v>6660</v>
      </c>
      <c r="O1539" s="1" t="s">
        <v>9738</v>
      </c>
    </row>
    <row r="1540" spans="8:15" x14ac:dyDescent="0.25">
      <c r="H1540" s="1">
        <v>1530793</v>
      </c>
      <c r="I1540" s="4">
        <v>46330.791666666664</v>
      </c>
      <c r="J1540" s="1" t="s">
        <v>32</v>
      </c>
      <c r="K1540" s="1" t="s">
        <v>20</v>
      </c>
      <c r="L1540" s="1" t="s">
        <v>3524</v>
      </c>
      <c r="M1540" s="1" t="s">
        <v>6672</v>
      </c>
      <c r="N1540" s="1" t="s">
        <v>9739</v>
      </c>
      <c r="O1540" s="1" t="s">
        <v>9740</v>
      </c>
    </row>
    <row r="1541" spans="8:15" x14ac:dyDescent="0.25">
      <c r="H1541" s="1">
        <v>1530794</v>
      </c>
      <c r="I1541" s="4">
        <v>46330.791666666664</v>
      </c>
      <c r="J1541" s="1" t="s">
        <v>32</v>
      </c>
      <c r="K1541" s="1" t="s">
        <v>20</v>
      </c>
      <c r="L1541" s="1" t="s">
        <v>3524</v>
      </c>
      <c r="M1541" s="1" t="s">
        <v>6675</v>
      </c>
      <c r="N1541" s="1" t="s">
        <v>6657</v>
      </c>
      <c r="O1541" s="1" t="s">
        <v>9741</v>
      </c>
    </row>
    <row r="1542" spans="8:15" x14ac:dyDescent="0.25">
      <c r="H1542" s="1">
        <v>1530796</v>
      </c>
      <c r="I1542" s="4">
        <v>46330.791666666664</v>
      </c>
      <c r="J1542" s="1" t="s">
        <v>32</v>
      </c>
      <c r="K1542" s="1" t="s">
        <v>20</v>
      </c>
      <c r="L1542" s="1" t="s">
        <v>3524</v>
      </c>
      <c r="M1542" s="1" t="s">
        <v>6666</v>
      </c>
      <c r="N1542" s="1" t="s">
        <v>9742</v>
      </c>
      <c r="O1542" s="1" t="s">
        <v>9743</v>
      </c>
    </row>
    <row r="1543" spans="8:15" x14ac:dyDescent="0.25">
      <c r="H1543" s="1">
        <v>1530797</v>
      </c>
      <c r="I1543" s="4">
        <v>46330.791666666664</v>
      </c>
      <c r="J1543" s="1" t="s">
        <v>32</v>
      </c>
      <c r="K1543" s="1" t="s">
        <v>20</v>
      </c>
      <c r="L1543" s="1" t="s">
        <v>3524</v>
      </c>
      <c r="M1543" s="1" t="s">
        <v>9744</v>
      </c>
      <c r="N1543" s="1" t="s">
        <v>9745</v>
      </c>
      <c r="O1543" s="1" t="s">
        <v>9746</v>
      </c>
    </row>
    <row r="1544" spans="8:15" x14ac:dyDescent="0.25">
      <c r="H1544" s="1">
        <v>1530873</v>
      </c>
      <c r="I1544" s="4">
        <v>46330.791666666664</v>
      </c>
      <c r="J1544" s="1" t="s">
        <v>32</v>
      </c>
      <c r="K1544" s="1" t="s">
        <v>20</v>
      </c>
      <c r="L1544" s="1" t="s">
        <v>3524</v>
      </c>
      <c r="M1544" s="1" t="s">
        <v>6670</v>
      </c>
      <c r="N1544" s="1" t="s">
        <v>6661</v>
      </c>
      <c r="O1544" s="1" t="s">
        <v>9747</v>
      </c>
    </row>
    <row r="1545" spans="8:15" x14ac:dyDescent="0.25">
      <c r="H1545" s="1">
        <v>1531574</v>
      </c>
      <c r="I1545" s="4">
        <v>46330.791666666664</v>
      </c>
      <c r="J1545" s="1" t="s">
        <v>32</v>
      </c>
      <c r="K1545" s="1" t="s">
        <v>20</v>
      </c>
      <c r="L1545" s="1" t="s">
        <v>9748</v>
      </c>
      <c r="M1545" s="1" t="s">
        <v>9749</v>
      </c>
      <c r="N1545" s="1" t="s">
        <v>9750</v>
      </c>
      <c r="O1545" s="1" t="s">
        <v>9751</v>
      </c>
    </row>
    <row r="1546" spans="8:15" x14ac:dyDescent="0.25">
      <c r="H1546" s="1">
        <v>1531799</v>
      </c>
      <c r="I1546" s="4">
        <v>46330.791666666664</v>
      </c>
      <c r="J1546" s="1" t="s">
        <v>32</v>
      </c>
      <c r="K1546" s="1" t="s">
        <v>20</v>
      </c>
      <c r="L1546" s="1" t="s">
        <v>9752</v>
      </c>
      <c r="M1546" s="1" t="s">
        <v>6905</v>
      </c>
      <c r="N1546" s="1" t="s">
        <v>9753</v>
      </c>
      <c r="O1546" s="1" t="s">
        <v>9754</v>
      </c>
    </row>
    <row r="1547" spans="8:15" x14ac:dyDescent="0.25">
      <c r="H1547" s="1">
        <v>1533668</v>
      </c>
      <c r="I1547" s="4">
        <v>46330.791666666664</v>
      </c>
      <c r="J1547" s="1" t="s">
        <v>32</v>
      </c>
      <c r="K1547" s="1" t="s">
        <v>219</v>
      </c>
      <c r="L1547" s="1" t="s">
        <v>49</v>
      </c>
      <c r="M1547" s="1" t="s">
        <v>2534</v>
      </c>
      <c r="N1547" s="1" t="s">
        <v>9755</v>
      </c>
      <c r="O1547" s="1" t="s">
        <v>9756</v>
      </c>
    </row>
    <row r="1548" spans="8:15" x14ac:dyDescent="0.25">
      <c r="H1548" s="1">
        <v>1533669</v>
      </c>
      <c r="I1548" s="4">
        <v>46330.791666666664</v>
      </c>
      <c r="J1548" s="1" t="s">
        <v>32</v>
      </c>
      <c r="K1548" s="1" t="s">
        <v>219</v>
      </c>
      <c r="L1548" s="1" t="s">
        <v>49</v>
      </c>
      <c r="M1548" s="1" t="s">
        <v>9757</v>
      </c>
      <c r="N1548" s="1" t="s">
        <v>9758</v>
      </c>
      <c r="O1548" s="1" t="s">
        <v>9759</v>
      </c>
    </row>
    <row r="1549" spans="8:15" x14ac:dyDescent="0.25">
      <c r="H1549" s="1">
        <v>1535858</v>
      </c>
      <c r="I1549" s="4">
        <v>46330.791666666664</v>
      </c>
      <c r="J1549" s="1" t="s">
        <v>32</v>
      </c>
      <c r="K1549" s="1" t="s">
        <v>20</v>
      </c>
      <c r="L1549" s="1" t="s">
        <v>4438</v>
      </c>
      <c r="M1549" s="1" t="s">
        <v>4919</v>
      </c>
      <c r="N1549" s="1" t="s">
        <v>9760</v>
      </c>
      <c r="O1549" s="1" t="s">
        <v>9761</v>
      </c>
    </row>
    <row r="1550" spans="8:15" x14ac:dyDescent="0.25">
      <c r="H1550" s="1">
        <v>1535859</v>
      </c>
      <c r="I1550" s="4">
        <v>46330.791666666664</v>
      </c>
      <c r="J1550" s="1" t="s">
        <v>32</v>
      </c>
      <c r="K1550" s="1" t="s">
        <v>20</v>
      </c>
      <c r="L1550" s="1" t="s">
        <v>4438</v>
      </c>
      <c r="M1550" s="1" t="s">
        <v>9762</v>
      </c>
      <c r="N1550" s="1" t="s">
        <v>9763</v>
      </c>
      <c r="O1550" s="1" t="s">
        <v>9764</v>
      </c>
    </row>
    <row r="1551" spans="8:15" x14ac:dyDescent="0.25">
      <c r="H1551" s="1">
        <v>1535860</v>
      </c>
      <c r="I1551" s="4">
        <v>46330.791666666664</v>
      </c>
      <c r="J1551" s="1" t="s">
        <v>32</v>
      </c>
      <c r="K1551" s="1" t="s">
        <v>20</v>
      </c>
      <c r="L1551" s="1" t="s">
        <v>4438</v>
      </c>
      <c r="M1551" s="1" t="s">
        <v>6688</v>
      </c>
      <c r="N1551" s="1" t="s">
        <v>4439</v>
      </c>
      <c r="O1551" s="1" t="s">
        <v>9765</v>
      </c>
    </row>
    <row r="1552" spans="8:15" x14ac:dyDescent="0.25">
      <c r="H1552" s="1">
        <v>1535861</v>
      </c>
      <c r="I1552" s="4">
        <v>46330.791666666664</v>
      </c>
      <c r="J1552" s="1" t="s">
        <v>32</v>
      </c>
      <c r="K1552" s="1" t="s">
        <v>20</v>
      </c>
      <c r="L1552" s="1" t="s">
        <v>4438</v>
      </c>
      <c r="M1552" s="1" t="s">
        <v>6687</v>
      </c>
      <c r="N1552" s="1" t="s">
        <v>9766</v>
      </c>
      <c r="O1552" s="1" t="s">
        <v>9767</v>
      </c>
    </row>
    <row r="1553" spans="8:15" x14ac:dyDescent="0.25">
      <c r="H1553" s="1">
        <v>1536113</v>
      </c>
      <c r="I1553" s="4">
        <v>46330.791666666664</v>
      </c>
      <c r="J1553" s="1" t="s">
        <v>32</v>
      </c>
      <c r="K1553" s="1" t="s">
        <v>20</v>
      </c>
      <c r="L1553" s="1" t="s">
        <v>8431</v>
      </c>
      <c r="M1553" s="1" t="s">
        <v>9768</v>
      </c>
      <c r="N1553" s="1" t="s">
        <v>9769</v>
      </c>
      <c r="O1553" s="1" t="s">
        <v>9770</v>
      </c>
    </row>
    <row r="1554" spans="8:15" x14ac:dyDescent="0.25">
      <c r="H1554" s="1">
        <v>1536114</v>
      </c>
      <c r="I1554" s="4">
        <v>46330.791666666664</v>
      </c>
      <c r="J1554" s="1" t="s">
        <v>32</v>
      </c>
      <c r="K1554" s="1" t="s">
        <v>20</v>
      </c>
      <c r="L1554" s="1" t="s">
        <v>8431</v>
      </c>
      <c r="M1554" s="1" t="s">
        <v>9771</v>
      </c>
      <c r="N1554" s="1" t="s">
        <v>9772</v>
      </c>
      <c r="O1554" s="1" t="s">
        <v>9773</v>
      </c>
    </row>
    <row r="1555" spans="8:15" x14ac:dyDescent="0.25">
      <c r="H1555" s="1">
        <v>1536116</v>
      </c>
      <c r="I1555" s="4">
        <v>46330.791666666664</v>
      </c>
      <c r="J1555" s="1" t="s">
        <v>32</v>
      </c>
      <c r="K1555" s="1" t="s">
        <v>20</v>
      </c>
      <c r="L1555" s="1" t="s">
        <v>8431</v>
      </c>
      <c r="M1555" s="1" t="s">
        <v>9774</v>
      </c>
      <c r="N1555" s="1" t="s">
        <v>9775</v>
      </c>
      <c r="O1555" s="1" t="s">
        <v>9776</v>
      </c>
    </row>
    <row r="1556" spans="8:15" x14ac:dyDescent="0.25">
      <c r="H1556" s="1">
        <v>1536117</v>
      </c>
      <c r="I1556" s="4">
        <v>46330.791666666664</v>
      </c>
      <c r="J1556" s="1" t="s">
        <v>32</v>
      </c>
      <c r="K1556" s="1" t="s">
        <v>20</v>
      </c>
      <c r="L1556" s="1" t="s">
        <v>8431</v>
      </c>
      <c r="M1556" s="1" t="s">
        <v>9777</v>
      </c>
      <c r="N1556" s="1" t="s">
        <v>9778</v>
      </c>
      <c r="O1556" s="1" t="s">
        <v>9779</v>
      </c>
    </row>
    <row r="1557" spans="8:15" x14ac:dyDescent="0.25">
      <c r="H1557" s="1">
        <v>1538190</v>
      </c>
      <c r="I1557" s="4">
        <v>46330.791666666664</v>
      </c>
      <c r="J1557" s="1" t="s">
        <v>32</v>
      </c>
      <c r="K1557" s="1" t="s">
        <v>20</v>
      </c>
      <c r="L1557" s="1" t="s">
        <v>9780</v>
      </c>
      <c r="M1557" s="1" t="s">
        <v>9781</v>
      </c>
      <c r="N1557" s="1" t="s">
        <v>360</v>
      </c>
      <c r="O1557" s="1" t="s">
        <v>9782</v>
      </c>
    </row>
    <row r="1558" spans="8:15" x14ac:dyDescent="0.25">
      <c r="H1558" s="1">
        <v>1539167</v>
      </c>
      <c r="I1558" s="4">
        <v>46330.791666666664</v>
      </c>
      <c r="J1558" s="1" t="s">
        <v>32</v>
      </c>
      <c r="K1558" s="1" t="s">
        <v>72</v>
      </c>
      <c r="L1558" s="1" t="s">
        <v>75</v>
      </c>
      <c r="M1558" s="1" t="s">
        <v>9783</v>
      </c>
      <c r="N1558" s="1" t="s">
        <v>9784</v>
      </c>
      <c r="O1558" s="1" t="s">
        <v>9785</v>
      </c>
    </row>
    <row r="1559" spans="8:15" x14ac:dyDescent="0.25">
      <c r="H1559" s="1">
        <v>1539690</v>
      </c>
      <c r="I1559" s="4">
        <v>46330.791666666664</v>
      </c>
      <c r="J1559" s="1" t="s">
        <v>32</v>
      </c>
      <c r="K1559" s="1" t="s">
        <v>18</v>
      </c>
      <c r="L1559" s="1" t="s">
        <v>543</v>
      </c>
      <c r="M1559" s="1" t="s">
        <v>9786</v>
      </c>
      <c r="N1559" s="1" t="s">
        <v>9787</v>
      </c>
      <c r="O1559" s="1" t="s">
        <v>9788</v>
      </c>
    </row>
    <row r="1560" spans="8:15" x14ac:dyDescent="0.25">
      <c r="H1560" s="1">
        <v>1539737</v>
      </c>
      <c r="I1560" s="4">
        <v>46330.791666666664</v>
      </c>
      <c r="J1560" s="1" t="s">
        <v>32</v>
      </c>
      <c r="K1560" s="1" t="s">
        <v>20</v>
      </c>
      <c r="L1560" s="1" t="s">
        <v>609</v>
      </c>
      <c r="M1560" s="1" t="s">
        <v>6614</v>
      </c>
      <c r="N1560" s="1" t="s">
        <v>1481</v>
      </c>
      <c r="O1560" s="1" t="s">
        <v>9789</v>
      </c>
    </row>
    <row r="1561" spans="8:15" x14ac:dyDescent="0.25">
      <c r="H1561" s="1">
        <v>1539742</v>
      </c>
      <c r="I1561" s="4">
        <v>46330.791666666664</v>
      </c>
      <c r="J1561" s="1" t="s">
        <v>32</v>
      </c>
      <c r="K1561" s="1" t="s">
        <v>20</v>
      </c>
      <c r="L1561" s="1" t="s">
        <v>681</v>
      </c>
      <c r="M1561" s="1" t="s">
        <v>6626</v>
      </c>
      <c r="N1561" s="1" t="s">
        <v>6636</v>
      </c>
      <c r="O1561" s="1" t="s">
        <v>9790</v>
      </c>
    </row>
    <row r="1562" spans="8:15" x14ac:dyDescent="0.25">
      <c r="H1562" s="1">
        <v>1539744</v>
      </c>
      <c r="I1562" s="4">
        <v>46330.791666666664</v>
      </c>
      <c r="J1562" s="1" t="s">
        <v>32</v>
      </c>
      <c r="K1562" s="1" t="s">
        <v>20</v>
      </c>
      <c r="L1562" s="1" t="s">
        <v>681</v>
      </c>
      <c r="M1562" s="1" t="s">
        <v>6631</v>
      </c>
      <c r="N1562" s="1" t="s">
        <v>7052</v>
      </c>
      <c r="O1562" s="1" t="s">
        <v>9791</v>
      </c>
    </row>
    <row r="1563" spans="8:15" x14ac:dyDescent="0.25">
      <c r="H1563" s="1">
        <v>1539787</v>
      </c>
      <c r="I1563" s="4">
        <v>46330.791666666664</v>
      </c>
      <c r="J1563" s="1" t="s">
        <v>32</v>
      </c>
      <c r="K1563" s="1" t="s">
        <v>20</v>
      </c>
      <c r="L1563" s="1" t="s">
        <v>9792</v>
      </c>
      <c r="M1563" s="1" t="s">
        <v>9793</v>
      </c>
      <c r="N1563" s="1" t="s">
        <v>9794</v>
      </c>
      <c r="O1563" s="1" t="s">
        <v>9795</v>
      </c>
    </row>
    <row r="1564" spans="8:15" x14ac:dyDescent="0.25">
      <c r="H1564" s="1">
        <v>1539789</v>
      </c>
      <c r="I1564" s="4">
        <v>46330.791666666664</v>
      </c>
      <c r="J1564" s="1" t="s">
        <v>32</v>
      </c>
      <c r="K1564" s="1" t="s">
        <v>20</v>
      </c>
      <c r="L1564" s="1" t="s">
        <v>9792</v>
      </c>
      <c r="M1564" s="1" t="s">
        <v>9796</v>
      </c>
      <c r="N1564" s="1" t="s">
        <v>9797</v>
      </c>
      <c r="O1564" s="1" t="s">
        <v>9798</v>
      </c>
    </row>
    <row r="1565" spans="8:15" x14ac:dyDescent="0.25">
      <c r="H1565" s="1">
        <v>1539790</v>
      </c>
      <c r="I1565" s="4">
        <v>46330.791666666664</v>
      </c>
      <c r="J1565" s="1" t="s">
        <v>32</v>
      </c>
      <c r="K1565" s="1" t="s">
        <v>20</v>
      </c>
      <c r="L1565" s="1" t="s">
        <v>9792</v>
      </c>
      <c r="M1565" s="1" t="s">
        <v>9799</v>
      </c>
      <c r="N1565" s="1" t="s">
        <v>9800</v>
      </c>
      <c r="O1565" s="1" t="s">
        <v>9801</v>
      </c>
    </row>
    <row r="1566" spans="8:15" x14ac:dyDescent="0.25">
      <c r="H1566" s="1">
        <v>1540175</v>
      </c>
      <c r="I1566" s="4">
        <v>46330.791666666664</v>
      </c>
      <c r="J1566" s="1" t="s">
        <v>32</v>
      </c>
      <c r="K1566" s="1" t="s">
        <v>20</v>
      </c>
      <c r="L1566" s="1" t="s">
        <v>8123</v>
      </c>
      <c r="M1566" s="1" t="s">
        <v>9802</v>
      </c>
      <c r="N1566" s="1" t="s">
        <v>9803</v>
      </c>
      <c r="O1566" s="1" t="s">
        <v>9804</v>
      </c>
    </row>
    <row r="1567" spans="8:15" x14ac:dyDescent="0.25">
      <c r="H1567" s="1">
        <v>1540204</v>
      </c>
      <c r="I1567" s="4">
        <v>46330.791666666664</v>
      </c>
      <c r="J1567" s="1" t="s">
        <v>32</v>
      </c>
      <c r="K1567" s="1" t="s">
        <v>20</v>
      </c>
      <c r="L1567" s="1" t="s">
        <v>8123</v>
      </c>
      <c r="M1567" s="1" t="s">
        <v>9805</v>
      </c>
      <c r="N1567" s="1" t="s">
        <v>9806</v>
      </c>
      <c r="O1567" s="1" t="s">
        <v>9807</v>
      </c>
    </row>
    <row r="1568" spans="8:15" x14ac:dyDescent="0.25">
      <c r="H1568" s="1">
        <v>1380630</v>
      </c>
      <c r="I1568" s="4">
        <v>46330.802083333336</v>
      </c>
      <c r="J1568" s="1" t="s">
        <v>32</v>
      </c>
      <c r="K1568" s="1" t="s">
        <v>51</v>
      </c>
      <c r="L1568" s="1" t="s">
        <v>57</v>
      </c>
      <c r="M1568" s="1" t="s">
        <v>2320</v>
      </c>
      <c r="N1568" s="1" t="s">
        <v>1181</v>
      </c>
      <c r="O1568" s="1" t="s">
        <v>9809</v>
      </c>
    </row>
    <row r="1569" spans="8:15" x14ac:dyDescent="0.25">
      <c r="H1569" s="1">
        <v>1384375</v>
      </c>
      <c r="I1569" s="4">
        <v>46330.802083333336</v>
      </c>
      <c r="J1569" s="1" t="s">
        <v>32</v>
      </c>
      <c r="K1569" s="1" t="s">
        <v>267</v>
      </c>
      <c r="L1569" s="1" t="s">
        <v>659</v>
      </c>
      <c r="M1569" s="1" t="s">
        <v>2501</v>
      </c>
      <c r="N1569" s="1" t="s">
        <v>9810</v>
      </c>
      <c r="O1569" s="1" t="s">
        <v>9811</v>
      </c>
    </row>
    <row r="1570" spans="8:15" x14ac:dyDescent="0.25">
      <c r="H1570" s="1">
        <v>1450790</v>
      </c>
      <c r="I1570" s="4">
        <v>46330.802083333336</v>
      </c>
      <c r="J1570" s="1" t="s">
        <v>32</v>
      </c>
      <c r="K1570" s="1" t="s">
        <v>71</v>
      </c>
      <c r="L1570" s="1" t="s">
        <v>676</v>
      </c>
      <c r="M1570" s="1" t="s">
        <v>6878</v>
      </c>
      <c r="N1570" s="1" t="s">
        <v>6733</v>
      </c>
      <c r="O1570" s="1" t="s">
        <v>9812</v>
      </c>
    </row>
    <row r="1571" spans="8:15" x14ac:dyDescent="0.25">
      <c r="H1571" s="1">
        <v>1388867</v>
      </c>
      <c r="I1571" s="4">
        <v>46330.8125</v>
      </c>
      <c r="J1571" s="1" t="s">
        <v>32</v>
      </c>
      <c r="K1571" s="1" t="s">
        <v>43</v>
      </c>
      <c r="L1571" s="1" t="s">
        <v>337</v>
      </c>
      <c r="M1571" s="1" t="s">
        <v>6882</v>
      </c>
      <c r="N1571" s="1" t="s">
        <v>1317</v>
      </c>
      <c r="O1571" s="1" t="s">
        <v>9814</v>
      </c>
    </row>
    <row r="1572" spans="8:15" x14ac:dyDescent="0.25">
      <c r="H1572" s="1">
        <v>1454274</v>
      </c>
      <c r="I1572" s="4">
        <v>46330.8125</v>
      </c>
      <c r="J1572" s="1" t="s">
        <v>32</v>
      </c>
      <c r="K1572" s="1" t="s">
        <v>41</v>
      </c>
      <c r="L1572" s="1" t="s">
        <v>4339</v>
      </c>
      <c r="M1572" s="1" t="s">
        <v>9815</v>
      </c>
      <c r="N1572" s="1" t="s">
        <v>9816</v>
      </c>
      <c r="O1572" s="1" t="s">
        <v>9817</v>
      </c>
    </row>
    <row r="1573" spans="8:15" x14ac:dyDescent="0.25">
      <c r="H1573" s="1">
        <v>1490195</v>
      </c>
      <c r="I1573" s="4">
        <v>46330.8125</v>
      </c>
      <c r="J1573" s="1" t="s">
        <v>32</v>
      </c>
      <c r="K1573" s="1" t="s">
        <v>362</v>
      </c>
      <c r="L1573" s="1" t="s">
        <v>413</v>
      </c>
      <c r="M1573" s="1" t="s">
        <v>721</v>
      </c>
      <c r="N1573" s="1" t="s">
        <v>763</v>
      </c>
      <c r="O1573" s="1" t="s">
        <v>9818</v>
      </c>
    </row>
    <row r="1574" spans="8:15" x14ac:dyDescent="0.25">
      <c r="H1574" s="1">
        <v>1490197</v>
      </c>
      <c r="I1574" s="4">
        <v>46330.8125</v>
      </c>
      <c r="J1574" s="1" t="s">
        <v>32</v>
      </c>
      <c r="K1574" s="1" t="s">
        <v>362</v>
      </c>
      <c r="L1574" s="1" t="s">
        <v>413</v>
      </c>
      <c r="M1574" s="1" t="s">
        <v>2366</v>
      </c>
      <c r="N1574" s="1" t="s">
        <v>717</v>
      </c>
      <c r="O1574" s="1" t="s">
        <v>9819</v>
      </c>
    </row>
    <row r="1575" spans="8:15" x14ac:dyDescent="0.25">
      <c r="H1575" s="1">
        <v>1492021</v>
      </c>
      <c r="I1575" s="4">
        <v>46330.8125</v>
      </c>
      <c r="J1575" s="1" t="s">
        <v>32</v>
      </c>
      <c r="K1575" s="1" t="s">
        <v>28</v>
      </c>
      <c r="L1575" s="1" t="s">
        <v>2588</v>
      </c>
      <c r="M1575" s="1" t="s">
        <v>9820</v>
      </c>
      <c r="N1575" s="1" t="s">
        <v>9821</v>
      </c>
      <c r="O1575" s="1" t="s">
        <v>9822</v>
      </c>
    </row>
    <row r="1576" spans="8:15" x14ac:dyDescent="0.25">
      <c r="H1576" s="1">
        <v>1492869</v>
      </c>
      <c r="I1576" s="4">
        <v>46330.8125</v>
      </c>
      <c r="J1576" s="1" t="s">
        <v>32</v>
      </c>
      <c r="K1576" s="1" t="s">
        <v>351</v>
      </c>
      <c r="L1576" s="1" t="s">
        <v>6888</v>
      </c>
      <c r="M1576" s="1" t="s">
        <v>6889</v>
      </c>
      <c r="N1576" s="1" t="s">
        <v>9823</v>
      </c>
      <c r="O1576" s="1" t="s">
        <v>9824</v>
      </c>
    </row>
    <row r="1577" spans="8:15" x14ac:dyDescent="0.25">
      <c r="H1577" s="1">
        <v>1494592</v>
      </c>
      <c r="I1577" s="4">
        <v>46330.8125</v>
      </c>
      <c r="J1577" s="1" t="s">
        <v>32</v>
      </c>
      <c r="K1577" s="1" t="s">
        <v>80</v>
      </c>
      <c r="L1577" s="1" t="s">
        <v>81</v>
      </c>
      <c r="M1577" s="1" t="s">
        <v>2060</v>
      </c>
      <c r="N1577" s="1" t="s">
        <v>1462</v>
      </c>
      <c r="O1577" s="1" t="s">
        <v>9825</v>
      </c>
    </row>
    <row r="1578" spans="8:15" x14ac:dyDescent="0.25">
      <c r="H1578" s="1">
        <v>1498435</v>
      </c>
      <c r="I1578" s="4">
        <v>46330.8125</v>
      </c>
      <c r="J1578" s="1" t="s">
        <v>32</v>
      </c>
      <c r="K1578" s="1" t="s">
        <v>28</v>
      </c>
      <c r="L1578" s="1" t="s">
        <v>242</v>
      </c>
      <c r="M1578" s="1" t="s">
        <v>6470</v>
      </c>
      <c r="N1578" s="1" t="s">
        <v>483</v>
      </c>
      <c r="O1578" s="1" t="s">
        <v>9826</v>
      </c>
    </row>
    <row r="1579" spans="8:15" x14ac:dyDescent="0.25">
      <c r="H1579" s="1">
        <v>1498447</v>
      </c>
      <c r="I1579" s="4">
        <v>46330.8125</v>
      </c>
      <c r="J1579" s="1" t="s">
        <v>32</v>
      </c>
      <c r="K1579" s="1" t="s">
        <v>28</v>
      </c>
      <c r="L1579" s="1" t="s">
        <v>242</v>
      </c>
      <c r="M1579" s="1" t="s">
        <v>6443</v>
      </c>
      <c r="N1579" s="1" t="s">
        <v>2407</v>
      </c>
      <c r="O1579" s="1" t="s">
        <v>9827</v>
      </c>
    </row>
    <row r="1580" spans="8:15" x14ac:dyDescent="0.25">
      <c r="H1580" s="1">
        <v>1498448</v>
      </c>
      <c r="I1580" s="4">
        <v>46330.8125</v>
      </c>
      <c r="J1580" s="1" t="s">
        <v>32</v>
      </c>
      <c r="K1580" s="1" t="s">
        <v>28</v>
      </c>
      <c r="L1580" s="1" t="s">
        <v>242</v>
      </c>
      <c r="M1580" s="1" t="s">
        <v>2352</v>
      </c>
      <c r="N1580" s="1" t="s">
        <v>2376</v>
      </c>
      <c r="O1580" s="1" t="s">
        <v>9828</v>
      </c>
    </row>
    <row r="1581" spans="8:15" x14ac:dyDescent="0.25">
      <c r="H1581" s="1">
        <v>1499358</v>
      </c>
      <c r="I1581" s="4">
        <v>46330.8125</v>
      </c>
      <c r="J1581" s="1" t="s">
        <v>32</v>
      </c>
      <c r="K1581" s="1" t="s">
        <v>28</v>
      </c>
      <c r="L1581" s="1" t="s">
        <v>6473</v>
      </c>
      <c r="M1581" s="1" t="s">
        <v>6478</v>
      </c>
      <c r="N1581" s="1" t="s">
        <v>6605</v>
      </c>
      <c r="O1581" s="1" t="s">
        <v>9829</v>
      </c>
    </row>
    <row r="1582" spans="8:15" x14ac:dyDescent="0.25">
      <c r="H1582" s="1">
        <v>1499359</v>
      </c>
      <c r="I1582" s="4">
        <v>46330.8125</v>
      </c>
      <c r="J1582" s="1" t="s">
        <v>32</v>
      </c>
      <c r="K1582" s="1" t="s">
        <v>28</v>
      </c>
      <c r="L1582" s="1" t="s">
        <v>6473</v>
      </c>
      <c r="M1582" s="1" t="s">
        <v>6987</v>
      </c>
      <c r="N1582" s="1" t="s">
        <v>6477</v>
      </c>
      <c r="O1582" s="1" t="s">
        <v>9830</v>
      </c>
    </row>
    <row r="1583" spans="8:15" x14ac:dyDescent="0.25">
      <c r="H1583" s="1">
        <v>1499360</v>
      </c>
      <c r="I1583" s="4">
        <v>46330.8125</v>
      </c>
      <c r="J1583" s="1" t="s">
        <v>32</v>
      </c>
      <c r="K1583" s="1" t="s">
        <v>28</v>
      </c>
      <c r="L1583" s="1" t="s">
        <v>6473</v>
      </c>
      <c r="M1583" s="1" t="s">
        <v>9831</v>
      </c>
      <c r="N1583" s="1" t="s">
        <v>697</v>
      </c>
      <c r="O1583" s="1" t="s">
        <v>9832</v>
      </c>
    </row>
    <row r="1584" spans="8:15" x14ac:dyDescent="0.25">
      <c r="H1584" s="1">
        <v>1499362</v>
      </c>
      <c r="I1584" s="4">
        <v>46330.8125</v>
      </c>
      <c r="J1584" s="1" t="s">
        <v>32</v>
      </c>
      <c r="K1584" s="1" t="s">
        <v>28</v>
      </c>
      <c r="L1584" s="1" t="s">
        <v>6473</v>
      </c>
      <c r="M1584" s="1" t="s">
        <v>6481</v>
      </c>
      <c r="N1584" s="1" t="s">
        <v>9833</v>
      </c>
      <c r="O1584" s="1" t="s">
        <v>9834</v>
      </c>
    </row>
    <row r="1585" spans="8:15" x14ac:dyDescent="0.25">
      <c r="H1585" s="1">
        <v>1499363</v>
      </c>
      <c r="I1585" s="4">
        <v>46330.8125</v>
      </c>
      <c r="J1585" s="1" t="s">
        <v>32</v>
      </c>
      <c r="K1585" s="1" t="s">
        <v>28</v>
      </c>
      <c r="L1585" s="1" t="s">
        <v>6473</v>
      </c>
      <c r="M1585" s="1" t="s">
        <v>9835</v>
      </c>
      <c r="N1585" s="1" t="s">
        <v>9836</v>
      </c>
      <c r="O1585" s="1" t="s">
        <v>9837</v>
      </c>
    </row>
    <row r="1586" spans="8:15" x14ac:dyDescent="0.25">
      <c r="H1586" s="1">
        <v>1499824</v>
      </c>
      <c r="I1586" s="4">
        <v>46330.8125</v>
      </c>
      <c r="J1586" s="1" t="s">
        <v>32</v>
      </c>
      <c r="K1586" s="1" t="s">
        <v>28</v>
      </c>
      <c r="L1586" s="1" t="s">
        <v>414</v>
      </c>
      <c r="M1586" s="1" t="s">
        <v>6754</v>
      </c>
      <c r="N1586" s="1" t="s">
        <v>9838</v>
      </c>
      <c r="O1586" s="1" t="s">
        <v>9839</v>
      </c>
    </row>
    <row r="1587" spans="8:15" x14ac:dyDescent="0.25">
      <c r="H1587" s="1">
        <v>1499825</v>
      </c>
      <c r="I1587" s="4">
        <v>46330.8125</v>
      </c>
      <c r="J1587" s="1" t="s">
        <v>32</v>
      </c>
      <c r="K1587" s="1" t="s">
        <v>28</v>
      </c>
      <c r="L1587" s="1" t="s">
        <v>414</v>
      </c>
      <c r="M1587" s="1" t="s">
        <v>6745</v>
      </c>
      <c r="N1587" s="1" t="s">
        <v>9840</v>
      </c>
      <c r="O1587" s="1" t="s">
        <v>9841</v>
      </c>
    </row>
    <row r="1588" spans="8:15" x14ac:dyDescent="0.25">
      <c r="H1588" s="1">
        <v>1499826</v>
      </c>
      <c r="I1588" s="4">
        <v>46330.8125</v>
      </c>
      <c r="J1588" s="1" t="s">
        <v>32</v>
      </c>
      <c r="K1588" s="1" t="s">
        <v>28</v>
      </c>
      <c r="L1588" s="1" t="s">
        <v>414</v>
      </c>
      <c r="M1588" s="1" t="s">
        <v>9842</v>
      </c>
      <c r="N1588" s="1" t="s">
        <v>9843</v>
      </c>
      <c r="O1588" s="1" t="s">
        <v>9844</v>
      </c>
    </row>
    <row r="1589" spans="8:15" x14ac:dyDescent="0.25">
      <c r="H1589" s="1">
        <v>1499828</v>
      </c>
      <c r="I1589" s="4">
        <v>46330.8125</v>
      </c>
      <c r="J1589" s="1" t="s">
        <v>32</v>
      </c>
      <c r="K1589" s="1" t="s">
        <v>28</v>
      </c>
      <c r="L1589" s="1" t="s">
        <v>414</v>
      </c>
      <c r="M1589" s="1" t="s">
        <v>6756</v>
      </c>
      <c r="N1589" s="1" t="s">
        <v>9845</v>
      </c>
      <c r="O1589" s="1" t="s">
        <v>9846</v>
      </c>
    </row>
    <row r="1590" spans="8:15" x14ac:dyDescent="0.25">
      <c r="H1590" s="1">
        <v>1499830</v>
      </c>
      <c r="I1590" s="4">
        <v>46330.8125</v>
      </c>
      <c r="J1590" s="1" t="s">
        <v>32</v>
      </c>
      <c r="K1590" s="1" t="s">
        <v>28</v>
      </c>
      <c r="L1590" s="1" t="s">
        <v>414</v>
      </c>
      <c r="M1590" s="1" t="s">
        <v>6746</v>
      </c>
      <c r="N1590" s="1" t="s">
        <v>9847</v>
      </c>
      <c r="O1590" s="1" t="s">
        <v>9848</v>
      </c>
    </row>
    <row r="1591" spans="8:15" x14ac:dyDescent="0.25">
      <c r="H1591" s="1">
        <v>1499832</v>
      </c>
      <c r="I1591" s="4">
        <v>46330.8125</v>
      </c>
      <c r="J1591" s="1" t="s">
        <v>32</v>
      </c>
      <c r="K1591" s="1" t="s">
        <v>28</v>
      </c>
      <c r="L1591" s="1" t="s">
        <v>414</v>
      </c>
      <c r="M1591" s="1" t="s">
        <v>6753</v>
      </c>
      <c r="N1591" s="1" t="s">
        <v>9849</v>
      </c>
      <c r="O1591" s="1" t="s">
        <v>9850</v>
      </c>
    </row>
    <row r="1592" spans="8:15" x14ac:dyDescent="0.25">
      <c r="H1592" s="1">
        <v>1527431</v>
      </c>
      <c r="I1592" s="4">
        <v>46330.8125</v>
      </c>
      <c r="J1592" s="1" t="s">
        <v>32</v>
      </c>
      <c r="K1592" s="1" t="s">
        <v>20</v>
      </c>
      <c r="L1592" s="1" t="s">
        <v>685</v>
      </c>
      <c r="M1592" s="1" t="s">
        <v>557</v>
      </c>
      <c r="N1592" s="1" t="s">
        <v>2291</v>
      </c>
      <c r="O1592" s="1" t="s">
        <v>9851</v>
      </c>
    </row>
    <row r="1593" spans="8:15" x14ac:dyDescent="0.25">
      <c r="H1593" s="1">
        <v>1527433</v>
      </c>
      <c r="I1593" s="4">
        <v>46330.8125</v>
      </c>
      <c r="J1593" s="1" t="s">
        <v>32</v>
      </c>
      <c r="K1593" s="1" t="s">
        <v>20</v>
      </c>
      <c r="L1593" s="1" t="s">
        <v>685</v>
      </c>
      <c r="M1593" s="1" t="s">
        <v>2292</v>
      </c>
      <c r="N1593" s="1" t="s">
        <v>2290</v>
      </c>
      <c r="O1593" s="1" t="s">
        <v>9852</v>
      </c>
    </row>
    <row r="1594" spans="8:15" x14ac:dyDescent="0.25">
      <c r="H1594" s="1">
        <v>1528202</v>
      </c>
      <c r="I1594" s="4">
        <v>46330.8125</v>
      </c>
      <c r="J1594" s="1" t="s">
        <v>32</v>
      </c>
      <c r="K1594" s="1" t="s">
        <v>20</v>
      </c>
      <c r="L1594" s="1" t="s">
        <v>411</v>
      </c>
      <c r="M1594" s="1" t="s">
        <v>6773</v>
      </c>
      <c r="N1594" s="1" t="s">
        <v>6767</v>
      </c>
      <c r="O1594" s="1" t="s">
        <v>9853</v>
      </c>
    </row>
    <row r="1595" spans="8:15" x14ac:dyDescent="0.25">
      <c r="H1595" s="1">
        <v>1528203</v>
      </c>
      <c r="I1595" s="4">
        <v>46330.8125</v>
      </c>
      <c r="J1595" s="1" t="s">
        <v>32</v>
      </c>
      <c r="K1595" s="1" t="s">
        <v>20</v>
      </c>
      <c r="L1595" s="1" t="s">
        <v>411</v>
      </c>
      <c r="M1595" s="1" t="s">
        <v>6766</v>
      </c>
      <c r="N1595" s="1" t="s">
        <v>9854</v>
      </c>
      <c r="O1595" s="1" t="s">
        <v>9855</v>
      </c>
    </row>
    <row r="1596" spans="8:15" x14ac:dyDescent="0.25">
      <c r="H1596" s="1">
        <v>1528204</v>
      </c>
      <c r="I1596" s="4">
        <v>46330.8125</v>
      </c>
      <c r="J1596" s="1" t="s">
        <v>32</v>
      </c>
      <c r="K1596" s="1" t="s">
        <v>20</v>
      </c>
      <c r="L1596" s="1" t="s">
        <v>411</v>
      </c>
      <c r="M1596" s="1" t="s">
        <v>6774</v>
      </c>
      <c r="N1596" s="1" t="s">
        <v>9856</v>
      </c>
      <c r="O1596" s="1" t="s">
        <v>9857</v>
      </c>
    </row>
    <row r="1597" spans="8:15" x14ac:dyDescent="0.25">
      <c r="H1597" s="1">
        <v>1528205</v>
      </c>
      <c r="I1597" s="4">
        <v>46330.8125</v>
      </c>
      <c r="J1597" s="1" t="s">
        <v>32</v>
      </c>
      <c r="K1597" s="1" t="s">
        <v>20</v>
      </c>
      <c r="L1597" s="1" t="s">
        <v>411</v>
      </c>
      <c r="M1597" s="1" t="s">
        <v>6771</v>
      </c>
      <c r="N1597" s="1" t="s">
        <v>2470</v>
      </c>
      <c r="O1597" s="1" t="s">
        <v>9858</v>
      </c>
    </row>
    <row r="1598" spans="8:15" x14ac:dyDescent="0.25">
      <c r="H1598" s="1">
        <v>1528206</v>
      </c>
      <c r="I1598" s="4">
        <v>46330.8125</v>
      </c>
      <c r="J1598" s="1" t="s">
        <v>32</v>
      </c>
      <c r="K1598" s="1" t="s">
        <v>20</v>
      </c>
      <c r="L1598" s="1" t="s">
        <v>411</v>
      </c>
      <c r="M1598" s="1" t="s">
        <v>2471</v>
      </c>
      <c r="N1598" s="1" t="s">
        <v>9859</v>
      </c>
      <c r="O1598" s="1" t="s">
        <v>9860</v>
      </c>
    </row>
    <row r="1599" spans="8:15" x14ac:dyDescent="0.25">
      <c r="H1599" s="1">
        <v>1528207</v>
      </c>
      <c r="I1599" s="4">
        <v>46330.8125</v>
      </c>
      <c r="J1599" s="1" t="s">
        <v>32</v>
      </c>
      <c r="K1599" s="1" t="s">
        <v>20</v>
      </c>
      <c r="L1599" s="1" t="s">
        <v>411</v>
      </c>
      <c r="M1599" s="1" t="s">
        <v>9861</v>
      </c>
      <c r="N1599" s="1" t="s">
        <v>6769</v>
      </c>
      <c r="O1599" s="1" t="s">
        <v>9862</v>
      </c>
    </row>
    <row r="1600" spans="8:15" x14ac:dyDescent="0.25">
      <c r="H1600" s="1">
        <v>1530232</v>
      </c>
      <c r="I1600" s="4">
        <v>46330.8125</v>
      </c>
      <c r="J1600" s="1" t="s">
        <v>32</v>
      </c>
      <c r="K1600" s="1" t="s">
        <v>28</v>
      </c>
      <c r="L1600" s="1" t="s">
        <v>2618</v>
      </c>
      <c r="M1600" s="1" t="s">
        <v>9863</v>
      </c>
      <c r="N1600" s="1" t="s">
        <v>9864</v>
      </c>
      <c r="O1600" s="1" t="s">
        <v>9865</v>
      </c>
    </row>
    <row r="1601" spans="8:15" x14ac:dyDescent="0.25">
      <c r="H1601" s="1">
        <v>1530638</v>
      </c>
      <c r="I1601" s="4">
        <v>46330.8125</v>
      </c>
      <c r="J1601" s="1" t="s">
        <v>32</v>
      </c>
      <c r="K1601" s="1" t="s">
        <v>20</v>
      </c>
      <c r="L1601" s="1" t="s">
        <v>602</v>
      </c>
      <c r="M1601" s="1" t="s">
        <v>9866</v>
      </c>
      <c r="N1601" s="1" t="s">
        <v>3627</v>
      </c>
      <c r="O1601" s="1" t="s">
        <v>9867</v>
      </c>
    </row>
    <row r="1602" spans="8:15" x14ac:dyDescent="0.25">
      <c r="H1602" s="1">
        <v>1530639</v>
      </c>
      <c r="I1602" s="4">
        <v>46330.8125</v>
      </c>
      <c r="J1602" s="1" t="s">
        <v>32</v>
      </c>
      <c r="K1602" s="1" t="s">
        <v>20</v>
      </c>
      <c r="L1602" s="1" t="s">
        <v>602</v>
      </c>
      <c r="M1602" s="1" t="s">
        <v>2294</v>
      </c>
      <c r="N1602" s="1" t="s">
        <v>3630</v>
      </c>
      <c r="O1602" s="1" t="s">
        <v>9868</v>
      </c>
    </row>
    <row r="1603" spans="8:15" x14ac:dyDescent="0.25">
      <c r="H1603" s="1">
        <v>1537238</v>
      </c>
      <c r="I1603" s="4">
        <v>46330.8125</v>
      </c>
      <c r="J1603" s="1" t="s">
        <v>32</v>
      </c>
      <c r="K1603" s="1" t="s">
        <v>72</v>
      </c>
      <c r="L1603" s="1" t="s">
        <v>73</v>
      </c>
      <c r="M1603" s="1" t="s">
        <v>529</v>
      </c>
      <c r="N1603" s="1" t="s">
        <v>9869</v>
      </c>
      <c r="O1603" s="1" t="s">
        <v>9870</v>
      </c>
    </row>
    <row r="1604" spans="8:15" x14ac:dyDescent="0.25">
      <c r="H1604" s="1">
        <v>1378174</v>
      </c>
      <c r="I1604" s="4">
        <v>46330.822916666664</v>
      </c>
      <c r="J1604" s="1" t="s">
        <v>32</v>
      </c>
      <c r="K1604" s="1" t="s">
        <v>41</v>
      </c>
      <c r="L1604" s="1" t="s">
        <v>60</v>
      </c>
      <c r="M1604" s="1" t="s">
        <v>9872</v>
      </c>
      <c r="N1604" s="1" t="s">
        <v>6905</v>
      </c>
      <c r="O1604" s="1" t="s">
        <v>9873</v>
      </c>
    </row>
    <row r="1605" spans="8:15" x14ac:dyDescent="0.25">
      <c r="H1605" s="1">
        <v>1536982</v>
      </c>
      <c r="I1605" s="4">
        <v>46330.822916666664</v>
      </c>
      <c r="J1605" s="1" t="s">
        <v>32</v>
      </c>
      <c r="K1605" s="1" t="s">
        <v>71</v>
      </c>
      <c r="L1605" s="1" t="s">
        <v>350</v>
      </c>
      <c r="M1605" s="1" t="s">
        <v>2276</v>
      </c>
      <c r="N1605" s="1" t="s">
        <v>1314</v>
      </c>
      <c r="O1605" s="1" t="s">
        <v>9874</v>
      </c>
    </row>
    <row r="1606" spans="8:15" x14ac:dyDescent="0.25">
      <c r="H1606" s="1">
        <v>1381130</v>
      </c>
      <c r="I1606" s="4">
        <v>46330.833333333336</v>
      </c>
      <c r="J1606" s="1" t="s">
        <v>32</v>
      </c>
      <c r="K1606" s="1" t="s">
        <v>58</v>
      </c>
      <c r="L1606" s="1" t="s">
        <v>59</v>
      </c>
      <c r="M1606" s="1" t="s">
        <v>9876</v>
      </c>
      <c r="N1606" s="1" t="s">
        <v>9877</v>
      </c>
      <c r="O1606" s="1" t="s">
        <v>9878</v>
      </c>
    </row>
    <row r="1607" spans="8:15" x14ac:dyDescent="0.25">
      <c r="H1607" s="1">
        <v>1391128</v>
      </c>
      <c r="I1607" s="4">
        <v>46330.833333333336</v>
      </c>
      <c r="J1607" s="1" t="s">
        <v>32</v>
      </c>
      <c r="K1607" s="1" t="s">
        <v>40</v>
      </c>
      <c r="L1607" s="1" t="s">
        <v>74</v>
      </c>
      <c r="M1607" s="1" t="s">
        <v>2244</v>
      </c>
      <c r="N1607" s="1" t="s">
        <v>9879</v>
      </c>
      <c r="O1607" s="1" t="s">
        <v>9880</v>
      </c>
    </row>
    <row r="1608" spans="8:15" x14ac:dyDescent="0.25">
      <c r="H1608" s="1">
        <v>1392144</v>
      </c>
      <c r="I1608" s="4">
        <v>46330.833333333336</v>
      </c>
      <c r="J1608" s="1" t="s">
        <v>32</v>
      </c>
      <c r="K1608" s="1" t="s">
        <v>40</v>
      </c>
      <c r="L1608" s="1" t="s">
        <v>75</v>
      </c>
      <c r="M1608" s="1" t="s">
        <v>471</v>
      </c>
      <c r="N1608" s="1" t="s">
        <v>6918</v>
      </c>
      <c r="O1608" s="1" t="s">
        <v>9881</v>
      </c>
    </row>
    <row r="1609" spans="8:15" x14ac:dyDescent="0.25">
      <c r="H1609" s="1">
        <v>1431827</v>
      </c>
      <c r="I1609" s="4">
        <v>46330.833333333336</v>
      </c>
      <c r="J1609" s="1" t="s">
        <v>32</v>
      </c>
      <c r="K1609" s="1" t="s">
        <v>40</v>
      </c>
      <c r="L1609" s="1" t="s">
        <v>340</v>
      </c>
      <c r="M1609" s="1" t="s">
        <v>2324</v>
      </c>
      <c r="N1609" s="1" t="s">
        <v>3851</v>
      </c>
      <c r="O1609" s="1" t="s">
        <v>9882</v>
      </c>
    </row>
    <row r="1610" spans="8:15" x14ac:dyDescent="0.25">
      <c r="H1610" s="1">
        <v>1505413</v>
      </c>
      <c r="I1610" s="4">
        <v>46330.833333333336</v>
      </c>
      <c r="J1610" s="1" t="s">
        <v>32</v>
      </c>
      <c r="K1610" s="1" t="s">
        <v>354</v>
      </c>
      <c r="L1610" s="1" t="s">
        <v>27</v>
      </c>
      <c r="M1610" s="1" t="s">
        <v>9883</v>
      </c>
      <c r="N1610" s="1" t="s">
        <v>9884</v>
      </c>
      <c r="O1610" s="1" t="s">
        <v>9885</v>
      </c>
    </row>
    <row r="1611" spans="8:15" x14ac:dyDescent="0.25">
      <c r="H1611" s="1">
        <v>1511542</v>
      </c>
      <c r="I1611" s="4">
        <v>46330.833333333336</v>
      </c>
      <c r="J1611" s="1" t="s">
        <v>32</v>
      </c>
      <c r="K1611" s="1" t="s">
        <v>354</v>
      </c>
      <c r="L1611" s="1" t="s">
        <v>102</v>
      </c>
      <c r="M1611" s="1" t="s">
        <v>9886</v>
      </c>
      <c r="N1611" s="1" t="s">
        <v>7128</v>
      </c>
      <c r="O1611" s="1" t="s">
        <v>9887</v>
      </c>
    </row>
    <row r="1612" spans="8:15" x14ac:dyDescent="0.25">
      <c r="H1612" s="1">
        <v>1511936</v>
      </c>
      <c r="I1612" s="4">
        <v>46330.833333333336</v>
      </c>
      <c r="J1612" s="1" t="s">
        <v>32</v>
      </c>
      <c r="K1612" s="1" t="s">
        <v>29</v>
      </c>
      <c r="L1612" s="1" t="s">
        <v>102</v>
      </c>
      <c r="M1612" s="1" t="s">
        <v>6991</v>
      </c>
      <c r="N1612" s="1" t="s">
        <v>6935</v>
      </c>
      <c r="O1612" s="1" t="s">
        <v>9888</v>
      </c>
    </row>
    <row r="1613" spans="8:15" x14ac:dyDescent="0.25">
      <c r="H1613" s="1">
        <v>1517265</v>
      </c>
      <c r="I1613" s="4">
        <v>46330.833333333336</v>
      </c>
      <c r="J1613" s="1" t="s">
        <v>32</v>
      </c>
      <c r="K1613" s="1" t="s">
        <v>9889</v>
      </c>
      <c r="L1613" s="1" t="s">
        <v>9890</v>
      </c>
      <c r="M1613" s="1" t="s">
        <v>9891</v>
      </c>
      <c r="N1613" s="1" t="s">
        <v>9892</v>
      </c>
      <c r="O1613" s="1" t="s">
        <v>9893</v>
      </c>
    </row>
    <row r="1614" spans="8:15" x14ac:dyDescent="0.25">
      <c r="H1614" s="1">
        <v>1519317</v>
      </c>
      <c r="I1614" s="4">
        <v>46330.833333333336</v>
      </c>
      <c r="J1614" s="1" t="s">
        <v>32</v>
      </c>
      <c r="K1614" s="1" t="s">
        <v>366</v>
      </c>
      <c r="L1614" s="1" t="s">
        <v>367</v>
      </c>
      <c r="M1614" s="1" t="s">
        <v>9894</v>
      </c>
      <c r="N1614" s="1" t="s">
        <v>9895</v>
      </c>
      <c r="O1614" s="1" t="s">
        <v>9896</v>
      </c>
    </row>
    <row r="1615" spans="8:15" x14ac:dyDescent="0.25">
      <c r="H1615" s="1">
        <v>1520635</v>
      </c>
      <c r="I1615" s="4">
        <v>46330.833333333336</v>
      </c>
      <c r="J1615" s="1" t="s">
        <v>32</v>
      </c>
      <c r="K1615" s="1" t="s">
        <v>20</v>
      </c>
      <c r="L1615" s="1" t="s">
        <v>348</v>
      </c>
      <c r="M1615" s="1" t="s">
        <v>9897</v>
      </c>
      <c r="N1615" s="1" t="s">
        <v>9898</v>
      </c>
      <c r="O1615" s="1" t="s">
        <v>9899</v>
      </c>
    </row>
    <row r="1616" spans="8:15" x14ac:dyDescent="0.25">
      <c r="H1616" s="1">
        <v>1526981</v>
      </c>
      <c r="I1616" s="4">
        <v>46330.833333333336</v>
      </c>
      <c r="J1616" s="1" t="s">
        <v>32</v>
      </c>
      <c r="K1616" s="1" t="s">
        <v>21</v>
      </c>
      <c r="L1616" s="1" t="s">
        <v>7468</v>
      </c>
      <c r="M1616" s="1" t="s">
        <v>9900</v>
      </c>
      <c r="N1616" s="1" t="s">
        <v>9901</v>
      </c>
      <c r="O1616" s="1" t="s">
        <v>9902</v>
      </c>
    </row>
    <row r="1617" spans="8:15" x14ac:dyDescent="0.25">
      <c r="H1617" s="1">
        <v>1533246</v>
      </c>
      <c r="I1617" s="4">
        <v>46330.833333333336</v>
      </c>
      <c r="J1617" s="1" t="s">
        <v>32</v>
      </c>
      <c r="K1617" s="1" t="s">
        <v>20</v>
      </c>
      <c r="L1617" s="1" t="s">
        <v>6678</v>
      </c>
      <c r="M1617" s="1" t="s">
        <v>6680</v>
      </c>
      <c r="N1617" s="1" t="s">
        <v>9903</v>
      </c>
      <c r="O1617" s="1" t="s">
        <v>9904</v>
      </c>
    </row>
    <row r="1618" spans="8:15" x14ac:dyDescent="0.25">
      <c r="H1618" s="1">
        <v>1536081</v>
      </c>
      <c r="I1618" s="4">
        <v>46330.833333333336</v>
      </c>
      <c r="J1618" s="1" t="s">
        <v>32</v>
      </c>
      <c r="K1618" s="1" t="s">
        <v>21</v>
      </c>
      <c r="L1618" s="1" t="s">
        <v>6157</v>
      </c>
      <c r="M1618" s="1" t="s">
        <v>6158</v>
      </c>
      <c r="N1618" s="1" t="s">
        <v>2408</v>
      </c>
      <c r="O1618" s="1" t="s">
        <v>9905</v>
      </c>
    </row>
    <row r="1619" spans="8:15" x14ac:dyDescent="0.25">
      <c r="H1619" s="1">
        <v>1538191</v>
      </c>
      <c r="I1619" s="4">
        <v>46330.833333333336</v>
      </c>
      <c r="J1619" s="1" t="s">
        <v>32</v>
      </c>
      <c r="K1619" s="1" t="s">
        <v>20</v>
      </c>
      <c r="L1619" s="1" t="s">
        <v>9780</v>
      </c>
      <c r="M1619" s="1" t="s">
        <v>9906</v>
      </c>
      <c r="N1619" s="1" t="s">
        <v>2311</v>
      </c>
      <c r="O1619" s="1" t="s">
        <v>9907</v>
      </c>
    </row>
    <row r="1620" spans="8:15" x14ac:dyDescent="0.25">
      <c r="H1620" s="1">
        <v>1538192</v>
      </c>
      <c r="I1620" s="4">
        <v>46330.833333333336</v>
      </c>
      <c r="J1620" s="1" t="s">
        <v>32</v>
      </c>
      <c r="K1620" s="1" t="s">
        <v>20</v>
      </c>
      <c r="L1620" s="1" t="s">
        <v>9780</v>
      </c>
      <c r="M1620" s="1" t="s">
        <v>9908</v>
      </c>
      <c r="N1620" s="1" t="s">
        <v>6684</v>
      </c>
      <c r="O1620" s="1" t="s">
        <v>9909</v>
      </c>
    </row>
    <row r="1621" spans="8:15" x14ac:dyDescent="0.25">
      <c r="H1621" s="1">
        <v>1538193</v>
      </c>
      <c r="I1621" s="4">
        <v>46330.833333333336</v>
      </c>
      <c r="J1621" s="1" t="s">
        <v>32</v>
      </c>
      <c r="K1621" s="1" t="s">
        <v>20</v>
      </c>
      <c r="L1621" s="1" t="s">
        <v>9780</v>
      </c>
      <c r="M1621" s="1" t="s">
        <v>9910</v>
      </c>
      <c r="N1621" s="1" t="s">
        <v>9911</v>
      </c>
      <c r="O1621" s="1" t="s">
        <v>9912</v>
      </c>
    </row>
    <row r="1622" spans="8:15" x14ac:dyDescent="0.25">
      <c r="H1622" s="1">
        <v>1538195</v>
      </c>
      <c r="I1622" s="4">
        <v>46330.833333333336</v>
      </c>
      <c r="J1622" s="1" t="s">
        <v>32</v>
      </c>
      <c r="K1622" s="1" t="s">
        <v>20</v>
      </c>
      <c r="L1622" s="1" t="s">
        <v>9780</v>
      </c>
      <c r="M1622" s="1" t="s">
        <v>9913</v>
      </c>
      <c r="N1622" s="1" t="s">
        <v>9914</v>
      </c>
      <c r="O1622" s="1" t="s">
        <v>9915</v>
      </c>
    </row>
    <row r="1623" spans="8:15" x14ac:dyDescent="0.25">
      <c r="H1623" s="1">
        <v>1538196</v>
      </c>
      <c r="I1623" s="4">
        <v>46330.833333333336</v>
      </c>
      <c r="J1623" s="1" t="s">
        <v>32</v>
      </c>
      <c r="K1623" s="1" t="s">
        <v>20</v>
      </c>
      <c r="L1623" s="1" t="s">
        <v>9780</v>
      </c>
      <c r="M1623" s="1" t="s">
        <v>6854</v>
      </c>
      <c r="N1623" s="1" t="s">
        <v>9916</v>
      </c>
      <c r="O1623" s="1" t="s">
        <v>9917</v>
      </c>
    </row>
    <row r="1624" spans="8:15" x14ac:dyDescent="0.25">
      <c r="H1624" s="1">
        <v>1538202</v>
      </c>
      <c r="I1624" s="4">
        <v>46330.833333333336</v>
      </c>
      <c r="J1624" s="1" t="s">
        <v>32</v>
      </c>
      <c r="K1624" s="1" t="s">
        <v>20</v>
      </c>
      <c r="L1624" s="1" t="s">
        <v>9780</v>
      </c>
      <c r="M1624" s="1" t="s">
        <v>9918</v>
      </c>
      <c r="N1624" s="1" t="s">
        <v>9919</v>
      </c>
      <c r="O1624" s="1" t="s">
        <v>9920</v>
      </c>
    </row>
    <row r="1625" spans="8:15" x14ac:dyDescent="0.25">
      <c r="H1625" s="1">
        <v>1538208</v>
      </c>
      <c r="I1625" s="4">
        <v>46330.833333333336</v>
      </c>
      <c r="J1625" s="1" t="s">
        <v>32</v>
      </c>
      <c r="K1625" s="1" t="s">
        <v>20</v>
      </c>
      <c r="L1625" s="1" t="s">
        <v>9780</v>
      </c>
      <c r="M1625" s="1" t="s">
        <v>9921</v>
      </c>
      <c r="N1625" s="1" t="s">
        <v>9922</v>
      </c>
      <c r="O1625" s="1" t="s">
        <v>9923</v>
      </c>
    </row>
    <row r="1626" spans="8:15" x14ac:dyDescent="0.25">
      <c r="H1626" s="1">
        <v>1538334</v>
      </c>
      <c r="I1626" s="4">
        <v>46330.833333333336</v>
      </c>
      <c r="J1626" s="1" t="s">
        <v>32</v>
      </c>
      <c r="K1626" s="1" t="s">
        <v>302</v>
      </c>
      <c r="L1626" s="1" t="s">
        <v>27</v>
      </c>
      <c r="M1626" s="1" t="s">
        <v>9924</v>
      </c>
      <c r="N1626" s="1" t="s">
        <v>693</v>
      </c>
      <c r="O1626" s="1" t="s">
        <v>9925</v>
      </c>
    </row>
    <row r="1627" spans="8:15" x14ac:dyDescent="0.25">
      <c r="H1627" s="1">
        <v>1539616</v>
      </c>
      <c r="I1627" s="4">
        <v>46330.833333333336</v>
      </c>
      <c r="J1627" s="1" t="s">
        <v>32</v>
      </c>
      <c r="K1627" s="1" t="s">
        <v>366</v>
      </c>
      <c r="L1627" s="1" t="s">
        <v>9926</v>
      </c>
      <c r="M1627" s="1" t="s">
        <v>9927</v>
      </c>
      <c r="N1627" s="1" t="s">
        <v>9928</v>
      </c>
      <c r="O1627" s="1" t="s">
        <v>9929</v>
      </c>
    </row>
    <row r="1628" spans="8:15" x14ac:dyDescent="0.25">
      <c r="H1628" s="1">
        <v>1387957</v>
      </c>
      <c r="I1628" s="4">
        <v>46330.836805555555</v>
      </c>
      <c r="J1628" s="1" t="s">
        <v>32</v>
      </c>
      <c r="K1628" s="1" t="s">
        <v>89</v>
      </c>
      <c r="L1628" s="1" t="s">
        <v>47</v>
      </c>
      <c r="M1628" s="1" t="s">
        <v>2164</v>
      </c>
      <c r="N1628" s="1" t="s">
        <v>9931</v>
      </c>
      <c r="O1628" s="1" t="s">
        <v>9932</v>
      </c>
    </row>
    <row r="1629" spans="8:15" x14ac:dyDescent="0.25">
      <c r="H1629" s="1">
        <v>1396494</v>
      </c>
      <c r="I1629" s="4">
        <v>46330.854166666664</v>
      </c>
      <c r="J1629" s="1" t="s">
        <v>32</v>
      </c>
      <c r="K1629" s="1" t="s">
        <v>53</v>
      </c>
      <c r="L1629" s="1" t="s">
        <v>99</v>
      </c>
      <c r="M1629" s="1" t="s">
        <v>559</v>
      </c>
      <c r="N1629" s="1" t="s">
        <v>7137</v>
      </c>
      <c r="O1629" s="1" t="s">
        <v>9934</v>
      </c>
    </row>
    <row r="1630" spans="8:15" x14ac:dyDescent="0.25">
      <c r="H1630" s="1">
        <v>1447002</v>
      </c>
      <c r="I1630" s="4">
        <v>46330.854166666664</v>
      </c>
      <c r="J1630" s="1" t="s">
        <v>32</v>
      </c>
      <c r="K1630" s="1" t="s">
        <v>18</v>
      </c>
      <c r="L1630" s="1" t="s">
        <v>19</v>
      </c>
      <c r="M1630" s="1" t="s">
        <v>9935</v>
      </c>
      <c r="N1630" s="1" t="s">
        <v>2652</v>
      </c>
      <c r="O1630" s="1" t="s">
        <v>9936</v>
      </c>
    </row>
    <row r="1631" spans="8:15" x14ac:dyDescent="0.25">
      <c r="H1631" s="1">
        <v>1492217</v>
      </c>
      <c r="I1631" s="4">
        <v>46330.854166666664</v>
      </c>
      <c r="J1631" s="1" t="s">
        <v>32</v>
      </c>
      <c r="K1631" s="1" t="s">
        <v>20</v>
      </c>
      <c r="L1631" s="1" t="s">
        <v>60</v>
      </c>
      <c r="M1631" s="1" t="s">
        <v>9937</v>
      </c>
      <c r="N1631" s="1" t="s">
        <v>9938</v>
      </c>
      <c r="O1631" s="1" t="s">
        <v>9939</v>
      </c>
    </row>
    <row r="1632" spans="8:15" x14ac:dyDescent="0.25">
      <c r="H1632" s="1">
        <v>1492219</v>
      </c>
      <c r="I1632" s="4">
        <v>46330.854166666664</v>
      </c>
      <c r="J1632" s="1" t="s">
        <v>32</v>
      </c>
      <c r="K1632" s="1" t="s">
        <v>20</v>
      </c>
      <c r="L1632" s="1" t="s">
        <v>60</v>
      </c>
      <c r="M1632" s="1" t="s">
        <v>9940</v>
      </c>
      <c r="N1632" s="1" t="s">
        <v>9941</v>
      </c>
      <c r="O1632" s="1" t="s">
        <v>9942</v>
      </c>
    </row>
    <row r="1633" spans="8:15" x14ac:dyDescent="0.25">
      <c r="H1633" s="1">
        <v>1530234</v>
      </c>
      <c r="I1633" s="4">
        <v>46330.854166666664</v>
      </c>
      <c r="J1633" s="1" t="s">
        <v>32</v>
      </c>
      <c r="K1633" s="1" t="s">
        <v>28</v>
      </c>
      <c r="L1633" s="1" t="s">
        <v>2618</v>
      </c>
      <c r="M1633" s="1" t="s">
        <v>9943</v>
      </c>
      <c r="N1633" s="1" t="s">
        <v>9944</v>
      </c>
      <c r="O1633" s="1" t="s">
        <v>9945</v>
      </c>
    </row>
    <row r="1634" spans="8:15" x14ac:dyDescent="0.25">
      <c r="H1634" s="1">
        <v>1538877</v>
      </c>
      <c r="I1634" s="4">
        <v>46330.854166666664</v>
      </c>
      <c r="J1634" s="1" t="s">
        <v>32</v>
      </c>
      <c r="K1634" s="1" t="s">
        <v>415</v>
      </c>
      <c r="L1634" s="1" t="s">
        <v>75</v>
      </c>
      <c r="M1634" s="1" t="s">
        <v>2334</v>
      </c>
      <c r="N1634" s="1" t="s">
        <v>2332</v>
      </c>
      <c r="O1634" s="1" t="s">
        <v>9946</v>
      </c>
    </row>
    <row r="1635" spans="8:15" x14ac:dyDescent="0.25">
      <c r="H1635" s="1">
        <v>1540080</v>
      </c>
      <c r="I1635" s="4">
        <v>46330.854166666664</v>
      </c>
      <c r="J1635" s="1" t="s">
        <v>32</v>
      </c>
      <c r="K1635" s="1" t="s">
        <v>415</v>
      </c>
      <c r="L1635" s="1" t="s">
        <v>75</v>
      </c>
      <c r="M1635" s="1" t="s">
        <v>9947</v>
      </c>
      <c r="N1635" s="1" t="s">
        <v>2357</v>
      </c>
      <c r="O1635" s="1" t="s">
        <v>9948</v>
      </c>
    </row>
    <row r="1636" spans="8:15" x14ac:dyDescent="0.25">
      <c r="H1636" s="1">
        <v>1446216</v>
      </c>
      <c r="I1636" s="4">
        <v>46330.875</v>
      </c>
      <c r="J1636" s="1" t="s">
        <v>32</v>
      </c>
      <c r="K1636" s="1" t="s">
        <v>362</v>
      </c>
      <c r="L1636" s="1" t="s">
        <v>687</v>
      </c>
      <c r="M1636" s="1" t="s">
        <v>6982</v>
      </c>
      <c r="N1636" s="1" t="s">
        <v>9950</v>
      </c>
      <c r="O1636" s="1" t="s">
        <v>9951</v>
      </c>
    </row>
    <row r="1637" spans="8:15" x14ac:dyDescent="0.25">
      <c r="H1637" s="1">
        <v>1493455</v>
      </c>
      <c r="I1637" s="4">
        <v>46330.875</v>
      </c>
      <c r="J1637" s="1" t="s">
        <v>32</v>
      </c>
      <c r="K1637" s="1" t="s">
        <v>362</v>
      </c>
      <c r="L1637" s="1" t="s">
        <v>560</v>
      </c>
      <c r="M1637" s="1" t="s">
        <v>7091</v>
      </c>
      <c r="N1637" s="1" t="s">
        <v>724</v>
      </c>
      <c r="O1637" s="1" t="s">
        <v>9952</v>
      </c>
    </row>
    <row r="1638" spans="8:15" x14ac:dyDescent="0.25">
      <c r="H1638" s="1">
        <v>1499833</v>
      </c>
      <c r="I1638" s="4">
        <v>46330.875</v>
      </c>
      <c r="J1638" s="1" t="s">
        <v>32</v>
      </c>
      <c r="K1638" s="1" t="s">
        <v>28</v>
      </c>
      <c r="L1638" s="1" t="s">
        <v>414</v>
      </c>
      <c r="M1638" s="1" t="s">
        <v>6748</v>
      </c>
      <c r="N1638" s="1" t="s">
        <v>6742</v>
      </c>
      <c r="O1638" s="1" t="s">
        <v>9953</v>
      </c>
    </row>
    <row r="1639" spans="8:15" x14ac:dyDescent="0.25">
      <c r="H1639" s="1">
        <v>1524385</v>
      </c>
      <c r="I1639" s="4">
        <v>46330.875</v>
      </c>
      <c r="J1639" s="1" t="s">
        <v>32</v>
      </c>
      <c r="K1639" s="1" t="s">
        <v>29</v>
      </c>
      <c r="L1639" s="1" t="s">
        <v>2552</v>
      </c>
      <c r="M1639" s="1" t="s">
        <v>2554</v>
      </c>
      <c r="N1639" s="1" t="s">
        <v>9954</v>
      </c>
      <c r="O1639" s="1" t="s">
        <v>9955</v>
      </c>
    </row>
    <row r="1640" spans="8:15" x14ac:dyDescent="0.25">
      <c r="H1640" s="1">
        <v>1526770</v>
      </c>
      <c r="I1640" s="4">
        <v>46330.875</v>
      </c>
      <c r="J1640" s="1" t="s">
        <v>32</v>
      </c>
      <c r="K1640" s="1" t="s">
        <v>20</v>
      </c>
      <c r="L1640" s="1" t="s">
        <v>9956</v>
      </c>
      <c r="M1640" s="1" t="s">
        <v>9957</v>
      </c>
      <c r="N1640" s="1" t="s">
        <v>6045</v>
      </c>
      <c r="O1640" s="1" t="s">
        <v>9958</v>
      </c>
    </row>
    <row r="1641" spans="8:15" x14ac:dyDescent="0.25">
      <c r="H1641" s="1">
        <v>1529072</v>
      </c>
      <c r="I1641" s="4">
        <v>46330.875</v>
      </c>
      <c r="J1641" s="1" t="s">
        <v>32</v>
      </c>
      <c r="K1641" s="1" t="s">
        <v>354</v>
      </c>
      <c r="L1641" s="1" t="s">
        <v>75</v>
      </c>
      <c r="M1641" s="1" t="s">
        <v>9959</v>
      </c>
      <c r="N1641" s="1" t="s">
        <v>9960</v>
      </c>
      <c r="O1641" s="1" t="s">
        <v>9961</v>
      </c>
    </row>
    <row r="1642" spans="8:15" x14ac:dyDescent="0.25">
      <c r="H1642" s="1">
        <v>1533248</v>
      </c>
      <c r="I1642" s="4">
        <v>46330.875</v>
      </c>
      <c r="J1642" s="1" t="s">
        <v>32</v>
      </c>
      <c r="K1642" s="1" t="s">
        <v>20</v>
      </c>
      <c r="L1642" s="1" t="s">
        <v>6678</v>
      </c>
      <c r="M1642" s="1" t="s">
        <v>6946</v>
      </c>
      <c r="N1642" s="1" t="s">
        <v>9962</v>
      </c>
      <c r="O1642" s="1" t="s">
        <v>9963</v>
      </c>
    </row>
    <row r="1643" spans="8:15" x14ac:dyDescent="0.25">
      <c r="H1643" s="1">
        <v>1537142</v>
      </c>
      <c r="I1643" s="4">
        <v>46330.875</v>
      </c>
      <c r="J1643" s="1" t="s">
        <v>32</v>
      </c>
      <c r="K1643" s="1" t="s">
        <v>694</v>
      </c>
      <c r="L1643" s="1" t="s">
        <v>695</v>
      </c>
      <c r="M1643" s="1" t="s">
        <v>9964</v>
      </c>
      <c r="N1643" s="1" t="s">
        <v>6944</v>
      </c>
      <c r="O1643" s="1" t="s">
        <v>9965</v>
      </c>
    </row>
    <row r="1644" spans="8:15" x14ac:dyDescent="0.25">
      <c r="H1644" s="1">
        <v>1538197</v>
      </c>
      <c r="I1644" s="4">
        <v>46330.875</v>
      </c>
      <c r="J1644" s="1" t="s">
        <v>32</v>
      </c>
      <c r="K1644" s="1" t="s">
        <v>20</v>
      </c>
      <c r="L1644" s="1" t="s">
        <v>9780</v>
      </c>
      <c r="M1644" s="1" t="s">
        <v>2561</v>
      </c>
      <c r="N1644" s="1" t="s">
        <v>9966</v>
      </c>
      <c r="O1644" s="1" t="s">
        <v>9967</v>
      </c>
    </row>
    <row r="1645" spans="8:15" x14ac:dyDescent="0.25">
      <c r="H1645" s="1">
        <v>1538198</v>
      </c>
      <c r="I1645" s="4">
        <v>46330.875</v>
      </c>
      <c r="J1645" s="1" t="s">
        <v>32</v>
      </c>
      <c r="K1645" s="1" t="s">
        <v>20</v>
      </c>
      <c r="L1645" s="1" t="s">
        <v>9780</v>
      </c>
      <c r="M1645" s="1" t="s">
        <v>9968</v>
      </c>
      <c r="N1645" s="1" t="s">
        <v>2313</v>
      </c>
      <c r="O1645" s="1" t="s">
        <v>9969</v>
      </c>
    </row>
    <row r="1646" spans="8:15" x14ac:dyDescent="0.25">
      <c r="H1646" s="1">
        <v>1538199</v>
      </c>
      <c r="I1646" s="4">
        <v>46330.875</v>
      </c>
      <c r="J1646" s="1" t="s">
        <v>32</v>
      </c>
      <c r="K1646" s="1" t="s">
        <v>20</v>
      </c>
      <c r="L1646" s="1" t="s">
        <v>9780</v>
      </c>
      <c r="M1646" s="1" t="s">
        <v>9970</v>
      </c>
      <c r="N1646" s="1" t="s">
        <v>9971</v>
      </c>
      <c r="O1646" s="1" t="s">
        <v>9972</v>
      </c>
    </row>
    <row r="1647" spans="8:15" x14ac:dyDescent="0.25">
      <c r="H1647" s="1">
        <v>1538200</v>
      </c>
      <c r="I1647" s="4">
        <v>46330.875</v>
      </c>
      <c r="J1647" s="1" t="s">
        <v>32</v>
      </c>
      <c r="K1647" s="1" t="s">
        <v>20</v>
      </c>
      <c r="L1647" s="1" t="s">
        <v>9780</v>
      </c>
      <c r="M1647" s="1" t="s">
        <v>9973</v>
      </c>
      <c r="N1647" s="1" t="s">
        <v>2318</v>
      </c>
      <c r="O1647" s="1" t="s">
        <v>9974</v>
      </c>
    </row>
    <row r="1648" spans="8:15" x14ac:dyDescent="0.25">
      <c r="H1648" s="1">
        <v>1538229</v>
      </c>
      <c r="I1648" s="4">
        <v>46330.875</v>
      </c>
      <c r="J1648" s="1" t="s">
        <v>32</v>
      </c>
      <c r="K1648" s="1" t="s">
        <v>20</v>
      </c>
      <c r="L1648" s="1" t="s">
        <v>9780</v>
      </c>
      <c r="M1648" s="1" t="s">
        <v>9975</v>
      </c>
      <c r="N1648" s="1" t="s">
        <v>9976</v>
      </c>
      <c r="O1648" s="1" t="s">
        <v>9977</v>
      </c>
    </row>
    <row r="1649" spans="8:15" x14ac:dyDescent="0.25">
      <c r="H1649" s="1">
        <v>1539743</v>
      </c>
      <c r="I1649" s="4">
        <v>46330.875</v>
      </c>
      <c r="J1649" s="1" t="s">
        <v>32</v>
      </c>
      <c r="K1649" s="1" t="s">
        <v>20</v>
      </c>
      <c r="L1649" s="1" t="s">
        <v>681</v>
      </c>
      <c r="M1649" s="1" t="s">
        <v>7075</v>
      </c>
      <c r="N1649" s="1" t="s">
        <v>6826</v>
      </c>
      <c r="O1649" s="1" t="s">
        <v>9978</v>
      </c>
    </row>
    <row r="1650" spans="8:15" x14ac:dyDescent="0.25">
      <c r="H1650" s="1">
        <v>1492018</v>
      </c>
      <c r="I1650" s="4">
        <v>46330.885416666664</v>
      </c>
      <c r="J1650" s="1" t="s">
        <v>32</v>
      </c>
      <c r="K1650" s="1" t="s">
        <v>28</v>
      </c>
      <c r="L1650" s="1" t="s">
        <v>2588</v>
      </c>
      <c r="M1650" s="1" t="s">
        <v>9980</v>
      </c>
      <c r="N1650" s="1" t="s">
        <v>6976</v>
      </c>
      <c r="O1650" s="1" t="s">
        <v>9981</v>
      </c>
    </row>
    <row r="1651" spans="8:15" x14ac:dyDescent="0.25">
      <c r="H1651" s="1">
        <v>1531824</v>
      </c>
      <c r="I1651" s="4">
        <v>46330.895833333336</v>
      </c>
      <c r="J1651" s="1" t="s">
        <v>32</v>
      </c>
      <c r="K1651" s="1" t="s">
        <v>696</v>
      </c>
      <c r="L1651" s="1" t="s">
        <v>88</v>
      </c>
      <c r="M1651" s="1" t="s">
        <v>9983</v>
      </c>
      <c r="N1651" s="1" t="s">
        <v>6972</v>
      </c>
      <c r="O1651" s="1" t="s">
        <v>9984</v>
      </c>
    </row>
    <row r="1652" spans="8:15" x14ac:dyDescent="0.25">
      <c r="H1652" s="1">
        <v>1490198</v>
      </c>
      <c r="I1652" s="4">
        <v>46330.90625</v>
      </c>
      <c r="J1652" s="1" t="s">
        <v>32</v>
      </c>
      <c r="K1652" s="1" t="s">
        <v>362</v>
      </c>
      <c r="L1652" s="1" t="s">
        <v>413</v>
      </c>
      <c r="M1652" s="1" t="s">
        <v>780</v>
      </c>
      <c r="N1652" s="1" t="s">
        <v>778</v>
      </c>
      <c r="O1652" s="1" t="s">
        <v>9986</v>
      </c>
    </row>
    <row r="1653" spans="8:15" x14ac:dyDescent="0.25">
      <c r="H1653" s="1">
        <v>1493798</v>
      </c>
      <c r="I1653" s="4">
        <v>46330.916666666664</v>
      </c>
      <c r="J1653" s="1" t="s">
        <v>32</v>
      </c>
      <c r="K1653" s="1" t="s">
        <v>362</v>
      </c>
      <c r="L1653" s="1" t="s">
        <v>704</v>
      </c>
      <c r="M1653" s="1" t="s">
        <v>9988</v>
      </c>
      <c r="N1653" s="1" t="s">
        <v>9989</v>
      </c>
      <c r="O1653" s="1" t="s">
        <v>9990</v>
      </c>
    </row>
    <row r="1654" spans="8:15" x14ac:dyDescent="0.25">
      <c r="H1654" s="1">
        <v>1499232</v>
      </c>
      <c r="I1654" s="4">
        <v>46330.916666666664</v>
      </c>
      <c r="J1654" s="1" t="s">
        <v>32</v>
      </c>
      <c r="K1654" s="1" t="s">
        <v>272</v>
      </c>
      <c r="L1654" s="1" t="s">
        <v>26</v>
      </c>
      <c r="M1654" s="1" t="s">
        <v>6929</v>
      </c>
      <c r="N1654" s="1" t="s">
        <v>435</v>
      </c>
      <c r="O1654" s="1" t="s">
        <v>9991</v>
      </c>
    </row>
    <row r="1655" spans="8:15" x14ac:dyDescent="0.25">
      <c r="H1655" s="1">
        <v>1499354</v>
      </c>
      <c r="I1655" s="4">
        <v>46330.916666666664</v>
      </c>
      <c r="J1655" s="1" t="s">
        <v>32</v>
      </c>
      <c r="K1655" s="1" t="s">
        <v>28</v>
      </c>
      <c r="L1655" s="1" t="s">
        <v>6473</v>
      </c>
      <c r="M1655" s="1" t="s">
        <v>6986</v>
      </c>
      <c r="N1655" s="1" t="s">
        <v>9992</v>
      </c>
      <c r="O1655" s="1" t="s">
        <v>9993</v>
      </c>
    </row>
    <row r="1656" spans="8:15" x14ac:dyDescent="0.25">
      <c r="H1656" s="1">
        <v>1506083</v>
      </c>
      <c r="I1656" s="4">
        <v>46330.916666666664</v>
      </c>
      <c r="J1656" s="1" t="s">
        <v>32</v>
      </c>
      <c r="K1656" s="1" t="s">
        <v>29</v>
      </c>
      <c r="L1656" s="1" t="s">
        <v>30</v>
      </c>
      <c r="M1656" s="1" t="s">
        <v>9994</v>
      </c>
      <c r="N1656" s="1" t="s">
        <v>9995</v>
      </c>
      <c r="O1656" s="1" t="s">
        <v>9996</v>
      </c>
    </row>
    <row r="1657" spans="8:15" x14ac:dyDescent="0.25">
      <c r="H1657" s="1">
        <v>1506171</v>
      </c>
      <c r="I1657" s="4">
        <v>46330.916666666664</v>
      </c>
      <c r="J1657" s="1" t="s">
        <v>32</v>
      </c>
      <c r="K1657" s="1" t="s">
        <v>415</v>
      </c>
      <c r="L1657" s="1" t="s">
        <v>27</v>
      </c>
      <c r="M1657" s="1" t="s">
        <v>2403</v>
      </c>
      <c r="N1657" s="1" t="s">
        <v>726</v>
      </c>
      <c r="O1657" s="1" t="s">
        <v>9997</v>
      </c>
    </row>
    <row r="1658" spans="8:15" x14ac:dyDescent="0.25">
      <c r="H1658" s="1">
        <v>1513025</v>
      </c>
      <c r="I1658" s="4">
        <v>46330.916666666664</v>
      </c>
      <c r="J1658" s="1" t="s">
        <v>32</v>
      </c>
      <c r="K1658" s="1" t="s">
        <v>362</v>
      </c>
      <c r="L1658" s="1" t="s">
        <v>363</v>
      </c>
      <c r="M1658" s="1" t="s">
        <v>2304</v>
      </c>
      <c r="N1658" s="1" t="s">
        <v>2305</v>
      </c>
      <c r="O1658" s="1" t="s">
        <v>9998</v>
      </c>
    </row>
    <row r="1659" spans="8:15" x14ac:dyDescent="0.25">
      <c r="H1659" s="1">
        <v>1520637</v>
      </c>
      <c r="I1659" s="4">
        <v>46330.916666666664</v>
      </c>
      <c r="J1659" s="1" t="s">
        <v>32</v>
      </c>
      <c r="K1659" s="1" t="s">
        <v>20</v>
      </c>
      <c r="L1659" s="1" t="s">
        <v>348</v>
      </c>
      <c r="M1659" s="1" t="s">
        <v>9999</v>
      </c>
      <c r="N1659" s="1" t="s">
        <v>6937</v>
      </c>
      <c r="O1659" s="1" t="s">
        <v>10000</v>
      </c>
    </row>
    <row r="1660" spans="8:15" x14ac:dyDescent="0.25">
      <c r="H1660" s="1">
        <v>1520639</v>
      </c>
      <c r="I1660" s="4">
        <v>46330.916666666664</v>
      </c>
      <c r="J1660" s="1" t="s">
        <v>32</v>
      </c>
      <c r="K1660" s="1" t="s">
        <v>20</v>
      </c>
      <c r="L1660" s="1" t="s">
        <v>348</v>
      </c>
      <c r="M1660" s="1" t="s">
        <v>2391</v>
      </c>
      <c r="N1660" s="1" t="s">
        <v>10001</v>
      </c>
      <c r="O1660" s="1" t="s">
        <v>10002</v>
      </c>
    </row>
    <row r="1661" spans="8:15" x14ac:dyDescent="0.25">
      <c r="H1661" s="1">
        <v>1537620</v>
      </c>
      <c r="I1661" s="4">
        <v>46330.916666666664</v>
      </c>
      <c r="J1661" s="1" t="s">
        <v>32</v>
      </c>
      <c r="K1661" s="1" t="s">
        <v>23</v>
      </c>
      <c r="L1661" s="1" t="s">
        <v>24</v>
      </c>
      <c r="M1661" s="1" t="s">
        <v>103</v>
      </c>
      <c r="N1661" s="1" t="s">
        <v>10003</v>
      </c>
      <c r="O1661" s="1" t="s">
        <v>10004</v>
      </c>
    </row>
    <row r="1662" spans="8:15" x14ac:dyDescent="0.25">
      <c r="H1662" s="1">
        <v>1538201</v>
      </c>
      <c r="I1662" s="4">
        <v>46330.916666666664</v>
      </c>
      <c r="J1662" s="1" t="s">
        <v>32</v>
      </c>
      <c r="K1662" s="1" t="s">
        <v>20</v>
      </c>
      <c r="L1662" s="1" t="s">
        <v>9780</v>
      </c>
      <c r="M1662" s="1" t="s">
        <v>10005</v>
      </c>
      <c r="N1662" s="1" t="s">
        <v>10006</v>
      </c>
      <c r="O1662" s="1" t="s">
        <v>10007</v>
      </c>
    </row>
    <row r="1663" spans="8:15" x14ac:dyDescent="0.25">
      <c r="H1663" s="1">
        <v>1538203</v>
      </c>
      <c r="I1663" s="4">
        <v>46330.916666666664</v>
      </c>
      <c r="J1663" s="1" t="s">
        <v>32</v>
      </c>
      <c r="K1663" s="1" t="s">
        <v>20</v>
      </c>
      <c r="L1663" s="1" t="s">
        <v>9780</v>
      </c>
      <c r="M1663" s="1" t="s">
        <v>2396</v>
      </c>
      <c r="N1663" s="1" t="s">
        <v>689</v>
      </c>
      <c r="O1663" s="1" t="s">
        <v>10008</v>
      </c>
    </row>
    <row r="1664" spans="8:15" x14ac:dyDescent="0.25">
      <c r="H1664" s="1">
        <v>1538204</v>
      </c>
      <c r="I1664" s="4">
        <v>46330.916666666664</v>
      </c>
      <c r="J1664" s="1" t="s">
        <v>32</v>
      </c>
      <c r="K1664" s="1" t="s">
        <v>20</v>
      </c>
      <c r="L1664" s="1" t="s">
        <v>9780</v>
      </c>
      <c r="M1664" s="1" t="s">
        <v>2428</v>
      </c>
      <c r="N1664" s="1" t="s">
        <v>10009</v>
      </c>
      <c r="O1664" s="1" t="s">
        <v>10010</v>
      </c>
    </row>
    <row r="1665" spans="8:15" x14ac:dyDescent="0.25">
      <c r="H1665" s="1">
        <v>1538205</v>
      </c>
      <c r="I1665" s="4">
        <v>46330.916666666664</v>
      </c>
      <c r="J1665" s="1" t="s">
        <v>32</v>
      </c>
      <c r="K1665" s="1" t="s">
        <v>20</v>
      </c>
      <c r="L1665" s="1" t="s">
        <v>9780</v>
      </c>
      <c r="M1665" s="1" t="s">
        <v>2397</v>
      </c>
      <c r="N1665" s="1" t="s">
        <v>10011</v>
      </c>
      <c r="O1665" s="1" t="s">
        <v>10012</v>
      </c>
    </row>
    <row r="1666" spans="8:15" x14ac:dyDescent="0.25">
      <c r="H1666" s="1">
        <v>1538206</v>
      </c>
      <c r="I1666" s="4">
        <v>46330.916666666664</v>
      </c>
      <c r="J1666" s="1" t="s">
        <v>32</v>
      </c>
      <c r="K1666" s="1" t="s">
        <v>20</v>
      </c>
      <c r="L1666" s="1" t="s">
        <v>9780</v>
      </c>
      <c r="M1666" s="1" t="s">
        <v>10013</v>
      </c>
      <c r="N1666" s="1" t="s">
        <v>10014</v>
      </c>
      <c r="O1666" s="1" t="s">
        <v>10015</v>
      </c>
    </row>
    <row r="1667" spans="8:15" x14ac:dyDescent="0.25">
      <c r="H1667" s="1">
        <v>1538207</v>
      </c>
      <c r="I1667" s="4">
        <v>46330.916666666664</v>
      </c>
      <c r="J1667" s="1" t="s">
        <v>32</v>
      </c>
      <c r="K1667" s="1" t="s">
        <v>20</v>
      </c>
      <c r="L1667" s="1" t="s">
        <v>9780</v>
      </c>
      <c r="M1667" s="1" t="s">
        <v>10016</v>
      </c>
      <c r="N1667" s="1" t="s">
        <v>10017</v>
      </c>
      <c r="O1667" s="1" t="s">
        <v>10018</v>
      </c>
    </row>
    <row r="1668" spans="8:15" x14ac:dyDescent="0.25">
      <c r="H1668" s="1">
        <v>1538209</v>
      </c>
      <c r="I1668" s="4">
        <v>46330.916666666664</v>
      </c>
      <c r="J1668" s="1" t="s">
        <v>32</v>
      </c>
      <c r="K1668" s="1" t="s">
        <v>20</v>
      </c>
      <c r="L1668" s="1" t="s">
        <v>9780</v>
      </c>
      <c r="M1668" s="1" t="s">
        <v>10019</v>
      </c>
      <c r="N1668" s="1" t="s">
        <v>10020</v>
      </c>
      <c r="O1668" s="1" t="s">
        <v>10021</v>
      </c>
    </row>
    <row r="1669" spans="8:15" x14ac:dyDescent="0.25">
      <c r="H1669" s="1">
        <v>1505054</v>
      </c>
      <c r="I1669" s="4">
        <v>46330.927083333336</v>
      </c>
      <c r="J1669" s="1" t="s">
        <v>32</v>
      </c>
      <c r="K1669" s="1" t="s">
        <v>355</v>
      </c>
      <c r="L1669" s="1" t="s">
        <v>356</v>
      </c>
      <c r="M1669" s="1" t="s">
        <v>10023</v>
      </c>
      <c r="N1669" s="1" t="s">
        <v>2566</v>
      </c>
      <c r="O1669" s="1" t="s">
        <v>10024</v>
      </c>
    </row>
    <row r="1670" spans="8:15" x14ac:dyDescent="0.25">
      <c r="H1670" s="1">
        <v>1538335</v>
      </c>
      <c r="I1670" s="4">
        <v>46330.927083333336</v>
      </c>
      <c r="J1670" s="1" t="s">
        <v>32</v>
      </c>
      <c r="K1670" s="1" t="s">
        <v>302</v>
      </c>
      <c r="L1670" s="1" t="s">
        <v>27</v>
      </c>
      <c r="M1670" s="1" t="s">
        <v>10025</v>
      </c>
      <c r="N1670" s="1" t="s">
        <v>10026</v>
      </c>
      <c r="O1670" s="1" t="s">
        <v>10027</v>
      </c>
    </row>
    <row r="1671" spans="8:15" x14ac:dyDescent="0.25">
      <c r="H1671" s="1">
        <v>1457058</v>
      </c>
      <c r="I1671" s="4">
        <v>46330.9375</v>
      </c>
      <c r="J1671" s="1" t="s">
        <v>32</v>
      </c>
      <c r="K1671" s="1" t="s">
        <v>18</v>
      </c>
      <c r="L1671" s="1" t="s">
        <v>19</v>
      </c>
      <c r="M1671" s="1" t="s">
        <v>7015</v>
      </c>
      <c r="N1671" s="1" t="s">
        <v>10029</v>
      </c>
      <c r="O1671" s="1" t="s">
        <v>10030</v>
      </c>
    </row>
    <row r="1672" spans="8:15" x14ac:dyDescent="0.25">
      <c r="H1672" s="1">
        <v>1457059</v>
      </c>
      <c r="I1672" s="4">
        <v>46330.9375</v>
      </c>
      <c r="J1672" s="1" t="s">
        <v>32</v>
      </c>
      <c r="K1672" s="1" t="s">
        <v>18</v>
      </c>
      <c r="L1672" s="1" t="s">
        <v>19</v>
      </c>
      <c r="M1672" s="1" t="s">
        <v>7017</v>
      </c>
      <c r="N1672" s="1" t="s">
        <v>6104</v>
      </c>
      <c r="O1672" s="1" t="s">
        <v>10031</v>
      </c>
    </row>
    <row r="1673" spans="8:15" x14ac:dyDescent="0.25">
      <c r="H1673" s="1">
        <v>1457201</v>
      </c>
      <c r="I1673" s="4">
        <v>46330.9375</v>
      </c>
      <c r="J1673" s="1" t="s">
        <v>32</v>
      </c>
      <c r="K1673" s="1" t="s">
        <v>18</v>
      </c>
      <c r="L1673" s="1" t="s">
        <v>19</v>
      </c>
      <c r="M1673" s="1" t="s">
        <v>7020</v>
      </c>
      <c r="N1673" s="1" t="s">
        <v>2404</v>
      </c>
      <c r="O1673" s="1" t="s">
        <v>10032</v>
      </c>
    </row>
    <row r="1674" spans="8:15" x14ac:dyDescent="0.25">
      <c r="H1674" s="1">
        <v>1457202</v>
      </c>
      <c r="I1674" s="4">
        <v>46330.9375</v>
      </c>
      <c r="J1674" s="1" t="s">
        <v>32</v>
      </c>
      <c r="K1674" s="1" t="s">
        <v>18</v>
      </c>
      <c r="L1674" s="1" t="s">
        <v>19</v>
      </c>
      <c r="M1674" s="1" t="s">
        <v>7070</v>
      </c>
      <c r="N1674" s="1" t="s">
        <v>2405</v>
      </c>
      <c r="O1674" s="1" t="s">
        <v>10033</v>
      </c>
    </row>
    <row r="1675" spans="8:15" x14ac:dyDescent="0.25">
      <c r="H1675" s="1">
        <v>1492214</v>
      </c>
      <c r="I1675" s="4">
        <v>46330.9375</v>
      </c>
      <c r="J1675" s="1" t="s">
        <v>32</v>
      </c>
      <c r="K1675" s="1" t="s">
        <v>20</v>
      </c>
      <c r="L1675" s="1" t="s">
        <v>60</v>
      </c>
      <c r="M1675" s="1" t="s">
        <v>2400</v>
      </c>
      <c r="N1675" s="1" t="s">
        <v>485</v>
      </c>
      <c r="O1675" s="1" t="s">
        <v>10034</v>
      </c>
    </row>
    <row r="1676" spans="8:15" x14ac:dyDescent="0.25">
      <c r="H1676" s="1">
        <v>1492216</v>
      </c>
      <c r="I1676" s="4">
        <v>46330.9375</v>
      </c>
      <c r="J1676" s="1" t="s">
        <v>32</v>
      </c>
      <c r="K1676" s="1" t="s">
        <v>20</v>
      </c>
      <c r="L1676" s="1" t="s">
        <v>60</v>
      </c>
      <c r="M1676" s="1" t="s">
        <v>10035</v>
      </c>
      <c r="N1676" s="1" t="s">
        <v>10036</v>
      </c>
      <c r="O1676" s="1" t="s">
        <v>10037</v>
      </c>
    </row>
    <row r="1677" spans="8:15" x14ac:dyDescent="0.25">
      <c r="H1677" s="1">
        <v>1505411</v>
      </c>
      <c r="I1677" s="4">
        <v>46330.9375</v>
      </c>
      <c r="J1677" s="1" t="s">
        <v>32</v>
      </c>
      <c r="K1677" s="1" t="s">
        <v>354</v>
      </c>
      <c r="L1677" s="1" t="s">
        <v>27</v>
      </c>
      <c r="M1677" s="1" t="s">
        <v>10038</v>
      </c>
      <c r="N1677" s="1" t="s">
        <v>10039</v>
      </c>
      <c r="O1677" s="1" t="s">
        <v>10040</v>
      </c>
    </row>
    <row r="1678" spans="8:15" x14ac:dyDescent="0.25">
      <c r="H1678" s="1">
        <v>1511537</v>
      </c>
      <c r="I1678" s="4">
        <v>46330.9375</v>
      </c>
      <c r="J1678" s="1" t="s">
        <v>32</v>
      </c>
      <c r="K1678" s="1" t="s">
        <v>354</v>
      </c>
      <c r="L1678" s="1" t="s">
        <v>102</v>
      </c>
      <c r="M1678" s="1" t="s">
        <v>2558</v>
      </c>
      <c r="N1678" s="1" t="s">
        <v>10041</v>
      </c>
      <c r="O1678" s="1" t="s">
        <v>10042</v>
      </c>
    </row>
    <row r="1679" spans="8:15" x14ac:dyDescent="0.25">
      <c r="H1679" s="1">
        <v>1514113</v>
      </c>
      <c r="I1679" s="4">
        <v>46330.9375</v>
      </c>
      <c r="J1679" s="1" t="s">
        <v>32</v>
      </c>
      <c r="K1679" s="1" t="s">
        <v>21</v>
      </c>
      <c r="L1679" s="1" t="s">
        <v>7468</v>
      </c>
      <c r="M1679" s="1" t="s">
        <v>10043</v>
      </c>
      <c r="N1679" s="1" t="s">
        <v>2978</v>
      </c>
      <c r="O1679" s="1" t="s">
        <v>10044</v>
      </c>
    </row>
    <row r="1680" spans="8:15" x14ac:dyDescent="0.25">
      <c r="H1680" s="1">
        <v>1526496</v>
      </c>
      <c r="I1680" s="4">
        <v>46330.9375</v>
      </c>
      <c r="J1680" s="1" t="s">
        <v>32</v>
      </c>
      <c r="K1680" s="1" t="s">
        <v>366</v>
      </c>
      <c r="L1680" s="1" t="s">
        <v>2613</v>
      </c>
      <c r="M1680" s="1" t="s">
        <v>6967</v>
      </c>
      <c r="N1680" s="1" t="s">
        <v>751</v>
      </c>
      <c r="O1680" s="1" t="s">
        <v>10045</v>
      </c>
    </row>
    <row r="1681" spans="8:15" x14ac:dyDescent="0.25">
      <c r="H1681" s="1">
        <v>1529075</v>
      </c>
      <c r="I1681" s="4">
        <v>46330.9375</v>
      </c>
      <c r="J1681" s="1" t="s">
        <v>32</v>
      </c>
      <c r="K1681" s="1" t="s">
        <v>354</v>
      </c>
      <c r="L1681" s="1" t="s">
        <v>75</v>
      </c>
      <c r="M1681" s="1" t="s">
        <v>7004</v>
      </c>
      <c r="N1681" s="1" t="s">
        <v>10046</v>
      </c>
      <c r="O1681" s="1" t="s">
        <v>10047</v>
      </c>
    </row>
    <row r="1682" spans="8:15" x14ac:dyDescent="0.25">
      <c r="H1682" s="1">
        <v>1530246</v>
      </c>
      <c r="I1682" s="4">
        <v>46330.9375</v>
      </c>
      <c r="J1682" s="1" t="s">
        <v>32</v>
      </c>
      <c r="K1682" s="1" t="s">
        <v>28</v>
      </c>
      <c r="L1682" s="1" t="s">
        <v>2618</v>
      </c>
      <c r="M1682" s="1" t="s">
        <v>10048</v>
      </c>
      <c r="N1682" s="1" t="s">
        <v>10049</v>
      </c>
      <c r="O1682" s="1" t="s">
        <v>10050</v>
      </c>
    </row>
    <row r="1683" spans="8:15" x14ac:dyDescent="0.25">
      <c r="H1683" s="1">
        <v>1538210</v>
      </c>
      <c r="I1683" s="4">
        <v>46330.9375</v>
      </c>
      <c r="J1683" s="1" t="s">
        <v>32</v>
      </c>
      <c r="K1683" s="1" t="s">
        <v>20</v>
      </c>
      <c r="L1683" s="1" t="s">
        <v>9780</v>
      </c>
      <c r="M1683" s="1" t="s">
        <v>10051</v>
      </c>
      <c r="N1683" s="1" t="s">
        <v>2314</v>
      </c>
      <c r="O1683" s="1" t="s">
        <v>10052</v>
      </c>
    </row>
    <row r="1684" spans="8:15" x14ac:dyDescent="0.25">
      <c r="H1684" s="1">
        <v>1538211</v>
      </c>
      <c r="I1684" s="4">
        <v>46330.9375</v>
      </c>
      <c r="J1684" s="1" t="s">
        <v>32</v>
      </c>
      <c r="K1684" s="1" t="s">
        <v>20</v>
      </c>
      <c r="L1684" s="1" t="s">
        <v>9780</v>
      </c>
      <c r="M1684" s="1" t="s">
        <v>10053</v>
      </c>
      <c r="N1684" s="1" t="s">
        <v>10054</v>
      </c>
      <c r="O1684" s="1" t="s">
        <v>10055</v>
      </c>
    </row>
    <row r="1685" spans="8:15" x14ac:dyDescent="0.25">
      <c r="H1685" s="1">
        <v>1538878</v>
      </c>
      <c r="I1685" s="4">
        <v>46330.9375</v>
      </c>
      <c r="J1685" s="1" t="s">
        <v>32</v>
      </c>
      <c r="K1685" s="1" t="s">
        <v>415</v>
      </c>
      <c r="L1685" s="1" t="s">
        <v>75</v>
      </c>
      <c r="M1685" s="1" t="s">
        <v>7028</v>
      </c>
      <c r="N1685" s="1" t="s">
        <v>6894</v>
      </c>
      <c r="O1685" s="1" t="s">
        <v>10056</v>
      </c>
    </row>
    <row r="1686" spans="8:15" x14ac:dyDescent="0.25">
      <c r="H1686" s="1">
        <v>1447001</v>
      </c>
      <c r="I1686" s="4">
        <v>46330.958333333336</v>
      </c>
      <c r="J1686" s="1" t="s">
        <v>32</v>
      </c>
      <c r="K1686" s="1" t="s">
        <v>18</v>
      </c>
      <c r="L1686" s="1" t="s">
        <v>19</v>
      </c>
      <c r="M1686" s="1" t="s">
        <v>7038</v>
      </c>
      <c r="N1686" s="1" t="s">
        <v>10058</v>
      </c>
      <c r="O1686" s="1" t="s">
        <v>10059</v>
      </c>
    </row>
    <row r="1687" spans="8:15" x14ac:dyDescent="0.25">
      <c r="H1687" s="1">
        <v>1491518</v>
      </c>
      <c r="I1687" s="4">
        <v>46330.958333333336</v>
      </c>
      <c r="J1687" s="1" t="s">
        <v>32</v>
      </c>
      <c r="K1687" s="1" t="s">
        <v>362</v>
      </c>
      <c r="L1687" s="1" t="s">
        <v>704</v>
      </c>
      <c r="M1687" s="1" t="s">
        <v>10060</v>
      </c>
      <c r="N1687" s="1" t="s">
        <v>707</v>
      </c>
      <c r="O1687" s="1" t="s">
        <v>10061</v>
      </c>
    </row>
    <row r="1688" spans="8:15" x14ac:dyDescent="0.25">
      <c r="H1688" s="1">
        <v>1498440</v>
      </c>
      <c r="I1688" s="4">
        <v>46330.958333333336</v>
      </c>
      <c r="J1688" s="1" t="s">
        <v>32</v>
      </c>
      <c r="K1688" s="1" t="s">
        <v>28</v>
      </c>
      <c r="L1688" s="1" t="s">
        <v>242</v>
      </c>
      <c r="M1688" s="1" t="s">
        <v>10062</v>
      </c>
      <c r="N1688" s="1" t="s">
        <v>2353</v>
      </c>
      <c r="O1688" s="1" t="s">
        <v>10063</v>
      </c>
    </row>
    <row r="1689" spans="8:15" x14ac:dyDescent="0.25">
      <c r="H1689" s="1">
        <v>1506170</v>
      </c>
      <c r="I1689" s="4">
        <v>46330.958333333336</v>
      </c>
      <c r="J1689" s="1" t="s">
        <v>32</v>
      </c>
      <c r="K1689" s="1" t="s">
        <v>415</v>
      </c>
      <c r="L1689" s="1" t="s">
        <v>27</v>
      </c>
      <c r="M1689" s="1" t="s">
        <v>2432</v>
      </c>
      <c r="N1689" s="1" t="s">
        <v>2327</v>
      </c>
      <c r="O1689" s="1" t="s">
        <v>10064</v>
      </c>
    </row>
    <row r="1690" spans="8:15" x14ac:dyDescent="0.25">
      <c r="H1690" s="1">
        <v>1517266</v>
      </c>
      <c r="I1690" s="4">
        <v>46330.958333333336</v>
      </c>
      <c r="J1690" s="1" t="s">
        <v>32</v>
      </c>
      <c r="K1690" s="1" t="s">
        <v>9889</v>
      </c>
      <c r="L1690" s="1" t="s">
        <v>9890</v>
      </c>
      <c r="M1690" s="1" t="s">
        <v>10065</v>
      </c>
      <c r="N1690" s="1" t="s">
        <v>10066</v>
      </c>
      <c r="O1690" s="1" t="s">
        <v>10067</v>
      </c>
    </row>
    <row r="1691" spans="8:15" x14ac:dyDescent="0.25">
      <c r="H1691" s="1">
        <v>1530242</v>
      </c>
      <c r="I1691" s="4">
        <v>46330.958333333336</v>
      </c>
      <c r="J1691" s="1" t="s">
        <v>32</v>
      </c>
      <c r="K1691" s="1" t="s">
        <v>28</v>
      </c>
      <c r="L1691" s="1" t="s">
        <v>2618</v>
      </c>
      <c r="M1691" s="1" t="s">
        <v>10068</v>
      </c>
      <c r="N1691" s="1" t="s">
        <v>10069</v>
      </c>
      <c r="O1691" s="1" t="s">
        <v>10070</v>
      </c>
    </row>
    <row r="1692" spans="8:15" x14ac:dyDescent="0.25">
      <c r="H1692" s="1">
        <v>1537141</v>
      </c>
      <c r="I1692" s="4">
        <v>46330.958333333336</v>
      </c>
      <c r="J1692" s="1" t="s">
        <v>32</v>
      </c>
      <c r="K1692" s="1" t="s">
        <v>694</v>
      </c>
      <c r="L1692" s="1" t="s">
        <v>695</v>
      </c>
      <c r="M1692" s="1" t="s">
        <v>2362</v>
      </c>
      <c r="N1692" s="1" t="s">
        <v>6943</v>
      </c>
      <c r="O1692" s="1" t="s">
        <v>10071</v>
      </c>
    </row>
    <row r="1693" spans="8:15" x14ac:dyDescent="0.25">
      <c r="H1693" s="1">
        <v>1537237</v>
      </c>
      <c r="I1693" s="4">
        <v>46330.958333333336</v>
      </c>
      <c r="J1693" s="1" t="s">
        <v>32</v>
      </c>
      <c r="K1693" s="1" t="s">
        <v>72</v>
      </c>
      <c r="L1693" s="1" t="s">
        <v>73</v>
      </c>
      <c r="M1693" s="1" t="s">
        <v>10072</v>
      </c>
      <c r="N1693" s="1" t="s">
        <v>2356</v>
      </c>
      <c r="O1693" s="1" t="s">
        <v>10073</v>
      </c>
    </row>
    <row r="1694" spans="8:15" x14ac:dyDescent="0.25">
      <c r="H1694" s="1">
        <v>1538194</v>
      </c>
      <c r="I1694" s="4">
        <v>46330.958333333336</v>
      </c>
      <c r="J1694" s="1" t="s">
        <v>32</v>
      </c>
      <c r="K1694" s="1" t="s">
        <v>20</v>
      </c>
      <c r="L1694" s="1" t="s">
        <v>9780</v>
      </c>
      <c r="M1694" s="1" t="s">
        <v>10074</v>
      </c>
      <c r="N1694" s="1" t="s">
        <v>10075</v>
      </c>
      <c r="O1694" s="1" t="s">
        <v>10076</v>
      </c>
    </row>
    <row r="1695" spans="8:15" x14ac:dyDescent="0.25">
      <c r="H1695" s="1">
        <v>1538212</v>
      </c>
      <c r="I1695" s="4">
        <v>46330.958333333336</v>
      </c>
      <c r="J1695" s="1" t="s">
        <v>32</v>
      </c>
      <c r="K1695" s="1" t="s">
        <v>20</v>
      </c>
      <c r="L1695" s="1" t="s">
        <v>9780</v>
      </c>
      <c r="M1695" s="1" t="s">
        <v>10077</v>
      </c>
      <c r="N1695" s="1" t="s">
        <v>10078</v>
      </c>
      <c r="O1695" s="1" t="s">
        <v>10079</v>
      </c>
    </row>
    <row r="1696" spans="8:15" x14ac:dyDescent="0.25">
      <c r="H1696" s="1">
        <v>1538213</v>
      </c>
      <c r="I1696" s="4">
        <v>46330.958333333336</v>
      </c>
      <c r="J1696" s="1" t="s">
        <v>32</v>
      </c>
      <c r="K1696" s="1" t="s">
        <v>20</v>
      </c>
      <c r="L1696" s="1" t="s">
        <v>9780</v>
      </c>
      <c r="M1696" s="1" t="s">
        <v>10080</v>
      </c>
      <c r="N1696" s="1" t="s">
        <v>304</v>
      </c>
      <c r="O1696" s="1" t="s">
        <v>10081</v>
      </c>
    </row>
    <row r="1697" spans="8:15" x14ac:dyDescent="0.25">
      <c r="H1697" s="1">
        <v>1492015</v>
      </c>
      <c r="I1697" s="4">
        <v>46330.979166666664</v>
      </c>
      <c r="J1697" s="1" t="s">
        <v>32</v>
      </c>
      <c r="K1697" s="1" t="s">
        <v>28</v>
      </c>
      <c r="L1697" s="1" t="s">
        <v>2588</v>
      </c>
      <c r="M1697" s="1" t="s">
        <v>10083</v>
      </c>
      <c r="N1697" s="1" t="s">
        <v>7093</v>
      </c>
      <c r="O1697" s="1" t="s">
        <v>10084</v>
      </c>
    </row>
    <row r="1698" spans="8:15" x14ac:dyDescent="0.25">
      <c r="H1698" s="1">
        <v>1530501</v>
      </c>
      <c r="I1698" s="4">
        <v>46330.979166666664</v>
      </c>
      <c r="J1698" s="1" t="s">
        <v>32</v>
      </c>
      <c r="K1698" s="1" t="s">
        <v>364</v>
      </c>
      <c r="L1698" s="1" t="s">
        <v>365</v>
      </c>
      <c r="M1698" s="1" t="s">
        <v>2443</v>
      </c>
      <c r="N1698" s="1" t="s">
        <v>2363</v>
      </c>
      <c r="O1698" s="1" t="s">
        <v>10085</v>
      </c>
    </row>
    <row r="1699" spans="8:15" x14ac:dyDescent="0.25">
      <c r="H1699" s="1">
        <v>1538214</v>
      </c>
      <c r="I1699" s="4">
        <v>46330.979166666664</v>
      </c>
      <c r="J1699" s="1" t="s">
        <v>32</v>
      </c>
      <c r="K1699" s="1" t="s">
        <v>20</v>
      </c>
      <c r="L1699" s="1" t="s">
        <v>9780</v>
      </c>
      <c r="M1699" s="1" t="s">
        <v>2315</v>
      </c>
      <c r="N1699" s="1" t="s">
        <v>10086</v>
      </c>
      <c r="O1699" s="1" t="s">
        <v>10087</v>
      </c>
    </row>
    <row r="1700" spans="8:15" x14ac:dyDescent="0.25">
      <c r="H1700" s="1">
        <v>1538215</v>
      </c>
      <c r="I1700" s="4">
        <v>46330.979166666664</v>
      </c>
      <c r="J1700" s="1" t="s">
        <v>32</v>
      </c>
      <c r="K1700" s="1" t="s">
        <v>20</v>
      </c>
      <c r="L1700" s="1" t="s">
        <v>9780</v>
      </c>
      <c r="M1700" s="1" t="s">
        <v>10088</v>
      </c>
      <c r="N1700" s="1" t="s">
        <v>6869</v>
      </c>
      <c r="O1700" s="1" t="s">
        <v>10089</v>
      </c>
    </row>
  </sheetData>
  <mergeCells count="1">
    <mergeCell ref="CV8:CX8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9BD2F-6EA8-42DA-A684-3985FF9585FD}">
  <sheetPr codeName="Sheet16">
    <tabColor rgb="FFFFFF00"/>
  </sheetPr>
  <dimension ref="A1:B9"/>
  <sheetViews>
    <sheetView workbookViewId="0">
      <selection activeCell="B16" sqref="B16"/>
    </sheetView>
  </sheetViews>
  <sheetFormatPr defaultRowHeight="15" x14ac:dyDescent="0.25"/>
  <cols>
    <col min="1" max="1" width="14.140625" style="46" bestFit="1" customWidth="1"/>
    <col min="2" max="2" width="24.28515625" style="46" bestFit="1" customWidth="1"/>
    <col min="3" max="16384" width="9.140625" style="46"/>
  </cols>
  <sheetData>
    <row r="1" spans="1:2" x14ac:dyDescent="0.25">
      <c r="A1" s="47" t="s">
        <v>2569</v>
      </c>
      <c r="B1" s="47" t="s">
        <v>2577</v>
      </c>
    </row>
    <row r="2" spans="1:2" x14ac:dyDescent="0.25">
      <c r="A2" s="47" t="s">
        <v>2570</v>
      </c>
      <c r="B2" s="48">
        <v>1</v>
      </c>
    </row>
    <row r="3" spans="1:2" x14ac:dyDescent="0.25">
      <c r="A3" s="47" t="s">
        <v>2578</v>
      </c>
      <c r="B3" s="48"/>
    </row>
    <row r="4" spans="1:2" x14ac:dyDescent="0.25">
      <c r="A4" s="47" t="s">
        <v>2571</v>
      </c>
      <c r="B4" s="47"/>
    </row>
    <row r="5" spans="1:2" x14ac:dyDescent="0.25">
      <c r="A5" s="47" t="s">
        <v>2572</v>
      </c>
      <c r="B5" s="47"/>
    </row>
    <row r="6" spans="1:2" x14ac:dyDescent="0.25">
      <c r="A6" s="47" t="s">
        <v>2573</v>
      </c>
      <c r="B6" s="47"/>
    </row>
    <row r="7" spans="1:2" x14ac:dyDescent="0.25">
      <c r="A7" s="47" t="s">
        <v>2574</v>
      </c>
      <c r="B7" s="47"/>
    </row>
    <row r="8" spans="1:2" x14ac:dyDescent="0.25">
      <c r="A8" s="47" t="s">
        <v>2575</v>
      </c>
      <c r="B8" s="47"/>
    </row>
    <row r="9" spans="1:2" x14ac:dyDescent="0.25">
      <c r="A9" s="47" t="s">
        <v>2576</v>
      </c>
      <c r="B9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D05F4-82D0-4C2A-98CB-91D37295F89F}">
  <sheetPr codeName="Sheet1">
    <tabColor rgb="FF0070C0"/>
  </sheetPr>
  <dimension ref="A1:CT100"/>
  <sheetViews>
    <sheetView showGridLines="0" showRowColHeaders="0" tabSelected="1" zoomScale="97" zoomScaleNormal="97" workbookViewId="0">
      <selection activeCell="E2" sqref="E2"/>
    </sheetView>
  </sheetViews>
  <sheetFormatPr defaultColWidth="0" defaultRowHeight="15" zeroHeight="1" x14ac:dyDescent="0.25"/>
  <cols>
    <col min="1" max="8" width="9.140625" style="32" customWidth="1"/>
    <col min="9" max="9" width="2.7109375" style="32" customWidth="1"/>
    <col min="10" max="13" width="5.7109375" style="1" customWidth="1"/>
    <col min="14" max="14" width="2.7109375" style="1" customWidth="1"/>
    <col min="15" max="18" width="5.7109375" style="1" customWidth="1"/>
    <col min="19" max="19" width="1" style="32" customWidth="1"/>
    <col min="20" max="20" width="15.85546875" style="1" bestFit="1" customWidth="1"/>
    <col min="21" max="24" width="6.7109375" style="1" customWidth="1"/>
    <col min="25" max="25" width="9.140625" style="1" hidden="1" customWidth="1"/>
    <col min="26" max="26" width="1.7109375" style="1" customWidth="1"/>
    <col min="27" max="28" width="6.7109375" style="1" customWidth="1"/>
    <col min="29" max="29" width="9.140625" style="1" hidden="1" customWidth="1"/>
    <col min="30" max="31" width="6.7109375" style="1" customWidth="1"/>
    <col min="32" max="32" width="9.28515625" style="1" customWidth="1"/>
    <col min="33" max="33" width="0.85546875" style="32" customWidth="1"/>
    <col min="34" max="34" width="5.28515625" style="1" bestFit="1" customWidth="1"/>
    <col min="35" max="35" width="23.85546875" style="1" bestFit="1" customWidth="1"/>
    <col min="36" max="36" width="4" style="1" bestFit="1" customWidth="1"/>
    <col min="37" max="39" width="3.140625" style="1" bestFit="1" customWidth="1"/>
    <col min="40" max="40" width="3.5703125" style="1" bestFit="1" customWidth="1"/>
    <col min="41" max="41" width="3.7109375" style="1" bestFit="1" customWidth="1"/>
    <col min="42" max="42" width="3.85546875" style="1" bestFit="1" customWidth="1"/>
    <col min="43" max="43" width="4.140625" style="1" bestFit="1" customWidth="1"/>
    <col min="44" max="48" width="3" style="1" bestFit="1" customWidth="1"/>
    <col min="49" max="98" width="0" style="8" hidden="1" customWidth="1"/>
    <col min="99" max="16384" width="9.140625" style="1" hidden="1"/>
  </cols>
  <sheetData>
    <row r="1" spans="10:48" x14ac:dyDescent="0.25">
      <c r="J1" s="72">
        <f>Control!B12</f>
        <v>46330.625</v>
      </c>
      <c r="K1" s="73"/>
      <c r="L1" s="73"/>
      <c r="M1" s="131" t="s">
        <v>210</v>
      </c>
      <c r="N1" s="132"/>
      <c r="O1" s="133"/>
      <c r="P1" s="91" t="s">
        <v>211</v>
      </c>
      <c r="Q1" s="92"/>
      <c r="R1" s="92"/>
      <c r="T1" s="87" t="s">
        <v>188</v>
      </c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H1" s="76" t="s">
        <v>197</v>
      </c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0:48" x14ac:dyDescent="0.25">
      <c r="J2" s="74" t="str">
        <f>Control!B14</f>
        <v>Not Started</v>
      </c>
      <c r="K2" s="75"/>
      <c r="L2" s="75"/>
      <c r="M2" s="74" t="str">
        <f>Control!B16</f>
        <v>England</v>
      </c>
      <c r="N2" s="75"/>
      <c r="O2" s="93"/>
      <c r="P2" s="74" t="str">
        <f>Control!B18</f>
        <v>League Two</v>
      </c>
      <c r="Q2" s="75"/>
      <c r="R2" s="75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0:48" ht="15" customHeight="1" x14ac:dyDescent="0.25">
      <c r="J3" s="50">
        <f>Control!C20</f>
        <v>16</v>
      </c>
      <c r="K3" s="138" t="str">
        <f>Control!B20</f>
        <v>Accrington ST</v>
      </c>
      <c r="L3" s="134"/>
      <c r="M3" s="134"/>
      <c r="N3" s="51" t="s">
        <v>189</v>
      </c>
      <c r="O3" s="134" t="str">
        <f>Control!B22</f>
        <v>Fleetwood Town</v>
      </c>
      <c r="P3" s="134"/>
      <c r="Q3" s="135"/>
      <c r="R3" s="53">
        <f>Control!C22</f>
        <v>14</v>
      </c>
      <c r="T3" s="88" t="s">
        <v>191</v>
      </c>
      <c r="U3" s="88" t="s">
        <v>192</v>
      </c>
      <c r="V3" s="88"/>
      <c r="W3" s="88" t="s">
        <v>169</v>
      </c>
      <c r="X3" s="88"/>
      <c r="Y3" s="88"/>
      <c r="Z3" s="88" t="s">
        <v>189</v>
      </c>
      <c r="AA3" s="88" t="s">
        <v>170</v>
      </c>
      <c r="AB3" s="88"/>
      <c r="AC3" s="88"/>
      <c r="AD3" s="122" t="s">
        <v>193</v>
      </c>
      <c r="AE3" s="122" t="s">
        <v>194</v>
      </c>
      <c r="AF3" s="128" t="s">
        <v>195</v>
      </c>
      <c r="AH3" s="68" t="s">
        <v>199</v>
      </c>
      <c r="AI3" s="68" t="s">
        <v>200</v>
      </c>
      <c r="AJ3" s="68" t="s">
        <v>201</v>
      </c>
      <c r="AK3" s="68" t="s">
        <v>184</v>
      </c>
      <c r="AL3" s="68" t="s">
        <v>185</v>
      </c>
      <c r="AM3" s="68" t="s">
        <v>186</v>
      </c>
      <c r="AN3" s="68" t="s">
        <v>216</v>
      </c>
      <c r="AO3" s="77" t="s">
        <v>217</v>
      </c>
      <c r="AP3" s="68" t="s">
        <v>202</v>
      </c>
      <c r="AQ3" s="68" t="s">
        <v>203</v>
      </c>
      <c r="AR3" s="68" t="s">
        <v>198</v>
      </c>
      <c r="AS3" s="68"/>
      <c r="AT3" s="68"/>
      <c r="AU3" s="68"/>
      <c r="AV3" s="68"/>
    </row>
    <row r="4" spans="10:48" ht="15" customHeight="1" x14ac:dyDescent="0.25">
      <c r="J4" s="50"/>
      <c r="K4" s="139"/>
      <c r="L4" s="136"/>
      <c r="M4" s="136"/>
      <c r="N4" s="52"/>
      <c r="O4" s="136"/>
      <c r="P4" s="136"/>
      <c r="Q4" s="137"/>
      <c r="R4" s="53"/>
      <c r="T4" s="88"/>
      <c r="U4" s="88"/>
      <c r="V4" s="88"/>
      <c r="W4" s="88"/>
      <c r="X4" s="88"/>
      <c r="Y4" s="88"/>
      <c r="Z4" s="88"/>
      <c r="AA4" s="88"/>
      <c r="AB4" s="88"/>
      <c r="AC4" s="88"/>
      <c r="AD4" s="123"/>
      <c r="AE4" s="123"/>
      <c r="AF4" s="128"/>
      <c r="AH4" s="68"/>
      <c r="AI4" s="68"/>
      <c r="AJ4" s="68"/>
      <c r="AK4" s="68"/>
      <c r="AL4" s="68"/>
      <c r="AM4" s="68"/>
      <c r="AN4" s="68"/>
      <c r="AO4" s="78"/>
      <c r="AP4" s="68"/>
      <c r="AQ4" s="68"/>
      <c r="AR4" s="68"/>
      <c r="AS4" s="68"/>
      <c r="AT4" s="68"/>
      <c r="AU4" s="68"/>
      <c r="AV4" s="68"/>
    </row>
    <row r="5" spans="10:48" ht="15" customHeight="1" x14ac:dyDescent="0.25">
      <c r="J5" s="35"/>
      <c r="K5" s="36"/>
      <c r="L5" s="36"/>
      <c r="M5" s="36"/>
      <c r="N5" s="37"/>
      <c r="O5" s="36"/>
      <c r="P5" s="36"/>
      <c r="Q5" s="36"/>
      <c r="R5" s="35"/>
      <c r="T5" s="5" t="str">
        <f>Control!R2</f>
        <v>03/04/2026 15:00</v>
      </c>
      <c r="U5" s="54" t="str">
        <f>Control!T2</f>
        <v>League Two</v>
      </c>
      <c r="V5" s="56"/>
      <c r="W5" s="54" t="str">
        <f>Control!V2</f>
        <v>Accrington ST</v>
      </c>
      <c r="X5" s="55"/>
      <c r="Y5" s="56"/>
      <c r="Z5" s="83"/>
      <c r="AA5" s="54" t="str">
        <f>Control!X2</f>
        <v>Crewe</v>
      </c>
      <c r="AB5" s="55"/>
      <c r="AC5" s="56"/>
      <c r="AD5" s="5" t="str">
        <f>Control!BR2</f>
        <v>0 : 0</v>
      </c>
      <c r="AE5" s="5" t="str">
        <f>Control!BS2</f>
        <v>2 : 0</v>
      </c>
      <c r="AF5" s="5" t="str">
        <f>Control!BT2</f>
        <v>4 : 7</v>
      </c>
      <c r="AH5" s="10">
        <f>Control!BV2</f>
        <v>1</v>
      </c>
      <c r="AI5" s="10" t="str">
        <f>Control!BW2</f>
        <v>Bromley</v>
      </c>
      <c r="AJ5" s="10">
        <f>Control!BX2</f>
        <v>42</v>
      </c>
      <c r="AK5" s="10">
        <f>Control!BY2</f>
        <v>23</v>
      </c>
      <c r="AL5" s="10">
        <f>Control!BZ2</f>
        <v>14</v>
      </c>
      <c r="AM5" s="10">
        <f>Control!CA2</f>
        <v>5</v>
      </c>
      <c r="AN5" s="10">
        <f>Control!CB2</f>
        <v>67</v>
      </c>
      <c r="AO5" s="10">
        <f>Control!CC2</f>
        <v>41</v>
      </c>
      <c r="AP5" s="10">
        <f>Control!CD2</f>
        <v>26</v>
      </c>
      <c r="AQ5" s="10">
        <f>Control!CE2</f>
        <v>83</v>
      </c>
      <c r="AR5" s="10" t="str">
        <f>Control!CG2</f>
        <v>W</v>
      </c>
      <c r="AS5" s="10" t="str">
        <f>Control!CH2</f>
        <v>D</v>
      </c>
      <c r="AT5" s="10" t="str">
        <f>Control!CI2</f>
        <v>L</v>
      </c>
      <c r="AU5" s="10" t="str">
        <f>Control!CJ2</f>
        <v>W</v>
      </c>
      <c r="AV5" s="10" t="str">
        <f>Control!CK2</f>
        <v>W</v>
      </c>
    </row>
    <row r="6" spans="10:48" x14ac:dyDescent="0.25">
      <c r="J6" s="38"/>
      <c r="K6" s="38"/>
      <c r="L6" s="38"/>
      <c r="M6" s="38"/>
      <c r="N6" s="38"/>
      <c r="O6" s="38"/>
      <c r="P6" s="38"/>
      <c r="Q6" s="38"/>
      <c r="R6" s="38"/>
      <c r="T6" s="5" t="str">
        <f>Control!R3</f>
        <v>21/03/2026 15:00</v>
      </c>
      <c r="U6" s="54" t="str">
        <f>Control!T3</f>
        <v>League Two</v>
      </c>
      <c r="V6" s="56"/>
      <c r="W6" s="54" t="str">
        <f>Control!V3</f>
        <v>Accrington ST</v>
      </c>
      <c r="X6" s="55"/>
      <c r="Y6" s="56"/>
      <c r="Z6" s="84"/>
      <c r="AA6" s="54" t="str">
        <f>Control!X3</f>
        <v>Chesterfield</v>
      </c>
      <c r="AB6" s="55"/>
      <c r="AC6" s="56"/>
      <c r="AD6" s="5" t="str">
        <f>Control!BR3</f>
        <v>0 : 0</v>
      </c>
      <c r="AE6" s="5" t="str">
        <f>Control!BS3</f>
        <v>0 : 1</v>
      </c>
      <c r="AF6" s="5" t="str">
        <f>Control!BT3</f>
        <v>4 : 7</v>
      </c>
      <c r="AH6" s="10">
        <f>Control!BV3</f>
        <v>2</v>
      </c>
      <c r="AI6" s="10" t="str">
        <f>Control!BW3</f>
        <v>Milton Keynes Dons</v>
      </c>
      <c r="AJ6" s="10">
        <f>Control!BX3</f>
        <v>42</v>
      </c>
      <c r="AK6" s="10">
        <f>Control!BY3</f>
        <v>21</v>
      </c>
      <c r="AL6" s="10">
        <f>Control!BZ3</f>
        <v>13</v>
      </c>
      <c r="AM6" s="10">
        <f>Control!CA3</f>
        <v>8</v>
      </c>
      <c r="AN6" s="10">
        <f>Control!CB3</f>
        <v>77</v>
      </c>
      <c r="AO6" s="10">
        <f>Control!CC3</f>
        <v>42</v>
      </c>
      <c r="AP6" s="10">
        <f>Control!CD3</f>
        <v>35</v>
      </c>
      <c r="AQ6" s="10">
        <f>Control!CE3</f>
        <v>76</v>
      </c>
      <c r="AR6" s="10" t="str">
        <f>Control!CG3</f>
        <v>D</v>
      </c>
      <c r="AS6" s="10" t="str">
        <f>Control!CH3</f>
        <v>D</v>
      </c>
      <c r="AT6" s="10" t="str">
        <f>Control!CI3</f>
        <v>L</v>
      </c>
      <c r="AU6" s="10" t="str">
        <f>Control!CJ3</f>
        <v>L</v>
      </c>
      <c r="AV6" s="10" t="str">
        <f>Control!CK3</f>
        <v>W</v>
      </c>
    </row>
    <row r="7" spans="10:48" x14ac:dyDescent="0.25">
      <c r="J7" s="86" t="s">
        <v>171</v>
      </c>
      <c r="K7" s="86"/>
      <c r="L7" s="86"/>
      <c r="M7" s="86"/>
      <c r="N7" s="32"/>
      <c r="O7" s="86" t="s">
        <v>246</v>
      </c>
      <c r="P7" s="86"/>
      <c r="Q7" s="86"/>
      <c r="R7" s="86"/>
      <c r="T7" s="5" t="str">
        <f>Control!R4</f>
        <v>17/03/2026 19:45</v>
      </c>
      <c r="U7" s="54" t="str">
        <f>Control!T4</f>
        <v>League Two</v>
      </c>
      <c r="V7" s="56"/>
      <c r="W7" s="54" t="str">
        <f>Control!V4</f>
        <v>Accrington ST</v>
      </c>
      <c r="X7" s="55"/>
      <c r="Y7" s="56"/>
      <c r="Z7" s="84"/>
      <c r="AA7" s="54" t="str">
        <f>Control!X4</f>
        <v>Notts County</v>
      </c>
      <c r="AB7" s="55"/>
      <c r="AC7" s="56"/>
      <c r="AD7" s="5" t="str">
        <f>Control!BR4</f>
        <v>0 : 2</v>
      </c>
      <c r="AE7" s="5" t="str">
        <f>Control!BS4</f>
        <v>0 : 4</v>
      </c>
      <c r="AF7" s="5" t="str">
        <f>Control!BT4</f>
        <v>3 : 12</v>
      </c>
      <c r="AH7" s="10">
        <f>Control!BV4</f>
        <v>3</v>
      </c>
      <c r="AI7" s="10" t="str">
        <f>Control!BW4</f>
        <v>Notts County</v>
      </c>
      <c r="AJ7" s="10">
        <f>Control!BX4</f>
        <v>42</v>
      </c>
      <c r="AK7" s="10">
        <f>Control!BY4</f>
        <v>23</v>
      </c>
      <c r="AL7" s="10">
        <f>Control!BZ4</f>
        <v>7</v>
      </c>
      <c r="AM7" s="10">
        <f>Control!CA4</f>
        <v>12</v>
      </c>
      <c r="AN7" s="10">
        <f>Control!CB4</f>
        <v>71</v>
      </c>
      <c r="AO7" s="10">
        <f>Control!CC4</f>
        <v>45</v>
      </c>
      <c r="AP7" s="10">
        <f>Control!CD4</f>
        <v>26</v>
      </c>
      <c r="AQ7" s="10">
        <f>Control!CE4</f>
        <v>76</v>
      </c>
      <c r="AR7" s="10" t="str">
        <f>Control!CG4</f>
        <v>W</v>
      </c>
      <c r="AS7" s="10" t="str">
        <f>Control!CH4</f>
        <v>L</v>
      </c>
      <c r="AT7" s="10" t="str">
        <f>Control!CI4</f>
        <v>W</v>
      </c>
      <c r="AU7" s="10" t="str">
        <f>Control!CJ4</f>
        <v>L</v>
      </c>
      <c r="AV7" s="10" t="str">
        <f>Control!CK4</f>
        <v>W</v>
      </c>
    </row>
    <row r="8" spans="10:48" x14ac:dyDescent="0.25">
      <c r="J8" s="86"/>
      <c r="K8" s="86"/>
      <c r="L8" s="86"/>
      <c r="M8" s="86"/>
      <c r="N8" s="32"/>
      <c r="O8" s="86"/>
      <c r="P8" s="86"/>
      <c r="Q8" s="86"/>
      <c r="R8" s="86"/>
      <c r="T8" s="5" t="str">
        <f>Control!R5</f>
        <v>07/03/2026 15:00</v>
      </c>
      <c r="U8" s="54" t="str">
        <f>Control!T5</f>
        <v>League Two</v>
      </c>
      <c r="V8" s="56"/>
      <c r="W8" s="54" t="str">
        <f>Control!V5</f>
        <v>Accrington ST</v>
      </c>
      <c r="X8" s="55"/>
      <c r="Y8" s="56"/>
      <c r="Z8" s="84"/>
      <c r="AA8" s="54" t="str">
        <f>Control!X5</f>
        <v>Cambridge United</v>
      </c>
      <c r="AB8" s="55"/>
      <c r="AC8" s="56"/>
      <c r="AD8" s="5" t="str">
        <f>Control!BR5</f>
        <v>1 : 0</v>
      </c>
      <c r="AE8" s="5" t="str">
        <f>Control!BS5</f>
        <v>1 : 1</v>
      </c>
      <c r="AF8" s="5" t="str">
        <f>Control!BT5</f>
        <v>0 : 12</v>
      </c>
      <c r="AH8" s="10">
        <f>Control!BV5</f>
        <v>4</v>
      </c>
      <c r="AI8" s="10" t="str">
        <f>Control!BW5</f>
        <v>Swindon Town</v>
      </c>
      <c r="AJ8" s="10">
        <f>Control!BX5</f>
        <v>43</v>
      </c>
      <c r="AK8" s="10">
        <f>Control!BY5</f>
        <v>22</v>
      </c>
      <c r="AL8" s="10">
        <f>Control!BZ5</f>
        <v>9</v>
      </c>
      <c r="AM8" s="10">
        <f>Control!CA5</f>
        <v>12</v>
      </c>
      <c r="AN8" s="10">
        <f>Control!CB5</f>
        <v>67</v>
      </c>
      <c r="AO8" s="10">
        <f>Control!CC5</f>
        <v>48</v>
      </c>
      <c r="AP8" s="10">
        <f>Control!CD5</f>
        <v>19</v>
      </c>
      <c r="AQ8" s="10">
        <f>Control!CE5</f>
        <v>75</v>
      </c>
      <c r="AR8" s="10" t="str">
        <f>Control!CG5</f>
        <v>W</v>
      </c>
      <c r="AS8" s="10" t="str">
        <f>Control!CH5</f>
        <v>D</v>
      </c>
      <c r="AT8" s="10" t="str">
        <f>Control!CI5</f>
        <v>D</v>
      </c>
      <c r="AU8" s="10" t="str">
        <f>Control!CJ5</f>
        <v>W</v>
      </c>
      <c r="AV8" s="10" t="str">
        <f>Control!CK5</f>
        <v>W</v>
      </c>
    </row>
    <row r="9" spans="10:48" x14ac:dyDescent="0.25">
      <c r="J9" s="63" t="s">
        <v>172</v>
      </c>
      <c r="K9" s="63"/>
      <c r="L9" s="94">
        <f ca="1">IFERROR(IF(Control!CM2="","",Control!CM2),"")</f>
        <v>0.7</v>
      </c>
      <c r="M9" s="94"/>
      <c r="N9" s="32"/>
      <c r="O9" s="63" t="s">
        <v>182</v>
      </c>
      <c r="P9" s="63"/>
      <c r="Q9" s="95">
        <f>IF(Control!CP8="","",ROUND(Control!CP8,2))</f>
        <v>0.8</v>
      </c>
      <c r="R9" s="95"/>
      <c r="T9" s="5" t="str">
        <f>Control!R6</f>
        <v>24/02/2026 19:45</v>
      </c>
      <c r="U9" s="54" t="str">
        <f>Control!T6</f>
        <v>League Two</v>
      </c>
      <c r="V9" s="56"/>
      <c r="W9" s="54" t="str">
        <f>Control!V6</f>
        <v>Accrington ST</v>
      </c>
      <c r="X9" s="55"/>
      <c r="Y9" s="56"/>
      <c r="Z9" s="84"/>
      <c r="AA9" s="54" t="str">
        <f>Control!X6</f>
        <v>Barnet</v>
      </c>
      <c r="AB9" s="55"/>
      <c r="AC9" s="56"/>
      <c r="AD9" s="5" t="str">
        <f>Control!BR6</f>
        <v>0 : 0</v>
      </c>
      <c r="AE9" s="5" t="str">
        <f>Control!BS6</f>
        <v>0 : 1</v>
      </c>
      <c r="AF9" s="5" t="str">
        <f>Control!BT6</f>
        <v>2 : 3</v>
      </c>
      <c r="AH9" s="10">
        <f>Control!BV6</f>
        <v>5</v>
      </c>
      <c r="AI9" s="10" t="str">
        <f>Control!BW6</f>
        <v>Cambridge United</v>
      </c>
      <c r="AJ9" s="10">
        <f>Control!BX6</f>
        <v>41</v>
      </c>
      <c r="AK9" s="10">
        <f>Control!BY6</f>
        <v>20</v>
      </c>
      <c r="AL9" s="10">
        <f>Control!BZ6</f>
        <v>14</v>
      </c>
      <c r="AM9" s="10">
        <f>Control!CA6</f>
        <v>7</v>
      </c>
      <c r="AN9" s="10">
        <f>Control!CB6</f>
        <v>58</v>
      </c>
      <c r="AO9" s="10">
        <f>Control!CC6</f>
        <v>31</v>
      </c>
      <c r="AP9" s="10">
        <f>Control!CD6</f>
        <v>27</v>
      </c>
      <c r="AQ9" s="10">
        <f>Control!CE6</f>
        <v>74</v>
      </c>
      <c r="AR9" s="10" t="str">
        <f>Control!CG6</f>
        <v>D</v>
      </c>
      <c r="AS9" s="10" t="str">
        <f>Control!CH6</f>
        <v>D</v>
      </c>
      <c r="AT9" s="10" t="str">
        <f>Control!CI6</f>
        <v>L</v>
      </c>
      <c r="AU9" s="10" t="str">
        <f>Control!CJ6</f>
        <v>W</v>
      </c>
      <c r="AV9" s="10" t="str">
        <f>Control!CK6</f>
        <v>D</v>
      </c>
    </row>
    <row r="10" spans="10:48" x14ac:dyDescent="0.25">
      <c r="J10" s="63"/>
      <c r="K10" s="63"/>
      <c r="L10" s="94"/>
      <c r="M10" s="94"/>
      <c r="N10" s="32"/>
      <c r="O10" s="63"/>
      <c r="P10" s="63"/>
      <c r="Q10" s="95"/>
      <c r="R10" s="95"/>
      <c r="T10" s="5" t="str">
        <f>Control!R7</f>
        <v>21/02/2026 15:00</v>
      </c>
      <c r="U10" s="54" t="str">
        <f>Control!T7</f>
        <v>League Two</v>
      </c>
      <c r="V10" s="56"/>
      <c r="W10" s="54" t="str">
        <f>Control!V7</f>
        <v>Accrington ST</v>
      </c>
      <c r="X10" s="55"/>
      <c r="Y10" s="56"/>
      <c r="Z10" s="84"/>
      <c r="AA10" s="54" t="str">
        <f>Control!X7</f>
        <v>Shrewsbury</v>
      </c>
      <c r="AB10" s="55"/>
      <c r="AC10" s="56"/>
      <c r="AD10" s="5" t="str">
        <f>Control!BR7</f>
        <v>0 : 1</v>
      </c>
      <c r="AE10" s="5" t="str">
        <f>Control!BS7</f>
        <v>0 : 2</v>
      </c>
      <c r="AF10" s="5" t="str">
        <f>Control!BT7</f>
        <v>6 : 3</v>
      </c>
      <c r="AH10" s="10">
        <f>Control!BV7</f>
        <v>6</v>
      </c>
      <c r="AI10" s="10" t="str">
        <f>Control!BW7</f>
        <v>Salford City</v>
      </c>
      <c r="AJ10" s="10">
        <f>Control!BX7</f>
        <v>42</v>
      </c>
      <c r="AK10" s="10">
        <f>Control!BY7</f>
        <v>23</v>
      </c>
      <c r="AL10" s="10">
        <f>Control!BZ7</f>
        <v>4</v>
      </c>
      <c r="AM10" s="10">
        <f>Control!CA7</f>
        <v>15</v>
      </c>
      <c r="AN10" s="10">
        <f>Control!CB7</f>
        <v>57</v>
      </c>
      <c r="AO10" s="10">
        <f>Control!CC7</f>
        <v>50</v>
      </c>
      <c r="AP10" s="10">
        <f>Control!CD7</f>
        <v>7</v>
      </c>
      <c r="AQ10" s="10">
        <f>Control!CE7</f>
        <v>73</v>
      </c>
      <c r="AR10" s="10" t="str">
        <f>Control!CG7</f>
        <v>L</v>
      </c>
      <c r="AS10" s="10" t="str">
        <f>Control!CH7</f>
        <v>W</v>
      </c>
      <c r="AT10" s="10" t="str">
        <f>Control!CI7</f>
        <v>W</v>
      </c>
      <c r="AU10" s="10" t="str">
        <f>Control!CJ7</f>
        <v>L</v>
      </c>
      <c r="AV10" s="10" t="str">
        <f>Control!CK7</f>
        <v>W</v>
      </c>
    </row>
    <row r="11" spans="10:48" x14ac:dyDescent="0.25">
      <c r="J11" s="63" t="s">
        <v>173</v>
      </c>
      <c r="K11" s="63"/>
      <c r="L11" s="89">
        <f ca="1">IFERROR(IF(Control!CM5="","",Control!CM5),"")</f>
        <v>0.2</v>
      </c>
      <c r="M11" s="89"/>
      <c r="N11" s="32"/>
      <c r="O11" s="63" t="s">
        <v>183</v>
      </c>
      <c r="P11" s="63"/>
      <c r="Q11" s="95">
        <f>IF(Control!CP11="","",ROUND(Control!CP11,2))</f>
        <v>0.9</v>
      </c>
      <c r="R11" s="95"/>
      <c r="T11" s="5" t="str">
        <f>Control!R8</f>
        <v>05/02/2026 20:01</v>
      </c>
      <c r="U11" s="54" t="str">
        <f>Control!T8</f>
        <v>League Two</v>
      </c>
      <c r="V11" s="56"/>
      <c r="W11" s="54" t="str">
        <f>Control!V8</f>
        <v>Accrington ST</v>
      </c>
      <c r="X11" s="55"/>
      <c r="Y11" s="56"/>
      <c r="Z11" s="84"/>
      <c r="AA11" s="54" t="str">
        <f>Control!X8</f>
        <v>Salford City</v>
      </c>
      <c r="AB11" s="55"/>
      <c r="AC11" s="56"/>
      <c r="AD11" s="5" t="str">
        <f>Control!BR8</f>
        <v>1 : 0</v>
      </c>
      <c r="AE11" s="5" t="str">
        <f>Control!BS8</f>
        <v>1 : 0</v>
      </c>
      <c r="AF11" s="5" t="str">
        <f>Control!BT8</f>
        <v>2 : 5</v>
      </c>
      <c r="AH11" s="10">
        <f>Control!BV8</f>
        <v>7</v>
      </c>
      <c r="AI11" s="10" t="str">
        <f>Control!BW8</f>
        <v>Chesterfield</v>
      </c>
      <c r="AJ11" s="10">
        <f>Control!BX8</f>
        <v>41</v>
      </c>
      <c r="AK11" s="10">
        <f>Control!BY8</f>
        <v>18</v>
      </c>
      <c r="AL11" s="10">
        <f>Control!BZ8</f>
        <v>14</v>
      </c>
      <c r="AM11" s="10">
        <f>Control!CA8</f>
        <v>9</v>
      </c>
      <c r="AN11" s="10">
        <f>Control!CB8</f>
        <v>63</v>
      </c>
      <c r="AO11" s="10">
        <f>Control!CC8</f>
        <v>52</v>
      </c>
      <c r="AP11" s="10">
        <f>Control!CD8</f>
        <v>11</v>
      </c>
      <c r="AQ11" s="10">
        <f>Control!CE8</f>
        <v>68</v>
      </c>
      <c r="AR11" s="10" t="str">
        <f>Control!CG8</f>
        <v>W</v>
      </c>
      <c r="AS11" s="10" t="str">
        <f>Control!CH8</f>
        <v>W</v>
      </c>
      <c r="AT11" s="10" t="str">
        <f>Control!CI8</f>
        <v>W</v>
      </c>
      <c r="AU11" s="10" t="str">
        <f>Control!CJ8</f>
        <v>L</v>
      </c>
      <c r="AV11" s="10" t="str">
        <f>Control!CK8</f>
        <v>W</v>
      </c>
    </row>
    <row r="12" spans="10:48" ht="15" customHeight="1" x14ac:dyDescent="0.25">
      <c r="J12" s="63"/>
      <c r="K12" s="63"/>
      <c r="L12" s="89"/>
      <c r="M12" s="89"/>
      <c r="N12" s="32"/>
      <c r="O12" s="63"/>
      <c r="P12" s="63"/>
      <c r="Q12" s="95"/>
      <c r="R12" s="95"/>
      <c r="T12" s="5" t="str">
        <f>Control!R9</f>
        <v>31/01/2026 15:00</v>
      </c>
      <c r="U12" s="54" t="str">
        <f>Control!T9</f>
        <v>League Two</v>
      </c>
      <c r="V12" s="56"/>
      <c r="W12" s="54" t="str">
        <f>Control!V9</f>
        <v>Accrington ST</v>
      </c>
      <c r="X12" s="55"/>
      <c r="Y12" s="56"/>
      <c r="Z12" s="84"/>
      <c r="AA12" s="54" t="str">
        <f>Control!X9</f>
        <v>Cheltenham</v>
      </c>
      <c r="AB12" s="55"/>
      <c r="AC12" s="56"/>
      <c r="AD12" s="5" t="str">
        <f>Control!BR9</f>
        <v>2 : 0</v>
      </c>
      <c r="AE12" s="5" t="str">
        <f>Control!BS9</f>
        <v>3 : 1</v>
      </c>
      <c r="AF12" s="5" t="str">
        <f>Control!BT9</f>
        <v>10 : 8</v>
      </c>
      <c r="AH12" s="10">
        <f>Control!BV9</f>
        <v>8</v>
      </c>
      <c r="AI12" s="10" t="str">
        <f>Control!BW9</f>
        <v>Crewe</v>
      </c>
      <c r="AJ12" s="10">
        <f>Control!BX9</f>
        <v>42</v>
      </c>
      <c r="AK12" s="10">
        <f>Control!BY9</f>
        <v>19</v>
      </c>
      <c r="AL12" s="10">
        <f>Control!BZ9</f>
        <v>9</v>
      </c>
      <c r="AM12" s="10">
        <f>Control!CA9</f>
        <v>14</v>
      </c>
      <c r="AN12" s="10">
        <f>Control!CB9</f>
        <v>61</v>
      </c>
      <c r="AO12" s="10">
        <f>Control!CC9</f>
        <v>50</v>
      </c>
      <c r="AP12" s="10">
        <f>Control!CD9</f>
        <v>11</v>
      </c>
      <c r="AQ12" s="10">
        <f>Control!CE9</f>
        <v>66</v>
      </c>
      <c r="AR12" s="10" t="str">
        <f>Control!CG9</f>
        <v>W</v>
      </c>
      <c r="AS12" s="10" t="str">
        <f>Control!CH9</f>
        <v>L</v>
      </c>
      <c r="AT12" s="10" t="str">
        <f>Control!CI9</f>
        <v>W</v>
      </c>
      <c r="AU12" s="10" t="str">
        <f>Control!CJ9</f>
        <v>W</v>
      </c>
      <c r="AV12" s="10" t="str">
        <f>Control!CK9</f>
        <v>D</v>
      </c>
    </row>
    <row r="13" spans="10:48" x14ac:dyDescent="0.25">
      <c r="J13" s="32"/>
      <c r="K13" s="32"/>
      <c r="L13" s="32"/>
      <c r="M13" s="32"/>
      <c r="N13" s="32"/>
      <c r="O13" s="32"/>
      <c r="P13" s="32"/>
      <c r="Q13" s="32"/>
      <c r="R13" s="32"/>
      <c r="T13" s="5" t="str">
        <f>Control!R10</f>
        <v>17/01/2026 15:00</v>
      </c>
      <c r="U13" s="54" t="str">
        <f>Control!T10</f>
        <v>League Two</v>
      </c>
      <c r="V13" s="56"/>
      <c r="W13" s="54" t="str">
        <f>Control!V10</f>
        <v>Accrington ST</v>
      </c>
      <c r="X13" s="55"/>
      <c r="Y13" s="56"/>
      <c r="Z13" s="84"/>
      <c r="AA13" s="54" t="str">
        <f>Control!X10</f>
        <v>Milton Keynes Dons</v>
      </c>
      <c r="AB13" s="55"/>
      <c r="AC13" s="56"/>
      <c r="AD13" s="5" t="str">
        <f>Control!BR10</f>
        <v>0 : 2</v>
      </c>
      <c r="AE13" s="5" t="str">
        <f>Control!BS10</f>
        <v>0 : 2</v>
      </c>
      <c r="AF13" s="5" t="str">
        <f>Control!BT10</f>
        <v>2 : 3</v>
      </c>
      <c r="AH13" s="10">
        <f>Control!BV10</f>
        <v>9</v>
      </c>
      <c r="AI13" s="10" t="str">
        <f>Control!BW10</f>
        <v>Oldham</v>
      </c>
      <c r="AJ13" s="10">
        <f>Control!BX10</f>
        <v>41</v>
      </c>
      <c r="AK13" s="10">
        <f>Control!BY10</f>
        <v>17</v>
      </c>
      <c r="AL13" s="10">
        <f>Control!BZ10</f>
        <v>14</v>
      </c>
      <c r="AM13" s="10">
        <f>Control!CA10</f>
        <v>10</v>
      </c>
      <c r="AN13" s="10">
        <f>Control!CB10</f>
        <v>52</v>
      </c>
      <c r="AO13" s="10">
        <f>Control!CC10</f>
        <v>35</v>
      </c>
      <c r="AP13" s="10">
        <f>Control!CD10</f>
        <v>17</v>
      </c>
      <c r="AQ13" s="10">
        <f>Control!CE10</f>
        <v>65</v>
      </c>
      <c r="AR13" s="10" t="str">
        <f>Control!CG10</f>
        <v>D</v>
      </c>
      <c r="AS13" s="10" t="str">
        <f>Control!CH10</f>
        <v>W</v>
      </c>
      <c r="AT13" s="10" t="str">
        <f>Control!CI10</f>
        <v>L</v>
      </c>
      <c r="AU13" s="10" t="str">
        <f>Control!CJ10</f>
        <v>W</v>
      </c>
      <c r="AV13" s="10" t="str">
        <f>Control!CK10</f>
        <v>W</v>
      </c>
    </row>
    <row r="14" spans="10:48" x14ac:dyDescent="0.25">
      <c r="J14" s="86" t="s">
        <v>174</v>
      </c>
      <c r="K14" s="86"/>
      <c r="L14" s="86"/>
      <c r="M14" s="86"/>
      <c r="N14" s="32"/>
      <c r="O14" s="86" t="s">
        <v>245</v>
      </c>
      <c r="P14" s="86"/>
      <c r="Q14" s="86"/>
      <c r="R14" s="86"/>
      <c r="T14" s="5" t="str">
        <f>Control!R11</f>
        <v>29/12/2025 19:45</v>
      </c>
      <c r="U14" s="54" t="str">
        <f>Control!T11</f>
        <v>League Two</v>
      </c>
      <c r="V14" s="56"/>
      <c r="W14" s="54" t="str">
        <f>Control!V11</f>
        <v>Accrington ST</v>
      </c>
      <c r="X14" s="55"/>
      <c r="Y14" s="56"/>
      <c r="Z14" s="85"/>
      <c r="AA14" s="54" t="str">
        <f>Control!X11</f>
        <v>Harrogate Town</v>
      </c>
      <c r="AB14" s="55"/>
      <c r="AC14" s="56"/>
      <c r="AD14" s="5" t="str">
        <f>Control!BR11</f>
        <v>1 : 0</v>
      </c>
      <c r="AE14" s="5" t="str">
        <f>Control!BS11</f>
        <v>1 : 0</v>
      </c>
      <c r="AF14" s="5" t="str">
        <f>Control!BT11</f>
        <v>8 : 3</v>
      </c>
      <c r="AH14" s="10">
        <f>Control!BV11</f>
        <v>10</v>
      </c>
      <c r="AI14" s="10" t="str">
        <f>Control!BW11</f>
        <v>Grimsby</v>
      </c>
      <c r="AJ14" s="10">
        <f>Control!BX11</f>
        <v>40</v>
      </c>
      <c r="AK14" s="10">
        <f>Control!BY11</f>
        <v>18</v>
      </c>
      <c r="AL14" s="10">
        <f>Control!BZ11</f>
        <v>11</v>
      </c>
      <c r="AM14" s="10">
        <f>Control!CA11</f>
        <v>11</v>
      </c>
      <c r="AN14" s="10">
        <f>Control!CB11</f>
        <v>59</v>
      </c>
      <c r="AO14" s="10">
        <f>Control!CC11</f>
        <v>43</v>
      </c>
      <c r="AP14" s="10">
        <f>Control!CD11</f>
        <v>16</v>
      </c>
      <c r="AQ14" s="10">
        <f>Control!CE11</f>
        <v>65</v>
      </c>
      <c r="AR14" s="10" t="str">
        <f>Control!CG11</f>
        <v>W</v>
      </c>
      <c r="AS14" s="10" t="str">
        <f>Control!CH11</f>
        <v>L</v>
      </c>
      <c r="AT14" s="10" t="str">
        <f>Control!CI11</f>
        <v>W</v>
      </c>
      <c r="AU14" s="10" t="str">
        <f>Control!CJ11</f>
        <v>W</v>
      </c>
      <c r="AV14" s="10" t="str">
        <f>Control!CK11</f>
        <v>L</v>
      </c>
    </row>
    <row r="15" spans="10:48" x14ac:dyDescent="0.25">
      <c r="J15" s="86"/>
      <c r="K15" s="86"/>
      <c r="L15" s="86"/>
      <c r="M15" s="86"/>
      <c r="N15" s="32"/>
      <c r="O15" s="86"/>
      <c r="P15" s="86"/>
      <c r="Q15" s="86"/>
      <c r="R15" s="86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H15" s="10">
        <f>Control!BV12</f>
        <v>11</v>
      </c>
      <c r="AI15" s="10" t="str">
        <f>Control!BW12</f>
        <v>Barnet</v>
      </c>
      <c r="AJ15" s="10">
        <f>Control!BX12</f>
        <v>42</v>
      </c>
      <c r="AK15" s="10">
        <f>Control!BY12</f>
        <v>17</v>
      </c>
      <c r="AL15" s="10">
        <f>Control!BZ12</f>
        <v>13</v>
      </c>
      <c r="AM15" s="10">
        <f>Control!CA12</f>
        <v>12</v>
      </c>
      <c r="AN15" s="10">
        <f>Control!CB12</f>
        <v>57</v>
      </c>
      <c r="AO15" s="10">
        <f>Control!CC12</f>
        <v>47</v>
      </c>
      <c r="AP15" s="10">
        <f>Control!CD12</f>
        <v>10</v>
      </c>
      <c r="AQ15" s="10">
        <f>Control!CE12</f>
        <v>64</v>
      </c>
      <c r="AR15" s="10" t="str">
        <f>Control!CG12</f>
        <v>W</v>
      </c>
      <c r="AS15" s="10" t="str">
        <f>Control!CH12</f>
        <v>D</v>
      </c>
      <c r="AT15" s="10" t="str">
        <f>Control!CI12</f>
        <v>W</v>
      </c>
      <c r="AU15" s="10" t="str">
        <f>Control!CJ12</f>
        <v>W</v>
      </c>
      <c r="AV15" s="10" t="str">
        <f>Control!CK12</f>
        <v>D</v>
      </c>
    </row>
    <row r="16" spans="10:48" x14ac:dyDescent="0.25">
      <c r="J16" s="63" t="s">
        <v>173</v>
      </c>
      <c r="K16" s="63"/>
      <c r="L16" s="89">
        <f ca="1">IFERROR(IF(Control!CN2="","",Control!CN2),"")</f>
        <v>0.6</v>
      </c>
      <c r="M16" s="89"/>
      <c r="N16" s="32"/>
      <c r="O16" s="105" t="s">
        <v>247</v>
      </c>
      <c r="P16" s="105"/>
      <c r="Q16" s="64">
        <f>IF(Control!DD2="","",Control!DD2)</f>
        <v>0.8</v>
      </c>
      <c r="R16" s="64"/>
      <c r="T16" s="82" t="s">
        <v>190</v>
      </c>
      <c r="U16" s="82"/>
      <c r="V16" s="82"/>
      <c r="W16" s="82"/>
      <c r="X16" s="82"/>
      <c r="Y16" s="82"/>
      <c r="Z16" s="82"/>
      <c r="AA16" s="82"/>
      <c r="AB16" s="82"/>
      <c r="AC16" s="82"/>
      <c r="AD16" s="82"/>
      <c r="AE16" s="82"/>
      <c r="AF16" s="82"/>
      <c r="AH16" s="10">
        <f>Control!BV13</f>
        <v>12</v>
      </c>
      <c r="AI16" s="10" t="str">
        <f>Control!BW13</f>
        <v>Walsall</v>
      </c>
      <c r="AJ16" s="10">
        <f>Control!BX13</f>
        <v>42</v>
      </c>
      <c r="AK16" s="10">
        <f>Control!BY13</f>
        <v>17</v>
      </c>
      <c r="AL16" s="10">
        <f>Control!BZ13</f>
        <v>11</v>
      </c>
      <c r="AM16" s="10">
        <f>Control!CA13</f>
        <v>14</v>
      </c>
      <c r="AN16" s="10">
        <f>Control!CB13</f>
        <v>52</v>
      </c>
      <c r="AO16" s="10">
        <f>Control!CC13</f>
        <v>46</v>
      </c>
      <c r="AP16" s="10">
        <f>Control!CD13</f>
        <v>6</v>
      </c>
      <c r="AQ16" s="10">
        <f>Control!CE13</f>
        <v>62</v>
      </c>
      <c r="AR16" s="10" t="str">
        <f>Control!CG13</f>
        <v>L</v>
      </c>
      <c r="AS16" s="10" t="str">
        <f>Control!CH13</f>
        <v>D</v>
      </c>
      <c r="AT16" s="10" t="str">
        <f>Control!CI13</f>
        <v>D</v>
      </c>
      <c r="AU16" s="10" t="str">
        <f>Control!CJ13</f>
        <v>W</v>
      </c>
      <c r="AV16" s="10" t="str">
        <f>Control!CK13</f>
        <v>D</v>
      </c>
    </row>
    <row r="17" spans="10:48" x14ac:dyDescent="0.25">
      <c r="J17" s="63"/>
      <c r="K17" s="63"/>
      <c r="L17" s="89"/>
      <c r="M17" s="89"/>
      <c r="N17" s="32"/>
      <c r="O17" s="105"/>
      <c r="P17" s="105"/>
      <c r="Q17" s="64"/>
      <c r="R17" s="64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H17" s="10">
        <f>Control!BV14</f>
        <v>13</v>
      </c>
      <c r="AI17" s="10" t="str">
        <f>Control!BW14</f>
        <v>Colchester</v>
      </c>
      <c r="AJ17" s="10">
        <f>Control!BX14</f>
        <v>42</v>
      </c>
      <c r="AK17" s="10">
        <f>Control!BY14</f>
        <v>15</v>
      </c>
      <c r="AL17" s="10">
        <f>Control!BZ14</f>
        <v>13</v>
      </c>
      <c r="AM17" s="10">
        <f>Control!CA14</f>
        <v>14</v>
      </c>
      <c r="AN17" s="10">
        <f>Control!CB14</f>
        <v>53</v>
      </c>
      <c r="AO17" s="10">
        <f>Control!CC14</f>
        <v>45</v>
      </c>
      <c r="AP17" s="10">
        <f>Control!CD14</f>
        <v>8</v>
      </c>
      <c r="AQ17" s="10">
        <f>Control!CE14</f>
        <v>58</v>
      </c>
      <c r="AR17" s="10" t="str">
        <f>Control!CG14</f>
        <v>W</v>
      </c>
      <c r="AS17" s="10" t="str">
        <f>Control!CH14</f>
        <v>L</v>
      </c>
      <c r="AT17" s="10" t="str">
        <f>Control!CI14</f>
        <v>D</v>
      </c>
      <c r="AU17" s="10" t="str">
        <f>Control!CJ14</f>
        <v>L</v>
      </c>
      <c r="AV17" s="10" t="str">
        <f>Control!CK14</f>
        <v>L</v>
      </c>
    </row>
    <row r="18" spans="10:48" x14ac:dyDescent="0.25">
      <c r="J18" s="63" t="s">
        <v>175</v>
      </c>
      <c r="K18" s="63"/>
      <c r="L18" s="89">
        <f ca="1">IFERROR(IF(Control!CN5="","",Control!CN5),"")</f>
        <v>0.25</v>
      </c>
      <c r="M18" s="89"/>
      <c r="N18" s="32"/>
      <c r="O18" s="105" t="s">
        <v>248</v>
      </c>
      <c r="P18" s="105"/>
      <c r="Q18" s="64">
        <f>IF(Control!DD4="","",Control!DD4)</f>
        <v>0.8</v>
      </c>
      <c r="R18" s="64"/>
      <c r="T18" s="79" t="s">
        <v>191</v>
      </c>
      <c r="U18" s="79" t="s">
        <v>192</v>
      </c>
      <c r="V18" s="79"/>
      <c r="W18" s="79" t="s">
        <v>169</v>
      </c>
      <c r="X18" s="79"/>
      <c r="Y18" s="79"/>
      <c r="Z18" s="79" t="s">
        <v>189</v>
      </c>
      <c r="AA18" s="79" t="s">
        <v>170</v>
      </c>
      <c r="AB18" s="79"/>
      <c r="AC18" s="79"/>
      <c r="AD18" s="124" t="s">
        <v>193</v>
      </c>
      <c r="AE18" s="124" t="s">
        <v>194</v>
      </c>
      <c r="AF18" s="129" t="s">
        <v>195</v>
      </c>
      <c r="AH18" s="10">
        <f>Control!BV15</f>
        <v>14</v>
      </c>
      <c r="AI18" s="10" t="str">
        <f>Control!BW15</f>
        <v>Fleetwood Town</v>
      </c>
      <c r="AJ18" s="10">
        <f>Control!BX15</f>
        <v>42</v>
      </c>
      <c r="AK18" s="10">
        <f>Control!BY15</f>
        <v>14</v>
      </c>
      <c r="AL18" s="10">
        <f>Control!BZ15</f>
        <v>13</v>
      </c>
      <c r="AM18" s="10">
        <f>Control!CA15</f>
        <v>15</v>
      </c>
      <c r="AN18" s="10">
        <f>Control!CB15</f>
        <v>51</v>
      </c>
      <c r="AO18" s="10">
        <f>Control!CC15</f>
        <v>53</v>
      </c>
      <c r="AP18" s="10">
        <f>Control!CD15</f>
        <v>-2</v>
      </c>
      <c r="AQ18" s="10">
        <f>Control!CE15</f>
        <v>55</v>
      </c>
      <c r="AR18" s="10" t="str">
        <f>Control!CG15</f>
        <v>L</v>
      </c>
      <c r="AS18" s="10" t="str">
        <f>Control!CH15</f>
        <v>L</v>
      </c>
      <c r="AT18" s="10" t="str">
        <f>Control!CI15</f>
        <v>D</v>
      </c>
      <c r="AU18" s="10" t="str">
        <f>Control!CJ15</f>
        <v>W</v>
      </c>
      <c r="AV18" s="10" t="str">
        <f>Control!CK15</f>
        <v>L</v>
      </c>
    </row>
    <row r="19" spans="10:48" ht="15" customHeight="1" x14ac:dyDescent="0.25">
      <c r="J19" s="63"/>
      <c r="K19" s="63"/>
      <c r="L19" s="89"/>
      <c r="M19" s="89"/>
      <c r="N19" s="32"/>
      <c r="O19" s="105"/>
      <c r="P19" s="105"/>
      <c r="Q19" s="64"/>
      <c r="R19" s="64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125"/>
      <c r="AE19" s="125"/>
      <c r="AF19" s="129"/>
      <c r="AH19" s="10">
        <f>Control!BV16</f>
        <v>15</v>
      </c>
      <c r="AI19" s="10" t="str">
        <f>Control!BW16</f>
        <v>Bristol Rovers</v>
      </c>
      <c r="AJ19" s="10">
        <f>Control!BX16</f>
        <v>42</v>
      </c>
      <c r="AK19" s="10">
        <f>Control!BY16</f>
        <v>16</v>
      </c>
      <c r="AL19" s="10">
        <f>Control!BZ16</f>
        <v>4</v>
      </c>
      <c r="AM19" s="10">
        <f>Control!CA16</f>
        <v>22</v>
      </c>
      <c r="AN19" s="10">
        <f>Control!CB16</f>
        <v>46</v>
      </c>
      <c r="AO19" s="10">
        <f>Control!CC16</f>
        <v>62</v>
      </c>
      <c r="AP19" s="10">
        <f>Control!CD16</f>
        <v>-16</v>
      </c>
      <c r="AQ19" s="10">
        <f>Control!CE16</f>
        <v>52</v>
      </c>
      <c r="AR19" s="10" t="str">
        <f>Control!CG16</f>
        <v>W</v>
      </c>
      <c r="AS19" s="10" t="str">
        <f>Control!CH16</f>
        <v>W</v>
      </c>
      <c r="AT19" s="10" t="str">
        <f>Control!CI16</f>
        <v>W</v>
      </c>
      <c r="AU19" s="10" t="str">
        <f>Control!CJ16</f>
        <v>W</v>
      </c>
      <c r="AV19" s="10" t="str">
        <f>Control!CK16</f>
        <v>W</v>
      </c>
    </row>
    <row r="20" spans="10:48" x14ac:dyDescent="0.25">
      <c r="J20" s="63" t="s">
        <v>176</v>
      </c>
      <c r="K20" s="63"/>
      <c r="L20" s="89">
        <f ca="1">IFERROR(IF(Control!CN8="","",Control!CN8),"")</f>
        <v>0.15000000000000002</v>
      </c>
      <c r="M20" s="89"/>
      <c r="N20" s="32"/>
      <c r="O20" s="105" t="s">
        <v>249</v>
      </c>
      <c r="P20" s="105"/>
      <c r="Q20" s="64">
        <f>IF(Control!DD6="","",Control!DD6)</f>
        <v>1.4</v>
      </c>
      <c r="R20" s="64"/>
      <c r="T20" s="6" t="str">
        <f>Control!R16</f>
        <v>03/04/2026 15:00</v>
      </c>
      <c r="U20" s="60" t="str">
        <f>Control!T16</f>
        <v>League Two</v>
      </c>
      <c r="V20" s="62"/>
      <c r="W20" s="60" t="str">
        <f>Control!V16</f>
        <v>Bristol Rovers</v>
      </c>
      <c r="X20" s="61"/>
      <c r="Y20" s="62"/>
      <c r="Z20" s="57"/>
      <c r="AA20" s="60" t="str">
        <f>Control!X16</f>
        <v>Fleetwood Town</v>
      </c>
      <c r="AB20" s="61"/>
      <c r="AC20" s="62"/>
      <c r="AD20" s="6" t="str">
        <f>Control!BR16</f>
        <v>0 : 0</v>
      </c>
      <c r="AE20" s="6" t="str">
        <f>Control!BS16</f>
        <v>1 : 0</v>
      </c>
      <c r="AF20" s="6" t="str">
        <f>Control!BT16</f>
        <v>5 : 4</v>
      </c>
      <c r="AH20" s="10">
        <f>Control!BV17</f>
        <v>16</v>
      </c>
      <c r="AI20" s="10" t="str">
        <f>Control!BW17</f>
        <v>Accrington ST</v>
      </c>
      <c r="AJ20" s="10">
        <f>Control!BX17</f>
        <v>41</v>
      </c>
      <c r="AK20" s="10">
        <f>Control!BY17</f>
        <v>14</v>
      </c>
      <c r="AL20" s="10">
        <f>Control!BZ17</f>
        <v>9</v>
      </c>
      <c r="AM20" s="10">
        <f>Control!CA17</f>
        <v>18</v>
      </c>
      <c r="AN20" s="10">
        <f>Control!CB17</f>
        <v>40</v>
      </c>
      <c r="AO20" s="10">
        <f>Control!CC17</f>
        <v>46</v>
      </c>
      <c r="AP20" s="10">
        <f>Control!CD17</f>
        <v>-6</v>
      </c>
      <c r="AQ20" s="10">
        <f>Control!CE17</f>
        <v>51</v>
      </c>
      <c r="AR20" s="10" t="str">
        <f>Control!CG17</f>
        <v>L</v>
      </c>
      <c r="AS20" s="10" t="str">
        <f>Control!CH17</f>
        <v>W</v>
      </c>
      <c r="AT20" s="10" t="str">
        <f>Control!CI17</f>
        <v>L</v>
      </c>
      <c r="AU20" s="10" t="str">
        <f>Control!CJ17</f>
        <v>L</v>
      </c>
      <c r="AV20" s="10" t="str">
        <f>Control!CK17</f>
        <v>L</v>
      </c>
    </row>
    <row r="21" spans="10:48" x14ac:dyDescent="0.25">
      <c r="J21" s="63"/>
      <c r="K21" s="63"/>
      <c r="L21" s="89"/>
      <c r="M21" s="89"/>
      <c r="N21" s="32"/>
      <c r="O21" s="105"/>
      <c r="P21" s="105"/>
      <c r="Q21" s="64"/>
      <c r="R21" s="64"/>
      <c r="T21" s="6" t="str">
        <f>Control!R17</f>
        <v>28/03/2026 15:00</v>
      </c>
      <c r="U21" s="60" t="str">
        <f>Control!T17</f>
        <v>League Two</v>
      </c>
      <c r="V21" s="62"/>
      <c r="W21" s="60" t="str">
        <f>Control!V17</f>
        <v>Swindon Town</v>
      </c>
      <c r="X21" s="61"/>
      <c r="Y21" s="62"/>
      <c r="Z21" s="58"/>
      <c r="AA21" s="60" t="str">
        <f>Control!X17</f>
        <v>Fleetwood Town</v>
      </c>
      <c r="AB21" s="61"/>
      <c r="AC21" s="62"/>
      <c r="AD21" s="6" t="str">
        <f>Control!BR17</f>
        <v>1 : 0</v>
      </c>
      <c r="AE21" s="6" t="str">
        <f>Control!BS17</f>
        <v>1 : 1</v>
      </c>
      <c r="AF21" s="6" t="str">
        <f>Control!BT17</f>
        <v>6 : 9</v>
      </c>
      <c r="AH21" s="10">
        <f>Control!BV18</f>
        <v>17</v>
      </c>
      <c r="AI21" s="10" t="str">
        <f>Control!BW18</f>
        <v>Gillingham</v>
      </c>
      <c r="AJ21" s="10">
        <f>Control!BX18</f>
        <v>41</v>
      </c>
      <c r="AK21" s="10">
        <f>Control!BY18</f>
        <v>12</v>
      </c>
      <c r="AL21" s="10">
        <f>Control!BZ18</f>
        <v>13</v>
      </c>
      <c r="AM21" s="10">
        <f>Control!CA18</f>
        <v>16</v>
      </c>
      <c r="AN21" s="10">
        <f>Control!CB18</f>
        <v>48</v>
      </c>
      <c r="AO21" s="10">
        <f>Control!CC18</f>
        <v>60</v>
      </c>
      <c r="AP21" s="10">
        <f>Control!CD18</f>
        <v>-12</v>
      </c>
      <c r="AQ21" s="10">
        <f>Control!CE18</f>
        <v>49</v>
      </c>
      <c r="AR21" s="10" t="str">
        <f>Control!CG18</f>
        <v>W</v>
      </c>
      <c r="AS21" s="10" t="str">
        <f>Control!CH18</f>
        <v>D</v>
      </c>
      <c r="AT21" s="10" t="str">
        <f>Control!CI18</f>
        <v>L</v>
      </c>
      <c r="AU21" s="10" t="str">
        <f>Control!CJ18</f>
        <v>L</v>
      </c>
      <c r="AV21" s="10" t="str">
        <f>Control!CK18</f>
        <v>L</v>
      </c>
    </row>
    <row r="22" spans="10:48" x14ac:dyDescent="0.25">
      <c r="J22" s="63" t="s">
        <v>177</v>
      </c>
      <c r="K22" s="63"/>
      <c r="L22" s="89">
        <f ca="1">IFERROR(IF(Control!CN11="","",Control!CN11),"")</f>
        <v>0.4</v>
      </c>
      <c r="M22" s="89"/>
      <c r="N22" s="32"/>
      <c r="O22" s="105" t="s">
        <v>250</v>
      </c>
      <c r="P22" s="105"/>
      <c r="Q22" s="64">
        <f>IF(Control!DD8="","",Control!DD8)</f>
        <v>2.8</v>
      </c>
      <c r="R22" s="64"/>
      <c r="T22" s="6" t="str">
        <f>Control!R18</f>
        <v>17/03/2026 19:45</v>
      </c>
      <c r="U22" s="60" t="str">
        <f>Control!T18</f>
        <v>League Two</v>
      </c>
      <c r="V22" s="62"/>
      <c r="W22" s="60" t="str">
        <f>Control!V18</f>
        <v>Grimsby</v>
      </c>
      <c r="X22" s="61"/>
      <c r="Y22" s="62"/>
      <c r="Z22" s="58"/>
      <c r="AA22" s="60" t="str">
        <f>Control!X18</f>
        <v>Fleetwood Town</v>
      </c>
      <c r="AB22" s="61"/>
      <c r="AC22" s="62"/>
      <c r="AD22" s="6" t="str">
        <f>Control!BR18</f>
        <v>0 : 0</v>
      </c>
      <c r="AE22" s="6" t="str">
        <f>Control!BS18</f>
        <v>1 : 0</v>
      </c>
      <c r="AF22" s="6" t="str">
        <f>Control!BT18</f>
        <v>10 : 1</v>
      </c>
      <c r="AH22" s="10">
        <f>Control!BV19</f>
        <v>18</v>
      </c>
      <c r="AI22" s="10" t="str">
        <f>Control!BW19</f>
        <v>Shrewsbury</v>
      </c>
      <c r="AJ22" s="10">
        <f>Control!BX19</f>
        <v>42</v>
      </c>
      <c r="AK22" s="10">
        <f>Control!BY19</f>
        <v>12</v>
      </c>
      <c r="AL22" s="10">
        <f>Control!BZ19</f>
        <v>8</v>
      </c>
      <c r="AM22" s="10">
        <f>Control!CA19</f>
        <v>22</v>
      </c>
      <c r="AN22" s="10">
        <f>Control!CB19</f>
        <v>39</v>
      </c>
      <c r="AO22" s="10">
        <f>Control!CC19</f>
        <v>66</v>
      </c>
      <c r="AP22" s="10">
        <f>Control!CD19</f>
        <v>-27</v>
      </c>
      <c r="AQ22" s="10">
        <f>Control!CE19</f>
        <v>44</v>
      </c>
      <c r="AR22" s="10" t="str">
        <f>Control!CG19</f>
        <v>L</v>
      </c>
      <c r="AS22" s="10" t="str">
        <f>Control!CH19</f>
        <v>W</v>
      </c>
      <c r="AT22" s="10" t="str">
        <f>Control!CI19</f>
        <v>L</v>
      </c>
      <c r="AU22" s="10" t="str">
        <f>Control!CJ19</f>
        <v>L</v>
      </c>
      <c r="AV22" s="10" t="str">
        <f>Control!CK19</f>
        <v>L</v>
      </c>
    </row>
    <row r="23" spans="10:48" x14ac:dyDescent="0.25">
      <c r="J23" s="63"/>
      <c r="K23" s="63"/>
      <c r="L23" s="89"/>
      <c r="M23" s="89"/>
      <c r="N23" s="32"/>
      <c r="O23" s="105"/>
      <c r="P23" s="105"/>
      <c r="Q23" s="64"/>
      <c r="R23" s="64"/>
      <c r="T23" s="6" t="str">
        <f>Control!R19</f>
        <v>07/03/2026 15:00</v>
      </c>
      <c r="U23" s="60" t="str">
        <f>Control!T19</f>
        <v>League Two</v>
      </c>
      <c r="V23" s="62"/>
      <c r="W23" s="60" t="str">
        <f>Control!V19</f>
        <v>Gillingham</v>
      </c>
      <c r="X23" s="61"/>
      <c r="Y23" s="62"/>
      <c r="Z23" s="58"/>
      <c r="AA23" s="60" t="str">
        <f>Control!X19</f>
        <v>Fleetwood Town</v>
      </c>
      <c r="AB23" s="61"/>
      <c r="AC23" s="62"/>
      <c r="AD23" s="6" t="str">
        <f>Control!BR19</f>
        <v>0 : 0</v>
      </c>
      <c r="AE23" s="6" t="str">
        <f>Control!BS19</f>
        <v>1 : 1</v>
      </c>
      <c r="AF23" s="6" t="str">
        <f>Control!BT19</f>
        <v>1 : 3</v>
      </c>
      <c r="AH23" s="10">
        <f>Control!BV20</f>
        <v>19</v>
      </c>
      <c r="AI23" s="10" t="str">
        <f>Control!BW20</f>
        <v>Cheltenham</v>
      </c>
      <c r="AJ23" s="10">
        <f>Control!BX20</f>
        <v>40</v>
      </c>
      <c r="AK23" s="10">
        <f>Control!BY20</f>
        <v>11</v>
      </c>
      <c r="AL23" s="10">
        <f>Control!BZ20</f>
        <v>10</v>
      </c>
      <c r="AM23" s="10">
        <f>Control!CA20</f>
        <v>19</v>
      </c>
      <c r="AN23" s="10">
        <f>Control!CB20</f>
        <v>44</v>
      </c>
      <c r="AO23" s="10">
        <f>Control!CC20</f>
        <v>67</v>
      </c>
      <c r="AP23" s="10">
        <f>Control!CD20</f>
        <v>-23</v>
      </c>
      <c r="AQ23" s="10">
        <f>Control!CE20</f>
        <v>43</v>
      </c>
      <c r="AR23" s="10" t="str">
        <f>Control!CG20</f>
        <v>D</v>
      </c>
      <c r="AS23" s="10" t="str">
        <f>Control!CH20</f>
        <v>L</v>
      </c>
      <c r="AT23" s="10" t="str">
        <f>Control!CI20</f>
        <v>L</v>
      </c>
      <c r="AU23" s="10" t="str">
        <f>Control!CJ20</f>
        <v>D</v>
      </c>
      <c r="AV23" s="10" t="str">
        <f>Control!CK20</f>
        <v>W</v>
      </c>
    </row>
    <row r="24" spans="10:48" x14ac:dyDescent="0.25">
      <c r="J24" s="32"/>
      <c r="K24" s="32"/>
      <c r="L24" s="32"/>
      <c r="M24" s="32"/>
      <c r="N24" s="32"/>
      <c r="O24" s="32"/>
      <c r="P24" s="32"/>
      <c r="Q24" s="32"/>
      <c r="R24" s="32"/>
      <c r="T24" s="6" t="str">
        <f>Control!R20</f>
        <v>03/03/2026 19:45</v>
      </c>
      <c r="U24" s="60" t="str">
        <f>Control!T20</f>
        <v>League Two</v>
      </c>
      <c r="V24" s="62"/>
      <c r="W24" s="60" t="str">
        <f>Control!V20</f>
        <v>Walsall</v>
      </c>
      <c r="X24" s="61"/>
      <c r="Y24" s="62"/>
      <c r="Z24" s="58"/>
      <c r="AA24" s="60" t="str">
        <f>Control!X20</f>
        <v>Fleetwood Town</v>
      </c>
      <c r="AB24" s="61"/>
      <c r="AC24" s="62"/>
      <c r="AD24" s="6" t="str">
        <f>Control!BR20</f>
        <v>0 : 1</v>
      </c>
      <c r="AE24" s="6" t="str">
        <f>Control!BS20</f>
        <v>0 : 1</v>
      </c>
      <c r="AF24" s="6" t="str">
        <f>Control!BT20</f>
        <v>5 : 5</v>
      </c>
      <c r="AH24" s="10">
        <f>Control!BV21</f>
        <v>20</v>
      </c>
      <c r="AI24" s="10" t="str">
        <f>Control!BW21</f>
        <v>Crawley Town</v>
      </c>
      <c r="AJ24" s="10">
        <f>Control!BX21</f>
        <v>42</v>
      </c>
      <c r="AK24" s="10">
        <f>Control!BY21</f>
        <v>8</v>
      </c>
      <c r="AL24" s="10">
        <f>Control!BZ21</f>
        <v>13</v>
      </c>
      <c r="AM24" s="10">
        <f>Control!CA21</f>
        <v>21</v>
      </c>
      <c r="AN24" s="10">
        <f>Control!CB21</f>
        <v>40</v>
      </c>
      <c r="AO24" s="10">
        <f>Control!CC21</f>
        <v>62</v>
      </c>
      <c r="AP24" s="10">
        <f>Control!CD21</f>
        <v>-22</v>
      </c>
      <c r="AQ24" s="10">
        <f>Control!CE21</f>
        <v>37</v>
      </c>
      <c r="AR24" s="10" t="str">
        <f>Control!CG21</f>
        <v>L</v>
      </c>
      <c r="AS24" s="10" t="str">
        <f>Control!CH21</f>
        <v>W</v>
      </c>
      <c r="AT24" s="10" t="str">
        <f>Control!CI21</f>
        <v>W</v>
      </c>
      <c r="AU24" s="10" t="str">
        <f>Control!CJ21</f>
        <v>L</v>
      </c>
      <c r="AV24" s="10" t="str">
        <f>Control!CK21</f>
        <v>D</v>
      </c>
    </row>
    <row r="25" spans="10:48" x14ac:dyDescent="0.25">
      <c r="J25" s="96" t="s">
        <v>178</v>
      </c>
      <c r="K25" s="96"/>
      <c r="L25" s="96"/>
      <c r="M25" s="96"/>
      <c r="N25" s="32"/>
      <c r="O25" s="86" t="s">
        <v>233</v>
      </c>
      <c r="P25" s="86"/>
      <c r="Q25" s="86"/>
      <c r="R25" s="86"/>
      <c r="T25" s="6" t="str">
        <f>Control!R21</f>
        <v>17/02/2026 19:45</v>
      </c>
      <c r="U25" s="60" t="str">
        <f>Control!T21</f>
        <v>League Two</v>
      </c>
      <c r="V25" s="62"/>
      <c r="W25" s="60" t="str">
        <f>Control!V21</f>
        <v>Crewe</v>
      </c>
      <c r="X25" s="61"/>
      <c r="Y25" s="62"/>
      <c r="Z25" s="58"/>
      <c r="AA25" s="60" t="str">
        <f>Control!X21</f>
        <v>Fleetwood Town</v>
      </c>
      <c r="AB25" s="61"/>
      <c r="AC25" s="62"/>
      <c r="AD25" s="6" t="str">
        <f>Control!BR21</f>
        <v>0 : 1</v>
      </c>
      <c r="AE25" s="6" t="str">
        <f>Control!BS21</f>
        <v>0 : 1</v>
      </c>
      <c r="AF25" s="6" t="str">
        <f>Control!BT21</f>
        <v>3 : 5</v>
      </c>
      <c r="AH25" s="10">
        <f>Control!BV22</f>
        <v>21</v>
      </c>
      <c r="AI25" s="10" t="str">
        <f>Control!BW22</f>
        <v>Tranmere</v>
      </c>
      <c r="AJ25" s="10">
        <f>Control!BX22</f>
        <v>41</v>
      </c>
      <c r="AK25" s="10">
        <f>Control!BY22</f>
        <v>9</v>
      </c>
      <c r="AL25" s="10">
        <f>Control!BZ22</f>
        <v>9</v>
      </c>
      <c r="AM25" s="10">
        <f>Control!CA22</f>
        <v>23</v>
      </c>
      <c r="AN25" s="10">
        <f>Control!CB22</f>
        <v>48</v>
      </c>
      <c r="AO25" s="10">
        <f>Control!CC22</f>
        <v>71</v>
      </c>
      <c r="AP25" s="10">
        <f>Control!CD22</f>
        <v>-23</v>
      </c>
      <c r="AQ25" s="10">
        <f>Control!CE22</f>
        <v>36</v>
      </c>
      <c r="AR25" s="10" t="str">
        <f>Control!CG22</f>
        <v>L</v>
      </c>
      <c r="AS25" s="10" t="str">
        <f>Control!CH22</f>
        <v>L</v>
      </c>
      <c r="AT25" s="10" t="str">
        <f>Control!CI22</f>
        <v>L</v>
      </c>
      <c r="AU25" s="10" t="str">
        <f>Control!CJ22</f>
        <v>L</v>
      </c>
      <c r="AV25" s="10" t="str">
        <f>Control!CK22</f>
        <v>D</v>
      </c>
    </row>
    <row r="26" spans="10:48" x14ac:dyDescent="0.25">
      <c r="J26" s="96"/>
      <c r="K26" s="96"/>
      <c r="L26" s="96"/>
      <c r="M26" s="96"/>
      <c r="N26" s="32"/>
      <c r="O26" s="86"/>
      <c r="P26" s="86"/>
      <c r="Q26" s="86"/>
      <c r="R26" s="86"/>
      <c r="T26" s="6" t="str">
        <f>Control!R22</f>
        <v>14/02/2026 15:00</v>
      </c>
      <c r="U26" s="60" t="str">
        <f>Control!T22</f>
        <v>League Two</v>
      </c>
      <c r="V26" s="62"/>
      <c r="W26" s="60" t="str">
        <f>Control!V22</f>
        <v>Oldham</v>
      </c>
      <c r="X26" s="61"/>
      <c r="Y26" s="62"/>
      <c r="Z26" s="58"/>
      <c r="AA26" s="60" t="str">
        <f>Control!X22</f>
        <v>Fleetwood Town</v>
      </c>
      <c r="AB26" s="61"/>
      <c r="AC26" s="62"/>
      <c r="AD26" s="6" t="str">
        <f>Control!BR22</f>
        <v>0 : 1</v>
      </c>
      <c r="AE26" s="6" t="str">
        <f>Control!BS22</f>
        <v>1 : 1</v>
      </c>
      <c r="AF26" s="6" t="str">
        <f>Control!BT22</f>
        <v>7 : 7</v>
      </c>
      <c r="AH26" s="10">
        <f>Control!BV23</f>
        <v>22</v>
      </c>
      <c r="AI26" s="10" t="str">
        <f>Control!BW23</f>
        <v>Newport County</v>
      </c>
      <c r="AJ26" s="10">
        <f>Control!BX23</f>
        <v>42</v>
      </c>
      <c r="AK26" s="10">
        <f>Control!BY23</f>
        <v>9</v>
      </c>
      <c r="AL26" s="10">
        <f>Control!BZ23</f>
        <v>7</v>
      </c>
      <c r="AM26" s="10">
        <f>Control!CA23</f>
        <v>26</v>
      </c>
      <c r="AN26" s="10">
        <f>Control!CB23</f>
        <v>41</v>
      </c>
      <c r="AO26" s="10">
        <f>Control!CC23</f>
        <v>72</v>
      </c>
      <c r="AP26" s="10">
        <f>Control!CD23</f>
        <v>-31</v>
      </c>
      <c r="AQ26" s="10">
        <f>Control!CE23</f>
        <v>34</v>
      </c>
      <c r="AR26" s="10" t="str">
        <f>Control!CG23</f>
        <v>L</v>
      </c>
      <c r="AS26" s="10" t="str">
        <f>Control!CH23</f>
        <v>L</v>
      </c>
      <c r="AT26" s="10" t="str">
        <f>Control!CI23</f>
        <v>W</v>
      </c>
      <c r="AU26" s="10" t="str">
        <f>Control!CJ23</f>
        <v>L</v>
      </c>
      <c r="AV26" s="10" t="str">
        <f>Control!CK23</f>
        <v>L</v>
      </c>
    </row>
    <row r="27" spans="10:48" x14ac:dyDescent="0.25">
      <c r="J27" s="63" t="s">
        <v>179</v>
      </c>
      <c r="K27" s="63"/>
      <c r="L27" s="89">
        <f ca="1">IFERROR(IF(Control!CR2="","",Control!CR2),"")</f>
        <v>0.75</v>
      </c>
      <c r="M27" s="89"/>
      <c r="N27" s="32"/>
      <c r="O27" s="105" t="s">
        <v>169</v>
      </c>
      <c r="P27" s="105"/>
      <c r="Q27" s="64">
        <f>IF(Control!CT3="","",ROUND(Control!CT3,2))</f>
        <v>2.23</v>
      </c>
      <c r="R27" s="64"/>
      <c r="T27" s="6" t="str">
        <f>Control!R23</f>
        <v>27/01/2026 19:45</v>
      </c>
      <c r="U27" s="60" t="str">
        <f>Control!T23</f>
        <v>League Two</v>
      </c>
      <c r="V27" s="62"/>
      <c r="W27" s="60" t="str">
        <f>Control!V23</f>
        <v>Harrogate Town</v>
      </c>
      <c r="X27" s="61"/>
      <c r="Y27" s="62"/>
      <c r="Z27" s="58"/>
      <c r="AA27" s="60" t="str">
        <f>Control!X23</f>
        <v>Fleetwood Town</v>
      </c>
      <c r="AB27" s="61"/>
      <c r="AC27" s="62"/>
      <c r="AD27" s="6" t="str">
        <f>Control!BR23</f>
        <v>0 : 1</v>
      </c>
      <c r="AE27" s="6" t="str">
        <f>Control!BS23</f>
        <v>1 : 2</v>
      </c>
      <c r="AF27" s="6" t="str">
        <f>Control!BT23</f>
        <v>6 : 5</v>
      </c>
      <c r="AH27" s="10">
        <f>Control!BV24</f>
        <v>23</v>
      </c>
      <c r="AI27" s="10" t="str">
        <f>Control!BW24</f>
        <v>Barrow</v>
      </c>
      <c r="AJ27" s="10">
        <f>Control!BX24</f>
        <v>41</v>
      </c>
      <c r="AK27" s="10">
        <f>Control!BY24</f>
        <v>8</v>
      </c>
      <c r="AL27" s="10">
        <f>Control!BZ24</f>
        <v>9</v>
      </c>
      <c r="AM27" s="10">
        <f>Control!CA24</f>
        <v>24</v>
      </c>
      <c r="AN27" s="10">
        <f>Control!CB24</f>
        <v>38</v>
      </c>
      <c r="AO27" s="10">
        <f>Control!CC24</f>
        <v>65</v>
      </c>
      <c r="AP27" s="10">
        <f>Control!CD24</f>
        <v>-27</v>
      </c>
      <c r="AQ27" s="10">
        <f>Control!CE24</f>
        <v>33</v>
      </c>
      <c r="AR27" s="10" t="str">
        <f>Control!CG24</f>
        <v>L</v>
      </c>
      <c r="AS27" s="10" t="str">
        <f>Control!CH24</f>
        <v>D</v>
      </c>
      <c r="AT27" s="10" t="str">
        <f>Control!CI24</f>
        <v>W</v>
      </c>
      <c r="AU27" s="10" t="str">
        <f>Control!CJ24</f>
        <v>L</v>
      </c>
      <c r="AV27" s="10" t="str">
        <f>Control!CK24</f>
        <v>L</v>
      </c>
    </row>
    <row r="28" spans="10:48" x14ac:dyDescent="0.25">
      <c r="J28" s="63"/>
      <c r="K28" s="63"/>
      <c r="L28" s="89"/>
      <c r="M28" s="89"/>
      <c r="N28" s="38"/>
      <c r="O28" s="105"/>
      <c r="P28" s="105"/>
      <c r="Q28" s="64"/>
      <c r="R28" s="64"/>
      <c r="T28" s="6" t="str">
        <f>Control!R24</f>
        <v>24/01/2026 15:00</v>
      </c>
      <c r="U28" s="60" t="str">
        <f>Control!T24</f>
        <v>League Two</v>
      </c>
      <c r="V28" s="62"/>
      <c r="W28" s="60" t="str">
        <f>Control!V24</f>
        <v>Colchester</v>
      </c>
      <c r="X28" s="61"/>
      <c r="Y28" s="62"/>
      <c r="Z28" s="58"/>
      <c r="AA28" s="60" t="str">
        <f>Control!X24</f>
        <v>Fleetwood Town</v>
      </c>
      <c r="AB28" s="61"/>
      <c r="AC28" s="62"/>
      <c r="AD28" s="6" t="str">
        <f>Control!BR24</f>
        <v>2 : 0</v>
      </c>
      <c r="AE28" s="6" t="str">
        <f>Control!BS24</f>
        <v>2 : 1</v>
      </c>
      <c r="AF28" s="6" t="str">
        <f>Control!BT24</f>
        <v>4 : 5</v>
      </c>
      <c r="AH28" s="10">
        <f>Control!BV25</f>
        <v>24</v>
      </c>
      <c r="AI28" s="10" t="str">
        <f>Control!BW25</f>
        <v>Harrogate Town</v>
      </c>
      <c r="AJ28" s="10">
        <f>Control!BX25</f>
        <v>42</v>
      </c>
      <c r="AK28" s="10">
        <f>Control!BY25</f>
        <v>8</v>
      </c>
      <c r="AL28" s="10">
        <f>Control!BZ25</f>
        <v>9</v>
      </c>
      <c r="AM28" s="10">
        <f>Control!CA25</f>
        <v>25</v>
      </c>
      <c r="AN28" s="10">
        <f>Control!CB25</f>
        <v>34</v>
      </c>
      <c r="AO28" s="10">
        <f>Control!CC25</f>
        <v>64</v>
      </c>
      <c r="AP28" s="10">
        <f>Control!CD25</f>
        <v>-30</v>
      </c>
      <c r="AQ28" s="10">
        <f>Control!CE25</f>
        <v>33</v>
      </c>
      <c r="AR28" s="10" t="str">
        <f>Control!CG25</f>
        <v>L</v>
      </c>
      <c r="AS28" s="10" t="str">
        <f>Control!CH25</f>
        <v>W</v>
      </c>
      <c r="AT28" s="10" t="str">
        <f>Control!CI25</f>
        <v>L</v>
      </c>
      <c r="AU28" s="10" t="str">
        <f>Control!CJ25</f>
        <v>L</v>
      </c>
      <c r="AV28" s="10" t="str">
        <f>Control!CK25</f>
        <v>W</v>
      </c>
    </row>
    <row r="29" spans="10:48" x14ac:dyDescent="0.25">
      <c r="J29" s="63" t="s">
        <v>180</v>
      </c>
      <c r="K29" s="63"/>
      <c r="L29" s="89">
        <f ca="1">IFERROR(IF(Control!CR5="","",Control!CR5),"")</f>
        <v>0.7</v>
      </c>
      <c r="M29" s="89"/>
      <c r="N29" s="38"/>
      <c r="O29" s="105" t="s">
        <v>170</v>
      </c>
      <c r="P29" s="105"/>
      <c r="Q29" s="64">
        <f>IF(Control!CT5="","",ROUND(Control!CT5,2))</f>
        <v>1.77</v>
      </c>
      <c r="R29" s="64"/>
      <c r="T29" s="6" t="str">
        <f>Control!R25</f>
        <v>13/01/2026 19:00</v>
      </c>
      <c r="U29" s="60" t="str">
        <f>Control!T25</f>
        <v>EFL Trophy</v>
      </c>
      <c r="V29" s="62"/>
      <c r="W29" s="60" t="str">
        <f>Control!V25</f>
        <v>Doncaster</v>
      </c>
      <c r="X29" s="61"/>
      <c r="Y29" s="62"/>
      <c r="Z29" s="59"/>
      <c r="AA29" s="60" t="str">
        <f>Control!X25</f>
        <v>Fleetwood Town</v>
      </c>
      <c r="AB29" s="61"/>
      <c r="AC29" s="62"/>
      <c r="AD29" s="6" t="str">
        <f>Control!BR25</f>
        <v>1 : 0</v>
      </c>
      <c r="AE29" s="6" t="str">
        <f>Control!BS25</f>
        <v>3 : 1</v>
      </c>
      <c r="AF29" s="6" t="str">
        <f>Control!BT25</f>
        <v>0 : 0</v>
      </c>
      <c r="AH29" s="10" t="str">
        <f>Control!BV26</f>
        <v/>
      </c>
      <c r="AI29" s="10" t="str">
        <f>Control!BW26</f>
        <v/>
      </c>
      <c r="AJ29" s="10" t="str">
        <f>Control!BX26</f>
        <v/>
      </c>
      <c r="AK29" s="10" t="str">
        <f>Control!BY26</f>
        <v/>
      </c>
      <c r="AL29" s="10" t="str">
        <f>Control!BZ26</f>
        <v/>
      </c>
      <c r="AM29" s="10" t="str">
        <f>Control!CA26</f>
        <v/>
      </c>
      <c r="AN29" s="10" t="str">
        <f>Control!CB26</f>
        <v/>
      </c>
      <c r="AO29" s="10" t="str">
        <f>Control!CC26</f>
        <v/>
      </c>
      <c r="AP29" s="10" t="str">
        <f>Control!CD26</f>
        <v/>
      </c>
      <c r="AQ29" s="10" t="str">
        <f>Control!CE26</f>
        <v/>
      </c>
      <c r="AR29" s="10" t="str">
        <f>Control!CG26</f>
        <v/>
      </c>
      <c r="AS29" s="10" t="str">
        <f>Control!CH26</f>
        <v/>
      </c>
      <c r="AT29" s="10" t="str">
        <f>Control!CI26</f>
        <v/>
      </c>
      <c r="AU29" s="10" t="str">
        <f>Control!CJ26</f>
        <v/>
      </c>
      <c r="AV29" s="10" t="str">
        <f>Control!CK26</f>
        <v/>
      </c>
    </row>
    <row r="30" spans="10:48" ht="15" customHeight="1" x14ac:dyDescent="0.25">
      <c r="J30" s="63"/>
      <c r="K30" s="63"/>
      <c r="L30" s="89"/>
      <c r="M30" s="89"/>
      <c r="N30" s="34"/>
      <c r="O30" s="105"/>
      <c r="P30" s="105"/>
      <c r="Q30" s="64"/>
      <c r="R30" s="64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H30" s="10" t="str">
        <f>Control!BV27</f>
        <v/>
      </c>
      <c r="AI30" s="10" t="str">
        <f>Control!BW27</f>
        <v/>
      </c>
      <c r="AJ30" s="10" t="str">
        <f>Control!BX27</f>
        <v/>
      </c>
      <c r="AK30" s="10" t="str">
        <f>Control!BY27</f>
        <v/>
      </c>
      <c r="AL30" s="10" t="str">
        <f>Control!BZ27</f>
        <v/>
      </c>
      <c r="AM30" s="10" t="str">
        <f>Control!CA27</f>
        <v/>
      </c>
      <c r="AN30" s="10" t="str">
        <f>Control!CB27</f>
        <v/>
      </c>
      <c r="AO30" s="10" t="str">
        <f>Control!CC27</f>
        <v/>
      </c>
      <c r="AP30" s="10" t="str">
        <f>Control!CD27</f>
        <v/>
      </c>
      <c r="AQ30" s="10" t="str">
        <f>Control!CE27</f>
        <v/>
      </c>
      <c r="AR30" s="10" t="str">
        <f>Control!CG27</f>
        <v/>
      </c>
      <c r="AS30" s="10" t="str">
        <f>Control!CH27</f>
        <v/>
      </c>
      <c r="AT30" s="10" t="str">
        <f>Control!CI27</f>
        <v/>
      </c>
      <c r="AU30" s="10" t="str">
        <f>Control!CJ27</f>
        <v/>
      </c>
      <c r="AV30" s="10" t="str">
        <f>Control!CK27</f>
        <v/>
      </c>
    </row>
    <row r="31" spans="10:48" x14ac:dyDescent="0.25">
      <c r="J31" s="63" t="s">
        <v>181</v>
      </c>
      <c r="K31" s="63"/>
      <c r="L31" s="89">
        <f ca="1">IFERROR(IF(Control!CR8="","",Control!CR8),"")</f>
        <v>0.55000000000000004</v>
      </c>
      <c r="M31" s="89"/>
      <c r="N31" s="34"/>
      <c r="O31" s="105" t="s">
        <v>187</v>
      </c>
      <c r="P31" s="105"/>
      <c r="Q31" s="64">
        <f>IF(Control!CT7="","",ROUND(Control!CT7,2))</f>
        <v>4</v>
      </c>
      <c r="R31" s="64"/>
      <c r="T31" s="80" t="s">
        <v>196</v>
      </c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H31" s="10" t="str">
        <f>Control!BV28</f>
        <v/>
      </c>
      <c r="AI31" s="10" t="str">
        <f>Control!BW28</f>
        <v/>
      </c>
      <c r="AJ31" s="10" t="str">
        <f>Control!BX28</f>
        <v/>
      </c>
      <c r="AK31" s="10" t="str">
        <f>Control!BY28</f>
        <v/>
      </c>
      <c r="AL31" s="10" t="str">
        <f>Control!BZ28</f>
        <v/>
      </c>
      <c r="AM31" s="10" t="str">
        <f>Control!CA28</f>
        <v/>
      </c>
      <c r="AN31" s="10" t="str">
        <f>Control!CB28</f>
        <v/>
      </c>
      <c r="AO31" s="10" t="str">
        <f>Control!CC28</f>
        <v/>
      </c>
      <c r="AP31" s="10" t="str">
        <f>Control!CD28</f>
        <v/>
      </c>
      <c r="AQ31" s="10" t="str">
        <f>Control!CE28</f>
        <v/>
      </c>
      <c r="AR31" s="10" t="str">
        <f>Control!CG28</f>
        <v/>
      </c>
      <c r="AS31" s="10" t="str">
        <f>Control!CH28</f>
        <v/>
      </c>
      <c r="AT31" s="10" t="str">
        <f>Control!CI28</f>
        <v/>
      </c>
      <c r="AU31" s="10" t="str">
        <f>Control!CJ28</f>
        <v/>
      </c>
      <c r="AV31" s="10" t="str">
        <f>Control!CK28</f>
        <v/>
      </c>
    </row>
    <row r="32" spans="10:48" x14ac:dyDescent="0.25">
      <c r="J32" s="63"/>
      <c r="K32" s="63"/>
      <c r="L32" s="89"/>
      <c r="M32" s="89"/>
      <c r="N32" s="34"/>
      <c r="O32" s="105"/>
      <c r="P32" s="105"/>
      <c r="Q32" s="64"/>
      <c r="R32" s="64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H32" s="10" t="str">
        <f>Control!BV29</f>
        <v/>
      </c>
      <c r="AI32" s="10" t="str">
        <f>Control!BW29</f>
        <v/>
      </c>
      <c r="AJ32" s="10" t="str">
        <f>Control!BX29</f>
        <v/>
      </c>
      <c r="AK32" s="10" t="str">
        <f>Control!BY29</f>
        <v/>
      </c>
      <c r="AL32" s="10" t="str">
        <f>Control!BZ29</f>
        <v/>
      </c>
      <c r="AM32" s="10" t="str">
        <f>Control!CA29</f>
        <v/>
      </c>
      <c r="AN32" s="10" t="str">
        <f>Control!CB29</f>
        <v/>
      </c>
      <c r="AO32" s="10" t="str">
        <f>Control!CC29</f>
        <v/>
      </c>
      <c r="AP32" s="10" t="str">
        <f>Control!CD29</f>
        <v/>
      </c>
      <c r="AQ32" s="10" t="str">
        <f>Control!CE29</f>
        <v/>
      </c>
      <c r="AR32" s="10" t="str">
        <f>Control!CG29</f>
        <v/>
      </c>
      <c r="AS32" s="10" t="str">
        <f>Control!CH29</f>
        <v/>
      </c>
      <c r="AT32" s="10" t="str">
        <f>Control!CI29</f>
        <v/>
      </c>
      <c r="AU32" s="10" t="str">
        <f>Control!CJ29</f>
        <v/>
      </c>
      <c r="AV32" s="10" t="str">
        <f>Control!CK29</f>
        <v/>
      </c>
    </row>
    <row r="33" spans="1:48" x14ac:dyDescent="0.25">
      <c r="J33" s="32"/>
      <c r="K33" s="32"/>
      <c r="L33" s="34"/>
      <c r="M33" s="34"/>
      <c r="N33" s="34"/>
      <c r="O33" s="34"/>
      <c r="P33" s="32"/>
      <c r="Q33" s="32"/>
      <c r="R33" s="32"/>
      <c r="T33" s="81" t="s">
        <v>191</v>
      </c>
      <c r="U33" s="81" t="s">
        <v>192</v>
      </c>
      <c r="V33" s="81"/>
      <c r="W33" s="81" t="s">
        <v>169</v>
      </c>
      <c r="X33" s="81"/>
      <c r="Y33" s="81"/>
      <c r="Z33" s="81" t="s">
        <v>189</v>
      </c>
      <c r="AA33" s="81" t="s">
        <v>170</v>
      </c>
      <c r="AB33" s="81"/>
      <c r="AC33" s="81"/>
      <c r="AD33" s="126" t="s">
        <v>193</v>
      </c>
      <c r="AE33" s="126" t="s">
        <v>194</v>
      </c>
      <c r="AF33" s="130" t="s">
        <v>195</v>
      </c>
      <c r="AH33" s="10" t="str">
        <f>Control!BV30</f>
        <v/>
      </c>
      <c r="AI33" s="10" t="str">
        <f>Control!BW30</f>
        <v/>
      </c>
      <c r="AJ33" s="10" t="str">
        <f>Control!BX30</f>
        <v/>
      </c>
      <c r="AK33" s="10" t="str">
        <f>Control!BY30</f>
        <v/>
      </c>
      <c r="AL33" s="10" t="str">
        <f>Control!BZ30</f>
        <v/>
      </c>
      <c r="AM33" s="10" t="str">
        <f>Control!CA30</f>
        <v/>
      </c>
      <c r="AN33" s="10" t="str">
        <f>Control!CB30</f>
        <v/>
      </c>
      <c r="AO33" s="10" t="str">
        <f>Control!CC30</f>
        <v/>
      </c>
      <c r="AP33" s="10" t="str">
        <f>Control!CD30</f>
        <v/>
      </c>
      <c r="AQ33" s="10" t="str">
        <f>Control!CE30</f>
        <v/>
      </c>
      <c r="AR33" s="10" t="str">
        <f>Control!CG30</f>
        <v/>
      </c>
      <c r="AS33" s="10" t="str">
        <f>Control!CH30</f>
        <v/>
      </c>
      <c r="AT33" s="10" t="str">
        <f>Control!CI30</f>
        <v/>
      </c>
      <c r="AU33" s="10" t="str">
        <f>Control!CJ30</f>
        <v/>
      </c>
      <c r="AV33" s="10" t="str">
        <f>Control!CK30</f>
        <v/>
      </c>
    </row>
    <row r="34" spans="1:48" x14ac:dyDescent="0.25">
      <c r="J34" s="86" t="s">
        <v>253</v>
      </c>
      <c r="K34" s="86"/>
      <c r="L34" s="86"/>
      <c r="M34" s="86"/>
      <c r="N34" s="32"/>
      <c r="O34" s="86" t="s">
        <v>273</v>
      </c>
      <c r="P34" s="86"/>
      <c r="Q34" s="86"/>
      <c r="R34" s="86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127"/>
      <c r="AE34" s="127"/>
      <c r="AF34" s="130"/>
      <c r="AH34" s="10" t="str">
        <f>Control!BV31</f>
        <v/>
      </c>
      <c r="AI34" s="10" t="str">
        <f>Control!BW31</f>
        <v/>
      </c>
      <c r="AJ34" s="10" t="str">
        <f>Control!BX31</f>
        <v/>
      </c>
      <c r="AK34" s="10" t="str">
        <f>Control!BY31</f>
        <v/>
      </c>
      <c r="AL34" s="10" t="str">
        <f>Control!BZ31</f>
        <v/>
      </c>
      <c r="AM34" s="10" t="str">
        <f>Control!CA31</f>
        <v/>
      </c>
      <c r="AN34" s="10" t="str">
        <f>Control!CB31</f>
        <v/>
      </c>
      <c r="AO34" s="10" t="str">
        <f>Control!CC31</f>
        <v/>
      </c>
      <c r="AP34" s="10" t="str">
        <f>Control!CD31</f>
        <v/>
      </c>
      <c r="AQ34" s="10" t="str">
        <f>Control!CE31</f>
        <v/>
      </c>
      <c r="AR34" s="10" t="str">
        <f>Control!CG31</f>
        <v/>
      </c>
      <c r="AS34" s="10" t="str">
        <f>Control!CH31</f>
        <v/>
      </c>
      <c r="AT34" s="10" t="str">
        <f>Control!CI31</f>
        <v/>
      </c>
      <c r="AU34" s="10" t="str">
        <f>Control!CJ31</f>
        <v/>
      </c>
      <c r="AV34" s="10" t="str">
        <f>Control!CK31</f>
        <v/>
      </c>
    </row>
    <row r="35" spans="1:48" x14ac:dyDescent="0.25">
      <c r="J35" s="86"/>
      <c r="K35" s="86"/>
      <c r="L35" s="86"/>
      <c r="M35" s="86"/>
      <c r="N35" s="32"/>
      <c r="O35" s="86"/>
      <c r="P35" s="86"/>
      <c r="Q35" s="86"/>
      <c r="R35" s="86"/>
      <c r="T35" s="7" t="str">
        <f>Control!R31</f>
        <v>25/10/2025 12:30</v>
      </c>
      <c r="U35" s="65" t="str">
        <f>Control!T31</f>
        <v>League Two</v>
      </c>
      <c r="V35" s="66"/>
      <c r="W35" s="65" t="str">
        <f>Control!V31</f>
        <v>Accrington ST</v>
      </c>
      <c r="X35" s="67"/>
      <c r="Y35" s="66"/>
      <c r="Z35" s="69"/>
      <c r="AA35" s="65" t="str">
        <f>Control!X31</f>
        <v>Fleetwood Town</v>
      </c>
      <c r="AB35" s="67"/>
      <c r="AC35" s="66"/>
      <c r="AD35" s="7" t="str">
        <f>Control!BR31</f>
        <v>1 : 0</v>
      </c>
      <c r="AE35" s="7" t="str">
        <f>Control!BS31</f>
        <v>1 : 2</v>
      </c>
      <c r="AF35" s="7" t="str">
        <f>Control!BT31</f>
        <v>7 : 9</v>
      </c>
      <c r="AH35" s="10" t="str">
        <f>Control!BV32</f>
        <v/>
      </c>
      <c r="AI35" s="10" t="str">
        <f>Control!BW32</f>
        <v/>
      </c>
      <c r="AJ35" s="10" t="str">
        <f>Control!BX32</f>
        <v/>
      </c>
      <c r="AK35" s="10" t="str">
        <f>Control!BY32</f>
        <v/>
      </c>
      <c r="AL35" s="10" t="str">
        <f>Control!BZ32</f>
        <v/>
      </c>
      <c r="AM35" s="10" t="str">
        <f>Control!CA32</f>
        <v/>
      </c>
      <c r="AN35" s="10" t="str">
        <f>Control!CB32</f>
        <v/>
      </c>
      <c r="AO35" s="10" t="str">
        <f>Control!CC32</f>
        <v/>
      </c>
      <c r="AP35" s="10" t="str">
        <f>Control!CD32</f>
        <v/>
      </c>
      <c r="AQ35" s="10" t="str">
        <f>Control!CE32</f>
        <v/>
      </c>
      <c r="AR35" s="10" t="str">
        <f>Control!CG32</f>
        <v/>
      </c>
      <c r="AS35" s="10" t="str">
        <f>Control!CH32</f>
        <v/>
      </c>
      <c r="AT35" s="10" t="str">
        <f>Control!CI32</f>
        <v/>
      </c>
      <c r="AU35" s="10" t="str">
        <f>Control!CJ32</f>
        <v/>
      </c>
      <c r="AV35" s="10" t="str">
        <f>Control!CK32</f>
        <v/>
      </c>
    </row>
    <row r="36" spans="1:48" x14ac:dyDescent="0.25">
      <c r="J36" s="90" t="s">
        <v>251</v>
      </c>
      <c r="K36" s="90"/>
      <c r="L36" s="90" t="s">
        <v>252</v>
      </c>
      <c r="M36" s="90"/>
      <c r="N36" s="32"/>
      <c r="O36" s="12">
        <v>1</v>
      </c>
      <c r="P36" s="18" t="str">
        <f>IF(Control!CV2="","",ROUND(Control!CV2*100,2)&amp;"%")</f>
        <v>0%</v>
      </c>
      <c r="Q36" s="12">
        <v>1</v>
      </c>
      <c r="R36" s="17">
        <f>IF(Control!CX2="","",Control!CX2)</f>
        <v>0</v>
      </c>
      <c r="T36" s="7" t="str">
        <f>Control!R32</f>
        <v>02/09/2025 19:00</v>
      </c>
      <c r="U36" s="65" t="str">
        <f>Control!T32</f>
        <v>EFL Trophy</v>
      </c>
      <c r="V36" s="66"/>
      <c r="W36" s="65" t="str">
        <f>Control!V32</f>
        <v>Accrington ST</v>
      </c>
      <c r="X36" s="67"/>
      <c r="Y36" s="66"/>
      <c r="Z36" s="70"/>
      <c r="AA36" s="65" t="str">
        <f>Control!X32</f>
        <v>Fleetwood Town</v>
      </c>
      <c r="AB36" s="67"/>
      <c r="AC36" s="66"/>
      <c r="AD36" s="7" t="str">
        <f>Control!BR32</f>
        <v>2 : 1</v>
      </c>
      <c r="AE36" s="7" t="str">
        <f>Control!BS32</f>
        <v>2 : 2</v>
      </c>
      <c r="AF36" s="7" t="str">
        <f>Control!BT32</f>
        <v>4 : 15</v>
      </c>
      <c r="AH36" s="10" t="str">
        <f>Control!BV33</f>
        <v/>
      </c>
      <c r="AI36" s="10" t="str">
        <f>Control!BW33</f>
        <v/>
      </c>
      <c r="AJ36" s="10" t="str">
        <f>Control!BX33</f>
        <v/>
      </c>
      <c r="AK36" s="10" t="str">
        <f>Control!BY33</f>
        <v/>
      </c>
      <c r="AL36" s="10" t="str">
        <f>Control!BZ33</f>
        <v/>
      </c>
      <c r="AM36" s="10" t="str">
        <f>Control!CA33</f>
        <v/>
      </c>
      <c r="AN36" s="10" t="str">
        <f>Control!CB33</f>
        <v/>
      </c>
      <c r="AO36" s="10" t="str">
        <f>Control!CC33</f>
        <v/>
      </c>
      <c r="AP36" s="10" t="str">
        <f>Control!CD33</f>
        <v/>
      </c>
      <c r="AQ36" s="10" t="str">
        <f>Control!CE33</f>
        <v/>
      </c>
      <c r="AR36" s="10" t="str">
        <f>Control!CG33</f>
        <v/>
      </c>
      <c r="AS36" s="10" t="str">
        <f>Control!CH33</f>
        <v/>
      </c>
      <c r="AT36" s="10" t="str">
        <f>Control!CI33</f>
        <v/>
      </c>
      <c r="AU36" s="10" t="str">
        <f>Control!CJ33</f>
        <v/>
      </c>
      <c r="AV36" s="10" t="str">
        <f>Control!CK33</f>
        <v/>
      </c>
    </row>
    <row r="37" spans="1:48" x14ac:dyDescent="0.25">
      <c r="J37" s="12">
        <v>1</v>
      </c>
      <c r="K37" s="17">
        <f>IF(Control!CZ2="","",Control!CZ2)</f>
        <v>4</v>
      </c>
      <c r="L37" s="12">
        <v>1</v>
      </c>
      <c r="M37" s="17">
        <f>IF(Control!DB2="","",Control!DB2)</f>
        <v>3</v>
      </c>
      <c r="N37" s="32"/>
      <c r="O37" s="14" t="s">
        <v>244</v>
      </c>
      <c r="P37" s="19" t="str">
        <f>IF(Control!CV4="","",ROUND(Control!CV4*100,2)&amp;"%")</f>
        <v>40%</v>
      </c>
      <c r="Q37" s="14" t="s">
        <v>244</v>
      </c>
      <c r="R37" s="17">
        <f>IF(Control!CX4="","",Control!CX4)</f>
        <v>2</v>
      </c>
      <c r="T37" s="7" t="str">
        <f>Control!R33</f>
        <v>01/04/2025 19:45</v>
      </c>
      <c r="U37" s="65" t="str">
        <f>Control!T33</f>
        <v>League Two</v>
      </c>
      <c r="V37" s="66"/>
      <c r="W37" s="65" t="str">
        <f>Control!V33</f>
        <v>Accrington ST</v>
      </c>
      <c r="X37" s="67"/>
      <c r="Y37" s="66"/>
      <c r="Z37" s="70"/>
      <c r="AA37" s="65" t="str">
        <f>Control!X33</f>
        <v>Fleetwood Town</v>
      </c>
      <c r="AB37" s="67"/>
      <c r="AC37" s="66"/>
      <c r="AD37" s="7" t="str">
        <f>Control!BR33</f>
        <v>0 : 1</v>
      </c>
      <c r="AE37" s="7" t="str">
        <f>Control!BS33</f>
        <v>1 : 4</v>
      </c>
      <c r="AF37" s="7" t="str">
        <f>Control!BT33</f>
        <v>4 : 6</v>
      </c>
      <c r="AH37" s="10" t="str">
        <f>Control!BV34</f>
        <v/>
      </c>
      <c r="AI37" s="10" t="str">
        <f>Control!BW34</f>
        <v/>
      </c>
      <c r="AJ37" s="10" t="str">
        <f>Control!BX34</f>
        <v/>
      </c>
      <c r="AK37" s="10" t="str">
        <f>Control!BY34</f>
        <v/>
      </c>
      <c r="AL37" s="10" t="str">
        <f>Control!BZ34</f>
        <v/>
      </c>
      <c r="AM37" s="10" t="str">
        <f>Control!CA34</f>
        <v/>
      </c>
      <c r="AN37" s="10" t="str">
        <f>Control!CB34</f>
        <v/>
      </c>
      <c r="AO37" s="10" t="str">
        <f>Control!CC34</f>
        <v/>
      </c>
      <c r="AP37" s="10" t="str">
        <f>Control!CD34</f>
        <v/>
      </c>
      <c r="AQ37" s="10" t="str">
        <f>Control!CE34</f>
        <v/>
      </c>
      <c r="AR37" s="10" t="str">
        <f>Control!CG34</f>
        <v/>
      </c>
      <c r="AS37" s="10" t="str">
        <f>Control!CH34</f>
        <v/>
      </c>
      <c r="AT37" s="10" t="str">
        <f>Control!CI34</f>
        <v/>
      </c>
      <c r="AU37" s="10" t="str">
        <f>Control!CJ34</f>
        <v/>
      </c>
      <c r="AV37" s="10" t="str">
        <f>Control!CK34</f>
        <v/>
      </c>
    </row>
    <row r="38" spans="1:48" x14ac:dyDescent="0.25">
      <c r="J38" s="14" t="s">
        <v>244</v>
      </c>
      <c r="K38" s="17">
        <f>IF(Control!CZ4="","",Control!CZ4)</f>
        <v>1</v>
      </c>
      <c r="L38" s="14" t="s">
        <v>244</v>
      </c>
      <c r="M38" s="17">
        <f>IF(Control!DB4="","",Control!DB4)</f>
        <v>3</v>
      </c>
      <c r="N38" s="32"/>
      <c r="O38" s="13">
        <v>2</v>
      </c>
      <c r="P38" s="19" t="str">
        <f>IF(Control!CV6="","",ROUND(Control!CV6*100,2)&amp;"%")</f>
        <v>60%</v>
      </c>
      <c r="Q38" s="13">
        <v>2</v>
      </c>
      <c r="R38" s="17">
        <f>IF(Control!CX6="","",Control!CX6)</f>
        <v>3</v>
      </c>
      <c r="T38" s="7" t="str">
        <f>Control!R34</f>
        <v>16/12/2024 20:00</v>
      </c>
      <c r="U38" s="65" t="str">
        <f>Control!T34</f>
        <v>League Two</v>
      </c>
      <c r="V38" s="66"/>
      <c r="W38" s="65" t="str">
        <f>Control!V34</f>
        <v>Accrington ST</v>
      </c>
      <c r="X38" s="67"/>
      <c r="Y38" s="66"/>
      <c r="Z38" s="70"/>
      <c r="AA38" s="65" t="str">
        <f>Control!X34</f>
        <v>Fleetwood Town</v>
      </c>
      <c r="AB38" s="67"/>
      <c r="AC38" s="66"/>
      <c r="AD38" s="7" t="str">
        <f>Control!BR34</f>
        <v>1 : 0</v>
      </c>
      <c r="AE38" s="7" t="str">
        <f>Control!BS34</f>
        <v>1 : 1</v>
      </c>
      <c r="AF38" s="7" t="str">
        <f>Control!BT34</f>
        <v>5 : 4</v>
      </c>
      <c r="AH38" s="10" t="str">
        <f>Control!BV35</f>
        <v/>
      </c>
      <c r="AI38" s="10" t="str">
        <f>Control!BW35</f>
        <v/>
      </c>
      <c r="AJ38" s="10" t="str">
        <f>Control!BX35</f>
        <v/>
      </c>
      <c r="AK38" s="10" t="str">
        <f>Control!BY35</f>
        <v/>
      </c>
      <c r="AL38" s="10" t="str">
        <f>Control!BZ35</f>
        <v/>
      </c>
      <c r="AM38" s="10" t="str">
        <f>Control!CA35</f>
        <v/>
      </c>
      <c r="AN38" s="10" t="str">
        <f>Control!CB35</f>
        <v/>
      </c>
      <c r="AO38" s="10" t="str">
        <f>Control!CC35</f>
        <v/>
      </c>
      <c r="AP38" s="10" t="str">
        <f>Control!CD35</f>
        <v/>
      </c>
      <c r="AQ38" s="10" t="str">
        <f>Control!CE35</f>
        <v/>
      </c>
      <c r="AR38" s="10" t="str">
        <f>Control!CG35</f>
        <v/>
      </c>
      <c r="AS38" s="10" t="str">
        <f>Control!CH35</f>
        <v/>
      </c>
      <c r="AT38" s="10" t="str">
        <f>Control!CI35</f>
        <v/>
      </c>
      <c r="AU38" s="10" t="str">
        <f>Control!CJ35</f>
        <v/>
      </c>
      <c r="AV38" s="10" t="str">
        <f>Control!CK35</f>
        <v/>
      </c>
    </row>
    <row r="39" spans="1:48" x14ac:dyDescent="0.25">
      <c r="J39" s="13">
        <v>2</v>
      </c>
      <c r="K39" s="17">
        <f>IF(Control!CZ6="","",Control!CZ6)</f>
        <v>5</v>
      </c>
      <c r="L39" s="13">
        <v>2</v>
      </c>
      <c r="M39" s="17">
        <f>IF(Control!DB6="","",Control!DB6)</f>
        <v>4</v>
      </c>
      <c r="N39" s="32"/>
      <c r="O39" s="32"/>
      <c r="P39" s="32"/>
      <c r="Q39" s="32"/>
      <c r="R39" s="32"/>
      <c r="T39" s="7" t="str">
        <f>Control!R35</f>
        <v>15/04/2023 15:00</v>
      </c>
      <c r="U39" s="65" t="str">
        <f>Control!T35</f>
        <v>League One</v>
      </c>
      <c r="V39" s="66"/>
      <c r="W39" s="65" t="str">
        <f>Control!V35</f>
        <v>Accrington ST</v>
      </c>
      <c r="X39" s="67"/>
      <c r="Y39" s="66"/>
      <c r="Z39" s="71"/>
      <c r="AA39" s="65" t="str">
        <f>Control!X35</f>
        <v>Fleetwood Town</v>
      </c>
      <c r="AB39" s="67"/>
      <c r="AC39" s="66"/>
      <c r="AD39" s="7" t="str">
        <f>Control!BR35</f>
        <v>0 : 2</v>
      </c>
      <c r="AE39" s="7" t="str">
        <f>Control!BS35</f>
        <v>2 : 5</v>
      </c>
      <c r="AF39" s="7" t="str">
        <f>Control!BT35</f>
        <v>5 : 6</v>
      </c>
      <c r="AH39" s="10" t="str">
        <f>Control!BV36</f>
        <v/>
      </c>
      <c r="AI39" s="10" t="str">
        <f>Control!BW36</f>
        <v/>
      </c>
      <c r="AJ39" s="10" t="str">
        <f>Control!BX36</f>
        <v/>
      </c>
      <c r="AK39" s="10" t="str">
        <f>Control!BY36</f>
        <v/>
      </c>
      <c r="AL39" s="10" t="str">
        <f>Control!BZ36</f>
        <v/>
      </c>
      <c r="AM39" s="10" t="str">
        <f>Control!CA36</f>
        <v/>
      </c>
      <c r="AN39" s="10" t="str">
        <f>Control!CB36</f>
        <v/>
      </c>
      <c r="AO39" s="10" t="str">
        <f>Control!CC36</f>
        <v/>
      </c>
      <c r="AP39" s="10" t="str">
        <f>Control!CD36</f>
        <v/>
      </c>
      <c r="AQ39" s="10" t="str">
        <f>Control!CE36</f>
        <v/>
      </c>
      <c r="AR39" s="10" t="str">
        <f>Control!CG36</f>
        <v/>
      </c>
      <c r="AS39" s="10" t="str">
        <f>Control!CH36</f>
        <v/>
      </c>
      <c r="AT39" s="10" t="str">
        <f>Control!CI36</f>
        <v/>
      </c>
      <c r="AU39" s="10" t="str">
        <f>Control!CJ36</f>
        <v/>
      </c>
      <c r="AV39" s="10" t="str">
        <f>Control!CK36</f>
        <v/>
      </c>
    </row>
    <row r="40" spans="1:48" s="8" customFormat="1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3"/>
      <c r="K40" s="33"/>
      <c r="L40" s="33"/>
      <c r="M40" s="33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4"/>
      <c r="AA40" s="32"/>
      <c r="AB40" s="32"/>
      <c r="AC40" s="32"/>
      <c r="AD40" s="32"/>
      <c r="AE40" s="32"/>
      <c r="AF40" s="32"/>
      <c r="AG40" s="32"/>
      <c r="AH40" s="10" t="str">
        <f>Control!BV37</f>
        <v/>
      </c>
      <c r="AI40" s="10" t="str">
        <f>Control!BW37</f>
        <v/>
      </c>
      <c r="AJ40" s="10" t="str">
        <f>Control!BX37</f>
        <v/>
      </c>
      <c r="AK40" s="10" t="str">
        <f>Control!BY37</f>
        <v/>
      </c>
      <c r="AL40" s="10" t="str">
        <f>Control!BZ37</f>
        <v/>
      </c>
      <c r="AM40" s="10" t="str">
        <f>Control!CA37</f>
        <v/>
      </c>
      <c r="AN40" s="10" t="str">
        <f>Control!CB37</f>
        <v/>
      </c>
      <c r="AO40" s="10" t="str">
        <f>Control!CC37</f>
        <v/>
      </c>
      <c r="AP40" s="10" t="str">
        <f>Control!CD37</f>
        <v/>
      </c>
      <c r="AQ40" s="10" t="str">
        <f>Control!CE37</f>
        <v/>
      </c>
      <c r="AR40" s="10" t="str">
        <f>Control!CG37</f>
        <v/>
      </c>
      <c r="AS40" s="10" t="str">
        <f>Control!CH37</f>
        <v/>
      </c>
      <c r="AT40" s="10" t="str">
        <f>Control!CI37</f>
        <v/>
      </c>
      <c r="AU40" s="10" t="str">
        <f>Control!CJ37</f>
        <v/>
      </c>
      <c r="AV40" s="10" t="str">
        <f>Control!CK37</f>
        <v/>
      </c>
    </row>
    <row r="41" spans="1:48" s="8" customFormat="1" hidden="1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15"/>
      <c r="K41" s="15"/>
      <c r="L41" s="15"/>
      <c r="M41" s="15"/>
      <c r="S41" s="32"/>
      <c r="Z41" s="9"/>
      <c r="AG41" s="32"/>
      <c r="AH41" s="11" t="str">
        <f>Control!BV38</f>
        <v/>
      </c>
      <c r="AI41" s="11" t="str">
        <f>Control!BW38</f>
        <v/>
      </c>
      <c r="AJ41" s="11" t="str">
        <f>Control!BX38</f>
        <v/>
      </c>
      <c r="AK41" s="11" t="str">
        <f>Control!BY38</f>
        <v/>
      </c>
      <c r="AL41" s="11" t="str">
        <f>Control!BZ38</f>
        <v/>
      </c>
      <c r="AM41" s="11" t="str">
        <f>Control!CA38</f>
        <v/>
      </c>
      <c r="AN41" s="11" t="str">
        <f>Control!CB38</f>
        <v/>
      </c>
      <c r="AO41" s="11" t="str">
        <f>Control!CC38</f>
        <v/>
      </c>
      <c r="AP41" s="11" t="str">
        <f>Control!CD38</f>
        <v/>
      </c>
      <c r="AQ41" s="11" t="str">
        <f>Control!CE38</f>
        <v/>
      </c>
      <c r="AR41" s="11" t="str">
        <f>Control!CG38</f>
        <v/>
      </c>
      <c r="AS41" s="11" t="str">
        <f>Control!CH38</f>
        <v/>
      </c>
      <c r="AT41" s="11" t="str">
        <f>Control!CI38</f>
        <v/>
      </c>
      <c r="AU41" s="11" t="str">
        <f>Control!CJ38</f>
        <v/>
      </c>
      <c r="AV41" s="11" t="str">
        <f>Control!CK38</f>
        <v/>
      </c>
    </row>
    <row r="42" spans="1:48" s="8" customFormat="1" hidden="1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15"/>
      <c r="K42" s="15"/>
      <c r="L42" s="15"/>
      <c r="M42" s="15"/>
      <c r="S42" s="32"/>
      <c r="AG42" s="32"/>
      <c r="AH42" s="11" t="str">
        <f>Control!BV39</f>
        <v/>
      </c>
      <c r="AI42" s="11" t="str">
        <f>Control!BW39</f>
        <v/>
      </c>
      <c r="AJ42" s="11" t="str">
        <f>Control!BX39</f>
        <v/>
      </c>
      <c r="AK42" s="11" t="str">
        <f>Control!BY39</f>
        <v/>
      </c>
      <c r="AL42" s="11" t="str">
        <f>Control!BZ39</f>
        <v/>
      </c>
      <c r="AM42" s="11" t="str">
        <f>Control!CA39</f>
        <v/>
      </c>
      <c r="AN42" s="11" t="str">
        <f>Control!CB39</f>
        <v/>
      </c>
      <c r="AO42" s="11" t="str">
        <f>Control!CC39</f>
        <v/>
      </c>
      <c r="AP42" s="11" t="str">
        <f>Control!CD39</f>
        <v/>
      </c>
      <c r="AQ42" s="11" t="str">
        <f>Control!CE39</f>
        <v/>
      </c>
      <c r="AR42" s="11" t="str">
        <f>Control!CG39</f>
        <v/>
      </c>
      <c r="AS42" s="11" t="str">
        <f>Control!CH39</f>
        <v/>
      </c>
      <c r="AT42" s="11" t="str">
        <f>Control!CI39</f>
        <v/>
      </c>
      <c r="AU42" s="11" t="str">
        <f>Control!CJ39</f>
        <v/>
      </c>
      <c r="AV42" s="11" t="str">
        <f>Control!CK39</f>
        <v/>
      </c>
    </row>
    <row r="43" spans="1:48" s="8" customFormat="1" hidden="1" x14ac:dyDescent="0.25">
      <c r="A43" s="32"/>
      <c r="B43" s="32"/>
      <c r="C43" s="32"/>
      <c r="D43" s="32"/>
      <c r="E43" s="32"/>
      <c r="F43" s="32"/>
      <c r="G43" s="32"/>
      <c r="H43" s="32"/>
      <c r="I43" s="32"/>
      <c r="S43" s="32"/>
      <c r="AG43" s="32"/>
      <c r="AH43" s="11" t="str">
        <f>Control!BV40</f>
        <v/>
      </c>
      <c r="AI43" s="11" t="str">
        <f>Control!BW40</f>
        <v/>
      </c>
      <c r="AJ43" s="11" t="str">
        <f>Control!BX40</f>
        <v/>
      </c>
      <c r="AK43" s="11" t="str">
        <f>Control!BY40</f>
        <v/>
      </c>
      <c r="AL43" s="11" t="str">
        <f>Control!BZ40</f>
        <v/>
      </c>
      <c r="AM43" s="11" t="str">
        <f>Control!CA40</f>
        <v/>
      </c>
      <c r="AN43" s="11" t="str">
        <f>Control!CB40</f>
        <v/>
      </c>
      <c r="AO43" s="11" t="str">
        <f>Control!CC40</f>
        <v/>
      </c>
      <c r="AP43" s="11" t="str">
        <f>Control!CD40</f>
        <v/>
      </c>
      <c r="AQ43" s="11" t="str">
        <f>Control!CE40</f>
        <v/>
      </c>
      <c r="AR43" s="11" t="str">
        <f>Control!CG40</f>
        <v/>
      </c>
      <c r="AS43" s="11" t="str">
        <f>Control!CH40</f>
        <v/>
      </c>
      <c r="AT43" s="11" t="str">
        <f>Control!CI40</f>
        <v/>
      </c>
      <c r="AU43" s="11" t="str">
        <f>Control!CJ40</f>
        <v/>
      </c>
      <c r="AV43" s="11" t="str">
        <f>Control!CK40</f>
        <v/>
      </c>
    </row>
    <row r="44" spans="1:48" s="8" customFormat="1" hidden="1" x14ac:dyDescent="0.25">
      <c r="A44" s="32"/>
      <c r="B44" s="32"/>
      <c r="C44" s="32"/>
      <c r="D44" s="32"/>
      <c r="E44" s="32"/>
      <c r="F44" s="32"/>
      <c r="G44" s="32"/>
      <c r="H44" s="32"/>
      <c r="I44" s="32"/>
      <c r="S44" s="32"/>
      <c r="AG44" s="32"/>
      <c r="AH44" s="11" t="str">
        <f>Control!BV41</f>
        <v/>
      </c>
      <c r="AI44" s="11" t="str">
        <f>Control!BW41</f>
        <v/>
      </c>
      <c r="AJ44" s="11" t="str">
        <f>Control!BX41</f>
        <v/>
      </c>
      <c r="AK44" s="11" t="str">
        <f>Control!BY41</f>
        <v/>
      </c>
      <c r="AL44" s="11" t="str">
        <f>Control!BZ41</f>
        <v/>
      </c>
      <c r="AM44" s="11" t="str">
        <f>Control!CA41</f>
        <v/>
      </c>
      <c r="AN44" s="11" t="str">
        <f>Control!CB41</f>
        <v/>
      </c>
      <c r="AO44" s="11" t="str">
        <f>Control!CC41</f>
        <v/>
      </c>
      <c r="AP44" s="11" t="str">
        <f>Control!CD41</f>
        <v/>
      </c>
      <c r="AQ44" s="11" t="str">
        <f>Control!CE41</f>
        <v/>
      </c>
      <c r="AR44" s="11" t="str">
        <f>Control!CG41</f>
        <v/>
      </c>
      <c r="AS44" s="11" t="str">
        <f>Control!CH41</f>
        <v/>
      </c>
      <c r="AT44" s="11" t="str">
        <f>Control!CI41</f>
        <v/>
      </c>
      <c r="AU44" s="11" t="str">
        <f>Control!CJ41</f>
        <v/>
      </c>
      <c r="AV44" s="11" t="str">
        <f>Control!CK41</f>
        <v/>
      </c>
    </row>
    <row r="45" spans="1:48" s="8" customFormat="1" hidden="1" x14ac:dyDescent="0.25">
      <c r="A45" s="32"/>
      <c r="B45" s="32"/>
      <c r="C45" s="32"/>
      <c r="D45" s="32"/>
      <c r="E45" s="32"/>
      <c r="F45" s="32"/>
      <c r="G45" s="32"/>
      <c r="H45" s="32"/>
      <c r="I45" s="32"/>
      <c r="O45" s="16"/>
      <c r="S45" s="32"/>
      <c r="AG45" s="32"/>
      <c r="AH45" s="11" t="str">
        <f>Control!BV42</f>
        <v/>
      </c>
      <c r="AI45" s="11" t="str">
        <f>Control!BW42</f>
        <v/>
      </c>
      <c r="AJ45" s="11" t="str">
        <f>Control!BX42</f>
        <v/>
      </c>
      <c r="AK45" s="11" t="str">
        <f>Control!BY42</f>
        <v/>
      </c>
      <c r="AL45" s="11" t="str">
        <f>Control!BZ42</f>
        <v/>
      </c>
      <c r="AM45" s="11" t="str">
        <f>Control!CA42</f>
        <v/>
      </c>
      <c r="AN45" s="11" t="str">
        <f>Control!CB42</f>
        <v/>
      </c>
      <c r="AO45" s="11" t="str">
        <f>Control!CC42</f>
        <v/>
      </c>
      <c r="AP45" s="11" t="str">
        <f>Control!CD42</f>
        <v/>
      </c>
      <c r="AQ45" s="11" t="str">
        <f>Control!CE42</f>
        <v/>
      </c>
      <c r="AR45" s="11" t="str">
        <f>Control!CG42</f>
        <v/>
      </c>
      <c r="AS45" s="11" t="str">
        <f>Control!CH42</f>
        <v/>
      </c>
      <c r="AT45" s="11" t="str">
        <f>Control!CI42</f>
        <v/>
      </c>
      <c r="AU45" s="11" t="str">
        <f>Control!CJ42</f>
        <v/>
      </c>
      <c r="AV45" s="11" t="str">
        <f>Control!CK42</f>
        <v/>
      </c>
    </row>
    <row r="46" spans="1:48" s="8" customFormat="1" hidden="1" x14ac:dyDescent="0.25">
      <c r="A46" s="32"/>
      <c r="B46" s="32"/>
      <c r="C46" s="32"/>
      <c r="D46" s="32"/>
      <c r="E46" s="32"/>
      <c r="F46" s="32"/>
      <c r="G46" s="32"/>
      <c r="H46" s="32"/>
      <c r="I46" s="32"/>
      <c r="S46" s="32"/>
      <c r="AG46" s="32"/>
      <c r="AH46" s="11" t="str">
        <f>Control!BV43</f>
        <v/>
      </c>
      <c r="AI46" s="11" t="str">
        <f>Control!BW43</f>
        <v/>
      </c>
      <c r="AJ46" s="11" t="str">
        <f>Control!BX43</f>
        <v/>
      </c>
      <c r="AK46" s="11" t="str">
        <f>Control!BY43</f>
        <v/>
      </c>
      <c r="AL46" s="11" t="str">
        <f>Control!BZ43</f>
        <v/>
      </c>
      <c r="AM46" s="11" t="str">
        <f>Control!CA43</f>
        <v/>
      </c>
      <c r="AN46" s="11" t="str">
        <f>Control!CB43</f>
        <v/>
      </c>
      <c r="AO46" s="11" t="str">
        <f>Control!CC43</f>
        <v/>
      </c>
      <c r="AP46" s="11" t="str">
        <f>Control!CD43</f>
        <v/>
      </c>
      <c r="AQ46" s="11" t="str">
        <f>Control!CE43</f>
        <v/>
      </c>
      <c r="AR46" s="11" t="str">
        <f>Control!CG43</f>
        <v/>
      </c>
      <c r="AS46" s="11" t="str">
        <f>Control!CH43</f>
        <v/>
      </c>
      <c r="AT46" s="11" t="str">
        <f>Control!CI43</f>
        <v/>
      </c>
      <c r="AU46" s="11" t="str">
        <f>Control!CJ43</f>
        <v/>
      </c>
      <c r="AV46" s="11" t="str">
        <f>Control!CK43</f>
        <v/>
      </c>
    </row>
    <row r="47" spans="1:48" s="8" customFormat="1" hidden="1" x14ac:dyDescent="0.25">
      <c r="A47" s="32"/>
      <c r="B47" s="32"/>
      <c r="C47" s="32"/>
      <c r="D47" s="32"/>
      <c r="E47" s="32"/>
      <c r="F47" s="32"/>
      <c r="G47" s="32"/>
      <c r="H47" s="32"/>
      <c r="I47" s="32"/>
      <c r="S47" s="32"/>
      <c r="AG47" s="32"/>
      <c r="AH47" s="11" t="str">
        <f>Control!BV44</f>
        <v/>
      </c>
      <c r="AI47" s="11" t="str">
        <f>Control!BW44</f>
        <v/>
      </c>
      <c r="AJ47" s="11" t="str">
        <f>Control!BX44</f>
        <v/>
      </c>
      <c r="AK47" s="11" t="str">
        <f>Control!BY44</f>
        <v/>
      </c>
      <c r="AL47" s="11" t="str">
        <f>Control!BZ44</f>
        <v/>
      </c>
      <c r="AM47" s="11" t="str">
        <f>Control!CA44</f>
        <v/>
      </c>
      <c r="AN47" s="11" t="str">
        <f>Control!CB44</f>
        <v/>
      </c>
      <c r="AO47" s="11" t="str">
        <f>Control!CC44</f>
        <v/>
      </c>
      <c r="AP47" s="11" t="str">
        <f>Control!CD44</f>
        <v/>
      </c>
      <c r="AQ47" s="11" t="str">
        <f>Control!CE44</f>
        <v/>
      </c>
      <c r="AR47" s="11" t="str">
        <f>Control!CG44</f>
        <v/>
      </c>
      <c r="AS47" s="11" t="str">
        <f>Control!CH44</f>
        <v/>
      </c>
      <c r="AT47" s="11" t="str">
        <f>Control!CI44</f>
        <v/>
      </c>
      <c r="AU47" s="11" t="str">
        <f>Control!CJ44</f>
        <v/>
      </c>
      <c r="AV47" s="11" t="str">
        <f>Control!CK44</f>
        <v/>
      </c>
    </row>
    <row r="48" spans="1:48" s="8" customFormat="1" hidden="1" x14ac:dyDescent="0.25">
      <c r="A48" s="32"/>
      <c r="B48" s="32"/>
      <c r="C48" s="32"/>
      <c r="D48" s="32"/>
      <c r="E48" s="32"/>
      <c r="F48" s="32"/>
      <c r="G48" s="32"/>
      <c r="H48" s="32"/>
      <c r="I48" s="32"/>
      <c r="S48" s="32"/>
      <c r="AG48" s="32"/>
      <c r="AH48" s="11" t="str">
        <f>Control!BV45</f>
        <v/>
      </c>
      <c r="AI48" s="11" t="str">
        <f>Control!BW45</f>
        <v/>
      </c>
      <c r="AJ48" s="11" t="str">
        <f>Control!BX45</f>
        <v/>
      </c>
      <c r="AK48" s="11" t="str">
        <f>Control!BY45</f>
        <v/>
      </c>
      <c r="AL48" s="11" t="str">
        <f>Control!BZ45</f>
        <v/>
      </c>
      <c r="AM48" s="11" t="str">
        <f>Control!CA45</f>
        <v/>
      </c>
      <c r="AN48" s="11" t="str">
        <f>Control!CB45</f>
        <v/>
      </c>
      <c r="AO48" s="11" t="str">
        <f>Control!CC45</f>
        <v/>
      </c>
      <c r="AP48" s="11" t="str">
        <f>Control!CD45</f>
        <v/>
      </c>
      <c r="AQ48" s="11" t="str">
        <f>Control!CE45</f>
        <v/>
      </c>
      <c r="AR48" s="11" t="str">
        <f>Control!CG45</f>
        <v/>
      </c>
      <c r="AS48" s="11" t="str">
        <f>Control!CH45</f>
        <v/>
      </c>
      <c r="AT48" s="11" t="str">
        <f>Control!CI45</f>
        <v/>
      </c>
      <c r="AU48" s="11" t="str">
        <f>Control!CJ45</f>
        <v/>
      </c>
      <c r="AV48" s="11" t="str">
        <f>Control!CK45</f>
        <v/>
      </c>
    </row>
    <row r="49" spans="1:48" s="8" customFormat="1" hidden="1" x14ac:dyDescent="0.25">
      <c r="A49" s="32"/>
      <c r="B49" s="32"/>
      <c r="C49" s="32"/>
      <c r="D49" s="32"/>
      <c r="E49" s="32"/>
      <c r="F49" s="32"/>
      <c r="G49" s="32"/>
      <c r="H49" s="32"/>
      <c r="I49" s="32"/>
      <c r="S49" s="32"/>
      <c r="AG49" s="32"/>
      <c r="AH49" s="11" t="str">
        <f>Control!BV46</f>
        <v/>
      </c>
      <c r="AI49" s="11" t="str">
        <f>Control!BW46</f>
        <v/>
      </c>
      <c r="AJ49" s="11" t="str">
        <f>Control!BX46</f>
        <v/>
      </c>
      <c r="AK49" s="11" t="str">
        <f>Control!BY46</f>
        <v/>
      </c>
      <c r="AL49" s="11" t="str">
        <f>Control!BZ46</f>
        <v/>
      </c>
      <c r="AM49" s="11" t="str">
        <f>Control!CA46</f>
        <v/>
      </c>
      <c r="AN49" s="11" t="str">
        <f>Control!CB46</f>
        <v/>
      </c>
      <c r="AO49" s="11" t="str">
        <f>Control!CC46</f>
        <v/>
      </c>
      <c r="AP49" s="11" t="str">
        <f>Control!CD46</f>
        <v/>
      </c>
      <c r="AQ49" s="11" t="str">
        <f>Control!CE46</f>
        <v/>
      </c>
      <c r="AR49" s="11" t="str">
        <f>Control!CG46</f>
        <v/>
      </c>
      <c r="AS49" s="11" t="str">
        <f>Control!CH46</f>
        <v/>
      </c>
      <c r="AT49" s="11" t="str">
        <f>Control!CI46</f>
        <v/>
      </c>
      <c r="AU49" s="11" t="str">
        <f>Control!CJ46</f>
        <v/>
      </c>
      <c r="AV49" s="11" t="str">
        <f>Control!CK46</f>
        <v/>
      </c>
    </row>
    <row r="50" spans="1:48" s="8" customFormat="1" hidden="1" x14ac:dyDescent="0.25">
      <c r="A50" s="32"/>
      <c r="B50" s="32"/>
      <c r="C50" s="32"/>
      <c r="D50" s="32"/>
      <c r="E50" s="32"/>
      <c r="F50" s="32"/>
      <c r="G50" s="32"/>
      <c r="H50" s="32"/>
      <c r="I50" s="32"/>
      <c r="S50" s="32"/>
      <c r="AG50" s="32"/>
      <c r="AH50" s="11" t="str">
        <f>Control!BV47</f>
        <v/>
      </c>
      <c r="AI50" s="11" t="str">
        <f>Control!BW47</f>
        <v/>
      </c>
      <c r="AJ50" s="11" t="str">
        <f>Control!BX47</f>
        <v/>
      </c>
      <c r="AK50" s="11" t="str">
        <f>Control!BY47</f>
        <v/>
      </c>
      <c r="AL50" s="11" t="str">
        <f>Control!BZ47</f>
        <v/>
      </c>
      <c r="AM50" s="11" t="str">
        <f>Control!CA47</f>
        <v/>
      </c>
      <c r="AN50" s="11" t="str">
        <f>Control!CB47</f>
        <v/>
      </c>
      <c r="AO50" s="11" t="str">
        <f>Control!CC47</f>
        <v/>
      </c>
      <c r="AP50" s="11" t="str">
        <f>Control!CD47</f>
        <v/>
      </c>
      <c r="AQ50" s="11" t="str">
        <f>Control!CE47</f>
        <v/>
      </c>
      <c r="AR50" s="11" t="str">
        <f>Control!CG47</f>
        <v/>
      </c>
      <c r="AS50" s="11" t="str">
        <f>Control!CH47</f>
        <v/>
      </c>
      <c r="AT50" s="11" t="str">
        <f>Control!CI47</f>
        <v/>
      </c>
      <c r="AU50" s="11" t="str">
        <f>Control!CJ47</f>
        <v/>
      </c>
      <c r="AV50" s="11" t="str">
        <f>Control!CK47</f>
        <v/>
      </c>
    </row>
    <row r="51" spans="1:48" s="8" customFormat="1" hidden="1" x14ac:dyDescent="0.25">
      <c r="A51" s="32"/>
      <c r="B51" s="32"/>
      <c r="C51" s="32"/>
      <c r="D51" s="32"/>
      <c r="E51" s="32"/>
      <c r="F51" s="32"/>
      <c r="G51" s="32"/>
      <c r="H51" s="32"/>
      <c r="I51" s="32"/>
      <c r="S51" s="32"/>
      <c r="AG51" s="32"/>
    </row>
    <row r="52" spans="1:48" s="8" customFormat="1" hidden="1" x14ac:dyDescent="0.25">
      <c r="A52" s="32"/>
      <c r="B52" s="32"/>
      <c r="C52" s="32"/>
      <c r="D52" s="32"/>
      <c r="E52" s="32"/>
      <c r="F52" s="32"/>
      <c r="G52" s="32"/>
      <c r="H52" s="32"/>
      <c r="I52" s="32"/>
      <c r="S52" s="32"/>
      <c r="AG52" s="32"/>
    </row>
    <row r="53" spans="1:48" s="8" customFormat="1" hidden="1" x14ac:dyDescent="0.25">
      <c r="A53" s="32"/>
      <c r="B53" s="32"/>
      <c r="C53" s="32"/>
      <c r="D53" s="32"/>
      <c r="E53" s="32"/>
      <c r="F53" s="32"/>
      <c r="G53" s="32"/>
      <c r="H53" s="32"/>
      <c r="I53" s="32"/>
      <c r="S53" s="32"/>
      <c r="AG53" s="32"/>
    </row>
    <row r="54" spans="1:48" s="8" customFormat="1" hidden="1" x14ac:dyDescent="0.25">
      <c r="A54" s="32"/>
      <c r="B54" s="32"/>
      <c r="C54" s="32"/>
      <c r="D54" s="32"/>
      <c r="E54" s="32"/>
      <c r="F54" s="32"/>
      <c r="G54" s="32"/>
      <c r="H54" s="32"/>
      <c r="I54" s="32"/>
      <c r="S54" s="32"/>
      <c r="AG54" s="32"/>
    </row>
    <row r="55" spans="1:48" s="8" customFormat="1" hidden="1" x14ac:dyDescent="0.25">
      <c r="A55" s="32"/>
      <c r="B55" s="32"/>
      <c r="C55" s="32"/>
      <c r="D55" s="32"/>
      <c r="E55" s="32"/>
      <c r="F55" s="32"/>
      <c r="G55" s="32"/>
      <c r="H55" s="32"/>
      <c r="I55" s="32"/>
      <c r="S55" s="32"/>
      <c r="AG55" s="32"/>
    </row>
    <row r="56" spans="1:48" s="8" customFormat="1" hidden="1" x14ac:dyDescent="0.25">
      <c r="A56" s="32"/>
      <c r="B56" s="32"/>
      <c r="C56" s="32"/>
      <c r="D56" s="32"/>
      <c r="E56" s="32"/>
      <c r="F56" s="32"/>
      <c r="G56" s="32"/>
      <c r="H56" s="32"/>
      <c r="I56" s="32"/>
      <c r="S56" s="32"/>
      <c r="AG56" s="32"/>
    </row>
    <row r="57" spans="1:48" s="8" customFormat="1" hidden="1" x14ac:dyDescent="0.25">
      <c r="A57" s="32"/>
      <c r="B57" s="32"/>
      <c r="C57" s="32"/>
      <c r="D57" s="32"/>
      <c r="E57" s="32"/>
      <c r="F57" s="32"/>
      <c r="G57" s="32"/>
      <c r="H57" s="32"/>
      <c r="I57" s="32"/>
      <c r="S57" s="32"/>
      <c r="AG57" s="32"/>
    </row>
    <row r="58" spans="1:48" s="8" customFormat="1" hidden="1" x14ac:dyDescent="0.25">
      <c r="A58" s="32"/>
      <c r="B58" s="32"/>
      <c r="C58" s="32"/>
      <c r="D58" s="32"/>
      <c r="E58" s="32"/>
      <c r="F58" s="32"/>
      <c r="G58" s="32"/>
      <c r="H58" s="32"/>
      <c r="I58" s="32"/>
      <c r="S58" s="32"/>
      <c r="AG58" s="32"/>
    </row>
    <row r="59" spans="1:48" s="8" customFormat="1" hidden="1" x14ac:dyDescent="0.25">
      <c r="A59" s="32"/>
      <c r="B59" s="32"/>
      <c r="C59" s="32"/>
      <c r="D59" s="32"/>
      <c r="E59" s="32"/>
      <c r="F59" s="32"/>
      <c r="G59" s="32"/>
      <c r="H59" s="32"/>
      <c r="I59" s="32"/>
      <c r="S59" s="32"/>
      <c r="AG59" s="32"/>
    </row>
    <row r="60" spans="1:48" s="8" customFormat="1" hidden="1" x14ac:dyDescent="0.25">
      <c r="A60" s="32"/>
      <c r="B60" s="32"/>
      <c r="C60" s="32"/>
      <c r="D60" s="32"/>
      <c r="E60" s="32"/>
      <c r="F60" s="32"/>
      <c r="G60" s="32"/>
      <c r="H60" s="32"/>
      <c r="I60" s="32"/>
      <c r="S60" s="32"/>
      <c r="AG60" s="32"/>
    </row>
    <row r="61" spans="1:48" s="8" customFormat="1" hidden="1" x14ac:dyDescent="0.25">
      <c r="A61" s="32"/>
      <c r="B61" s="32"/>
      <c r="C61" s="32"/>
      <c r="D61" s="32"/>
      <c r="E61" s="32"/>
      <c r="F61" s="32"/>
      <c r="G61" s="32"/>
      <c r="H61" s="32"/>
      <c r="I61" s="32"/>
      <c r="S61" s="32"/>
      <c r="AG61" s="32"/>
    </row>
    <row r="62" spans="1:48" s="8" customFormat="1" hidden="1" x14ac:dyDescent="0.25">
      <c r="A62" s="32"/>
      <c r="B62" s="32"/>
      <c r="C62" s="32"/>
      <c r="D62" s="32"/>
      <c r="E62" s="32"/>
      <c r="F62" s="32"/>
      <c r="G62" s="32"/>
      <c r="H62" s="32"/>
      <c r="I62" s="32"/>
      <c r="S62" s="32"/>
      <c r="AG62" s="32"/>
    </row>
    <row r="63" spans="1:48" s="8" customFormat="1" hidden="1" x14ac:dyDescent="0.25">
      <c r="A63" s="32"/>
      <c r="B63" s="32"/>
      <c r="C63" s="32"/>
      <c r="D63" s="32"/>
      <c r="E63" s="32"/>
      <c r="F63" s="32"/>
      <c r="G63" s="32"/>
      <c r="H63" s="32"/>
      <c r="I63" s="32"/>
      <c r="S63" s="32"/>
      <c r="AG63" s="32"/>
    </row>
    <row r="64" spans="1:48" s="8" customFormat="1" hidden="1" x14ac:dyDescent="0.25">
      <c r="A64" s="32"/>
      <c r="B64" s="32"/>
      <c r="C64" s="32"/>
      <c r="D64" s="32"/>
      <c r="E64" s="32"/>
      <c r="F64" s="32"/>
      <c r="G64" s="32"/>
      <c r="H64" s="32"/>
      <c r="I64" s="32"/>
      <c r="S64" s="32"/>
      <c r="AG64" s="32"/>
    </row>
    <row r="65" spans="1:33" s="8" customFormat="1" hidden="1" x14ac:dyDescent="0.25">
      <c r="A65" s="32"/>
      <c r="B65" s="32"/>
      <c r="C65" s="32"/>
      <c r="D65" s="32"/>
      <c r="E65" s="32"/>
      <c r="F65" s="32"/>
      <c r="G65" s="32"/>
      <c r="H65" s="32"/>
      <c r="I65" s="32"/>
      <c r="S65" s="32"/>
      <c r="AG65" s="32"/>
    </row>
    <row r="66" spans="1:33" s="8" customFormat="1" hidden="1" x14ac:dyDescent="0.25">
      <c r="A66" s="32"/>
      <c r="B66" s="32"/>
      <c r="C66" s="32"/>
      <c r="D66" s="32"/>
      <c r="E66" s="32"/>
      <c r="F66" s="32"/>
      <c r="G66" s="32"/>
      <c r="H66" s="32"/>
      <c r="I66" s="32"/>
      <c r="S66" s="32"/>
      <c r="AG66" s="32"/>
    </row>
    <row r="67" spans="1:33" s="8" customFormat="1" hidden="1" x14ac:dyDescent="0.25">
      <c r="A67" s="32"/>
      <c r="B67" s="32"/>
      <c r="C67" s="32"/>
      <c r="D67" s="32"/>
      <c r="E67" s="32"/>
      <c r="F67" s="32"/>
      <c r="G67" s="32"/>
      <c r="H67" s="32"/>
      <c r="I67" s="32"/>
      <c r="S67" s="32"/>
      <c r="AG67" s="32"/>
    </row>
    <row r="68" spans="1:33" s="8" customFormat="1" hidden="1" x14ac:dyDescent="0.25">
      <c r="A68" s="32"/>
      <c r="B68" s="32"/>
      <c r="C68" s="32"/>
      <c r="D68" s="32"/>
      <c r="E68" s="32"/>
      <c r="F68" s="32"/>
      <c r="G68" s="32"/>
      <c r="H68" s="32"/>
      <c r="I68" s="32"/>
      <c r="S68" s="32"/>
      <c r="AG68" s="32"/>
    </row>
    <row r="69" spans="1:33" s="8" customFormat="1" hidden="1" x14ac:dyDescent="0.25">
      <c r="A69" s="32"/>
      <c r="B69" s="32"/>
      <c r="C69" s="32"/>
      <c r="D69" s="32"/>
      <c r="E69" s="32"/>
      <c r="F69" s="32"/>
      <c r="G69" s="32"/>
      <c r="H69" s="32"/>
      <c r="I69" s="32"/>
      <c r="S69" s="32"/>
      <c r="AG69" s="32"/>
    </row>
    <row r="70" spans="1:33" s="8" customFormat="1" hidden="1" x14ac:dyDescent="0.25">
      <c r="A70" s="32"/>
      <c r="B70" s="32"/>
      <c r="C70" s="32"/>
      <c r="D70" s="32"/>
      <c r="E70" s="32"/>
      <c r="F70" s="32"/>
      <c r="G70" s="32"/>
      <c r="H70" s="32"/>
      <c r="I70" s="32"/>
      <c r="S70" s="32"/>
      <c r="AG70" s="32"/>
    </row>
    <row r="71" spans="1:33" s="8" customFormat="1" hidden="1" x14ac:dyDescent="0.25">
      <c r="A71" s="32"/>
      <c r="B71" s="32"/>
      <c r="C71" s="32"/>
      <c r="D71" s="32"/>
      <c r="E71" s="32"/>
      <c r="F71" s="32"/>
      <c r="G71" s="32"/>
      <c r="H71" s="32"/>
      <c r="I71" s="32"/>
      <c r="S71" s="32"/>
      <c r="AG71" s="32"/>
    </row>
    <row r="72" spans="1:33" s="8" customFormat="1" hidden="1" x14ac:dyDescent="0.25">
      <c r="A72" s="32"/>
      <c r="B72" s="32"/>
      <c r="C72" s="32"/>
      <c r="D72" s="32"/>
      <c r="E72" s="32"/>
      <c r="F72" s="32"/>
      <c r="G72" s="32"/>
      <c r="H72" s="32"/>
      <c r="I72" s="32"/>
      <c r="S72" s="32"/>
      <c r="AG72" s="32"/>
    </row>
    <row r="73" spans="1:33" s="8" customFormat="1" hidden="1" x14ac:dyDescent="0.25">
      <c r="A73" s="32"/>
      <c r="B73" s="32"/>
      <c r="C73" s="32"/>
      <c r="D73" s="32"/>
      <c r="E73" s="32"/>
      <c r="F73" s="32"/>
      <c r="G73" s="32"/>
      <c r="H73" s="32"/>
      <c r="I73" s="32"/>
      <c r="S73" s="32"/>
      <c r="AG73" s="32"/>
    </row>
    <row r="74" spans="1:33" s="8" customFormat="1" hidden="1" x14ac:dyDescent="0.25">
      <c r="A74" s="32"/>
      <c r="B74" s="32"/>
      <c r="C74" s="32"/>
      <c r="D74" s="32"/>
      <c r="E74" s="32"/>
      <c r="F74" s="32"/>
      <c r="G74" s="32"/>
      <c r="H74" s="32"/>
      <c r="I74" s="32"/>
      <c r="S74" s="32"/>
      <c r="AG74" s="32"/>
    </row>
    <row r="75" spans="1:33" s="8" customFormat="1" hidden="1" x14ac:dyDescent="0.25">
      <c r="A75" s="32"/>
      <c r="B75" s="32"/>
      <c r="C75" s="32"/>
      <c r="D75" s="32"/>
      <c r="E75" s="32"/>
      <c r="F75" s="32"/>
      <c r="G75" s="32"/>
      <c r="H75" s="32"/>
      <c r="I75" s="32"/>
      <c r="S75" s="32"/>
      <c r="AG75" s="32"/>
    </row>
    <row r="76" spans="1:33" s="8" customFormat="1" hidden="1" x14ac:dyDescent="0.25">
      <c r="A76" s="32"/>
      <c r="B76" s="32"/>
      <c r="C76" s="32"/>
      <c r="D76" s="32"/>
      <c r="E76" s="32"/>
      <c r="F76" s="32"/>
      <c r="G76" s="32"/>
      <c r="H76" s="32"/>
      <c r="I76" s="32"/>
      <c r="S76" s="32"/>
      <c r="AG76" s="32"/>
    </row>
    <row r="77" spans="1:33" s="8" customFormat="1" hidden="1" x14ac:dyDescent="0.25">
      <c r="A77" s="32"/>
      <c r="B77" s="32"/>
      <c r="C77" s="32"/>
      <c r="D77" s="32"/>
      <c r="E77" s="32"/>
      <c r="F77" s="32"/>
      <c r="G77" s="32"/>
      <c r="H77" s="32"/>
      <c r="I77" s="32"/>
      <c r="S77" s="32"/>
      <c r="AG77" s="32"/>
    </row>
    <row r="78" spans="1:33" s="8" customFormat="1" hidden="1" x14ac:dyDescent="0.25">
      <c r="A78" s="32"/>
      <c r="B78" s="32"/>
      <c r="C78" s="32"/>
      <c r="D78" s="32"/>
      <c r="E78" s="32"/>
      <c r="F78" s="32"/>
      <c r="G78" s="32"/>
      <c r="H78" s="32"/>
      <c r="I78" s="32"/>
      <c r="S78" s="32"/>
      <c r="AG78" s="32"/>
    </row>
    <row r="79" spans="1:33" s="8" customFormat="1" hidden="1" x14ac:dyDescent="0.25">
      <c r="A79" s="32"/>
      <c r="B79" s="32"/>
      <c r="C79" s="32"/>
      <c r="D79" s="32"/>
      <c r="E79" s="32"/>
      <c r="F79" s="32"/>
      <c r="G79" s="32"/>
      <c r="H79" s="32"/>
      <c r="I79" s="32"/>
      <c r="S79" s="32"/>
      <c r="AG79" s="32"/>
    </row>
    <row r="80" spans="1:33" s="8" customFormat="1" hidden="1" x14ac:dyDescent="0.25">
      <c r="A80" s="32"/>
      <c r="B80" s="32"/>
      <c r="C80" s="32"/>
      <c r="D80" s="32"/>
      <c r="E80" s="32"/>
      <c r="F80" s="32"/>
      <c r="G80" s="32"/>
      <c r="H80" s="32"/>
      <c r="I80" s="32"/>
      <c r="S80" s="32"/>
      <c r="AG80" s="32"/>
    </row>
    <row r="81" spans="1:33" s="8" customFormat="1" hidden="1" x14ac:dyDescent="0.25">
      <c r="A81" s="32"/>
      <c r="B81" s="32"/>
      <c r="C81" s="32"/>
      <c r="D81" s="32"/>
      <c r="E81" s="32"/>
      <c r="F81" s="32"/>
      <c r="G81" s="32"/>
      <c r="H81" s="32"/>
      <c r="I81" s="32"/>
      <c r="S81" s="32"/>
      <c r="AG81" s="32"/>
    </row>
    <row r="82" spans="1:33" s="8" customFormat="1" hidden="1" x14ac:dyDescent="0.25">
      <c r="A82" s="32"/>
      <c r="B82" s="32"/>
      <c r="C82" s="32"/>
      <c r="D82" s="32"/>
      <c r="E82" s="32"/>
      <c r="F82" s="32"/>
      <c r="G82" s="32"/>
      <c r="H82" s="32"/>
      <c r="I82" s="32"/>
      <c r="S82" s="32"/>
      <c r="AG82" s="32"/>
    </row>
    <row r="83" spans="1:33" s="8" customFormat="1" hidden="1" x14ac:dyDescent="0.25">
      <c r="A83" s="32"/>
      <c r="B83" s="32"/>
      <c r="C83" s="32"/>
      <c r="D83" s="32"/>
      <c r="E83" s="32"/>
      <c r="F83" s="32"/>
      <c r="G83" s="32"/>
      <c r="H83" s="32"/>
      <c r="I83" s="32"/>
      <c r="S83" s="32"/>
      <c r="AG83" s="32"/>
    </row>
    <row r="84" spans="1:33" s="8" customFormat="1" hidden="1" x14ac:dyDescent="0.25">
      <c r="A84" s="32"/>
      <c r="B84" s="32"/>
      <c r="C84" s="32"/>
      <c r="D84" s="32"/>
      <c r="E84" s="32"/>
      <c r="F84" s="32"/>
      <c r="G84" s="32"/>
      <c r="H84" s="32"/>
      <c r="I84" s="32"/>
      <c r="S84" s="32"/>
      <c r="AG84" s="32"/>
    </row>
    <row r="85" spans="1:33" s="8" customFormat="1" hidden="1" x14ac:dyDescent="0.25">
      <c r="A85" s="32"/>
      <c r="B85" s="32"/>
      <c r="C85" s="32"/>
      <c r="D85" s="32"/>
      <c r="E85" s="32"/>
      <c r="F85" s="32"/>
      <c r="G85" s="32"/>
      <c r="H85" s="32"/>
      <c r="I85" s="32"/>
      <c r="S85" s="32"/>
      <c r="AG85" s="32"/>
    </row>
    <row r="86" spans="1:33" s="8" customFormat="1" hidden="1" x14ac:dyDescent="0.25">
      <c r="A86" s="32"/>
      <c r="B86" s="32"/>
      <c r="C86" s="32"/>
      <c r="D86" s="32"/>
      <c r="E86" s="32"/>
      <c r="F86" s="32"/>
      <c r="G86" s="32"/>
      <c r="H86" s="32"/>
      <c r="I86" s="32"/>
      <c r="S86" s="32"/>
      <c r="AG86" s="32"/>
    </row>
    <row r="87" spans="1:33" s="8" customFormat="1" hidden="1" x14ac:dyDescent="0.25">
      <c r="A87" s="32"/>
      <c r="B87" s="32"/>
      <c r="C87" s="32"/>
      <c r="D87" s="32"/>
      <c r="E87" s="32"/>
      <c r="F87" s="32"/>
      <c r="G87" s="32"/>
      <c r="H87" s="32"/>
      <c r="I87" s="32"/>
      <c r="S87" s="32"/>
      <c r="AG87" s="32"/>
    </row>
    <row r="88" spans="1:33" s="8" customFormat="1" hidden="1" x14ac:dyDescent="0.25">
      <c r="A88" s="32"/>
      <c r="B88" s="32"/>
      <c r="C88" s="32"/>
      <c r="D88" s="32"/>
      <c r="E88" s="32"/>
      <c r="F88" s="32"/>
      <c r="G88" s="32"/>
      <c r="H88" s="32"/>
      <c r="I88" s="32"/>
      <c r="S88" s="32"/>
      <c r="AG88" s="32"/>
    </row>
    <row r="89" spans="1:33" s="8" customFormat="1" hidden="1" x14ac:dyDescent="0.25">
      <c r="A89" s="32"/>
      <c r="B89" s="32"/>
      <c r="C89" s="32"/>
      <c r="D89" s="32"/>
      <c r="E89" s="32"/>
      <c r="F89" s="32"/>
      <c r="G89" s="32"/>
      <c r="H89" s="32"/>
      <c r="I89" s="32"/>
      <c r="S89" s="32"/>
      <c r="AG89" s="32"/>
    </row>
    <row r="90" spans="1:33" s="8" customFormat="1" hidden="1" x14ac:dyDescent="0.25">
      <c r="A90" s="32"/>
      <c r="B90" s="32"/>
      <c r="C90" s="32"/>
      <c r="D90" s="32"/>
      <c r="E90" s="32"/>
      <c r="F90" s="32"/>
      <c r="G90" s="32"/>
      <c r="H90" s="32"/>
      <c r="I90" s="32"/>
      <c r="S90" s="32"/>
      <c r="AG90" s="32"/>
    </row>
    <row r="91" spans="1:33" s="8" customFormat="1" hidden="1" x14ac:dyDescent="0.25">
      <c r="A91" s="32"/>
      <c r="B91" s="32"/>
      <c r="C91" s="32"/>
      <c r="D91" s="32"/>
      <c r="E91" s="32"/>
      <c r="F91" s="32"/>
      <c r="G91" s="32"/>
      <c r="H91" s="32"/>
      <c r="I91" s="32"/>
      <c r="S91" s="32"/>
      <c r="AG91" s="32"/>
    </row>
    <row r="92" spans="1:33" s="8" customFormat="1" hidden="1" x14ac:dyDescent="0.25">
      <c r="A92" s="32"/>
      <c r="B92" s="32"/>
      <c r="C92" s="32"/>
      <c r="D92" s="32"/>
      <c r="E92" s="32"/>
      <c r="F92" s="32"/>
      <c r="G92" s="32"/>
      <c r="H92" s="32"/>
      <c r="I92" s="32"/>
      <c r="S92" s="32"/>
      <c r="AG92" s="32"/>
    </row>
    <row r="93" spans="1:33" s="8" customFormat="1" hidden="1" x14ac:dyDescent="0.25">
      <c r="A93" s="32"/>
      <c r="B93" s="32"/>
      <c r="C93" s="32"/>
      <c r="D93" s="32"/>
      <c r="E93" s="32"/>
      <c r="F93" s="32"/>
      <c r="G93" s="32"/>
      <c r="H93" s="32"/>
      <c r="I93" s="32"/>
      <c r="S93" s="32"/>
      <c r="AG93" s="32"/>
    </row>
    <row r="94" spans="1:33" s="8" customFormat="1" hidden="1" x14ac:dyDescent="0.25">
      <c r="A94" s="32"/>
      <c r="B94" s="32"/>
      <c r="C94" s="32"/>
      <c r="D94" s="32"/>
      <c r="E94" s="32"/>
      <c r="F94" s="32"/>
      <c r="G94" s="32"/>
      <c r="H94" s="32"/>
      <c r="I94" s="32"/>
      <c r="S94" s="32"/>
      <c r="AG94" s="32"/>
    </row>
    <row r="95" spans="1:33" s="8" customFormat="1" hidden="1" x14ac:dyDescent="0.25">
      <c r="A95" s="32"/>
      <c r="B95" s="32"/>
      <c r="C95" s="32"/>
      <c r="D95" s="32"/>
      <c r="E95" s="32"/>
      <c r="F95" s="32"/>
      <c r="G95" s="32"/>
      <c r="H95" s="32"/>
      <c r="I95" s="32"/>
      <c r="S95" s="32"/>
      <c r="AG95" s="32"/>
    </row>
    <row r="96" spans="1:33" s="8" customFormat="1" hidden="1" x14ac:dyDescent="0.25">
      <c r="A96" s="32"/>
      <c r="B96" s="32"/>
      <c r="C96" s="32"/>
      <c r="D96" s="32"/>
      <c r="E96" s="32"/>
      <c r="F96" s="32"/>
      <c r="G96" s="32"/>
      <c r="H96" s="32"/>
      <c r="I96" s="32"/>
      <c r="S96" s="32"/>
      <c r="AG96" s="32"/>
    </row>
    <row r="97" spans="1:33" s="8" customFormat="1" hidden="1" x14ac:dyDescent="0.25">
      <c r="A97" s="32"/>
      <c r="B97" s="32"/>
      <c r="C97" s="32"/>
      <c r="D97" s="32"/>
      <c r="E97" s="32"/>
      <c r="F97" s="32"/>
      <c r="G97" s="32"/>
      <c r="H97" s="32"/>
      <c r="I97" s="32"/>
      <c r="S97" s="32"/>
      <c r="AG97" s="32"/>
    </row>
    <row r="98" spans="1:33" s="8" customFormat="1" hidden="1" x14ac:dyDescent="0.25">
      <c r="A98" s="32"/>
      <c r="B98" s="32"/>
      <c r="C98" s="32"/>
      <c r="D98" s="32"/>
      <c r="E98" s="32"/>
      <c r="F98" s="32"/>
      <c r="G98" s="32"/>
      <c r="H98" s="32"/>
      <c r="I98" s="32"/>
      <c r="S98" s="32"/>
      <c r="AG98" s="32"/>
    </row>
    <row r="99" spans="1:33" s="8" customFormat="1" hidden="1" x14ac:dyDescent="0.25">
      <c r="A99" s="32"/>
      <c r="B99" s="32"/>
      <c r="C99" s="32"/>
      <c r="D99" s="32"/>
      <c r="E99" s="32"/>
      <c r="F99" s="32"/>
      <c r="G99" s="32"/>
      <c r="H99" s="32"/>
      <c r="I99" s="32"/>
      <c r="S99" s="32"/>
      <c r="AG99" s="32"/>
    </row>
    <row r="100" spans="1:33" s="8" customFormat="1" hidden="1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S100" s="32"/>
      <c r="AG100" s="32"/>
    </row>
  </sheetData>
  <sheetProtection sheet="1" objects="1" scenarios="1" autoFilter="0"/>
  <mergeCells count="174">
    <mergeCell ref="J36:K36"/>
    <mergeCell ref="L36:M36"/>
    <mergeCell ref="P1:R1"/>
    <mergeCell ref="P2:R2"/>
    <mergeCell ref="M1:O1"/>
    <mergeCell ref="M2:O2"/>
    <mergeCell ref="O34:R35"/>
    <mergeCell ref="J14:M15"/>
    <mergeCell ref="O7:R8"/>
    <mergeCell ref="J9:K10"/>
    <mergeCell ref="J11:K12"/>
    <mergeCell ref="L9:M10"/>
    <mergeCell ref="L11:M12"/>
    <mergeCell ref="Q9:R10"/>
    <mergeCell ref="Q11:R12"/>
    <mergeCell ref="J18:K19"/>
    <mergeCell ref="J20:K21"/>
    <mergeCell ref="J22:K23"/>
    <mergeCell ref="L16:M17"/>
    <mergeCell ref="L18:M19"/>
    <mergeCell ref="L20:M21"/>
    <mergeCell ref="J34:M35"/>
    <mergeCell ref="J25:M26"/>
    <mergeCell ref="O31:P32"/>
    <mergeCell ref="U6:V6"/>
    <mergeCell ref="U7:V7"/>
    <mergeCell ref="AA6:AC6"/>
    <mergeCell ref="AA7:AC7"/>
    <mergeCell ref="U10:V10"/>
    <mergeCell ref="AA8:AC8"/>
    <mergeCell ref="AA9:AC9"/>
    <mergeCell ref="Q31:R32"/>
    <mergeCell ref="J31:K32"/>
    <mergeCell ref="J29:K30"/>
    <mergeCell ref="O18:P19"/>
    <mergeCell ref="O14:R15"/>
    <mergeCell ref="Q16:R17"/>
    <mergeCell ref="Q18:R19"/>
    <mergeCell ref="J7:M8"/>
    <mergeCell ref="O20:P21"/>
    <mergeCell ref="O22:P23"/>
    <mergeCell ref="Q20:R21"/>
    <mergeCell ref="Q22:R23"/>
    <mergeCell ref="L22:M23"/>
    <mergeCell ref="J16:K17"/>
    <mergeCell ref="L31:M32"/>
    <mergeCell ref="L27:M28"/>
    <mergeCell ref="L29:M30"/>
    <mergeCell ref="O25:R26"/>
    <mergeCell ref="O27:P28"/>
    <mergeCell ref="O29:P30"/>
    <mergeCell ref="O9:P10"/>
    <mergeCell ref="O11:P12"/>
    <mergeCell ref="Q29:R30"/>
    <mergeCell ref="O16:P17"/>
    <mergeCell ref="T1:AF2"/>
    <mergeCell ref="T3:T4"/>
    <mergeCell ref="U3:V4"/>
    <mergeCell ref="W3:Y4"/>
    <mergeCell ref="AA3:AC4"/>
    <mergeCell ref="AF3:AF4"/>
    <mergeCell ref="Z3:Z4"/>
    <mergeCell ref="AD3:AD4"/>
    <mergeCell ref="AE3:AE4"/>
    <mergeCell ref="AF18:AF19"/>
    <mergeCell ref="AA18:AC19"/>
    <mergeCell ref="W10:Y10"/>
    <mergeCell ref="W11:Y11"/>
    <mergeCell ref="W12:Y12"/>
    <mergeCell ref="W13:Y13"/>
    <mergeCell ref="W23:Y23"/>
    <mergeCell ref="U26:V26"/>
    <mergeCell ref="AD33:AD34"/>
    <mergeCell ref="AE33:AE34"/>
    <mergeCell ref="AA11:AC11"/>
    <mergeCell ref="AA12:AC12"/>
    <mergeCell ref="AA13:AC13"/>
    <mergeCell ref="T31:AF32"/>
    <mergeCell ref="T33:T34"/>
    <mergeCell ref="U33:V34"/>
    <mergeCell ref="W33:Y34"/>
    <mergeCell ref="Z33:Z34"/>
    <mergeCell ref="AA33:AC34"/>
    <mergeCell ref="AF33:AF34"/>
    <mergeCell ref="U25:V25"/>
    <mergeCell ref="T16:AF17"/>
    <mergeCell ref="Z5:Z14"/>
    <mergeCell ref="T18:T19"/>
    <mergeCell ref="AD18:AD19"/>
    <mergeCell ref="AE18:AE19"/>
    <mergeCell ref="U9:V9"/>
    <mergeCell ref="W7:Y7"/>
    <mergeCell ref="W8:Y8"/>
    <mergeCell ref="W9:Y9"/>
    <mergeCell ref="W14:Y14"/>
    <mergeCell ref="U8:V8"/>
    <mergeCell ref="W22:Y22"/>
    <mergeCell ref="U20:V20"/>
    <mergeCell ref="U21:V21"/>
    <mergeCell ref="U22:V22"/>
    <mergeCell ref="U23:V23"/>
    <mergeCell ref="U24:V24"/>
    <mergeCell ref="U18:V19"/>
    <mergeCell ref="W18:Y19"/>
    <mergeCell ref="Z18:Z19"/>
    <mergeCell ref="AA10:AC10"/>
    <mergeCell ref="W24:Y24"/>
    <mergeCell ref="W25:Y25"/>
    <mergeCell ref="AR3:AV4"/>
    <mergeCell ref="Z35:Z39"/>
    <mergeCell ref="J1:L1"/>
    <mergeCell ref="J2:L2"/>
    <mergeCell ref="AH1:AV2"/>
    <mergeCell ref="AH3:AH4"/>
    <mergeCell ref="AI3:AI4"/>
    <mergeCell ref="AJ3:AJ4"/>
    <mergeCell ref="AK3:AK4"/>
    <mergeCell ref="AL3:AL4"/>
    <mergeCell ref="AM3:AM4"/>
    <mergeCell ref="AN3:AN4"/>
    <mergeCell ref="AP3:AP4"/>
    <mergeCell ref="AQ3:AQ4"/>
    <mergeCell ref="U11:V11"/>
    <mergeCell ref="U12:V12"/>
    <mergeCell ref="U13:V13"/>
    <mergeCell ref="U14:V14"/>
    <mergeCell ref="W5:Y5"/>
    <mergeCell ref="AO3:AO4"/>
    <mergeCell ref="U37:V37"/>
    <mergeCell ref="U38:V38"/>
    <mergeCell ref="U39:V39"/>
    <mergeCell ref="W35:Y35"/>
    <mergeCell ref="W36:Y36"/>
    <mergeCell ref="W37:Y37"/>
    <mergeCell ref="W38:Y38"/>
    <mergeCell ref="W39:Y39"/>
    <mergeCell ref="AA26:AC26"/>
    <mergeCell ref="AA27:AC27"/>
    <mergeCell ref="AA28:AC28"/>
    <mergeCell ref="AA29:AC29"/>
    <mergeCell ref="U35:V35"/>
    <mergeCell ref="U36:V36"/>
    <mergeCell ref="AA35:AC35"/>
    <mergeCell ref="AA36:AC36"/>
    <mergeCell ref="AA37:AC37"/>
    <mergeCell ref="U29:V29"/>
    <mergeCell ref="AA38:AC38"/>
    <mergeCell ref="AA39:AC39"/>
    <mergeCell ref="U27:V27"/>
    <mergeCell ref="U28:V28"/>
    <mergeCell ref="J3:J4"/>
    <mergeCell ref="K3:M4"/>
    <mergeCell ref="N3:N4"/>
    <mergeCell ref="O3:Q4"/>
    <mergeCell ref="R3:R4"/>
    <mergeCell ref="AA14:AC14"/>
    <mergeCell ref="Z20:Z29"/>
    <mergeCell ref="AA20:AC20"/>
    <mergeCell ref="AA21:AC21"/>
    <mergeCell ref="AA22:AC22"/>
    <mergeCell ref="AA23:AC23"/>
    <mergeCell ref="AA24:AC24"/>
    <mergeCell ref="W26:Y26"/>
    <mergeCell ref="W27:Y27"/>
    <mergeCell ref="W28:Y28"/>
    <mergeCell ref="W29:Y29"/>
    <mergeCell ref="AA25:AC25"/>
    <mergeCell ref="W20:Y20"/>
    <mergeCell ref="W21:Y21"/>
    <mergeCell ref="J27:K28"/>
    <mergeCell ref="Q27:R28"/>
    <mergeCell ref="W6:Y6"/>
    <mergeCell ref="AA5:AC5"/>
    <mergeCell ref="U5:V5"/>
  </mergeCells>
  <conditionalFormatting sqref="AR5:AV50">
    <cfRule type="cellIs" dxfId="65" priority="32" operator="equal">
      <formula>"L"</formula>
    </cfRule>
    <cfRule type="cellIs" dxfId="64" priority="33" operator="equal">
      <formula>"D"</formula>
    </cfRule>
    <cfRule type="cellIs" dxfId="63" priority="34" operator="equal">
      <formula>"W"</formula>
    </cfRule>
  </conditionalFormatting>
  <conditionalFormatting sqref="L9:M10">
    <cfRule type="cellIs" dxfId="62" priority="27" operator="lessThan">
      <formula>60%</formula>
    </cfRule>
    <cfRule type="cellIs" dxfId="61" priority="28" operator="between">
      <formula>60%</formula>
      <formula>75%</formula>
    </cfRule>
    <cfRule type="cellIs" dxfId="60" priority="29" operator="greaterThan">
      <formula>74%</formula>
    </cfRule>
  </conditionalFormatting>
  <conditionalFormatting sqref="L11:M12">
    <cfRule type="cellIs" dxfId="59" priority="24" operator="lessThan">
      <formula>40%</formula>
    </cfRule>
    <cfRule type="cellIs" dxfId="58" priority="25" operator="between">
      <formula>40%</formula>
      <formula>55%</formula>
    </cfRule>
    <cfRule type="cellIs" dxfId="57" priority="26" operator="greaterThan">
      <formula>54%</formula>
    </cfRule>
  </conditionalFormatting>
  <conditionalFormatting sqref="L16:M17">
    <cfRule type="cellIs" dxfId="56" priority="21" operator="lessThan">
      <formula>60%</formula>
    </cfRule>
    <cfRule type="cellIs" dxfId="55" priority="22" operator="between">
      <formula>60%</formula>
      <formula>75%</formula>
    </cfRule>
    <cfRule type="cellIs" dxfId="54" priority="23" operator="greaterThan">
      <formula>74%</formula>
    </cfRule>
  </conditionalFormatting>
  <conditionalFormatting sqref="L18:M19">
    <cfRule type="cellIs" dxfId="53" priority="18" operator="lessThan">
      <formula>50%</formula>
    </cfRule>
    <cfRule type="cellIs" dxfId="52" priority="19" operator="between">
      <formula>50%</formula>
      <formula>65%</formula>
    </cfRule>
    <cfRule type="cellIs" dxfId="51" priority="20" operator="greaterThan">
      <formula>64%</formula>
    </cfRule>
  </conditionalFormatting>
  <conditionalFormatting sqref="L20:M21">
    <cfRule type="cellIs" dxfId="50" priority="15" operator="lessThan">
      <formula>38%</formula>
    </cfRule>
    <cfRule type="cellIs" dxfId="49" priority="16" operator="between">
      <formula>38%</formula>
      <formula>50%</formula>
    </cfRule>
    <cfRule type="cellIs" dxfId="48" priority="17" operator="greaterThan">
      <formula>49%</formula>
    </cfRule>
  </conditionalFormatting>
  <conditionalFormatting sqref="L22:M23">
    <cfRule type="cellIs" dxfId="47" priority="12" operator="lessThan">
      <formula>50%</formula>
    </cfRule>
    <cfRule type="cellIs" dxfId="46" priority="13" operator="between">
      <formula>50%</formula>
      <formula>65%</formula>
    </cfRule>
    <cfRule type="cellIs" dxfId="45" priority="14" operator="greaterThan">
      <formula>64%</formula>
    </cfRule>
  </conditionalFormatting>
  <conditionalFormatting sqref="L27:M28">
    <cfRule type="cellIs" dxfId="44" priority="9" operator="lessThan">
      <formula>55%</formula>
    </cfRule>
    <cfRule type="cellIs" dxfId="43" priority="10" operator="between">
      <formula>55%</formula>
      <formula>70%</formula>
    </cfRule>
    <cfRule type="cellIs" dxfId="42" priority="11" operator="greaterThan">
      <formula>69%</formula>
    </cfRule>
  </conditionalFormatting>
  <conditionalFormatting sqref="L29:M30">
    <cfRule type="cellIs" dxfId="41" priority="6" operator="lessThan">
      <formula>50%</formula>
    </cfRule>
    <cfRule type="cellIs" dxfId="40" priority="7" operator="between">
      <formula>50%</formula>
      <formula>65%</formula>
    </cfRule>
    <cfRule type="cellIs" dxfId="39" priority="8" operator="greaterThan">
      <formula>64%</formula>
    </cfRule>
  </conditionalFormatting>
  <conditionalFormatting sqref="L31:M32">
    <cfRule type="cellIs" dxfId="38" priority="3" operator="lessThan">
      <formula>45%</formula>
    </cfRule>
    <cfRule type="cellIs" dxfId="37" priority="4" operator="between">
      <formula>45%</formula>
      <formula>60%</formula>
    </cfRule>
    <cfRule type="cellIs" dxfId="36" priority="5" operator="greaterThan">
      <formula>59%</formula>
    </cfRule>
  </conditionalFormatting>
  <conditionalFormatting sqref="J9:M32">
    <cfRule type="cellIs" dxfId="35" priority="2" operator="equal">
      <formula>0</formula>
    </cfRule>
  </conditionalFormatting>
  <conditionalFormatting sqref="O9:R32">
    <cfRule type="cellIs" dxfId="34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4" r:id="rId4" name="txtSearch">
          <controlPr defaultSize="0" autoLine="0" r:id="rId5">
            <anchor moveWithCells="1">
              <from>
                <xdr:col>2</xdr:col>
                <xdr:colOff>19050</xdr:colOff>
                <xdr:row>3</xdr:row>
                <xdr:rowOff>47625</xdr:rowOff>
              </from>
              <to>
                <xdr:col>5</xdr:col>
                <xdr:colOff>57150</xdr:colOff>
                <xdr:row>4</xdr:row>
                <xdr:rowOff>104775</xdr:rowOff>
              </to>
            </anchor>
          </controlPr>
        </control>
      </mc:Choice>
      <mc:Fallback>
        <control shapeId="2054" r:id="rId4" name="txtSearch"/>
      </mc:Fallback>
    </mc:AlternateContent>
    <mc:AlternateContent xmlns:mc="http://schemas.openxmlformats.org/markup-compatibility/2006">
      <mc:Choice Requires="x14">
        <control shapeId="2055" r:id="rId6" name="lstMatches">
          <controlPr defaultSize="0" autoLine="0" r:id="rId7">
            <anchor>
              <from>
                <xdr:col>0</xdr:col>
                <xdr:colOff>85725</xdr:colOff>
                <xdr:row>5</xdr:row>
                <xdr:rowOff>95250</xdr:rowOff>
              </from>
              <to>
                <xdr:col>8</xdr:col>
                <xdr:colOff>114300</xdr:colOff>
                <xdr:row>37</xdr:row>
                <xdr:rowOff>47625</xdr:rowOff>
              </to>
            </anchor>
          </controlPr>
        </control>
      </mc:Choice>
      <mc:Fallback>
        <control shapeId="2055" r:id="rId6" name="lstMatches"/>
      </mc:Fallback>
    </mc:AlternateContent>
    <mc:AlternateContent xmlns:mc="http://schemas.openxmlformats.org/markup-compatibility/2006">
      <mc:Choice Requires="x14">
        <control shapeId="2050" r:id="rId8" name="Drop Down 2">
          <controlPr defaultSize="0" autoLine="0" autoPict="0">
            <anchor moveWithCells="1">
              <from>
                <xdr:col>0</xdr:col>
                <xdr:colOff>85725</xdr:colOff>
                <xdr:row>0</xdr:row>
                <xdr:rowOff>57150</xdr:rowOff>
              </from>
              <to>
                <xdr:col>3</xdr:col>
                <xdr:colOff>95250</xdr:colOff>
                <xdr:row>2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AC4932D1-530A-4BA4-ADFD-7D1DBBAFBF41}">
            <xm:f>Control!$B$22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3D293087-F7C5-4626-B12E-9367ECC29D57}">
            <xm:f>Control!$B$20</xm:f>
            <x14:dxf>
              <font>
                <b/>
                <i val="0"/>
                <color theme="0"/>
              </font>
              <fill>
                <patternFill>
                  <bgColor rgb="FF00B050"/>
                </patternFill>
              </fill>
            </x14:dxf>
          </x14:cfRule>
          <xm:sqref>AI5:AI50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BBCF-2314-4F09-B1F9-D3C0EA940AC9}">
  <sheetPr codeName="Sheet11"/>
  <dimension ref="A2:D13"/>
  <sheetViews>
    <sheetView workbookViewId="0"/>
  </sheetViews>
  <sheetFormatPr defaultRowHeight="15" x14ac:dyDescent="0.25"/>
  <sheetData>
    <row r="2" spans="1:4" x14ac:dyDescent="0.25">
      <c r="A2" t="s">
        <v>299</v>
      </c>
      <c r="B2" s="27">
        <v>36586</v>
      </c>
    </row>
    <row r="3" spans="1:4" x14ac:dyDescent="0.25">
      <c r="A3" t="s">
        <v>303</v>
      </c>
      <c r="B3" s="28">
        <v>46023</v>
      </c>
    </row>
    <row r="4" spans="1:4" x14ac:dyDescent="0.25">
      <c r="A4">
        <v>1522840</v>
      </c>
      <c r="B4" s="28">
        <v>46026</v>
      </c>
    </row>
    <row r="5" spans="1:4" x14ac:dyDescent="0.25">
      <c r="A5">
        <v>1521064</v>
      </c>
      <c r="B5" s="27">
        <v>46082</v>
      </c>
    </row>
    <row r="6" spans="1:4" x14ac:dyDescent="0.25">
      <c r="A6">
        <v>1511968</v>
      </c>
      <c r="B6">
        <v>0</v>
      </c>
      <c r="C6">
        <v>4</v>
      </c>
      <c r="D6">
        <v>0</v>
      </c>
    </row>
    <row r="7" spans="1:4" x14ac:dyDescent="0.25">
      <c r="A7">
        <v>1491883</v>
      </c>
      <c r="B7" s="27">
        <v>1</v>
      </c>
      <c r="C7">
        <v>0</v>
      </c>
      <c r="D7">
        <v>0</v>
      </c>
    </row>
    <row r="8" spans="1:4" x14ac:dyDescent="0.25">
      <c r="A8">
        <v>1516930</v>
      </c>
      <c r="B8" s="27">
        <v>1</v>
      </c>
      <c r="C8">
        <v>0</v>
      </c>
      <c r="D8">
        <v>0</v>
      </c>
    </row>
    <row r="9" spans="1:4" x14ac:dyDescent="0.25">
      <c r="A9">
        <v>1521508</v>
      </c>
      <c r="B9" s="28">
        <v>1</v>
      </c>
      <c r="C9">
        <v>2</v>
      </c>
      <c r="D9">
        <v>0</v>
      </c>
    </row>
    <row r="10" spans="1:4" x14ac:dyDescent="0.25">
      <c r="A10">
        <v>1522331</v>
      </c>
      <c r="B10" s="27">
        <v>2</v>
      </c>
      <c r="C10">
        <v>0</v>
      </c>
      <c r="D10">
        <v>1</v>
      </c>
    </row>
    <row r="11" spans="1:4" x14ac:dyDescent="0.25">
      <c r="A11">
        <v>1521044</v>
      </c>
      <c r="B11">
        <v>0</v>
      </c>
      <c r="C11">
        <v>0</v>
      </c>
      <c r="D11">
        <v>0</v>
      </c>
    </row>
    <row r="12" spans="1:4" x14ac:dyDescent="0.25">
      <c r="A12">
        <v>1522838</v>
      </c>
      <c r="B12">
        <v>0</v>
      </c>
      <c r="C12">
        <v>0</v>
      </c>
      <c r="D12">
        <v>0</v>
      </c>
    </row>
    <row r="13" spans="1:4" x14ac:dyDescent="0.25">
      <c r="A13">
        <v>1493341</v>
      </c>
      <c r="B13">
        <v>1</v>
      </c>
      <c r="C13">
        <v>0</v>
      </c>
      <c r="D1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5BDB3-334E-4738-8FC9-DF9813673B19}">
  <sheetPr codeName="Sheet10">
    <tabColor theme="5"/>
  </sheetPr>
  <dimension ref="A1:AI500"/>
  <sheetViews>
    <sheetView showGridLines="0" showRowColHeaders="0" zoomScale="110" zoomScaleNormal="110" workbookViewId="0">
      <selection activeCell="U27" sqref="U27:V27"/>
    </sheetView>
  </sheetViews>
  <sheetFormatPr defaultColWidth="0" defaultRowHeight="15" zeroHeight="1" x14ac:dyDescent="0.25"/>
  <cols>
    <col min="1" max="1" width="17.140625" style="1" bestFit="1" customWidth="1"/>
    <col min="2" max="2" width="8" style="1" hidden="1" customWidth="1"/>
    <col min="3" max="3" width="23.7109375" style="1" customWidth="1"/>
    <col min="4" max="4" width="15.7109375" style="1" hidden="1" customWidth="1"/>
    <col min="5" max="5" width="20.28515625" style="1" bestFit="1" customWidth="1"/>
    <col min="6" max="6" width="15.7109375" style="1" hidden="1" customWidth="1"/>
    <col min="7" max="7" width="9.7109375" style="24" customWidth="1"/>
    <col min="8" max="8" width="6.7109375" style="24" hidden="1" customWidth="1"/>
    <col min="9" max="9" width="9.7109375" style="24" customWidth="1"/>
    <col min="10" max="10" width="6.7109375" style="24" hidden="1" customWidth="1"/>
    <col min="11" max="11" width="9.7109375" style="24" customWidth="1"/>
    <col min="12" max="12" width="6.7109375" style="24" hidden="1" customWidth="1"/>
    <col min="13" max="13" width="9.7109375" style="24" customWidth="1"/>
    <col min="14" max="14" width="6.7109375" style="24" hidden="1" customWidth="1"/>
    <col min="15" max="15" width="9.7109375" style="24" customWidth="1"/>
    <col min="16" max="16" width="6.7109375" style="24" hidden="1" customWidth="1"/>
    <col min="17" max="17" width="9.7109375" style="24" customWidth="1"/>
    <col min="18" max="18" width="6.7109375" style="24" hidden="1" customWidth="1"/>
    <col min="19" max="19" width="9.7109375" style="24" customWidth="1"/>
    <col min="20" max="20" width="6.7109375" style="24" hidden="1" customWidth="1"/>
    <col min="21" max="21" width="9.7109375" style="24" customWidth="1"/>
    <col min="22" max="22" width="6.7109375" style="24" hidden="1" customWidth="1"/>
    <col min="23" max="23" width="9.7109375" style="24" customWidth="1"/>
    <col min="24" max="24" width="9.140625" style="1" hidden="1" customWidth="1"/>
    <col min="25" max="25" width="2.7109375" style="1" customWidth="1"/>
    <col min="26" max="27" width="9.140625" style="1" hidden="1" customWidth="1"/>
    <col min="28" max="29" width="9.140625" style="1" customWidth="1"/>
    <col min="30" max="30" width="3" style="1" bestFit="1" customWidth="1"/>
    <col min="31" max="31" width="15.85546875" style="1" bestFit="1" customWidth="1"/>
    <col min="32" max="32" width="13.28515625" style="1" bestFit="1" customWidth="1"/>
    <col min="33" max="33" width="14.28515625" style="1" bestFit="1" customWidth="1"/>
    <col min="34" max="34" width="15.7109375" style="1" bestFit="1" customWidth="1"/>
    <col min="35" max="35" width="6" style="24" bestFit="1" customWidth="1"/>
    <col min="36" max="16384" width="9.140625" style="1" hidden="1"/>
  </cols>
  <sheetData>
    <row r="1" spans="1:35" ht="15" customHeight="1" x14ac:dyDescent="0.25">
      <c r="A1" s="99" t="s">
        <v>274</v>
      </c>
      <c r="B1" s="100"/>
      <c r="C1" s="107" t="s">
        <v>169</v>
      </c>
      <c r="D1" s="107"/>
      <c r="E1" s="108" t="s">
        <v>170</v>
      </c>
      <c r="F1" s="108"/>
      <c r="G1" s="110" t="s">
        <v>171</v>
      </c>
      <c r="H1" s="110"/>
      <c r="I1" s="110"/>
      <c r="J1" s="110"/>
      <c r="K1" s="110" t="s">
        <v>174</v>
      </c>
      <c r="L1" s="110"/>
      <c r="M1" s="110"/>
      <c r="N1" s="110"/>
      <c r="O1" s="110"/>
      <c r="P1" s="110"/>
      <c r="Q1" s="110"/>
      <c r="R1" s="110"/>
      <c r="S1" s="106" t="s">
        <v>178</v>
      </c>
      <c r="T1" s="106"/>
      <c r="U1" s="106"/>
      <c r="V1" s="106"/>
      <c r="W1" s="106"/>
      <c r="X1" s="106"/>
      <c r="Y1" s="32"/>
      <c r="AB1" s="98" t="s">
        <v>285</v>
      </c>
      <c r="AC1" s="98"/>
      <c r="AD1" s="39"/>
      <c r="AE1" s="116" t="s">
        <v>305</v>
      </c>
      <c r="AF1" s="116"/>
      <c r="AG1" s="116"/>
      <c r="AH1" s="116"/>
      <c r="AI1" s="116"/>
    </row>
    <row r="2" spans="1:35" x14ac:dyDescent="0.25">
      <c r="A2" s="101"/>
      <c r="B2" s="102"/>
      <c r="C2" s="107"/>
      <c r="D2" s="107"/>
      <c r="E2" s="108"/>
      <c r="F2" s="108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06"/>
      <c r="T2" s="106"/>
      <c r="U2" s="106"/>
      <c r="V2" s="106"/>
      <c r="W2" s="106"/>
      <c r="X2" s="106"/>
      <c r="Y2" s="32"/>
      <c r="Z2" s="1">
        <f>COUNTA($B$5:$B$5000)</f>
        <v>0</v>
      </c>
      <c r="AB2" s="98"/>
      <c r="AC2" s="98"/>
      <c r="AD2" s="39"/>
      <c r="AE2" s="117"/>
      <c r="AF2" s="117"/>
      <c r="AG2" s="117"/>
      <c r="AH2" s="117"/>
      <c r="AI2" s="117"/>
    </row>
    <row r="3" spans="1:35" x14ac:dyDescent="0.25">
      <c r="A3" s="101"/>
      <c r="B3" s="102"/>
      <c r="C3" s="107"/>
      <c r="D3" s="107"/>
      <c r="E3" s="108"/>
      <c r="F3" s="108"/>
      <c r="G3" s="109" t="s">
        <v>286</v>
      </c>
      <c r="H3" s="109"/>
      <c r="I3" s="109" t="s">
        <v>287</v>
      </c>
      <c r="J3" s="109"/>
      <c r="K3" s="109" t="s">
        <v>288</v>
      </c>
      <c r="L3" s="109"/>
      <c r="M3" s="109" t="s">
        <v>289</v>
      </c>
      <c r="N3" s="109"/>
      <c r="O3" s="109" t="s">
        <v>290</v>
      </c>
      <c r="P3" s="109"/>
      <c r="Q3" s="109" t="s">
        <v>291</v>
      </c>
      <c r="R3" s="109"/>
      <c r="S3" s="109" t="s">
        <v>292</v>
      </c>
      <c r="T3" s="109"/>
      <c r="U3" s="109" t="s">
        <v>293</v>
      </c>
      <c r="V3" s="109"/>
      <c r="W3" s="105" t="s">
        <v>294</v>
      </c>
      <c r="X3" s="105"/>
      <c r="Y3" s="32"/>
      <c r="Z3" s="25"/>
      <c r="AB3" s="111">
        <v>4</v>
      </c>
      <c r="AC3" s="111"/>
      <c r="AD3" s="40"/>
      <c r="AE3" s="120" t="s">
        <v>274</v>
      </c>
      <c r="AF3" s="118" t="s">
        <v>169</v>
      </c>
      <c r="AG3" s="118" t="s">
        <v>295</v>
      </c>
      <c r="AH3" s="118" t="s">
        <v>297</v>
      </c>
      <c r="AI3" s="119" t="s">
        <v>296</v>
      </c>
    </row>
    <row r="4" spans="1:35" x14ac:dyDescent="0.25">
      <c r="A4" s="103"/>
      <c r="B4" s="104"/>
      <c r="C4" s="107"/>
      <c r="D4" s="107"/>
      <c r="E4" s="108"/>
      <c r="F4" s="108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5"/>
      <c r="X4" s="105"/>
      <c r="Y4" s="32"/>
      <c r="AB4" s="111"/>
      <c r="AC4" s="111"/>
      <c r="AD4" s="40"/>
      <c r="AE4" s="120"/>
      <c r="AF4" s="118"/>
      <c r="AG4" s="118"/>
      <c r="AH4" s="118"/>
      <c r="AI4" s="119"/>
    </row>
    <row r="5" spans="1:35" x14ac:dyDescent="0.25">
      <c r="A5" s="41"/>
      <c r="B5" s="21"/>
      <c r="C5" s="20"/>
      <c r="D5" s="21"/>
      <c r="E5" s="20"/>
      <c r="F5" s="21"/>
      <c r="G5" s="22"/>
      <c r="H5" s="23"/>
      <c r="I5" s="22"/>
      <c r="J5" s="23"/>
      <c r="K5" s="22"/>
      <c r="L5" s="23"/>
      <c r="M5" s="22"/>
      <c r="N5" s="23"/>
      <c r="O5" s="22"/>
      <c r="P5" s="23"/>
      <c r="Q5" s="22"/>
      <c r="R5" s="23"/>
      <c r="S5" s="22"/>
      <c r="T5" s="23"/>
      <c r="U5" s="22"/>
      <c r="V5" s="23"/>
      <c r="W5" s="22"/>
      <c r="X5" s="21"/>
      <c r="Y5" s="32"/>
      <c r="Z5" s="32" t="str">
        <f>IF(ROW(A1)&lt;=$Z$2,ROW(A1),"")</f>
        <v/>
      </c>
      <c r="AA5" s="32"/>
      <c r="AB5" s="32"/>
      <c r="AC5" s="32"/>
      <c r="AD5" s="30">
        <v>1</v>
      </c>
      <c r="AE5" s="45"/>
      <c r="AF5" s="30"/>
      <c r="AG5" s="30"/>
      <c r="AH5" s="30"/>
      <c r="AI5" s="31"/>
    </row>
    <row r="6" spans="1:35" x14ac:dyDescent="0.25">
      <c r="A6" s="41"/>
      <c r="B6" s="21"/>
      <c r="C6" s="20"/>
      <c r="D6" s="21"/>
      <c r="E6" s="20"/>
      <c r="F6" s="21"/>
      <c r="G6" s="22"/>
      <c r="H6" s="23"/>
      <c r="I6" s="22"/>
      <c r="J6" s="23"/>
      <c r="K6" s="22"/>
      <c r="L6" s="23"/>
      <c r="M6" s="22"/>
      <c r="N6" s="23"/>
      <c r="O6" s="22"/>
      <c r="P6" s="23"/>
      <c r="Q6" s="22"/>
      <c r="R6" s="23"/>
      <c r="S6" s="22"/>
      <c r="T6" s="23"/>
      <c r="U6" s="22"/>
      <c r="V6" s="23"/>
      <c r="W6" s="22"/>
      <c r="X6" s="21"/>
      <c r="Y6" s="32"/>
      <c r="Z6" s="32" t="str">
        <f>IF(ROW(A2)&lt;=$Z$2,ROW(A2),"")</f>
        <v/>
      </c>
      <c r="AA6" s="32"/>
      <c r="AB6" s="32"/>
      <c r="AC6" s="32"/>
      <c r="AD6" s="30">
        <v>2</v>
      </c>
      <c r="AE6" s="45"/>
      <c r="AF6" s="30"/>
      <c r="AG6" s="30"/>
      <c r="AH6" s="30"/>
      <c r="AI6" s="31"/>
    </row>
    <row r="7" spans="1:35" x14ac:dyDescent="0.25">
      <c r="A7" s="41"/>
      <c r="B7" s="21"/>
      <c r="C7" s="20"/>
      <c r="D7" s="21"/>
      <c r="E7" s="20"/>
      <c r="F7" s="21"/>
      <c r="G7" s="22"/>
      <c r="H7" s="23"/>
      <c r="I7" s="22"/>
      <c r="J7" s="23"/>
      <c r="K7" s="22"/>
      <c r="L7" s="23"/>
      <c r="M7" s="22"/>
      <c r="N7" s="23"/>
      <c r="O7" s="22"/>
      <c r="P7" s="23"/>
      <c r="Q7" s="22"/>
      <c r="R7" s="23"/>
      <c r="S7" s="22"/>
      <c r="T7" s="23"/>
      <c r="U7" s="22"/>
      <c r="V7" s="23"/>
      <c r="W7" s="22"/>
      <c r="X7" s="21"/>
      <c r="Y7" s="32"/>
      <c r="Z7" s="32" t="str">
        <f t="shared" ref="Z7:Z70" si="0">IF(ROW(A3)&lt;=$Z$2,ROW(A3),"")</f>
        <v/>
      </c>
      <c r="AA7" s="32"/>
      <c r="AB7" s="32"/>
      <c r="AC7" s="32"/>
      <c r="AD7" s="30">
        <v>3</v>
      </c>
      <c r="AE7" s="30"/>
      <c r="AF7" s="30"/>
      <c r="AG7" s="30"/>
      <c r="AH7" s="30"/>
      <c r="AI7" s="31"/>
    </row>
    <row r="8" spans="1:35" x14ac:dyDescent="0.25">
      <c r="A8" s="41"/>
      <c r="B8" s="21"/>
      <c r="C8" s="20"/>
      <c r="D8" s="21"/>
      <c r="E8" s="20"/>
      <c r="F8" s="21"/>
      <c r="G8" s="22"/>
      <c r="H8" s="23"/>
      <c r="I8" s="22"/>
      <c r="J8" s="23"/>
      <c r="K8" s="22"/>
      <c r="L8" s="23"/>
      <c r="M8" s="22"/>
      <c r="N8" s="23"/>
      <c r="O8" s="22"/>
      <c r="P8" s="23"/>
      <c r="Q8" s="22"/>
      <c r="R8" s="23"/>
      <c r="S8" s="22"/>
      <c r="T8" s="23"/>
      <c r="U8" s="22"/>
      <c r="V8" s="23"/>
      <c r="W8" s="22"/>
      <c r="X8" s="21"/>
      <c r="Y8" s="32"/>
      <c r="Z8" s="32" t="str">
        <f t="shared" si="0"/>
        <v/>
      </c>
      <c r="AA8" s="32"/>
      <c r="AB8" s="32"/>
      <c r="AC8" s="32"/>
      <c r="AD8" s="30">
        <v>4</v>
      </c>
      <c r="AE8" s="30"/>
      <c r="AF8" s="30"/>
      <c r="AG8" s="30"/>
      <c r="AH8" s="30"/>
      <c r="AI8" s="31"/>
    </row>
    <row r="9" spans="1:35" x14ac:dyDescent="0.25">
      <c r="A9" s="41"/>
      <c r="B9" s="21"/>
      <c r="C9" s="20"/>
      <c r="D9" s="21"/>
      <c r="E9" s="20"/>
      <c r="F9" s="21"/>
      <c r="G9" s="22"/>
      <c r="H9" s="23"/>
      <c r="I9" s="22"/>
      <c r="J9" s="23"/>
      <c r="K9" s="22"/>
      <c r="L9" s="23"/>
      <c r="M9" s="22"/>
      <c r="N9" s="23"/>
      <c r="O9" s="22"/>
      <c r="P9" s="23"/>
      <c r="Q9" s="22"/>
      <c r="R9" s="23"/>
      <c r="S9" s="22"/>
      <c r="T9" s="23"/>
      <c r="U9" s="22"/>
      <c r="V9" s="23"/>
      <c r="W9" s="22"/>
      <c r="X9" s="21"/>
      <c r="Y9" s="32"/>
      <c r="Z9" s="32" t="str">
        <f t="shared" si="0"/>
        <v/>
      </c>
      <c r="AA9" s="32"/>
      <c r="AB9" s="32"/>
      <c r="AC9" s="32"/>
      <c r="AD9" s="30">
        <v>5</v>
      </c>
      <c r="AE9" s="30"/>
      <c r="AF9" s="30"/>
      <c r="AG9" s="30"/>
      <c r="AH9" s="30"/>
      <c r="AI9" s="31"/>
    </row>
    <row r="10" spans="1:35" x14ac:dyDescent="0.25">
      <c r="A10" s="41"/>
      <c r="B10" s="21"/>
      <c r="C10" s="20"/>
      <c r="D10" s="21"/>
      <c r="E10" s="20"/>
      <c r="F10" s="21"/>
      <c r="G10" s="22"/>
      <c r="H10" s="23"/>
      <c r="I10" s="22"/>
      <c r="J10" s="23"/>
      <c r="K10" s="22"/>
      <c r="L10" s="23"/>
      <c r="M10" s="22"/>
      <c r="N10" s="23"/>
      <c r="O10" s="22"/>
      <c r="P10" s="23"/>
      <c r="Q10" s="22"/>
      <c r="R10" s="23"/>
      <c r="S10" s="22"/>
      <c r="T10" s="23"/>
      <c r="U10" s="22"/>
      <c r="V10" s="23"/>
      <c r="W10" s="22"/>
      <c r="X10" s="21"/>
      <c r="Y10" s="32"/>
      <c r="Z10" s="32" t="str">
        <f t="shared" si="0"/>
        <v/>
      </c>
      <c r="AA10" s="32"/>
      <c r="AB10" s="32"/>
      <c r="AC10" s="32"/>
      <c r="AD10" s="30">
        <v>6</v>
      </c>
      <c r="AE10" s="30"/>
      <c r="AF10" s="30"/>
      <c r="AG10" s="30"/>
      <c r="AH10" s="30"/>
      <c r="AI10" s="31"/>
    </row>
    <row r="11" spans="1:35" x14ac:dyDescent="0.25">
      <c r="A11" s="41"/>
      <c r="B11" s="21"/>
      <c r="C11" s="20"/>
      <c r="D11" s="21"/>
      <c r="E11" s="20"/>
      <c r="F11" s="21"/>
      <c r="G11" s="22"/>
      <c r="H11" s="23"/>
      <c r="I11" s="22"/>
      <c r="J11" s="23"/>
      <c r="K11" s="22"/>
      <c r="L11" s="23"/>
      <c r="M11" s="22"/>
      <c r="N11" s="23"/>
      <c r="O11" s="22"/>
      <c r="P11" s="23"/>
      <c r="Q11" s="22"/>
      <c r="R11" s="23"/>
      <c r="S11" s="22"/>
      <c r="T11" s="23"/>
      <c r="U11" s="22"/>
      <c r="V11" s="23"/>
      <c r="W11" s="22"/>
      <c r="X11" s="21"/>
      <c r="Y11" s="32"/>
      <c r="Z11" s="32" t="str">
        <f t="shared" si="0"/>
        <v/>
      </c>
      <c r="AA11" s="32"/>
      <c r="AB11" s="32"/>
      <c r="AC11" s="32"/>
      <c r="AD11" s="30">
        <v>7</v>
      </c>
      <c r="AE11" s="30"/>
      <c r="AF11" s="30"/>
      <c r="AG11" s="30"/>
      <c r="AH11" s="30"/>
      <c r="AI11" s="31"/>
    </row>
    <row r="12" spans="1:35" x14ac:dyDescent="0.25">
      <c r="A12" s="41"/>
      <c r="B12" s="21"/>
      <c r="C12" s="20"/>
      <c r="D12" s="21"/>
      <c r="E12" s="20"/>
      <c r="F12" s="21"/>
      <c r="G12" s="22"/>
      <c r="H12" s="23"/>
      <c r="I12" s="22"/>
      <c r="J12" s="23"/>
      <c r="K12" s="22"/>
      <c r="L12" s="23"/>
      <c r="M12" s="22"/>
      <c r="N12" s="23"/>
      <c r="O12" s="22"/>
      <c r="P12" s="23"/>
      <c r="Q12" s="22"/>
      <c r="R12" s="23"/>
      <c r="S12" s="22"/>
      <c r="T12" s="23"/>
      <c r="U12" s="22"/>
      <c r="V12" s="23"/>
      <c r="W12" s="22"/>
      <c r="X12" s="21"/>
      <c r="Y12" s="32"/>
      <c r="Z12" s="32" t="str">
        <f t="shared" si="0"/>
        <v/>
      </c>
      <c r="AA12" s="32"/>
      <c r="AB12" s="32"/>
      <c r="AC12" s="32"/>
      <c r="AD12" s="30">
        <v>8</v>
      </c>
      <c r="AE12" s="30"/>
      <c r="AF12" s="30"/>
      <c r="AG12" s="30"/>
      <c r="AH12" s="30"/>
      <c r="AI12" s="31"/>
    </row>
    <row r="13" spans="1:35" x14ac:dyDescent="0.25">
      <c r="A13" s="41"/>
      <c r="B13" s="21"/>
      <c r="C13" s="20"/>
      <c r="D13" s="21"/>
      <c r="E13" s="20"/>
      <c r="F13" s="21"/>
      <c r="G13" s="22"/>
      <c r="H13" s="23"/>
      <c r="I13" s="22"/>
      <c r="J13" s="23"/>
      <c r="K13" s="22"/>
      <c r="L13" s="23"/>
      <c r="M13" s="22"/>
      <c r="N13" s="23"/>
      <c r="O13" s="22"/>
      <c r="P13" s="23"/>
      <c r="Q13" s="22"/>
      <c r="R13" s="23"/>
      <c r="S13" s="22"/>
      <c r="T13" s="23"/>
      <c r="U13" s="22"/>
      <c r="V13" s="23"/>
      <c r="W13" s="22"/>
      <c r="X13" s="21"/>
      <c r="Y13" s="32"/>
      <c r="Z13" s="32" t="str">
        <f t="shared" si="0"/>
        <v/>
      </c>
      <c r="AA13" s="32"/>
      <c r="AB13" s="32"/>
      <c r="AC13" s="32"/>
      <c r="AD13" s="30">
        <v>9</v>
      </c>
      <c r="AE13" s="30"/>
      <c r="AF13" s="30"/>
      <c r="AG13" s="30"/>
      <c r="AH13" s="30"/>
      <c r="AI13" s="31"/>
    </row>
    <row r="14" spans="1:35" x14ac:dyDescent="0.25">
      <c r="A14" s="44"/>
      <c r="B14" s="43"/>
      <c r="C14" s="114"/>
      <c r="D14" s="115"/>
      <c r="E14" s="114"/>
      <c r="F14" s="115"/>
      <c r="G14" s="112"/>
      <c r="H14" s="113"/>
      <c r="I14" s="112"/>
      <c r="J14" s="113"/>
      <c r="K14" s="112"/>
      <c r="L14" s="113"/>
      <c r="M14" s="112"/>
      <c r="N14" s="113"/>
      <c r="O14" s="112"/>
      <c r="P14" s="113"/>
      <c r="Q14" s="112"/>
      <c r="R14" s="113"/>
      <c r="S14" s="112"/>
      <c r="T14" s="113"/>
      <c r="U14" s="112"/>
      <c r="V14" s="113"/>
      <c r="W14" s="114"/>
      <c r="X14" s="115"/>
      <c r="Y14" s="32"/>
      <c r="Z14" s="32" t="str">
        <f t="shared" si="0"/>
        <v/>
      </c>
      <c r="AA14" s="32"/>
      <c r="AB14" s="32"/>
      <c r="AC14" s="32"/>
      <c r="AD14" s="30">
        <v>10</v>
      </c>
      <c r="AE14" s="30"/>
      <c r="AF14" s="30"/>
      <c r="AG14" s="30"/>
      <c r="AH14" s="30"/>
      <c r="AI14" s="31"/>
    </row>
    <row r="15" spans="1:35" x14ac:dyDescent="0.25">
      <c r="A15" s="44"/>
      <c r="B15" s="43"/>
      <c r="C15" s="114"/>
      <c r="D15" s="115"/>
      <c r="E15" s="114"/>
      <c r="F15" s="115"/>
      <c r="G15" s="112"/>
      <c r="H15" s="113"/>
      <c r="I15" s="112"/>
      <c r="J15" s="113"/>
      <c r="K15" s="112"/>
      <c r="L15" s="113"/>
      <c r="M15" s="112"/>
      <c r="N15" s="113"/>
      <c r="O15" s="112"/>
      <c r="P15" s="113"/>
      <c r="Q15" s="112"/>
      <c r="R15" s="113"/>
      <c r="S15" s="112"/>
      <c r="T15" s="113"/>
      <c r="U15" s="112"/>
      <c r="V15" s="113"/>
      <c r="W15" s="114"/>
      <c r="X15" s="115"/>
      <c r="Y15" s="32"/>
      <c r="Z15" s="32" t="str">
        <f t="shared" si="0"/>
        <v/>
      </c>
      <c r="AA15" s="32"/>
      <c r="AB15" s="32"/>
      <c r="AC15" s="32"/>
      <c r="AD15" s="30">
        <v>11</v>
      </c>
      <c r="AE15" s="30"/>
      <c r="AF15" s="30"/>
      <c r="AG15" s="30"/>
      <c r="AH15" s="30"/>
      <c r="AI15" s="31"/>
    </row>
    <row r="16" spans="1:35" x14ac:dyDescent="0.25">
      <c r="A16" s="42"/>
      <c r="B16" s="43"/>
      <c r="C16" s="114"/>
      <c r="D16" s="115"/>
      <c r="E16" s="114"/>
      <c r="F16" s="115"/>
      <c r="G16" s="112"/>
      <c r="H16" s="113"/>
      <c r="I16" s="112"/>
      <c r="J16" s="113"/>
      <c r="K16" s="112"/>
      <c r="L16" s="113"/>
      <c r="M16" s="112"/>
      <c r="N16" s="113"/>
      <c r="O16" s="112"/>
      <c r="P16" s="113"/>
      <c r="Q16" s="112"/>
      <c r="R16" s="113"/>
      <c r="S16" s="112"/>
      <c r="T16" s="113"/>
      <c r="U16" s="112"/>
      <c r="V16" s="113"/>
      <c r="W16" s="114"/>
      <c r="X16" s="115"/>
      <c r="Y16" s="32"/>
      <c r="Z16" s="32" t="str">
        <f t="shared" si="0"/>
        <v/>
      </c>
      <c r="AA16" s="32"/>
      <c r="AB16" s="32"/>
      <c r="AC16" s="32"/>
      <c r="AD16" s="30">
        <v>12</v>
      </c>
      <c r="AE16" s="30"/>
      <c r="AF16" s="30"/>
      <c r="AG16" s="30"/>
      <c r="AH16" s="30"/>
      <c r="AI16" s="31"/>
    </row>
    <row r="17" spans="1:35" x14ac:dyDescent="0.25">
      <c r="A17" s="42"/>
      <c r="B17" s="43"/>
      <c r="C17" s="114"/>
      <c r="D17" s="115"/>
      <c r="E17" s="114"/>
      <c r="F17" s="115"/>
      <c r="G17" s="112"/>
      <c r="H17" s="113"/>
      <c r="I17" s="112"/>
      <c r="J17" s="113"/>
      <c r="K17" s="112"/>
      <c r="L17" s="113"/>
      <c r="M17" s="112"/>
      <c r="N17" s="113"/>
      <c r="O17" s="112"/>
      <c r="P17" s="113"/>
      <c r="Q17" s="112"/>
      <c r="R17" s="113"/>
      <c r="S17" s="112"/>
      <c r="T17" s="113"/>
      <c r="U17" s="112"/>
      <c r="V17" s="113"/>
      <c r="W17" s="114"/>
      <c r="X17" s="115"/>
      <c r="Y17" s="32"/>
      <c r="Z17" s="32" t="str">
        <f t="shared" si="0"/>
        <v/>
      </c>
      <c r="AA17" s="32"/>
      <c r="AB17" s="32"/>
      <c r="AC17" s="32"/>
      <c r="AD17" s="30">
        <v>13</v>
      </c>
      <c r="AE17" s="30"/>
      <c r="AF17" s="30"/>
      <c r="AG17" s="30"/>
      <c r="AH17" s="30"/>
      <c r="AI17" s="31"/>
    </row>
    <row r="18" spans="1:35" x14ac:dyDescent="0.25">
      <c r="A18" s="42"/>
      <c r="B18" s="43"/>
      <c r="C18" s="114"/>
      <c r="D18" s="115"/>
      <c r="E18" s="114"/>
      <c r="F18" s="115"/>
      <c r="G18" s="112"/>
      <c r="H18" s="113"/>
      <c r="I18" s="112"/>
      <c r="J18" s="113"/>
      <c r="K18" s="112"/>
      <c r="L18" s="113"/>
      <c r="M18" s="112"/>
      <c r="N18" s="113"/>
      <c r="O18" s="112"/>
      <c r="P18" s="113"/>
      <c r="Q18" s="112"/>
      <c r="R18" s="113"/>
      <c r="S18" s="112"/>
      <c r="T18" s="113"/>
      <c r="U18" s="112"/>
      <c r="V18" s="113"/>
      <c r="W18" s="114"/>
      <c r="X18" s="115"/>
      <c r="Y18" s="32"/>
      <c r="Z18" s="32" t="str">
        <f t="shared" si="0"/>
        <v/>
      </c>
      <c r="AA18" s="32"/>
      <c r="AB18" s="32"/>
      <c r="AC18" s="32"/>
      <c r="AD18" s="30">
        <v>14</v>
      </c>
      <c r="AE18" s="30"/>
      <c r="AF18" s="30"/>
      <c r="AG18" s="30"/>
      <c r="AH18" s="30"/>
      <c r="AI18" s="31"/>
    </row>
    <row r="19" spans="1:35" x14ac:dyDescent="0.25">
      <c r="A19" s="42"/>
      <c r="B19" s="43"/>
      <c r="C19" s="114"/>
      <c r="D19" s="115"/>
      <c r="E19" s="114"/>
      <c r="F19" s="115"/>
      <c r="G19" s="112"/>
      <c r="H19" s="113"/>
      <c r="I19" s="112"/>
      <c r="J19" s="113"/>
      <c r="K19" s="112"/>
      <c r="L19" s="113"/>
      <c r="M19" s="112"/>
      <c r="N19" s="113"/>
      <c r="O19" s="112"/>
      <c r="P19" s="113"/>
      <c r="Q19" s="112"/>
      <c r="R19" s="113"/>
      <c r="S19" s="112"/>
      <c r="T19" s="113"/>
      <c r="U19" s="112"/>
      <c r="V19" s="113"/>
      <c r="W19" s="114"/>
      <c r="X19" s="115"/>
      <c r="Y19" s="32"/>
      <c r="Z19" s="32" t="str">
        <f t="shared" si="0"/>
        <v/>
      </c>
      <c r="AA19" s="32"/>
      <c r="AB19" s="32"/>
      <c r="AC19" s="32"/>
      <c r="AD19" s="30">
        <v>15</v>
      </c>
      <c r="AE19" s="30"/>
      <c r="AF19" s="30"/>
      <c r="AG19" s="30"/>
      <c r="AH19" s="30"/>
      <c r="AI19" s="31"/>
    </row>
    <row r="20" spans="1:35" x14ac:dyDescent="0.25">
      <c r="A20" s="42"/>
      <c r="B20" s="43"/>
      <c r="C20" s="114"/>
      <c r="D20" s="115"/>
      <c r="E20" s="114"/>
      <c r="F20" s="115"/>
      <c r="G20" s="112"/>
      <c r="H20" s="113"/>
      <c r="I20" s="112"/>
      <c r="J20" s="113"/>
      <c r="K20" s="112"/>
      <c r="L20" s="113"/>
      <c r="M20" s="112"/>
      <c r="N20" s="113"/>
      <c r="O20" s="112"/>
      <c r="P20" s="113"/>
      <c r="Q20" s="112"/>
      <c r="R20" s="113"/>
      <c r="S20" s="112"/>
      <c r="T20" s="113"/>
      <c r="U20" s="112"/>
      <c r="V20" s="113"/>
      <c r="W20" s="114"/>
      <c r="X20" s="115"/>
      <c r="Y20" s="32"/>
      <c r="Z20" s="32" t="str">
        <f t="shared" si="0"/>
        <v/>
      </c>
      <c r="AA20" s="32"/>
      <c r="AB20" s="32"/>
      <c r="AC20" s="32"/>
      <c r="AD20" s="30">
        <v>16</v>
      </c>
      <c r="AE20" s="30"/>
      <c r="AF20" s="30"/>
      <c r="AG20" s="30"/>
      <c r="AH20" s="30"/>
      <c r="AI20" s="31"/>
    </row>
    <row r="21" spans="1:35" x14ac:dyDescent="0.25">
      <c r="A21" s="42"/>
      <c r="B21" s="43"/>
      <c r="C21" s="114"/>
      <c r="D21" s="115"/>
      <c r="E21" s="114"/>
      <c r="F21" s="115"/>
      <c r="G21" s="112"/>
      <c r="H21" s="113"/>
      <c r="I21" s="112"/>
      <c r="J21" s="113"/>
      <c r="K21" s="112"/>
      <c r="L21" s="113"/>
      <c r="M21" s="112"/>
      <c r="N21" s="113"/>
      <c r="O21" s="112"/>
      <c r="P21" s="113"/>
      <c r="Q21" s="112"/>
      <c r="R21" s="113"/>
      <c r="S21" s="112"/>
      <c r="T21" s="113"/>
      <c r="U21" s="112"/>
      <c r="V21" s="113"/>
      <c r="W21" s="114"/>
      <c r="X21" s="115"/>
      <c r="Y21" s="32"/>
      <c r="Z21" s="32" t="str">
        <f t="shared" si="0"/>
        <v/>
      </c>
      <c r="AA21" s="32"/>
      <c r="AB21" s="32"/>
      <c r="AC21" s="32"/>
      <c r="AD21" s="30">
        <v>17</v>
      </c>
      <c r="AE21" s="30"/>
      <c r="AF21" s="30"/>
      <c r="AG21" s="30"/>
      <c r="AH21" s="30"/>
      <c r="AI21" s="31"/>
    </row>
    <row r="22" spans="1:35" x14ac:dyDescent="0.25">
      <c r="A22" s="42"/>
      <c r="B22" s="43"/>
      <c r="C22" s="114"/>
      <c r="D22" s="115"/>
      <c r="E22" s="114"/>
      <c r="F22" s="115"/>
      <c r="G22" s="112"/>
      <c r="H22" s="113"/>
      <c r="I22" s="112"/>
      <c r="J22" s="113"/>
      <c r="K22" s="112"/>
      <c r="L22" s="113"/>
      <c r="M22" s="112"/>
      <c r="N22" s="113"/>
      <c r="O22" s="112"/>
      <c r="P22" s="113"/>
      <c r="Q22" s="112"/>
      <c r="R22" s="113"/>
      <c r="S22" s="112"/>
      <c r="T22" s="113"/>
      <c r="U22" s="112"/>
      <c r="V22" s="113"/>
      <c r="W22" s="114"/>
      <c r="X22" s="115"/>
      <c r="Y22" s="32"/>
      <c r="Z22" s="32" t="str">
        <f t="shared" si="0"/>
        <v/>
      </c>
      <c r="AA22" s="32"/>
      <c r="AB22" s="32"/>
      <c r="AC22" s="32"/>
      <c r="AD22" s="30">
        <v>18</v>
      </c>
      <c r="AE22" s="30"/>
      <c r="AF22" s="30"/>
      <c r="AG22" s="30"/>
      <c r="AH22" s="30"/>
      <c r="AI22" s="31"/>
    </row>
    <row r="23" spans="1:35" x14ac:dyDescent="0.25">
      <c r="A23" s="42"/>
      <c r="B23" s="43"/>
      <c r="C23" s="114"/>
      <c r="D23" s="115"/>
      <c r="E23" s="114"/>
      <c r="F23" s="115"/>
      <c r="G23" s="112"/>
      <c r="H23" s="113"/>
      <c r="I23" s="112"/>
      <c r="J23" s="113"/>
      <c r="K23" s="112"/>
      <c r="L23" s="113"/>
      <c r="M23" s="112"/>
      <c r="N23" s="113"/>
      <c r="O23" s="112"/>
      <c r="P23" s="113"/>
      <c r="Q23" s="112"/>
      <c r="R23" s="113"/>
      <c r="S23" s="112"/>
      <c r="T23" s="113"/>
      <c r="U23" s="112"/>
      <c r="V23" s="113"/>
      <c r="W23" s="114"/>
      <c r="X23" s="115"/>
      <c r="Y23" s="32"/>
      <c r="Z23" s="32" t="str">
        <f t="shared" si="0"/>
        <v/>
      </c>
      <c r="AA23" s="32"/>
      <c r="AB23" s="32"/>
      <c r="AC23" s="32"/>
      <c r="AD23" s="30">
        <v>19</v>
      </c>
      <c r="AE23" s="30"/>
      <c r="AF23" s="30"/>
      <c r="AG23" s="30"/>
      <c r="AH23" s="30"/>
      <c r="AI23" s="31"/>
    </row>
    <row r="24" spans="1:35" x14ac:dyDescent="0.25">
      <c r="A24" s="42"/>
      <c r="B24" s="43"/>
      <c r="C24" s="114"/>
      <c r="D24" s="115"/>
      <c r="E24" s="114"/>
      <c r="F24" s="115"/>
      <c r="G24" s="112"/>
      <c r="H24" s="113"/>
      <c r="I24" s="112"/>
      <c r="J24" s="113"/>
      <c r="K24" s="112"/>
      <c r="L24" s="113"/>
      <c r="M24" s="112"/>
      <c r="N24" s="113"/>
      <c r="O24" s="112"/>
      <c r="P24" s="113"/>
      <c r="Q24" s="112"/>
      <c r="R24" s="113"/>
      <c r="S24" s="112"/>
      <c r="T24" s="113"/>
      <c r="U24" s="112"/>
      <c r="V24" s="113"/>
      <c r="W24" s="114"/>
      <c r="X24" s="115"/>
      <c r="Y24" s="32"/>
      <c r="Z24" s="32" t="str">
        <f t="shared" si="0"/>
        <v/>
      </c>
      <c r="AA24" s="32"/>
      <c r="AB24" s="32"/>
      <c r="AC24" s="32"/>
      <c r="AD24" s="30">
        <v>20</v>
      </c>
      <c r="AE24" s="30"/>
      <c r="AF24" s="30"/>
      <c r="AG24" s="30"/>
      <c r="AH24" s="30"/>
      <c r="AI24" s="31"/>
    </row>
    <row r="25" spans="1:35" x14ac:dyDescent="0.25">
      <c r="A25" s="42"/>
      <c r="B25" s="43"/>
      <c r="C25" s="114"/>
      <c r="D25" s="115"/>
      <c r="E25" s="114"/>
      <c r="F25" s="115"/>
      <c r="G25" s="112"/>
      <c r="H25" s="113"/>
      <c r="I25" s="112"/>
      <c r="J25" s="113"/>
      <c r="K25" s="112"/>
      <c r="L25" s="113"/>
      <c r="M25" s="112"/>
      <c r="N25" s="113"/>
      <c r="O25" s="112"/>
      <c r="P25" s="113"/>
      <c r="Q25" s="112"/>
      <c r="R25" s="113"/>
      <c r="S25" s="112"/>
      <c r="T25" s="113"/>
      <c r="U25" s="112"/>
      <c r="V25" s="113"/>
      <c r="W25" s="114"/>
      <c r="X25" s="115"/>
      <c r="Y25" s="32"/>
      <c r="Z25" s="32" t="str">
        <f t="shared" si="0"/>
        <v/>
      </c>
      <c r="AA25" s="32"/>
      <c r="AB25" s="32"/>
      <c r="AC25" s="32"/>
      <c r="AD25" s="30">
        <v>21</v>
      </c>
      <c r="AE25" s="30"/>
      <c r="AF25" s="30"/>
      <c r="AG25" s="30"/>
      <c r="AH25" s="30"/>
      <c r="AI25" s="31"/>
    </row>
    <row r="26" spans="1:35" x14ac:dyDescent="0.25">
      <c r="A26" s="42"/>
      <c r="B26" s="43"/>
      <c r="C26" s="114"/>
      <c r="D26" s="115"/>
      <c r="E26" s="114"/>
      <c r="F26" s="115"/>
      <c r="G26" s="112"/>
      <c r="H26" s="113"/>
      <c r="I26" s="112"/>
      <c r="J26" s="113"/>
      <c r="K26" s="112"/>
      <c r="L26" s="113"/>
      <c r="M26" s="112"/>
      <c r="N26" s="113"/>
      <c r="O26" s="112"/>
      <c r="P26" s="113"/>
      <c r="Q26" s="112"/>
      <c r="R26" s="113"/>
      <c r="S26" s="112"/>
      <c r="T26" s="113"/>
      <c r="U26" s="112"/>
      <c r="V26" s="113"/>
      <c r="W26" s="114"/>
      <c r="X26" s="115"/>
      <c r="Y26" s="32"/>
      <c r="Z26" s="32" t="str">
        <f t="shared" si="0"/>
        <v/>
      </c>
      <c r="AA26" s="32"/>
      <c r="AB26" s="32"/>
      <c r="AC26" s="32"/>
      <c r="AD26" s="30">
        <v>22</v>
      </c>
      <c r="AE26" s="30"/>
      <c r="AF26" s="30"/>
      <c r="AG26" s="30"/>
      <c r="AH26" s="30"/>
      <c r="AI26" s="31"/>
    </row>
    <row r="27" spans="1:35" x14ac:dyDescent="0.25">
      <c r="A27" s="42"/>
      <c r="B27" s="43"/>
      <c r="C27" s="114"/>
      <c r="D27" s="115"/>
      <c r="E27" s="114"/>
      <c r="F27" s="115"/>
      <c r="G27" s="112"/>
      <c r="H27" s="113"/>
      <c r="I27" s="112"/>
      <c r="J27" s="113"/>
      <c r="K27" s="112"/>
      <c r="L27" s="113"/>
      <c r="M27" s="112"/>
      <c r="N27" s="113"/>
      <c r="O27" s="112"/>
      <c r="P27" s="113"/>
      <c r="Q27" s="112"/>
      <c r="R27" s="113"/>
      <c r="S27" s="112"/>
      <c r="T27" s="113"/>
      <c r="U27" s="112"/>
      <c r="V27" s="113"/>
      <c r="W27" s="114"/>
      <c r="X27" s="115"/>
      <c r="Y27" s="32"/>
      <c r="Z27" s="32" t="str">
        <f t="shared" si="0"/>
        <v/>
      </c>
      <c r="AA27" s="32"/>
      <c r="AB27" s="32"/>
      <c r="AC27" s="32"/>
      <c r="AD27" s="30">
        <v>23</v>
      </c>
      <c r="AE27" s="30"/>
      <c r="AF27" s="30"/>
      <c r="AG27" s="30"/>
      <c r="AH27" s="30"/>
      <c r="AI27" s="31"/>
    </row>
    <row r="28" spans="1:35" x14ac:dyDescent="0.25">
      <c r="A28" s="42"/>
      <c r="B28" s="43"/>
      <c r="C28" s="114"/>
      <c r="D28" s="115"/>
      <c r="E28" s="114"/>
      <c r="F28" s="115"/>
      <c r="G28" s="112"/>
      <c r="H28" s="113"/>
      <c r="I28" s="112"/>
      <c r="J28" s="113"/>
      <c r="K28" s="112"/>
      <c r="L28" s="113"/>
      <c r="M28" s="112"/>
      <c r="N28" s="113"/>
      <c r="O28" s="112"/>
      <c r="P28" s="113"/>
      <c r="Q28" s="112"/>
      <c r="R28" s="113"/>
      <c r="S28" s="112"/>
      <c r="T28" s="113"/>
      <c r="U28" s="112"/>
      <c r="V28" s="113"/>
      <c r="W28" s="114"/>
      <c r="X28" s="115"/>
      <c r="Y28" s="32"/>
      <c r="Z28" s="32" t="str">
        <f t="shared" si="0"/>
        <v/>
      </c>
      <c r="AA28" s="32"/>
      <c r="AB28" s="32"/>
      <c r="AC28" s="32"/>
      <c r="AD28" s="30">
        <v>24</v>
      </c>
      <c r="AE28" s="30"/>
      <c r="AF28" s="30"/>
      <c r="AG28" s="30"/>
      <c r="AH28" s="30"/>
      <c r="AI28" s="31"/>
    </row>
    <row r="29" spans="1:35" x14ac:dyDescent="0.25">
      <c r="A29" s="42"/>
      <c r="B29" s="43"/>
      <c r="C29" s="114"/>
      <c r="D29" s="115"/>
      <c r="E29" s="114"/>
      <c r="F29" s="115"/>
      <c r="G29" s="112"/>
      <c r="H29" s="113"/>
      <c r="I29" s="112"/>
      <c r="J29" s="113"/>
      <c r="K29" s="112"/>
      <c r="L29" s="113"/>
      <c r="M29" s="112"/>
      <c r="N29" s="113"/>
      <c r="O29" s="112"/>
      <c r="P29" s="113"/>
      <c r="Q29" s="112"/>
      <c r="R29" s="113"/>
      <c r="S29" s="112"/>
      <c r="T29" s="113"/>
      <c r="U29" s="112"/>
      <c r="V29" s="113"/>
      <c r="W29" s="114"/>
      <c r="X29" s="115"/>
      <c r="Y29" s="32"/>
      <c r="Z29" s="32" t="str">
        <f t="shared" si="0"/>
        <v/>
      </c>
      <c r="AA29" s="32"/>
      <c r="AB29" s="32"/>
      <c r="AC29" s="32"/>
      <c r="AD29" s="30">
        <v>25</v>
      </c>
      <c r="AE29" s="30"/>
      <c r="AF29" s="30"/>
      <c r="AG29" s="30"/>
      <c r="AH29" s="30"/>
      <c r="AI29" s="31"/>
    </row>
    <row r="30" spans="1:35" x14ac:dyDescent="0.25">
      <c r="A30" s="42"/>
      <c r="B30" s="43"/>
      <c r="C30" s="114"/>
      <c r="D30" s="115"/>
      <c r="E30" s="114"/>
      <c r="F30" s="115"/>
      <c r="G30" s="112"/>
      <c r="H30" s="113"/>
      <c r="I30" s="112"/>
      <c r="J30" s="113"/>
      <c r="K30" s="112"/>
      <c r="L30" s="113"/>
      <c r="M30" s="112"/>
      <c r="N30" s="113"/>
      <c r="O30" s="112"/>
      <c r="P30" s="113"/>
      <c r="Q30" s="112"/>
      <c r="R30" s="113"/>
      <c r="S30" s="112"/>
      <c r="T30" s="113"/>
      <c r="U30" s="112"/>
      <c r="V30" s="113"/>
      <c r="W30" s="114"/>
      <c r="X30" s="115"/>
      <c r="Y30" s="32"/>
      <c r="Z30" s="32" t="str">
        <f t="shared" si="0"/>
        <v/>
      </c>
      <c r="AA30" s="32"/>
      <c r="AB30" s="32"/>
      <c r="AC30" s="32"/>
      <c r="AD30" s="30">
        <v>26</v>
      </c>
      <c r="AE30" s="30"/>
      <c r="AF30" s="30"/>
      <c r="AG30" s="30"/>
      <c r="AH30" s="30"/>
      <c r="AI30" s="31"/>
    </row>
    <row r="31" spans="1:35" x14ac:dyDescent="0.25">
      <c r="A31" s="42"/>
      <c r="B31" s="43"/>
      <c r="C31" s="114"/>
      <c r="D31" s="115"/>
      <c r="E31" s="114"/>
      <c r="F31" s="115"/>
      <c r="G31" s="112"/>
      <c r="H31" s="113"/>
      <c r="I31" s="112"/>
      <c r="J31" s="113"/>
      <c r="K31" s="112"/>
      <c r="L31" s="113"/>
      <c r="M31" s="112"/>
      <c r="N31" s="113"/>
      <c r="O31" s="112"/>
      <c r="P31" s="113"/>
      <c r="Q31" s="112"/>
      <c r="R31" s="113"/>
      <c r="S31" s="112"/>
      <c r="T31" s="113"/>
      <c r="U31" s="112"/>
      <c r="V31" s="113"/>
      <c r="W31" s="114"/>
      <c r="X31" s="115"/>
      <c r="Y31" s="32"/>
      <c r="Z31" s="32" t="str">
        <f t="shared" si="0"/>
        <v/>
      </c>
      <c r="AA31" s="32"/>
      <c r="AB31" s="32"/>
      <c r="AC31" s="32"/>
      <c r="AD31" s="30">
        <v>27</v>
      </c>
      <c r="AE31" s="30"/>
      <c r="AF31" s="30"/>
      <c r="AG31" s="30"/>
      <c r="AH31" s="30"/>
      <c r="AI31" s="31"/>
    </row>
    <row r="32" spans="1:35" x14ac:dyDescent="0.25">
      <c r="A32" s="42"/>
      <c r="B32" s="43"/>
      <c r="C32" s="114"/>
      <c r="D32" s="115"/>
      <c r="E32" s="114"/>
      <c r="F32" s="115"/>
      <c r="G32" s="112"/>
      <c r="H32" s="113"/>
      <c r="I32" s="112"/>
      <c r="J32" s="113"/>
      <c r="K32" s="112"/>
      <c r="L32" s="113"/>
      <c r="M32" s="112"/>
      <c r="N32" s="113"/>
      <c r="O32" s="112"/>
      <c r="P32" s="113"/>
      <c r="Q32" s="112"/>
      <c r="R32" s="113"/>
      <c r="S32" s="112"/>
      <c r="T32" s="113"/>
      <c r="U32" s="112"/>
      <c r="V32" s="113"/>
      <c r="W32" s="114"/>
      <c r="X32" s="115"/>
      <c r="Y32" s="32"/>
      <c r="Z32" s="32" t="str">
        <f t="shared" si="0"/>
        <v/>
      </c>
      <c r="AA32" s="32"/>
      <c r="AB32" s="32"/>
      <c r="AC32" s="32"/>
      <c r="AD32" s="30">
        <v>28</v>
      </c>
      <c r="AE32" s="30"/>
      <c r="AF32" s="30"/>
      <c r="AG32" s="30"/>
      <c r="AH32" s="30"/>
      <c r="AI32" s="31"/>
    </row>
    <row r="33" spans="1:35" x14ac:dyDescent="0.25">
      <c r="A33" s="42"/>
      <c r="B33" s="43"/>
      <c r="C33" s="114"/>
      <c r="D33" s="115"/>
      <c r="E33" s="114"/>
      <c r="F33" s="115"/>
      <c r="G33" s="112"/>
      <c r="H33" s="113"/>
      <c r="I33" s="112"/>
      <c r="J33" s="113"/>
      <c r="K33" s="112"/>
      <c r="L33" s="113"/>
      <c r="M33" s="112"/>
      <c r="N33" s="113"/>
      <c r="O33" s="112"/>
      <c r="P33" s="113"/>
      <c r="Q33" s="112"/>
      <c r="R33" s="113"/>
      <c r="S33" s="112"/>
      <c r="T33" s="113"/>
      <c r="U33" s="112"/>
      <c r="V33" s="113"/>
      <c r="W33" s="114"/>
      <c r="X33" s="115"/>
      <c r="Y33" s="32"/>
      <c r="Z33" s="32" t="str">
        <f t="shared" si="0"/>
        <v/>
      </c>
      <c r="AA33" s="32"/>
      <c r="AB33" s="32"/>
      <c r="AC33" s="32"/>
      <c r="AD33" s="30">
        <v>29</v>
      </c>
      <c r="AE33" s="30"/>
      <c r="AF33" s="30"/>
      <c r="AG33" s="30"/>
      <c r="AH33" s="30"/>
      <c r="AI33" s="31"/>
    </row>
    <row r="34" spans="1:35" x14ac:dyDescent="0.25">
      <c r="A34" s="42"/>
      <c r="B34" s="43"/>
      <c r="C34" s="114"/>
      <c r="D34" s="115"/>
      <c r="E34" s="114"/>
      <c r="F34" s="115"/>
      <c r="G34" s="112"/>
      <c r="H34" s="113"/>
      <c r="I34" s="112"/>
      <c r="J34" s="113"/>
      <c r="K34" s="112"/>
      <c r="L34" s="113"/>
      <c r="M34" s="112"/>
      <c r="N34" s="113"/>
      <c r="O34" s="112"/>
      <c r="P34" s="113"/>
      <c r="Q34" s="112"/>
      <c r="R34" s="113"/>
      <c r="S34" s="112"/>
      <c r="T34" s="113"/>
      <c r="U34" s="112"/>
      <c r="V34" s="113"/>
      <c r="W34" s="114"/>
      <c r="X34" s="115"/>
      <c r="Y34" s="32"/>
      <c r="Z34" s="32" t="str">
        <f t="shared" si="0"/>
        <v/>
      </c>
      <c r="AA34" s="32"/>
      <c r="AB34" s="32"/>
      <c r="AC34" s="32"/>
      <c r="AD34" s="30">
        <v>30</v>
      </c>
      <c r="AE34" s="30"/>
      <c r="AF34" s="30"/>
      <c r="AG34" s="30"/>
      <c r="AH34" s="30"/>
      <c r="AI34" s="31"/>
    </row>
    <row r="35" spans="1:35" hidden="1" x14ac:dyDescent="0.25">
      <c r="A35" s="114"/>
      <c r="B35" s="115"/>
      <c r="C35" s="114"/>
      <c r="D35" s="115"/>
      <c r="E35" s="114"/>
      <c r="F35" s="115"/>
      <c r="G35" s="112"/>
      <c r="H35" s="113"/>
      <c r="I35" s="112"/>
      <c r="J35" s="113"/>
      <c r="K35" s="112"/>
      <c r="L35" s="113"/>
      <c r="M35" s="112"/>
      <c r="N35" s="113"/>
      <c r="O35" s="112"/>
      <c r="P35" s="113"/>
      <c r="Q35" s="112"/>
      <c r="R35" s="113"/>
      <c r="S35" s="112"/>
      <c r="T35" s="113"/>
      <c r="U35" s="112"/>
      <c r="V35" s="113"/>
      <c r="W35" s="114"/>
      <c r="X35" s="115"/>
      <c r="Y35" s="8"/>
      <c r="Z35" s="1" t="str">
        <f t="shared" si="0"/>
        <v/>
      </c>
      <c r="AB35" s="8"/>
      <c r="AC35" s="8"/>
      <c r="AD35" s="8"/>
      <c r="AE35" s="8"/>
      <c r="AF35" s="8"/>
      <c r="AG35" s="8"/>
      <c r="AH35" s="8"/>
      <c r="AI35" s="16"/>
    </row>
    <row r="36" spans="1:35" hidden="1" x14ac:dyDescent="0.25">
      <c r="A36" s="114"/>
      <c r="B36" s="115"/>
      <c r="C36" s="114"/>
      <c r="D36" s="115"/>
      <c r="E36" s="114"/>
      <c r="F36" s="115"/>
      <c r="G36" s="112"/>
      <c r="H36" s="113"/>
      <c r="I36" s="112"/>
      <c r="J36" s="113"/>
      <c r="K36" s="112"/>
      <c r="L36" s="113"/>
      <c r="M36" s="112"/>
      <c r="N36" s="113"/>
      <c r="O36" s="112"/>
      <c r="P36" s="113"/>
      <c r="Q36" s="112"/>
      <c r="R36" s="113"/>
      <c r="S36" s="112"/>
      <c r="T36" s="113"/>
      <c r="U36" s="112"/>
      <c r="V36" s="113"/>
      <c r="W36" s="114"/>
      <c r="X36" s="115"/>
      <c r="Y36" s="8"/>
      <c r="Z36" s="1" t="str">
        <f t="shared" si="0"/>
        <v/>
      </c>
      <c r="AB36" s="8"/>
      <c r="AC36" s="8"/>
      <c r="AD36" s="8"/>
      <c r="AE36" s="8"/>
      <c r="AF36" s="8"/>
      <c r="AG36" s="8"/>
      <c r="AH36" s="8"/>
      <c r="AI36" s="16"/>
    </row>
    <row r="37" spans="1:35" hidden="1" x14ac:dyDescent="0.25">
      <c r="A37" s="114"/>
      <c r="B37" s="115"/>
      <c r="C37" s="114"/>
      <c r="D37" s="115"/>
      <c r="E37" s="114"/>
      <c r="F37" s="115"/>
      <c r="G37" s="112"/>
      <c r="H37" s="113"/>
      <c r="I37" s="112"/>
      <c r="J37" s="113"/>
      <c r="K37" s="112"/>
      <c r="L37" s="113"/>
      <c r="M37" s="112"/>
      <c r="N37" s="113"/>
      <c r="O37" s="112"/>
      <c r="P37" s="113"/>
      <c r="Q37" s="112"/>
      <c r="R37" s="113"/>
      <c r="S37" s="112"/>
      <c r="T37" s="113"/>
      <c r="U37" s="112"/>
      <c r="V37" s="113"/>
      <c r="W37" s="114"/>
      <c r="X37" s="115"/>
      <c r="Y37" s="8"/>
      <c r="Z37" s="1" t="str">
        <f t="shared" si="0"/>
        <v/>
      </c>
      <c r="AB37" s="8"/>
      <c r="AC37" s="8"/>
      <c r="AD37" s="8"/>
      <c r="AE37" s="8"/>
      <c r="AF37" s="8"/>
      <c r="AG37" s="8"/>
      <c r="AH37" s="8"/>
      <c r="AI37" s="16"/>
    </row>
    <row r="38" spans="1:35" hidden="1" x14ac:dyDescent="0.25">
      <c r="A38" s="114"/>
      <c r="B38" s="115"/>
      <c r="C38" s="114"/>
      <c r="D38" s="115"/>
      <c r="E38" s="114"/>
      <c r="F38" s="115"/>
      <c r="G38" s="112"/>
      <c r="H38" s="113"/>
      <c r="I38" s="112"/>
      <c r="J38" s="113"/>
      <c r="K38" s="112"/>
      <c r="L38" s="113"/>
      <c r="M38" s="112"/>
      <c r="N38" s="113"/>
      <c r="O38" s="112"/>
      <c r="P38" s="113"/>
      <c r="Q38" s="112"/>
      <c r="R38" s="113"/>
      <c r="S38" s="112"/>
      <c r="T38" s="113"/>
      <c r="U38" s="112"/>
      <c r="V38" s="113"/>
      <c r="W38" s="114"/>
      <c r="X38" s="115"/>
      <c r="Y38" s="8"/>
      <c r="Z38" s="1" t="str">
        <f t="shared" si="0"/>
        <v/>
      </c>
      <c r="AB38" s="8"/>
      <c r="AC38" s="8"/>
      <c r="AD38" s="8"/>
      <c r="AE38" s="8"/>
      <c r="AF38" s="8"/>
      <c r="AG38" s="8"/>
      <c r="AH38" s="8"/>
      <c r="AI38" s="16"/>
    </row>
    <row r="39" spans="1:35" hidden="1" x14ac:dyDescent="0.25">
      <c r="A39" s="114"/>
      <c r="B39" s="115"/>
      <c r="C39" s="114"/>
      <c r="D39" s="115"/>
      <c r="E39" s="114"/>
      <c r="F39" s="115"/>
      <c r="G39" s="112"/>
      <c r="H39" s="113"/>
      <c r="I39" s="112"/>
      <c r="J39" s="113"/>
      <c r="K39" s="112"/>
      <c r="L39" s="113"/>
      <c r="M39" s="112"/>
      <c r="N39" s="113"/>
      <c r="O39" s="112"/>
      <c r="P39" s="113"/>
      <c r="Q39" s="112"/>
      <c r="R39" s="113"/>
      <c r="S39" s="112"/>
      <c r="T39" s="113"/>
      <c r="U39" s="112"/>
      <c r="V39" s="113"/>
      <c r="W39" s="114"/>
      <c r="X39" s="115"/>
      <c r="Y39" s="8"/>
      <c r="Z39" s="1" t="str">
        <f t="shared" si="0"/>
        <v/>
      </c>
      <c r="AB39" s="8"/>
      <c r="AC39" s="8"/>
      <c r="AD39" s="8"/>
      <c r="AE39" s="8"/>
      <c r="AF39" s="8"/>
      <c r="AG39" s="8"/>
      <c r="AH39" s="8"/>
      <c r="AI39" s="16"/>
    </row>
    <row r="40" spans="1:35" hidden="1" x14ac:dyDescent="0.25">
      <c r="A40" s="114"/>
      <c r="B40" s="115"/>
      <c r="C40" s="114"/>
      <c r="D40" s="115"/>
      <c r="E40" s="114"/>
      <c r="F40" s="115"/>
      <c r="G40" s="112"/>
      <c r="H40" s="113"/>
      <c r="I40" s="112"/>
      <c r="J40" s="113"/>
      <c r="K40" s="112"/>
      <c r="L40" s="113"/>
      <c r="M40" s="112"/>
      <c r="N40" s="113"/>
      <c r="O40" s="112"/>
      <c r="P40" s="113"/>
      <c r="Q40" s="112"/>
      <c r="R40" s="113"/>
      <c r="S40" s="112"/>
      <c r="T40" s="113"/>
      <c r="U40" s="112"/>
      <c r="V40" s="113"/>
      <c r="W40" s="114"/>
      <c r="X40" s="115"/>
      <c r="Y40" s="8"/>
      <c r="Z40" s="1" t="str">
        <f t="shared" si="0"/>
        <v/>
      </c>
      <c r="AB40" s="8"/>
      <c r="AC40" s="8"/>
      <c r="AD40" s="8"/>
      <c r="AE40" s="8"/>
      <c r="AF40" s="8"/>
      <c r="AG40" s="8"/>
      <c r="AH40" s="8"/>
      <c r="AI40" s="16"/>
    </row>
    <row r="41" spans="1:35" hidden="1" x14ac:dyDescent="0.25">
      <c r="A41" s="114"/>
      <c r="B41" s="115"/>
      <c r="C41" s="114"/>
      <c r="D41" s="115"/>
      <c r="E41" s="114"/>
      <c r="F41" s="115"/>
      <c r="G41" s="112"/>
      <c r="H41" s="113"/>
      <c r="I41" s="112"/>
      <c r="J41" s="113"/>
      <c r="K41" s="112"/>
      <c r="L41" s="113"/>
      <c r="M41" s="112"/>
      <c r="N41" s="113"/>
      <c r="O41" s="112"/>
      <c r="P41" s="113"/>
      <c r="Q41" s="112"/>
      <c r="R41" s="113"/>
      <c r="S41" s="112"/>
      <c r="T41" s="113"/>
      <c r="U41" s="112"/>
      <c r="V41" s="113"/>
      <c r="W41" s="114"/>
      <c r="X41" s="115"/>
      <c r="Y41" s="8"/>
      <c r="Z41" s="1" t="str">
        <f t="shared" si="0"/>
        <v/>
      </c>
      <c r="AB41" s="8"/>
      <c r="AC41" s="8"/>
      <c r="AD41" s="8"/>
      <c r="AE41" s="8"/>
      <c r="AF41" s="8"/>
      <c r="AG41" s="8"/>
      <c r="AH41" s="8"/>
      <c r="AI41" s="16"/>
    </row>
    <row r="42" spans="1:35" hidden="1" x14ac:dyDescent="0.25">
      <c r="A42" s="114"/>
      <c r="B42" s="115"/>
      <c r="C42" s="114"/>
      <c r="D42" s="115"/>
      <c r="E42" s="114"/>
      <c r="F42" s="115"/>
      <c r="G42" s="112"/>
      <c r="H42" s="113"/>
      <c r="I42" s="112"/>
      <c r="J42" s="113"/>
      <c r="K42" s="112"/>
      <c r="L42" s="113"/>
      <c r="M42" s="112"/>
      <c r="N42" s="113"/>
      <c r="O42" s="112"/>
      <c r="P42" s="113"/>
      <c r="Q42" s="112"/>
      <c r="R42" s="113"/>
      <c r="S42" s="112"/>
      <c r="T42" s="113"/>
      <c r="U42" s="112"/>
      <c r="V42" s="113"/>
      <c r="W42" s="114"/>
      <c r="X42" s="115"/>
      <c r="Y42" s="8"/>
      <c r="Z42" s="1" t="str">
        <f t="shared" si="0"/>
        <v/>
      </c>
      <c r="AB42" s="8"/>
      <c r="AC42" s="8"/>
      <c r="AD42" s="8"/>
      <c r="AE42" s="8"/>
      <c r="AF42" s="8"/>
      <c r="AG42" s="8"/>
      <c r="AH42" s="8"/>
      <c r="AI42" s="16"/>
    </row>
    <row r="43" spans="1:35" hidden="1" x14ac:dyDescent="0.25">
      <c r="A43" s="114"/>
      <c r="B43" s="115"/>
      <c r="C43" s="114"/>
      <c r="D43" s="115"/>
      <c r="E43" s="114"/>
      <c r="F43" s="115"/>
      <c r="G43" s="112"/>
      <c r="H43" s="113"/>
      <c r="I43" s="112"/>
      <c r="J43" s="113"/>
      <c r="K43" s="112"/>
      <c r="L43" s="113"/>
      <c r="M43" s="112"/>
      <c r="N43" s="113"/>
      <c r="O43" s="112"/>
      <c r="P43" s="113"/>
      <c r="Q43" s="112"/>
      <c r="R43" s="113"/>
      <c r="S43" s="112"/>
      <c r="T43" s="113"/>
      <c r="U43" s="112"/>
      <c r="V43" s="113"/>
      <c r="W43" s="114"/>
      <c r="X43" s="115"/>
      <c r="Y43" s="8"/>
      <c r="Z43" s="1" t="str">
        <f t="shared" si="0"/>
        <v/>
      </c>
      <c r="AB43" s="8"/>
      <c r="AC43" s="8"/>
      <c r="AD43" s="8"/>
      <c r="AE43" s="8"/>
      <c r="AF43" s="8"/>
      <c r="AG43" s="8"/>
      <c r="AH43" s="8"/>
      <c r="AI43" s="16"/>
    </row>
    <row r="44" spans="1:35" hidden="1" x14ac:dyDescent="0.25">
      <c r="A44" s="114"/>
      <c r="B44" s="115"/>
      <c r="C44" s="114"/>
      <c r="D44" s="115"/>
      <c r="E44" s="114"/>
      <c r="F44" s="115"/>
      <c r="G44" s="112"/>
      <c r="H44" s="113"/>
      <c r="I44" s="112"/>
      <c r="J44" s="113"/>
      <c r="K44" s="112"/>
      <c r="L44" s="113"/>
      <c r="M44" s="112"/>
      <c r="N44" s="113"/>
      <c r="O44" s="112"/>
      <c r="P44" s="113"/>
      <c r="Q44" s="112"/>
      <c r="R44" s="113"/>
      <c r="S44" s="112"/>
      <c r="T44" s="113"/>
      <c r="U44" s="112"/>
      <c r="V44" s="113"/>
      <c r="W44" s="114"/>
      <c r="X44" s="115"/>
      <c r="Y44" s="8"/>
      <c r="Z44" s="1" t="str">
        <f t="shared" si="0"/>
        <v/>
      </c>
      <c r="AB44" s="8"/>
      <c r="AC44" s="8"/>
      <c r="AD44" s="8"/>
      <c r="AE44" s="8"/>
      <c r="AF44" s="8"/>
      <c r="AG44" s="8"/>
      <c r="AH44" s="8"/>
      <c r="AI44" s="16"/>
    </row>
    <row r="45" spans="1:35" hidden="1" x14ac:dyDescent="0.25">
      <c r="A45" s="114"/>
      <c r="B45" s="115"/>
      <c r="C45" s="114"/>
      <c r="D45" s="115"/>
      <c r="E45" s="114"/>
      <c r="F45" s="115"/>
      <c r="G45" s="112"/>
      <c r="H45" s="113"/>
      <c r="I45" s="112"/>
      <c r="J45" s="113"/>
      <c r="K45" s="112"/>
      <c r="L45" s="113"/>
      <c r="M45" s="112"/>
      <c r="N45" s="113"/>
      <c r="O45" s="112"/>
      <c r="P45" s="113"/>
      <c r="Q45" s="112"/>
      <c r="R45" s="113"/>
      <c r="S45" s="112"/>
      <c r="T45" s="113"/>
      <c r="U45" s="112"/>
      <c r="V45" s="113"/>
      <c r="W45" s="114"/>
      <c r="X45" s="115"/>
      <c r="Y45" s="8"/>
      <c r="Z45" s="1" t="str">
        <f t="shared" si="0"/>
        <v/>
      </c>
      <c r="AB45" s="8"/>
      <c r="AC45" s="8"/>
      <c r="AD45" s="8"/>
      <c r="AE45" s="8"/>
      <c r="AF45" s="8"/>
      <c r="AG45" s="8"/>
      <c r="AH45" s="8"/>
      <c r="AI45" s="16"/>
    </row>
    <row r="46" spans="1:35" hidden="1" x14ac:dyDescent="0.25">
      <c r="A46" s="114"/>
      <c r="B46" s="115"/>
      <c r="C46" s="114"/>
      <c r="D46" s="115"/>
      <c r="E46" s="114"/>
      <c r="F46" s="115"/>
      <c r="G46" s="112"/>
      <c r="H46" s="113"/>
      <c r="I46" s="112"/>
      <c r="J46" s="113"/>
      <c r="K46" s="112"/>
      <c r="L46" s="113"/>
      <c r="M46" s="112"/>
      <c r="N46" s="113"/>
      <c r="O46" s="112"/>
      <c r="P46" s="113"/>
      <c r="Q46" s="112"/>
      <c r="R46" s="113"/>
      <c r="S46" s="112"/>
      <c r="T46" s="113"/>
      <c r="U46" s="112"/>
      <c r="V46" s="113"/>
      <c r="W46" s="114"/>
      <c r="X46" s="115"/>
      <c r="Y46" s="8"/>
      <c r="Z46" s="1" t="str">
        <f t="shared" si="0"/>
        <v/>
      </c>
      <c r="AB46" s="8"/>
      <c r="AC46" s="8"/>
      <c r="AD46" s="8"/>
      <c r="AE46" s="8"/>
      <c r="AF46" s="8"/>
      <c r="AG46" s="8"/>
      <c r="AH46" s="8"/>
      <c r="AI46" s="16"/>
    </row>
    <row r="47" spans="1:35" hidden="1" x14ac:dyDescent="0.25">
      <c r="A47" s="114"/>
      <c r="B47" s="115"/>
      <c r="C47" s="114"/>
      <c r="D47" s="115"/>
      <c r="E47" s="114"/>
      <c r="F47" s="115"/>
      <c r="G47" s="112"/>
      <c r="H47" s="113"/>
      <c r="I47" s="112"/>
      <c r="J47" s="113"/>
      <c r="K47" s="112"/>
      <c r="L47" s="113"/>
      <c r="M47" s="112"/>
      <c r="N47" s="113"/>
      <c r="O47" s="112"/>
      <c r="P47" s="113"/>
      <c r="Q47" s="112"/>
      <c r="R47" s="113"/>
      <c r="S47" s="112"/>
      <c r="T47" s="113"/>
      <c r="U47" s="112"/>
      <c r="V47" s="113"/>
      <c r="W47" s="114"/>
      <c r="X47" s="115"/>
      <c r="Y47" s="8"/>
      <c r="Z47" s="1" t="str">
        <f t="shared" si="0"/>
        <v/>
      </c>
      <c r="AB47" s="8"/>
      <c r="AC47" s="8"/>
      <c r="AD47" s="8"/>
      <c r="AE47" s="8"/>
      <c r="AF47" s="8"/>
      <c r="AG47" s="8"/>
      <c r="AH47" s="8"/>
      <c r="AI47" s="16"/>
    </row>
    <row r="48" spans="1:35" hidden="1" x14ac:dyDescent="0.25">
      <c r="A48" s="114"/>
      <c r="B48" s="115"/>
      <c r="C48" s="114"/>
      <c r="D48" s="115"/>
      <c r="E48" s="114"/>
      <c r="F48" s="115"/>
      <c r="G48" s="112"/>
      <c r="H48" s="113"/>
      <c r="I48" s="112"/>
      <c r="J48" s="113"/>
      <c r="K48" s="112"/>
      <c r="L48" s="113"/>
      <c r="M48" s="112"/>
      <c r="N48" s="113"/>
      <c r="O48" s="112"/>
      <c r="P48" s="113"/>
      <c r="Q48" s="112"/>
      <c r="R48" s="113"/>
      <c r="S48" s="112"/>
      <c r="T48" s="113"/>
      <c r="U48" s="112"/>
      <c r="V48" s="113"/>
      <c r="W48" s="114"/>
      <c r="X48" s="115"/>
      <c r="Y48" s="8"/>
      <c r="Z48" s="1" t="str">
        <f t="shared" si="0"/>
        <v/>
      </c>
      <c r="AB48" s="8"/>
      <c r="AC48" s="8"/>
      <c r="AD48" s="8"/>
      <c r="AE48" s="8"/>
      <c r="AF48" s="8"/>
      <c r="AG48" s="8"/>
      <c r="AH48" s="8"/>
      <c r="AI48" s="16"/>
    </row>
    <row r="49" spans="1:35" hidden="1" x14ac:dyDescent="0.25">
      <c r="A49" s="114"/>
      <c r="B49" s="115"/>
      <c r="C49" s="114"/>
      <c r="D49" s="115"/>
      <c r="E49" s="114"/>
      <c r="F49" s="115"/>
      <c r="G49" s="112"/>
      <c r="H49" s="113"/>
      <c r="I49" s="112"/>
      <c r="J49" s="113"/>
      <c r="K49" s="112"/>
      <c r="L49" s="113"/>
      <c r="M49" s="112"/>
      <c r="N49" s="113"/>
      <c r="O49" s="112"/>
      <c r="P49" s="113"/>
      <c r="Q49" s="112"/>
      <c r="R49" s="113"/>
      <c r="S49" s="112"/>
      <c r="T49" s="113"/>
      <c r="U49" s="112"/>
      <c r="V49" s="113"/>
      <c r="W49" s="114"/>
      <c r="X49" s="115"/>
      <c r="Y49" s="8"/>
      <c r="Z49" s="1" t="str">
        <f t="shared" si="0"/>
        <v/>
      </c>
      <c r="AB49" s="8"/>
      <c r="AC49" s="8"/>
      <c r="AD49" s="8"/>
      <c r="AE49" s="8"/>
      <c r="AF49" s="8"/>
      <c r="AG49" s="8"/>
      <c r="AH49" s="8"/>
      <c r="AI49" s="16"/>
    </row>
    <row r="50" spans="1:35" hidden="1" x14ac:dyDescent="0.25">
      <c r="A50" s="114"/>
      <c r="B50" s="115"/>
      <c r="C50" s="114"/>
      <c r="D50" s="115"/>
      <c r="E50" s="114"/>
      <c r="F50" s="115"/>
      <c r="G50" s="112"/>
      <c r="H50" s="113"/>
      <c r="I50" s="112"/>
      <c r="J50" s="113"/>
      <c r="K50" s="112"/>
      <c r="L50" s="113"/>
      <c r="M50" s="112"/>
      <c r="N50" s="113"/>
      <c r="O50" s="112"/>
      <c r="P50" s="113"/>
      <c r="Q50" s="112"/>
      <c r="R50" s="113"/>
      <c r="S50" s="112"/>
      <c r="T50" s="113"/>
      <c r="U50" s="112"/>
      <c r="V50" s="113"/>
      <c r="W50" s="114"/>
      <c r="X50" s="115"/>
      <c r="Y50" s="8"/>
      <c r="Z50" s="1" t="str">
        <f t="shared" si="0"/>
        <v/>
      </c>
      <c r="AB50" s="8"/>
      <c r="AC50" s="8"/>
      <c r="AD50" s="8"/>
      <c r="AE50" s="8"/>
      <c r="AF50" s="8"/>
      <c r="AG50" s="8"/>
      <c r="AH50" s="8"/>
      <c r="AI50" s="16"/>
    </row>
    <row r="51" spans="1:35" hidden="1" x14ac:dyDescent="0.25">
      <c r="A51" s="114"/>
      <c r="B51" s="115"/>
      <c r="C51" s="114"/>
      <c r="D51" s="115"/>
      <c r="E51" s="114"/>
      <c r="F51" s="115"/>
      <c r="G51" s="112"/>
      <c r="H51" s="113"/>
      <c r="I51" s="112"/>
      <c r="J51" s="113"/>
      <c r="K51" s="112"/>
      <c r="L51" s="113"/>
      <c r="M51" s="112"/>
      <c r="N51" s="113"/>
      <c r="O51" s="112"/>
      <c r="P51" s="113"/>
      <c r="Q51" s="112"/>
      <c r="R51" s="113"/>
      <c r="S51" s="112"/>
      <c r="T51" s="113"/>
      <c r="U51" s="112"/>
      <c r="V51" s="113"/>
      <c r="W51" s="114"/>
      <c r="X51" s="115"/>
      <c r="Z51" s="1" t="str">
        <f t="shared" si="0"/>
        <v/>
      </c>
    </row>
    <row r="52" spans="1:35" hidden="1" x14ac:dyDescent="0.25">
      <c r="A52" s="114"/>
      <c r="B52" s="115"/>
      <c r="C52" s="114"/>
      <c r="D52" s="115"/>
      <c r="E52" s="114"/>
      <c r="F52" s="115"/>
      <c r="G52" s="112"/>
      <c r="H52" s="113"/>
      <c r="I52" s="112"/>
      <c r="J52" s="113"/>
      <c r="K52" s="112"/>
      <c r="L52" s="113"/>
      <c r="M52" s="112"/>
      <c r="N52" s="113"/>
      <c r="O52" s="112"/>
      <c r="P52" s="113"/>
      <c r="Q52" s="112"/>
      <c r="R52" s="113"/>
      <c r="S52" s="112"/>
      <c r="T52" s="113"/>
      <c r="U52" s="112"/>
      <c r="V52" s="113"/>
      <c r="W52" s="114"/>
      <c r="X52" s="115"/>
      <c r="Z52" s="1" t="str">
        <f t="shared" si="0"/>
        <v/>
      </c>
    </row>
    <row r="53" spans="1:35" hidden="1" x14ac:dyDescent="0.25">
      <c r="A53" s="114"/>
      <c r="B53" s="115"/>
      <c r="C53" s="114"/>
      <c r="D53" s="115"/>
      <c r="E53" s="114"/>
      <c r="F53" s="115"/>
      <c r="G53" s="112"/>
      <c r="H53" s="113"/>
      <c r="I53" s="112"/>
      <c r="J53" s="113"/>
      <c r="K53" s="112"/>
      <c r="L53" s="113"/>
      <c r="M53" s="112"/>
      <c r="N53" s="113"/>
      <c r="O53" s="112"/>
      <c r="P53" s="113"/>
      <c r="Q53" s="112"/>
      <c r="R53" s="113"/>
      <c r="S53" s="112"/>
      <c r="T53" s="113"/>
      <c r="U53" s="112"/>
      <c r="V53" s="113"/>
      <c r="W53" s="114"/>
      <c r="X53" s="115"/>
      <c r="Z53" s="1" t="str">
        <f t="shared" si="0"/>
        <v/>
      </c>
    </row>
    <row r="54" spans="1:35" hidden="1" x14ac:dyDescent="0.25">
      <c r="A54" s="114"/>
      <c r="B54" s="115"/>
      <c r="C54" s="114"/>
      <c r="D54" s="115"/>
      <c r="E54" s="114"/>
      <c r="F54" s="115"/>
      <c r="G54" s="112"/>
      <c r="H54" s="113"/>
      <c r="I54" s="112"/>
      <c r="J54" s="113"/>
      <c r="K54" s="112"/>
      <c r="L54" s="113"/>
      <c r="M54" s="112"/>
      <c r="N54" s="113"/>
      <c r="O54" s="112"/>
      <c r="P54" s="113"/>
      <c r="Q54" s="112"/>
      <c r="R54" s="113"/>
      <c r="S54" s="112"/>
      <c r="T54" s="113"/>
      <c r="U54" s="112"/>
      <c r="V54" s="113"/>
      <c r="W54" s="114"/>
      <c r="X54" s="115"/>
      <c r="Z54" s="1" t="str">
        <f t="shared" si="0"/>
        <v/>
      </c>
    </row>
    <row r="55" spans="1:35" hidden="1" x14ac:dyDescent="0.25">
      <c r="A55" s="114"/>
      <c r="B55" s="115"/>
      <c r="C55" s="114"/>
      <c r="D55" s="115"/>
      <c r="E55" s="114"/>
      <c r="F55" s="115"/>
      <c r="G55" s="112"/>
      <c r="H55" s="113"/>
      <c r="I55" s="112"/>
      <c r="J55" s="113"/>
      <c r="K55" s="112"/>
      <c r="L55" s="113"/>
      <c r="M55" s="112"/>
      <c r="N55" s="113"/>
      <c r="O55" s="112"/>
      <c r="P55" s="113"/>
      <c r="Q55" s="112"/>
      <c r="R55" s="113"/>
      <c r="S55" s="112"/>
      <c r="T55" s="113"/>
      <c r="U55" s="112"/>
      <c r="V55" s="113"/>
      <c r="W55" s="114"/>
      <c r="X55" s="115"/>
      <c r="Z55" s="1" t="str">
        <f t="shared" si="0"/>
        <v/>
      </c>
    </row>
    <row r="56" spans="1:35" hidden="1" x14ac:dyDescent="0.25">
      <c r="A56" s="114"/>
      <c r="B56" s="115"/>
      <c r="C56" s="114"/>
      <c r="D56" s="115"/>
      <c r="E56" s="114"/>
      <c r="F56" s="115"/>
      <c r="G56" s="112"/>
      <c r="H56" s="113"/>
      <c r="I56" s="112"/>
      <c r="J56" s="113"/>
      <c r="K56" s="112"/>
      <c r="L56" s="113"/>
      <c r="M56" s="112"/>
      <c r="N56" s="113"/>
      <c r="O56" s="112"/>
      <c r="P56" s="113"/>
      <c r="Q56" s="112"/>
      <c r="R56" s="113"/>
      <c r="S56" s="112"/>
      <c r="T56" s="113"/>
      <c r="U56" s="112"/>
      <c r="V56" s="113"/>
      <c r="W56" s="114"/>
      <c r="X56" s="115"/>
      <c r="Z56" s="1" t="str">
        <f t="shared" si="0"/>
        <v/>
      </c>
    </row>
    <row r="57" spans="1:35" hidden="1" x14ac:dyDescent="0.25">
      <c r="A57" s="114"/>
      <c r="B57" s="115"/>
      <c r="C57" s="114"/>
      <c r="D57" s="115"/>
      <c r="E57" s="114"/>
      <c r="F57" s="115"/>
      <c r="G57" s="112"/>
      <c r="H57" s="113"/>
      <c r="I57" s="112"/>
      <c r="J57" s="113"/>
      <c r="K57" s="112"/>
      <c r="L57" s="113"/>
      <c r="M57" s="112"/>
      <c r="N57" s="113"/>
      <c r="O57" s="112"/>
      <c r="P57" s="113"/>
      <c r="Q57" s="112"/>
      <c r="R57" s="113"/>
      <c r="S57" s="112"/>
      <c r="T57" s="113"/>
      <c r="U57" s="112"/>
      <c r="V57" s="113"/>
      <c r="W57" s="114"/>
      <c r="X57" s="115"/>
      <c r="Z57" s="1" t="str">
        <f t="shared" si="0"/>
        <v/>
      </c>
    </row>
    <row r="58" spans="1:35" hidden="1" x14ac:dyDescent="0.25">
      <c r="A58" s="114"/>
      <c r="B58" s="115"/>
      <c r="C58" s="114"/>
      <c r="D58" s="115"/>
      <c r="E58" s="114"/>
      <c r="F58" s="115"/>
      <c r="G58" s="112"/>
      <c r="H58" s="113"/>
      <c r="I58" s="112"/>
      <c r="J58" s="113"/>
      <c r="K58" s="112"/>
      <c r="L58" s="113"/>
      <c r="M58" s="112"/>
      <c r="N58" s="113"/>
      <c r="O58" s="112"/>
      <c r="P58" s="113"/>
      <c r="Q58" s="112"/>
      <c r="R58" s="113"/>
      <c r="S58" s="112"/>
      <c r="T58" s="113"/>
      <c r="U58" s="112"/>
      <c r="V58" s="113"/>
      <c r="W58" s="114"/>
      <c r="X58" s="115"/>
      <c r="Z58" s="1" t="str">
        <f t="shared" si="0"/>
        <v/>
      </c>
    </row>
    <row r="59" spans="1:35" hidden="1" x14ac:dyDescent="0.25">
      <c r="A59" s="114"/>
      <c r="B59" s="115"/>
      <c r="C59" s="114"/>
      <c r="D59" s="115"/>
      <c r="E59" s="114"/>
      <c r="F59" s="115"/>
      <c r="G59" s="112"/>
      <c r="H59" s="113"/>
      <c r="I59" s="112"/>
      <c r="J59" s="113"/>
      <c r="K59" s="112"/>
      <c r="L59" s="113"/>
      <c r="M59" s="112"/>
      <c r="N59" s="113"/>
      <c r="O59" s="112"/>
      <c r="P59" s="113"/>
      <c r="Q59" s="112"/>
      <c r="R59" s="113"/>
      <c r="S59" s="112"/>
      <c r="T59" s="113"/>
      <c r="U59" s="112"/>
      <c r="V59" s="113"/>
      <c r="W59" s="114"/>
      <c r="X59" s="115"/>
      <c r="Z59" s="1" t="str">
        <f t="shared" si="0"/>
        <v/>
      </c>
    </row>
    <row r="60" spans="1:35" hidden="1" x14ac:dyDescent="0.25">
      <c r="A60" s="114"/>
      <c r="B60" s="115"/>
      <c r="C60" s="114"/>
      <c r="D60" s="115"/>
      <c r="E60" s="114"/>
      <c r="F60" s="115"/>
      <c r="G60" s="112"/>
      <c r="H60" s="113"/>
      <c r="I60" s="112"/>
      <c r="J60" s="113"/>
      <c r="K60" s="112"/>
      <c r="L60" s="113"/>
      <c r="M60" s="112"/>
      <c r="N60" s="113"/>
      <c r="O60" s="112"/>
      <c r="P60" s="113"/>
      <c r="Q60" s="112"/>
      <c r="R60" s="113"/>
      <c r="S60" s="112"/>
      <c r="T60" s="113"/>
      <c r="U60" s="112"/>
      <c r="V60" s="113"/>
      <c r="W60" s="114"/>
      <c r="X60" s="115"/>
      <c r="Z60" s="1" t="str">
        <f t="shared" si="0"/>
        <v/>
      </c>
    </row>
    <row r="61" spans="1:35" hidden="1" x14ac:dyDescent="0.25">
      <c r="A61" s="114"/>
      <c r="B61" s="115"/>
      <c r="C61" s="114"/>
      <c r="D61" s="115"/>
      <c r="E61" s="114"/>
      <c r="F61" s="115"/>
      <c r="G61" s="112"/>
      <c r="H61" s="113"/>
      <c r="I61" s="112"/>
      <c r="J61" s="113"/>
      <c r="K61" s="112"/>
      <c r="L61" s="113"/>
      <c r="M61" s="112"/>
      <c r="N61" s="113"/>
      <c r="O61" s="112"/>
      <c r="P61" s="113"/>
      <c r="Q61" s="112"/>
      <c r="R61" s="113"/>
      <c r="S61" s="112"/>
      <c r="T61" s="113"/>
      <c r="U61" s="112"/>
      <c r="V61" s="113"/>
      <c r="W61" s="114"/>
      <c r="X61" s="115"/>
      <c r="Z61" s="1" t="str">
        <f t="shared" si="0"/>
        <v/>
      </c>
    </row>
    <row r="62" spans="1:35" hidden="1" x14ac:dyDescent="0.25">
      <c r="A62" s="114"/>
      <c r="B62" s="115"/>
      <c r="C62" s="114"/>
      <c r="D62" s="115"/>
      <c r="E62" s="114"/>
      <c r="F62" s="115"/>
      <c r="G62" s="112"/>
      <c r="H62" s="113"/>
      <c r="I62" s="112"/>
      <c r="J62" s="113"/>
      <c r="K62" s="112"/>
      <c r="L62" s="113"/>
      <c r="M62" s="112"/>
      <c r="N62" s="113"/>
      <c r="O62" s="112"/>
      <c r="P62" s="113"/>
      <c r="Q62" s="112"/>
      <c r="R62" s="113"/>
      <c r="S62" s="112"/>
      <c r="T62" s="113"/>
      <c r="U62" s="112"/>
      <c r="V62" s="113"/>
      <c r="W62" s="114"/>
      <c r="X62" s="115"/>
      <c r="Z62" s="1" t="str">
        <f t="shared" si="0"/>
        <v/>
      </c>
    </row>
    <row r="63" spans="1:35" hidden="1" x14ac:dyDescent="0.25">
      <c r="A63" s="114"/>
      <c r="B63" s="115"/>
      <c r="C63" s="114"/>
      <c r="D63" s="115"/>
      <c r="E63" s="114"/>
      <c r="F63" s="115"/>
      <c r="G63" s="112"/>
      <c r="H63" s="113"/>
      <c r="I63" s="112"/>
      <c r="J63" s="113"/>
      <c r="K63" s="112"/>
      <c r="L63" s="113"/>
      <c r="M63" s="112"/>
      <c r="N63" s="113"/>
      <c r="O63" s="112"/>
      <c r="P63" s="113"/>
      <c r="Q63" s="112"/>
      <c r="R63" s="113"/>
      <c r="S63" s="112"/>
      <c r="T63" s="113"/>
      <c r="U63" s="112"/>
      <c r="V63" s="113"/>
      <c r="W63" s="114"/>
      <c r="X63" s="115"/>
      <c r="Z63" s="1" t="str">
        <f t="shared" si="0"/>
        <v/>
      </c>
    </row>
    <row r="64" spans="1:35" hidden="1" x14ac:dyDescent="0.25">
      <c r="A64" s="114"/>
      <c r="B64" s="115"/>
      <c r="C64" s="114"/>
      <c r="D64" s="115"/>
      <c r="E64" s="114"/>
      <c r="F64" s="115"/>
      <c r="G64" s="112"/>
      <c r="H64" s="113"/>
      <c r="I64" s="112"/>
      <c r="J64" s="113"/>
      <c r="K64" s="112"/>
      <c r="L64" s="113"/>
      <c r="M64" s="112"/>
      <c r="N64" s="113"/>
      <c r="O64" s="112"/>
      <c r="P64" s="113"/>
      <c r="Q64" s="112"/>
      <c r="R64" s="113"/>
      <c r="S64" s="112"/>
      <c r="T64" s="113"/>
      <c r="U64" s="112"/>
      <c r="V64" s="113"/>
      <c r="W64" s="114"/>
      <c r="X64" s="115"/>
      <c r="Z64" s="1" t="str">
        <f t="shared" si="0"/>
        <v/>
      </c>
    </row>
    <row r="65" spans="1:26" hidden="1" x14ac:dyDescent="0.25">
      <c r="A65" s="114"/>
      <c r="B65" s="115"/>
      <c r="C65" s="114"/>
      <c r="D65" s="115"/>
      <c r="E65" s="114"/>
      <c r="F65" s="115"/>
      <c r="G65" s="112"/>
      <c r="H65" s="113"/>
      <c r="I65" s="112"/>
      <c r="J65" s="113"/>
      <c r="K65" s="112"/>
      <c r="L65" s="113"/>
      <c r="M65" s="112"/>
      <c r="N65" s="113"/>
      <c r="O65" s="112"/>
      <c r="P65" s="113"/>
      <c r="Q65" s="112"/>
      <c r="R65" s="113"/>
      <c r="S65" s="112"/>
      <c r="T65" s="113"/>
      <c r="U65" s="112"/>
      <c r="V65" s="113"/>
      <c r="W65" s="114"/>
      <c r="X65" s="115"/>
      <c r="Z65" s="1" t="str">
        <f t="shared" si="0"/>
        <v/>
      </c>
    </row>
    <row r="66" spans="1:26" hidden="1" x14ac:dyDescent="0.25">
      <c r="A66" s="114"/>
      <c r="B66" s="115"/>
      <c r="C66" s="114"/>
      <c r="D66" s="115"/>
      <c r="E66" s="114"/>
      <c r="F66" s="115"/>
      <c r="G66" s="112"/>
      <c r="H66" s="113"/>
      <c r="I66" s="112"/>
      <c r="J66" s="113"/>
      <c r="K66" s="112"/>
      <c r="L66" s="113"/>
      <c r="M66" s="112"/>
      <c r="N66" s="113"/>
      <c r="O66" s="112"/>
      <c r="P66" s="113"/>
      <c r="Q66" s="112"/>
      <c r="R66" s="113"/>
      <c r="S66" s="112"/>
      <c r="T66" s="113"/>
      <c r="U66" s="112"/>
      <c r="V66" s="113"/>
      <c r="W66" s="114"/>
      <c r="X66" s="115"/>
      <c r="Z66" s="1" t="str">
        <f t="shared" si="0"/>
        <v/>
      </c>
    </row>
    <row r="67" spans="1:26" hidden="1" x14ac:dyDescent="0.25">
      <c r="A67" s="114"/>
      <c r="B67" s="115"/>
      <c r="C67" s="114"/>
      <c r="D67" s="115"/>
      <c r="E67" s="114"/>
      <c r="F67" s="115"/>
      <c r="G67" s="112"/>
      <c r="H67" s="113"/>
      <c r="I67" s="112"/>
      <c r="J67" s="113"/>
      <c r="K67" s="112"/>
      <c r="L67" s="113"/>
      <c r="M67" s="112"/>
      <c r="N67" s="113"/>
      <c r="O67" s="112"/>
      <c r="P67" s="113"/>
      <c r="Q67" s="112"/>
      <c r="R67" s="113"/>
      <c r="S67" s="112"/>
      <c r="T67" s="113"/>
      <c r="U67" s="112"/>
      <c r="V67" s="113"/>
      <c r="W67" s="114"/>
      <c r="X67" s="115"/>
      <c r="Z67" s="1" t="str">
        <f t="shared" si="0"/>
        <v/>
      </c>
    </row>
    <row r="68" spans="1:26" hidden="1" x14ac:dyDescent="0.25">
      <c r="A68" s="114"/>
      <c r="B68" s="115"/>
      <c r="C68" s="114"/>
      <c r="D68" s="115"/>
      <c r="E68" s="114"/>
      <c r="F68" s="115"/>
      <c r="G68" s="112"/>
      <c r="H68" s="113"/>
      <c r="I68" s="112"/>
      <c r="J68" s="113"/>
      <c r="K68" s="112"/>
      <c r="L68" s="113"/>
      <c r="M68" s="112"/>
      <c r="N68" s="113"/>
      <c r="O68" s="112"/>
      <c r="P68" s="113"/>
      <c r="Q68" s="112"/>
      <c r="R68" s="113"/>
      <c r="S68" s="112"/>
      <c r="T68" s="113"/>
      <c r="U68" s="112"/>
      <c r="V68" s="113"/>
      <c r="W68" s="114"/>
      <c r="X68" s="115"/>
      <c r="Z68" s="1" t="str">
        <f t="shared" si="0"/>
        <v/>
      </c>
    </row>
    <row r="69" spans="1:26" hidden="1" x14ac:dyDescent="0.25">
      <c r="A69" s="114"/>
      <c r="B69" s="115"/>
      <c r="C69" s="114"/>
      <c r="D69" s="115"/>
      <c r="E69" s="114"/>
      <c r="F69" s="115"/>
      <c r="G69" s="112"/>
      <c r="H69" s="113"/>
      <c r="I69" s="112"/>
      <c r="J69" s="113"/>
      <c r="K69" s="112"/>
      <c r="L69" s="113"/>
      <c r="M69" s="112"/>
      <c r="N69" s="113"/>
      <c r="O69" s="112"/>
      <c r="P69" s="113"/>
      <c r="Q69" s="112"/>
      <c r="R69" s="113"/>
      <c r="S69" s="112"/>
      <c r="T69" s="113"/>
      <c r="U69" s="112"/>
      <c r="V69" s="113"/>
      <c r="W69" s="114"/>
      <c r="X69" s="115"/>
      <c r="Z69" s="1" t="str">
        <f t="shared" si="0"/>
        <v/>
      </c>
    </row>
    <row r="70" spans="1:26" hidden="1" x14ac:dyDescent="0.25">
      <c r="A70" s="114"/>
      <c r="B70" s="115"/>
      <c r="C70" s="114"/>
      <c r="D70" s="115"/>
      <c r="E70" s="114"/>
      <c r="F70" s="115"/>
      <c r="G70" s="112"/>
      <c r="H70" s="113"/>
      <c r="I70" s="112"/>
      <c r="J70" s="113"/>
      <c r="K70" s="112"/>
      <c r="L70" s="113"/>
      <c r="M70" s="112"/>
      <c r="N70" s="113"/>
      <c r="O70" s="112"/>
      <c r="P70" s="113"/>
      <c r="Q70" s="112"/>
      <c r="R70" s="113"/>
      <c r="S70" s="112"/>
      <c r="T70" s="113"/>
      <c r="U70" s="112"/>
      <c r="V70" s="113"/>
      <c r="W70" s="114"/>
      <c r="X70" s="115"/>
      <c r="Z70" s="1" t="str">
        <f t="shared" si="0"/>
        <v/>
      </c>
    </row>
    <row r="71" spans="1:26" hidden="1" x14ac:dyDescent="0.25">
      <c r="A71" s="114"/>
      <c r="B71" s="115"/>
      <c r="C71" s="114"/>
      <c r="D71" s="115"/>
      <c r="E71" s="114"/>
      <c r="F71" s="115"/>
      <c r="G71" s="112"/>
      <c r="H71" s="113"/>
      <c r="I71" s="112"/>
      <c r="J71" s="113"/>
      <c r="K71" s="112"/>
      <c r="L71" s="113"/>
      <c r="M71" s="112"/>
      <c r="N71" s="113"/>
      <c r="O71" s="112"/>
      <c r="P71" s="113"/>
      <c r="Q71" s="112"/>
      <c r="R71" s="113"/>
      <c r="S71" s="112"/>
      <c r="T71" s="113"/>
      <c r="U71" s="112"/>
      <c r="V71" s="113"/>
      <c r="W71" s="114"/>
      <c r="X71" s="115"/>
      <c r="Z71" s="1" t="str">
        <f t="shared" ref="Z71:Z134" si="1">IF(ROW(A67)&lt;=$Z$2,ROW(A67),"")</f>
        <v/>
      </c>
    </row>
    <row r="72" spans="1:26" hidden="1" x14ac:dyDescent="0.25">
      <c r="A72" s="114"/>
      <c r="B72" s="115"/>
      <c r="C72" s="114"/>
      <c r="D72" s="115"/>
      <c r="E72" s="114"/>
      <c r="F72" s="115"/>
      <c r="G72" s="112"/>
      <c r="H72" s="113"/>
      <c r="I72" s="112"/>
      <c r="J72" s="113"/>
      <c r="K72" s="112"/>
      <c r="L72" s="113"/>
      <c r="M72" s="112"/>
      <c r="N72" s="113"/>
      <c r="O72" s="112"/>
      <c r="P72" s="113"/>
      <c r="Q72" s="112"/>
      <c r="R72" s="113"/>
      <c r="S72" s="112"/>
      <c r="T72" s="113"/>
      <c r="U72" s="112"/>
      <c r="V72" s="113"/>
      <c r="W72" s="114"/>
      <c r="X72" s="115"/>
      <c r="Z72" s="1" t="str">
        <f t="shared" si="1"/>
        <v/>
      </c>
    </row>
    <row r="73" spans="1:26" hidden="1" x14ac:dyDescent="0.25">
      <c r="A73" s="114"/>
      <c r="B73" s="115"/>
      <c r="C73" s="114"/>
      <c r="D73" s="115"/>
      <c r="E73" s="114"/>
      <c r="F73" s="115"/>
      <c r="G73" s="112"/>
      <c r="H73" s="113"/>
      <c r="I73" s="112"/>
      <c r="J73" s="113"/>
      <c r="K73" s="112"/>
      <c r="L73" s="113"/>
      <c r="M73" s="112"/>
      <c r="N73" s="113"/>
      <c r="O73" s="112"/>
      <c r="P73" s="113"/>
      <c r="Q73" s="112"/>
      <c r="R73" s="113"/>
      <c r="S73" s="112"/>
      <c r="T73" s="113"/>
      <c r="U73" s="112"/>
      <c r="V73" s="113"/>
      <c r="W73" s="114"/>
      <c r="X73" s="115"/>
      <c r="Z73" s="1" t="str">
        <f t="shared" si="1"/>
        <v/>
      </c>
    </row>
    <row r="74" spans="1:26" hidden="1" x14ac:dyDescent="0.25">
      <c r="A74" s="114"/>
      <c r="B74" s="115"/>
      <c r="C74" s="114"/>
      <c r="D74" s="115"/>
      <c r="E74" s="114"/>
      <c r="F74" s="115"/>
      <c r="G74" s="112"/>
      <c r="H74" s="113"/>
      <c r="I74" s="112"/>
      <c r="J74" s="113"/>
      <c r="K74" s="112"/>
      <c r="L74" s="113"/>
      <c r="M74" s="112"/>
      <c r="N74" s="113"/>
      <c r="O74" s="112"/>
      <c r="P74" s="113"/>
      <c r="Q74" s="112"/>
      <c r="R74" s="113"/>
      <c r="S74" s="112"/>
      <c r="T74" s="113"/>
      <c r="U74" s="112"/>
      <c r="V74" s="113"/>
      <c r="W74" s="114"/>
      <c r="X74" s="115"/>
      <c r="Z74" s="1" t="str">
        <f t="shared" si="1"/>
        <v/>
      </c>
    </row>
    <row r="75" spans="1:26" hidden="1" x14ac:dyDescent="0.25">
      <c r="A75" s="114"/>
      <c r="B75" s="115"/>
      <c r="C75" s="114"/>
      <c r="D75" s="115"/>
      <c r="E75" s="114"/>
      <c r="F75" s="115"/>
      <c r="G75" s="112"/>
      <c r="H75" s="113"/>
      <c r="I75" s="112"/>
      <c r="J75" s="113"/>
      <c r="K75" s="112"/>
      <c r="L75" s="113"/>
      <c r="M75" s="112"/>
      <c r="N75" s="113"/>
      <c r="O75" s="112"/>
      <c r="P75" s="113"/>
      <c r="Q75" s="112"/>
      <c r="R75" s="113"/>
      <c r="S75" s="112"/>
      <c r="T75" s="113"/>
      <c r="U75" s="112"/>
      <c r="V75" s="113"/>
      <c r="W75" s="114"/>
      <c r="X75" s="115"/>
      <c r="Z75" s="1" t="str">
        <f t="shared" si="1"/>
        <v/>
      </c>
    </row>
    <row r="76" spans="1:26" hidden="1" x14ac:dyDescent="0.25">
      <c r="A76" s="114"/>
      <c r="B76" s="115"/>
      <c r="C76" s="114"/>
      <c r="D76" s="115"/>
      <c r="E76" s="114"/>
      <c r="F76" s="115"/>
      <c r="G76" s="112"/>
      <c r="H76" s="113"/>
      <c r="I76" s="112"/>
      <c r="J76" s="113"/>
      <c r="K76" s="112"/>
      <c r="L76" s="113"/>
      <c r="M76" s="112"/>
      <c r="N76" s="113"/>
      <c r="O76" s="112"/>
      <c r="P76" s="113"/>
      <c r="Q76" s="112"/>
      <c r="R76" s="113"/>
      <c r="S76" s="112"/>
      <c r="T76" s="113"/>
      <c r="U76" s="112"/>
      <c r="V76" s="113"/>
      <c r="W76" s="114"/>
      <c r="X76" s="115"/>
      <c r="Z76" s="1" t="str">
        <f t="shared" si="1"/>
        <v/>
      </c>
    </row>
    <row r="77" spans="1:26" hidden="1" x14ac:dyDescent="0.25">
      <c r="A77" s="114"/>
      <c r="B77" s="115"/>
      <c r="C77" s="114"/>
      <c r="D77" s="115"/>
      <c r="E77" s="114"/>
      <c r="F77" s="115"/>
      <c r="G77" s="112"/>
      <c r="H77" s="113"/>
      <c r="I77" s="112"/>
      <c r="J77" s="113"/>
      <c r="K77" s="112"/>
      <c r="L77" s="113"/>
      <c r="M77" s="112"/>
      <c r="N77" s="113"/>
      <c r="O77" s="112"/>
      <c r="P77" s="113"/>
      <c r="Q77" s="112"/>
      <c r="R77" s="113"/>
      <c r="S77" s="112"/>
      <c r="T77" s="113"/>
      <c r="U77" s="112"/>
      <c r="V77" s="113"/>
      <c r="W77" s="114"/>
      <c r="X77" s="115"/>
      <c r="Z77" s="1" t="str">
        <f t="shared" si="1"/>
        <v/>
      </c>
    </row>
    <row r="78" spans="1:26" hidden="1" x14ac:dyDescent="0.25">
      <c r="A78" s="114"/>
      <c r="B78" s="115"/>
      <c r="C78" s="114"/>
      <c r="D78" s="115"/>
      <c r="E78" s="114"/>
      <c r="F78" s="115"/>
      <c r="G78" s="112"/>
      <c r="H78" s="113"/>
      <c r="I78" s="112"/>
      <c r="J78" s="113"/>
      <c r="K78" s="112"/>
      <c r="L78" s="113"/>
      <c r="M78" s="112"/>
      <c r="N78" s="113"/>
      <c r="O78" s="112"/>
      <c r="P78" s="113"/>
      <c r="Q78" s="112"/>
      <c r="R78" s="113"/>
      <c r="S78" s="112"/>
      <c r="T78" s="113"/>
      <c r="U78" s="112"/>
      <c r="V78" s="113"/>
      <c r="W78" s="114"/>
      <c r="X78" s="115"/>
      <c r="Z78" s="1" t="str">
        <f t="shared" si="1"/>
        <v/>
      </c>
    </row>
    <row r="79" spans="1:26" hidden="1" x14ac:dyDescent="0.25">
      <c r="A79" s="114"/>
      <c r="B79" s="115"/>
      <c r="C79" s="114"/>
      <c r="D79" s="115"/>
      <c r="E79" s="114"/>
      <c r="F79" s="115"/>
      <c r="G79" s="112"/>
      <c r="H79" s="113"/>
      <c r="I79" s="112"/>
      <c r="J79" s="113"/>
      <c r="K79" s="112"/>
      <c r="L79" s="113"/>
      <c r="M79" s="112"/>
      <c r="N79" s="113"/>
      <c r="O79" s="112"/>
      <c r="P79" s="113"/>
      <c r="Q79" s="112"/>
      <c r="R79" s="113"/>
      <c r="S79" s="112"/>
      <c r="T79" s="113"/>
      <c r="U79" s="112"/>
      <c r="V79" s="113"/>
      <c r="W79" s="114"/>
      <c r="X79" s="115"/>
      <c r="Z79" s="1" t="str">
        <f t="shared" si="1"/>
        <v/>
      </c>
    </row>
    <row r="80" spans="1:26" hidden="1" x14ac:dyDescent="0.25">
      <c r="A80" s="114"/>
      <c r="B80" s="115"/>
      <c r="C80" s="114"/>
      <c r="D80" s="115"/>
      <c r="E80" s="114"/>
      <c r="F80" s="115"/>
      <c r="G80" s="112"/>
      <c r="H80" s="113"/>
      <c r="I80" s="112"/>
      <c r="J80" s="113"/>
      <c r="K80" s="112"/>
      <c r="L80" s="113"/>
      <c r="M80" s="112"/>
      <c r="N80" s="113"/>
      <c r="O80" s="112"/>
      <c r="P80" s="113"/>
      <c r="Q80" s="112"/>
      <c r="R80" s="113"/>
      <c r="S80" s="112"/>
      <c r="T80" s="113"/>
      <c r="U80" s="112"/>
      <c r="V80" s="113"/>
      <c r="W80" s="114"/>
      <c r="X80" s="115"/>
      <c r="Z80" s="1" t="str">
        <f t="shared" si="1"/>
        <v/>
      </c>
    </row>
    <row r="81" spans="1:26" hidden="1" x14ac:dyDescent="0.25">
      <c r="A81" s="114"/>
      <c r="B81" s="115"/>
      <c r="C81" s="114"/>
      <c r="D81" s="115"/>
      <c r="E81" s="114"/>
      <c r="F81" s="115"/>
      <c r="G81" s="112"/>
      <c r="H81" s="113"/>
      <c r="I81" s="112"/>
      <c r="J81" s="113"/>
      <c r="K81" s="112"/>
      <c r="L81" s="113"/>
      <c r="M81" s="112"/>
      <c r="N81" s="113"/>
      <c r="O81" s="112"/>
      <c r="P81" s="113"/>
      <c r="Q81" s="112"/>
      <c r="R81" s="113"/>
      <c r="S81" s="112"/>
      <c r="T81" s="113"/>
      <c r="U81" s="112"/>
      <c r="V81" s="113"/>
      <c r="W81" s="114"/>
      <c r="X81" s="115"/>
      <c r="Z81" s="1" t="str">
        <f t="shared" si="1"/>
        <v/>
      </c>
    </row>
    <row r="82" spans="1:26" hidden="1" x14ac:dyDescent="0.25">
      <c r="A82" s="114"/>
      <c r="B82" s="115"/>
      <c r="C82" s="114"/>
      <c r="D82" s="115"/>
      <c r="E82" s="114"/>
      <c r="F82" s="115"/>
      <c r="G82" s="112"/>
      <c r="H82" s="113"/>
      <c r="I82" s="112"/>
      <c r="J82" s="113"/>
      <c r="K82" s="112"/>
      <c r="L82" s="113"/>
      <c r="M82" s="112"/>
      <c r="N82" s="113"/>
      <c r="O82" s="112"/>
      <c r="P82" s="113"/>
      <c r="Q82" s="112"/>
      <c r="R82" s="113"/>
      <c r="S82" s="112"/>
      <c r="T82" s="113"/>
      <c r="U82" s="112"/>
      <c r="V82" s="113"/>
      <c r="W82" s="114"/>
      <c r="X82" s="115"/>
      <c r="Z82" s="1" t="str">
        <f t="shared" si="1"/>
        <v/>
      </c>
    </row>
    <row r="83" spans="1:26" hidden="1" x14ac:dyDescent="0.25">
      <c r="A83" s="114"/>
      <c r="B83" s="115"/>
      <c r="C83" s="114"/>
      <c r="D83" s="115"/>
      <c r="E83" s="114"/>
      <c r="F83" s="115"/>
      <c r="G83" s="112"/>
      <c r="H83" s="113"/>
      <c r="I83" s="112"/>
      <c r="J83" s="113"/>
      <c r="K83" s="112"/>
      <c r="L83" s="113"/>
      <c r="M83" s="112"/>
      <c r="N83" s="113"/>
      <c r="O83" s="112"/>
      <c r="P83" s="113"/>
      <c r="Q83" s="112"/>
      <c r="R83" s="113"/>
      <c r="S83" s="112"/>
      <c r="T83" s="113"/>
      <c r="U83" s="112"/>
      <c r="V83" s="113"/>
      <c r="W83" s="114"/>
      <c r="X83" s="115"/>
      <c r="Z83" s="1" t="str">
        <f t="shared" si="1"/>
        <v/>
      </c>
    </row>
    <row r="84" spans="1:26" hidden="1" x14ac:dyDescent="0.25">
      <c r="A84" s="114"/>
      <c r="B84" s="115"/>
      <c r="C84" s="114"/>
      <c r="D84" s="115"/>
      <c r="E84" s="114"/>
      <c r="F84" s="115"/>
      <c r="G84" s="112"/>
      <c r="H84" s="113"/>
      <c r="I84" s="112"/>
      <c r="J84" s="113"/>
      <c r="K84" s="112"/>
      <c r="L84" s="113"/>
      <c r="M84" s="112"/>
      <c r="N84" s="113"/>
      <c r="O84" s="112"/>
      <c r="P84" s="113"/>
      <c r="Q84" s="112"/>
      <c r="R84" s="113"/>
      <c r="S84" s="112"/>
      <c r="T84" s="113"/>
      <c r="U84" s="112"/>
      <c r="V84" s="113"/>
      <c r="W84" s="114"/>
      <c r="X84" s="115"/>
      <c r="Z84" s="1" t="str">
        <f t="shared" si="1"/>
        <v/>
      </c>
    </row>
    <row r="85" spans="1:26" hidden="1" x14ac:dyDescent="0.25">
      <c r="A85" s="114"/>
      <c r="B85" s="115"/>
      <c r="C85" s="114"/>
      <c r="D85" s="115"/>
      <c r="E85" s="114"/>
      <c r="F85" s="115"/>
      <c r="G85" s="112"/>
      <c r="H85" s="113"/>
      <c r="I85" s="112"/>
      <c r="J85" s="113"/>
      <c r="K85" s="112"/>
      <c r="L85" s="113"/>
      <c r="M85" s="112"/>
      <c r="N85" s="113"/>
      <c r="O85" s="112"/>
      <c r="P85" s="113"/>
      <c r="Q85" s="112"/>
      <c r="R85" s="113"/>
      <c r="S85" s="112"/>
      <c r="T85" s="113"/>
      <c r="U85" s="112"/>
      <c r="V85" s="113"/>
      <c r="W85" s="114"/>
      <c r="X85" s="115"/>
      <c r="Z85" s="1" t="str">
        <f t="shared" si="1"/>
        <v/>
      </c>
    </row>
    <row r="86" spans="1:26" hidden="1" x14ac:dyDescent="0.25">
      <c r="A86" s="114"/>
      <c r="B86" s="115"/>
      <c r="C86" s="114"/>
      <c r="D86" s="115"/>
      <c r="E86" s="114"/>
      <c r="F86" s="115"/>
      <c r="G86" s="112"/>
      <c r="H86" s="113"/>
      <c r="I86" s="112"/>
      <c r="J86" s="113"/>
      <c r="K86" s="112"/>
      <c r="L86" s="113"/>
      <c r="M86" s="112"/>
      <c r="N86" s="113"/>
      <c r="O86" s="112"/>
      <c r="P86" s="113"/>
      <c r="Q86" s="112"/>
      <c r="R86" s="113"/>
      <c r="S86" s="112"/>
      <c r="T86" s="113"/>
      <c r="U86" s="112"/>
      <c r="V86" s="113"/>
      <c r="W86" s="114"/>
      <c r="X86" s="115"/>
      <c r="Z86" s="1" t="str">
        <f t="shared" si="1"/>
        <v/>
      </c>
    </row>
    <row r="87" spans="1:26" hidden="1" x14ac:dyDescent="0.25">
      <c r="A87" s="114"/>
      <c r="B87" s="115"/>
      <c r="C87" s="114"/>
      <c r="D87" s="115"/>
      <c r="E87" s="114"/>
      <c r="F87" s="115"/>
      <c r="G87" s="112"/>
      <c r="H87" s="113"/>
      <c r="I87" s="112"/>
      <c r="J87" s="113"/>
      <c r="K87" s="112"/>
      <c r="L87" s="113"/>
      <c r="M87" s="112"/>
      <c r="N87" s="113"/>
      <c r="O87" s="112"/>
      <c r="P87" s="113"/>
      <c r="Q87" s="112"/>
      <c r="R87" s="113"/>
      <c r="S87" s="112"/>
      <c r="T87" s="113"/>
      <c r="U87" s="112"/>
      <c r="V87" s="113"/>
      <c r="W87" s="114"/>
      <c r="X87" s="115"/>
      <c r="Z87" s="1" t="str">
        <f t="shared" si="1"/>
        <v/>
      </c>
    </row>
    <row r="88" spans="1:26" hidden="1" x14ac:dyDescent="0.25">
      <c r="A88" s="114"/>
      <c r="B88" s="115"/>
      <c r="C88" s="114"/>
      <c r="D88" s="115"/>
      <c r="E88" s="114"/>
      <c r="F88" s="115"/>
      <c r="G88" s="112"/>
      <c r="H88" s="113"/>
      <c r="I88" s="112"/>
      <c r="J88" s="113"/>
      <c r="K88" s="112"/>
      <c r="L88" s="113"/>
      <c r="M88" s="112"/>
      <c r="N88" s="113"/>
      <c r="O88" s="112"/>
      <c r="P88" s="113"/>
      <c r="Q88" s="112"/>
      <c r="R88" s="113"/>
      <c r="S88" s="112"/>
      <c r="T88" s="113"/>
      <c r="U88" s="112"/>
      <c r="V88" s="113"/>
      <c r="W88" s="114"/>
      <c r="X88" s="115"/>
      <c r="Z88" s="1" t="str">
        <f t="shared" si="1"/>
        <v/>
      </c>
    </row>
    <row r="89" spans="1:26" hidden="1" x14ac:dyDescent="0.25">
      <c r="A89" s="114"/>
      <c r="B89" s="115"/>
      <c r="C89" s="114"/>
      <c r="D89" s="115"/>
      <c r="E89" s="114"/>
      <c r="F89" s="115"/>
      <c r="G89" s="112"/>
      <c r="H89" s="113"/>
      <c r="I89" s="112"/>
      <c r="J89" s="113"/>
      <c r="K89" s="112"/>
      <c r="L89" s="113"/>
      <c r="M89" s="112"/>
      <c r="N89" s="113"/>
      <c r="O89" s="112"/>
      <c r="P89" s="113"/>
      <c r="Q89" s="112"/>
      <c r="R89" s="113"/>
      <c r="S89" s="112"/>
      <c r="T89" s="113"/>
      <c r="U89" s="112"/>
      <c r="V89" s="113"/>
      <c r="W89" s="114"/>
      <c r="X89" s="115"/>
      <c r="Z89" s="1" t="str">
        <f t="shared" si="1"/>
        <v/>
      </c>
    </row>
    <row r="90" spans="1:26" hidden="1" x14ac:dyDescent="0.25">
      <c r="A90" s="114"/>
      <c r="B90" s="115"/>
      <c r="C90" s="114"/>
      <c r="D90" s="115"/>
      <c r="E90" s="114"/>
      <c r="F90" s="115"/>
      <c r="G90" s="112"/>
      <c r="H90" s="113"/>
      <c r="I90" s="112"/>
      <c r="J90" s="113"/>
      <c r="K90" s="112"/>
      <c r="L90" s="113"/>
      <c r="M90" s="112"/>
      <c r="N90" s="113"/>
      <c r="O90" s="112"/>
      <c r="P90" s="113"/>
      <c r="Q90" s="112"/>
      <c r="R90" s="113"/>
      <c r="S90" s="112"/>
      <c r="T90" s="113"/>
      <c r="U90" s="112"/>
      <c r="V90" s="113"/>
      <c r="W90" s="114"/>
      <c r="X90" s="115"/>
      <c r="Z90" s="1" t="str">
        <f t="shared" si="1"/>
        <v/>
      </c>
    </row>
    <row r="91" spans="1:26" hidden="1" x14ac:dyDescent="0.25">
      <c r="A91" s="114"/>
      <c r="B91" s="115"/>
      <c r="C91" s="114"/>
      <c r="D91" s="115"/>
      <c r="E91" s="114"/>
      <c r="F91" s="115"/>
      <c r="G91" s="112"/>
      <c r="H91" s="113"/>
      <c r="I91" s="112"/>
      <c r="J91" s="113"/>
      <c r="K91" s="112"/>
      <c r="L91" s="113"/>
      <c r="M91" s="112"/>
      <c r="N91" s="113"/>
      <c r="O91" s="112"/>
      <c r="P91" s="113"/>
      <c r="Q91" s="112"/>
      <c r="R91" s="113"/>
      <c r="S91" s="112"/>
      <c r="T91" s="113"/>
      <c r="U91" s="112"/>
      <c r="V91" s="113"/>
      <c r="W91" s="114"/>
      <c r="X91" s="115"/>
      <c r="Z91" s="1" t="str">
        <f t="shared" si="1"/>
        <v/>
      </c>
    </row>
    <row r="92" spans="1:26" hidden="1" x14ac:dyDescent="0.25">
      <c r="A92" s="114"/>
      <c r="B92" s="115"/>
      <c r="C92" s="114"/>
      <c r="D92" s="115"/>
      <c r="E92" s="114"/>
      <c r="F92" s="115"/>
      <c r="G92" s="112"/>
      <c r="H92" s="113"/>
      <c r="I92" s="112"/>
      <c r="J92" s="113"/>
      <c r="K92" s="112"/>
      <c r="L92" s="113"/>
      <c r="M92" s="112"/>
      <c r="N92" s="113"/>
      <c r="O92" s="112"/>
      <c r="P92" s="113"/>
      <c r="Q92" s="112"/>
      <c r="R92" s="113"/>
      <c r="S92" s="112"/>
      <c r="T92" s="113"/>
      <c r="U92" s="112"/>
      <c r="V92" s="113"/>
      <c r="W92" s="114"/>
      <c r="X92" s="115"/>
      <c r="Z92" s="1" t="str">
        <f t="shared" si="1"/>
        <v/>
      </c>
    </row>
    <row r="93" spans="1:26" hidden="1" x14ac:dyDescent="0.25">
      <c r="A93" s="114"/>
      <c r="B93" s="115"/>
      <c r="C93" s="114"/>
      <c r="D93" s="115"/>
      <c r="E93" s="114"/>
      <c r="F93" s="115"/>
      <c r="G93" s="112"/>
      <c r="H93" s="113"/>
      <c r="I93" s="112"/>
      <c r="J93" s="113"/>
      <c r="K93" s="112"/>
      <c r="L93" s="113"/>
      <c r="M93" s="112"/>
      <c r="N93" s="113"/>
      <c r="O93" s="112"/>
      <c r="P93" s="113"/>
      <c r="Q93" s="112"/>
      <c r="R93" s="113"/>
      <c r="S93" s="112"/>
      <c r="T93" s="113"/>
      <c r="U93" s="112"/>
      <c r="V93" s="113"/>
      <c r="W93" s="114"/>
      <c r="X93" s="115"/>
      <c r="Z93" s="1" t="str">
        <f t="shared" si="1"/>
        <v/>
      </c>
    </row>
    <row r="94" spans="1:26" hidden="1" x14ac:dyDescent="0.25">
      <c r="A94" s="114"/>
      <c r="B94" s="115"/>
      <c r="C94" s="114"/>
      <c r="D94" s="115"/>
      <c r="E94" s="114"/>
      <c r="F94" s="115"/>
      <c r="G94" s="112"/>
      <c r="H94" s="113"/>
      <c r="I94" s="112"/>
      <c r="J94" s="113"/>
      <c r="K94" s="112"/>
      <c r="L94" s="113"/>
      <c r="M94" s="112"/>
      <c r="N94" s="113"/>
      <c r="O94" s="112"/>
      <c r="P94" s="113"/>
      <c r="Q94" s="112"/>
      <c r="R94" s="113"/>
      <c r="S94" s="112"/>
      <c r="T94" s="113"/>
      <c r="U94" s="112"/>
      <c r="V94" s="113"/>
      <c r="W94" s="114"/>
      <c r="X94" s="115"/>
      <c r="Z94" s="1" t="str">
        <f t="shared" si="1"/>
        <v/>
      </c>
    </row>
    <row r="95" spans="1:26" hidden="1" x14ac:dyDescent="0.25">
      <c r="A95" s="114"/>
      <c r="B95" s="115"/>
      <c r="C95" s="114"/>
      <c r="D95" s="115"/>
      <c r="E95" s="114"/>
      <c r="F95" s="115"/>
      <c r="G95" s="112"/>
      <c r="H95" s="113"/>
      <c r="I95" s="112"/>
      <c r="J95" s="113"/>
      <c r="K95" s="112"/>
      <c r="L95" s="113"/>
      <c r="M95" s="112"/>
      <c r="N95" s="113"/>
      <c r="O95" s="112"/>
      <c r="P95" s="113"/>
      <c r="Q95" s="112"/>
      <c r="R95" s="113"/>
      <c r="S95" s="112"/>
      <c r="T95" s="113"/>
      <c r="U95" s="112"/>
      <c r="V95" s="113"/>
      <c r="W95" s="114"/>
      <c r="X95" s="115"/>
      <c r="Z95" s="1" t="str">
        <f t="shared" si="1"/>
        <v/>
      </c>
    </row>
    <row r="96" spans="1:26" hidden="1" x14ac:dyDescent="0.25">
      <c r="A96" s="114"/>
      <c r="B96" s="115"/>
      <c r="C96" s="114"/>
      <c r="D96" s="115"/>
      <c r="E96" s="114"/>
      <c r="F96" s="115"/>
      <c r="G96" s="112"/>
      <c r="H96" s="113"/>
      <c r="I96" s="112"/>
      <c r="J96" s="113"/>
      <c r="K96" s="112"/>
      <c r="L96" s="113"/>
      <c r="M96" s="112"/>
      <c r="N96" s="113"/>
      <c r="O96" s="112"/>
      <c r="P96" s="113"/>
      <c r="Q96" s="112"/>
      <c r="R96" s="113"/>
      <c r="S96" s="112"/>
      <c r="T96" s="113"/>
      <c r="U96" s="112"/>
      <c r="V96" s="113"/>
      <c r="W96" s="114"/>
      <c r="X96" s="115"/>
      <c r="Z96" s="1" t="str">
        <f t="shared" si="1"/>
        <v/>
      </c>
    </row>
    <row r="97" spans="1:26" hidden="1" x14ac:dyDescent="0.25">
      <c r="A97" s="114"/>
      <c r="B97" s="115"/>
      <c r="C97" s="114"/>
      <c r="D97" s="115"/>
      <c r="E97" s="114"/>
      <c r="F97" s="115"/>
      <c r="G97" s="112"/>
      <c r="H97" s="113"/>
      <c r="I97" s="112"/>
      <c r="J97" s="113"/>
      <c r="K97" s="112"/>
      <c r="L97" s="113"/>
      <c r="M97" s="112"/>
      <c r="N97" s="113"/>
      <c r="O97" s="112"/>
      <c r="P97" s="113"/>
      <c r="Q97" s="112"/>
      <c r="R97" s="113"/>
      <c r="S97" s="112"/>
      <c r="T97" s="113"/>
      <c r="U97" s="112"/>
      <c r="V97" s="113"/>
      <c r="W97" s="114"/>
      <c r="X97" s="115"/>
      <c r="Z97" s="1" t="str">
        <f t="shared" si="1"/>
        <v/>
      </c>
    </row>
    <row r="98" spans="1:26" hidden="1" x14ac:dyDescent="0.25">
      <c r="A98" s="114"/>
      <c r="B98" s="115"/>
      <c r="C98" s="114"/>
      <c r="D98" s="115"/>
      <c r="E98" s="114"/>
      <c r="F98" s="115"/>
      <c r="G98" s="112"/>
      <c r="H98" s="113"/>
      <c r="I98" s="112"/>
      <c r="J98" s="113"/>
      <c r="K98" s="112"/>
      <c r="L98" s="113"/>
      <c r="M98" s="112"/>
      <c r="N98" s="113"/>
      <c r="O98" s="112"/>
      <c r="P98" s="113"/>
      <c r="Q98" s="112"/>
      <c r="R98" s="113"/>
      <c r="S98" s="112"/>
      <c r="T98" s="113"/>
      <c r="U98" s="112"/>
      <c r="V98" s="113"/>
      <c r="W98" s="114"/>
      <c r="X98" s="115"/>
      <c r="Z98" s="1" t="str">
        <f t="shared" si="1"/>
        <v/>
      </c>
    </row>
    <row r="99" spans="1:26" hidden="1" x14ac:dyDescent="0.25">
      <c r="A99" s="114"/>
      <c r="B99" s="115"/>
      <c r="C99" s="114"/>
      <c r="D99" s="115"/>
      <c r="E99" s="114"/>
      <c r="F99" s="115"/>
      <c r="G99" s="112"/>
      <c r="H99" s="113"/>
      <c r="I99" s="112"/>
      <c r="J99" s="113"/>
      <c r="K99" s="112"/>
      <c r="L99" s="113"/>
      <c r="M99" s="112"/>
      <c r="N99" s="113"/>
      <c r="O99" s="112"/>
      <c r="P99" s="113"/>
      <c r="Q99" s="112"/>
      <c r="R99" s="113"/>
      <c r="S99" s="112"/>
      <c r="T99" s="113"/>
      <c r="U99" s="112"/>
      <c r="V99" s="113"/>
      <c r="W99" s="114"/>
      <c r="X99" s="115"/>
      <c r="Z99" s="1" t="str">
        <f t="shared" si="1"/>
        <v/>
      </c>
    </row>
    <row r="100" spans="1:26" hidden="1" x14ac:dyDescent="0.25">
      <c r="A100" s="114"/>
      <c r="B100" s="115"/>
      <c r="C100" s="114"/>
      <c r="D100" s="115"/>
      <c r="E100" s="114"/>
      <c r="F100" s="115"/>
      <c r="G100" s="112"/>
      <c r="H100" s="113"/>
      <c r="I100" s="112"/>
      <c r="J100" s="113"/>
      <c r="K100" s="112"/>
      <c r="L100" s="113"/>
      <c r="M100" s="112"/>
      <c r="N100" s="113"/>
      <c r="O100" s="112"/>
      <c r="P100" s="113"/>
      <c r="Q100" s="112"/>
      <c r="R100" s="113"/>
      <c r="S100" s="112"/>
      <c r="T100" s="113"/>
      <c r="U100" s="112"/>
      <c r="V100" s="113"/>
      <c r="W100" s="114"/>
      <c r="X100" s="115"/>
      <c r="Z100" s="1" t="str">
        <f t="shared" si="1"/>
        <v/>
      </c>
    </row>
    <row r="101" spans="1:26" hidden="1" x14ac:dyDescent="0.25">
      <c r="A101" s="114"/>
      <c r="B101" s="115"/>
      <c r="C101" s="114"/>
      <c r="D101" s="115"/>
      <c r="E101" s="114"/>
      <c r="F101" s="115"/>
      <c r="G101" s="112"/>
      <c r="H101" s="113"/>
      <c r="I101" s="112"/>
      <c r="J101" s="113"/>
      <c r="K101" s="112"/>
      <c r="L101" s="113"/>
      <c r="M101" s="112"/>
      <c r="N101" s="113"/>
      <c r="O101" s="112"/>
      <c r="P101" s="113"/>
      <c r="Q101" s="112"/>
      <c r="R101" s="113"/>
      <c r="S101" s="112"/>
      <c r="T101" s="113"/>
      <c r="U101" s="112"/>
      <c r="V101" s="113"/>
      <c r="W101" s="114"/>
      <c r="X101" s="115"/>
      <c r="Z101" s="1" t="str">
        <f t="shared" si="1"/>
        <v/>
      </c>
    </row>
    <row r="102" spans="1:26" hidden="1" x14ac:dyDescent="0.25">
      <c r="A102" s="114"/>
      <c r="B102" s="115"/>
      <c r="C102" s="114"/>
      <c r="D102" s="115"/>
      <c r="E102" s="114"/>
      <c r="F102" s="115"/>
      <c r="G102" s="112"/>
      <c r="H102" s="113"/>
      <c r="I102" s="112"/>
      <c r="J102" s="113"/>
      <c r="K102" s="112"/>
      <c r="L102" s="113"/>
      <c r="M102" s="112"/>
      <c r="N102" s="113"/>
      <c r="O102" s="112"/>
      <c r="P102" s="113"/>
      <c r="Q102" s="112"/>
      <c r="R102" s="113"/>
      <c r="S102" s="112"/>
      <c r="T102" s="113"/>
      <c r="U102" s="112"/>
      <c r="V102" s="113"/>
      <c r="W102" s="114"/>
      <c r="X102" s="115"/>
      <c r="Z102" s="1" t="str">
        <f t="shared" si="1"/>
        <v/>
      </c>
    </row>
    <row r="103" spans="1:26" hidden="1" x14ac:dyDescent="0.25">
      <c r="A103" s="114"/>
      <c r="B103" s="115"/>
      <c r="C103" s="114"/>
      <c r="D103" s="115"/>
      <c r="E103" s="114"/>
      <c r="F103" s="115"/>
      <c r="G103" s="112"/>
      <c r="H103" s="113"/>
      <c r="I103" s="112"/>
      <c r="J103" s="113"/>
      <c r="K103" s="112"/>
      <c r="L103" s="113"/>
      <c r="M103" s="112"/>
      <c r="N103" s="113"/>
      <c r="O103" s="112"/>
      <c r="P103" s="113"/>
      <c r="Q103" s="112"/>
      <c r="R103" s="113"/>
      <c r="S103" s="112"/>
      <c r="T103" s="113"/>
      <c r="U103" s="112"/>
      <c r="V103" s="113"/>
      <c r="W103" s="114"/>
      <c r="X103" s="115"/>
      <c r="Z103" s="1" t="str">
        <f t="shared" si="1"/>
        <v/>
      </c>
    </row>
    <row r="104" spans="1:26" hidden="1" x14ac:dyDescent="0.25">
      <c r="A104" s="114"/>
      <c r="B104" s="115"/>
      <c r="C104" s="114"/>
      <c r="D104" s="115"/>
      <c r="E104" s="114"/>
      <c r="F104" s="115"/>
      <c r="G104" s="112"/>
      <c r="H104" s="113"/>
      <c r="I104" s="112"/>
      <c r="J104" s="113"/>
      <c r="K104" s="112"/>
      <c r="L104" s="113"/>
      <c r="M104" s="112"/>
      <c r="N104" s="113"/>
      <c r="O104" s="112"/>
      <c r="P104" s="113"/>
      <c r="Q104" s="112"/>
      <c r="R104" s="113"/>
      <c r="S104" s="112"/>
      <c r="T104" s="113"/>
      <c r="U104" s="112"/>
      <c r="V104" s="113"/>
      <c r="W104" s="114"/>
      <c r="X104" s="115"/>
      <c r="Z104" s="1" t="str">
        <f t="shared" si="1"/>
        <v/>
      </c>
    </row>
    <row r="105" spans="1:26" hidden="1" x14ac:dyDescent="0.25">
      <c r="A105" s="114"/>
      <c r="B105" s="115"/>
      <c r="C105" s="114"/>
      <c r="D105" s="115"/>
      <c r="E105" s="114"/>
      <c r="F105" s="115"/>
      <c r="G105" s="112"/>
      <c r="H105" s="113"/>
      <c r="I105" s="112"/>
      <c r="J105" s="113"/>
      <c r="K105" s="112"/>
      <c r="L105" s="113"/>
      <c r="M105" s="112"/>
      <c r="N105" s="113"/>
      <c r="O105" s="112"/>
      <c r="P105" s="113"/>
      <c r="Q105" s="112"/>
      <c r="R105" s="113"/>
      <c r="S105" s="112"/>
      <c r="T105" s="113"/>
      <c r="U105" s="112"/>
      <c r="V105" s="113"/>
      <c r="W105" s="114"/>
      <c r="X105" s="115"/>
      <c r="Z105" s="1" t="str">
        <f t="shared" si="1"/>
        <v/>
      </c>
    </row>
    <row r="106" spans="1:26" hidden="1" x14ac:dyDescent="0.25">
      <c r="A106" s="114"/>
      <c r="B106" s="115"/>
      <c r="C106" s="114"/>
      <c r="D106" s="115"/>
      <c r="E106" s="114"/>
      <c r="F106" s="115"/>
      <c r="G106" s="112"/>
      <c r="H106" s="113"/>
      <c r="I106" s="112"/>
      <c r="J106" s="113"/>
      <c r="K106" s="112"/>
      <c r="L106" s="113"/>
      <c r="M106" s="112"/>
      <c r="N106" s="113"/>
      <c r="O106" s="112"/>
      <c r="P106" s="113"/>
      <c r="Q106" s="112"/>
      <c r="R106" s="113"/>
      <c r="S106" s="112"/>
      <c r="T106" s="113"/>
      <c r="U106" s="112"/>
      <c r="V106" s="113"/>
      <c r="W106" s="114"/>
      <c r="X106" s="115"/>
      <c r="Z106" s="1" t="str">
        <f t="shared" si="1"/>
        <v/>
      </c>
    </row>
    <row r="107" spans="1:26" hidden="1" x14ac:dyDescent="0.25">
      <c r="A107" s="114"/>
      <c r="B107" s="115"/>
      <c r="C107" s="114"/>
      <c r="D107" s="115"/>
      <c r="E107" s="114"/>
      <c r="F107" s="115"/>
      <c r="G107" s="112"/>
      <c r="H107" s="113"/>
      <c r="I107" s="112"/>
      <c r="J107" s="113"/>
      <c r="K107" s="112"/>
      <c r="L107" s="113"/>
      <c r="M107" s="112"/>
      <c r="N107" s="113"/>
      <c r="O107" s="112"/>
      <c r="P107" s="113"/>
      <c r="Q107" s="112"/>
      <c r="R107" s="113"/>
      <c r="S107" s="112"/>
      <c r="T107" s="113"/>
      <c r="U107" s="112"/>
      <c r="V107" s="113"/>
      <c r="W107" s="114"/>
      <c r="X107" s="115"/>
      <c r="Z107" s="1" t="str">
        <f t="shared" si="1"/>
        <v/>
      </c>
    </row>
    <row r="108" spans="1:26" hidden="1" x14ac:dyDescent="0.25">
      <c r="A108" s="114"/>
      <c r="B108" s="115"/>
      <c r="C108" s="114"/>
      <c r="D108" s="115"/>
      <c r="E108" s="114"/>
      <c r="F108" s="115"/>
      <c r="G108" s="112"/>
      <c r="H108" s="113"/>
      <c r="I108" s="112"/>
      <c r="J108" s="113"/>
      <c r="K108" s="112"/>
      <c r="L108" s="113"/>
      <c r="M108" s="112"/>
      <c r="N108" s="113"/>
      <c r="O108" s="112"/>
      <c r="P108" s="113"/>
      <c r="Q108" s="112"/>
      <c r="R108" s="113"/>
      <c r="S108" s="112"/>
      <c r="T108" s="113"/>
      <c r="U108" s="112"/>
      <c r="V108" s="113"/>
      <c r="W108" s="114"/>
      <c r="X108" s="115"/>
      <c r="Z108" s="1" t="str">
        <f t="shared" si="1"/>
        <v/>
      </c>
    </row>
    <row r="109" spans="1:26" hidden="1" x14ac:dyDescent="0.25">
      <c r="A109" s="114"/>
      <c r="B109" s="115"/>
      <c r="C109" s="114"/>
      <c r="D109" s="115"/>
      <c r="E109" s="114"/>
      <c r="F109" s="115"/>
      <c r="G109" s="112"/>
      <c r="H109" s="113"/>
      <c r="I109" s="112"/>
      <c r="J109" s="113"/>
      <c r="K109" s="112"/>
      <c r="L109" s="113"/>
      <c r="M109" s="112"/>
      <c r="N109" s="113"/>
      <c r="O109" s="112"/>
      <c r="P109" s="113"/>
      <c r="Q109" s="112"/>
      <c r="R109" s="113"/>
      <c r="S109" s="112"/>
      <c r="T109" s="113"/>
      <c r="U109" s="112"/>
      <c r="V109" s="113"/>
      <c r="W109" s="114"/>
      <c r="X109" s="115"/>
      <c r="Z109" s="1" t="str">
        <f t="shared" si="1"/>
        <v/>
      </c>
    </row>
    <row r="110" spans="1:26" hidden="1" x14ac:dyDescent="0.25">
      <c r="A110" s="114"/>
      <c r="B110" s="115"/>
      <c r="C110" s="114"/>
      <c r="D110" s="115"/>
      <c r="E110" s="114"/>
      <c r="F110" s="115"/>
      <c r="G110" s="112"/>
      <c r="H110" s="113"/>
      <c r="I110" s="112"/>
      <c r="J110" s="113"/>
      <c r="K110" s="112"/>
      <c r="L110" s="113"/>
      <c r="M110" s="112"/>
      <c r="N110" s="113"/>
      <c r="O110" s="112"/>
      <c r="P110" s="113"/>
      <c r="Q110" s="112"/>
      <c r="R110" s="113"/>
      <c r="S110" s="112"/>
      <c r="T110" s="113"/>
      <c r="U110" s="112"/>
      <c r="V110" s="113"/>
      <c r="W110" s="114"/>
      <c r="X110" s="115"/>
      <c r="Z110" s="1" t="str">
        <f t="shared" si="1"/>
        <v/>
      </c>
    </row>
    <row r="111" spans="1:26" hidden="1" x14ac:dyDescent="0.25">
      <c r="A111" s="114"/>
      <c r="B111" s="115"/>
      <c r="C111" s="114"/>
      <c r="D111" s="115"/>
      <c r="E111" s="114"/>
      <c r="F111" s="115"/>
      <c r="G111" s="112"/>
      <c r="H111" s="113"/>
      <c r="I111" s="112"/>
      <c r="J111" s="113"/>
      <c r="K111" s="112"/>
      <c r="L111" s="113"/>
      <c r="M111" s="112"/>
      <c r="N111" s="113"/>
      <c r="O111" s="112"/>
      <c r="P111" s="113"/>
      <c r="Q111" s="112"/>
      <c r="R111" s="113"/>
      <c r="S111" s="112"/>
      <c r="T111" s="113"/>
      <c r="U111" s="112"/>
      <c r="V111" s="113"/>
      <c r="W111" s="114"/>
      <c r="X111" s="115"/>
      <c r="Z111" s="1" t="str">
        <f t="shared" si="1"/>
        <v/>
      </c>
    </row>
    <row r="112" spans="1:26" hidden="1" x14ac:dyDescent="0.25">
      <c r="A112" s="114"/>
      <c r="B112" s="115"/>
      <c r="C112" s="114"/>
      <c r="D112" s="115"/>
      <c r="E112" s="114"/>
      <c r="F112" s="115"/>
      <c r="G112" s="112"/>
      <c r="H112" s="113"/>
      <c r="I112" s="112"/>
      <c r="J112" s="113"/>
      <c r="K112" s="112"/>
      <c r="L112" s="113"/>
      <c r="M112" s="112"/>
      <c r="N112" s="113"/>
      <c r="O112" s="112"/>
      <c r="P112" s="113"/>
      <c r="Q112" s="112"/>
      <c r="R112" s="113"/>
      <c r="S112" s="112"/>
      <c r="T112" s="113"/>
      <c r="U112" s="112"/>
      <c r="V112" s="113"/>
      <c r="W112" s="114"/>
      <c r="X112" s="115"/>
      <c r="Z112" s="1" t="str">
        <f t="shared" si="1"/>
        <v/>
      </c>
    </row>
    <row r="113" spans="1:26" hidden="1" x14ac:dyDescent="0.25">
      <c r="A113" s="114"/>
      <c r="B113" s="115"/>
      <c r="C113" s="114"/>
      <c r="D113" s="115"/>
      <c r="E113" s="114"/>
      <c r="F113" s="115"/>
      <c r="G113" s="112"/>
      <c r="H113" s="113"/>
      <c r="I113" s="112"/>
      <c r="J113" s="113"/>
      <c r="K113" s="112"/>
      <c r="L113" s="113"/>
      <c r="M113" s="112"/>
      <c r="N113" s="113"/>
      <c r="O113" s="112"/>
      <c r="P113" s="113"/>
      <c r="Q113" s="112"/>
      <c r="R113" s="113"/>
      <c r="S113" s="112"/>
      <c r="T113" s="113"/>
      <c r="U113" s="112"/>
      <c r="V113" s="113"/>
      <c r="W113" s="114"/>
      <c r="X113" s="115"/>
      <c r="Z113" s="1" t="str">
        <f t="shared" si="1"/>
        <v/>
      </c>
    </row>
    <row r="114" spans="1:26" hidden="1" x14ac:dyDescent="0.25">
      <c r="A114" s="114"/>
      <c r="B114" s="115"/>
      <c r="C114" s="114"/>
      <c r="D114" s="115"/>
      <c r="E114" s="114"/>
      <c r="F114" s="115"/>
      <c r="G114" s="112"/>
      <c r="H114" s="113"/>
      <c r="I114" s="112"/>
      <c r="J114" s="113"/>
      <c r="K114" s="112"/>
      <c r="L114" s="113"/>
      <c r="M114" s="112"/>
      <c r="N114" s="113"/>
      <c r="O114" s="112"/>
      <c r="P114" s="113"/>
      <c r="Q114" s="112"/>
      <c r="R114" s="113"/>
      <c r="S114" s="112"/>
      <c r="T114" s="113"/>
      <c r="U114" s="112"/>
      <c r="V114" s="113"/>
      <c r="W114" s="114"/>
      <c r="X114" s="115"/>
      <c r="Z114" s="1" t="str">
        <f t="shared" si="1"/>
        <v/>
      </c>
    </row>
    <row r="115" spans="1:26" hidden="1" x14ac:dyDescent="0.25">
      <c r="A115" s="114"/>
      <c r="B115" s="115"/>
      <c r="C115" s="114"/>
      <c r="D115" s="115"/>
      <c r="E115" s="114"/>
      <c r="F115" s="115"/>
      <c r="G115" s="112"/>
      <c r="H115" s="113"/>
      <c r="I115" s="112"/>
      <c r="J115" s="113"/>
      <c r="K115" s="112"/>
      <c r="L115" s="113"/>
      <c r="M115" s="112"/>
      <c r="N115" s="113"/>
      <c r="O115" s="112"/>
      <c r="P115" s="113"/>
      <c r="Q115" s="112"/>
      <c r="R115" s="113"/>
      <c r="S115" s="112"/>
      <c r="T115" s="113"/>
      <c r="U115" s="112"/>
      <c r="V115" s="113"/>
      <c r="W115" s="114"/>
      <c r="X115" s="115"/>
      <c r="Z115" s="1" t="str">
        <f t="shared" si="1"/>
        <v/>
      </c>
    </row>
    <row r="116" spans="1:26" hidden="1" x14ac:dyDescent="0.25">
      <c r="A116" s="114"/>
      <c r="B116" s="115"/>
      <c r="C116" s="114"/>
      <c r="D116" s="115"/>
      <c r="E116" s="114"/>
      <c r="F116" s="115"/>
      <c r="G116" s="112"/>
      <c r="H116" s="113"/>
      <c r="I116" s="112"/>
      <c r="J116" s="113"/>
      <c r="K116" s="112"/>
      <c r="L116" s="113"/>
      <c r="M116" s="112"/>
      <c r="N116" s="113"/>
      <c r="O116" s="112"/>
      <c r="P116" s="113"/>
      <c r="Q116" s="112"/>
      <c r="R116" s="113"/>
      <c r="S116" s="112"/>
      <c r="T116" s="113"/>
      <c r="U116" s="112"/>
      <c r="V116" s="113"/>
      <c r="W116" s="114"/>
      <c r="X116" s="115"/>
      <c r="Z116" s="1" t="str">
        <f t="shared" si="1"/>
        <v/>
      </c>
    </row>
    <row r="117" spans="1:26" hidden="1" x14ac:dyDescent="0.25">
      <c r="A117" s="114"/>
      <c r="B117" s="115"/>
      <c r="C117" s="114"/>
      <c r="D117" s="115"/>
      <c r="E117" s="114"/>
      <c r="F117" s="115"/>
      <c r="G117" s="112"/>
      <c r="H117" s="113"/>
      <c r="I117" s="112"/>
      <c r="J117" s="113"/>
      <c r="K117" s="112"/>
      <c r="L117" s="113"/>
      <c r="M117" s="112"/>
      <c r="N117" s="113"/>
      <c r="O117" s="112"/>
      <c r="P117" s="113"/>
      <c r="Q117" s="112"/>
      <c r="R117" s="113"/>
      <c r="S117" s="112"/>
      <c r="T117" s="113"/>
      <c r="U117" s="112"/>
      <c r="V117" s="113"/>
      <c r="W117" s="114"/>
      <c r="X117" s="115"/>
      <c r="Z117" s="1" t="str">
        <f t="shared" si="1"/>
        <v/>
      </c>
    </row>
    <row r="118" spans="1:26" hidden="1" x14ac:dyDescent="0.25">
      <c r="A118" s="114"/>
      <c r="B118" s="115"/>
      <c r="C118" s="114"/>
      <c r="D118" s="115"/>
      <c r="E118" s="114"/>
      <c r="F118" s="115"/>
      <c r="G118" s="112"/>
      <c r="H118" s="113"/>
      <c r="I118" s="112"/>
      <c r="J118" s="113"/>
      <c r="K118" s="112"/>
      <c r="L118" s="113"/>
      <c r="M118" s="112"/>
      <c r="N118" s="113"/>
      <c r="O118" s="112"/>
      <c r="P118" s="113"/>
      <c r="Q118" s="112"/>
      <c r="R118" s="113"/>
      <c r="S118" s="112"/>
      <c r="T118" s="113"/>
      <c r="U118" s="112"/>
      <c r="V118" s="113"/>
      <c r="W118" s="114"/>
      <c r="X118" s="115"/>
      <c r="Z118" s="1" t="str">
        <f t="shared" si="1"/>
        <v/>
      </c>
    </row>
    <row r="119" spans="1:26" hidden="1" x14ac:dyDescent="0.25">
      <c r="A119" s="114"/>
      <c r="B119" s="115"/>
      <c r="C119" s="114"/>
      <c r="D119" s="115"/>
      <c r="E119" s="114"/>
      <c r="F119" s="115"/>
      <c r="G119" s="112"/>
      <c r="H119" s="113"/>
      <c r="I119" s="112"/>
      <c r="J119" s="113"/>
      <c r="K119" s="112"/>
      <c r="L119" s="113"/>
      <c r="M119" s="112"/>
      <c r="N119" s="113"/>
      <c r="O119" s="112"/>
      <c r="P119" s="113"/>
      <c r="Q119" s="112"/>
      <c r="R119" s="113"/>
      <c r="S119" s="112"/>
      <c r="T119" s="113"/>
      <c r="U119" s="112"/>
      <c r="V119" s="113"/>
      <c r="W119" s="114"/>
      <c r="X119" s="115"/>
      <c r="Z119" s="1" t="str">
        <f t="shared" si="1"/>
        <v/>
      </c>
    </row>
    <row r="120" spans="1:26" hidden="1" x14ac:dyDescent="0.25">
      <c r="A120" s="114"/>
      <c r="B120" s="115"/>
      <c r="C120" s="114"/>
      <c r="D120" s="115"/>
      <c r="E120" s="114"/>
      <c r="F120" s="115"/>
      <c r="G120" s="112"/>
      <c r="H120" s="113"/>
      <c r="I120" s="112"/>
      <c r="J120" s="113"/>
      <c r="K120" s="112"/>
      <c r="L120" s="113"/>
      <c r="M120" s="112"/>
      <c r="N120" s="113"/>
      <c r="O120" s="112"/>
      <c r="P120" s="113"/>
      <c r="Q120" s="112"/>
      <c r="R120" s="113"/>
      <c r="S120" s="112"/>
      <c r="T120" s="113"/>
      <c r="U120" s="112"/>
      <c r="V120" s="113"/>
      <c r="W120" s="114"/>
      <c r="X120" s="115"/>
      <c r="Z120" s="1" t="str">
        <f t="shared" si="1"/>
        <v/>
      </c>
    </row>
    <row r="121" spans="1:26" hidden="1" x14ac:dyDescent="0.25">
      <c r="A121" s="114"/>
      <c r="B121" s="115"/>
      <c r="C121" s="114"/>
      <c r="D121" s="115"/>
      <c r="E121" s="114"/>
      <c r="F121" s="115"/>
      <c r="G121" s="112"/>
      <c r="H121" s="113"/>
      <c r="I121" s="112"/>
      <c r="J121" s="113"/>
      <c r="K121" s="112"/>
      <c r="L121" s="113"/>
      <c r="M121" s="112"/>
      <c r="N121" s="113"/>
      <c r="O121" s="112"/>
      <c r="P121" s="113"/>
      <c r="Q121" s="112"/>
      <c r="R121" s="113"/>
      <c r="S121" s="112"/>
      <c r="T121" s="113"/>
      <c r="U121" s="112"/>
      <c r="V121" s="113"/>
      <c r="W121" s="114"/>
      <c r="X121" s="115"/>
      <c r="Z121" s="1" t="str">
        <f t="shared" si="1"/>
        <v/>
      </c>
    </row>
    <row r="122" spans="1:26" hidden="1" x14ac:dyDescent="0.25">
      <c r="A122" s="114"/>
      <c r="B122" s="115"/>
      <c r="C122" s="114"/>
      <c r="D122" s="115"/>
      <c r="E122" s="114"/>
      <c r="F122" s="115"/>
      <c r="G122" s="112"/>
      <c r="H122" s="113"/>
      <c r="I122" s="112"/>
      <c r="J122" s="113"/>
      <c r="K122" s="112"/>
      <c r="L122" s="113"/>
      <c r="M122" s="112"/>
      <c r="N122" s="113"/>
      <c r="O122" s="112"/>
      <c r="P122" s="113"/>
      <c r="Q122" s="112"/>
      <c r="R122" s="113"/>
      <c r="S122" s="112"/>
      <c r="T122" s="113"/>
      <c r="U122" s="112"/>
      <c r="V122" s="113"/>
      <c r="W122" s="114"/>
      <c r="X122" s="115"/>
      <c r="Z122" s="1" t="str">
        <f t="shared" si="1"/>
        <v/>
      </c>
    </row>
    <row r="123" spans="1:26" hidden="1" x14ac:dyDescent="0.25">
      <c r="A123" s="114"/>
      <c r="B123" s="115"/>
      <c r="C123" s="114"/>
      <c r="D123" s="115"/>
      <c r="E123" s="114"/>
      <c r="F123" s="115"/>
      <c r="G123" s="112"/>
      <c r="H123" s="113"/>
      <c r="I123" s="112"/>
      <c r="J123" s="113"/>
      <c r="K123" s="112"/>
      <c r="L123" s="113"/>
      <c r="M123" s="112"/>
      <c r="N123" s="113"/>
      <c r="O123" s="112"/>
      <c r="P123" s="113"/>
      <c r="Q123" s="112"/>
      <c r="R123" s="113"/>
      <c r="S123" s="112"/>
      <c r="T123" s="113"/>
      <c r="U123" s="112"/>
      <c r="V123" s="113"/>
      <c r="W123" s="114"/>
      <c r="X123" s="115"/>
      <c r="Z123" s="1" t="str">
        <f t="shared" si="1"/>
        <v/>
      </c>
    </row>
    <row r="124" spans="1:26" hidden="1" x14ac:dyDescent="0.25">
      <c r="A124" s="114"/>
      <c r="B124" s="115"/>
      <c r="C124" s="114"/>
      <c r="D124" s="115"/>
      <c r="E124" s="114"/>
      <c r="F124" s="115"/>
      <c r="G124" s="112"/>
      <c r="H124" s="113"/>
      <c r="I124" s="112"/>
      <c r="J124" s="113"/>
      <c r="K124" s="112"/>
      <c r="L124" s="113"/>
      <c r="M124" s="112"/>
      <c r="N124" s="113"/>
      <c r="O124" s="112"/>
      <c r="P124" s="113"/>
      <c r="Q124" s="112"/>
      <c r="R124" s="113"/>
      <c r="S124" s="112"/>
      <c r="T124" s="113"/>
      <c r="U124" s="112"/>
      <c r="V124" s="113"/>
      <c r="W124" s="114"/>
      <c r="X124" s="115"/>
      <c r="Z124" s="1" t="str">
        <f t="shared" si="1"/>
        <v/>
      </c>
    </row>
    <row r="125" spans="1:26" hidden="1" x14ac:dyDescent="0.25">
      <c r="A125" s="114"/>
      <c r="B125" s="115"/>
      <c r="C125" s="114"/>
      <c r="D125" s="115"/>
      <c r="E125" s="114"/>
      <c r="F125" s="115"/>
      <c r="G125" s="112"/>
      <c r="H125" s="113"/>
      <c r="I125" s="112"/>
      <c r="J125" s="113"/>
      <c r="K125" s="112"/>
      <c r="L125" s="113"/>
      <c r="M125" s="112"/>
      <c r="N125" s="113"/>
      <c r="O125" s="112"/>
      <c r="P125" s="113"/>
      <c r="Q125" s="112"/>
      <c r="R125" s="113"/>
      <c r="S125" s="112"/>
      <c r="T125" s="113"/>
      <c r="U125" s="112"/>
      <c r="V125" s="113"/>
      <c r="W125" s="114"/>
      <c r="X125" s="115"/>
      <c r="Z125" s="1" t="str">
        <f t="shared" si="1"/>
        <v/>
      </c>
    </row>
    <row r="126" spans="1:26" hidden="1" x14ac:dyDescent="0.25">
      <c r="A126" s="114"/>
      <c r="B126" s="115"/>
      <c r="C126" s="114"/>
      <c r="D126" s="115"/>
      <c r="E126" s="114"/>
      <c r="F126" s="115"/>
      <c r="G126" s="112"/>
      <c r="H126" s="113"/>
      <c r="I126" s="112"/>
      <c r="J126" s="113"/>
      <c r="K126" s="112"/>
      <c r="L126" s="113"/>
      <c r="M126" s="112"/>
      <c r="N126" s="113"/>
      <c r="O126" s="112"/>
      <c r="P126" s="113"/>
      <c r="Q126" s="112"/>
      <c r="R126" s="113"/>
      <c r="S126" s="112"/>
      <c r="T126" s="113"/>
      <c r="U126" s="112"/>
      <c r="V126" s="113"/>
      <c r="W126" s="114"/>
      <c r="X126" s="115"/>
      <c r="Z126" s="1" t="str">
        <f t="shared" si="1"/>
        <v/>
      </c>
    </row>
    <row r="127" spans="1:26" hidden="1" x14ac:dyDescent="0.25">
      <c r="A127" s="114"/>
      <c r="B127" s="115"/>
      <c r="C127" s="114"/>
      <c r="D127" s="115"/>
      <c r="E127" s="114"/>
      <c r="F127" s="115"/>
      <c r="G127" s="112"/>
      <c r="H127" s="113"/>
      <c r="I127" s="112"/>
      <c r="J127" s="113"/>
      <c r="K127" s="112"/>
      <c r="L127" s="113"/>
      <c r="M127" s="112"/>
      <c r="N127" s="113"/>
      <c r="O127" s="112"/>
      <c r="P127" s="113"/>
      <c r="Q127" s="112"/>
      <c r="R127" s="113"/>
      <c r="S127" s="112"/>
      <c r="T127" s="113"/>
      <c r="U127" s="112"/>
      <c r="V127" s="113"/>
      <c r="W127" s="114"/>
      <c r="X127" s="115"/>
      <c r="Z127" s="1" t="str">
        <f t="shared" si="1"/>
        <v/>
      </c>
    </row>
    <row r="128" spans="1:26" hidden="1" x14ac:dyDescent="0.25">
      <c r="A128" s="114"/>
      <c r="B128" s="115"/>
      <c r="C128" s="114"/>
      <c r="D128" s="115"/>
      <c r="E128" s="114"/>
      <c r="F128" s="115"/>
      <c r="G128" s="112"/>
      <c r="H128" s="113"/>
      <c r="I128" s="112"/>
      <c r="J128" s="113"/>
      <c r="K128" s="112"/>
      <c r="L128" s="113"/>
      <c r="M128" s="112"/>
      <c r="N128" s="113"/>
      <c r="O128" s="112"/>
      <c r="P128" s="113"/>
      <c r="Q128" s="112"/>
      <c r="R128" s="113"/>
      <c r="S128" s="112"/>
      <c r="T128" s="113"/>
      <c r="U128" s="112"/>
      <c r="V128" s="113"/>
      <c r="W128" s="114"/>
      <c r="X128" s="115"/>
      <c r="Z128" s="1" t="str">
        <f t="shared" si="1"/>
        <v/>
      </c>
    </row>
    <row r="129" spans="1:26" hidden="1" x14ac:dyDescent="0.25">
      <c r="A129" s="114"/>
      <c r="B129" s="115"/>
      <c r="C129" s="114"/>
      <c r="D129" s="115"/>
      <c r="E129" s="114"/>
      <c r="F129" s="115"/>
      <c r="G129" s="112"/>
      <c r="H129" s="113"/>
      <c r="I129" s="112"/>
      <c r="J129" s="113"/>
      <c r="K129" s="112"/>
      <c r="L129" s="113"/>
      <c r="M129" s="112"/>
      <c r="N129" s="113"/>
      <c r="O129" s="112"/>
      <c r="P129" s="113"/>
      <c r="Q129" s="112"/>
      <c r="R129" s="113"/>
      <c r="S129" s="112"/>
      <c r="T129" s="113"/>
      <c r="U129" s="112"/>
      <c r="V129" s="113"/>
      <c r="W129" s="114"/>
      <c r="X129" s="115"/>
      <c r="Z129" s="1" t="str">
        <f t="shared" si="1"/>
        <v/>
      </c>
    </row>
    <row r="130" spans="1:26" hidden="1" x14ac:dyDescent="0.25">
      <c r="A130" s="114"/>
      <c r="B130" s="115"/>
      <c r="C130" s="114"/>
      <c r="D130" s="115"/>
      <c r="E130" s="114"/>
      <c r="F130" s="115"/>
      <c r="G130" s="112"/>
      <c r="H130" s="113"/>
      <c r="I130" s="112"/>
      <c r="J130" s="113"/>
      <c r="K130" s="112"/>
      <c r="L130" s="113"/>
      <c r="M130" s="112"/>
      <c r="N130" s="113"/>
      <c r="O130" s="112"/>
      <c r="P130" s="113"/>
      <c r="Q130" s="112"/>
      <c r="R130" s="113"/>
      <c r="S130" s="112"/>
      <c r="T130" s="113"/>
      <c r="U130" s="112"/>
      <c r="V130" s="113"/>
      <c r="W130" s="114"/>
      <c r="X130" s="115"/>
      <c r="Z130" s="1" t="str">
        <f t="shared" si="1"/>
        <v/>
      </c>
    </row>
    <row r="131" spans="1:26" hidden="1" x14ac:dyDescent="0.25">
      <c r="A131" s="114"/>
      <c r="B131" s="115"/>
      <c r="C131" s="114"/>
      <c r="D131" s="115"/>
      <c r="E131" s="114"/>
      <c r="F131" s="115"/>
      <c r="G131" s="112"/>
      <c r="H131" s="113"/>
      <c r="I131" s="112"/>
      <c r="J131" s="113"/>
      <c r="K131" s="112"/>
      <c r="L131" s="113"/>
      <c r="M131" s="112"/>
      <c r="N131" s="113"/>
      <c r="O131" s="112"/>
      <c r="P131" s="113"/>
      <c r="Q131" s="112"/>
      <c r="R131" s="113"/>
      <c r="S131" s="112"/>
      <c r="T131" s="113"/>
      <c r="U131" s="112"/>
      <c r="V131" s="113"/>
      <c r="W131" s="114"/>
      <c r="X131" s="115"/>
      <c r="Z131" s="1" t="str">
        <f t="shared" si="1"/>
        <v/>
      </c>
    </row>
    <row r="132" spans="1:26" hidden="1" x14ac:dyDescent="0.25">
      <c r="A132" s="114"/>
      <c r="B132" s="115"/>
      <c r="C132" s="114"/>
      <c r="D132" s="115"/>
      <c r="E132" s="114"/>
      <c r="F132" s="115"/>
      <c r="G132" s="112"/>
      <c r="H132" s="113"/>
      <c r="I132" s="112"/>
      <c r="J132" s="113"/>
      <c r="K132" s="112"/>
      <c r="L132" s="113"/>
      <c r="M132" s="112"/>
      <c r="N132" s="113"/>
      <c r="O132" s="112"/>
      <c r="P132" s="113"/>
      <c r="Q132" s="112"/>
      <c r="R132" s="113"/>
      <c r="S132" s="112"/>
      <c r="T132" s="113"/>
      <c r="U132" s="112"/>
      <c r="V132" s="113"/>
      <c r="W132" s="114"/>
      <c r="X132" s="115"/>
      <c r="Z132" s="1" t="str">
        <f t="shared" si="1"/>
        <v/>
      </c>
    </row>
    <row r="133" spans="1:26" hidden="1" x14ac:dyDescent="0.25">
      <c r="A133" s="114"/>
      <c r="B133" s="115"/>
      <c r="C133" s="114"/>
      <c r="D133" s="115"/>
      <c r="E133" s="114"/>
      <c r="F133" s="115"/>
      <c r="G133" s="112"/>
      <c r="H133" s="113"/>
      <c r="I133" s="112"/>
      <c r="J133" s="113"/>
      <c r="K133" s="112"/>
      <c r="L133" s="113"/>
      <c r="M133" s="112"/>
      <c r="N133" s="113"/>
      <c r="O133" s="112"/>
      <c r="P133" s="113"/>
      <c r="Q133" s="112"/>
      <c r="R133" s="113"/>
      <c r="S133" s="112"/>
      <c r="T133" s="113"/>
      <c r="U133" s="112"/>
      <c r="V133" s="113"/>
      <c r="W133" s="114"/>
      <c r="X133" s="115"/>
      <c r="Z133" s="1" t="str">
        <f t="shared" si="1"/>
        <v/>
      </c>
    </row>
    <row r="134" spans="1:26" hidden="1" x14ac:dyDescent="0.25">
      <c r="A134" s="114"/>
      <c r="B134" s="115"/>
      <c r="C134" s="114"/>
      <c r="D134" s="115"/>
      <c r="E134" s="114"/>
      <c r="F134" s="115"/>
      <c r="G134" s="112"/>
      <c r="H134" s="113"/>
      <c r="I134" s="112"/>
      <c r="J134" s="113"/>
      <c r="K134" s="112"/>
      <c r="L134" s="113"/>
      <c r="M134" s="112"/>
      <c r="N134" s="113"/>
      <c r="O134" s="112"/>
      <c r="P134" s="113"/>
      <c r="Q134" s="112"/>
      <c r="R134" s="113"/>
      <c r="S134" s="112"/>
      <c r="T134" s="113"/>
      <c r="U134" s="112"/>
      <c r="V134" s="113"/>
      <c r="W134" s="114"/>
      <c r="X134" s="115"/>
      <c r="Z134" s="1" t="str">
        <f t="shared" si="1"/>
        <v/>
      </c>
    </row>
    <row r="135" spans="1:26" hidden="1" x14ac:dyDescent="0.25">
      <c r="A135" s="114"/>
      <c r="B135" s="115"/>
      <c r="C135" s="114"/>
      <c r="D135" s="115"/>
      <c r="E135" s="114"/>
      <c r="F135" s="115"/>
      <c r="G135" s="112"/>
      <c r="H135" s="113"/>
      <c r="I135" s="112"/>
      <c r="J135" s="113"/>
      <c r="K135" s="112"/>
      <c r="L135" s="113"/>
      <c r="M135" s="112"/>
      <c r="N135" s="113"/>
      <c r="O135" s="112"/>
      <c r="P135" s="113"/>
      <c r="Q135" s="112"/>
      <c r="R135" s="113"/>
      <c r="S135" s="112"/>
      <c r="T135" s="113"/>
      <c r="U135" s="112"/>
      <c r="V135" s="113"/>
      <c r="W135" s="114"/>
      <c r="X135" s="115"/>
      <c r="Z135" s="1" t="str">
        <f t="shared" ref="Z135:Z198" si="2">IF(ROW(A131)&lt;=$Z$2,ROW(A131),"")</f>
        <v/>
      </c>
    </row>
    <row r="136" spans="1:26" hidden="1" x14ac:dyDescent="0.25">
      <c r="A136" s="114"/>
      <c r="B136" s="115"/>
      <c r="C136" s="114"/>
      <c r="D136" s="115"/>
      <c r="E136" s="114"/>
      <c r="F136" s="115"/>
      <c r="G136" s="112"/>
      <c r="H136" s="113"/>
      <c r="I136" s="112"/>
      <c r="J136" s="113"/>
      <c r="K136" s="112"/>
      <c r="L136" s="113"/>
      <c r="M136" s="112"/>
      <c r="N136" s="113"/>
      <c r="O136" s="112"/>
      <c r="P136" s="113"/>
      <c r="Q136" s="112"/>
      <c r="R136" s="113"/>
      <c r="S136" s="112"/>
      <c r="T136" s="113"/>
      <c r="U136" s="112"/>
      <c r="V136" s="113"/>
      <c r="W136" s="114"/>
      <c r="X136" s="115"/>
      <c r="Z136" s="1" t="str">
        <f t="shared" si="2"/>
        <v/>
      </c>
    </row>
    <row r="137" spans="1:26" hidden="1" x14ac:dyDescent="0.25">
      <c r="A137" s="114"/>
      <c r="B137" s="115"/>
      <c r="C137" s="114"/>
      <c r="D137" s="115"/>
      <c r="E137" s="114"/>
      <c r="F137" s="115"/>
      <c r="G137" s="112"/>
      <c r="H137" s="113"/>
      <c r="I137" s="112"/>
      <c r="J137" s="113"/>
      <c r="K137" s="112"/>
      <c r="L137" s="113"/>
      <c r="M137" s="112"/>
      <c r="N137" s="113"/>
      <c r="O137" s="112"/>
      <c r="P137" s="113"/>
      <c r="Q137" s="112"/>
      <c r="R137" s="113"/>
      <c r="S137" s="112"/>
      <c r="T137" s="113"/>
      <c r="U137" s="112"/>
      <c r="V137" s="113"/>
      <c r="W137" s="114"/>
      <c r="X137" s="115"/>
      <c r="Z137" s="1" t="str">
        <f t="shared" si="2"/>
        <v/>
      </c>
    </row>
    <row r="138" spans="1:26" hidden="1" x14ac:dyDescent="0.25">
      <c r="A138" s="114"/>
      <c r="B138" s="115"/>
      <c r="C138" s="114"/>
      <c r="D138" s="115"/>
      <c r="E138" s="114"/>
      <c r="F138" s="115"/>
      <c r="G138" s="112"/>
      <c r="H138" s="113"/>
      <c r="I138" s="112"/>
      <c r="J138" s="113"/>
      <c r="K138" s="112"/>
      <c r="L138" s="113"/>
      <c r="M138" s="112"/>
      <c r="N138" s="113"/>
      <c r="O138" s="112"/>
      <c r="P138" s="113"/>
      <c r="Q138" s="112"/>
      <c r="R138" s="113"/>
      <c r="S138" s="112"/>
      <c r="T138" s="113"/>
      <c r="U138" s="112"/>
      <c r="V138" s="113"/>
      <c r="W138" s="114"/>
      <c r="X138" s="115"/>
      <c r="Z138" s="1" t="str">
        <f t="shared" si="2"/>
        <v/>
      </c>
    </row>
    <row r="139" spans="1:26" hidden="1" x14ac:dyDescent="0.25">
      <c r="A139" s="114"/>
      <c r="B139" s="115"/>
      <c r="C139" s="114"/>
      <c r="D139" s="115"/>
      <c r="E139" s="114"/>
      <c r="F139" s="115"/>
      <c r="G139" s="112"/>
      <c r="H139" s="113"/>
      <c r="I139" s="112"/>
      <c r="J139" s="113"/>
      <c r="K139" s="112"/>
      <c r="L139" s="113"/>
      <c r="M139" s="112"/>
      <c r="N139" s="113"/>
      <c r="O139" s="112"/>
      <c r="P139" s="113"/>
      <c r="Q139" s="112"/>
      <c r="R139" s="113"/>
      <c r="S139" s="112"/>
      <c r="T139" s="113"/>
      <c r="U139" s="112"/>
      <c r="V139" s="113"/>
      <c r="W139" s="114"/>
      <c r="X139" s="115"/>
      <c r="Z139" s="1" t="str">
        <f t="shared" si="2"/>
        <v/>
      </c>
    </row>
    <row r="140" spans="1:26" hidden="1" x14ac:dyDescent="0.25">
      <c r="A140" s="114"/>
      <c r="B140" s="115"/>
      <c r="C140" s="114"/>
      <c r="D140" s="115"/>
      <c r="E140" s="114"/>
      <c r="F140" s="115"/>
      <c r="G140" s="112"/>
      <c r="H140" s="113"/>
      <c r="I140" s="112"/>
      <c r="J140" s="113"/>
      <c r="K140" s="112"/>
      <c r="L140" s="113"/>
      <c r="M140" s="112"/>
      <c r="N140" s="113"/>
      <c r="O140" s="112"/>
      <c r="P140" s="113"/>
      <c r="Q140" s="112"/>
      <c r="R140" s="113"/>
      <c r="S140" s="112"/>
      <c r="T140" s="113"/>
      <c r="U140" s="112"/>
      <c r="V140" s="113"/>
      <c r="W140" s="114"/>
      <c r="X140" s="115"/>
      <c r="Z140" s="1" t="str">
        <f t="shared" si="2"/>
        <v/>
      </c>
    </row>
    <row r="141" spans="1:26" hidden="1" x14ac:dyDescent="0.25">
      <c r="A141" s="114"/>
      <c r="B141" s="115"/>
      <c r="C141" s="114"/>
      <c r="D141" s="115"/>
      <c r="E141" s="114"/>
      <c r="F141" s="115"/>
      <c r="G141" s="112"/>
      <c r="H141" s="113"/>
      <c r="I141" s="112"/>
      <c r="J141" s="113"/>
      <c r="K141" s="112"/>
      <c r="L141" s="113"/>
      <c r="M141" s="112"/>
      <c r="N141" s="113"/>
      <c r="O141" s="112"/>
      <c r="P141" s="113"/>
      <c r="Q141" s="112"/>
      <c r="R141" s="113"/>
      <c r="S141" s="112"/>
      <c r="T141" s="113"/>
      <c r="U141" s="112"/>
      <c r="V141" s="113"/>
      <c r="W141" s="114"/>
      <c r="X141" s="115"/>
      <c r="Z141" s="1" t="str">
        <f t="shared" si="2"/>
        <v/>
      </c>
    </row>
    <row r="142" spans="1:26" hidden="1" x14ac:dyDescent="0.25">
      <c r="A142" s="114"/>
      <c r="B142" s="115"/>
      <c r="C142" s="114"/>
      <c r="D142" s="115"/>
      <c r="E142" s="114"/>
      <c r="F142" s="115"/>
      <c r="G142" s="112"/>
      <c r="H142" s="113"/>
      <c r="I142" s="112"/>
      <c r="J142" s="113"/>
      <c r="K142" s="112"/>
      <c r="L142" s="113"/>
      <c r="M142" s="112"/>
      <c r="N142" s="113"/>
      <c r="O142" s="112"/>
      <c r="P142" s="113"/>
      <c r="Q142" s="112"/>
      <c r="R142" s="113"/>
      <c r="S142" s="112"/>
      <c r="T142" s="113"/>
      <c r="U142" s="112"/>
      <c r="V142" s="113"/>
      <c r="W142" s="114"/>
      <c r="X142" s="115"/>
      <c r="Z142" s="1" t="str">
        <f t="shared" si="2"/>
        <v/>
      </c>
    </row>
    <row r="143" spans="1:26" hidden="1" x14ac:dyDescent="0.25">
      <c r="A143" s="114"/>
      <c r="B143" s="115"/>
      <c r="C143" s="114"/>
      <c r="D143" s="115"/>
      <c r="E143" s="114"/>
      <c r="F143" s="115"/>
      <c r="G143" s="112"/>
      <c r="H143" s="113"/>
      <c r="I143" s="112"/>
      <c r="J143" s="113"/>
      <c r="K143" s="112"/>
      <c r="L143" s="113"/>
      <c r="M143" s="112"/>
      <c r="N143" s="113"/>
      <c r="O143" s="112"/>
      <c r="P143" s="113"/>
      <c r="Q143" s="112"/>
      <c r="R143" s="113"/>
      <c r="S143" s="112"/>
      <c r="T143" s="113"/>
      <c r="U143" s="112"/>
      <c r="V143" s="113"/>
      <c r="W143" s="114"/>
      <c r="X143" s="115"/>
      <c r="Z143" s="1" t="str">
        <f t="shared" si="2"/>
        <v/>
      </c>
    </row>
    <row r="144" spans="1:26" hidden="1" x14ac:dyDescent="0.25">
      <c r="A144" s="114"/>
      <c r="B144" s="115"/>
      <c r="C144" s="114"/>
      <c r="D144" s="115"/>
      <c r="E144" s="114"/>
      <c r="F144" s="115"/>
      <c r="G144" s="112"/>
      <c r="H144" s="113"/>
      <c r="I144" s="112"/>
      <c r="J144" s="113"/>
      <c r="K144" s="112"/>
      <c r="L144" s="113"/>
      <c r="M144" s="112"/>
      <c r="N144" s="113"/>
      <c r="O144" s="112"/>
      <c r="P144" s="113"/>
      <c r="Q144" s="112"/>
      <c r="R144" s="113"/>
      <c r="S144" s="112"/>
      <c r="T144" s="113"/>
      <c r="U144" s="112"/>
      <c r="V144" s="113"/>
      <c r="W144" s="114"/>
      <c r="X144" s="115"/>
      <c r="Z144" s="1" t="str">
        <f t="shared" si="2"/>
        <v/>
      </c>
    </row>
    <row r="145" spans="1:26" hidden="1" x14ac:dyDescent="0.25">
      <c r="A145" s="114"/>
      <c r="B145" s="115"/>
      <c r="C145" s="114"/>
      <c r="D145" s="115"/>
      <c r="E145" s="114"/>
      <c r="F145" s="115"/>
      <c r="G145" s="112"/>
      <c r="H145" s="113"/>
      <c r="I145" s="112"/>
      <c r="J145" s="113"/>
      <c r="K145" s="112"/>
      <c r="L145" s="113"/>
      <c r="M145" s="112"/>
      <c r="N145" s="113"/>
      <c r="O145" s="112"/>
      <c r="P145" s="113"/>
      <c r="Q145" s="112"/>
      <c r="R145" s="113"/>
      <c r="S145" s="112"/>
      <c r="T145" s="113"/>
      <c r="U145" s="112"/>
      <c r="V145" s="113"/>
      <c r="W145" s="114"/>
      <c r="X145" s="115"/>
      <c r="Z145" s="1" t="str">
        <f t="shared" si="2"/>
        <v/>
      </c>
    </row>
    <row r="146" spans="1:26" hidden="1" x14ac:dyDescent="0.25">
      <c r="A146" s="114"/>
      <c r="B146" s="115"/>
      <c r="C146" s="114"/>
      <c r="D146" s="115"/>
      <c r="E146" s="114"/>
      <c r="F146" s="115"/>
      <c r="G146" s="112"/>
      <c r="H146" s="113"/>
      <c r="I146" s="112"/>
      <c r="J146" s="113"/>
      <c r="K146" s="112"/>
      <c r="L146" s="113"/>
      <c r="M146" s="112"/>
      <c r="N146" s="113"/>
      <c r="O146" s="112"/>
      <c r="P146" s="113"/>
      <c r="Q146" s="112"/>
      <c r="R146" s="113"/>
      <c r="S146" s="112"/>
      <c r="T146" s="113"/>
      <c r="U146" s="112"/>
      <c r="V146" s="113"/>
      <c r="W146" s="114"/>
      <c r="X146" s="115"/>
      <c r="Z146" s="1" t="str">
        <f t="shared" si="2"/>
        <v/>
      </c>
    </row>
    <row r="147" spans="1:26" hidden="1" x14ac:dyDescent="0.25">
      <c r="A147" s="114"/>
      <c r="B147" s="115"/>
      <c r="C147" s="114"/>
      <c r="D147" s="115"/>
      <c r="E147" s="114"/>
      <c r="F147" s="115"/>
      <c r="G147" s="112"/>
      <c r="H147" s="113"/>
      <c r="I147" s="112"/>
      <c r="J147" s="113"/>
      <c r="K147" s="112"/>
      <c r="L147" s="113"/>
      <c r="M147" s="112"/>
      <c r="N147" s="113"/>
      <c r="O147" s="112"/>
      <c r="P147" s="113"/>
      <c r="Q147" s="112"/>
      <c r="R147" s="113"/>
      <c r="S147" s="112"/>
      <c r="T147" s="113"/>
      <c r="U147" s="112"/>
      <c r="V147" s="113"/>
      <c r="W147" s="114"/>
      <c r="X147" s="115"/>
      <c r="Z147" s="1" t="str">
        <f t="shared" si="2"/>
        <v/>
      </c>
    </row>
    <row r="148" spans="1:26" hidden="1" x14ac:dyDescent="0.25">
      <c r="A148" s="114"/>
      <c r="B148" s="115"/>
      <c r="C148" s="114"/>
      <c r="D148" s="115"/>
      <c r="E148" s="114"/>
      <c r="F148" s="115"/>
      <c r="G148" s="112"/>
      <c r="H148" s="113"/>
      <c r="I148" s="112"/>
      <c r="J148" s="113"/>
      <c r="K148" s="112"/>
      <c r="L148" s="113"/>
      <c r="M148" s="112"/>
      <c r="N148" s="113"/>
      <c r="O148" s="112"/>
      <c r="P148" s="113"/>
      <c r="Q148" s="112"/>
      <c r="R148" s="113"/>
      <c r="S148" s="112"/>
      <c r="T148" s="113"/>
      <c r="U148" s="112"/>
      <c r="V148" s="113"/>
      <c r="W148" s="114"/>
      <c r="X148" s="115"/>
      <c r="Z148" s="1" t="str">
        <f t="shared" si="2"/>
        <v/>
      </c>
    </row>
    <row r="149" spans="1:26" hidden="1" x14ac:dyDescent="0.25">
      <c r="A149" s="114"/>
      <c r="B149" s="115"/>
      <c r="C149" s="114"/>
      <c r="D149" s="115"/>
      <c r="E149" s="114"/>
      <c r="F149" s="115"/>
      <c r="G149" s="112"/>
      <c r="H149" s="113"/>
      <c r="I149" s="112"/>
      <c r="J149" s="113"/>
      <c r="K149" s="112"/>
      <c r="L149" s="113"/>
      <c r="M149" s="112"/>
      <c r="N149" s="113"/>
      <c r="O149" s="112"/>
      <c r="P149" s="113"/>
      <c r="Q149" s="112"/>
      <c r="R149" s="113"/>
      <c r="S149" s="112"/>
      <c r="T149" s="113"/>
      <c r="U149" s="112"/>
      <c r="V149" s="113"/>
      <c r="W149" s="114"/>
      <c r="X149" s="115"/>
      <c r="Z149" s="1" t="str">
        <f t="shared" si="2"/>
        <v/>
      </c>
    </row>
    <row r="150" spans="1:26" hidden="1" x14ac:dyDescent="0.25">
      <c r="A150" s="114"/>
      <c r="B150" s="115"/>
      <c r="C150" s="114"/>
      <c r="D150" s="115"/>
      <c r="E150" s="114"/>
      <c r="F150" s="115"/>
      <c r="G150" s="112"/>
      <c r="H150" s="113"/>
      <c r="I150" s="112"/>
      <c r="J150" s="113"/>
      <c r="K150" s="112"/>
      <c r="L150" s="113"/>
      <c r="M150" s="112"/>
      <c r="N150" s="113"/>
      <c r="O150" s="112"/>
      <c r="P150" s="113"/>
      <c r="Q150" s="112"/>
      <c r="R150" s="113"/>
      <c r="S150" s="112"/>
      <c r="T150" s="113"/>
      <c r="U150" s="112"/>
      <c r="V150" s="113"/>
      <c r="W150" s="114"/>
      <c r="X150" s="115"/>
      <c r="Z150" s="1" t="str">
        <f t="shared" si="2"/>
        <v/>
      </c>
    </row>
    <row r="151" spans="1:26" hidden="1" x14ac:dyDescent="0.25">
      <c r="A151" s="114"/>
      <c r="B151" s="115"/>
      <c r="C151" s="114"/>
      <c r="D151" s="115"/>
      <c r="E151" s="114"/>
      <c r="F151" s="115"/>
      <c r="G151" s="112"/>
      <c r="H151" s="113"/>
      <c r="I151" s="112"/>
      <c r="J151" s="113"/>
      <c r="K151" s="112"/>
      <c r="L151" s="113"/>
      <c r="M151" s="112"/>
      <c r="N151" s="113"/>
      <c r="O151" s="112"/>
      <c r="P151" s="113"/>
      <c r="Q151" s="112"/>
      <c r="R151" s="113"/>
      <c r="S151" s="112"/>
      <c r="T151" s="113"/>
      <c r="U151" s="112"/>
      <c r="V151" s="113"/>
      <c r="W151" s="114"/>
      <c r="X151" s="115"/>
      <c r="Z151" s="1" t="str">
        <f t="shared" si="2"/>
        <v/>
      </c>
    </row>
    <row r="152" spans="1:26" hidden="1" x14ac:dyDescent="0.25">
      <c r="A152" s="114"/>
      <c r="B152" s="115"/>
      <c r="C152" s="114"/>
      <c r="D152" s="115"/>
      <c r="E152" s="114"/>
      <c r="F152" s="115"/>
      <c r="G152" s="112"/>
      <c r="H152" s="113"/>
      <c r="I152" s="112"/>
      <c r="J152" s="113"/>
      <c r="K152" s="112"/>
      <c r="L152" s="113"/>
      <c r="M152" s="112"/>
      <c r="N152" s="113"/>
      <c r="O152" s="112"/>
      <c r="P152" s="113"/>
      <c r="Q152" s="112"/>
      <c r="R152" s="113"/>
      <c r="S152" s="112"/>
      <c r="T152" s="113"/>
      <c r="U152" s="112"/>
      <c r="V152" s="113"/>
      <c r="W152" s="114"/>
      <c r="X152" s="115"/>
      <c r="Z152" s="1" t="str">
        <f t="shared" si="2"/>
        <v/>
      </c>
    </row>
    <row r="153" spans="1:26" hidden="1" x14ac:dyDescent="0.25">
      <c r="A153" s="114"/>
      <c r="B153" s="115"/>
      <c r="C153" s="114"/>
      <c r="D153" s="115"/>
      <c r="E153" s="114"/>
      <c r="F153" s="115"/>
      <c r="G153" s="112"/>
      <c r="H153" s="113"/>
      <c r="I153" s="112"/>
      <c r="J153" s="113"/>
      <c r="K153" s="112"/>
      <c r="L153" s="113"/>
      <c r="M153" s="112"/>
      <c r="N153" s="113"/>
      <c r="O153" s="112"/>
      <c r="P153" s="113"/>
      <c r="Q153" s="112"/>
      <c r="R153" s="113"/>
      <c r="S153" s="112"/>
      <c r="T153" s="113"/>
      <c r="U153" s="112"/>
      <c r="V153" s="113"/>
      <c r="W153" s="114"/>
      <c r="X153" s="115"/>
      <c r="Z153" s="1" t="str">
        <f t="shared" si="2"/>
        <v/>
      </c>
    </row>
    <row r="154" spans="1:26" hidden="1" x14ac:dyDescent="0.25">
      <c r="A154" s="114"/>
      <c r="B154" s="115"/>
      <c r="C154" s="114"/>
      <c r="D154" s="115"/>
      <c r="E154" s="114"/>
      <c r="F154" s="115"/>
      <c r="G154" s="112"/>
      <c r="H154" s="113"/>
      <c r="I154" s="112"/>
      <c r="J154" s="113"/>
      <c r="K154" s="112"/>
      <c r="L154" s="113"/>
      <c r="M154" s="112"/>
      <c r="N154" s="113"/>
      <c r="O154" s="112"/>
      <c r="P154" s="113"/>
      <c r="Q154" s="112"/>
      <c r="R154" s="113"/>
      <c r="S154" s="112"/>
      <c r="T154" s="113"/>
      <c r="U154" s="112"/>
      <c r="V154" s="113"/>
      <c r="W154" s="114"/>
      <c r="X154" s="115"/>
      <c r="Z154" s="1" t="str">
        <f t="shared" si="2"/>
        <v/>
      </c>
    </row>
    <row r="155" spans="1:26" hidden="1" x14ac:dyDescent="0.25">
      <c r="A155" s="114"/>
      <c r="B155" s="115"/>
      <c r="C155" s="114"/>
      <c r="D155" s="115"/>
      <c r="E155" s="114"/>
      <c r="F155" s="115"/>
      <c r="G155" s="112"/>
      <c r="H155" s="113"/>
      <c r="I155" s="112"/>
      <c r="J155" s="113"/>
      <c r="K155" s="112"/>
      <c r="L155" s="113"/>
      <c r="M155" s="112"/>
      <c r="N155" s="113"/>
      <c r="O155" s="112"/>
      <c r="P155" s="113"/>
      <c r="Q155" s="112"/>
      <c r="R155" s="113"/>
      <c r="S155" s="112"/>
      <c r="T155" s="113"/>
      <c r="U155" s="112"/>
      <c r="V155" s="113"/>
      <c r="W155" s="114"/>
      <c r="X155" s="115"/>
      <c r="Z155" s="1" t="str">
        <f t="shared" si="2"/>
        <v/>
      </c>
    </row>
    <row r="156" spans="1:26" hidden="1" x14ac:dyDescent="0.25">
      <c r="A156" s="114"/>
      <c r="B156" s="115"/>
      <c r="C156" s="114"/>
      <c r="D156" s="115"/>
      <c r="E156" s="114"/>
      <c r="F156" s="115"/>
      <c r="G156" s="112"/>
      <c r="H156" s="113"/>
      <c r="I156" s="112"/>
      <c r="J156" s="113"/>
      <c r="K156" s="112"/>
      <c r="L156" s="113"/>
      <c r="M156" s="112"/>
      <c r="N156" s="113"/>
      <c r="O156" s="112"/>
      <c r="P156" s="113"/>
      <c r="Q156" s="112"/>
      <c r="R156" s="113"/>
      <c r="S156" s="112"/>
      <c r="T156" s="113"/>
      <c r="U156" s="112"/>
      <c r="V156" s="113"/>
      <c r="W156" s="114"/>
      <c r="X156" s="115"/>
      <c r="Z156" s="1" t="str">
        <f t="shared" si="2"/>
        <v/>
      </c>
    </row>
    <row r="157" spans="1:26" hidden="1" x14ac:dyDescent="0.25">
      <c r="A157" s="114"/>
      <c r="B157" s="115"/>
      <c r="C157" s="114"/>
      <c r="D157" s="115"/>
      <c r="E157" s="114"/>
      <c r="F157" s="115"/>
      <c r="G157" s="112"/>
      <c r="H157" s="113"/>
      <c r="I157" s="112"/>
      <c r="J157" s="113"/>
      <c r="K157" s="112"/>
      <c r="L157" s="113"/>
      <c r="M157" s="112"/>
      <c r="N157" s="113"/>
      <c r="O157" s="112"/>
      <c r="P157" s="113"/>
      <c r="Q157" s="112"/>
      <c r="R157" s="113"/>
      <c r="S157" s="112"/>
      <c r="T157" s="113"/>
      <c r="U157" s="112"/>
      <c r="V157" s="113"/>
      <c r="W157" s="114"/>
      <c r="X157" s="115"/>
      <c r="Z157" s="1" t="str">
        <f t="shared" si="2"/>
        <v/>
      </c>
    </row>
    <row r="158" spans="1:26" hidden="1" x14ac:dyDescent="0.25">
      <c r="A158" s="114"/>
      <c r="B158" s="115"/>
      <c r="C158" s="114"/>
      <c r="D158" s="115"/>
      <c r="E158" s="114"/>
      <c r="F158" s="115"/>
      <c r="G158" s="112"/>
      <c r="H158" s="113"/>
      <c r="I158" s="112"/>
      <c r="J158" s="113"/>
      <c r="K158" s="112"/>
      <c r="L158" s="113"/>
      <c r="M158" s="112"/>
      <c r="N158" s="113"/>
      <c r="O158" s="112"/>
      <c r="P158" s="113"/>
      <c r="Q158" s="112"/>
      <c r="R158" s="113"/>
      <c r="S158" s="112"/>
      <c r="T158" s="113"/>
      <c r="U158" s="112"/>
      <c r="V158" s="113"/>
      <c r="W158" s="114"/>
      <c r="X158" s="115"/>
      <c r="Z158" s="1" t="str">
        <f t="shared" si="2"/>
        <v/>
      </c>
    </row>
    <row r="159" spans="1:26" hidden="1" x14ac:dyDescent="0.25">
      <c r="A159" s="114"/>
      <c r="B159" s="115"/>
      <c r="C159" s="114"/>
      <c r="D159" s="115"/>
      <c r="E159" s="114"/>
      <c r="F159" s="115"/>
      <c r="G159" s="112"/>
      <c r="H159" s="113"/>
      <c r="I159" s="112"/>
      <c r="J159" s="113"/>
      <c r="K159" s="112"/>
      <c r="L159" s="113"/>
      <c r="M159" s="112"/>
      <c r="N159" s="113"/>
      <c r="O159" s="112"/>
      <c r="P159" s="113"/>
      <c r="Q159" s="112"/>
      <c r="R159" s="113"/>
      <c r="S159" s="112"/>
      <c r="T159" s="113"/>
      <c r="U159" s="112"/>
      <c r="V159" s="113"/>
      <c r="W159" s="114"/>
      <c r="X159" s="115"/>
      <c r="Z159" s="1" t="str">
        <f t="shared" si="2"/>
        <v/>
      </c>
    </row>
    <row r="160" spans="1:26" hidden="1" x14ac:dyDescent="0.25">
      <c r="A160" s="114"/>
      <c r="B160" s="115"/>
      <c r="C160" s="114"/>
      <c r="D160" s="115"/>
      <c r="E160" s="114"/>
      <c r="F160" s="115"/>
      <c r="G160" s="112"/>
      <c r="H160" s="113"/>
      <c r="I160" s="112"/>
      <c r="J160" s="113"/>
      <c r="K160" s="112"/>
      <c r="L160" s="113"/>
      <c r="M160" s="112"/>
      <c r="N160" s="113"/>
      <c r="O160" s="112"/>
      <c r="P160" s="113"/>
      <c r="Q160" s="112"/>
      <c r="R160" s="113"/>
      <c r="S160" s="112"/>
      <c r="T160" s="113"/>
      <c r="U160" s="112"/>
      <c r="V160" s="113"/>
      <c r="W160" s="114"/>
      <c r="X160" s="115"/>
      <c r="Z160" s="1" t="str">
        <f t="shared" si="2"/>
        <v/>
      </c>
    </row>
    <row r="161" spans="1:26" hidden="1" x14ac:dyDescent="0.25">
      <c r="A161" s="114"/>
      <c r="B161" s="115"/>
      <c r="C161" s="114"/>
      <c r="D161" s="115"/>
      <c r="E161" s="114"/>
      <c r="F161" s="115"/>
      <c r="G161" s="112"/>
      <c r="H161" s="113"/>
      <c r="I161" s="112"/>
      <c r="J161" s="113"/>
      <c r="K161" s="112"/>
      <c r="L161" s="113"/>
      <c r="M161" s="112"/>
      <c r="N161" s="113"/>
      <c r="O161" s="112"/>
      <c r="P161" s="113"/>
      <c r="Q161" s="112"/>
      <c r="R161" s="113"/>
      <c r="S161" s="112"/>
      <c r="T161" s="113"/>
      <c r="U161" s="112"/>
      <c r="V161" s="113"/>
      <c r="W161" s="114"/>
      <c r="X161" s="115"/>
      <c r="Z161" s="1" t="str">
        <f t="shared" si="2"/>
        <v/>
      </c>
    </row>
    <row r="162" spans="1:26" hidden="1" x14ac:dyDescent="0.25">
      <c r="A162" s="114"/>
      <c r="B162" s="115"/>
      <c r="C162" s="114"/>
      <c r="D162" s="115"/>
      <c r="E162" s="114"/>
      <c r="F162" s="115"/>
      <c r="G162" s="112"/>
      <c r="H162" s="113"/>
      <c r="I162" s="112"/>
      <c r="J162" s="113"/>
      <c r="K162" s="112"/>
      <c r="L162" s="113"/>
      <c r="M162" s="112"/>
      <c r="N162" s="113"/>
      <c r="O162" s="112"/>
      <c r="P162" s="113"/>
      <c r="Q162" s="112"/>
      <c r="R162" s="113"/>
      <c r="S162" s="112"/>
      <c r="T162" s="113"/>
      <c r="U162" s="112"/>
      <c r="V162" s="113"/>
      <c r="W162" s="114"/>
      <c r="X162" s="115"/>
      <c r="Z162" s="1" t="str">
        <f t="shared" si="2"/>
        <v/>
      </c>
    </row>
    <row r="163" spans="1:26" hidden="1" x14ac:dyDescent="0.25">
      <c r="A163" s="114"/>
      <c r="B163" s="115"/>
      <c r="C163" s="114"/>
      <c r="D163" s="115"/>
      <c r="E163" s="114"/>
      <c r="F163" s="115"/>
      <c r="G163" s="112"/>
      <c r="H163" s="113"/>
      <c r="I163" s="112"/>
      <c r="J163" s="113"/>
      <c r="K163" s="112"/>
      <c r="L163" s="113"/>
      <c r="M163" s="112"/>
      <c r="N163" s="113"/>
      <c r="O163" s="112"/>
      <c r="P163" s="113"/>
      <c r="Q163" s="112"/>
      <c r="R163" s="113"/>
      <c r="S163" s="112"/>
      <c r="T163" s="113"/>
      <c r="U163" s="112"/>
      <c r="V163" s="113"/>
      <c r="W163" s="114"/>
      <c r="X163" s="115"/>
      <c r="Z163" s="1" t="str">
        <f t="shared" si="2"/>
        <v/>
      </c>
    </row>
    <row r="164" spans="1:26" hidden="1" x14ac:dyDescent="0.25">
      <c r="A164" s="114"/>
      <c r="B164" s="115"/>
      <c r="C164" s="114"/>
      <c r="D164" s="115"/>
      <c r="E164" s="114"/>
      <c r="F164" s="115"/>
      <c r="G164" s="112"/>
      <c r="H164" s="113"/>
      <c r="I164" s="112"/>
      <c r="J164" s="113"/>
      <c r="K164" s="112"/>
      <c r="L164" s="113"/>
      <c r="M164" s="112"/>
      <c r="N164" s="113"/>
      <c r="O164" s="112"/>
      <c r="P164" s="113"/>
      <c r="Q164" s="112"/>
      <c r="R164" s="113"/>
      <c r="S164" s="112"/>
      <c r="T164" s="113"/>
      <c r="U164" s="112"/>
      <c r="V164" s="113"/>
      <c r="W164" s="114"/>
      <c r="X164" s="115"/>
      <c r="Z164" s="1" t="str">
        <f t="shared" si="2"/>
        <v/>
      </c>
    </row>
    <row r="165" spans="1:26" hidden="1" x14ac:dyDescent="0.25">
      <c r="A165" s="114"/>
      <c r="B165" s="115"/>
      <c r="C165" s="114"/>
      <c r="D165" s="115"/>
      <c r="E165" s="114"/>
      <c r="F165" s="115"/>
      <c r="G165" s="112"/>
      <c r="H165" s="113"/>
      <c r="I165" s="112"/>
      <c r="J165" s="113"/>
      <c r="K165" s="112"/>
      <c r="L165" s="113"/>
      <c r="M165" s="112"/>
      <c r="N165" s="113"/>
      <c r="O165" s="112"/>
      <c r="P165" s="113"/>
      <c r="Q165" s="112"/>
      <c r="R165" s="113"/>
      <c r="S165" s="112"/>
      <c r="T165" s="113"/>
      <c r="U165" s="112"/>
      <c r="V165" s="113"/>
      <c r="W165" s="114"/>
      <c r="X165" s="115"/>
      <c r="Z165" s="1" t="str">
        <f t="shared" si="2"/>
        <v/>
      </c>
    </row>
    <row r="166" spans="1:26" hidden="1" x14ac:dyDescent="0.25">
      <c r="A166" s="114"/>
      <c r="B166" s="115"/>
      <c r="C166" s="114"/>
      <c r="D166" s="115"/>
      <c r="E166" s="114"/>
      <c r="F166" s="115"/>
      <c r="G166" s="112"/>
      <c r="H166" s="113"/>
      <c r="I166" s="112"/>
      <c r="J166" s="113"/>
      <c r="K166" s="112"/>
      <c r="L166" s="113"/>
      <c r="M166" s="112"/>
      <c r="N166" s="113"/>
      <c r="O166" s="112"/>
      <c r="P166" s="113"/>
      <c r="Q166" s="112"/>
      <c r="R166" s="113"/>
      <c r="S166" s="112"/>
      <c r="T166" s="113"/>
      <c r="U166" s="112"/>
      <c r="V166" s="113"/>
      <c r="W166" s="114"/>
      <c r="X166" s="115"/>
      <c r="Z166" s="1" t="str">
        <f t="shared" si="2"/>
        <v/>
      </c>
    </row>
    <row r="167" spans="1:26" hidden="1" x14ac:dyDescent="0.25">
      <c r="A167" s="114"/>
      <c r="B167" s="115"/>
      <c r="C167" s="114"/>
      <c r="D167" s="115"/>
      <c r="E167" s="114"/>
      <c r="F167" s="115"/>
      <c r="G167" s="112"/>
      <c r="H167" s="113"/>
      <c r="I167" s="112"/>
      <c r="J167" s="113"/>
      <c r="K167" s="112"/>
      <c r="L167" s="113"/>
      <c r="M167" s="112"/>
      <c r="N167" s="113"/>
      <c r="O167" s="112"/>
      <c r="P167" s="113"/>
      <c r="Q167" s="112"/>
      <c r="R167" s="113"/>
      <c r="S167" s="112"/>
      <c r="T167" s="113"/>
      <c r="U167" s="112"/>
      <c r="V167" s="113"/>
      <c r="W167" s="114"/>
      <c r="X167" s="115"/>
      <c r="Z167" s="1" t="str">
        <f t="shared" si="2"/>
        <v/>
      </c>
    </row>
    <row r="168" spans="1:26" hidden="1" x14ac:dyDescent="0.25">
      <c r="A168" s="114"/>
      <c r="B168" s="115"/>
      <c r="C168" s="114"/>
      <c r="D168" s="115"/>
      <c r="E168" s="114"/>
      <c r="F168" s="115"/>
      <c r="G168" s="112"/>
      <c r="H168" s="113"/>
      <c r="I168" s="112"/>
      <c r="J168" s="113"/>
      <c r="K168" s="112"/>
      <c r="L168" s="113"/>
      <c r="M168" s="112"/>
      <c r="N168" s="113"/>
      <c r="O168" s="112"/>
      <c r="P168" s="113"/>
      <c r="Q168" s="112"/>
      <c r="R168" s="113"/>
      <c r="S168" s="112"/>
      <c r="T168" s="113"/>
      <c r="U168" s="112"/>
      <c r="V168" s="113"/>
      <c r="W168" s="114"/>
      <c r="X168" s="115"/>
      <c r="Z168" s="1" t="str">
        <f t="shared" si="2"/>
        <v/>
      </c>
    </row>
    <row r="169" spans="1:26" hidden="1" x14ac:dyDescent="0.25">
      <c r="A169" s="114"/>
      <c r="B169" s="115"/>
      <c r="C169" s="114"/>
      <c r="D169" s="115"/>
      <c r="E169" s="114"/>
      <c r="F169" s="115"/>
      <c r="G169" s="112"/>
      <c r="H169" s="113"/>
      <c r="I169" s="112"/>
      <c r="J169" s="113"/>
      <c r="K169" s="112"/>
      <c r="L169" s="113"/>
      <c r="M169" s="112"/>
      <c r="N169" s="113"/>
      <c r="O169" s="112"/>
      <c r="P169" s="113"/>
      <c r="Q169" s="112"/>
      <c r="R169" s="113"/>
      <c r="S169" s="112"/>
      <c r="T169" s="113"/>
      <c r="U169" s="112"/>
      <c r="V169" s="113"/>
      <c r="W169" s="114"/>
      <c r="X169" s="115"/>
      <c r="Z169" s="1" t="str">
        <f t="shared" si="2"/>
        <v/>
      </c>
    </row>
    <row r="170" spans="1:26" hidden="1" x14ac:dyDescent="0.25">
      <c r="A170" s="114"/>
      <c r="B170" s="115"/>
      <c r="C170" s="114"/>
      <c r="D170" s="115"/>
      <c r="E170" s="114"/>
      <c r="F170" s="115"/>
      <c r="G170" s="112"/>
      <c r="H170" s="113"/>
      <c r="I170" s="112"/>
      <c r="J170" s="113"/>
      <c r="K170" s="112"/>
      <c r="L170" s="113"/>
      <c r="M170" s="112"/>
      <c r="N170" s="113"/>
      <c r="O170" s="112"/>
      <c r="P170" s="113"/>
      <c r="Q170" s="112"/>
      <c r="R170" s="113"/>
      <c r="S170" s="112"/>
      <c r="T170" s="113"/>
      <c r="U170" s="112"/>
      <c r="V170" s="113"/>
      <c r="W170" s="114"/>
      <c r="X170" s="115"/>
      <c r="Z170" s="1" t="str">
        <f t="shared" si="2"/>
        <v/>
      </c>
    </row>
    <row r="171" spans="1:26" hidden="1" x14ac:dyDescent="0.25">
      <c r="A171" s="114"/>
      <c r="B171" s="115"/>
      <c r="C171" s="114"/>
      <c r="D171" s="115"/>
      <c r="E171" s="114"/>
      <c r="F171" s="115"/>
      <c r="G171" s="112"/>
      <c r="H171" s="113"/>
      <c r="I171" s="112"/>
      <c r="J171" s="113"/>
      <c r="K171" s="112"/>
      <c r="L171" s="113"/>
      <c r="M171" s="112"/>
      <c r="N171" s="113"/>
      <c r="O171" s="112"/>
      <c r="P171" s="113"/>
      <c r="Q171" s="112"/>
      <c r="R171" s="113"/>
      <c r="S171" s="112"/>
      <c r="T171" s="113"/>
      <c r="U171" s="112"/>
      <c r="V171" s="113"/>
      <c r="W171" s="114"/>
      <c r="X171" s="115"/>
      <c r="Z171" s="1" t="str">
        <f t="shared" si="2"/>
        <v/>
      </c>
    </row>
    <row r="172" spans="1:26" hidden="1" x14ac:dyDescent="0.25">
      <c r="A172" s="114"/>
      <c r="B172" s="115"/>
      <c r="C172" s="114"/>
      <c r="D172" s="115"/>
      <c r="E172" s="114"/>
      <c r="F172" s="115"/>
      <c r="G172" s="112"/>
      <c r="H172" s="113"/>
      <c r="I172" s="112"/>
      <c r="J172" s="113"/>
      <c r="K172" s="112"/>
      <c r="L172" s="113"/>
      <c r="M172" s="112"/>
      <c r="N172" s="113"/>
      <c r="O172" s="112"/>
      <c r="P172" s="113"/>
      <c r="Q172" s="112"/>
      <c r="R172" s="113"/>
      <c r="S172" s="112"/>
      <c r="T172" s="113"/>
      <c r="U172" s="112"/>
      <c r="V172" s="113"/>
      <c r="W172" s="114"/>
      <c r="X172" s="115"/>
      <c r="Z172" s="1" t="str">
        <f t="shared" si="2"/>
        <v/>
      </c>
    </row>
    <row r="173" spans="1:26" hidden="1" x14ac:dyDescent="0.25">
      <c r="A173" s="114"/>
      <c r="B173" s="115"/>
      <c r="C173" s="114"/>
      <c r="D173" s="115"/>
      <c r="E173" s="114"/>
      <c r="F173" s="115"/>
      <c r="G173" s="112"/>
      <c r="H173" s="113"/>
      <c r="I173" s="112"/>
      <c r="J173" s="113"/>
      <c r="K173" s="112"/>
      <c r="L173" s="113"/>
      <c r="M173" s="112"/>
      <c r="N173" s="113"/>
      <c r="O173" s="112"/>
      <c r="P173" s="113"/>
      <c r="Q173" s="112"/>
      <c r="R173" s="113"/>
      <c r="S173" s="112"/>
      <c r="T173" s="113"/>
      <c r="U173" s="112"/>
      <c r="V173" s="113"/>
      <c r="W173" s="114"/>
      <c r="X173" s="115"/>
      <c r="Z173" s="1" t="str">
        <f t="shared" si="2"/>
        <v/>
      </c>
    </row>
    <row r="174" spans="1:26" hidden="1" x14ac:dyDescent="0.25">
      <c r="A174" s="114"/>
      <c r="B174" s="115"/>
      <c r="C174" s="114"/>
      <c r="D174" s="115"/>
      <c r="E174" s="114"/>
      <c r="F174" s="115"/>
      <c r="G174" s="112"/>
      <c r="H174" s="113"/>
      <c r="I174" s="112"/>
      <c r="J174" s="113"/>
      <c r="K174" s="112"/>
      <c r="L174" s="113"/>
      <c r="M174" s="112"/>
      <c r="N174" s="113"/>
      <c r="O174" s="112"/>
      <c r="P174" s="113"/>
      <c r="Q174" s="112"/>
      <c r="R174" s="113"/>
      <c r="S174" s="112"/>
      <c r="T174" s="113"/>
      <c r="U174" s="112"/>
      <c r="V174" s="113"/>
      <c r="W174" s="114"/>
      <c r="X174" s="115"/>
      <c r="Z174" s="1" t="str">
        <f t="shared" si="2"/>
        <v/>
      </c>
    </row>
    <row r="175" spans="1:26" hidden="1" x14ac:dyDescent="0.25">
      <c r="A175" s="114"/>
      <c r="B175" s="115"/>
      <c r="C175" s="114"/>
      <c r="D175" s="115"/>
      <c r="E175" s="114"/>
      <c r="F175" s="115"/>
      <c r="G175" s="112"/>
      <c r="H175" s="113"/>
      <c r="I175" s="112"/>
      <c r="J175" s="113"/>
      <c r="K175" s="112"/>
      <c r="L175" s="113"/>
      <c r="M175" s="112"/>
      <c r="N175" s="113"/>
      <c r="O175" s="112"/>
      <c r="P175" s="113"/>
      <c r="Q175" s="112"/>
      <c r="R175" s="113"/>
      <c r="S175" s="112"/>
      <c r="T175" s="113"/>
      <c r="U175" s="112"/>
      <c r="V175" s="113"/>
      <c r="W175" s="114"/>
      <c r="X175" s="115"/>
      <c r="Z175" s="1" t="str">
        <f t="shared" si="2"/>
        <v/>
      </c>
    </row>
    <row r="176" spans="1:26" hidden="1" x14ac:dyDescent="0.25">
      <c r="A176" s="114"/>
      <c r="B176" s="115"/>
      <c r="C176" s="114"/>
      <c r="D176" s="115"/>
      <c r="E176" s="114"/>
      <c r="F176" s="115"/>
      <c r="G176" s="112"/>
      <c r="H176" s="113"/>
      <c r="I176" s="112"/>
      <c r="J176" s="113"/>
      <c r="K176" s="112"/>
      <c r="L176" s="113"/>
      <c r="M176" s="112"/>
      <c r="N176" s="113"/>
      <c r="O176" s="112"/>
      <c r="P176" s="113"/>
      <c r="Q176" s="112"/>
      <c r="R176" s="113"/>
      <c r="S176" s="112"/>
      <c r="T176" s="113"/>
      <c r="U176" s="112"/>
      <c r="V176" s="113"/>
      <c r="W176" s="114"/>
      <c r="X176" s="115"/>
      <c r="Z176" s="1" t="str">
        <f t="shared" si="2"/>
        <v/>
      </c>
    </row>
    <row r="177" spans="1:26" hidden="1" x14ac:dyDescent="0.25">
      <c r="A177" s="114"/>
      <c r="B177" s="115"/>
      <c r="C177" s="114"/>
      <c r="D177" s="115"/>
      <c r="E177" s="114"/>
      <c r="F177" s="115"/>
      <c r="G177" s="112"/>
      <c r="H177" s="113"/>
      <c r="I177" s="112"/>
      <c r="J177" s="113"/>
      <c r="K177" s="112"/>
      <c r="L177" s="113"/>
      <c r="M177" s="112"/>
      <c r="N177" s="113"/>
      <c r="O177" s="112"/>
      <c r="P177" s="113"/>
      <c r="Q177" s="112"/>
      <c r="R177" s="113"/>
      <c r="S177" s="112"/>
      <c r="T177" s="113"/>
      <c r="U177" s="112"/>
      <c r="V177" s="113"/>
      <c r="W177" s="114"/>
      <c r="X177" s="115"/>
      <c r="Z177" s="1" t="str">
        <f t="shared" si="2"/>
        <v/>
      </c>
    </row>
    <row r="178" spans="1:26" hidden="1" x14ac:dyDescent="0.25">
      <c r="A178" s="114"/>
      <c r="B178" s="115"/>
      <c r="C178" s="114"/>
      <c r="D178" s="115"/>
      <c r="E178" s="114"/>
      <c r="F178" s="115"/>
      <c r="G178" s="112"/>
      <c r="H178" s="113"/>
      <c r="I178" s="112"/>
      <c r="J178" s="113"/>
      <c r="K178" s="112"/>
      <c r="L178" s="113"/>
      <c r="M178" s="112"/>
      <c r="N178" s="113"/>
      <c r="O178" s="112"/>
      <c r="P178" s="113"/>
      <c r="Q178" s="112"/>
      <c r="R178" s="113"/>
      <c r="S178" s="112"/>
      <c r="T178" s="113"/>
      <c r="U178" s="112"/>
      <c r="V178" s="113"/>
      <c r="W178" s="114"/>
      <c r="X178" s="115"/>
      <c r="Z178" s="1" t="str">
        <f t="shared" si="2"/>
        <v/>
      </c>
    </row>
    <row r="179" spans="1:26" hidden="1" x14ac:dyDescent="0.25">
      <c r="A179" s="114"/>
      <c r="B179" s="115"/>
      <c r="C179" s="114"/>
      <c r="D179" s="115"/>
      <c r="E179" s="114"/>
      <c r="F179" s="115"/>
      <c r="G179" s="112"/>
      <c r="H179" s="113"/>
      <c r="I179" s="112"/>
      <c r="J179" s="113"/>
      <c r="K179" s="112"/>
      <c r="L179" s="113"/>
      <c r="M179" s="112"/>
      <c r="N179" s="113"/>
      <c r="O179" s="112"/>
      <c r="P179" s="113"/>
      <c r="Q179" s="112"/>
      <c r="R179" s="113"/>
      <c r="S179" s="112"/>
      <c r="T179" s="113"/>
      <c r="U179" s="112"/>
      <c r="V179" s="113"/>
      <c r="W179" s="114"/>
      <c r="X179" s="115"/>
      <c r="Z179" s="1" t="str">
        <f t="shared" si="2"/>
        <v/>
      </c>
    </row>
    <row r="180" spans="1:26" hidden="1" x14ac:dyDescent="0.25">
      <c r="A180" s="114"/>
      <c r="B180" s="115"/>
      <c r="C180" s="114"/>
      <c r="D180" s="115"/>
      <c r="E180" s="114"/>
      <c r="F180" s="115"/>
      <c r="G180" s="112"/>
      <c r="H180" s="113"/>
      <c r="I180" s="112"/>
      <c r="J180" s="113"/>
      <c r="K180" s="112"/>
      <c r="L180" s="113"/>
      <c r="M180" s="112"/>
      <c r="N180" s="113"/>
      <c r="O180" s="112"/>
      <c r="P180" s="113"/>
      <c r="Q180" s="112"/>
      <c r="R180" s="113"/>
      <c r="S180" s="112"/>
      <c r="T180" s="113"/>
      <c r="U180" s="112"/>
      <c r="V180" s="113"/>
      <c r="W180" s="114"/>
      <c r="X180" s="115"/>
      <c r="Z180" s="1" t="str">
        <f t="shared" si="2"/>
        <v/>
      </c>
    </row>
    <row r="181" spans="1:26" hidden="1" x14ac:dyDescent="0.25">
      <c r="A181" s="114"/>
      <c r="B181" s="115"/>
      <c r="C181" s="114"/>
      <c r="D181" s="115"/>
      <c r="E181" s="114"/>
      <c r="F181" s="115"/>
      <c r="G181" s="112"/>
      <c r="H181" s="113"/>
      <c r="I181" s="112"/>
      <c r="J181" s="113"/>
      <c r="K181" s="112"/>
      <c r="L181" s="113"/>
      <c r="M181" s="112"/>
      <c r="N181" s="113"/>
      <c r="O181" s="112"/>
      <c r="P181" s="113"/>
      <c r="Q181" s="112"/>
      <c r="R181" s="113"/>
      <c r="S181" s="112"/>
      <c r="T181" s="113"/>
      <c r="U181" s="112"/>
      <c r="V181" s="113"/>
      <c r="W181" s="114"/>
      <c r="X181" s="115"/>
      <c r="Z181" s="1" t="str">
        <f t="shared" si="2"/>
        <v/>
      </c>
    </row>
    <row r="182" spans="1:26" hidden="1" x14ac:dyDescent="0.25">
      <c r="A182" s="114"/>
      <c r="B182" s="115"/>
      <c r="C182" s="114"/>
      <c r="D182" s="115"/>
      <c r="E182" s="114"/>
      <c r="F182" s="115"/>
      <c r="G182" s="112"/>
      <c r="H182" s="113"/>
      <c r="I182" s="112"/>
      <c r="J182" s="113"/>
      <c r="K182" s="112"/>
      <c r="L182" s="113"/>
      <c r="M182" s="112"/>
      <c r="N182" s="113"/>
      <c r="O182" s="112"/>
      <c r="P182" s="113"/>
      <c r="Q182" s="112"/>
      <c r="R182" s="113"/>
      <c r="S182" s="112"/>
      <c r="T182" s="113"/>
      <c r="U182" s="112"/>
      <c r="V182" s="113"/>
      <c r="W182" s="114"/>
      <c r="X182" s="115"/>
      <c r="Z182" s="1" t="str">
        <f t="shared" si="2"/>
        <v/>
      </c>
    </row>
    <row r="183" spans="1:26" hidden="1" x14ac:dyDescent="0.25">
      <c r="A183" s="114"/>
      <c r="B183" s="115"/>
      <c r="C183" s="114"/>
      <c r="D183" s="115"/>
      <c r="E183" s="114"/>
      <c r="F183" s="115"/>
      <c r="G183" s="112"/>
      <c r="H183" s="113"/>
      <c r="I183" s="112"/>
      <c r="J183" s="113"/>
      <c r="K183" s="112"/>
      <c r="L183" s="113"/>
      <c r="M183" s="112"/>
      <c r="N183" s="113"/>
      <c r="O183" s="112"/>
      <c r="P183" s="113"/>
      <c r="Q183" s="112"/>
      <c r="R183" s="113"/>
      <c r="S183" s="112"/>
      <c r="T183" s="113"/>
      <c r="U183" s="112"/>
      <c r="V183" s="113"/>
      <c r="W183" s="114"/>
      <c r="X183" s="115"/>
      <c r="Z183" s="1" t="str">
        <f t="shared" si="2"/>
        <v/>
      </c>
    </row>
    <row r="184" spans="1:26" hidden="1" x14ac:dyDescent="0.25">
      <c r="A184" s="114"/>
      <c r="B184" s="115"/>
      <c r="C184" s="114"/>
      <c r="D184" s="115"/>
      <c r="E184" s="114"/>
      <c r="F184" s="115"/>
      <c r="G184" s="112"/>
      <c r="H184" s="113"/>
      <c r="I184" s="112"/>
      <c r="J184" s="113"/>
      <c r="K184" s="112"/>
      <c r="L184" s="113"/>
      <c r="M184" s="112"/>
      <c r="N184" s="113"/>
      <c r="O184" s="112"/>
      <c r="P184" s="113"/>
      <c r="Q184" s="112"/>
      <c r="R184" s="113"/>
      <c r="S184" s="112"/>
      <c r="T184" s="113"/>
      <c r="U184" s="112"/>
      <c r="V184" s="113"/>
      <c r="W184" s="114"/>
      <c r="X184" s="115"/>
      <c r="Z184" s="1" t="str">
        <f t="shared" si="2"/>
        <v/>
      </c>
    </row>
    <row r="185" spans="1:26" hidden="1" x14ac:dyDescent="0.25">
      <c r="A185" s="114"/>
      <c r="B185" s="115"/>
      <c r="C185" s="114"/>
      <c r="D185" s="115"/>
      <c r="E185" s="114"/>
      <c r="F185" s="115"/>
      <c r="G185" s="112"/>
      <c r="H185" s="113"/>
      <c r="I185" s="112"/>
      <c r="J185" s="113"/>
      <c r="K185" s="112"/>
      <c r="L185" s="113"/>
      <c r="M185" s="112"/>
      <c r="N185" s="113"/>
      <c r="O185" s="112"/>
      <c r="P185" s="113"/>
      <c r="Q185" s="112"/>
      <c r="R185" s="113"/>
      <c r="S185" s="112"/>
      <c r="T185" s="113"/>
      <c r="U185" s="112"/>
      <c r="V185" s="113"/>
      <c r="W185" s="114"/>
      <c r="X185" s="115"/>
      <c r="Z185" s="1" t="str">
        <f t="shared" si="2"/>
        <v/>
      </c>
    </row>
    <row r="186" spans="1:26" hidden="1" x14ac:dyDescent="0.25">
      <c r="A186" s="114"/>
      <c r="B186" s="115"/>
      <c r="C186" s="114"/>
      <c r="D186" s="115"/>
      <c r="E186" s="114"/>
      <c r="F186" s="115"/>
      <c r="G186" s="112"/>
      <c r="H186" s="113"/>
      <c r="I186" s="112"/>
      <c r="J186" s="113"/>
      <c r="K186" s="112"/>
      <c r="L186" s="113"/>
      <c r="M186" s="112"/>
      <c r="N186" s="113"/>
      <c r="O186" s="112"/>
      <c r="P186" s="113"/>
      <c r="Q186" s="112"/>
      <c r="R186" s="113"/>
      <c r="S186" s="112"/>
      <c r="T186" s="113"/>
      <c r="U186" s="112"/>
      <c r="V186" s="113"/>
      <c r="W186" s="114"/>
      <c r="X186" s="115"/>
      <c r="Z186" s="1" t="str">
        <f t="shared" si="2"/>
        <v/>
      </c>
    </row>
    <row r="187" spans="1:26" hidden="1" x14ac:dyDescent="0.25">
      <c r="A187" s="114"/>
      <c r="B187" s="115"/>
      <c r="C187" s="114"/>
      <c r="D187" s="115"/>
      <c r="E187" s="114"/>
      <c r="F187" s="115"/>
      <c r="G187" s="112"/>
      <c r="H187" s="113"/>
      <c r="I187" s="112"/>
      <c r="J187" s="113"/>
      <c r="K187" s="112"/>
      <c r="L187" s="113"/>
      <c r="M187" s="112"/>
      <c r="N187" s="113"/>
      <c r="O187" s="112"/>
      <c r="P187" s="113"/>
      <c r="Q187" s="112"/>
      <c r="R187" s="113"/>
      <c r="S187" s="112"/>
      <c r="T187" s="113"/>
      <c r="U187" s="112"/>
      <c r="V187" s="113"/>
      <c r="W187" s="114"/>
      <c r="X187" s="115"/>
      <c r="Z187" s="1" t="str">
        <f t="shared" si="2"/>
        <v/>
      </c>
    </row>
    <row r="188" spans="1:26" hidden="1" x14ac:dyDescent="0.25">
      <c r="A188" s="114"/>
      <c r="B188" s="115"/>
      <c r="C188" s="114"/>
      <c r="D188" s="115"/>
      <c r="E188" s="114"/>
      <c r="F188" s="115"/>
      <c r="G188" s="112"/>
      <c r="H188" s="113"/>
      <c r="I188" s="112"/>
      <c r="J188" s="113"/>
      <c r="K188" s="112"/>
      <c r="L188" s="113"/>
      <c r="M188" s="112"/>
      <c r="N188" s="113"/>
      <c r="O188" s="112"/>
      <c r="P188" s="113"/>
      <c r="Q188" s="112"/>
      <c r="R188" s="113"/>
      <c r="S188" s="112"/>
      <c r="T188" s="113"/>
      <c r="U188" s="112"/>
      <c r="V188" s="113"/>
      <c r="W188" s="114"/>
      <c r="X188" s="115"/>
      <c r="Z188" s="1" t="str">
        <f t="shared" si="2"/>
        <v/>
      </c>
    </row>
    <row r="189" spans="1:26" hidden="1" x14ac:dyDescent="0.25">
      <c r="A189" s="114"/>
      <c r="B189" s="115"/>
      <c r="C189" s="114"/>
      <c r="D189" s="115"/>
      <c r="E189" s="114"/>
      <c r="F189" s="115"/>
      <c r="G189" s="112"/>
      <c r="H189" s="113"/>
      <c r="I189" s="112"/>
      <c r="J189" s="113"/>
      <c r="K189" s="112"/>
      <c r="L189" s="113"/>
      <c r="M189" s="112"/>
      <c r="N189" s="113"/>
      <c r="O189" s="112"/>
      <c r="P189" s="113"/>
      <c r="Q189" s="112"/>
      <c r="R189" s="113"/>
      <c r="S189" s="112"/>
      <c r="T189" s="113"/>
      <c r="U189" s="112"/>
      <c r="V189" s="113"/>
      <c r="W189" s="114"/>
      <c r="X189" s="115"/>
      <c r="Z189" s="1" t="str">
        <f t="shared" si="2"/>
        <v/>
      </c>
    </row>
    <row r="190" spans="1:26" hidden="1" x14ac:dyDescent="0.25">
      <c r="A190" s="114"/>
      <c r="B190" s="115"/>
      <c r="C190" s="114"/>
      <c r="D190" s="115"/>
      <c r="E190" s="114"/>
      <c r="F190" s="115"/>
      <c r="G190" s="112"/>
      <c r="H190" s="113"/>
      <c r="I190" s="112"/>
      <c r="J190" s="113"/>
      <c r="K190" s="112"/>
      <c r="L190" s="113"/>
      <c r="M190" s="112"/>
      <c r="N190" s="113"/>
      <c r="O190" s="112"/>
      <c r="P190" s="113"/>
      <c r="Q190" s="112"/>
      <c r="R190" s="113"/>
      <c r="S190" s="112"/>
      <c r="T190" s="113"/>
      <c r="U190" s="112"/>
      <c r="V190" s="113"/>
      <c r="W190" s="114"/>
      <c r="X190" s="115"/>
      <c r="Z190" s="1" t="str">
        <f t="shared" si="2"/>
        <v/>
      </c>
    </row>
    <row r="191" spans="1:26" hidden="1" x14ac:dyDescent="0.25">
      <c r="A191" s="114"/>
      <c r="B191" s="115"/>
      <c r="C191" s="114"/>
      <c r="D191" s="115"/>
      <c r="E191" s="114"/>
      <c r="F191" s="115"/>
      <c r="G191" s="112"/>
      <c r="H191" s="113"/>
      <c r="I191" s="112"/>
      <c r="J191" s="113"/>
      <c r="K191" s="112"/>
      <c r="L191" s="113"/>
      <c r="M191" s="112"/>
      <c r="N191" s="113"/>
      <c r="O191" s="112"/>
      <c r="P191" s="113"/>
      <c r="Q191" s="112"/>
      <c r="R191" s="113"/>
      <c r="S191" s="112"/>
      <c r="T191" s="113"/>
      <c r="U191" s="112"/>
      <c r="V191" s="113"/>
      <c r="W191" s="114"/>
      <c r="X191" s="115"/>
      <c r="Z191" s="1" t="str">
        <f t="shared" si="2"/>
        <v/>
      </c>
    </row>
    <row r="192" spans="1:26" hidden="1" x14ac:dyDescent="0.25">
      <c r="A192" s="114"/>
      <c r="B192" s="115"/>
      <c r="C192" s="114"/>
      <c r="D192" s="115"/>
      <c r="E192" s="114"/>
      <c r="F192" s="115"/>
      <c r="G192" s="112"/>
      <c r="H192" s="113"/>
      <c r="I192" s="112"/>
      <c r="J192" s="113"/>
      <c r="K192" s="112"/>
      <c r="L192" s="113"/>
      <c r="M192" s="112"/>
      <c r="N192" s="113"/>
      <c r="O192" s="112"/>
      <c r="P192" s="113"/>
      <c r="Q192" s="112"/>
      <c r="R192" s="113"/>
      <c r="S192" s="112"/>
      <c r="T192" s="113"/>
      <c r="U192" s="112"/>
      <c r="V192" s="113"/>
      <c r="W192" s="114"/>
      <c r="X192" s="115"/>
      <c r="Z192" s="1" t="str">
        <f t="shared" si="2"/>
        <v/>
      </c>
    </row>
    <row r="193" spans="1:26" hidden="1" x14ac:dyDescent="0.25">
      <c r="A193" s="114"/>
      <c r="B193" s="115"/>
      <c r="C193" s="114"/>
      <c r="D193" s="115"/>
      <c r="E193" s="114"/>
      <c r="F193" s="115"/>
      <c r="G193" s="112"/>
      <c r="H193" s="113"/>
      <c r="I193" s="112"/>
      <c r="J193" s="113"/>
      <c r="K193" s="112"/>
      <c r="L193" s="113"/>
      <c r="M193" s="112"/>
      <c r="N193" s="113"/>
      <c r="O193" s="112"/>
      <c r="P193" s="113"/>
      <c r="Q193" s="112"/>
      <c r="R193" s="113"/>
      <c r="S193" s="112"/>
      <c r="T193" s="113"/>
      <c r="U193" s="112"/>
      <c r="V193" s="113"/>
      <c r="W193" s="114"/>
      <c r="X193" s="115"/>
      <c r="Z193" s="1" t="str">
        <f t="shared" si="2"/>
        <v/>
      </c>
    </row>
    <row r="194" spans="1:26" hidden="1" x14ac:dyDescent="0.25">
      <c r="A194" s="114"/>
      <c r="B194" s="115"/>
      <c r="C194" s="114"/>
      <c r="D194" s="115"/>
      <c r="E194" s="114"/>
      <c r="F194" s="115"/>
      <c r="G194" s="112"/>
      <c r="H194" s="113"/>
      <c r="I194" s="112"/>
      <c r="J194" s="113"/>
      <c r="K194" s="112"/>
      <c r="L194" s="113"/>
      <c r="M194" s="112"/>
      <c r="N194" s="113"/>
      <c r="O194" s="112"/>
      <c r="P194" s="113"/>
      <c r="Q194" s="112"/>
      <c r="R194" s="113"/>
      <c r="S194" s="112"/>
      <c r="T194" s="113"/>
      <c r="U194" s="112"/>
      <c r="V194" s="113"/>
      <c r="W194" s="114"/>
      <c r="X194" s="115"/>
      <c r="Z194" s="1" t="str">
        <f t="shared" si="2"/>
        <v/>
      </c>
    </row>
    <row r="195" spans="1:26" hidden="1" x14ac:dyDescent="0.25">
      <c r="A195" s="114"/>
      <c r="B195" s="115"/>
      <c r="C195" s="114"/>
      <c r="D195" s="115"/>
      <c r="E195" s="114"/>
      <c r="F195" s="115"/>
      <c r="G195" s="112"/>
      <c r="H195" s="113"/>
      <c r="I195" s="112"/>
      <c r="J195" s="113"/>
      <c r="K195" s="112"/>
      <c r="L195" s="113"/>
      <c r="M195" s="112"/>
      <c r="N195" s="113"/>
      <c r="O195" s="112"/>
      <c r="P195" s="113"/>
      <c r="Q195" s="112"/>
      <c r="R195" s="113"/>
      <c r="S195" s="112"/>
      <c r="T195" s="113"/>
      <c r="U195" s="112"/>
      <c r="V195" s="113"/>
      <c r="W195" s="114"/>
      <c r="X195" s="115"/>
      <c r="Z195" s="1" t="str">
        <f t="shared" si="2"/>
        <v/>
      </c>
    </row>
    <row r="196" spans="1:26" hidden="1" x14ac:dyDescent="0.25">
      <c r="A196" s="114"/>
      <c r="B196" s="115"/>
      <c r="C196" s="114"/>
      <c r="D196" s="115"/>
      <c r="E196" s="114"/>
      <c r="F196" s="115"/>
      <c r="G196" s="112"/>
      <c r="H196" s="113"/>
      <c r="I196" s="112"/>
      <c r="J196" s="113"/>
      <c r="K196" s="112"/>
      <c r="L196" s="113"/>
      <c r="M196" s="112"/>
      <c r="N196" s="113"/>
      <c r="O196" s="112"/>
      <c r="P196" s="113"/>
      <c r="Q196" s="112"/>
      <c r="R196" s="113"/>
      <c r="S196" s="112"/>
      <c r="T196" s="113"/>
      <c r="U196" s="112"/>
      <c r="V196" s="113"/>
      <c r="W196" s="114"/>
      <c r="X196" s="115"/>
      <c r="Z196" s="1" t="str">
        <f t="shared" si="2"/>
        <v/>
      </c>
    </row>
    <row r="197" spans="1:26" hidden="1" x14ac:dyDescent="0.25">
      <c r="A197" s="114"/>
      <c r="B197" s="115"/>
      <c r="C197" s="114"/>
      <c r="D197" s="115"/>
      <c r="E197" s="114"/>
      <c r="F197" s="115"/>
      <c r="G197" s="112"/>
      <c r="H197" s="113"/>
      <c r="I197" s="112"/>
      <c r="J197" s="113"/>
      <c r="K197" s="112"/>
      <c r="L197" s="113"/>
      <c r="M197" s="112"/>
      <c r="N197" s="113"/>
      <c r="O197" s="112"/>
      <c r="P197" s="113"/>
      <c r="Q197" s="112"/>
      <c r="R197" s="113"/>
      <c r="S197" s="112"/>
      <c r="T197" s="113"/>
      <c r="U197" s="112"/>
      <c r="V197" s="113"/>
      <c r="W197" s="114"/>
      <c r="X197" s="115"/>
      <c r="Z197" s="1" t="str">
        <f t="shared" si="2"/>
        <v/>
      </c>
    </row>
    <row r="198" spans="1:26" hidden="1" x14ac:dyDescent="0.25">
      <c r="A198" s="114"/>
      <c r="B198" s="115"/>
      <c r="C198" s="114"/>
      <c r="D198" s="115"/>
      <c r="E198" s="114"/>
      <c r="F198" s="115"/>
      <c r="G198" s="112"/>
      <c r="H198" s="113"/>
      <c r="I198" s="112"/>
      <c r="J198" s="113"/>
      <c r="K198" s="112"/>
      <c r="L198" s="113"/>
      <c r="M198" s="112"/>
      <c r="N198" s="113"/>
      <c r="O198" s="112"/>
      <c r="P198" s="113"/>
      <c r="Q198" s="112"/>
      <c r="R198" s="113"/>
      <c r="S198" s="112"/>
      <c r="T198" s="113"/>
      <c r="U198" s="112"/>
      <c r="V198" s="113"/>
      <c r="W198" s="114"/>
      <c r="X198" s="115"/>
      <c r="Z198" s="1" t="str">
        <f t="shared" si="2"/>
        <v/>
      </c>
    </row>
    <row r="199" spans="1:26" hidden="1" x14ac:dyDescent="0.25">
      <c r="A199" s="114"/>
      <c r="B199" s="115"/>
      <c r="C199" s="114"/>
      <c r="D199" s="115"/>
      <c r="E199" s="114"/>
      <c r="F199" s="115"/>
      <c r="G199" s="112"/>
      <c r="H199" s="113"/>
      <c r="I199" s="112"/>
      <c r="J199" s="113"/>
      <c r="K199" s="112"/>
      <c r="L199" s="113"/>
      <c r="M199" s="112"/>
      <c r="N199" s="113"/>
      <c r="O199" s="112"/>
      <c r="P199" s="113"/>
      <c r="Q199" s="112"/>
      <c r="R199" s="113"/>
      <c r="S199" s="112"/>
      <c r="T199" s="113"/>
      <c r="U199" s="112"/>
      <c r="V199" s="113"/>
      <c r="W199" s="114"/>
      <c r="X199" s="115"/>
      <c r="Z199" s="1" t="str">
        <f t="shared" ref="Z199:Z200" si="3">IF(ROW(A195)&lt;=$Z$2,ROW(A195),"")</f>
        <v/>
      </c>
    </row>
    <row r="200" spans="1:26" hidden="1" x14ac:dyDescent="0.25">
      <c r="A200" s="114"/>
      <c r="B200" s="115"/>
      <c r="C200" s="114"/>
      <c r="D200" s="115"/>
      <c r="E200" s="114"/>
      <c r="F200" s="115"/>
      <c r="G200" s="112"/>
      <c r="H200" s="113"/>
      <c r="I200" s="112"/>
      <c r="J200" s="113"/>
      <c r="K200" s="112"/>
      <c r="L200" s="113"/>
      <c r="M200" s="112"/>
      <c r="N200" s="113"/>
      <c r="O200" s="112"/>
      <c r="P200" s="113"/>
      <c r="Q200" s="112"/>
      <c r="R200" s="113"/>
      <c r="S200" s="112"/>
      <c r="T200" s="113"/>
      <c r="U200" s="112"/>
      <c r="V200" s="113"/>
      <c r="W200" s="114"/>
      <c r="X200" s="115"/>
      <c r="Z200" s="1" t="str">
        <f t="shared" si="3"/>
        <v/>
      </c>
    </row>
    <row r="201" spans="1:26" hidden="1" x14ac:dyDescent="0.25">
      <c r="A201" s="114"/>
      <c r="B201" s="115"/>
      <c r="C201" s="114"/>
      <c r="D201" s="115"/>
      <c r="E201" s="114"/>
      <c r="F201" s="115"/>
      <c r="G201" s="112"/>
      <c r="H201" s="113"/>
      <c r="I201" s="112"/>
      <c r="J201" s="113"/>
      <c r="K201" s="112"/>
      <c r="L201" s="113"/>
      <c r="M201" s="112"/>
      <c r="N201" s="113"/>
      <c r="O201" s="112"/>
      <c r="P201" s="113"/>
      <c r="Q201" s="112"/>
      <c r="R201" s="113"/>
      <c r="S201" s="112"/>
      <c r="T201" s="113"/>
      <c r="U201" s="112"/>
      <c r="V201" s="113"/>
      <c r="W201" s="114"/>
      <c r="X201" s="115"/>
    </row>
    <row r="202" spans="1:26" hidden="1" x14ac:dyDescent="0.25">
      <c r="A202" s="114"/>
      <c r="B202" s="115"/>
      <c r="C202" s="114"/>
      <c r="D202" s="115"/>
      <c r="E202" s="114"/>
      <c r="F202" s="115"/>
      <c r="G202" s="112"/>
      <c r="H202" s="113"/>
      <c r="I202" s="112"/>
      <c r="J202" s="113"/>
      <c r="K202" s="112"/>
      <c r="L202" s="113"/>
      <c r="M202" s="112"/>
      <c r="N202" s="113"/>
      <c r="O202" s="112"/>
      <c r="P202" s="113"/>
      <c r="Q202" s="112"/>
      <c r="R202" s="113"/>
      <c r="S202" s="112"/>
      <c r="T202" s="113"/>
      <c r="U202" s="112"/>
      <c r="V202" s="113"/>
      <c r="W202" s="114"/>
      <c r="X202" s="115"/>
    </row>
    <row r="203" spans="1:26" hidden="1" x14ac:dyDescent="0.25">
      <c r="A203" s="114"/>
      <c r="B203" s="115"/>
      <c r="C203" s="114"/>
      <c r="D203" s="115"/>
      <c r="E203" s="114"/>
      <c r="F203" s="115"/>
      <c r="G203" s="112"/>
      <c r="H203" s="113"/>
      <c r="I203" s="112"/>
      <c r="J203" s="113"/>
      <c r="K203" s="112"/>
      <c r="L203" s="113"/>
      <c r="M203" s="112"/>
      <c r="N203" s="113"/>
      <c r="O203" s="112"/>
      <c r="P203" s="113"/>
      <c r="Q203" s="112"/>
      <c r="R203" s="113"/>
      <c r="S203" s="112"/>
      <c r="T203" s="113"/>
      <c r="U203" s="112"/>
      <c r="V203" s="113"/>
      <c r="W203" s="114"/>
      <c r="X203" s="115"/>
    </row>
    <row r="204" spans="1:26" hidden="1" x14ac:dyDescent="0.25">
      <c r="A204" s="114"/>
      <c r="B204" s="115"/>
      <c r="C204" s="114"/>
      <c r="D204" s="115"/>
      <c r="E204" s="114"/>
      <c r="F204" s="115"/>
      <c r="G204" s="112"/>
      <c r="H204" s="113"/>
      <c r="I204" s="112"/>
      <c r="J204" s="113"/>
      <c r="K204" s="112"/>
      <c r="L204" s="113"/>
      <c r="M204" s="112"/>
      <c r="N204" s="113"/>
      <c r="O204" s="112"/>
      <c r="P204" s="113"/>
      <c r="Q204" s="112"/>
      <c r="R204" s="113"/>
      <c r="S204" s="112"/>
      <c r="T204" s="113"/>
      <c r="U204" s="112"/>
      <c r="V204" s="113"/>
      <c r="W204" s="114"/>
      <c r="X204" s="115"/>
    </row>
    <row r="205" spans="1:26" hidden="1" x14ac:dyDescent="0.25">
      <c r="A205" s="114"/>
      <c r="B205" s="115"/>
      <c r="C205" s="114"/>
      <c r="D205" s="115"/>
      <c r="E205" s="114"/>
      <c r="F205" s="115"/>
      <c r="G205" s="112"/>
      <c r="H205" s="113"/>
      <c r="I205" s="112"/>
      <c r="J205" s="113"/>
      <c r="K205" s="112"/>
      <c r="L205" s="113"/>
      <c r="M205" s="112"/>
      <c r="N205" s="113"/>
      <c r="O205" s="112"/>
      <c r="P205" s="113"/>
      <c r="Q205" s="112"/>
      <c r="R205" s="113"/>
      <c r="S205" s="112"/>
      <c r="T205" s="113"/>
      <c r="U205" s="112"/>
      <c r="V205" s="113"/>
      <c r="W205" s="114"/>
      <c r="X205" s="115"/>
    </row>
    <row r="206" spans="1:26" hidden="1" x14ac:dyDescent="0.25">
      <c r="A206" s="114"/>
      <c r="B206" s="115"/>
      <c r="C206" s="114"/>
      <c r="D206" s="115"/>
      <c r="E206" s="114"/>
      <c r="F206" s="115"/>
      <c r="G206" s="112"/>
      <c r="H206" s="113"/>
      <c r="I206" s="112"/>
      <c r="J206" s="113"/>
      <c r="K206" s="112"/>
      <c r="L206" s="113"/>
      <c r="M206" s="112"/>
      <c r="N206" s="113"/>
      <c r="O206" s="112"/>
      <c r="P206" s="113"/>
      <c r="Q206" s="112"/>
      <c r="R206" s="113"/>
      <c r="S206" s="112"/>
      <c r="T206" s="113"/>
      <c r="U206" s="112"/>
      <c r="V206" s="113"/>
      <c r="W206" s="114"/>
      <c r="X206" s="115"/>
    </row>
    <row r="207" spans="1:26" hidden="1" x14ac:dyDescent="0.25">
      <c r="A207" s="114"/>
      <c r="B207" s="115"/>
      <c r="C207" s="114"/>
      <c r="D207" s="115"/>
      <c r="E207" s="114"/>
      <c r="F207" s="115"/>
      <c r="G207" s="112"/>
      <c r="H207" s="113"/>
      <c r="I207" s="112"/>
      <c r="J207" s="113"/>
      <c r="K207" s="112"/>
      <c r="L207" s="113"/>
      <c r="M207" s="112"/>
      <c r="N207" s="113"/>
      <c r="O207" s="112"/>
      <c r="P207" s="113"/>
      <c r="Q207" s="112"/>
      <c r="R207" s="113"/>
      <c r="S207" s="112"/>
      <c r="T207" s="113"/>
      <c r="U207" s="112"/>
      <c r="V207" s="113"/>
      <c r="W207" s="114"/>
      <c r="X207" s="115"/>
    </row>
    <row r="208" spans="1:26" hidden="1" x14ac:dyDescent="0.25">
      <c r="A208" s="114"/>
      <c r="B208" s="115"/>
      <c r="C208" s="114"/>
      <c r="D208" s="115"/>
      <c r="E208" s="114"/>
      <c r="F208" s="115"/>
      <c r="G208" s="112"/>
      <c r="H208" s="113"/>
      <c r="I208" s="112"/>
      <c r="J208" s="113"/>
      <c r="K208" s="112"/>
      <c r="L208" s="113"/>
      <c r="M208" s="112"/>
      <c r="N208" s="113"/>
      <c r="O208" s="112"/>
      <c r="P208" s="113"/>
      <c r="Q208" s="112"/>
      <c r="R208" s="113"/>
      <c r="S208" s="112"/>
      <c r="T208" s="113"/>
      <c r="U208" s="112"/>
      <c r="V208" s="113"/>
      <c r="W208" s="114"/>
      <c r="X208" s="115"/>
    </row>
    <row r="209" spans="1:24" hidden="1" x14ac:dyDescent="0.25">
      <c r="A209" s="114"/>
      <c r="B209" s="115"/>
      <c r="C209" s="114"/>
      <c r="D209" s="115"/>
      <c r="E209" s="114"/>
      <c r="F209" s="115"/>
      <c r="G209" s="112"/>
      <c r="H209" s="113"/>
      <c r="I209" s="112"/>
      <c r="J209" s="113"/>
      <c r="K209" s="112"/>
      <c r="L209" s="113"/>
      <c r="M209" s="112"/>
      <c r="N209" s="113"/>
      <c r="O209" s="112"/>
      <c r="P209" s="113"/>
      <c r="Q209" s="112"/>
      <c r="R209" s="113"/>
      <c r="S209" s="112"/>
      <c r="T209" s="113"/>
      <c r="U209" s="112"/>
      <c r="V209" s="113"/>
      <c r="W209" s="114"/>
      <c r="X209" s="115"/>
    </row>
    <row r="210" spans="1:24" hidden="1" x14ac:dyDescent="0.25">
      <c r="A210" s="114"/>
      <c r="B210" s="115"/>
      <c r="C210" s="114"/>
      <c r="D210" s="115"/>
      <c r="E210" s="114"/>
      <c r="F210" s="115"/>
      <c r="G210" s="112"/>
      <c r="H210" s="113"/>
      <c r="I210" s="112"/>
      <c r="J210" s="113"/>
      <c r="K210" s="112"/>
      <c r="L210" s="113"/>
      <c r="M210" s="112"/>
      <c r="N210" s="113"/>
      <c r="O210" s="112"/>
      <c r="P210" s="113"/>
      <c r="Q210" s="112"/>
      <c r="R210" s="113"/>
      <c r="S210" s="112"/>
      <c r="T210" s="113"/>
      <c r="U210" s="112"/>
      <c r="V210" s="113"/>
      <c r="W210" s="114"/>
      <c r="X210" s="115"/>
    </row>
    <row r="211" spans="1:24" hidden="1" x14ac:dyDescent="0.25">
      <c r="A211" s="114"/>
      <c r="B211" s="115"/>
      <c r="C211" s="114"/>
      <c r="D211" s="115"/>
      <c r="E211" s="114"/>
      <c r="F211" s="115"/>
      <c r="G211" s="112"/>
      <c r="H211" s="113"/>
      <c r="I211" s="112"/>
      <c r="J211" s="113"/>
      <c r="K211" s="112"/>
      <c r="L211" s="113"/>
      <c r="M211" s="112"/>
      <c r="N211" s="113"/>
      <c r="O211" s="112"/>
      <c r="P211" s="113"/>
      <c r="Q211" s="112"/>
      <c r="R211" s="113"/>
      <c r="S211" s="112"/>
      <c r="T211" s="113"/>
      <c r="U211" s="112"/>
      <c r="V211" s="113"/>
      <c r="W211" s="114"/>
      <c r="X211" s="115"/>
    </row>
    <row r="212" spans="1:24" hidden="1" x14ac:dyDescent="0.25">
      <c r="A212" s="114"/>
      <c r="B212" s="115"/>
      <c r="C212" s="114"/>
      <c r="D212" s="115"/>
      <c r="E212" s="114"/>
      <c r="F212" s="115"/>
      <c r="G212" s="112"/>
      <c r="H212" s="113"/>
      <c r="I212" s="112"/>
      <c r="J212" s="113"/>
      <c r="K212" s="112"/>
      <c r="L212" s="113"/>
      <c r="M212" s="112"/>
      <c r="N212" s="113"/>
      <c r="O212" s="112"/>
      <c r="P212" s="113"/>
      <c r="Q212" s="112"/>
      <c r="R212" s="113"/>
      <c r="S212" s="112"/>
      <c r="T212" s="113"/>
      <c r="U212" s="112"/>
      <c r="V212" s="113"/>
      <c r="W212" s="114"/>
      <c r="X212" s="115"/>
    </row>
    <row r="213" spans="1:24" hidden="1" x14ac:dyDescent="0.25">
      <c r="A213" s="114"/>
      <c r="B213" s="115"/>
      <c r="C213" s="114"/>
      <c r="D213" s="115"/>
      <c r="E213" s="114"/>
      <c r="F213" s="115"/>
      <c r="G213" s="112"/>
      <c r="H213" s="113"/>
      <c r="I213" s="112"/>
      <c r="J213" s="113"/>
      <c r="K213" s="112"/>
      <c r="L213" s="113"/>
      <c r="M213" s="112"/>
      <c r="N213" s="113"/>
      <c r="O213" s="112"/>
      <c r="P213" s="113"/>
      <c r="Q213" s="112"/>
      <c r="R213" s="113"/>
      <c r="S213" s="112"/>
      <c r="T213" s="113"/>
      <c r="U213" s="112"/>
      <c r="V213" s="113"/>
      <c r="W213" s="114"/>
      <c r="X213" s="115"/>
    </row>
    <row r="214" spans="1:24" hidden="1" x14ac:dyDescent="0.25">
      <c r="A214" s="114"/>
      <c r="B214" s="115"/>
      <c r="C214" s="114"/>
      <c r="D214" s="115"/>
      <c r="E214" s="114"/>
      <c r="F214" s="115"/>
      <c r="G214" s="112"/>
      <c r="H214" s="113"/>
      <c r="I214" s="112"/>
      <c r="J214" s="113"/>
      <c r="K214" s="112"/>
      <c r="L214" s="113"/>
      <c r="M214" s="112"/>
      <c r="N214" s="113"/>
      <c r="O214" s="112"/>
      <c r="P214" s="113"/>
      <c r="Q214" s="112"/>
      <c r="R214" s="113"/>
      <c r="S214" s="112"/>
      <c r="T214" s="113"/>
      <c r="U214" s="112"/>
      <c r="V214" s="113"/>
      <c r="W214" s="114"/>
      <c r="X214" s="115"/>
    </row>
    <row r="215" spans="1:24" hidden="1" x14ac:dyDescent="0.25">
      <c r="A215" s="114"/>
      <c r="B215" s="115"/>
      <c r="C215" s="114"/>
      <c r="D215" s="115"/>
      <c r="E215" s="114"/>
      <c r="F215" s="115"/>
      <c r="G215" s="112"/>
      <c r="H215" s="113"/>
      <c r="I215" s="112"/>
      <c r="J215" s="113"/>
      <c r="K215" s="112"/>
      <c r="L215" s="113"/>
      <c r="M215" s="112"/>
      <c r="N215" s="113"/>
      <c r="O215" s="112"/>
      <c r="P215" s="113"/>
      <c r="Q215" s="112"/>
      <c r="R215" s="113"/>
      <c r="S215" s="112"/>
      <c r="T215" s="113"/>
      <c r="U215" s="112"/>
      <c r="V215" s="113"/>
      <c r="W215" s="114"/>
      <c r="X215" s="115"/>
    </row>
    <row r="216" spans="1:24" hidden="1" x14ac:dyDescent="0.25">
      <c r="A216" s="114"/>
      <c r="B216" s="115"/>
      <c r="C216" s="114"/>
      <c r="D216" s="115"/>
      <c r="E216" s="114"/>
      <c r="F216" s="115"/>
      <c r="G216" s="112"/>
      <c r="H216" s="113"/>
      <c r="I216" s="112"/>
      <c r="J216" s="113"/>
      <c r="K216" s="112"/>
      <c r="L216" s="113"/>
      <c r="M216" s="112"/>
      <c r="N216" s="113"/>
      <c r="O216" s="112"/>
      <c r="P216" s="113"/>
      <c r="Q216" s="112"/>
      <c r="R216" s="113"/>
      <c r="S216" s="112"/>
      <c r="T216" s="113"/>
      <c r="U216" s="112"/>
      <c r="V216" s="113"/>
      <c r="W216" s="114"/>
      <c r="X216" s="115"/>
    </row>
    <row r="217" spans="1:24" hidden="1" x14ac:dyDescent="0.25">
      <c r="A217" s="114"/>
      <c r="B217" s="115"/>
      <c r="C217" s="114"/>
      <c r="D217" s="115"/>
      <c r="E217" s="114"/>
      <c r="F217" s="115"/>
      <c r="G217" s="112"/>
      <c r="H217" s="113"/>
      <c r="I217" s="112"/>
      <c r="J217" s="113"/>
      <c r="K217" s="112"/>
      <c r="L217" s="113"/>
      <c r="M217" s="112"/>
      <c r="N217" s="113"/>
      <c r="O217" s="112"/>
      <c r="P217" s="113"/>
      <c r="Q217" s="112"/>
      <c r="R217" s="113"/>
      <c r="S217" s="112"/>
      <c r="T217" s="113"/>
      <c r="U217" s="112"/>
      <c r="V217" s="113"/>
      <c r="W217" s="114"/>
      <c r="X217" s="115"/>
    </row>
    <row r="218" spans="1:24" hidden="1" x14ac:dyDescent="0.25">
      <c r="A218" s="114"/>
      <c r="B218" s="115"/>
      <c r="C218" s="114"/>
      <c r="D218" s="115"/>
      <c r="E218" s="114"/>
      <c r="F218" s="115"/>
      <c r="G218" s="112"/>
      <c r="H218" s="113"/>
      <c r="I218" s="112"/>
      <c r="J218" s="113"/>
      <c r="K218" s="112"/>
      <c r="L218" s="113"/>
      <c r="M218" s="112"/>
      <c r="N218" s="113"/>
      <c r="O218" s="112"/>
      <c r="P218" s="113"/>
      <c r="Q218" s="112"/>
      <c r="R218" s="113"/>
      <c r="S218" s="112"/>
      <c r="T218" s="113"/>
      <c r="U218" s="112"/>
      <c r="V218" s="113"/>
      <c r="W218" s="114"/>
      <c r="X218" s="115"/>
    </row>
    <row r="219" spans="1:24" hidden="1" x14ac:dyDescent="0.25">
      <c r="A219" s="114"/>
      <c r="B219" s="115"/>
      <c r="C219" s="114"/>
      <c r="D219" s="115"/>
      <c r="E219" s="114"/>
      <c r="F219" s="115"/>
      <c r="G219" s="112"/>
      <c r="H219" s="113"/>
      <c r="I219" s="112"/>
      <c r="J219" s="113"/>
      <c r="K219" s="112"/>
      <c r="L219" s="113"/>
      <c r="M219" s="112"/>
      <c r="N219" s="113"/>
      <c r="O219" s="112"/>
      <c r="P219" s="113"/>
      <c r="Q219" s="112"/>
      <c r="R219" s="113"/>
      <c r="S219" s="112"/>
      <c r="T219" s="113"/>
      <c r="U219" s="112"/>
      <c r="V219" s="113"/>
      <c r="W219" s="114"/>
      <c r="X219" s="115"/>
    </row>
    <row r="220" spans="1:24" hidden="1" x14ac:dyDescent="0.25">
      <c r="A220" s="114"/>
      <c r="B220" s="115"/>
      <c r="C220" s="114"/>
      <c r="D220" s="115"/>
      <c r="E220" s="114"/>
      <c r="F220" s="115"/>
      <c r="G220" s="112"/>
      <c r="H220" s="113"/>
      <c r="I220" s="112"/>
      <c r="J220" s="113"/>
      <c r="K220" s="112"/>
      <c r="L220" s="113"/>
      <c r="M220" s="112"/>
      <c r="N220" s="113"/>
      <c r="O220" s="112"/>
      <c r="P220" s="113"/>
      <c r="Q220" s="112"/>
      <c r="R220" s="113"/>
      <c r="S220" s="112"/>
      <c r="T220" s="113"/>
      <c r="U220" s="112"/>
      <c r="V220" s="113"/>
      <c r="W220" s="114"/>
      <c r="X220" s="115"/>
    </row>
    <row r="221" spans="1:24" hidden="1" x14ac:dyDescent="0.25">
      <c r="A221" s="114"/>
      <c r="B221" s="115"/>
      <c r="C221" s="114"/>
      <c r="D221" s="115"/>
      <c r="E221" s="114"/>
      <c r="F221" s="115"/>
      <c r="G221" s="112"/>
      <c r="H221" s="113"/>
      <c r="I221" s="112"/>
      <c r="J221" s="113"/>
      <c r="K221" s="112"/>
      <c r="L221" s="113"/>
      <c r="M221" s="112"/>
      <c r="N221" s="113"/>
      <c r="O221" s="112"/>
      <c r="P221" s="113"/>
      <c r="Q221" s="112"/>
      <c r="R221" s="113"/>
      <c r="S221" s="112"/>
      <c r="T221" s="113"/>
      <c r="U221" s="112"/>
      <c r="V221" s="113"/>
      <c r="W221" s="114"/>
      <c r="X221" s="115"/>
    </row>
    <row r="222" spans="1:24" hidden="1" x14ac:dyDescent="0.25">
      <c r="A222" s="114"/>
      <c r="B222" s="115"/>
      <c r="C222" s="114"/>
      <c r="D222" s="115"/>
      <c r="E222" s="114"/>
      <c r="F222" s="115"/>
      <c r="G222" s="112"/>
      <c r="H222" s="113"/>
      <c r="I222" s="112"/>
      <c r="J222" s="113"/>
      <c r="K222" s="112"/>
      <c r="L222" s="113"/>
      <c r="M222" s="112"/>
      <c r="N222" s="113"/>
      <c r="O222" s="112"/>
      <c r="P222" s="113"/>
      <c r="Q222" s="112"/>
      <c r="R222" s="113"/>
      <c r="S222" s="112"/>
      <c r="T222" s="113"/>
      <c r="U222" s="112"/>
      <c r="V222" s="113"/>
      <c r="W222" s="114"/>
      <c r="X222" s="115"/>
    </row>
    <row r="223" spans="1:24" hidden="1" x14ac:dyDescent="0.25">
      <c r="A223" s="114"/>
      <c r="B223" s="115"/>
      <c r="C223" s="114"/>
      <c r="D223" s="115"/>
      <c r="E223" s="114"/>
      <c r="F223" s="115"/>
      <c r="G223" s="112"/>
      <c r="H223" s="113"/>
      <c r="I223" s="112"/>
      <c r="J223" s="113"/>
      <c r="K223" s="112"/>
      <c r="L223" s="113"/>
      <c r="M223" s="112"/>
      <c r="N223" s="113"/>
      <c r="O223" s="112"/>
      <c r="P223" s="113"/>
      <c r="Q223" s="112"/>
      <c r="R223" s="113"/>
      <c r="S223" s="112"/>
      <c r="T223" s="113"/>
      <c r="U223" s="112"/>
      <c r="V223" s="113"/>
      <c r="W223" s="114"/>
      <c r="X223" s="115"/>
    </row>
    <row r="224" spans="1:24" hidden="1" x14ac:dyDescent="0.25">
      <c r="A224" s="114"/>
      <c r="B224" s="115"/>
      <c r="C224" s="114"/>
      <c r="D224" s="115"/>
      <c r="E224" s="114"/>
      <c r="F224" s="115"/>
      <c r="G224" s="112"/>
      <c r="H224" s="113"/>
      <c r="I224" s="112"/>
      <c r="J224" s="113"/>
      <c r="K224" s="112"/>
      <c r="L224" s="113"/>
      <c r="M224" s="112"/>
      <c r="N224" s="113"/>
      <c r="O224" s="112"/>
      <c r="P224" s="113"/>
      <c r="Q224" s="112"/>
      <c r="R224" s="113"/>
      <c r="S224" s="112"/>
      <c r="T224" s="113"/>
      <c r="U224" s="112"/>
      <c r="V224" s="113"/>
      <c r="W224" s="114"/>
      <c r="X224" s="115"/>
    </row>
    <row r="225" spans="1:24" hidden="1" x14ac:dyDescent="0.25">
      <c r="A225" s="114"/>
      <c r="B225" s="115"/>
      <c r="C225" s="114"/>
      <c r="D225" s="115"/>
      <c r="E225" s="114"/>
      <c r="F225" s="115"/>
      <c r="G225" s="112"/>
      <c r="H225" s="113"/>
      <c r="I225" s="112"/>
      <c r="J225" s="113"/>
      <c r="K225" s="112"/>
      <c r="L225" s="113"/>
      <c r="M225" s="112"/>
      <c r="N225" s="113"/>
      <c r="O225" s="112"/>
      <c r="P225" s="113"/>
      <c r="Q225" s="112"/>
      <c r="R225" s="113"/>
      <c r="S225" s="112"/>
      <c r="T225" s="113"/>
      <c r="U225" s="112"/>
      <c r="V225" s="113"/>
      <c r="W225" s="114"/>
      <c r="X225" s="115"/>
    </row>
    <row r="226" spans="1:24" hidden="1" x14ac:dyDescent="0.25">
      <c r="A226" s="114"/>
      <c r="B226" s="115"/>
      <c r="C226" s="114"/>
      <c r="D226" s="115"/>
      <c r="E226" s="114"/>
      <c r="F226" s="115"/>
      <c r="G226" s="112"/>
      <c r="H226" s="113"/>
      <c r="I226" s="112"/>
      <c r="J226" s="113"/>
      <c r="K226" s="112"/>
      <c r="L226" s="113"/>
      <c r="M226" s="112"/>
      <c r="N226" s="113"/>
      <c r="O226" s="112"/>
      <c r="P226" s="113"/>
      <c r="Q226" s="112"/>
      <c r="R226" s="113"/>
      <c r="S226" s="112"/>
      <c r="T226" s="113"/>
      <c r="U226" s="112"/>
      <c r="V226" s="113"/>
      <c r="W226" s="114"/>
      <c r="X226" s="115"/>
    </row>
    <row r="227" spans="1:24" hidden="1" x14ac:dyDescent="0.25">
      <c r="A227" s="114"/>
      <c r="B227" s="115"/>
      <c r="C227" s="114"/>
      <c r="D227" s="115"/>
      <c r="E227" s="114"/>
      <c r="F227" s="115"/>
      <c r="G227" s="112"/>
      <c r="H227" s="113"/>
      <c r="I227" s="112"/>
      <c r="J227" s="113"/>
      <c r="K227" s="112"/>
      <c r="L227" s="113"/>
      <c r="M227" s="112"/>
      <c r="N227" s="113"/>
      <c r="O227" s="112"/>
      <c r="P227" s="113"/>
      <c r="Q227" s="112"/>
      <c r="R227" s="113"/>
      <c r="S227" s="112"/>
      <c r="T227" s="113"/>
      <c r="U227" s="112"/>
      <c r="V227" s="113"/>
      <c r="W227" s="114"/>
      <c r="X227" s="115"/>
    </row>
    <row r="228" spans="1:24" hidden="1" x14ac:dyDescent="0.25">
      <c r="A228" s="114"/>
      <c r="B228" s="115"/>
      <c r="C228" s="114"/>
      <c r="D228" s="115"/>
      <c r="E228" s="114"/>
      <c r="F228" s="115"/>
      <c r="G228" s="112"/>
      <c r="H228" s="113"/>
      <c r="I228" s="112"/>
      <c r="J228" s="113"/>
      <c r="K228" s="112"/>
      <c r="L228" s="113"/>
      <c r="M228" s="112"/>
      <c r="N228" s="113"/>
      <c r="O228" s="112"/>
      <c r="P228" s="113"/>
      <c r="Q228" s="112"/>
      <c r="R228" s="113"/>
      <c r="S228" s="112"/>
      <c r="T228" s="113"/>
      <c r="U228" s="112"/>
      <c r="V228" s="113"/>
      <c r="W228" s="114"/>
      <c r="X228" s="115"/>
    </row>
    <row r="229" spans="1:24" hidden="1" x14ac:dyDescent="0.25">
      <c r="A229" s="114"/>
      <c r="B229" s="115"/>
      <c r="C229" s="114"/>
      <c r="D229" s="115"/>
      <c r="E229" s="114"/>
      <c r="F229" s="115"/>
      <c r="G229" s="112"/>
      <c r="H229" s="113"/>
      <c r="I229" s="112"/>
      <c r="J229" s="113"/>
      <c r="K229" s="112"/>
      <c r="L229" s="113"/>
      <c r="M229" s="112"/>
      <c r="N229" s="113"/>
      <c r="O229" s="112"/>
      <c r="P229" s="113"/>
      <c r="Q229" s="112"/>
      <c r="R229" s="113"/>
      <c r="S229" s="112"/>
      <c r="T229" s="113"/>
      <c r="U229" s="112"/>
      <c r="V229" s="113"/>
      <c r="W229" s="114"/>
      <c r="X229" s="115"/>
    </row>
    <row r="230" spans="1:24" hidden="1" x14ac:dyDescent="0.25">
      <c r="A230" s="114"/>
      <c r="B230" s="115"/>
      <c r="C230" s="114"/>
      <c r="D230" s="115"/>
      <c r="E230" s="114"/>
      <c r="F230" s="115"/>
      <c r="G230" s="112"/>
      <c r="H230" s="113"/>
      <c r="I230" s="112"/>
      <c r="J230" s="113"/>
      <c r="K230" s="112"/>
      <c r="L230" s="113"/>
      <c r="M230" s="112"/>
      <c r="N230" s="113"/>
      <c r="O230" s="112"/>
      <c r="P230" s="113"/>
      <c r="Q230" s="112"/>
      <c r="R230" s="113"/>
      <c r="S230" s="112"/>
      <c r="T230" s="113"/>
      <c r="U230" s="112"/>
      <c r="V230" s="113"/>
      <c r="W230" s="114"/>
      <c r="X230" s="115"/>
    </row>
    <row r="231" spans="1:24" hidden="1" x14ac:dyDescent="0.25">
      <c r="A231" s="114"/>
      <c r="B231" s="115"/>
      <c r="C231" s="114"/>
      <c r="D231" s="115"/>
      <c r="E231" s="114"/>
      <c r="F231" s="115"/>
      <c r="G231" s="112"/>
      <c r="H231" s="113"/>
      <c r="I231" s="112"/>
      <c r="J231" s="113"/>
      <c r="K231" s="112"/>
      <c r="L231" s="113"/>
      <c r="M231" s="112"/>
      <c r="N231" s="113"/>
      <c r="O231" s="112"/>
      <c r="P231" s="113"/>
      <c r="Q231" s="112"/>
      <c r="R231" s="113"/>
      <c r="S231" s="112"/>
      <c r="T231" s="113"/>
      <c r="U231" s="112"/>
      <c r="V231" s="113"/>
      <c r="W231" s="114"/>
      <c r="X231" s="115"/>
    </row>
    <row r="232" spans="1:24" hidden="1" x14ac:dyDescent="0.25">
      <c r="A232" s="114"/>
      <c r="B232" s="115"/>
      <c r="C232" s="114"/>
      <c r="D232" s="115"/>
      <c r="E232" s="114"/>
      <c r="F232" s="115"/>
      <c r="G232" s="112"/>
      <c r="H232" s="113"/>
      <c r="I232" s="112"/>
      <c r="J232" s="113"/>
      <c r="K232" s="112"/>
      <c r="L232" s="113"/>
      <c r="M232" s="112"/>
      <c r="N232" s="113"/>
      <c r="O232" s="112"/>
      <c r="P232" s="113"/>
      <c r="Q232" s="112"/>
      <c r="R232" s="113"/>
      <c r="S232" s="112"/>
      <c r="T232" s="113"/>
      <c r="U232" s="112"/>
      <c r="V232" s="113"/>
      <c r="W232" s="114"/>
      <c r="X232" s="115"/>
    </row>
    <row r="233" spans="1:24" hidden="1" x14ac:dyDescent="0.25">
      <c r="A233" s="114"/>
      <c r="B233" s="115"/>
      <c r="C233" s="114"/>
      <c r="D233" s="115"/>
      <c r="E233" s="114"/>
      <c r="F233" s="115"/>
      <c r="G233" s="112"/>
      <c r="H233" s="113"/>
      <c r="I233" s="112"/>
      <c r="J233" s="113"/>
      <c r="K233" s="112"/>
      <c r="L233" s="113"/>
      <c r="M233" s="112"/>
      <c r="N233" s="113"/>
      <c r="O233" s="112"/>
      <c r="P233" s="113"/>
      <c r="Q233" s="112"/>
      <c r="R233" s="113"/>
      <c r="S233" s="112"/>
      <c r="T233" s="113"/>
      <c r="U233" s="112"/>
      <c r="V233" s="113"/>
      <c r="W233" s="114"/>
      <c r="X233" s="115"/>
    </row>
    <row r="234" spans="1:24" hidden="1" x14ac:dyDescent="0.25">
      <c r="A234" s="114"/>
      <c r="B234" s="115"/>
      <c r="C234" s="114"/>
      <c r="D234" s="115"/>
      <c r="E234" s="114"/>
      <c r="F234" s="115"/>
      <c r="G234" s="112"/>
      <c r="H234" s="113"/>
      <c r="I234" s="112"/>
      <c r="J234" s="113"/>
      <c r="K234" s="112"/>
      <c r="L234" s="113"/>
      <c r="M234" s="112"/>
      <c r="N234" s="113"/>
      <c r="O234" s="112"/>
      <c r="P234" s="113"/>
      <c r="Q234" s="112"/>
      <c r="R234" s="113"/>
      <c r="S234" s="112"/>
      <c r="T234" s="113"/>
      <c r="U234" s="112"/>
      <c r="V234" s="113"/>
      <c r="W234" s="114"/>
      <c r="X234" s="115"/>
    </row>
    <row r="235" spans="1:24" hidden="1" x14ac:dyDescent="0.25">
      <c r="A235" s="114"/>
      <c r="B235" s="115"/>
      <c r="C235" s="114"/>
      <c r="D235" s="115"/>
      <c r="E235" s="114"/>
      <c r="F235" s="115"/>
      <c r="G235" s="112"/>
      <c r="H235" s="113"/>
      <c r="I235" s="112"/>
      <c r="J235" s="113"/>
      <c r="K235" s="112"/>
      <c r="L235" s="113"/>
      <c r="M235" s="112"/>
      <c r="N235" s="113"/>
      <c r="O235" s="112"/>
      <c r="P235" s="113"/>
      <c r="Q235" s="112"/>
      <c r="R235" s="113"/>
      <c r="S235" s="112"/>
      <c r="T235" s="113"/>
      <c r="U235" s="112"/>
      <c r="V235" s="113"/>
      <c r="W235" s="114"/>
      <c r="X235" s="115"/>
    </row>
    <row r="236" spans="1:24" hidden="1" x14ac:dyDescent="0.25">
      <c r="A236" s="114"/>
      <c r="B236" s="115"/>
      <c r="C236" s="114"/>
      <c r="D236" s="115"/>
      <c r="E236" s="114"/>
      <c r="F236" s="115"/>
      <c r="G236" s="112"/>
      <c r="H236" s="113"/>
      <c r="I236" s="112"/>
      <c r="J236" s="113"/>
      <c r="K236" s="112"/>
      <c r="L236" s="113"/>
      <c r="M236" s="112"/>
      <c r="N236" s="113"/>
      <c r="O236" s="112"/>
      <c r="P236" s="113"/>
      <c r="Q236" s="112"/>
      <c r="R236" s="113"/>
      <c r="S236" s="112"/>
      <c r="T236" s="113"/>
      <c r="U236" s="112"/>
      <c r="V236" s="113"/>
      <c r="W236" s="114"/>
      <c r="X236" s="115"/>
    </row>
    <row r="237" spans="1:24" hidden="1" x14ac:dyDescent="0.25">
      <c r="A237" s="114"/>
      <c r="B237" s="115"/>
      <c r="C237" s="114"/>
      <c r="D237" s="115"/>
      <c r="E237" s="114"/>
      <c r="F237" s="115"/>
      <c r="G237" s="112"/>
      <c r="H237" s="113"/>
      <c r="I237" s="112"/>
      <c r="J237" s="113"/>
      <c r="K237" s="112"/>
      <c r="L237" s="113"/>
      <c r="M237" s="112"/>
      <c r="N237" s="113"/>
      <c r="O237" s="112"/>
      <c r="P237" s="113"/>
      <c r="Q237" s="112"/>
      <c r="R237" s="113"/>
      <c r="S237" s="112"/>
      <c r="T237" s="113"/>
      <c r="U237" s="112"/>
      <c r="V237" s="113"/>
      <c r="W237" s="114"/>
      <c r="X237" s="115"/>
    </row>
    <row r="238" spans="1:24" hidden="1" x14ac:dyDescent="0.25">
      <c r="A238" s="114"/>
      <c r="B238" s="115"/>
      <c r="C238" s="114"/>
      <c r="D238" s="115"/>
      <c r="E238" s="114"/>
      <c r="F238" s="115"/>
      <c r="G238" s="112"/>
      <c r="H238" s="113"/>
      <c r="I238" s="112"/>
      <c r="J238" s="113"/>
      <c r="K238" s="112"/>
      <c r="L238" s="113"/>
      <c r="M238" s="112"/>
      <c r="N238" s="113"/>
      <c r="O238" s="112"/>
      <c r="P238" s="113"/>
      <c r="Q238" s="112"/>
      <c r="R238" s="113"/>
      <c r="S238" s="112"/>
      <c r="T238" s="113"/>
      <c r="U238" s="112"/>
      <c r="V238" s="113"/>
      <c r="W238" s="114"/>
      <c r="X238" s="115"/>
    </row>
    <row r="239" spans="1:24" hidden="1" x14ac:dyDescent="0.25">
      <c r="A239" s="114"/>
      <c r="B239" s="115"/>
      <c r="C239" s="114"/>
      <c r="D239" s="115"/>
      <c r="E239" s="114"/>
      <c r="F239" s="115"/>
      <c r="G239" s="112"/>
      <c r="H239" s="113"/>
      <c r="I239" s="112"/>
      <c r="J239" s="113"/>
      <c r="K239" s="112"/>
      <c r="L239" s="113"/>
      <c r="M239" s="112"/>
      <c r="N239" s="113"/>
      <c r="O239" s="112"/>
      <c r="P239" s="113"/>
      <c r="Q239" s="112"/>
      <c r="R239" s="113"/>
      <c r="S239" s="112"/>
      <c r="T239" s="113"/>
      <c r="U239" s="112"/>
      <c r="V239" s="113"/>
      <c r="W239" s="114"/>
      <c r="X239" s="115"/>
    </row>
    <row r="240" spans="1:24" hidden="1" x14ac:dyDescent="0.25">
      <c r="A240" s="114"/>
      <c r="B240" s="115"/>
      <c r="C240" s="114"/>
      <c r="D240" s="115"/>
      <c r="E240" s="114"/>
      <c r="F240" s="115"/>
      <c r="G240" s="112"/>
      <c r="H240" s="113"/>
      <c r="I240" s="112"/>
      <c r="J240" s="113"/>
      <c r="K240" s="112"/>
      <c r="L240" s="113"/>
      <c r="M240" s="112"/>
      <c r="N240" s="113"/>
      <c r="O240" s="112"/>
      <c r="P240" s="113"/>
      <c r="Q240" s="112"/>
      <c r="R240" s="113"/>
      <c r="S240" s="112"/>
      <c r="T240" s="113"/>
      <c r="U240" s="112"/>
      <c r="V240" s="113"/>
      <c r="W240" s="114"/>
      <c r="X240" s="115"/>
    </row>
    <row r="241" spans="1:24" hidden="1" x14ac:dyDescent="0.25">
      <c r="A241" s="114"/>
      <c r="B241" s="115"/>
      <c r="C241" s="114"/>
      <c r="D241" s="115"/>
      <c r="E241" s="114"/>
      <c r="F241" s="115"/>
      <c r="G241" s="112"/>
      <c r="H241" s="113"/>
      <c r="I241" s="112"/>
      <c r="J241" s="113"/>
      <c r="K241" s="112"/>
      <c r="L241" s="113"/>
      <c r="M241" s="112"/>
      <c r="N241" s="113"/>
      <c r="O241" s="112"/>
      <c r="P241" s="113"/>
      <c r="Q241" s="112"/>
      <c r="R241" s="113"/>
      <c r="S241" s="112"/>
      <c r="T241" s="113"/>
      <c r="U241" s="112"/>
      <c r="V241" s="113"/>
      <c r="W241" s="114"/>
      <c r="X241" s="115"/>
    </row>
    <row r="242" spans="1:24" hidden="1" x14ac:dyDescent="0.25">
      <c r="A242" s="114"/>
      <c r="B242" s="115"/>
      <c r="C242" s="114"/>
      <c r="D242" s="115"/>
      <c r="E242" s="114"/>
      <c r="F242" s="115"/>
      <c r="G242" s="112"/>
      <c r="H242" s="113"/>
      <c r="I242" s="112"/>
      <c r="J242" s="113"/>
      <c r="K242" s="112"/>
      <c r="L242" s="113"/>
      <c r="M242" s="112"/>
      <c r="N242" s="113"/>
      <c r="O242" s="112"/>
      <c r="P242" s="113"/>
      <c r="Q242" s="112"/>
      <c r="R242" s="113"/>
      <c r="S242" s="112"/>
      <c r="T242" s="113"/>
      <c r="U242" s="112"/>
      <c r="V242" s="113"/>
      <c r="W242" s="114"/>
      <c r="X242" s="115"/>
    </row>
    <row r="243" spans="1:24" hidden="1" x14ac:dyDescent="0.25">
      <c r="A243" s="114"/>
      <c r="B243" s="115"/>
      <c r="C243" s="114"/>
      <c r="D243" s="115"/>
      <c r="E243" s="114"/>
      <c r="F243" s="115"/>
      <c r="G243" s="112"/>
      <c r="H243" s="113"/>
      <c r="I243" s="112"/>
      <c r="J243" s="113"/>
      <c r="K243" s="112"/>
      <c r="L243" s="113"/>
      <c r="M243" s="112"/>
      <c r="N243" s="113"/>
      <c r="O243" s="112"/>
      <c r="P243" s="113"/>
      <c r="Q243" s="112"/>
      <c r="R243" s="113"/>
      <c r="S243" s="112"/>
      <c r="T243" s="113"/>
      <c r="U243" s="112"/>
      <c r="V243" s="113"/>
      <c r="W243" s="114"/>
      <c r="X243" s="115"/>
    </row>
    <row r="244" spans="1:24" hidden="1" x14ac:dyDescent="0.25">
      <c r="A244" s="114"/>
      <c r="B244" s="115"/>
      <c r="C244" s="114"/>
      <c r="D244" s="115"/>
      <c r="E244" s="114"/>
      <c r="F244" s="115"/>
      <c r="G244" s="112"/>
      <c r="H244" s="113"/>
      <c r="I244" s="112"/>
      <c r="J244" s="113"/>
      <c r="K244" s="112"/>
      <c r="L244" s="113"/>
      <c r="M244" s="112"/>
      <c r="N244" s="113"/>
      <c r="O244" s="112"/>
      <c r="P244" s="113"/>
      <c r="Q244" s="112"/>
      <c r="R244" s="113"/>
      <c r="S244" s="112"/>
      <c r="T244" s="113"/>
      <c r="U244" s="112"/>
      <c r="V244" s="113"/>
      <c r="W244" s="114"/>
      <c r="X244" s="115"/>
    </row>
    <row r="245" spans="1:24" hidden="1" x14ac:dyDescent="0.25">
      <c r="A245" s="114"/>
      <c r="B245" s="115"/>
      <c r="C245" s="114"/>
      <c r="D245" s="115"/>
      <c r="E245" s="114"/>
      <c r="F245" s="115"/>
      <c r="G245" s="112"/>
      <c r="H245" s="113"/>
      <c r="I245" s="112"/>
      <c r="J245" s="113"/>
      <c r="K245" s="112"/>
      <c r="L245" s="113"/>
      <c r="M245" s="112"/>
      <c r="N245" s="113"/>
      <c r="O245" s="112"/>
      <c r="P245" s="113"/>
      <c r="Q245" s="112"/>
      <c r="R245" s="113"/>
      <c r="S245" s="112"/>
      <c r="T245" s="113"/>
      <c r="U245" s="112"/>
      <c r="V245" s="113"/>
      <c r="W245" s="114"/>
      <c r="X245" s="115"/>
    </row>
    <row r="246" spans="1:24" hidden="1" x14ac:dyDescent="0.25">
      <c r="A246" s="114"/>
      <c r="B246" s="115"/>
      <c r="C246" s="114"/>
      <c r="D246" s="115"/>
      <c r="E246" s="114"/>
      <c r="F246" s="115"/>
      <c r="G246" s="112"/>
      <c r="H246" s="113"/>
      <c r="I246" s="112"/>
      <c r="J246" s="113"/>
      <c r="K246" s="112"/>
      <c r="L246" s="113"/>
      <c r="M246" s="112"/>
      <c r="N246" s="113"/>
      <c r="O246" s="112"/>
      <c r="P246" s="113"/>
      <c r="Q246" s="112"/>
      <c r="R246" s="113"/>
      <c r="S246" s="112"/>
      <c r="T246" s="113"/>
      <c r="U246" s="112"/>
      <c r="V246" s="113"/>
      <c r="W246" s="114"/>
      <c r="X246" s="115"/>
    </row>
    <row r="247" spans="1:24" hidden="1" x14ac:dyDescent="0.25">
      <c r="A247" s="114"/>
      <c r="B247" s="115"/>
      <c r="C247" s="114"/>
      <c r="D247" s="115"/>
      <c r="E247" s="114"/>
      <c r="F247" s="115"/>
      <c r="G247" s="112"/>
      <c r="H247" s="113"/>
      <c r="I247" s="112"/>
      <c r="J247" s="113"/>
      <c r="K247" s="112"/>
      <c r="L247" s="113"/>
      <c r="M247" s="112"/>
      <c r="N247" s="113"/>
      <c r="O247" s="112"/>
      <c r="P247" s="113"/>
      <c r="Q247" s="112"/>
      <c r="R247" s="113"/>
      <c r="S247" s="112"/>
      <c r="T247" s="113"/>
      <c r="U247" s="112"/>
      <c r="V247" s="113"/>
      <c r="W247" s="114"/>
      <c r="X247" s="115"/>
    </row>
    <row r="248" spans="1:24" hidden="1" x14ac:dyDescent="0.25">
      <c r="A248" s="114"/>
      <c r="B248" s="115"/>
      <c r="C248" s="114"/>
      <c r="D248" s="115"/>
      <c r="E248" s="114"/>
      <c r="F248" s="115"/>
      <c r="G248" s="112"/>
      <c r="H248" s="113"/>
      <c r="I248" s="112"/>
      <c r="J248" s="113"/>
      <c r="K248" s="112"/>
      <c r="L248" s="113"/>
      <c r="M248" s="112"/>
      <c r="N248" s="113"/>
      <c r="O248" s="112"/>
      <c r="P248" s="113"/>
      <c r="Q248" s="112"/>
      <c r="R248" s="113"/>
      <c r="S248" s="112"/>
      <c r="T248" s="113"/>
      <c r="U248" s="112"/>
      <c r="V248" s="113"/>
      <c r="W248" s="114"/>
      <c r="X248" s="115"/>
    </row>
    <row r="249" spans="1:24" hidden="1" x14ac:dyDescent="0.25">
      <c r="A249" s="114"/>
      <c r="B249" s="115"/>
      <c r="C249" s="114"/>
      <c r="D249" s="115"/>
      <c r="E249" s="114"/>
      <c r="F249" s="115"/>
      <c r="G249" s="112"/>
      <c r="H249" s="113"/>
      <c r="I249" s="112"/>
      <c r="J249" s="113"/>
      <c r="K249" s="112"/>
      <c r="L249" s="113"/>
      <c r="M249" s="112"/>
      <c r="N249" s="113"/>
      <c r="O249" s="112"/>
      <c r="P249" s="113"/>
      <c r="Q249" s="112"/>
      <c r="R249" s="113"/>
      <c r="S249" s="112"/>
      <c r="T249" s="113"/>
      <c r="U249" s="112"/>
      <c r="V249" s="113"/>
      <c r="W249" s="114"/>
      <c r="X249" s="115"/>
    </row>
    <row r="250" spans="1:24" hidden="1" x14ac:dyDescent="0.25">
      <c r="A250" s="114"/>
      <c r="B250" s="115"/>
      <c r="C250" s="114"/>
      <c r="D250" s="115"/>
      <c r="E250" s="114"/>
      <c r="F250" s="115"/>
      <c r="G250" s="112"/>
      <c r="H250" s="113"/>
      <c r="I250" s="112"/>
      <c r="J250" s="113"/>
      <c r="K250" s="112"/>
      <c r="L250" s="113"/>
      <c r="M250" s="112"/>
      <c r="N250" s="113"/>
      <c r="O250" s="112"/>
      <c r="P250" s="113"/>
      <c r="Q250" s="112"/>
      <c r="R250" s="113"/>
      <c r="S250" s="112"/>
      <c r="T250" s="113"/>
      <c r="U250" s="112"/>
      <c r="V250" s="113"/>
      <c r="W250" s="114"/>
      <c r="X250" s="115"/>
    </row>
    <row r="251" spans="1:24" hidden="1" x14ac:dyDescent="0.25">
      <c r="A251" s="114"/>
      <c r="B251" s="115"/>
      <c r="C251" s="114"/>
      <c r="D251" s="115"/>
      <c r="E251" s="114"/>
      <c r="F251" s="115"/>
      <c r="G251" s="112"/>
      <c r="H251" s="113"/>
      <c r="I251" s="112"/>
      <c r="J251" s="113"/>
      <c r="K251" s="112"/>
      <c r="L251" s="113"/>
      <c r="M251" s="112"/>
      <c r="N251" s="113"/>
      <c r="O251" s="112"/>
      <c r="P251" s="113"/>
      <c r="Q251" s="112"/>
      <c r="R251" s="113"/>
      <c r="S251" s="112"/>
      <c r="T251" s="113"/>
      <c r="U251" s="112"/>
      <c r="V251" s="113"/>
      <c r="W251" s="114"/>
      <c r="X251" s="115"/>
    </row>
    <row r="252" spans="1:24" hidden="1" x14ac:dyDescent="0.25">
      <c r="A252" s="114"/>
      <c r="B252" s="115"/>
      <c r="C252" s="114"/>
      <c r="D252" s="115"/>
      <c r="E252" s="114"/>
      <c r="F252" s="115"/>
      <c r="G252" s="112"/>
      <c r="H252" s="113"/>
      <c r="I252" s="112"/>
      <c r="J252" s="113"/>
      <c r="K252" s="112"/>
      <c r="L252" s="113"/>
      <c r="M252" s="112"/>
      <c r="N252" s="113"/>
      <c r="O252" s="112"/>
      <c r="P252" s="113"/>
      <c r="Q252" s="112"/>
      <c r="R252" s="113"/>
      <c r="S252" s="112"/>
      <c r="T252" s="113"/>
      <c r="U252" s="112"/>
      <c r="V252" s="113"/>
      <c r="W252" s="114"/>
      <c r="X252" s="115"/>
    </row>
    <row r="253" spans="1:24" hidden="1" x14ac:dyDescent="0.25">
      <c r="A253" s="114"/>
      <c r="B253" s="115"/>
      <c r="C253" s="114"/>
      <c r="D253" s="115"/>
      <c r="E253" s="114"/>
      <c r="F253" s="115"/>
      <c r="G253" s="112"/>
      <c r="H253" s="113"/>
      <c r="I253" s="112"/>
      <c r="J253" s="113"/>
      <c r="K253" s="112"/>
      <c r="L253" s="113"/>
      <c r="M253" s="112"/>
      <c r="N253" s="113"/>
      <c r="O253" s="112"/>
      <c r="P253" s="113"/>
      <c r="Q253" s="112"/>
      <c r="R253" s="113"/>
      <c r="S253" s="112"/>
      <c r="T253" s="113"/>
      <c r="U253" s="112"/>
      <c r="V253" s="113"/>
      <c r="W253" s="114"/>
      <c r="X253" s="115"/>
    </row>
    <row r="254" spans="1:24" hidden="1" x14ac:dyDescent="0.25">
      <c r="A254" s="114"/>
      <c r="B254" s="115"/>
      <c r="C254" s="114"/>
      <c r="D254" s="115"/>
      <c r="E254" s="114"/>
      <c r="F254" s="115"/>
      <c r="G254" s="112"/>
      <c r="H254" s="113"/>
      <c r="I254" s="112"/>
      <c r="J254" s="113"/>
      <c r="K254" s="112"/>
      <c r="L254" s="113"/>
      <c r="M254" s="112"/>
      <c r="N254" s="113"/>
      <c r="O254" s="112"/>
      <c r="P254" s="113"/>
      <c r="Q254" s="112"/>
      <c r="R254" s="113"/>
      <c r="S254" s="112"/>
      <c r="T254" s="113"/>
      <c r="U254" s="112"/>
      <c r="V254" s="113"/>
      <c r="W254" s="114"/>
      <c r="X254" s="115"/>
    </row>
    <row r="255" spans="1:24" hidden="1" x14ac:dyDescent="0.25">
      <c r="A255" s="114"/>
      <c r="B255" s="115"/>
      <c r="C255" s="114"/>
      <c r="D255" s="115"/>
      <c r="E255" s="114"/>
      <c r="F255" s="115"/>
      <c r="G255" s="112"/>
      <c r="H255" s="113"/>
      <c r="I255" s="112"/>
      <c r="J255" s="113"/>
      <c r="K255" s="112"/>
      <c r="L255" s="113"/>
      <c r="M255" s="112"/>
      <c r="N255" s="113"/>
      <c r="O255" s="112"/>
      <c r="P255" s="113"/>
      <c r="Q255" s="112"/>
      <c r="R255" s="113"/>
      <c r="S255" s="112"/>
      <c r="T255" s="113"/>
      <c r="U255" s="112"/>
      <c r="V255" s="113"/>
      <c r="W255" s="114"/>
      <c r="X255" s="115"/>
    </row>
    <row r="256" spans="1:24" hidden="1" x14ac:dyDescent="0.25">
      <c r="A256" s="114"/>
      <c r="B256" s="115"/>
      <c r="C256" s="114"/>
      <c r="D256" s="115"/>
      <c r="E256" s="114"/>
      <c r="F256" s="115"/>
      <c r="G256" s="112"/>
      <c r="H256" s="113"/>
      <c r="I256" s="112"/>
      <c r="J256" s="113"/>
      <c r="K256" s="112"/>
      <c r="L256" s="113"/>
      <c r="M256" s="112"/>
      <c r="N256" s="113"/>
      <c r="O256" s="112"/>
      <c r="P256" s="113"/>
      <c r="Q256" s="112"/>
      <c r="R256" s="113"/>
      <c r="S256" s="112"/>
      <c r="T256" s="113"/>
      <c r="U256" s="112"/>
      <c r="V256" s="113"/>
      <c r="W256" s="114"/>
      <c r="X256" s="115"/>
    </row>
    <row r="257" spans="1:24" hidden="1" x14ac:dyDescent="0.25">
      <c r="A257" s="114"/>
      <c r="B257" s="115"/>
      <c r="C257" s="114"/>
      <c r="D257" s="115"/>
      <c r="E257" s="114"/>
      <c r="F257" s="115"/>
      <c r="G257" s="112"/>
      <c r="H257" s="113"/>
      <c r="I257" s="112"/>
      <c r="J257" s="113"/>
      <c r="K257" s="112"/>
      <c r="L257" s="113"/>
      <c r="M257" s="112"/>
      <c r="N257" s="113"/>
      <c r="O257" s="112"/>
      <c r="P257" s="113"/>
      <c r="Q257" s="112"/>
      <c r="R257" s="113"/>
      <c r="S257" s="112"/>
      <c r="T257" s="113"/>
      <c r="U257" s="112"/>
      <c r="V257" s="113"/>
      <c r="W257" s="114"/>
      <c r="X257" s="115"/>
    </row>
    <row r="258" spans="1:24" hidden="1" x14ac:dyDescent="0.25">
      <c r="A258" s="114"/>
      <c r="B258" s="115"/>
      <c r="C258" s="114"/>
      <c r="D258" s="115"/>
      <c r="E258" s="114"/>
      <c r="F258" s="115"/>
      <c r="G258" s="112"/>
      <c r="H258" s="113"/>
      <c r="I258" s="112"/>
      <c r="J258" s="113"/>
      <c r="K258" s="112"/>
      <c r="L258" s="113"/>
      <c r="M258" s="112"/>
      <c r="N258" s="113"/>
      <c r="O258" s="112"/>
      <c r="P258" s="113"/>
      <c r="Q258" s="112"/>
      <c r="R258" s="113"/>
      <c r="S258" s="112"/>
      <c r="T258" s="113"/>
      <c r="U258" s="112"/>
      <c r="V258" s="113"/>
      <c r="W258" s="114"/>
      <c r="X258" s="115"/>
    </row>
    <row r="259" spans="1:24" hidden="1" x14ac:dyDescent="0.25">
      <c r="A259" s="114"/>
      <c r="B259" s="115"/>
      <c r="C259" s="114"/>
      <c r="D259" s="115"/>
      <c r="E259" s="114"/>
      <c r="F259" s="115"/>
      <c r="G259" s="112"/>
      <c r="H259" s="113"/>
      <c r="I259" s="112"/>
      <c r="J259" s="113"/>
      <c r="K259" s="112"/>
      <c r="L259" s="113"/>
      <c r="M259" s="112"/>
      <c r="N259" s="113"/>
      <c r="O259" s="112"/>
      <c r="P259" s="113"/>
      <c r="Q259" s="112"/>
      <c r="R259" s="113"/>
      <c r="S259" s="112"/>
      <c r="T259" s="113"/>
      <c r="U259" s="112"/>
      <c r="V259" s="113"/>
      <c r="W259" s="114"/>
      <c r="X259" s="115"/>
    </row>
    <row r="260" spans="1:24" hidden="1" x14ac:dyDescent="0.25">
      <c r="A260" s="114"/>
      <c r="B260" s="115"/>
      <c r="C260" s="114"/>
      <c r="D260" s="115"/>
      <c r="E260" s="114"/>
      <c r="F260" s="115"/>
      <c r="G260" s="112"/>
      <c r="H260" s="113"/>
      <c r="I260" s="112"/>
      <c r="J260" s="113"/>
      <c r="K260" s="112"/>
      <c r="L260" s="113"/>
      <c r="M260" s="112"/>
      <c r="N260" s="113"/>
      <c r="O260" s="112"/>
      <c r="P260" s="113"/>
      <c r="Q260" s="112"/>
      <c r="R260" s="113"/>
      <c r="S260" s="112"/>
      <c r="T260" s="113"/>
      <c r="U260" s="112"/>
      <c r="V260" s="113"/>
      <c r="W260" s="114"/>
      <c r="X260" s="115"/>
    </row>
    <row r="261" spans="1:24" hidden="1" x14ac:dyDescent="0.25">
      <c r="A261" s="114"/>
      <c r="B261" s="115"/>
      <c r="C261" s="114"/>
      <c r="D261" s="115"/>
      <c r="E261" s="114"/>
      <c r="F261" s="115"/>
      <c r="G261" s="112"/>
      <c r="H261" s="113"/>
      <c r="I261" s="112"/>
      <c r="J261" s="113"/>
      <c r="K261" s="112"/>
      <c r="L261" s="113"/>
      <c r="M261" s="112"/>
      <c r="N261" s="113"/>
      <c r="O261" s="112"/>
      <c r="P261" s="113"/>
      <c r="Q261" s="112"/>
      <c r="R261" s="113"/>
      <c r="S261" s="112"/>
      <c r="T261" s="113"/>
      <c r="U261" s="112"/>
      <c r="V261" s="113"/>
      <c r="W261" s="114"/>
      <c r="X261" s="115"/>
    </row>
    <row r="262" spans="1:24" hidden="1" x14ac:dyDescent="0.25">
      <c r="A262" s="114"/>
      <c r="B262" s="115"/>
      <c r="C262" s="114"/>
      <c r="D262" s="115"/>
      <c r="E262" s="114"/>
      <c r="F262" s="115"/>
      <c r="G262" s="112"/>
      <c r="H262" s="113"/>
      <c r="I262" s="112"/>
      <c r="J262" s="113"/>
      <c r="K262" s="112"/>
      <c r="L262" s="113"/>
      <c r="M262" s="112"/>
      <c r="N262" s="113"/>
      <c r="O262" s="112"/>
      <c r="P262" s="113"/>
      <c r="Q262" s="112"/>
      <c r="R262" s="113"/>
      <c r="S262" s="112"/>
      <c r="T262" s="113"/>
      <c r="U262" s="112"/>
      <c r="V262" s="113"/>
      <c r="W262" s="114"/>
      <c r="X262" s="115"/>
    </row>
    <row r="263" spans="1:24" hidden="1" x14ac:dyDescent="0.25">
      <c r="A263" s="114"/>
      <c r="B263" s="115"/>
      <c r="C263" s="114"/>
      <c r="D263" s="115"/>
      <c r="E263" s="114"/>
      <c r="F263" s="115"/>
      <c r="G263" s="112"/>
      <c r="H263" s="113"/>
      <c r="I263" s="112"/>
      <c r="J263" s="113"/>
      <c r="K263" s="112"/>
      <c r="L263" s="113"/>
      <c r="M263" s="112"/>
      <c r="N263" s="113"/>
      <c r="O263" s="112"/>
      <c r="P263" s="113"/>
      <c r="Q263" s="112"/>
      <c r="R263" s="113"/>
      <c r="S263" s="112"/>
      <c r="T263" s="113"/>
      <c r="U263" s="112"/>
      <c r="V263" s="113"/>
      <c r="W263" s="114"/>
      <c r="X263" s="115"/>
    </row>
    <row r="264" spans="1:24" hidden="1" x14ac:dyDescent="0.25">
      <c r="A264" s="114"/>
      <c r="B264" s="115"/>
      <c r="C264" s="114"/>
      <c r="D264" s="115"/>
      <c r="E264" s="114"/>
      <c r="F264" s="115"/>
      <c r="G264" s="112"/>
      <c r="H264" s="113"/>
      <c r="I264" s="112"/>
      <c r="J264" s="113"/>
      <c r="K264" s="112"/>
      <c r="L264" s="113"/>
      <c r="M264" s="112"/>
      <c r="N264" s="113"/>
      <c r="O264" s="112"/>
      <c r="P264" s="113"/>
      <c r="Q264" s="112"/>
      <c r="R264" s="113"/>
      <c r="S264" s="112"/>
      <c r="T264" s="113"/>
      <c r="U264" s="112"/>
      <c r="V264" s="113"/>
      <c r="W264" s="114"/>
      <c r="X264" s="115"/>
    </row>
    <row r="265" spans="1:24" hidden="1" x14ac:dyDescent="0.25">
      <c r="A265" s="114"/>
      <c r="B265" s="115"/>
      <c r="C265" s="114"/>
      <c r="D265" s="115"/>
      <c r="E265" s="114"/>
      <c r="F265" s="115"/>
      <c r="G265" s="112"/>
      <c r="H265" s="113"/>
      <c r="I265" s="112"/>
      <c r="J265" s="113"/>
      <c r="K265" s="112"/>
      <c r="L265" s="113"/>
      <c r="M265" s="112"/>
      <c r="N265" s="113"/>
      <c r="O265" s="112"/>
      <c r="P265" s="113"/>
      <c r="Q265" s="112"/>
      <c r="R265" s="113"/>
      <c r="S265" s="112"/>
      <c r="T265" s="113"/>
      <c r="U265" s="112"/>
      <c r="V265" s="113"/>
      <c r="W265" s="114"/>
      <c r="X265" s="115"/>
    </row>
    <row r="266" spans="1:24" hidden="1" x14ac:dyDescent="0.25">
      <c r="A266" s="114"/>
      <c r="B266" s="115"/>
      <c r="C266" s="114"/>
      <c r="D266" s="115"/>
      <c r="E266" s="114"/>
      <c r="F266" s="115"/>
      <c r="G266" s="112"/>
      <c r="H266" s="113"/>
      <c r="I266" s="112"/>
      <c r="J266" s="113"/>
      <c r="K266" s="112"/>
      <c r="L266" s="113"/>
      <c r="M266" s="112"/>
      <c r="N266" s="113"/>
      <c r="O266" s="112"/>
      <c r="P266" s="113"/>
      <c r="Q266" s="112"/>
      <c r="R266" s="113"/>
      <c r="S266" s="112"/>
      <c r="T266" s="113"/>
      <c r="U266" s="112"/>
      <c r="V266" s="113"/>
      <c r="W266" s="114"/>
      <c r="X266" s="115"/>
    </row>
    <row r="267" spans="1:24" hidden="1" x14ac:dyDescent="0.25">
      <c r="A267" s="114"/>
      <c r="B267" s="115"/>
      <c r="C267" s="114"/>
      <c r="D267" s="115"/>
      <c r="E267" s="114"/>
      <c r="F267" s="115"/>
      <c r="G267" s="112"/>
      <c r="H267" s="113"/>
      <c r="I267" s="112"/>
      <c r="J267" s="113"/>
      <c r="K267" s="112"/>
      <c r="L267" s="113"/>
      <c r="M267" s="112"/>
      <c r="N267" s="113"/>
      <c r="O267" s="112"/>
      <c r="P267" s="113"/>
      <c r="Q267" s="112"/>
      <c r="R267" s="113"/>
      <c r="S267" s="112"/>
      <c r="T267" s="113"/>
      <c r="U267" s="112"/>
      <c r="V267" s="113"/>
      <c r="W267" s="114"/>
      <c r="X267" s="115"/>
    </row>
    <row r="268" spans="1:24" hidden="1" x14ac:dyDescent="0.25">
      <c r="A268" s="114"/>
      <c r="B268" s="115"/>
      <c r="C268" s="114"/>
      <c r="D268" s="115"/>
      <c r="E268" s="114"/>
      <c r="F268" s="115"/>
      <c r="G268" s="112"/>
      <c r="H268" s="113"/>
      <c r="I268" s="112"/>
      <c r="J268" s="113"/>
      <c r="K268" s="112"/>
      <c r="L268" s="113"/>
      <c r="M268" s="112"/>
      <c r="N268" s="113"/>
      <c r="O268" s="112"/>
      <c r="P268" s="113"/>
      <c r="Q268" s="112"/>
      <c r="R268" s="113"/>
      <c r="S268" s="112"/>
      <c r="T268" s="113"/>
      <c r="U268" s="112"/>
      <c r="V268" s="113"/>
      <c r="W268" s="114"/>
      <c r="X268" s="115"/>
    </row>
    <row r="269" spans="1:24" hidden="1" x14ac:dyDescent="0.25">
      <c r="A269" s="114"/>
      <c r="B269" s="115"/>
      <c r="C269" s="114"/>
      <c r="D269" s="115"/>
      <c r="E269" s="114"/>
      <c r="F269" s="115"/>
      <c r="G269" s="112"/>
      <c r="H269" s="113"/>
      <c r="I269" s="112"/>
      <c r="J269" s="113"/>
      <c r="K269" s="112"/>
      <c r="L269" s="113"/>
      <c r="M269" s="112"/>
      <c r="N269" s="113"/>
      <c r="O269" s="112"/>
      <c r="P269" s="113"/>
      <c r="Q269" s="112"/>
      <c r="R269" s="113"/>
      <c r="S269" s="112"/>
      <c r="T269" s="113"/>
      <c r="U269" s="112"/>
      <c r="V269" s="113"/>
      <c r="W269" s="114"/>
      <c r="X269" s="115"/>
    </row>
    <row r="270" spans="1:24" hidden="1" x14ac:dyDescent="0.25">
      <c r="A270" s="114"/>
      <c r="B270" s="115"/>
      <c r="C270" s="114"/>
      <c r="D270" s="115"/>
      <c r="E270" s="114"/>
      <c r="F270" s="115"/>
      <c r="G270" s="112"/>
      <c r="H270" s="113"/>
      <c r="I270" s="112"/>
      <c r="J270" s="113"/>
      <c r="K270" s="112"/>
      <c r="L270" s="113"/>
      <c r="M270" s="112"/>
      <c r="N270" s="113"/>
      <c r="O270" s="112"/>
      <c r="P270" s="113"/>
      <c r="Q270" s="112"/>
      <c r="R270" s="113"/>
      <c r="S270" s="112"/>
      <c r="T270" s="113"/>
      <c r="U270" s="112"/>
      <c r="V270" s="113"/>
      <c r="W270" s="114"/>
      <c r="X270" s="115"/>
    </row>
    <row r="271" spans="1:24" hidden="1" x14ac:dyDescent="0.25">
      <c r="A271" s="114"/>
      <c r="B271" s="115"/>
      <c r="C271" s="114"/>
      <c r="D271" s="115"/>
      <c r="E271" s="114"/>
      <c r="F271" s="115"/>
      <c r="G271" s="112"/>
      <c r="H271" s="113"/>
      <c r="I271" s="112"/>
      <c r="J271" s="113"/>
      <c r="K271" s="112"/>
      <c r="L271" s="113"/>
      <c r="M271" s="112"/>
      <c r="N271" s="113"/>
      <c r="O271" s="112"/>
      <c r="P271" s="113"/>
      <c r="Q271" s="112"/>
      <c r="R271" s="113"/>
      <c r="S271" s="112"/>
      <c r="T271" s="113"/>
      <c r="U271" s="112"/>
      <c r="V271" s="113"/>
      <c r="W271" s="114"/>
      <c r="X271" s="115"/>
    </row>
    <row r="272" spans="1:24" hidden="1" x14ac:dyDescent="0.25">
      <c r="A272" s="114"/>
      <c r="B272" s="115"/>
      <c r="C272" s="114"/>
      <c r="D272" s="115"/>
      <c r="E272" s="114"/>
      <c r="F272" s="115"/>
      <c r="G272" s="112"/>
      <c r="H272" s="113"/>
      <c r="I272" s="112"/>
      <c r="J272" s="113"/>
      <c r="K272" s="112"/>
      <c r="L272" s="113"/>
      <c r="M272" s="112"/>
      <c r="N272" s="113"/>
      <c r="O272" s="112"/>
      <c r="P272" s="113"/>
      <c r="Q272" s="112"/>
      <c r="R272" s="113"/>
      <c r="S272" s="112"/>
      <c r="T272" s="113"/>
      <c r="U272" s="112"/>
      <c r="V272" s="113"/>
      <c r="W272" s="114"/>
      <c r="X272" s="115"/>
    </row>
    <row r="273" spans="1:24" hidden="1" x14ac:dyDescent="0.25">
      <c r="A273" s="114"/>
      <c r="B273" s="115"/>
      <c r="C273" s="114"/>
      <c r="D273" s="115"/>
      <c r="E273" s="114"/>
      <c r="F273" s="115"/>
      <c r="G273" s="112"/>
      <c r="H273" s="113"/>
      <c r="I273" s="112"/>
      <c r="J273" s="113"/>
      <c r="K273" s="112"/>
      <c r="L273" s="113"/>
      <c r="M273" s="112"/>
      <c r="N273" s="113"/>
      <c r="O273" s="112"/>
      <c r="P273" s="113"/>
      <c r="Q273" s="112"/>
      <c r="R273" s="113"/>
      <c r="S273" s="112"/>
      <c r="T273" s="113"/>
      <c r="U273" s="112"/>
      <c r="V273" s="113"/>
      <c r="W273" s="114"/>
      <c r="X273" s="115"/>
    </row>
    <row r="274" spans="1:24" hidden="1" x14ac:dyDescent="0.25">
      <c r="A274" s="114"/>
      <c r="B274" s="115"/>
      <c r="C274" s="114"/>
      <c r="D274" s="115"/>
      <c r="E274" s="114"/>
      <c r="F274" s="115"/>
      <c r="G274" s="112"/>
      <c r="H274" s="113"/>
      <c r="I274" s="112"/>
      <c r="J274" s="113"/>
      <c r="K274" s="112"/>
      <c r="L274" s="113"/>
      <c r="M274" s="112"/>
      <c r="N274" s="113"/>
      <c r="O274" s="112"/>
      <c r="P274" s="113"/>
      <c r="Q274" s="112"/>
      <c r="R274" s="113"/>
      <c r="S274" s="112"/>
      <c r="T274" s="113"/>
      <c r="U274" s="112"/>
      <c r="V274" s="113"/>
      <c r="W274" s="114"/>
      <c r="X274" s="115"/>
    </row>
    <row r="275" spans="1:24" hidden="1" x14ac:dyDescent="0.25">
      <c r="A275" s="114"/>
      <c r="B275" s="115"/>
      <c r="C275" s="114"/>
      <c r="D275" s="115"/>
      <c r="E275" s="114"/>
      <c r="F275" s="115"/>
      <c r="G275" s="112"/>
      <c r="H275" s="113"/>
      <c r="I275" s="112"/>
      <c r="J275" s="113"/>
      <c r="K275" s="112"/>
      <c r="L275" s="113"/>
      <c r="M275" s="112"/>
      <c r="N275" s="113"/>
      <c r="O275" s="112"/>
      <c r="P275" s="113"/>
      <c r="Q275" s="112"/>
      <c r="R275" s="113"/>
      <c r="S275" s="112"/>
      <c r="T275" s="113"/>
      <c r="U275" s="112"/>
      <c r="V275" s="113"/>
      <c r="W275" s="114"/>
      <c r="X275" s="115"/>
    </row>
    <row r="276" spans="1:24" hidden="1" x14ac:dyDescent="0.25">
      <c r="A276" s="114"/>
      <c r="B276" s="115"/>
      <c r="C276" s="114"/>
      <c r="D276" s="115"/>
      <c r="E276" s="114"/>
      <c r="F276" s="115"/>
      <c r="G276" s="112"/>
      <c r="H276" s="113"/>
      <c r="I276" s="112"/>
      <c r="J276" s="113"/>
      <c r="K276" s="112"/>
      <c r="L276" s="113"/>
      <c r="M276" s="112"/>
      <c r="N276" s="113"/>
      <c r="O276" s="112"/>
      <c r="P276" s="113"/>
      <c r="Q276" s="112"/>
      <c r="R276" s="113"/>
      <c r="S276" s="112"/>
      <c r="T276" s="113"/>
      <c r="U276" s="112"/>
      <c r="V276" s="113"/>
      <c r="W276" s="114"/>
      <c r="X276" s="115"/>
    </row>
    <row r="277" spans="1:24" hidden="1" x14ac:dyDescent="0.25">
      <c r="A277" s="114"/>
      <c r="B277" s="115"/>
      <c r="C277" s="114"/>
      <c r="D277" s="115"/>
      <c r="E277" s="114"/>
      <c r="F277" s="115"/>
      <c r="G277" s="112"/>
      <c r="H277" s="113"/>
      <c r="I277" s="112"/>
      <c r="J277" s="113"/>
      <c r="K277" s="112"/>
      <c r="L277" s="113"/>
      <c r="M277" s="112"/>
      <c r="N277" s="113"/>
      <c r="O277" s="112"/>
      <c r="P277" s="113"/>
      <c r="Q277" s="112"/>
      <c r="R277" s="113"/>
      <c r="S277" s="112"/>
      <c r="T277" s="113"/>
      <c r="U277" s="112"/>
      <c r="V277" s="113"/>
      <c r="W277" s="114"/>
      <c r="X277" s="115"/>
    </row>
    <row r="278" spans="1:24" hidden="1" x14ac:dyDescent="0.25">
      <c r="A278" s="114"/>
      <c r="B278" s="115"/>
      <c r="C278" s="114"/>
      <c r="D278" s="115"/>
      <c r="E278" s="114"/>
      <c r="F278" s="115"/>
      <c r="G278" s="112"/>
      <c r="H278" s="113"/>
      <c r="I278" s="112"/>
      <c r="J278" s="113"/>
      <c r="K278" s="112"/>
      <c r="L278" s="113"/>
      <c r="M278" s="112"/>
      <c r="N278" s="113"/>
      <c r="O278" s="112"/>
      <c r="P278" s="113"/>
      <c r="Q278" s="112"/>
      <c r="R278" s="113"/>
      <c r="S278" s="112"/>
      <c r="T278" s="113"/>
      <c r="U278" s="112"/>
      <c r="V278" s="113"/>
      <c r="W278" s="114"/>
      <c r="X278" s="115"/>
    </row>
    <row r="279" spans="1:24" hidden="1" x14ac:dyDescent="0.25">
      <c r="A279" s="114"/>
      <c r="B279" s="115"/>
      <c r="C279" s="114"/>
      <c r="D279" s="115"/>
      <c r="E279" s="114"/>
      <c r="F279" s="115"/>
      <c r="G279" s="112"/>
      <c r="H279" s="113"/>
      <c r="I279" s="112"/>
      <c r="J279" s="113"/>
      <c r="K279" s="112"/>
      <c r="L279" s="113"/>
      <c r="M279" s="112"/>
      <c r="N279" s="113"/>
      <c r="O279" s="112"/>
      <c r="P279" s="113"/>
      <c r="Q279" s="112"/>
      <c r="R279" s="113"/>
      <c r="S279" s="112"/>
      <c r="T279" s="113"/>
      <c r="U279" s="112"/>
      <c r="V279" s="113"/>
      <c r="W279" s="114"/>
      <c r="X279" s="115"/>
    </row>
    <row r="280" spans="1:24" hidden="1" x14ac:dyDescent="0.25">
      <c r="A280" s="114"/>
      <c r="B280" s="115"/>
      <c r="C280" s="114"/>
      <c r="D280" s="115"/>
      <c r="E280" s="114"/>
      <c r="F280" s="115"/>
      <c r="G280" s="112"/>
      <c r="H280" s="113"/>
      <c r="I280" s="112"/>
      <c r="J280" s="113"/>
      <c r="K280" s="112"/>
      <c r="L280" s="113"/>
      <c r="M280" s="112"/>
      <c r="N280" s="113"/>
      <c r="O280" s="112"/>
      <c r="P280" s="113"/>
      <c r="Q280" s="112"/>
      <c r="R280" s="113"/>
      <c r="S280" s="112"/>
      <c r="T280" s="113"/>
      <c r="U280" s="112"/>
      <c r="V280" s="113"/>
      <c r="W280" s="114"/>
      <c r="X280" s="115"/>
    </row>
    <row r="281" spans="1:24" hidden="1" x14ac:dyDescent="0.25">
      <c r="A281" s="114"/>
      <c r="B281" s="115"/>
      <c r="C281" s="114"/>
      <c r="D281" s="115"/>
      <c r="E281" s="114"/>
      <c r="F281" s="115"/>
      <c r="G281" s="112"/>
      <c r="H281" s="113"/>
      <c r="I281" s="112"/>
      <c r="J281" s="113"/>
      <c r="K281" s="112"/>
      <c r="L281" s="113"/>
      <c r="M281" s="112"/>
      <c r="N281" s="113"/>
      <c r="O281" s="112"/>
      <c r="P281" s="113"/>
      <c r="Q281" s="112"/>
      <c r="R281" s="113"/>
      <c r="S281" s="112"/>
      <c r="T281" s="113"/>
      <c r="U281" s="112"/>
      <c r="V281" s="113"/>
      <c r="W281" s="114"/>
      <c r="X281" s="115"/>
    </row>
    <row r="282" spans="1:24" hidden="1" x14ac:dyDescent="0.25">
      <c r="A282" s="114"/>
      <c r="B282" s="115"/>
      <c r="C282" s="114"/>
      <c r="D282" s="115"/>
      <c r="E282" s="114"/>
      <c r="F282" s="115"/>
      <c r="G282" s="112"/>
      <c r="H282" s="113"/>
      <c r="I282" s="112"/>
      <c r="J282" s="113"/>
      <c r="K282" s="112"/>
      <c r="L282" s="113"/>
      <c r="M282" s="112"/>
      <c r="N282" s="113"/>
      <c r="O282" s="112"/>
      <c r="P282" s="113"/>
      <c r="Q282" s="112"/>
      <c r="R282" s="113"/>
      <c r="S282" s="112"/>
      <c r="T282" s="113"/>
      <c r="U282" s="112"/>
      <c r="V282" s="113"/>
      <c r="W282" s="114"/>
      <c r="X282" s="115"/>
    </row>
    <row r="283" spans="1:24" hidden="1" x14ac:dyDescent="0.25">
      <c r="A283" s="114"/>
      <c r="B283" s="115"/>
      <c r="C283" s="114"/>
      <c r="D283" s="115"/>
      <c r="E283" s="114"/>
      <c r="F283" s="115"/>
      <c r="G283" s="112"/>
      <c r="H283" s="113"/>
      <c r="I283" s="112"/>
      <c r="J283" s="113"/>
      <c r="K283" s="112"/>
      <c r="L283" s="113"/>
      <c r="M283" s="112"/>
      <c r="N283" s="113"/>
      <c r="O283" s="112"/>
      <c r="P283" s="113"/>
      <c r="Q283" s="112"/>
      <c r="R283" s="113"/>
      <c r="S283" s="112"/>
      <c r="T283" s="113"/>
      <c r="U283" s="112"/>
      <c r="V283" s="113"/>
      <c r="W283" s="114"/>
      <c r="X283" s="115"/>
    </row>
    <row r="284" spans="1:24" hidden="1" x14ac:dyDescent="0.25">
      <c r="A284" s="114"/>
      <c r="B284" s="115"/>
      <c r="C284" s="114"/>
      <c r="D284" s="115"/>
      <c r="E284" s="114"/>
      <c r="F284" s="115"/>
      <c r="G284" s="112"/>
      <c r="H284" s="113"/>
      <c r="I284" s="112"/>
      <c r="J284" s="113"/>
      <c r="K284" s="112"/>
      <c r="L284" s="113"/>
      <c r="M284" s="112"/>
      <c r="N284" s="113"/>
      <c r="O284" s="112"/>
      <c r="P284" s="113"/>
      <c r="Q284" s="112"/>
      <c r="R284" s="113"/>
      <c r="S284" s="112"/>
      <c r="T284" s="113"/>
      <c r="U284" s="112"/>
      <c r="V284" s="113"/>
      <c r="W284" s="114"/>
      <c r="X284" s="115"/>
    </row>
    <row r="285" spans="1:24" hidden="1" x14ac:dyDescent="0.25">
      <c r="A285" s="114"/>
      <c r="B285" s="115"/>
      <c r="C285" s="114"/>
      <c r="D285" s="115"/>
      <c r="E285" s="114"/>
      <c r="F285" s="115"/>
      <c r="G285" s="112"/>
      <c r="H285" s="113"/>
      <c r="I285" s="112"/>
      <c r="J285" s="113"/>
      <c r="K285" s="112"/>
      <c r="L285" s="113"/>
      <c r="M285" s="112"/>
      <c r="N285" s="113"/>
      <c r="O285" s="112"/>
      <c r="P285" s="113"/>
      <c r="Q285" s="112"/>
      <c r="R285" s="113"/>
      <c r="S285" s="112"/>
      <c r="T285" s="113"/>
      <c r="U285" s="112"/>
      <c r="V285" s="113"/>
      <c r="W285" s="114"/>
      <c r="X285" s="115"/>
    </row>
    <row r="286" spans="1:24" hidden="1" x14ac:dyDescent="0.25">
      <c r="A286" s="114"/>
      <c r="B286" s="115"/>
      <c r="C286" s="114"/>
      <c r="D286" s="115"/>
      <c r="E286" s="114"/>
      <c r="F286" s="115"/>
      <c r="G286" s="112"/>
      <c r="H286" s="113"/>
      <c r="I286" s="112"/>
      <c r="J286" s="113"/>
      <c r="K286" s="112"/>
      <c r="L286" s="113"/>
      <c r="M286" s="112"/>
      <c r="N286" s="113"/>
      <c r="O286" s="112"/>
      <c r="P286" s="113"/>
      <c r="Q286" s="112"/>
      <c r="R286" s="113"/>
      <c r="S286" s="112"/>
      <c r="T286" s="113"/>
      <c r="U286" s="112"/>
      <c r="V286" s="113"/>
      <c r="W286" s="114"/>
      <c r="X286" s="115"/>
    </row>
    <row r="287" spans="1:24" hidden="1" x14ac:dyDescent="0.25">
      <c r="A287" s="114"/>
      <c r="B287" s="115"/>
      <c r="C287" s="114"/>
      <c r="D287" s="115"/>
      <c r="E287" s="114"/>
      <c r="F287" s="115"/>
      <c r="G287" s="112"/>
      <c r="H287" s="113"/>
      <c r="I287" s="112"/>
      <c r="J287" s="113"/>
      <c r="K287" s="112"/>
      <c r="L287" s="113"/>
      <c r="M287" s="112"/>
      <c r="N287" s="113"/>
      <c r="O287" s="112"/>
      <c r="P287" s="113"/>
      <c r="Q287" s="112"/>
      <c r="R287" s="113"/>
      <c r="S287" s="112"/>
      <c r="T287" s="113"/>
      <c r="U287" s="112"/>
      <c r="V287" s="113"/>
      <c r="W287" s="114"/>
      <c r="X287" s="115"/>
    </row>
    <row r="288" spans="1:24" hidden="1" x14ac:dyDescent="0.25">
      <c r="A288" s="114"/>
      <c r="B288" s="115"/>
      <c r="C288" s="114"/>
      <c r="D288" s="115"/>
      <c r="E288" s="114"/>
      <c r="F288" s="115"/>
      <c r="G288" s="112"/>
      <c r="H288" s="113"/>
      <c r="I288" s="112"/>
      <c r="J288" s="113"/>
      <c r="K288" s="112"/>
      <c r="L288" s="113"/>
      <c r="M288" s="112"/>
      <c r="N288" s="113"/>
      <c r="O288" s="112"/>
      <c r="P288" s="113"/>
      <c r="Q288" s="112"/>
      <c r="R288" s="113"/>
      <c r="S288" s="112"/>
      <c r="T288" s="113"/>
      <c r="U288" s="112"/>
      <c r="V288" s="113"/>
      <c r="W288" s="114"/>
      <c r="X288" s="115"/>
    </row>
    <row r="289" spans="1:24" hidden="1" x14ac:dyDescent="0.25">
      <c r="A289" s="114"/>
      <c r="B289" s="115"/>
      <c r="C289" s="114"/>
      <c r="D289" s="115"/>
      <c r="E289" s="114"/>
      <c r="F289" s="115"/>
      <c r="G289" s="112"/>
      <c r="H289" s="113"/>
      <c r="I289" s="112"/>
      <c r="J289" s="113"/>
      <c r="K289" s="112"/>
      <c r="L289" s="113"/>
      <c r="M289" s="112"/>
      <c r="N289" s="113"/>
      <c r="O289" s="112"/>
      <c r="P289" s="113"/>
      <c r="Q289" s="112"/>
      <c r="R289" s="113"/>
      <c r="S289" s="112"/>
      <c r="T289" s="113"/>
      <c r="U289" s="112"/>
      <c r="V289" s="113"/>
      <c r="W289" s="114"/>
      <c r="X289" s="115"/>
    </row>
    <row r="290" spans="1:24" hidden="1" x14ac:dyDescent="0.25">
      <c r="A290" s="114"/>
      <c r="B290" s="115"/>
      <c r="C290" s="114"/>
      <c r="D290" s="115"/>
      <c r="E290" s="114"/>
      <c r="F290" s="115"/>
      <c r="G290" s="112"/>
      <c r="H290" s="113"/>
      <c r="I290" s="112"/>
      <c r="J290" s="113"/>
      <c r="K290" s="112"/>
      <c r="L290" s="113"/>
      <c r="M290" s="112"/>
      <c r="N290" s="113"/>
      <c r="O290" s="112"/>
      <c r="P290" s="113"/>
      <c r="Q290" s="112"/>
      <c r="R290" s="113"/>
      <c r="S290" s="112"/>
      <c r="T290" s="113"/>
      <c r="U290" s="112"/>
      <c r="V290" s="113"/>
      <c r="W290" s="114"/>
      <c r="X290" s="115"/>
    </row>
    <row r="291" spans="1:24" hidden="1" x14ac:dyDescent="0.25">
      <c r="A291" s="114"/>
      <c r="B291" s="115"/>
      <c r="C291" s="114"/>
      <c r="D291" s="115"/>
      <c r="E291" s="114"/>
      <c r="F291" s="115"/>
      <c r="G291" s="112"/>
      <c r="H291" s="113"/>
      <c r="I291" s="112"/>
      <c r="J291" s="113"/>
      <c r="K291" s="112"/>
      <c r="L291" s="113"/>
      <c r="M291" s="112"/>
      <c r="N291" s="113"/>
      <c r="O291" s="112"/>
      <c r="P291" s="113"/>
      <c r="Q291" s="112"/>
      <c r="R291" s="113"/>
      <c r="S291" s="112"/>
      <c r="T291" s="113"/>
      <c r="U291" s="112"/>
      <c r="V291" s="113"/>
      <c r="W291" s="114"/>
      <c r="X291" s="115"/>
    </row>
    <row r="292" spans="1:24" hidden="1" x14ac:dyDescent="0.25">
      <c r="A292" s="114"/>
      <c r="B292" s="115"/>
      <c r="C292" s="114"/>
      <c r="D292" s="115"/>
      <c r="E292" s="114"/>
      <c r="F292" s="115"/>
      <c r="G292" s="112"/>
      <c r="H292" s="113"/>
      <c r="I292" s="112"/>
      <c r="J292" s="113"/>
      <c r="K292" s="112"/>
      <c r="L292" s="113"/>
      <c r="M292" s="112"/>
      <c r="N292" s="113"/>
      <c r="O292" s="112"/>
      <c r="P292" s="113"/>
      <c r="Q292" s="112"/>
      <c r="R292" s="113"/>
      <c r="S292" s="112"/>
      <c r="T292" s="113"/>
      <c r="U292" s="112"/>
      <c r="V292" s="113"/>
      <c r="W292" s="114"/>
      <c r="X292" s="115"/>
    </row>
    <row r="293" spans="1:24" hidden="1" x14ac:dyDescent="0.25">
      <c r="A293" s="114"/>
      <c r="B293" s="115"/>
      <c r="C293" s="114"/>
      <c r="D293" s="115"/>
      <c r="E293" s="114"/>
      <c r="F293" s="115"/>
      <c r="G293" s="112"/>
      <c r="H293" s="113"/>
      <c r="I293" s="112"/>
      <c r="J293" s="113"/>
      <c r="K293" s="112"/>
      <c r="L293" s="113"/>
      <c r="M293" s="112"/>
      <c r="N293" s="113"/>
      <c r="O293" s="112"/>
      <c r="P293" s="113"/>
      <c r="Q293" s="112"/>
      <c r="R293" s="113"/>
      <c r="S293" s="112"/>
      <c r="T293" s="113"/>
      <c r="U293" s="112"/>
      <c r="V293" s="113"/>
      <c r="W293" s="114"/>
      <c r="X293" s="115"/>
    </row>
    <row r="294" spans="1:24" hidden="1" x14ac:dyDescent="0.25">
      <c r="A294" s="114"/>
      <c r="B294" s="115"/>
      <c r="C294" s="114"/>
      <c r="D294" s="115"/>
      <c r="E294" s="114"/>
      <c r="F294" s="115"/>
      <c r="G294" s="112"/>
      <c r="H294" s="113"/>
      <c r="I294" s="112"/>
      <c r="J294" s="113"/>
      <c r="K294" s="112"/>
      <c r="L294" s="113"/>
      <c r="M294" s="112"/>
      <c r="N294" s="113"/>
      <c r="O294" s="112"/>
      <c r="P294" s="113"/>
      <c r="Q294" s="112"/>
      <c r="R294" s="113"/>
      <c r="S294" s="112"/>
      <c r="T294" s="113"/>
      <c r="U294" s="112"/>
      <c r="V294" s="113"/>
      <c r="W294" s="114"/>
      <c r="X294" s="115"/>
    </row>
    <row r="295" spans="1:24" hidden="1" x14ac:dyDescent="0.25">
      <c r="A295" s="114"/>
      <c r="B295" s="115"/>
      <c r="C295" s="114"/>
      <c r="D295" s="115"/>
      <c r="E295" s="114"/>
      <c r="F295" s="115"/>
      <c r="G295" s="112"/>
      <c r="H295" s="113"/>
      <c r="I295" s="112"/>
      <c r="J295" s="113"/>
      <c r="K295" s="112"/>
      <c r="L295" s="113"/>
      <c r="M295" s="112"/>
      <c r="N295" s="113"/>
      <c r="O295" s="112"/>
      <c r="P295" s="113"/>
      <c r="Q295" s="112"/>
      <c r="R295" s="113"/>
      <c r="S295" s="112"/>
      <c r="T295" s="113"/>
      <c r="U295" s="112"/>
      <c r="V295" s="113"/>
      <c r="W295" s="114"/>
      <c r="X295" s="115"/>
    </row>
    <row r="296" spans="1:24" hidden="1" x14ac:dyDescent="0.25">
      <c r="A296" s="114"/>
      <c r="B296" s="115"/>
      <c r="C296" s="114"/>
      <c r="D296" s="115"/>
      <c r="E296" s="114"/>
      <c r="F296" s="115"/>
      <c r="G296" s="112"/>
      <c r="H296" s="113"/>
      <c r="I296" s="112"/>
      <c r="J296" s="113"/>
      <c r="K296" s="112"/>
      <c r="L296" s="113"/>
      <c r="M296" s="112"/>
      <c r="N296" s="113"/>
      <c r="O296" s="112"/>
      <c r="P296" s="113"/>
      <c r="Q296" s="112"/>
      <c r="R296" s="113"/>
      <c r="S296" s="112"/>
      <c r="T296" s="113"/>
      <c r="U296" s="112"/>
      <c r="V296" s="113"/>
      <c r="W296" s="114"/>
      <c r="X296" s="115"/>
    </row>
    <row r="297" spans="1:24" hidden="1" x14ac:dyDescent="0.25">
      <c r="A297" s="114"/>
      <c r="B297" s="115"/>
      <c r="C297" s="114"/>
      <c r="D297" s="115"/>
      <c r="E297" s="114"/>
      <c r="F297" s="115"/>
      <c r="G297" s="112"/>
      <c r="H297" s="113"/>
      <c r="I297" s="112"/>
      <c r="J297" s="113"/>
      <c r="K297" s="112"/>
      <c r="L297" s="113"/>
      <c r="M297" s="112"/>
      <c r="N297" s="113"/>
      <c r="O297" s="112"/>
      <c r="P297" s="113"/>
      <c r="Q297" s="112"/>
      <c r="R297" s="113"/>
      <c r="S297" s="112"/>
      <c r="T297" s="113"/>
      <c r="U297" s="112"/>
      <c r="V297" s="113"/>
      <c r="W297" s="114"/>
      <c r="X297" s="115"/>
    </row>
    <row r="298" spans="1:24" hidden="1" x14ac:dyDescent="0.25">
      <c r="A298" s="114"/>
      <c r="B298" s="115"/>
      <c r="C298" s="114"/>
      <c r="D298" s="115"/>
      <c r="E298" s="114"/>
      <c r="F298" s="115"/>
      <c r="G298" s="112"/>
      <c r="H298" s="113"/>
      <c r="I298" s="112"/>
      <c r="J298" s="113"/>
      <c r="K298" s="112"/>
      <c r="L298" s="113"/>
      <c r="M298" s="112"/>
      <c r="N298" s="113"/>
      <c r="O298" s="112"/>
      <c r="P298" s="113"/>
      <c r="Q298" s="112"/>
      <c r="R298" s="113"/>
      <c r="S298" s="112"/>
      <c r="T298" s="113"/>
      <c r="U298" s="112"/>
      <c r="V298" s="113"/>
      <c r="W298" s="114"/>
      <c r="X298" s="115"/>
    </row>
    <row r="299" spans="1:24" hidden="1" x14ac:dyDescent="0.25">
      <c r="A299" s="114"/>
      <c r="B299" s="115"/>
      <c r="C299" s="114"/>
      <c r="D299" s="115"/>
      <c r="E299" s="114"/>
      <c r="F299" s="115"/>
      <c r="G299" s="112"/>
      <c r="H299" s="113"/>
      <c r="I299" s="112"/>
      <c r="J299" s="113"/>
      <c r="K299" s="112"/>
      <c r="L299" s="113"/>
      <c r="M299" s="112"/>
      <c r="N299" s="113"/>
      <c r="O299" s="112"/>
      <c r="P299" s="113"/>
      <c r="Q299" s="112"/>
      <c r="R299" s="113"/>
      <c r="S299" s="112"/>
      <c r="T299" s="113"/>
      <c r="U299" s="112"/>
      <c r="V299" s="113"/>
      <c r="W299" s="114"/>
      <c r="X299" s="115"/>
    </row>
    <row r="300" spans="1:24" hidden="1" x14ac:dyDescent="0.25">
      <c r="A300" s="114"/>
      <c r="B300" s="115"/>
      <c r="C300" s="114"/>
      <c r="D300" s="115"/>
      <c r="E300" s="114"/>
      <c r="F300" s="115"/>
      <c r="G300" s="112"/>
      <c r="H300" s="113"/>
      <c r="I300" s="112"/>
      <c r="J300" s="113"/>
      <c r="K300" s="112"/>
      <c r="L300" s="113"/>
      <c r="M300" s="112"/>
      <c r="N300" s="113"/>
      <c r="O300" s="112"/>
      <c r="P300" s="113"/>
      <c r="Q300" s="112"/>
      <c r="R300" s="113"/>
      <c r="S300" s="112"/>
      <c r="T300" s="113"/>
      <c r="U300" s="112"/>
      <c r="V300" s="113"/>
      <c r="W300" s="114"/>
      <c r="X300" s="115"/>
    </row>
    <row r="301" spans="1:24" hidden="1" x14ac:dyDescent="0.25">
      <c r="A301" s="114"/>
      <c r="B301" s="115"/>
      <c r="C301" s="114"/>
      <c r="D301" s="115"/>
      <c r="E301" s="114"/>
      <c r="F301" s="115"/>
      <c r="G301" s="112"/>
      <c r="H301" s="113"/>
      <c r="I301" s="112"/>
      <c r="J301" s="113"/>
      <c r="K301" s="112"/>
      <c r="L301" s="113"/>
      <c r="M301" s="112"/>
      <c r="N301" s="113"/>
      <c r="O301" s="112"/>
      <c r="P301" s="113"/>
      <c r="Q301" s="112"/>
      <c r="R301" s="113"/>
      <c r="S301" s="112"/>
      <c r="T301" s="113"/>
      <c r="U301" s="112"/>
      <c r="V301" s="113"/>
      <c r="W301" s="114"/>
      <c r="X301" s="115"/>
    </row>
    <row r="302" spans="1:24" hidden="1" x14ac:dyDescent="0.25">
      <c r="A302" s="114"/>
      <c r="B302" s="115"/>
      <c r="C302" s="114"/>
      <c r="D302" s="115"/>
      <c r="E302" s="114"/>
      <c r="F302" s="115"/>
      <c r="G302" s="112"/>
      <c r="H302" s="113"/>
      <c r="I302" s="112"/>
      <c r="J302" s="113"/>
      <c r="K302" s="112"/>
      <c r="L302" s="113"/>
      <c r="M302" s="112"/>
      <c r="N302" s="113"/>
      <c r="O302" s="112"/>
      <c r="P302" s="113"/>
      <c r="Q302" s="112"/>
      <c r="R302" s="113"/>
      <c r="S302" s="112"/>
      <c r="T302" s="113"/>
      <c r="U302" s="112"/>
      <c r="V302" s="113"/>
      <c r="W302" s="114"/>
      <c r="X302" s="115"/>
    </row>
    <row r="303" spans="1:24" hidden="1" x14ac:dyDescent="0.25">
      <c r="A303" s="114"/>
      <c r="B303" s="115"/>
      <c r="C303" s="114"/>
      <c r="D303" s="115"/>
      <c r="E303" s="114"/>
      <c r="F303" s="115"/>
      <c r="G303" s="112"/>
      <c r="H303" s="113"/>
      <c r="I303" s="112"/>
      <c r="J303" s="113"/>
      <c r="K303" s="112"/>
      <c r="L303" s="113"/>
      <c r="M303" s="112"/>
      <c r="N303" s="113"/>
      <c r="O303" s="112"/>
      <c r="P303" s="113"/>
      <c r="Q303" s="112"/>
      <c r="R303" s="113"/>
      <c r="S303" s="112"/>
      <c r="T303" s="113"/>
      <c r="U303" s="112"/>
      <c r="V303" s="113"/>
      <c r="W303" s="114"/>
      <c r="X303" s="115"/>
    </row>
    <row r="304" spans="1:24" hidden="1" x14ac:dyDescent="0.25">
      <c r="A304" s="114"/>
      <c r="B304" s="115"/>
      <c r="C304" s="114"/>
      <c r="D304" s="115"/>
      <c r="E304" s="114"/>
      <c r="F304" s="115"/>
      <c r="G304" s="112"/>
      <c r="H304" s="113"/>
      <c r="I304" s="112"/>
      <c r="J304" s="113"/>
      <c r="K304" s="112"/>
      <c r="L304" s="113"/>
      <c r="M304" s="112"/>
      <c r="N304" s="113"/>
      <c r="O304" s="112"/>
      <c r="P304" s="113"/>
      <c r="Q304" s="112"/>
      <c r="R304" s="113"/>
      <c r="S304" s="112"/>
      <c r="T304" s="113"/>
      <c r="U304" s="112"/>
      <c r="V304" s="113"/>
      <c r="W304" s="114"/>
      <c r="X304" s="115"/>
    </row>
    <row r="305" spans="1:24" hidden="1" x14ac:dyDescent="0.25">
      <c r="A305" s="114"/>
      <c r="B305" s="115"/>
      <c r="C305" s="114"/>
      <c r="D305" s="115"/>
      <c r="E305" s="114"/>
      <c r="F305" s="115"/>
      <c r="G305" s="112"/>
      <c r="H305" s="113"/>
      <c r="I305" s="112"/>
      <c r="J305" s="113"/>
      <c r="K305" s="112"/>
      <c r="L305" s="113"/>
      <c r="M305" s="112"/>
      <c r="N305" s="113"/>
      <c r="O305" s="112"/>
      <c r="P305" s="113"/>
      <c r="Q305" s="112"/>
      <c r="R305" s="113"/>
      <c r="S305" s="112"/>
      <c r="T305" s="113"/>
      <c r="U305" s="112"/>
      <c r="V305" s="113"/>
      <c r="W305" s="114"/>
      <c r="X305" s="115"/>
    </row>
    <row r="306" spans="1:24" hidden="1" x14ac:dyDescent="0.25">
      <c r="A306" s="114"/>
      <c r="B306" s="115"/>
      <c r="C306" s="114"/>
      <c r="D306" s="115"/>
      <c r="E306" s="114"/>
      <c r="F306" s="115"/>
      <c r="G306" s="112"/>
      <c r="H306" s="113"/>
      <c r="I306" s="112"/>
      <c r="J306" s="113"/>
      <c r="K306" s="112"/>
      <c r="L306" s="113"/>
      <c r="M306" s="112"/>
      <c r="N306" s="113"/>
      <c r="O306" s="112"/>
      <c r="P306" s="113"/>
      <c r="Q306" s="112"/>
      <c r="R306" s="113"/>
      <c r="S306" s="112"/>
      <c r="T306" s="113"/>
      <c r="U306" s="112"/>
      <c r="V306" s="113"/>
      <c r="W306" s="114"/>
      <c r="X306" s="115"/>
    </row>
    <row r="307" spans="1:24" hidden="1" x14ac:dyDescent="0.25">
      <c r="A307" s="114"/>
      <c r="B307" s="115"/>
      <c r="C307" s="114"/>
      <c r="D307" s="115"/>
      <c r="E307" s="114"/>
      <c r="F307" s="115"/>
      <c r="G307" s="112"/>
      <c r="H307" s="113"/>
      <c r="I307" s="112"/>
      <c r="J307" s="113"/>
      <c r="K307" s="112"/>
      <c r="L307" s="113"/>
      <c r="M307" s="112"/>
      <c r="N307" s="113"/>
      <c r="O307" s="112"/>
      <c r="P307" s="113"/>
      <c r="Q307" s="112"/>
      <c r="R307" s="113"/>
      <c r="S307" s="112"/>
      <c r="T307" s="113"/>
      <c r="U307" s="112"/>
      <c r="V307" s="113"/>
      <c r="W307" s="114"/>
      <c r="X307" s="115"/>
    </row>
    <row r="308" spans="1:24" hidden="1" x14ac:dyDescent="0.25">
      <c r="A308" s="114"/>
      <c r="B308" s="115"/>
      <c r="C308" s="114"/>
      <c r="D308" s="115"/>
      <c r="E308" s="114"/>
      <c r="F308" s="115"/>
      <c r="G308" s="112"/>
      <c r="H308" s="113"/>
      <c r="I308" s="112"/>
      <c r="J308" s="113"/>
      <c r="K308" s="112"/>
      <c r="L308" s="113"/>
      <c r="M308" s="112"/>
      <c r="N308" s="113"/>
      <c r="O308" s="112"/>
      <c r="P308" s="113"/>
      <c r="Q308" s="112"/>
      <c r="R308" s="113"/>
      <c r="S308" s="112"/>
      <c r="T308" s="113"/>
      <c r="U308" s="112"/>
      <c r="V308" s="113"/>
      <c r="W308" s="114"/>
      <c r="X308" s="115"/>
    </row>
    <row r="309" spans="1:24" hidden="1" x14ac:dyDescent="0.25">
      <c r="A309" s="114"/>
      <c r="B309" s="115"/>
      <c r="C309" s="114"/>
      <c r="D309" s="115"/>
      <c r="E309" s="114"/>
      <c r="F309" s="115"/>
      <c r="G309" s="112"/>
      <c r="H309" s="113"/>
      <c r="I309" s="112"/>
      <c r="J309" s="113"/>
      <c r="K309" s="112"/>
      <c r="L309" s="113"/>
      <c r="M309" s="112"/>
      <c r="N309" s="113"/>
      <c r="O309" s="112"/>
      <c r="P309" s="113"/>
      <c r="Q309" s="112"/>
      <c r="R309" s="113"/>
      <c r="S309" s="112"/>
      <c r="T309" s="113"/>
      <c r="U309" s="112"/>
      <c r="V309" s="113"/>
      <c r="W309" s="114"/>
      <c r="X309" s="115"/>
    </row>
    <row r="310" spans="1:24" hidden="1" x14ac:dyDescent="0.25">
      <c r="A310" s="114"/>
      <c r="B310" s="115"/>
      <c r="C310" s="114"/>
      <c r="D310" s="115"/>
      <c r="E310" s="114"/>
      <c r="F310" s="115"/>
      <c r="G310" s="112"/>
      <c r="H310" s="113"/>
      <c r="I310" s="112"/>
      <c r="J310" s="113"/>
      <c r="K310" s="112"/>
      <c r="L310" s="113"/>
      <c r="M310" s="112"/>
      <c r="N310" s="113"/>
      <c r="O310" s="112"/>
      <c r="P310" s="113"/>
      <c r="Q310" s="112"/>
      <c r="R310" s="113"/>
      <c r="S310" s="112"/>
      <c r="T310" s="113"/>
      <c r="U310" s="112"/>
      <c r="V310" s="113"/>
      <c r="W310" s="114"/>
      <c r="X310" s="115"/>
    </row>
    <row r="311" spans="1:24" hidden="1" x14ac:dyDescent="0.25">
      <c r="A311" s="114"/>
      <c r="B311" s="115"/>
      <c r="C311" s="114"/>
      <c r="D311" s="115"/>
      <c r="E311" s="114"/>
      <c r="F311" s="115"/>
      <c r="G311" s="112"/>
      <c r="H311" s="113"/>
      <c r="I311" s="112"/>
      <c r="J311" s="113"/>
      <c r="K311" s="112"/>
      <c r="L311" s="113"/>
      <c r="M311" s="112"/>
      <c r="N311" s="113"/>
      <c r="O311" s="112"/>
      <c r="P311" s="113"/>
      <c r="Q311" s="112"/>
      <c r="R311" s="113"/>
      <c r="S311" s="112"/>
      <c r="T311" s="113"/>
      <c r="U311" s="112"/>
      <c r="V311" s="113"/>
      <c r="W311" s="114"/>
      <c r="X311" s="115"/>
    </row>
    <row r="312" spans="1:24" hidden="1" x14ac:dyDescent="0.25">
      <c r="A312" s="114"/>
      <c r="B312" s="115"/>
      <c r="C312" s="114"/>
      <c r="D312" s="115"/>
      <c r="E312" s="114"/>
      <c r="F312" s="115"/>
      <c r="G312" s="112"/>
      <c r="H312" s="113"/>
      <c r="I312" s="112"/>
      <c r="J312" s="113"/>
      <c r="K312" s="112"/>
      <c r="L312" s="113"/>
      <c r="M312" s="112"/>
      <c r="N312" s="113"/>
      <c r="O312" s="112"/>
      <c r="P312" s="113"/>
      <c r="Q312" s="112"/>
      <c r="R312" s="113"/>
      <c r="S312" s="112"/>
      <c r="T312" s="113"/>
      <c r="U312" s="112"/>
      <c r="V312" s="113"/>
      <c r="W312" s="114"/>
      <c r="X312" s="115"/>
    </row>
    <row r="313" spans="1:24" hidden="1" x14ac:dyDescent="0.25">
      <c r="A313" s="114"/>
      <c r="B313" s="115"/>
      <c r="C313" s="114"/>
      <c r="D313" s="115"/>
      <c r="E313" s="114"/>
      <c r="F313" s="115"/>
      <c r="G313" s="112"/>
      <c r="H313" s="113"/>
      <c r="I313" s="112"/>
      <c r="J313" s="113"/>
      <c r="K313" s="112"/>
      <c r="L313" s="113"/>
      <c r="M313" s="112"/>
      <c r="N313" s="113"/>
      <c r="O313" s="112"/>
      <c r="P313" s="113"/>
      <c r="Q313" s="112"/>
      <c r="R313" s="113"/>
      <c r="S313" s="112"/>
      <c r="T313" s="113"/>
      <c r="U313" s="112"/>
      <c r="V313" s="113"/>
      <c r="W313" s="114"/>
      <c r="X313" s="115"/>
    </row>
    <row r="314" spans="1:24" hidden="1" x14ac:dyDescent="0.25">
      <c r="A314" s="114"/>
      <c r="B314" s="115"/>
      <c r="C314" s="114"/>
      <c r="D314" s="115"/>
      <c r="E314" s="114"/>
      <c r="F314" s="115"/>
      <c r="G314" s="112"/>
      <c r="H314" s="113"/>
      <c r="I314" s="112"/>
      <c r="J314" s="113"/>
      <c r="K314" s="112"/>
      <c r="L314" s="113"/>
      <c r="M314" s="112"/>
      <c r="N314" s="113"/>
      <c r="O314" s="112"/>
      <c r="P314" s="113"/>
      <c r="Q314" s="112"/>
      <c r="R314" s="113"/>
      <c r="S314" s="112"/>
      <c r="T314" s="113"/>
      <c r="U314" s="112"/>
      <c r="V314" s="113"/>
      <c r="W314" s="114"/>
      <c r="X314" s="115"/>
    </row>
    <row r="315" spans="1:24" hidden="1" x14ac:dyDescent="0.25">
      <c r="A315" s="114"/>
      <c r="B315" s="115"/>
      <c r="C315" s="114"/>
      <c r="D315" s="115"/>
      <c r="E315" s="114"/>
      <c r="F315" s="115"/>
      <c r="G315" s="112"/>
      <c r="H315" s="113"/>
      <c r="I315" s="112"/>
      <c r="J315" s="113"/>
      <c r="K315" s="112"/>
      <c r="L315" s="113"/>
      <c r="M315" s="112"/>
      <c r="N315" s="113"/>
      <c r="O315" s="112"/>
      <c r="P315" s="113"/>
      <c r="Q315" s="112"/>
      <c r="R315" s="113"/>
      <c r="S315" s="112"/>
      <c r="T315" s="113"/>
      <c r="U315" s="112"/>
      <c r="V315" s="113"/>
      <c r="W315" s="114"/>
      <c r="X315" s="115"/>
    </row>
    <row r="316" spans="1:24" hidden="1" x14ac:dyDescent="0.25">
      <c r="A316" s="114"/>
      <c r="B316" s="115"/>
      <c r="C316" s="114"/>
      <c r="D316" s="115"/>
      <c r="E316" s="114"/>
      <c r="F316" s="115"/>
      <c r="G316" s="112"/>
      <c r="H316" s="113"/>
      <c r="I316" s="112"/>
      <c r="J316" s="113"/>
      <c r="K316" s="112"/>
      <c r="L316" s="113"/>
      <c r="M316" s="112"/>
      <c r="N316" s="113"/>
      <c r="O316" s="112"/>
      <c r="P316" s="113"/>
      <c r="Q316" s="112"/>
      <c r="R316" s="113"/>
      <c r="S316" s="112"/>
      <c r="T316" s="113"/>
      <c r="U316" s="112"/>
      <c r="V316" s="113"/>
      <c r="W316" s="114"/>
      <c r="X316" s="115"/>
    </row>
    <row r="317" spans="1:24" hidden="1" x14ac:dyDescent="0.25">
      <c r="A317" s="114"/>
      <c r="B317" s="115"/>
      <c r="C317" s="114"/>
      <c r="D317" s="115"/>
      <c r="E317" s="114"/>
      <c r="F317" s="115"/>
      <c r="G317" s="112"/>
      <c r="H317" s="113"/>
      <c r="I317" s="112"/>
      <c r="J317" s="113"/>
      <c r="K317" s="112"/>
      <c r="L317" s="113"/>
      <c r="M317" s="112"/>
      <c r="N317" s="113"/>
      <c r="O317" s="112"/>
      <c r="P317" s="113"/>
      <c r="Q317" s="112"/>
      <c r="R317" s="113"/>
      <c r="S317" s="112"/>
      <c r="T317" s="113"/>
      <c r="U317" s="112"/>
      <c r="V317" s="113"/>
      <c r="W317" s="114"/>
      <c r="X317" s="115"/>
    </row>
    <row r="318" spans="1:24" hidden="1" x14ac:dyDescent="0.25">
      <c r="A318" s="114"/>
      <c r="B318" s="115"/>
      <c r="C318" s="114"/>
      <c r="D318" s="115"/>
      <c r="E318" s="114"/>
      <c r="F318" s="115"/>
      <c r="G318" s="112"/>
      <c r="H318" s="113"/>
      <c r="I318" s="112"/>
      <c r="J318" s="113"/>
      <c r="K318" s="112"/>
      <c r="L318" s="113"/>
      <c r="M318" s="112"/>
      <c r="N318" s="113"/>
      <c r="O318" s="112"/>
      <c r="P318" s="113"/>
      <c r="Q318" s="112"/>
      <c r="R318" s="113"/>
      <c r="S318" s="112"/>
      <c r="T318" s="113"/>
      <c r="U318" s="112"/>
      <c r="V318" s="113"/>
      <c r="W318" s="114"/>
      <c r="X318" s="115"/>
    </row>
    <row r="319" spans="1:24" hidden="1" x14ac:dyDescent="0.25">
      <c r="A319" s="114"/>
      <c r="B319" s="115"/>
      <c r="C319" s="114"/>
      <c r="D319" s="115"/>
      <c r="E319" s="114"/>
      <c r="F319" s="115"/>
      <c r="G319" s="112"/>
      <c r="H319" s="113"/>
      <c r="I319" s="112"/>
      <c r="J319" s="113"/>
      <c r="K319" s="112"/>
      <c r="L319" s="113"/>
      <c r="M319" s="112"/>
      <c r="N319" s="113"/>
      <c r="O319" s="112"/>
      <c r="P319" s="113"/>
      <c r="Q319" s="112"/>
      <c r="R319" s="113"/>
      <c r="S319" s="112"/>
      <c r="T319" s="113"/>
      <c r="U319" s="112"/>
      <c r="V319" s="113"/>
      <c r="W319" s="114"/>
      <c r="X319" s="115"/>
    </row>
    <row r="320" spans="1:24" hidden="1" x14ac:dyDescent="0.25">
      <c r="A320" s="114"/>
      <c r="B320" s="115"/>
      <c r="C320" s="114"/>
      <c r="D320" s="115"/>
      <c r="E320" s="114"/>
      <c r="F320" s="115"/>
      <c r="G320" s="112"/>
      <c r="H320" s="113"/>
      <c r="I320" s="112"/>
      <c r="J320" s="113"/>
      <c r="K320" s="112"/>
      <c r="L320" s="113"/>
      <c r="M320" s="112"/>
      <c r="N320" s="113"/>
      <c r="O320" s="112"/>
      <c r="P320" s="113"/>
      <c r="Q320" s="112"/>
      <c r="R320" s="113"/>
      <c r="S320" s="112"/>
      <c r="T320" s="113"/>
      <c r="U320" s="112"/>
      <c r="V320" s="113"/>
      <c r="W320" s="114"/>
      <c r="X320" s="115"/>
    </row>
    <row r="321" spans="1:24" hidden="1" x14ac:dyDescent="0.25">
      <c r="A321" s="114"/>
      <c r="B321" s="115"/>
      <c r="C321" s="114"/>
      <c r="D321" s="115"/>
      <c r="E321" s="114"/>
      <c r="F321" s="115"/>
      <c r="G321" s="112"/>
      <c r="H321" s="113"/>
      <c r="I321" s="112"/>
      <c r="J321" s="113"/>
      <c r="K321" s="112"/>
      <c r="L321" s="113"/>
      <c r="M321" s="112"/>
      <c r="N321" s="113"/>
      <c r="O321" s="112"/>
      <c r="P321" s="113"/>
      <c r="Q321" s="112"/>
      <c r="R321" s="113"/>
      <c r="S321" s="112"/>
      <c r="T321" s="113"/>
      <c r="U321" s="112"/>
      <c r="V321" s="113"/>
      <c r="W321" s="114"/>
      <c r="X321" s="115"/>
    </row>
    <row r="322" spans="1:24" hidden="1" x14ac:dyDescent="0.25">
      <c r="A322" s="114"/>
      <c r="B322" s="115"/>
      <c r="C322" s="114"/>
      <c r="D322" s="115"/>
      <c r="E322" s="114"/>
      <c r="F322" s="115"/>
      <c r="G322" s="112"/>
      <c r="H322" s="113"/>
      <c r="I322" s="112"/>
      <c r="J322" s="113"/>
      <c r="K322" s="112"/>
      <c r="L322" s="113"/>
      <c r="M322" s="112"/>
      <c r="N322" s="113"/>
      <c r="O322" s="112"/>
      <c r="P322" s="113"/>
      <c r="Q322" s="112"/>
      <c r="R322" s="113"/>
      <c r="S322" s="112"/>
      <c r="T322" s="113"/>
      <c r="U322" s="112"/>
      <c r="V322" s="113"/>
      <c r="W322" s="114"/>
      <c r="X322" s="115"/>
    </row>
    <row r="323" spans="1:24" hidden="1" x14ac:dyDescent="0.25">
      <c r="A323" s="114"/>
      <c r="B323" s="115"/>
      <c r="C323" s="114"/>
      <c r="D323" s="115"/>
      <c r="E323" s="114"/>
      <c r="F323" s="115"/>
      <c r="G323" s="112"/>
      <c r="H323" s="113"/>
      <c r="I323" s="112"/>
      <c r="J323" s="113"/>
      <c r="K323" s="112"/>
      <c r="L323" s="113"/>
      <c r="M323" s="112"/>
      <c r="N323" s="113"/>
      <c r="O323" s="112"/>
      <c r="P323" s="113"/>
      <c r="Q323" s="112"/>
      <c r="R323" s="113"/>
      <c r="S323" s="112"/>
      <c r="T323" s="113"/>
      <c r="U323" s="112"/>
      <c r="V323" s="113"/>
      <c r="W323" s="114"/>
      <c r="X323" s="115"/>
    </row>
    <row r="324" spans="1:24" hidden="1" x14ac:dyDescent="0.25">
      <c r="A324" s="114"/>
      <c r="B324" s="115"/>
      <c r="C324" s="114"/>
      <c r="D324" s="115"/>
      <c r="E324" s="114"/>
      <c r="F324" s="115"/>
      <c r="G324" s="112"/>
      <c r="H324" s="113"/>
      <c r="I324" s="112"/>
      <c r="J324" s="113"/>
      <c r="K324" s="112"/>
      <c r="L324" s="113"/>
      <c r="M324" s="112"/>
      <c r="N324" s="113"/>
      <c r="O324" s="112"/>
      <c r="P324" s="113"/>
      <c r="Q324" s="112"/>
      <c r="R324" s="113"/>
      <c r="S324" s="112"/>
      <c r="T324" s="113"/>
      <c r="U324" s="112"/>
      <c r="V324" s="113"/>
      <c r="W324" s="114"/>
      <c r="X324" s="115"/>
    </row>
    <row r="325" spans="1:24" hidden="1" x14ac:dyDescent="0.25">
      <c r="A325" s="114"/>
      <c r="B325" s="115"/>
      <c r="C325" s="114"/>
      <c r="D325" s="115"/>
      <c r="E325" s="114"/>
      <c r="F325" s="115"/>
      <c r="G325" s="112"/>
      <c r="H325" s="113"/>
      <c r="I325" s="112"/>
      <c r="J325" s="113"/>
      <c r="K325" s="112"/>
      <c r="L325" s="113"/>
      <c r="M325" s="112"/>
      <c r="N325" s="113"/>
      <c r="O325" s="112"/>
      <c r="P325" s="113"/>
      <c r="Q325" s="112"/>
      <c r="R325" s="113"/>
      <c r="S325" s="112"/>
      <c r="T325" s="113"/>
      <c r="U325" s="112"/>
      <c r="V325" s="113"/>
      <c r="W325" s="114"/>
      <c r="X325" s="115"/>
    </row>
    <row r="326" spans="1:24" hidden="1" x14ac:dyDescent="0.25">
      <c r="A326" s="114"/>
      <c r="B326" s="115"/>
      <c r="C326" s="114"/>
      <c r="D326" s="115"/>
      <c r="E326" s="114"/>
      <c r="F326" s="115"/>
      <c r="G326" s="112"/>
      <c r="H326" s="113"/>
      <c r="I326" s="112"/>
      <c r="J326" s="113"/>
      <c r="K326" s="112"/>
      <c r="L326" s="113"/>
      <c r="M326" s="112"/>
      <c r="N326" s="113"/>
      <c r="O326" s="112"/>
      <c r="P326" s="113"/>
      <c r="Q326" s="112"/>
      <c r="R326" s="113"/>
      <c r="S326" s="112"/>
      <c r="T326" s="113"/>
      <c r="U326" s="112"/>
      <c r="V326" s="113"/>
      <c r="W326" s="114"/>
      <c r="X326" s="115"/>
    </row>
    <row r="327" spans="1:24" hidden="1" x14ac:dyDescent="0.25">
      <c r="A327" s="114"/>
      <c r="B327" s="115"/>
      <c r="C327" s="114"/>
      <c r="D327" s="115"/>
      <c r="E327" s="114"/>
      <c r="F327" s="115"/>
      <c r="G327" s="112"/>
      <c r="H327" s="113"/>
      <c r="I327" s="112"/>
      <c r="J327" s="113"/>
      <c r="K327" s="112"/>
      <c r="L327" s="113"/>
      <c r="M327" s="112"/>
      <c r="N327" s="113"/>
      <c r="O327" s="112"/>
      <c r="P327" s="113"/>
      <c r="Q327" s="112"/>
      <c r="R327" s="113"/>
      <c r="S327" s="112"/>
      <c r="T327" s="113"/>
      <c r="U327" s="112"/>
      <c r="V327" s="113"/>
      <c r="W327" s="114"/>
      <c r="X327" s="115"/>
    </row>
    <row r="328" spans="1:24" hidden="1" x14ac:dyDescent="0.25">
      <c r="A328" s="114"/>
      <c r="B328" s="115"/>
      <c r="C328" s="114"/>
      <c r="D328" s="115"/>
      <c r="E328" s="114"/>
      <c r="F328" s="115"/>
      <c r="G328" s="112"/>
      <c r="H328" s="113"/>
      <c r="I328" s="112"/>
      <c r="J328" s="113"/>
      <c r="K328" s="112"/>
      <c r="L328" s="113"/>
      <c r="M328" s="112"/>
      <c r="N328" s="113"/>
      <c r="O328" s="112"/>
      <c r="P328" s="113"/>
      <c r="Q328" s="112"/>
      <c r="R328" s="113"/>
      <c r="S328" s="112"/>
      <c r="T328" s="113"/>
      <c r="U328" s="112"/>
      <c r="V328" s="113"/>
      <c r="W328" s="114"/>
      <c r="X328" s="115"/>
    </row>
    <row r="329" spans="1:24" hidden="1" x14ac:dyDescent="0.25">
      <c r="A329" s="114"/>
      <c r="B329" s="115"/>
      <c r="C329" s="114"/>
      <c r="D329" s="115"/>
      <c r="E329" s="114"/>
      <c r="F329" s="115"/>
      <c r="G329" s="112"/>
      <c r="H329" s="113"/>
      <c r="I329" s="112"/>
      <c r="J329" s="113"/>
      <c r="K329" s="112"/>
      <c r="L329" s="113"/>
      <c r="M329" s="112"/>
      <c r="N329" s="113"/>
      <c r="O329" s="112"/>
      <c r="P329" s="113"/>
      <c r="Q329" s="112"/>
      <c r="R329" s="113"/>
      <c r="S329" s="112"/>
      <c r="T329" s="113"/>
      <c r="U329" s="112"/>
      <c r="V329" s="113"/>
      <c r="W329" s="114"/>
      <c r="X329" s="115"/>
    </row>
    <row r="330" spans="1:24" hidden="1" x14ac:dyDescent="0.25">
      <c r="A330" s="114"/>
      <c r="B330" s="115"/>
      <c r="C330" s="114"/>
      <c r="D330" s="115"/>
      <c r="E330" s="114"/>
      <c r="F330" s="115"/>
      <c r="G330" s="112"/>
      <c r="H330" s="113"/>
      <c r="I330" s="112"/>
      <c r="J330" s="113"/>
      <c r="K330" s="112"/>
      <c r="L330" s="113"/>
      <c r="M330" s="112"/>
      <c r="N330" s="113"/>
      <c r="O330" s="112"/>
      <c r="P330" s="113"/>
      <c r="Q330" s="112"/>
      <c r="R330" s="113"/>
      <c r="S330" s="112"/>
      <c r="T330" s="113"/>
      <c r="U330" s="112"/>
      <c r="V330" s="113"/>
      <c r="W330" s="114"/>
      <c r="X330" s="115"/>
    </row>
    <row r="331" spans="1:24" hidden="1" x14ac:dyDescent="0.25">
      <c r="A331" s="114"/>
      <c r="B331" s="115"/>
      <c r="C331" s="114"/>
      <c r="D331" s="115"/>
      <c r="E331" s="114"/>
      <c r="F331" s="115"/>
      <c r="G331" s="112"/>
      <c r="H331" s="113"/>
      <c r="I331" s="112"/>
      <c r="J331" s="113"/>
      <c r="K331" s="112"/>
      <c r="L331" s="113"/>
      <c r="M331" s="112"/>
      <c r="N331" s="113"/>
      <c r="O331" s="112"/>
      <c r="P331" s="113"/>
      <c r="Q331" s="112"/>
      <c r="R331" s="113"/>
      <c r="S331" s="112"/>
      <c r="T331" s="113"/>
      <c r="U331" s="112"/>
      <c r="V331" s="113"/>
      <c r="W331" s="114"/>
      <c r="X331" s="115"/>
    </row>
    <row r="332" spans="1:24" hidden="1" x14ac:dyDescent="0.25">
      <c r="A332" s="114"/>
      <c r="B332" s="115"/>
      <c r="C332" s="114"/>
      <c r="D332" s="115"/>
      <c r="E332" s="114"/>
      <c r="F332" s="115"/>
      <c r="G332" s="112"/>
      <c r="H332" s="113"/>
      <c r="I332" s="112"/>
      <c r="J332" s="113"/>
      <c r="K332" s="112"/>
      <c r="L332" s="113"/>
      <c r="M332" s="112"/>
      <c r="N332" s="113"/>
      <c r="O332" s="112"/>
      <c r="P332" s="113"/>
      <c r="Q332" s="112"/>
      <c r="R332" s="113"/>
      <c r="S332" s="112"/>
      <c r="T332" s="113"/>
      <c r="U332" s="112"/>
      <c r="V332" s="113"/>
      <c r="W332" s="114"/>
      <c r="X332" s="115"/>
    </row>
    <row r="333" spans="1:24" hidden="1" x14ac:dyDescent="0.25">
      <c r="A333" s="114"/>
      <c r="B333" s="115"/>
      <c r="C333" s="114"/>
      <c r="D333" s="115"/>
      <c r="E333" s="114"/>
      <c r="F333" s="115"/>
      <c r="G333" s="112"/>
      <c r="H333" s="113"/>
      <c r="I333" s="112"/>
      <c r="J333" s="113"/>
      <c r="K333" s="112"/>
      <c r="L333" s="113"/>
      <c r="M333" s="112"/>
      <c r="N333" s="113"/>
      <c r="O333" s="112"/>
      <c r="P333" s="113"/>
      <c r="Q333" s="112"/>
      <c r="R333" s="113"/>
      <c r="S333" s="112"/>
      <c r="T333" s="113"/>
      <c r="U333" s="112"/>
      <c r="V333" s="113"/>
      <c r="W333" s="114"/>
      <c r="X333" s="115"/>
    </row>
    <row r="334" spans="1:24" hidden="1" x14ac:dyDescent="0.25">
      <c r="A334" s="114"/>
      <c r="B334" s="115"/>
      <c r="C334" s="114"/>
      <c r="D334" s="115"/>
      <c r="E334" s="114"/>
      <c r="F334" s="115"/>
      <c r="G334" s="112"/>
      <c r="H334" s="113"/>
      <c r="I334" s="112"/>
      <c r="J334" s="113"/>
      <c r="K334" s="112"/>
      <c r="L334" s="113"/>
      <c r="M334" s="112"/>
      <c r="N334" s="113"/>
      <c r="O334" s="112"/>
      <c r="P334" s="113"/>
      <c r="Q334" s="112"/>
      <c r="R334" s="113"/>
      <c r="S334" s="112"/>
      <c r="T334" s="113"/>
      <c r="U334" s="112"/>
      <c r="V334" s="113"/>
      <c r="W334" s="114"/>
      <c r="X334" s="115"/>
    </row>
    <row r="335" spans="1:24" hidden="1" x14ac:dyDescent="0.25">
      <c r="A335" s="114"/>
      <c r="B335" s="115"/>
      <c r="C335" s="114"/>
      <c r="D335" s="115"/>
      <c r="E335" s="114"/>
      <c r="F335" s="115"/>
      <c r="G335" s="112"/>
      <c r="H335" s="113"/>
      <c r="I335" s="112"/>
      <c r="J335" s="113"/>
      <c r="K335" s="112"/>
      <c r="L335" s="113"/>
      <c r="M335" s="112"/>
      <c r="N335" s="113"/>
      <c r="O335" s="112"/>
      <c r="P335" s="113"/>
      <c r="Q335" s="112"/>
      <c r="R335" s="113"/>
      <c r="S335" s="112"/>
      <c r="T335" s="113"/>
      <c r="U335" s="112"/>
      <c r="V335" s="113"/>
      <c r="W335" s="114"/>
      <c r="X335" s="115"/>
    </row>
    <row r="336" spans="1:24" hidden="1" x14ac:dyDescent="0.25">
      <c r="A336" s="114"/>
      <c r="B336" s="115"/>
      <c r="C336" s="114"/>
      <c r="D336" s="115"/>
      <c r="E336" s="114"/>
      <c r="F336" s="115"/>
      <c r="G336" s="112"/>
      <c r="H336" s="113"/>
      <c r="I336" s="112"/>
      <c r="J336" s="113"/>
      <c r="K336" s="112"/>
      <c r="L336" s="113"/>
      <c r="M336" s="112"/>
      <c r="N336" s="113"/>
      <c r="O336" s="112"/>
      <c r="P336" s="113"/>
      <c r="Q336" s="112"/>
      <c r="R336" s="113"/>
      <c r="S336" s="112"/>
      <c r="T336" s="113"/>
      <c r="U336" s="112"/>
      <c r="V336" s="113"/>
      <c r="W336" s="114"/>
      <c r="X336" s="115"/>
    </row>
    <row r="337" spans="1:24" hidden="1" x14ac:dyDescent="0.25">
      <c r="A337" s="114"/>
      <c r="B337" s="115"/>
      <c r="C337" s="114"/>
      <c r="D337" s="115"/>
      <c r="E337" s="114"/>
      <c r="F337" s="115"/>
      <c r="G337" s="112"/>
      <c r="H337" s="113"/>
      <c r="I337" s="112"/>
      <c r="J337" s="113"/>
      <c r="K337" s="112"/>
      <c r="L337" s="113"/>
      <c r="M337" s="112"/>
      <c r="N337" s="113"/>
      <c r="O337" s="112"/>
      <c r="P337" s="113"/>
      <c r="Q337" s="112"/>
      <c r="R337" s="113"/>
      <c r="S337" s="112"/>
      <c r="T337" s="113"/>
      <c r="U337" s="112"/>
      <c r="V337" s="113"/>
      <c r="W337" s="114"/>
      <c r="X337" s="115"/>
    </row>
    <row r="338" spans="1:24" hidden="1" x14ac:dyDescent="0.25">
      <c r="A338" s="114"/>
      <c r="B338" s="115"/>
      <c r="C338" s="114"/>
      <c r="D338" s="115"/>
      <c r="E338" s="114"/>
      <c r="F338" s="115"/>
      <c r="G338" s="112"/>
      <c r="H338" s="113"/>
      <c r="I338" s="112"/>
      <c r="J338" s="113"/>
      <c r="K338" s="112"/>
      <c r="L338" s="113"/>
      <c r="M338" s="112"/>
      <c r="N338" s="113"/>
      <c r="O338" s="112"/>
      <c r="P338" s="113"/>
      <c r="Q338" s="112"/>
      <c r="R338" s="113"/>
      <c r="S338" s="112"/>
      <c r="T338" s="113"/>
      <c r="U338" s="112"/>
      <c r="V338" s="113"/>
      <c r="W338" s="114"/>
      <c r="X338" s="115"/>
    </row>
    <row r="339" spans="1:24" hidden="1" x14ac:dyDescent="0.25">
      <c r="A339" s="114"/>
      <c r="B339" s="115"/>
      <c r="C339" s="114"/>
      <c r="D339" s="115"/>
      <c r="E339" s="114"/>
      <c r="F339" s="115"/>
      <c r="G339" s="112"/>
      <c r="H339" s="113"/>
      <c r="I339" s="112"/>
      <c r="J339" s="113"/>
      <c r="K339" s="112"/>
      <c r="L339" s="113"/>
      <c r="M339" s="112"/>
      <c r="N339" s="113"/>
      <c r="O339" s="112"/>
      <c r="P339" s="113"/>
      <c r="Q339" s="112"/>
      <c r="R339" s="113"/>
      <c r="S339" s="112"/>
      <c r="T339" s="113"/>
      <c r="U339" s="112"/>
      <c r="V339" s="113"/>
      <c r="W339" s="114"/>
      <c r="X339" s="115"/>
    </row>
    <row r="340" spans="1:24" hidden="1" x14ac:dyDescent="0.25">
      <c r="A340" s="114"/>
      <c r="B340" s="115"/>
      <c r="C340" s="114"/>
      <c r="D340" s="115"/>
      <c r="E340" s="114"/>
      <c r="F340" s="115"/>
      <c r="G340" s="112"/>
      <c r="H340" s="113"/>
      <c r="I340" s="112"/>
      <c r="J340" s="113"/>
      <c r="K340" s="112"/>
      <c r="L340" s="113"/>
      <c r="M340" s="112"/>
      <c r="N340" s="113"/>
      <c r="O340" s="112"/>
      <c r="P340" s="113"/>
      <c r="Q340" s="112"/>
      <c r="R340" s="113"/>
      <c r="S340" s="112"/>
      <c r="T340" s="113"/>
      <c r="U340" s="112"/>
      <c r="V340" s="113"/>
      <c r="W340" s="114"/>
      <c r="X340" s="115"/>
    </row>
    <row r="341" spans="1:24" hidden="1" x14ac:dyDescent="0.25">
      <c r="A341" s="114"/>
      <c r="B341" s="115"/>
      <c r="C341" s="114"/>
      <c r="D341" s="115"/>
      <c r="E341" s="114"/>
      <c r="F341" s="115"/>
      <c r="G341" s="112"/>
      <c r="H341" s="113"/>
      <c r="I341" s="112"/>
      <c r="J341" s="113"/>
      <c r="K341" s="112"/>
      <c r="L341" s="113"/>
      <c r="M341" s="112"/>
      <c r="N341" s="113"/>
      <c r="O341" s="112"/>
      <c r="P341" s="113"/>
      <c r="Q341" s="112"/>
      <c r="R341" s="113"/>
      <c r="S341" s="112"/>
      <c r="T341" s="113"/>
      <c r="U341" s="112"/>
      <c r="V341" s="113"/>
      <c r="W341" s="114"/>
      <c r="X341" s="115"/>
    </row>
    <row r="342" spans="1:24" hidden="1" x14ac:dyDescent="0.25">
      <c r="A342" s="114"/>
      <c r="B342" s="115"/>
      <c r="C342" s="114"/>
      <c r="D342" s="115"/>
      <c r="E342" s="114"/>
      <c r="F342" s="115"/>
      <c r="G342" s="112"/>
      <c r="H342" s="113"/>
      <c r="I342" s="112"/>
      <c r="J342" s="113"/>
      <c r="K342" s="112"/>
      <c r="L342" s="113"/>
      <c r="M342" s="112"/>
      <c r="N342" s="113"/>
      <c r="O342" s="112"/>
      <c r="P342" s="113"/>
      <c r="Q342" s="112"/>
      <c r="R342" s="113"/>
      <c r="S342" s="112"/>
      <c r="T342" s="113"/>
      <c r="U342" s="112"/>
      <c r="V342" s="113"/>
      <c r="W342" s="114"/>
      <c r="X342" s="115"/>
    </row>
    <row r="343" spans="1:24" hidden="1" x14ac:dyDescent="0.25">
      <c r="A343" s="114"/>
      <c r="B343" s="115"/>
      <c r="C343" s="114"/>
      <c r="D343" s="115"/>
      <c r="E343" s="114"/>
      <c r="F343" s="115"/>
      <c r="G343" s="112"/>
      <c r="H343" s="113"/>
      <c r="I343" s="112"/>
      <c r="J343" s="113"/>
      <c r="K343" s="112"/>
      <c r="L343" s="113"/>
      <c r="M343" s="112"/>
      <c r="N343" s="113"/>
      <c r="O343" s="112"/>
      <c r="P343" s="113"/>
      <c r="Q343" s="112"/>
      <c r="R343" s="113"/>
      <c r="S343" s="112"/>
      <c r="T343" s="113"/>
      <c r="U343" s="112"/>
      <c r="V343" s="113"/>
      <c r="W343" s="114"/>
      <c r="X343" s="115"/>
    </row>
    <row r="344" spans="1:24" hidden="1" x14ac:dyDescent="0.25">
      <c r="A344" s="114"/>
      <c r="B344" s="115"/>
      <c r="C344" s="114"/>
      <c r="D344" s="115"/>
      <c r="E344" s="114"/>
      <c r="F344" s="115"/>
      <c r="G344" s="112"/>
      <c r="H344" s="113"/>
      <c r="I344" s="112"/>
      <c r="J344" s="113"/>
      <c r="K344" s="112"/>
      <c r="L344" s="113"/>
      <c r="M344" s="112"/>
      <c r="N344" s="113"/>
      <c r="O344" s="112"/>
      <c r="P344" s="113"/>
      <c r="Q344" s="112"/>
      <c r="R344" s="113"/>
      <c r="S344" s="112"/>
      <c r="T344" s="113"/>
      <c r="U344" s="112"/>
      <c r="V344" s="113"/>
      <c r="W344" s="114"/>
      <c r="X344" s="115"/>
    </row>
    <row r="345" spans="1:24" hidden="1" x14ac:dyDescent="0.25">
      <c r="A345" s="114"/>
      <c r="B345" s="115"/>
      <c r="C345" s="114"/>
      <c r="D345" s="115"/>
      <c r="E345" s="114"/>
      <c r="F345" s="115"/>
      <c r="G345" s="112"/>
      <c r="H345" s="113"/>
      <c r="I345" s="112"/>
      <c r="J345" s="113"/>
      <c r="K345" s="112"/>
      <c r="L345" s="113"/>
      <c r="M345" s="112"/>
      <c r="N345" s="113"/>
      <c r="O345" s="112"/>
      <c r="P345" s="113"/>
      <c r="Q345" s="112"/>
      <c r="R345" s="113"/>
      <c r="S345" s="112"/>
      <c r="T345" s="113"/>
      <c r="U345" s="112"/>
      <c r="V345" s="113"/>
      <c r="W345" s="114"/>
      <c r="X345" s="115"/>
    </row>
    <row r="346" spans="1:24" hidden="1" x14ac:dyDescent="0.25">
      <c r="A346" s="114"/>
      <c r="B346" s="115"/>
      <c r="C346" s="114"/>
      <c r="D346" s="115"/>
      <c r="E346" s="114"/>
      <c r="F346" s="115"/>
      <c r="G346" s="112"/>
      <c r="H346" s="113"/>
      <c r="I346" s="112"/>
      <c r="J346" s="113"/>
      <c r="K346" s="112"/>
      <c r="L346" s="113"/>
      <c r="M346" s="112"/>
      <c r="N346" s="113"/>
      <c r="O346" s="112"/>
      <c r="P346" s="113"/>
      <c r="Q346" s="112"/>
      <c r="R346" s="113"/>
      <c r="S346" s="112"/>
      <c r="T346" s="113"/>
      <c r="U346" s="112"/>
      <c r="V346" s="113"/>
      <c r="W346" s="114"/>
      <c r="X346" s="115"/>
    </row>
    <row r="347" spans="1:24" hidden="1" x14ac:dyDescent="0.25">
      <c r="A347" s="114"/>
      <c r="B347" s="115"/>
      <c r="C347" s="114"/>
      <c r="D347" s="115"/>
      <c r="E347" s="114"/>
      <c r="F347" s="115"/>
      <c r="G347" s="112"/>
      <c r="H347" s="113"/>
      <c r="I347" s="112"/>
      <c r="J347" s="113"/>
      <c r="K347" s="112"/>
      <c r="L347" s="113"/>
      <c r="M347" s="112"/>
      <c r="N347" s="113"/>
      <c r="O347" s="112"/>
      <c r="P347" s="113"/>
      <c r="Q347" s="112"/>
      <c r="R347" s="113"/>
      <c r="S347" s="112"/>
      <c r="T347" s="113"/>
      <c r="U347" s="112"/>
      <c r="V347" s="113"/>
      <c r="W347" s="114"/>
      <c r="X347" s="115"/>
    </row>
    <row r="348" spans="1:24" hidden="1" x14ac:dyDescent="0.25">
      <c r="A348" s="114"/>
      <c r="B348" s="115"/>
      <c r="C348" s="114"/>
      <c r="D348" s="115"/>
      <c r="E348" s="114"/>
      <c r="F348" s="115"/>
      <c r="G348" s="112"/>
      <c r="H348" s="113"/>
      <c r="I348" s="112"/>
      <c r="J348" s="113"/>
      <c r="K348" s="112"/>
      <c r="L348" s="113"/>
      <c r="M348" s="112"/>
      <c r="N348" s="113"/>
      <c r="O348" s="112"/>
      <c r="P348" s="113"/>
      <c r="Q348" s="112"/>
      <c r="R348" s="113"/>
      <c r="S348" s="112"/>
      <c r="T348" s="113"/>
      <c r="U348" s="112"/>
      <c r="V348" s="113"/>
      <c r="W348" s="114"/>
      <c r="X348" s="115"/>
    </row>
    <row r="349" spans="1:24" hidden="1" x14ac:dyDescent="0.25">
      <c r="A349" s="114"/>
      <c r="B349" s="115"/>
      <c r="C349" s="114"/>
      <c r="D349" s="115"/>
      <c r="E349" s="114"/>
      <c r="F349" s="115"/>
      <c r="G349" s="112"/>
      <c r="H349" s="113"/>
      <c r="I349" s="112"/>
      <c r="J349" s="113"/>
      <c r="K349" s="112"/>
      <c r="L349" s="113"/>
      <c r="M349" s="112"/>
      <c r="N349" s="113"/>
      <c r="O349" s="112"/>
      <c r="P349" s="113"/>
      <c r="Q349" s="112"/>
      <c r="R349" s="113"/>
      <c r="S349" s="112"/>
      <c r="T349" s="113"/>
      <c r="U349" s="112"/>
      <c r="V349" s="113"/>
      <c r="W349" s="114"/>
      <c r="X349" s="115"/>
    </row>
    <row r="350" spans="1:24" hidden="1" x14ac:dyDescent="0.25">
      <c r="A350" s="114"/>
      <c r="B350" s="115"/>
      <c r="C350" s="114"/>
      <c r="D350" s="115"/>
      <c r="E350" s="114"/>
      <c r="F350" s="115"/>
      <c r="G350" s="112"/>
      <c r="H350" s="113"/>
      <c r="I350" s="112"/>
      <c r="J350" s="113"/>
      <c r="K350" s="112"/>
      <c r="L350" s="113"/>
      <c r="M350" s="112"/>
      <c r="N350" s="113"/>
      <c r="O350" s="112"/>
      <c r="P350" s="113"/>
      <c r="Q350" s="112"/>
      <c r="R350" s="113"/>
      <c r="S350" s="112"/>
      <c r="T350" s="113"/>
      <c r="U350" s="112"/>
      <c r="V350" s="113"/>
      <c r="W350" s="114"/>
      <c r="X350" s="115"/>
    </row>
    <row r="351" spans="1:24" hidden="1" x14ac:dyDescent="0.25">
      <c r="A351" s="114"/>
      <c r="B351" s="115"/>
      <c r="C351" s="114"/>
      <c r="D351" s="115"/>
      <c r="E351" s="114"/>
      <c r="F351" s="115"/>
      <c r="G351" s="112"/>
      <c r="H351" s="113"/>
      <c r="I351" s="112"/>
      <c r="J351" s="113"/>
      <c r="K351" s="112"/>
      <c r="L351" s="113"/>
      <c r="M351" s="112"/>
      <c r="N351" s="113"/>
      <c r="O351" s="112"/>
      <c r="P351" s="113"/>
      <c r="Q351" s="112"/>
      <c r="R351" s="113"/>
      <c r="S351" s="112"/>
      <c r="T351" s="113"/>
      <c r="U351" s="112"/>
      <c r="V351" s="113"/>
      <c r="W351" s="114"/>
      <c r="X351" s="115"/>
    </row>
    <row r="352" spans="1:24" hidden="1" x14ac:dyDescent="0.25">
      <c r="A352" s="114"/>
      <c r="B352" s="115"/>
      <c r="C352" s="114"/>
      <c r="D352" s="115"/>
      <c r="E352" s="114"/>
      <c r="F352" s="115"/>
      <c r="G352" s="112"/>
      <c r="H352" s="113"/>
      <c r="I352" s="112"/>
      <c r="J352" s="113"/>
      <c r="K352" s="112"/>
      <c r="L352" s="113"/>
      <c r="M352" s="112"/>
      <c r="N352" s="113"/>
      <c r="O352" s="112"/>
      <c r="P352" s="113"/>
      <c r="Q352" s="112"/>
      <c r="R352" s="113"/>
      <c r="S352" s="112"/>
      <c r="T352" s="113"/>
      <c r="U352" s="112"/>
      <c r="V352" s="113"/>
      <c r="W352" s="114"/>
      <c r="X352" s="115"/>
    </row>
    <row r="353" spans="1:24" hidden="1" x14ac:dyDescent="0.25">
      <c r="A353" s="114"/>
      <c r="B353" s="115"/>
      <c r="C353" s="114"/>
      <c r="D353" s="115"/>
      <c r="E353" s="114"/>
      <c r="F353" s="115"/>
      <c r="G353" s="112"/>
      <c r="H353" s="113"/>
      <c r="I353" s="112"/>
      <c r="J353" s="113"/>
      <c r="K353" s="112"/>
      <c r="L353" s="113"/>
      <c r="M353" s="112"/>
      <c r="N353" s="113"/>
      <c r="O353" s="112"/>
      <c r="P353" s="113"/>
      <c r="Q353" s="112"/>
      <c r="R353" s="113"/>
      <c r="S353" s="112"/>
      <c r="T353" s="113"/>
      <c r="U353" s="112"/>
      <c r="V353" s="113"/>
      <c r="W353" s="114"/>
      <c r="X353" s="115"/>
    </row>
    <row r="354" spans="1:24" hidden="1" x14ac:dyDescent="0.25">
      <c r="A354" s="114"/>
      <c r="B354" s="115"/>
      <c r="C354" s="114"/>
      <c r="D354" s="115"/>
      <c r="E354" s="114"/>
      <c r="F354" s="115"/>
      <c r="G354" s="112"/>
      <c r="H354" s="113"/>
      <c r="I354" s="112"/>
      <c r="J354" s="113"/>
      <c r="K354" s="112"/>
      <c r="L354" s="113"/>
      <c r="M354" s="112"/>
      <c r="N354" s="113"/>
      <c r="O354" s="112"/>
      <c r="P354" s="113"/>
      <c r="Q354" s="112"/>
      <c r="R354" s="113"/>
      <c r="S354" s="112"/>
      <c r="T354" s="113"/>
      <c r="U354" s="112"/>
      <c r="V354" s="113"/>
      <c r="W354" s="114"/>
      <c r="X354" s="115"/>
    </row>
    <row r="355" spans="1:24" hidden="1" x14ac:dyDescent="0.25">
      <c r="A355" s="114"/>
      <c r="B355" s="115"/>
      <c r="C355" s="114"/>
      <c r="D355" s="115"/>
      <c r="E355" s="114"/>
      <c r="F355" s="115"/>
      <c r="G355" s="112"/>
      <c r="H355" s="113"/>
      <c r="I355" s="112"/>
      <c r="J355" s="113"/>
      <c r="K355" s="112"/>
      <c r="L355" s="113"/>
      <c r="M355" s="112"/>
      <c r="N355" s="113"/>
      <c r="O355" s="112"/>
      <c r="P355" s="113"/>
      <c r="Q355" s="112"/>
      <c r="R355" s="113"/>
      <c r="S355" s="112"/>
      <c r="T355" s="113"/>
      <c r="U355" s="112"/>
      <c r="V355" s="113"/>
      <c r="W355" s="114"/>
      <c r="X355" s="115"/>
    </row>
    <row r="356" spans="1:24" hidden="1" x14ac:dyDescent="0.25">
      <c r="A356" s="114"/>
      <c r="B356" s="115"/>
      <c r="C356" s="114"/>
      <c r="D356" s="115"/>
      <c r="E356" s="114"/>
      <c r="F356" s="115"/>
      <c r="G356" s="112"/>
      <c r="H356" s="113"/>
      <c r="I356" s="112"/>
      <c r="J356" s="113"/>
      <c r="K356" s="112"/>
      <c r="L356" s="113"/>
      <c r="M356" s="112"/>
      <c r="N356" s="113"/>
      <c r="O356" s="112"/>
      <c r="P356" s="113"/>
      <c r="Q356" s="112"/>
      <c r="R356" s="113"/>
      <c r="S356" s="112"/>
      <c r="T356" s="113"/>
      <c r="U356" s="112"/>
      <c r="V356" s="113"/>
      <c r="W356" s="114"/>
      <c r="X356" s="115"/>
    </row>
    <row r="357" spans="1:24" hidden="1" x14ac:dyDescent="0.25">
      <c r="A357" s="114"/>
      <c r="B357" s="115"/>
      <c r="C357" s="114"/>
      <c r="D357" s="115"/>
      <c r="E357" s="114"/>
      <c r="F357" s="115"/>
      <c r="G357" s="112"/>
      <c r="H357" s="113"/>
      <c r="I357" s="112"/>
      <c r="J357" s="113"/>
      <c r="K357" s="112"/>
      <c r="L357" s="113"/>
      <c r="M357" s="112"/>
      <c r="N357" s="113"/>
      <c r="O357" s="112"/>
      <c r="P357" s="113"/>
      <c r="Q357" s="112"/>
      <c r="R357" s="113"/>
      <c r="S357" s="112"/>
      <c r="T357" s="113"/>
      <c r="U357" s="112"/>
      <c r="V357" s="113"/>
      <c r="W357" s="114"/>
      <c r="X357" s="115"/>
    </row>
    <row r="358" spans="1:24" hidden="1" x14ac:dyDescent="0.25">
      <c r="A358" s="114"/>
      <c r="B358" s="115"/>
      <c r="C358" s="114"/>
      <c r="D358" s="115"/>
      <c r="E358" s="114"/>
      <c r="F358" s="115"/>
      <c r="G358" s="112"/>
      <c r="H358" s="113"/>
      <c r="I358" s="112"/>
      <c r="J358" s="113"/>
      <c r="K358" s="112"/>
      <c r="L358" s="113"/>
      <c r="M358" s="112"/>
      <c r="N358" s="113"/>
      <c r="O358" s="112"/>
      <c r="P358" s="113"/>
      <c r="Q358" s="112"/>
      <c r="R358" s="113"/>
      <c r="S358" s="112"/>
      <c r="T358" s="113"/>
      <c r="U358" s="112"/>
      <c r="V358" s="113"/>
      <c r="W358" s="114"/>
      <c r="X358" s="115"/>
    </row>
    <row r="359" spans="1:24" hidden="1" x14ac:dyDescent="0.25">
      <c r="A359" s="114"/>
      <c r="B359" s="115"/>
      <c r="C359" s="114"/>
      <c r="D359" s="115"/>
      <c r="E359" s="114"/>
      <c r="F359" s="115"/>
      <c r="G359" s="112"/>
      <c r="H359" s="113"/>
      <c r="I359" s="112"/>
      <c r="J359" s="113"/>
      <c r="K359" s="112"/>
      <c r="L359" s="113"/>
      <c r="M359" s="112"/>
      <c r="N359" s="113"/>
      <c r="O359" s="112"/>
      <c r="P359" s="113"/>
      <c r="Q359" s="112"/>
      <c r="R359" s="113"/>
      <c r="S359" s="112"/>
      <c r="T359" s="113"/>
      <c r="U359" s="112"/>
      <c r="V359" s="113"/>
      <c r="W359" s="114"/>
      <c r="X359" s="115"/>
    </row>
    <row r="360" spans="1:24" hidden="1" x14ac:dyDescent="0.25">
      <c r="A360" s="114"/>
      <c r="B360" s="115"/>
      <c r="C360" s="114"/>
      <c r="D360" s="115"/>
      <c r="E360" s="114"/>
      <c r="F360" s="115"/>
      <c r="G360" s="112"/>
      <c r="H360" s="113"/>
      <c r="I360" s="112"/>
      <c r="J360" s="113"/>
      <c r="K360" s="112"/>
      <c r="L360" s="113"/>
      <c r="M360" s="112"/>
      <c r="N360" s="113"/>
      <c r="O360" s="112"/>
      <c r="P360" s="113"/>
      <c r="Q360" s="112"/>
      <c r="R360" s="113"/>
      <c r="S360" s="112"/>
      <c r="T360" s="113"/>
      <c r="U360" s="112"/>
      <c r="V360" s="113"/>
      <c r="W360" s="114"/>
      <c r="X360" s="115"/>
    </row>
    <row r="361" spans="1:24" hidden="1" x14ac:dyDescent="0.25">
      <c r="A361" s="114"/>
      <c r="B361" s="115"/>
      <c r="C361" s="114"/>
      <c r="D361" s="115"/>
      <c r="E361" s="114"/>
      <c r="F361" s="115"/>
      <c r="G361" s="112"/>
      <c r="H361" s="113"/>
      <c r="I361" s="112"/>
      <c r="J361" s="113"/>
      <c r="K361" s="112"/>
      <c r="L361" s="113"/>
      <c r="M361" s="112"/>
      <c r="N361" s="113"/>
      <c r="O361" s="112"/>
      <c r="P361" s="113"/>
      <c r="Q361" s="112"/>
      <c r="R361" s="113"/>
      <c r="S361" s="112"/>
      <c r="T361" s="113"/>
      <c r="U361" s="112"/>
      <c r="V361" s="113"/>
      <c r="W361" s="114"/>
      <c r="X361" s="115"/>
    </row>
    <row r="362" spans="1:24" hidden="1" x14ac:dyDescent="0.25">
      <c r="A362" s="114"/>
      <c r="B362" s="115"/>
      <c r="C362" s="114"/>
      <c r="D362" s="115"/>
      <c r="E362" s="114"/>
      <c r="F362" s="115"/>
      <c r="G362" s="112"/>
      <c r="H362" s="113"/>
      <c r="I362" s="112"/>
      <c r="J362" s="113"/>
      <c r="K362" s="112"/>
      <c r="L362" s="113"/>
      <c r="M362" s="112"/>
      <c r="N362" s="113"/>
      <c r="O362" s="112"/>
      <c r="P362" s="113"/>
      <c r="Q362" s="112"/>
      <c r="R362" s="113"/>
      <c r="S362" s="112"/>
      <c r="T362" s="113"/>
      <c r="U362" s="112"/>
      <c r="V362" s="113"/>
      <c r="W362" s="114"/>
      <c r="X362" s="115"/>
    </row>
    <row r="363" spans="1:24" hidden="1" x14ac:dyDescent="0.25">
      <c r="A363" s="114"/>
      <c r="B363" s="115"/>
      <c r="C363" s="114"/>
      <c r="D363" s="115"/>
      <c r="E363" s="114"/>
      <c r="F363" s="115"/>
      <c r="G363" s="112"/>
      <c r="H363" s="113"/>
      <c r="I363" s="112"/>
      <c r="J363" s="113"/>
      <c r="K363" s="112"/>
      <c r="L363" s="113"/>
      <c r="M363" s="112"/>
      <c r="N363" s="113"/>
      <c r="O363" s="112"/>
      <c r="P363" s="113"/>
      <c r="Q363" s="112"/>
      <c r="R363" s="113"/>
      <c r="S363" s="112"/>
      <c r="T363" s="113"/>
      <c r="U363" s="112"/>
      <c r="V363" s="113"/>
      <c r="W363" s="114"/>
      <c r="X363" s="115"/>
    </row>
    <row r="364" spans="1:24" hidden="1" x14ac:dyDescent="0.25">
      <c r="A364" s="114"/>
      <c r="B364" s="115"/>
      <c r="C364" s="114"/>
      <c r="D364" s="115"/>
      <c r="E364" s="114"/>
      <c r="F364" s="115"/>
      <c r="G364" s="112"/>
      <c r="H364" s="113"/>
      <c r="I364" s="112"/>
      <c r="J364" s="113"/>
      <c r="K364" s="112"/>
      <c r="L364" s="113"/>
      <c r="M364" s="112"/>
      <c r="N364" s="113"/>
      <c r="O364" s="112"/>
      <c r="P364" s="113"/>
      <c r="Q364" s="112"/>
      <c r="R364" s="113"/>
      <c r="S364" s="112"/>
      <c r="T364" s="113"/>
      <c r="U364" s="112"/>
      <c r="V364" s="113"/>
      <c r="W364" s="114"/>
      <c r="X364" s="115"/>
    </row>
    <row r="365" spans="1:24" hidden="1" x14ac:dyDescent="0.25">
      <c r="A365" s="114"/>
      <c r="B365" s="115"/>
      <c r="C365" s="114"/>
      <c r="D365" s="115"/>
      <c r="E365" s="114"/>
      <c r="F365" s="115"/>
      <c r="G365" s="112"/>
      <c r="H365" s="113"/>
      <c r="I365" s="112"/>
      <c r="J365" s="113"/>
      <c r="K365" s="112"/>
      <c r="L365" s="113"/>
      <c r="M365" s="112"/>
      <c r="N365" s="113"/>
      <c r="O365" s="112"/>
      <c r="P365" s="113"/>
      <c r="Q365" s="112"/>
      <c r="R365" s="113"/>
      <c r="S365" s="112"/>
      <c r="T365" s="113"/>
      <c r="U365" s="112"/>
      <c r="V365" s="113"/>
      <c r="W365" s="114"/>
      <c r="X365" s="115"/>
    </row>
    <row r="366" spans="1:24" hidden="1" x14ac:dyDescent="0.25">
      <c r="A366" s="114"/>
      <c r="B366" s="115"/>
      <c r="C366" s="114"/>
      <c r="D366" s="115"/>
      <c r="E366" s="114"/>
      <c r="F366" s="115"/>
      <c r="G366" s="112"/>
      <c r="H366" s="113"/>
      <c r="I366" s="112"/>
      <c r="J366" s="113"/>
      <c r="K366" s="112"/>
      <c r="L366" s="113"/>
      <c r="M366" s="112"/>
      <c r="N366" s="113"/>
      <c r="O366" s="112"/>
      <c r="P366" s="113"/>
      <c r="Q366" s="112"/>
      <c r="R366" s="113"/>
      <c r="S366" s="112"/>
      <c r="T366" s="113"/>
      <c r="U366" s="112"/>
      <c r="V366" s="113"/>
      <c r="W366" s="114"/>
      <c r="X366" s="115"/>
    </row>
    <row r="367" spans="1:24" hidden="1" x14ac:dyDescent="0.25">
      <c r="A367" s="114"/>
      <c r="B367" s="115"/>
      <c r="C367" s="114"/>
      <c r="D367" s="115"/>
      <c r="E367" s="114"/>
      <c r="F367" s="115"/>
      <c r="G367" s="112"/>
      <c r="H367" s="113"/>
      <c r="I367" s="112"/>
      <c r="J367" s="113"/>
      <c r="K367" s="112"/>
      <c r="L367" s="113"/>
      <c r="M367" s="112"/>
      <c r="N367" s="113"/>
      <c r="O367" s="112"/>
      <c r="P367" s="113"/>
      <c r="Q367" s="112"/>
      <c r="R367" s="113"/>
      <c r="S367" s="112"/>
      <c r="T367" s="113"/>
      <c r="U367" s="112"/>
      <c r="V367" s="113"/>
      <c r="W367" s="114"/>
      <c r="X367" s="115"/>
    </row>
    <row r="368" spans="1:24" hidden="1" x14ac:dyDescent="0.25">
      <c r="A368" s="114"/>
      <c r="B368" s="115"/>
      <c r="C368" s="114"/>
      <c r="D368" s="115"/>
      <c r="E368" s="114"/>
      <c r="F368" s="115"/>
      <c r="G368" s="112"/>
      <c r="H368" s="113"/>
      <c r="I368" s="112"/>
      <c r="J368" s="113"/>
      <c r="K368" s="112"/>
      <c r="L368" s="113"/>
      <c r="M368" s="112"/>
      <c r="N368" s="113"/>
      <c r="O368" s="112"/>
      <c r="P368" s="113"/>
      <c r="Q368" s="112"/>
      <c r="R368" s="113"/>
      <c r="S368" s="112"/>
      <c r="T368" s="113"/>
      <c r="U368" s="112"/>
      <c r="V368" s="113"/>
      <c r="W368" s="114"/>
      <c r="X368" s="115"/>
    </row>
    <row r="369" spans="1:24" hidden="1" x14ac:dyDescent="0.25">
      <c r="A369" s="114"/>
      <c r="B369" s="115"/>
      <c r="C369" s="114"/>
      <c r="D369" s="115"/>
      <c r="E369" s="114"/>
      <c r="F369" s="115"/>
      <c r="G369" s="112"/>
      <c r="H369" s="113"/>
      <c r="I369" s="112"/>
      <c r="J369" s="113"/>
      <c r="K369" s="112"/>
      <c r="L369" s="113"/>
      <c r="M369" s="112"/>
      <c r="N369" s="113"/>
      <c r="O369" s="112"/>
      <c r="P369" s="113"/>
      <c r="Q369" s="112"/>
      <c r="R369" s="113"/>
      <c r="S369" s="112"/>
      <c r="T369" s="113"/>
      <c r="U369" s="112"/>
      <c r="V369" s="113"/>
      <c r="W369" s="114"/>
      <c r="X369" s="115"/>
    </row>
    <row r="370" spans="1:24" hidden="1" x14ac:dyDescent="0.25">
      <c r="A370" s="114"/>
      <c r="B370" s="115"/>
      <c r="C370" s="114"/>
      <c r="D370" s="115"/>
      <c r="E370" s="114"/>
      <c r="F370" s="115"/>
      <c r="G370" s="112"/>
      <c r="H370" s="113"/>
      <c r="I370" s="112"/>
      <c r="J370" s="113"/>
      <c r="K370" s="112"/>
      <c r="L370" s="113"/>
      <c r="M370" s="112"/>
      <c r="N370" s="113"/>
      <c r="O370" s="112"/>
      <c r="P370" s="113"/>
      <c r="Q370" s="112"/>
      <c r="R370" s="113"/>
      <c r="S370" s="112"/>
      <c r="T370" s="113"/>
      <c r="U370" s="112"/>
      <c r="V370" s="113"/>
      <c r="W370" s="114"/>
      <c r="X370" s="115"/>
    </row>
    <row r="371" spans="1:24" hidden="1" x14ac:dyDescent="0.25">
      <c r="A371" s="114"/>
      <c r="B371" s="115"/>
      <c r="C371" s="114"/>
      <c r="D371" s="115"/>
      <c r="E371" s="114"/>
      <c r="F371" s="115"/>
      <c r="G371" s="112"/>
      <c r="H371" s="113"/>
      <c r="I371" s="112"/>
      <c r="J371" s="113"/>
      <c r="K371" s="112"/>
      <c r="L371" s="113"/>
      <c r="M371" s="112"/>
      <c r="N371" s="113"/>
      <c r="O371" s="112"/>
      <c r="P371" s="113"/>
      <c r="Q371" s="112"/>
      <c r="R371" s="113"/>
      <c r="S371" s="112"/>
      <c r="T371" s="113"/>
      <c r="U371" s="112"/>
      <c r="V371" s="113"/>
      <c r="W371" s="114"/>
      <c r="X371" s="115"/>
    </row>
    <row r="372" spans="1:24" hidden="1" x14ac:dyDescent="0.25">
      <c r="A372" s="114"/>
      <c r="B372" s="115"/>
      <c r="C372" s="114"/>
      <c r="D372" s="115"/>
      <c r="E372" s="114"/>
      <c r="F372" s="115"/>
      <c r="G372" s="112"/>
      <c r="H372" s="113"/>
      <c r="I372" s="112"/>
      <c r="J372" s="113"/>
      <c r="K372" s="112"/>
      <c r="L372" s="113"/>
      <c r="M372" s="112"/>
      <c r="N372" s="113"/>
      <c r="O372" s="112"/>
      <c r="P372" s="113"/>
      <c r="Q372" s="112"/>
      <c r="R372" s="113"/>
      <c r="S372" s="112"/>
      <c r="T372" s="113"/>
      <c r="U372" s="112"/>
      <c r="V372" s="113"/>
      <c r="W372" s="114"/>
      <c r="X372" s="115"/>
    </row>
    <row r="373" spans="1:24" hidden="1" x14ac:dyDescent="0.25">
      <c r="A373" s="114"/>
      <c r="B373" s="115"/>
      <c r="C373" s="114"/>
      <c r="D373" s="115"/>
      <c r="E373" s="114"/>
      <c r="F373" s="115"/>
      <c r="G373" s="112"/>
      <c r="H373" s="113"/>
      <c r="I373" s="112"/>
      <c r="J373" s="113"/>
      <c r="K373" s="112"/>
      <c r="L373" s="113"/>
      <c r="M373" s="112"/>
      <c r="N373" s="113"/>
      <c r="O373" s="112"/>
      <c r="P373" s="113"/>
      <c r="Q373" s="112"/>
      <c r="R373" s="113"/>
      <c r="S373" s="112"/>
      <c r="T373" s="113"/>
      <c r="U373" s="112"/>
      <c r="V373" s="113"/>
      <c r="W373" s="114"/>
      <c r="X373" s="115"/>
    </row>
    <row r="374" spans="1:24" hidden="1" x14ac:dyDescent="0.25">
      <c r="A374" s="114"/>
      <c r="B374" s="115"/>
      <c r="C374" s="114"/>
      <c r="D374" s="115"/>
      <c r="E374" s="114"/>
      <c r="F374" s="115"/>
      <c r="G374" s="112"/>
      <c r="H374" s="113"/>
      <c r="I374" s="112"/>
      <c r="J374" s="113"/>
      <c r="K374" s="112"/>
      <c r="L374" s="113"/>
      <c r="M374" s="112"/>
      <c r="N374" s="113"/>
      <c r="O374" s="112"/>
      <c r="P374" s="113"/>
      <c r="Q374" s="112"/>
      <c r="R374" s="113"/>
      <c r="S374" s="112"/>
      <c r="T374" s="113"/>
      <c r="U374" s="112"/>
      <c r="V374" s="113"/>
      <c r="W374" s="114"/>
      <c r="X374" s="115"/>
    </row>
    <row r="375" spans="1:24" hidden="1" x14ac:dyDescent="0.25">
      <c r="A375" s="114"/>
      <c r="B375" s="115"/>
      <c r="C375" s="114"/>
      <c r="D375" s="115"/>
      <c r="E375" s="114"/>
      <c r="F375" s="115"/>
      <c r="G375" s="112"/>
      <c r="H375" s="113"/>
      <c r="I375" s="112"/>
      <c r="J375" s="113"/>
      <c r="K375" s="112"/>
      <c r="L375" s="113"/>
      <c r="M375" s="112"/>
      <c r="N375" s="113"/>
      <c r="O375" s="112"/>
      <c r="P375" s="113"/>
      <c r="Q375" s="112"/>
      <c r="R375" s="113"/>
      <c r="S375" s="112"/>
      <c r="T375" s="113"/>
      <c r="U375" s="112"/>
      <c r="V375" s="113"/>
      <c r="W375" s="114"/>
      <c r="X375" s="115"/>
    </row>
    <row r="376" spans="1:24" hidden="1" x14ac:dyDescent="0.25">
      <c r="A376" s="114"/>
      <c r="B376" s="115"/>
      <c r="C376" s="114"/>
      <c r="D376" s="115"/>
      <c r="E376" s="114"/>
      <c r="F376" s="115"/>
      <c r="G376" s="112"/>
      <c r="H376" s="113"/>
      <c r="I376" s="112"/>
      <c r="J376" s="113"/>
      <c r="K376" s="112"/>
      <c r="L376" s="113"/>
      <c r="M376" s="112"/>
      <c r="N376" s="113"/>
      <c r="O376" s="112"/>
      <c r="P376" s="113"/>
      <c r="Q376" s="112"/>
      <c r="R376" s="113"/>
      <c r="S376" s="112"/>
      <c r="T376" s="113"/>
      <c r="U376" s="112"/>
      <c r="V376" s="113"/>
      <c r="W376" s="114"/>
      <c r="X376" s="115"/>
    </row>
    <row r="377" spans="1:24" hidden="1" x14ac:dyDescent="0.25">
      <c r="A377" s="114"/>
      <c r="B377" s="115"/>
      <c r="C377" s="114"/>
      <c r="D377" s="115"/>
      <c r="E377" s="114"/>
      <c r="F377" s="115"/>
      <c r="G377" s="112"/>
      <c r="H377" s="113"/>
      <c r="I377" s="112"/>
      <c r="J377" s="113"/>
      <c r="K377" s="112"/>
      <c r="L377" s="113"/>
      <c r="M377" s="112"/>
      <c r="N377" s="113"/>
      <c r="O377" s="112"/>
      <c r="P377" s="113"/>
      <c r="Q377" s="112"/>
      <c r="R377" s="113"/>
      <c r="S377" s="112"/>
      <c r="T377" s="113"/>
      <c r="U377" s="112"/>
      <c r="V377" s="113"/>
      <c r="W377" s="114"/>
      <c r="X377" s="115"/>
    </row>
    <row r="378" spans="1:24" hidden="1" x14ac:dyDescent="0.25">
      <c r="A378" s="114"/>
      <c r="B378" s="115"/>
      <c r="C378" s="114"/>
      <c r="D378" s="115"/>
      <c r="E378" s="114"/>
      <c r="F378" s="115"/>
      <c r="G378" s="112"/>
      <c r="H378" s="113"/>
      <c r="I378" s="112"/>
      <c r="J378" s="113"/>
      <c r="K378" s="112"/>
      <c r="L378" s="113"/>
      <c r="M378" s="112"/>
      <c r="N378" s="113"/>
      <c r="O378" s="112"/>
      <c r="P378" s="113"/>
      <c r="Q378" s="112"/>
      <c r="R378" s="113"/>
      <c r="S378" s="112"/>
      <c r="T378" s="113"/>
      <c r="U378" s="112"/>
      <c r="V378" s="113"/>
      <c r="W378" s="114"/>
      <c r="X378" s="115"/>
    </row>
    <row r="379" spans="1:24" hidden="1" x14ac:dyDescent="0.25">
      <c r="A379" s="114"/>
      <c r="B379" s="115"/>
      <c r="C379" s="114"/>
      <c r="D379" s="115"/>
      <c r="E379" s="114"/>
      <c r="F379" s="115"/>
      <c r="G379" s="112"/>
      <c r="H379" s="113"/>
      <c r="I379" s="112"/>
      <c r="J379" s="113"/>
      <c r="K379" s="112"/>
      <c r="L379" s="113"/>
      <c r="M379" s="112"/>
      <c r="N379" s="113"/>
      <c r="O379" s="112"/>
      <c r="P379" s="113"/>
      <c r="Q379" s="112"/>
      <c r="R379" s="113"/>
      <c r="S379" s="112"/>
      <c r="T379" s="113"/>
      <c r="U379" s="112"/>
      <c r="V379" s="113"/>
      <c r="W379" s="114"/>
      <c r="X379" s="115"/>
    </row>
    <row r="380" spans="1:24" hidden="1" x14ac:dyDescent="0.25">
      <c r="A380" s="114"/>
      <c r="B380" s="115"/>
      <c r="C380" s="114"/>
      <c r="D380" s="115"/>
      <c r="E380" s="114"/>
      <c r="F380" s="115"/>
      <c r="G380" s="112"/>
      <c r="H380" s="113"/>
      <c r="I380" s="112"/>
      <c r="J380" s="113"/>
      <c r="K380" s="112"/>
      <c r="L380" s="113"/>
      <c r="M380" s="112"/>
      <c r="N380" s="113"/>
      <c r="O380" s="112"/>
      <c r="P380" s="113"/>
      <c r="Q380" s="112"/>
      <c r="R380" s="113"/>
      <c r="S380" s="112"/>
      <c r="T380" s="113"/>
      <c r="U380" s="112"/>
      <c r="V380" s="113"/>
      <c r="W380" s="114"/>
      <c r="X380" s="115"/>
    </row>
    <row r="381" spans="1:24" hidden="1" x14ac:dyDescent="0.25">
      <c r="A381" s="114"/>
      <c r="B381" s="115"/>
      <c r="C381" s="114"/>
      <c r="D381" s="115"/>
      <c r="E381" s="114"/>
      <c r="F381" s="115"/>
      <c r="G381" s="112"/>
      <c r="H381" s="113"/>
      <c r="I381" s="112"/>
      <c r="J381" s="113"/>
      <c r="K381" s="112"/>
      <c r="L381" s="113"/>
      <c r="M381" s="112"/>
      <c r="N381" s="113"/>
      <c r="O381" s="112"/>
      <c r="P381" s="113"/>
      <c r="Q381" s="112"/>
      <c r="R381" s="113"/>
      <c r="S381" s="112"/>
      <c r="T381" s="113"/>
      <c r="U381" s="112"/>
      <c r="V381" s="113"/>
      <c r="W381" s="114"/>
      <c r="X381" s="115"/>
    </row>
    <row r="382" spans="1:24" hidden="1" x14ac:dyDescent="0.25">
      <c r="A382" s="114"/>
      <c r="B382" s="115"/>
      <c r="C382" s="114"/>
      <c r="D382" s="115"/>
      <c r="E382" s="114"/>
      <c r="F382" s="115"/>
      <c r="G382" s="112"/>
      <c r="H382" s="113"/>
      <c r="I382" s="112"/>
      <c r="J382" s="113"/>
      <c r="K382" s="112"/>
      <c r="L382" s="113"/>
      <c r="M382" s="112"/>
      <c r="N382" s="113"/>
      <c r="O382" s="112"/>
      <c r="P382" s="113"/>
      <c r="Q382" s="112"/>
      <c r="R382" s="113"/>
      <c r="S382" s="112"/>
      <c r="T382" s="113"/>
      <c r="U382" s="112"/>
      <c r="V382" s="113"/>
      <c r="W382" s="114"/>
      <c r="X382" s="115"/>
    </row>
    <row r="383" spans="1:24" hidden="1" x14ac:dyDescent="0.25">
      <c r="A383" s="114"/>
      <c r="B383" s="115"/>
      <c r="C383" s="114"/>
      <c r="D383" s="115"/>
      <c r="E383" s="114"/>
      <c r="F383" s="115"/>
      <c r="G383" s="112"/>
      <c r="H383" s="113"/>
      <c r="I383" s="112"/>
      <c r="J383" s="113"/>
      <c r="K383" s="112"/>
      <c r="L383" s="113"/>
      <c r="M383" s="112"/>
      <c r="N383" s="113"/>
      <c r="O383" s="112"/>
      <c r="P383" s="113"/>
      <c r="Q383" s="112"/>
      <c r="R383" s="113"/>
      <c r="S383" s="112"/>
      <c r="T383" s="113"/>
      <c r="U383" s="112"/>
      <c r="V383" s="113"/>
      <c r="W383" s="114"/>
      <c r="X383" s="115"/>
    </row>
    <row r="384" spans="1:24" hidden="1" x14ac:dyDescent="0.25">
      <c r="A384" s="114"/>
      <c r="B384" s="115"/>
      <c r="C384" s="114"/>
      <c r="D384" s="115"/>
      <c r="E384" s="114"/>
      <c r="F384" s="115"/>
      <c r="G384" s="112"/>
      <c r="H384" s="113"/>
      <c r="I384" s="112"/>
      <c r="J384" s="113"/>
      <c r="K384" s="112"/>
      <c r="L384" s="113"/>
      <c r="M384" s="112"/>
      <c r="N384" s="113"/>
      <c r="O384" s="112"/>
      <c r="P384" s="113"/>
      <c r="Q384" s="112"/>
      <c r="R384" s="113"/>
      <c r="S384" s="112"/>
      <c r="T384" s="113"/>
      <c r="U384" s="112"/>
      <c r="V384" s="113"/>
      <c r="W384" s="114"/>
      <c r="X384" s="115"/>
    </row>
    <row r="385" spans="1:24" hidden="1" x14ac:dyDescent="0.25">
      <c r="A385" s="114"/>
      <c r="B385" s="115"/>
      <c r="C385" s="114"/>
      <c r="D385" s="115"/>
      <c r="E385" s="114"/>
      <c r="F385" s="115"/>
      <c r="G385" s="112"/>
      <c r="H385" s="113"/>
      <c r="I385" s="112"/>
      <c r="J385" s="113"/>
      <c r="K385" s="112"/>
      <c r="L385" s="113"/>
      <c r="M385" s="112"/>
      <c r="N385" s="113"/>
      <c r="O385" s="112"/>
      <c r="P385" s="113"/>
      <c r="Q385" s="112"/>
      <c r="R385" s="113"/>
      <c r="S385" s="112"/>
      <c r="T385" s="113"/>
      <c r="U385" s="112"/>
      <c r="V385" s="113"/>
      <c r="W385" s="114"/>
      <c r="X385" s="115"/>
    </row>
    <row r="386" spans="1:24" hidden="1" x14ac:dyDescent="0.25">
      <c r="A386" s="114"/>
      <c r="B386" s="115"/>
      <c r="C386" s="114"/>
      <c r="D386" s="115"/>
      <c r="E386" s="114"/>
      <c r="F386" s="115"/>
      <c r="G386" s="112"/>
      <c r="H386" s="113"/>
      <c r="I386" s="112"/>
      <c r="J386" s="113"/>
      <c r="K386" s="112"/>
      <c r="L386" s="113"/>
      <c r="M386" s="112"/>
      <c r="N386" s="113"/>
      <c r="O386" s="112"/>
      <c r="P386" s="113"/>
      <c r="Q386" s="112"/>
      <c r="R386" s="113"/>
      <c r="S386" s="112"/>
      <c r="T386" s="113"/>
      <c r="U386" s="112"/>
      <c r="V386" s="113"/>
      <c r="W386" s="114"/>
      <c r="X386" s="115"/>
    </row>
    <row r="387" spans="1:24" hidden="1" x14ac:dyDescent="0.25">
      <c r="A387" s="114"/>
      <c r="B387" s="115"/>
      <c r="C387" s="114"/>
      <c r="D387" s="115"/>
      <c r="E387" s="114"/>
      <c r="F387" s="115"/>
      <c r="G387" s="112"/>
      <c r="H387" s="113"/>
      <c r="I387" s="112"/>
      <c r="J387" s="113"/>
      <c r="K387" s="112"/>
      <c r="L387" s="113"/>
      <c r="M387" s="112"/>
      <c r="N387" s="113"/>
      <c r="O387" s="112"/>
      <c r="P387" s="113"/>
      <c r="Q387" s="112"/>
      <c r="R387" s="113"/>
      <c r="S387" s="112"/>
      <c r="T387" s="113"/>
      <c r="U387" s="112"/>
      <c r="V387" s="113"/>
      <c r="W387" s="114"/>
      <c r="X387" s="115"/>
    </row>
    <row r="388" spans="1:24" hidden="1" x14ac:dyDescent="0.25">
      <c r="A388" s="114"/>
      <c r="B388" s="115"/>
      <c r="C388" s="114"/>
      <c r="D388" s="115"/>
      <c r="E388" s="114"/>
      <c r="F388" s="115"/>
      <c r="G388" s="112"/>
      <c r="H388" s="113"/>
      <c r="I388" s="112"/>
      <c r="J388" s="113"/>
      <c r="K388" s="112"/>
      <c r="L388" s="113"/>
      <c r="M388" s="112"/>
      <c r="N388" s="113"/>
      <c r="O388" s="112"/>
      <c r="P388" s="113"/>
      <c r="Q388" s="112"/>
      <c r="R388" s="113"/>
      <c r="S388" s="112"/>
      <c r="T388" s="113"/>
      <c r="U388" s="112"/>
      <c r="V388" s="113"/>
      <c r="W388" s="114"/>
      <c r="X388" s="115"/>
    </row>
    <row r="389" spans="1:24" hidden="1" x14ac:dyDescent="0.25">
      <c r="A389" s="114"/>
      <c r="B389" s="115"/>
      <c r="C389" s="114"/>
      <c r="D389" s="115"/>
      <c r="E389" s="114"/>
      <c r="F389" s="115"/>
      <c r="G389" s="112"/>
      <c r="H389" s="113"/>
      <c r="I389" s="112"/>
      <c r="J389" s="113"/>
      <c r="K389" s="112"/>
      <c r="L389" s="113"/>
      <c r="M389" s="112"/>
      <c r="N389" s="113"/>
      <c r="O389" s="112"/>
      <c r="P389" s="113"/>
      <c r="Q389" s="112"/>
      <c r="R389" s="113"/>
      <c r="S389" s="112"/>
      <c r="T389" s="113"/>
      <c r="U389" s="112"/>
      <c r="V389" s="113"/>
      <c r="W389" s="114"/>
      <c r="X389" s="115"/>
    </row>
    <row r="390" spans="1:24" hidden="1" x14ac:dyDescent="0.25">
      <c r="A390" s="114"/>
      <c r="B390" s="115"/>
      <c r="C390" s="114"/>
      <c r="D390" s="115"/>
      <c r="E390" s="114"/>
      <c r="F390" s="115"/>
      <c r="G390" s="112"/>
      <c r="H390" s="113"/>
      <c r="I390" s="112"/>
      <c r="J390" s="113"/>
      <c r="K390" s="112"/>
      <c r="L390" s="113"/>
      <c r="M390" s="112"/>
      <c r="N390" s="113"/>
      <c r="O390" s="112"/>
      <c r="P390" s="113"/>
      <c r="Q390" s="112"/>
      <c r="R390" s="113"/>
      <c r="S390" s="112"/>
      <c r="T390" s="113"/>
      <c r="U390" s="112"/>
      <c r="V390" s="113"/>
      <c r="W390" s="114"/>
      <c r="X390" s="115"/>
    </row>
    <row r="391" spans="1:24" hidden="1" x14ac:dyDescent="0.25">
      <c r="A391" s="114"/>
      <c r="B391" s="115"/>
      <c r="C391" s="114"/>
      <c r="D391" s="115"/>
      <c r="E391" s="114"/>
      <c r="F391" s="115"/>
      <c r="G391" s="112"/>
      <c r="H391" s="113"/>
      <c r="I391" s="112"/>
      <c r="J391" s="113"/>
      <c r="K391" s="112"/>
      <c r="L391" s="113"/>
      <c r="M391" s="112"/>
      <c r="N391" s="113"/>
      <c r="O391" s="112"/>
      <c r="P391" s="113"/>
      <c r="Q391" s="112"/>
      <c r="R391" s="113"/>
      <c r="S391" s="112"/>
      <c r="T391" s="113"/>
      <c r="U391" s="112"/>
      <c r="V391" s="113"/>
      <c r="W391" s="114"/>
      <c r="X391" s="115"/>
    </row>
    <row r="392" spans="1:24" hidden="1" x14ac:dyDescent="0.25">
      <c r="A392" s="114"/>
      <c r="B392" s="115"/>
      <c r="C392" s="114"/>
      <c r="D392" s="115"/>
      <c r="E392" s="114"/>
      <c r="F392" s="115"/>
      <c r="G392" s="112"/>
      <c r="H392" s="113"/>
      <c r="I392" s="112"/>
      <c r="J392" s="113"/>
      <c r="K392" s="112"/>
      <c r="L392" s="113"/>
      <c r="M392" s="112"/>
      <c r="N392" s="113"/>
      <c r="O392" s="112"/>
      <c r="P392" s="113"/>
      <c r="Q392" s="112"/>
      <c r="R392" s="113"/>
      <c r="S392" s="112"/>
      <c r="T392" s="113"/>
      <c r="U392" s="112"/>
      <c r="V392" s="113"/>
      <c r="W392" s="114"/>
      <c r="X392" s="115"/>
    </row>
    <row r="393" spans="1:24" hidden="1" x14ac:dyDescent="0.25">
      <c r="A393" s="114"/>
      <c r="B393" s="115"/>
      <c r="C393" s="114"/>
      <c r="D393" s="115"/>
      <c r="E393" s="114"/>
      <c r="F393" s="115"/>
      <c r="G393" s="112"/>
      <c r="H393" s="113"/>
      <c r="I393" s="112"/>
      <c r="J393" s="113"/>
      <c r="K393" s="112"/>
      <c r="L393" s="113"/>
      <c r="M393" s="112"/>
      <c r="N393" s="113"/>
      <c r="O393" s="112"/>
      <c r="P393" s="113"/>
      <c r="Q393" s="112"/>
      <c r="R393" s="113"/>
      <c r="S393" s="112"/>
      <c r="T393" s="113"/>
      <c r="U393" s="112"/>
      <c r="V393" s="113"/>
      <c r="W393" s="114"/>
      <c r="X393" s="115"/>
    </row>
    <row r="394" spans="1:24" hidden="1" x14ac:dyDescent="0.25">
      <c r="A394" s="114"/>
      <c r="B394" s="115"/>
      <c r="C394" s="114"/>
      <c r="D394" s="115"/>
      <c r="E394" s="114"/>
      <c r="F394" s="115"/>
      <c r="G394" s="112"/>
      <c r="H394" s="113"/>
      <c r="I394" s="112"/>
      <c r="J394" s="113"/>
      <c r="K394" s="112"/>
      <c r="L394" s="113"/>
      <c r="M394" s="112"/>
      <c r="N394" s="113"/>
      <c r="O394" s="112"/>
      <c r="P394" s="113"/>
      <c r="Q394" s="112"/>
      <c r="R394" s="113"/>
      <c r="S394" s="112"/>
      <c r="T394" s="113"/>
      <c r="U394" s="112"/>
      <c r="V394" s="113"/>
      <c r="W394" s="114"/>
      <c r="X394" s="115"/>
    </row>
    <row r="395" spans="1:24" hidden="1" x14ac:dyDescent="0.25">
      <c r="A395" s="114"/>
      <c r="B395" s="115"/>
      <c r="C395" s="114"/>
      <c r="D395" s="115"/>
      <c r="E395" s="114"/>
      <c r="F395" s="115"/>
      <c r="G395" s="112"/>
      <c r="H395" s="113"/>
      <c r="I395" s="112"/>
      <c r="J395" s="113"/>
      <c r="K395" s="112"/>
      <c r="L395" s="113"/>
      <c r="M395" s="112"/>
      <c r="N395" s="113"/>
      <c r="O395" s="112"/>
      <c r="P395" s="113"/>
      <c r="Q395" s="112"/>
      <c r="R395" s="113"/>
      <c r="S395" s="112"/>
      <c r="T395" s="113"/>
      <c r="U395" s="112"/>
      <c r="V395" s="113"/>
      <c r="W395" s="114"/>
      <c r="X395" s="115"/>
    </row>
    <row r="396" spans="1:24" hidden="1" x14ac:dyDescent="0.25">
      <c r="A396" s="114"/>
      <c r="B396" s="115"/>
      <c r="C396" s="114"/>
      <c r="D396" s="115"/>
      <c r="E396" s="114"/>
      <c r="F396" s="115"/>
      <c r="G396" s="112"/>
      <c r="H396" s="113"/>
      <c r="I396" s="112"/>
      <c r="J396" s="113"/>
      <c r="K396" s="112"/>
      <c r="L396" s="113"/>
      <c r="M396" s="112"/>
      <c r="N396" s="113"/>
      <c r="O396" s="112"/>
      <c r="P396" s="113"/>
      <c r="Q396" s="112"/>
      <c r="R396" s="113"/>
      <c r="S396" s="112"/>
      <c r="T396" s="113"/>
      <c r="U396" s="112"/>
      <c r="V396" s="113"/>
      <c r="W396" s="114"/>
      <c r="X396" s="115"/>
    </row>
    <row r="397" spans="1:24" hidden="1" x14ac:dyDescent="0.25">
      <c r="A397" s="114"/>
      <c r="B397" s="115"/>
      <c r="C397" s="114"/>
      <c r="D397" s="115"/>
      <c r="E397" s="114"/>
      <c r="F397" s="115"/>
      <c r="G397" s="112"/>
      <c r="H397" s="113"/>
      <c r="I397" s="112"/>
      <c r="J397" s="113"/>
      <c r="K397" s="112"/>
      <c r="L397" s="113"/>
      <c r="M397" s="112"/>
      <c r="N397" s="113"/>
      <c r="O397" s="112"/>
      <c r="P397" s="113"/>
      <c r="Q397" s="112"/>
      <c r="R397" s="113"/>
      <c r="S397" s="112"/>
      <c r="T397" s="113"/>
      <c r="U397" s="112"/>
      <c r="V397" s="113"/>
      <c r="W397" s="114"/>
      <c r="X397" s="115"/>
    </row>
    <row r="398" spans="1:24" hidden="1" x14ac:dyDescent="0.25">
      <c r="A398" s="114"/>
      <c r="B398" s="115"/>
      <c r="C398" s="114"/>
      <c r="D398" s="115"/>
      <c r="E398" s="114"/>
      <c r="F398" s="115"/>
      <c r="G398" s="112"/>
      <c r="H398" s="113"/>
      <c r="I398" s="112"/>
      <c r="J398" s="113"/>
      <c r="K398" s="112"/>
      <c r="L398" s="113"/>
      <c r="M398" s="112"/>
      <c r="N398" s="113"/>
      <c r="O398" s="112"/>
      <c r="P398" s="113"/>
      <c r="Q398" s="112"/>
      <c r="R398" s="113"/>
      <c r="S398" s="112"/>
      <c r="T398" s="113"/>
      <c r="U398" s="112"/>
      <c r="V398" s="113"/>
      <c r="W398" s="114"/>
      <c r="X398" s="115"/>
    </row>
    <row r="399" spans="1:24" hidden="1" x14ac:dyDescent="0.25">
      <c r="A399" s="114"/>
      <c r="B399" s="115"/>
      <c r="C399" s="114"/>
      <c r="D399" s="115"/>
      <c r="E399" s="114"/>
      <c r="F399" s="115"/>
      <c r="G399" s="112"/>
      <c r="H399" s="113"/>
      <c r="I399" s="112"/>
      <c r="J399" s="113"/>
      <c r="K399" s="112"/>
      <c r="L399" s="113"/>
      <c r="M399" s="112"/>
      <c r="N399" s="113"/>
      <c r="O399" s="112"/>
      <c r="P399" s="113"/>
      <c r="Q399" s="112"/>
      <c r="R399" s="113"/>
      <c r="S399" s="112"/>
      <c r="T399" s="113"/>
      <c r="U399" s="112"/>
      <c r="V399" s="113"/>
      <c r="W399" s="114"/>
      <c r="X399" s="115"/>
    </row>
    <row r="400" spans="1:24" hidden="1" x14ac:dyDescent="0.25">
      <c r="A400" s="114"/>
      <c r="B400" s="115"/>
      <c r="C400" s="114"/>
      <c r="D400" s="115"/>
      <c r="E400" s="114"/>
      <c r="F400" s="115"/>
      <c r="G400" s="112"/>
      <c r="H400" s="113"/>
      <c r="I400" s="112"/>
      <c r="J400" s="113"/>
      <c r="K400" s="112"/>
      <c r="L400" s="113"/>
      <c r="M400" s="112"/>
      <c r="N400" s="113"/>
      <c r="O400" s="112"/>
      <c r="P400" s="113"/>
      <c r="Q400" s="112"/>
      <c r="R400" s="113"/>
      <c r="S400" s="112"/>
      <c r="T400" s="113"/>
      <c r="U400" s="112"/>
      <c r="V400" s="113"/>
      <c r="W400" s="114"/>
      <c r="X400" s="115"/>
    </row>
    <row r="401" spans="1:24" hidden="1" x14ac:dyDescent="0.25">
      <c r="A401" s="114"/>
      <c r="B401" s="115"/>
      <c r="C401" s="114"/>
      <c r="D401" s="115"/>
      <c r="E401" s="114"/>
      <c r="F401" s="115"/>
      <c r="G401" s="112"/>
      <c r="H401" s="113"/>
      <c r="I401" s="112"/>
      <c r="J401" s="113"/>
      <c r="K401" s="112"/>
      <c r="L401" s="113"/>
      <c r="M401" s="112"/>
      <c r="N401" s="113"/>
      <c r="O401" s="112"/>
      <c r="P401" s="113"/>
      <c r="Q401" s="112"/>
      <c r="R401" s="113"/>
      <c r="S401" s="112"/>
      <c r="T401" s="113"/>
      <c r="U401" s="112"/>
      <c r="V401" s="113"/>
      <c r="W401" s="114"/>
      <c r="X401" s="115"/>
    </row>
    <row r="402" spans="1:24" hidden="1" x14ac:dyDescent="0.25">
      <c r="A402" s="114"/>
      <c r="B402" s="115"/>
      <c r="C402" s="114"/>
      <c r="D402" s="115"/>
      <c r="E402" s="114"/>
      <c r="F402" s="115"/>
      <c r="G402" s="112"/>
      <c r="H402" s="113"/>
      <c r="I402" s="112"/>
      <c r="J402" s="113"/>
      <c r="K402" s="112"/>
      <c r="L402" s="113"/>
      <c r="M402" s="112"/>
      <c r="N402" s="113"/>
      <c r="O402" s="112"/>
      <c r="P402" s="113"/>
      <c r="Q402" s="112"/>
      <c r="R402" s="113"/>
      <c r="S402" s="112"/>
      <c r="T402" s="113"/>
      <c r="U402" s="112"/>
      <c r="V402" s="113"/>
      <c r="W402" s="114"/>
      <c r="X402" s="115"/>
    </row>
    <row r="403" spans="1:24" hidden="1" x14ac:dyDescent="0.25">
      <c r="A403" s="114"/>
      <c r="B403" s="115"/>
      <c r="C403" s="114"/>
      <c r="D403" s="115"/>
      <c r="E403" s="114"/>
      <c r="F403" s="115"/>
      <c r="G403" s="112"/>
      <c r="H403" s="113"/>
      <c r="I403" s="112"/>
      <c r="J403" s="113"/>
      <c r="K403" s="112"/>
      <c r="L403" s="113"/>
      <c r="M403" s="112"/>
      <c r="N403" s="113"/>
      <c r="O403" s="112"/>
      <c r="P403" s="113"/>
      <c r="Q403" s="112"/>
      <c r="R403" s="113"/>
      <c r="S403" s="112"/>
      <c r="T403" s="113"/>
      <c r="U403" s="112"/>
      <c r="V403" s="113"/>
      <c r="W403" s="114"/>
      <c r="X403" s="115"/>
    </row>
    <row r="404" spans="1:24" hidden="1" x14ac:dyDescent="0.25">
      <c r="A404" s="114"/>
      <c r="B404" s="115"/>
      <c r="C404" s="114"/>
      <c r="D404" s="115"/>
      <c r="E404" s="114"/>
      <c r="F404" s="115"/>
      <c r="G404" s="112"/>
      <c r="H404" s="113"/>
      <c r="I404" s="112"/>
      <c r="J404" s="113"/>
      <c r="K404" s="112"/>
      <c r="L404" s="113"/>
      <c r="M404" s="112"/>
      <c r="N404" s="113"/>
      <c r="O404" s="112"/>
      <c r="P404" s="113"/>
      <c r="Q404" s="112"/>
      <c r="R404" s="113"/>
      <c r="S404" s="112"/>
      <c r="T404" s="113"/>
      <c r="U404" s="112"/>
      <c r="V404" s="113"/>
      <c r="W404" s="114"/>
      <c r="X404" s="115"/>
    </row>
    <row r="405" spans="1:24" hidden="1" x14ac:dyDescent="0.25">
      <c r="A405" s="114"/>
      <c r="B405" s="115"/>
      <c r="C405" s="114"/>
      <c r="D405" s="115"/>
      <c r="E405" s="114"/>
      <c r="F405" s="115"/>
      <c r="G405" s="112"/>
      <c r="H405" s="113"/>
      <c r="I405" s="112"/>
      <c r="J405" s="113"/>
      <c r="K405" s="112"/>
      <c r="L405" s="113"/>
      <c r="M405" s="112"/>
      <c r="N405" s="113"/>
      <c r="O405" s="112"/>
      <c r="P405" s="113"/>
      <c r="Q405" s="112"/>
      <c r="R405" s="113"/>
      <c r="S405" s="112"/>
      <c r="T405" s="113"/>
      <c r="U405" s="112"/>
      <c r="V405" s="113"/>
      <c r="W405" s="114"/>
      <c r="X405" s="115"/>
    </row>
    <row r="406" spans="1:24" hidden="1" x14ac:dyDescent="0.25">
      <c r="A406" s="114"/>
      <c r="B406" s="115"/>
      <c r="C406" s="114"/>
      <c r="D406" s="115"/>
      <c r="E406" s="114"/>
      <c r="F406" s="115"/>
      <c r="G406" s="112"/>
      <c r="H406" s="113"/>
      <c r="I406" s="112"/>
      <c r="J406" s="113"/>
      <c r="K406" s="112"/>
      <c r="L406" s="113"/>
      <c r="M406" s="112"/>
      <c r="N406" s="113"/>
      <c r="O406" s="112"/>
      <c r="P406" s="113"/>
      <c r="Q406" s="112"/>
      <c r="R406" s="113"/>
      <c r="S406" s="112"/>
      <c r="T406" s="113"/>
      <c r="U406" s="112"/>
      <c r="V406" s="113"/>
      <c r="W406" s="114"/>
      <c r="X406" s="115"/>
    </row>
    <row r="407" spans="1:24" hidden="1" x14ac:dyDescent="0.25">
      <c r="A407" s="114"/>
      <c r="B407" s="115"/>
      <c r="C407" s="114"/>
      <c r="D407" s="115"/>
      <c r="E407" s="114"/>
      <c r="F407" s="115"/>
      <c r="G407" s="112"/>
      <c r="H407" s="113"/>
      <c r="I407" s="112"/>
      <c r="J407" s="113"/>
      <c r="K407" s="112"/>
      <c r="L407" s="113"/>
      <c r="M407" s="112"/>
      <c r="N407" s="113"/>
      <c r="O407" s="112"/>
      <c r="P407" s="113"/>
      <c r="Q407" s="112"/>
      <c r="R407" s="113"/>
      <c r="S407" s="112"/>
      <c r="T407" s="113"/>
      <c r="U407" s="112"/>
      <c r="V407" s="113"/>
      <c r="W407" s="114"/>
      <c r="X407" s="115"/>
    </row>
    <row r="408" spans="1:24" hidden="1" x14ac:dyDescent="0.25">
      <c r="A408" s="114"/>
      <c r="B408" s="115"/>
      <c r="C408" s="114"/>
      <c r="D408" s="115"/>
      <c r="E408" s="114"/>
      <c r="F408" s="115"/>
      <c r="G408" s="112"/>
      <c r="H408" s="113"/>
      <c r="I408" s="112"/>
      <c r="J408" s="113"/>
      <c r="K408" s="112"/>
      <c r="L408" s="113"/>
      <c r="M408" s="112"/>
      <c r="N408" s="113"/>
      <c r="O408" s="112"/>
      <c r="P408" s="113"/>
      <c r="Q408" s="112"/>
      <c r="R408" s="113"/>
      <c r="S408" s="112"/>
      <c r="T408" s="113"/>
      <c r="U408" s="112"/>
      <c r="V408" s="113"/>
      <c r="W408" s="114"/>
      <c r="X408" s="115"/>
    </row>
    <row r="409" spans="1:24" hidden="1" x14ac:dyDescent="0.25">
      <c r="A409" s="114"/>
      <c r="B409" s="115"/>
      <c r="C409" s="114"/>
      <c r="D409" s="115"/>
      <c r="E409" s="114"/>
      <c r="F409" s="115"/>
      <c r="G409" s="112"/>
      <c r="H409" s="113"/>
      <c r="I409" s="112"/>
      <c r="J409" s="113"/>
      <c r="K409" s="112"/>
      <c r="L409" s="113"/>
      <c r="M409" s="112"/>
      <c r="N409" s="113"/>
      <c r="O409" s="112"/>
      <c r="P409" s="113"/>
      <c r="Q409" s="112"/>
      <c r="R409" s="113"/>
      <c r="S409" s="112"/>
      <c r="T409" s="113"/>
      <c r="U409" s="112"/>
      <c r="V409" s="113"/>
      <c r="W409" s="114"/>
      <c r="X409" s="115"/>
    </row>
    <row r="410" spans="1:24" hidden="1" x14ac:dyDescent="0.25">
      <c r="A410" s="114"/>
      <c r="B410" s="115"/>
      <c r="C410" s="114"/>
      <c r="D410" s="115"/>
      <c r="E410" s="114"/>
      <c r="F410" s="115"/>
      <c r="G410" s="112"/>
      <c r="H410" s="113"/>
      <c r="I410" s="112"/>
      <c r="J410" s="113"/>
      <c r="K410" s="112"/>
      <c r="L410" s="113"/>
      <c r="M410" s="112"/>
      <c r="N410" s="113"/>
      <c r="O410" s="112"/>
      <c r="P410" s="113"/>
      <c r="Q410" s="112"/>
      <c r="R410" s="113"/>
      <c r="S410" s="112"/>
      <c r="T410" s="113"/>
      <c r="U410" s="112"/>
      <c r="V410" s="113"/>
      <c r="W410" s="114"/>
      <c r="X410" s="115"/>
    </row>
    <row r="411" spans="1:24" hidden="1" x14ac:dyDescent="0.25">
      <c r="A411" s="114"/>
      <c r="B411" s="115"/>
      <c r="C411" s="114"/>
      <c r="D411" s="115"/>
      <c r="E411" s="114"/>
      <c r="F411" s="115"/>
      <c r="G411" s="112"/>
      <c r="H411" s="113"/>
      <c r="I411" s="112"/>
      <c r="J411" s="113"/>
      <c r="K411" s="112"/>
      <c r="L411" s="113"/>
      <c r="M411" s="112"/>
      <c r="N411" s="113"/>
      <c r="O411" s="112"/>
      <c r="P411" s="113"/>
      <c r="Q411" s="112"/>
      <c r="R411" s="113"/>
      <c r="S411" s="112"/>
      <c r="T411" s="113"/>
      <c r="U411" s="112"/>
      <c r="V411" s="113"/>
      <c r="W411" s="114"/>
      <c r="X411" s="115"/>
    </row>
    <row r="412" spans="1:24" hidden="1" x14ac:dyDescent="0.25">
      <c r="A412" s="114"/>
      <c r="B412" s="115"/>
      <c r="C412" s="114"/>
      <c r="D412" s="115"/>
      <c r="E412" s="114"/>
      <c r="F412" s="115"/>
      <c r="G412" s="112"/>
      <c r="H412" s="113"/>
      <c r="I412" s="112"/>
      <c r="J412" s="113"/>
      <c r="K412" s="112"/>
      <c r="L412" s="113"/>
      <c r="M412" s="112"/>
      <c r="N412" s="113"/>
      <c r="O412" s="112"/>
      <c r="P412" s="113"/>
      <c r="Q412" s="112"/>
      <c r="R412" s="113"/>
      <c r="S412" s="112"/>
      <c r="T412" s="113"/>
      <c r="U412" s="112"/>
      <c r="V412" s="113"/>
      <c r="W412" s="114"/>
      <c r="X412" s="115"/>
    </row>
    <row r="413" spans="1:24" hidden="1" x14ac:dyDescent="0.25">
      <c r="A413" s="114"/>
      <c r="B413" s="115"/>
      <c r="C413" s="114"/>
      <c r="D413" s="115"/>
      <c r="E413" s="114"/>
      <c r="F413" s="115"/>
      <c r="G413" s="112"/>
      <c r="H413" s="113"/>
      <c r="I413" s="112"/>
      <c r="J413" s="113"/>
      <c r="K413" s="112"/>
      <c r="L413" s="113"/>
      <c r="M413" s="112"/>
      <c r="N413" s="113"/>
      <c r="O413" s="112"/>
      <c r="P413" s="113"/>
      <c r="Q413" s="112"/>
      <c r="R413" s="113"/>
      <c r="S413" s="112"/>
      <c r="T413" s="113"/>
      <c r="U413" s="112"/>
      <c r="V413" s="113"/>
      <c r="W413" s="114"/>
      <c r="X413" s="115"/>
    </row>
    <row r="414" spans="1:24" hidden="1" x14ac:dyDescent="0.25">
      <c r="A414" s="114"/>
      <c r="B414" s="115"/>
      <c r="C414" s="114"/>
      <c r="D414" s="115"/>
      <c r="E414" s="114"/>
      <c r="F414" s="115"/>
      <c r="G414" s="112"/>
      <c r="H414" s="113"/>
      <c r="I414" s="112"/>
      <c r="J414" s="113"/>
      <c r="K414" s="112"/>
      <c r="L414" s="113"/>
      <c r="M414" s="112"/>
      <c r="N414" s="113"/>
      <c r="O414" s="112"/>
      <c r="P414" s="113"/>
      <c r="Q414" s="112"/>
      <c r="R414" s="113"/>
      <c r="S414" s="112"/>
      <c r="T414" s="113"/>
      <c r="U414" s="112"/>
      <c r="V414" s="113"/>
      <c r="W414" s="114"/>
      <c r="X414" s="115"/>
    </row>
    <row r="415" spans="1:24" hidden="1" x14ac:dyDescent="0.25">
      <c r="A415" s="114"/>
      <c r="B415" s="115"/>
      <c r="C415" s="114"/>
      <c r="D415" s="115"/>
      <c r="E415" s="114"/>
      <c r="F415" s="115"/>
      <c r="G415" s="112"/>
      <c r="H415" s="113"/>
      <c r="I415" s="112"/>
      <c r="J415" s="113"/>
      <c r="K415" s="112"/>
      <c r="L415" s="113"/>
      <c r="M415" s="112"/>
      <c r="N415" s="113"/>
      <c r="O415" s="112"/>
      <c r="P415" s="113"/>
      <c r="Q415" s="112"/>
      <c r="R415" s="113"/>
      <c r="S415" s="112"/>
      <c r="T415" s="113"/>
      <c r="U415" s="112"/>
      <c r="V415" s="113"/>
      <c r="W415" s="114"/>
      <c r="X415" s="115"/>
    </row>
    <row r="416" spans="1:24" hidden="1" x14ac:dyDescent="0.25">
      <c r="A416" s="114"/>
      <c r="B416" s="115"/>
      <c r="C416" s="114"/>
      <c r="D416" s="115"/>
      <c r="E416" s="114"/>
      <c r="F416" s="115"/>
      <c r="G416" s="112"/>
      <c r="H416" s="113"/>
      <c r="I416" s="112"/>
      <c r="J416" s="113"/>
      <c r="K416" s="112"/>
      <c r="L416" s="113"/>
      <c r="M416" s="112"/>
      <c r="N416" s="113"/>
      <c r="O416" s="112"/>
      <c r="P416" s="113"/>
      <c r="Q416" s="112"/>
      <c r="R416" s="113"/>
      <c r="S416" s="112"/>
      <c r="T416" s="113"/>
      <c r="U416" s="112"/>
      <c r="V416" s="113"/>
      <c r="W416" s="114"/>
      <c r="X416" s="115"/>
    </row>
    <row r="417" spans="1:24" hidden="1" x14ac:dyDescent="0.25">
      <c r="A417" s="114"/>
      <c r="B417" s="115"/>
      <c r="C417" s="114"/>
      <c r="D417" s="115"/>
      <c r="E417" s="114"/>
      <c r="F417" s="115"/>
      <c r="G417" s="112"/>
      <c r="H417" s="113"/>
      <c r="I417" s="112"/>
      <c r="J417" s="113"/>
      <c r="K417" s="112"/>
      <c r="L417" s="113"/>
      <c r="M417" s="112"/>
      <c r="N417" s="113"/>
      <c r="O417" s="112"/>
      <c r="P417" s="113"/>
      <c r="Q417" s="112"/>
      <c r="R417" s="113"/>
      <c r="S417" s="112"/>
      <c r="T417" s="113"/>
      <c r="U417" s="112"/>
      <c r="V417" s="113"/>
      <c r="W417" s="114"/>
      <c r="X417" s="115"/>
    </row>
    <row r="418" spans="1:24" hidden="1" x14ac:dyDescent="0.25">
      <c r="A418" s="114"/>
      <c r="B418" s="115"/>
      <c r="C418" s="114"/>
      <c r="D418" s="115"/>
      <c r="E418" s="114"/>
      <c r="F418" s="115"/>
      <c r="G418" s="112"/>
      <c r="H418" s="113"/>
      <c r="I418" s="112"/>
      <c r="J418" s="113"/>
      <c r="K418" s="112"/>
      <c r="L418" s="113"/>
      <c r="M418" s="112"/>
      <c r="N418" s="113"/>
      <c r="O418" s="112"/>
      <c r="P418" s="113"/>
      <c r="Q418" s="112"/>
      <c r="R418" s="113"/>
      <c r="S418" s="112"/>
      <c r="T418" s="113"/>
      <c r="U418" s="112"/>
      <c r="V418" s="113"/>
      <c r="W418" s="114"/>
      <c r="X418" s="115"/>
    </row>
    <row r="419" spans="1:24" hidden="1" x14ac:dyDescent="0.25">
      <c r="A419" s="114"/>
      <c r="B419" s="115"/>
      <c r="C419" s="114"/>
      <c r="D419" s="115"/>
      <c r="E419" s="114"/>
      <c r="F419" s="115"/>
      <c r="G419" s="112"/>
      <c r="H419" s="113"/>
      <c r="I419" s="112"/>
      <c r="J419" s="113"/>
      <c r="K419" s="112"/>
      <c r="L419" s="113"/>
      <c r="M419" s="112"/>
      <c r="N419" s="113"/>
      <c r="O419" s="112"/>
      <c r="P419" s="113"/>
      <c r="Q419" s="112"/>
      <c r="R419" s="113"/>
      <c r="S419" s="112"/>
      <c r="T419" s="113"/>
      <c r="U419" s="112"/>
      <c r="V419" s="113"/>
      <c r="W419" s="114"/>
      <c r="X419" s="115"/>
    </row>
    <row r="420" spans="1:24" hidden="1" x14ac:dyDescent="0.25">
      <c r="A420" s="114"/>
      <c r="B420" s="115"/>
      <c r="C420" s="114"/>
      <c r="D420" s="115"/>
      <c r="E420" s="114"/>
      <c r="F420" s="115"/>
      <c r="G420" s="112"/>
      <c r="H420" s="113"/>
      <c r="I420" s="112"/>
      <c r="J420" s="113"/>
      <c r="K420" s="112"/>
      <c r="L420" s="113"/>
      <c r="M420" s="112"/>
      <c r="N420" s="113"/>
      <c r="O420" s="112"/>
      <c r="P420" s="113"/>
      <c r="Q420" s="112"/>
      <c r="R420" s="113"/>
      <c r="S420" s="112"/>
      <c r="T420" s="113"/>
      <c r="U420" s="112"/>
      <c r="V420" s="113"/>
      <c r="W420" s="114"/>
      <c r="X420" s="115"/>
    </row>
    <row r="421" spans="1:24" hidden="1" x14ac:dyDescent="0.25">
      <c r="A421" s="114"/>
      <c r="B421" s="115"/>
      <c r="C421" s="114"/>
      <c r="D421" s="115"/>
      <c r="E421" s="114"/>
      <c r="F421" s="115"/>
      <c r="G421" s="112"/>
      <c r="H421" s="113"/>
      <c r="I421" s="112"/>
      <c r="J421" s="113"/>
      <c r="K421" s="112"/>
      <c r="L421" s="113"/>
      <c r="M421" s="112"/>
      <c r="N421" s="113"/>
      <c r="O421" s="112"/>
      <c r="P421" s="113"/>
      <c r="Q421" s="112"/>
      <c r="R421" s="113"/>
      <c r="S421" s="112"/>
      <c r="T421" s="113"/>
      <c r="U421" s="112"/>
      <c r="V421" s="113"/>
      <c r="W421" s="114"/>
      <c r="X421" s="115"/>
    </row>
    <row r="422" spans="1:24" hidden="1" x14ac:dyDescent="0.25">
      <c r="A422" s="114"/>
      <c r="B422" s="115"/>
      <c r="C422" s="114"/>
      <c r="D422" s="115"/>
      <c r="E422" s="114"/>
      <c r="F422" s="115"/>
      <c r="G422" s="112"/>
      <c r="H422" s="113"/>
      <c r="I422" s="112"/>
      <c r="J422" s="113"/>
      <c r="K422" s="112"/>
      <c r="L422" s="113"/>
      <c r="M422" s="112"/>
      <c r="N422" s="113"/>
      <c r="O422" s="112"/>
      <c r="P422" s="113"/>
      <c r="Q422" s="112"/>
      <c r="R422" s="113"/>
      <c r="S422" s="112"/>
      <c r="T422" s="113"/>
      <c r="U422" s="112"/>
      <c r="V422" s="113"/>
      <c r="W422" s="114"/>
      <c r="X422" s="115"/>
    </row>
    <row r="423" spans="1:24" hidden="1" x14ac:dyDescent="0.25">
      <c r="A423" s="114"/>
      <c r="B423" s="115"/>
      <c r="C423" s="114"/>
      <c r="D423" s="115"/>
      <c r="E423" s="114"/>
      <c r="F423" s="115"/>
      <c r="G423" s="112"/>
      <c r="H423" s="113"/>
      <c r="I423" s="112"/>
      <c r="J423" s="113"/>
      <c r="K423" s="112"/>
      <c r="L423" s="113"/>
      <c r="M423" s="112"/>
      <c r="N423" s="113"/>
      <c r="O423" s="112"/>
      <c r="P423" s="113"/>
      <c r="Q423" s="112"/>
      <c r="R423" s="113"/>
      <c r="S423" s="112"/>
      <c r="T423" s="113"/>
      <c r="U423" s="112"/>
      <c r="V423" s="113"/>
      <c r="W423" s="114"/>
      <c r="X423" s="115"/>
    </row>
    <row r="424" spans="1:24" hidden="1" x14ac:dyDescent="0.25">
      <c r="A424" s="114"/>
      <c r="B424" s="115"/>
      <c r="C424" s="114"/>
      <c r="D424" s="115"/>
      <c r="E424" s="114"/>
      <c r="F424" s="115"/>
      <c r="G424" s="112"/>
      <c r="H424" s="113"/>
      <c r="I424" s="112"/>
      <c r="J424" s="113"/>
      <c r="K424" s="112"/>
      <c r="L424" s="113"/>
      <c r="M424" s="112"/>
      <c r="N424" s="113"/>
      <c r="O424" s="112"/>
      <c r="P424" s="113"/>
      <c r="Q424" s="112"/>
      <c r="R424" s="113"/>
      <c r="S424" s="112"/>
      <c r="T424" s="113"/>
      <c r="U424" s="112"/>
      <c r="V424" s="113"/>
      <c r="W424" s="114"/>
      <c r="X424" s="115"/>
    </row>
    <row r="425" spans="1:24" hidden="1" x14ac:dyDescent="0.25">
      <c r="A425" s="114"/>
      <c r="B425" s="115"/>
      <c r="C425" s="114"/>
      <c r="D425" s="115"/>
      <c r="E425" s="114"/>
      <c r="F425" s="115"/>
      <c r="G425" s="112"/>
      <c r="H425" s="113"/>
      <c r="I425" s="112"/>
      <c r="J425" s="113"/>
      <c r="K425" s="112"/>
      <c r="L425" s="113"/>
      <c r="M425" s="112"/>
      <c r="N425" s="113"/>
      <c r="O425" s="112"/>
      <c r="P425" s="113"/>
      <c r="Q425" s="112"/>
      <c r="R425" s="113"/>
      <c r="S425" s="112"/>
      <c r="T425" s="113"/>
      <c r="U425" s="112"/>
      <c r="V425" s="113"/>
      <c r="W425" s="114"/>
      <c r="X425" s="115"/>
    </row>
    <row r="426" spans="1:24" hidden="1" x14ac:dyDescent="0.25">
      <c r="A426" s="114"/>
      <c r="B426" s="115"/>
      <c r="C426" s="114"/>
      <c r="D426" s="115"/>
      <c r="E426" s="114"/>
      <c r="F426" s="115"/>
      <c r="G426" s="112"/>
      <c r="H426" s="113"/>
      <c r="I426" s="112"/>
      <c r="J426" s="113"/>
      <c r="K426" s="112"/>
      <c r="L426" s="113"/>
      <c r="M426" s="112"/>
      <c r="N426" s="113"/>
      <c r="O426" s="112"/>
      <c r="P426" s="113"/>
      <c r="Q426" s="112"/>
      <c r="R426" s="113"/>
      <c r="S426" s="112"/>
      <c r="T426" s="113"/>
      <c r="U426" s="112"/>
      <c r="V426" s="113"/>
      <c r="W426" s="114"/>
      <c r="X426" s="115"/>
    </row>
    <row r="427" spans="1:24" hidden="1" x14ac:dyDescent="0.25">
      <c r="A427" s="114"/>
      <c r="B427" s="115"/>
      <c r="C427" s="114"/>
      <c r="D427" s="115"/>
      <c r="E427" s="114"/>
      <c r="F427" s="115"/>
      <c r="G427" s="112"/>
      <c r="H427" s="113"/>
      <c r="I427" s="112"/>
      <c r="J427" s="113"/>
      <c r="K427" s="112"/>
      <c r="L427" s="113"/>
      <c r="M427" s="112"/>
      <c r="N427" s="113"/>
      <c r="O427" s="112"/>
      <c r="P427" s="113"/>
      <c r="Q427" s="112"/>
      <c r="R427" s="113"/>
      <c r="S427" s="112"/>
      <c r="T427" s="113"/>
      <c r="U427" s="112"/>
      <c r="V427" s="113"/>
      <c r="W427" s="114"/>
      <c r="X427" s="115"/>
    </row>
    <row r="428" spans="1:24" hidden="1" x14ac:dyDescent="0.25">
      <c r="A428" s="114"/>
      <c r="B428" s="115"/>
      <c r="C428" s="114"/>
      <c r="D428" s="115"/>
      <c r="E428" s="114"/>
      <c r="F428" s="115"/>
      <c r="G428" s="112"/>
      <c r="H428" s="113"/>
      <c r="I428" s="112"/>
      <c r="J428" s="113"/>
      <c r="K428" s="112"/>
      <c r="L428" s="113"/>
      <c r="M428" s="112"/>
      <c r="N428" s="113"/>
      <c r="O428" s="112"/>
      <c r="P428" s="113"/>
      <c r="Q428" s="112"/>
      <c r="R428" s="113"/>
      <c r="S428" s="112"/>
      <c r="T428" s="113"/>
      <c r="U428" s="112"/>
      <c r="V428" s="113"/>
      <c r="W428" s="114"/>
      <c r="X428" s="115"/>
    </row>
    <row r="429" spans="1:24" hidden="1" x14ac:dyDescent="0.25">
      <c r="A429" s="114"/>
      <c r="B429" s="115"/>
      <c r="C429" s="114"/>
      <c r="D429" s="115"/>
      <c r="E429" s="114"/>
      <c r="F429" s="115"/>
      <c r="G429" s="112"/>
      <c r="H429" s="113"/>
      <c r="I429" s="112"/>
      <c r="J429" s="113"/>
      <c r="K429" s="112"/>
      <c r="L429" s="113"/>
      <c r="M429" s="112"/>
      <c r="N429" s="113"/>
      <c r="O429" s="112"/>
      <c r="P429" s="113"/>
      <c r="Q429" s="112"/>
      <c r="R429" s="113"/>
      <c r="S429" s="112"/>
      <c r="T429" s="113"/>
      <c r="U429" s="112"/>
      <c r="V429" s="113"/>
      <c r="W429" s="114"/>
      <c r="X429" s="115"/>
    </row>
    <row r="430" spans="1:24" hidden="1" x14ac:dyDescent="0.25">
      <c r="A430" s="114"/>
      <c r="B430" s="115"/>
      <c r="C430" s="114"/>
      <c r="D430" s="115"/>
      <c r="E430" s="114"/>
      <c r="F430" s="115"/>
      <c r="G430" s="112"/>
      <c r="H430" s="113"/>
      <c r="I430" s="112"/>
      <c r="J430" s="113"/>
      <c r="K430" s="112"/>
      <c r="L430" s="113"/>
      <c r="M430" s="112"/>
      <c r="N430" s="113"/>
      <c r="O430" s="112"/>
      <c r="P430" s="113"/>
      <c r="Q430" s="112"/>
      <c r="R430" s="113"/>
      <c r="S430" s="112"/>
      <c r="T430" s="113"/>
      <c r="U430" s="112"/>
      <c r="V430" s="113"/>
      <c r="W430" s="114"/>
      <c r="X430" s="115"/>
    </row>
    <row r="431" spans="1:24" hidden="1" x14ac:dyDescent="0.25">
      <c r="A431" s="114"/>
      <c r="B431" s="115"/>
      <c r="C431" s="114"/>
      <c r="D431" s="115"/>
      <c r="E431" s="114"/>
      <c r="F431" s="115"/>
      <c r="G431" s="112"/>
      <c r="H431" s="113"/>
      <c r="I431" s="112"/>
      <c r="J431" s="113"/>
      <c r="K431" s="112"/>
      <c r="L431" s="113"/>
      <c r="M431" s="112"/>
      <c r="N431" s="113"/>
      <c r="O431" s="112"/>
      <c r="P431" s="113"/>
      <c r="Q431" s="112"/>
      <c r="R431" s="113"/>
      <c r="S431" s="112"/>
      <c r="T431" s="113"/>
      <c r="U431" s="112"/>
      <c r="V431" s="113"/>
      <c r="W431" s="114"/>
      <c r="X431" s="115"/>
    </row>
    <row r="432" spans="1:24" hidden="1" x14ac:dyDescent="0.25">
      <c r="A432" s="114"/>
      <c r="B432" s="115"/>
      <c r="C432" s="114"/>
      <c r="D432" s="115"/>
      <c r="E432" s="114"/>
      <c r="F432" s="115"/>
      <c r="G432" s="112"/>
      <c r="H432" s="113"/>
      <c r="I432" s="112"/>
      <c r="J432" s="113"/>
      <c r="K432" s="112"/>
      <c r="L432" s="113"/>
      <c r="M432" s="112"/>
      <c r="N432" s="113"/>
      <c r="O432" s="112"/>
      <c r="P432" s="113"/>
      <c r="Q432" s="112"/>
      <c r="R432" s="113"/>
      <c r="S432" s="112"/>
      <c r="T432" s="113"/>
      <c r="U432" s="112"/>
      <c r="V432" s="113"/>
      <c r="W432" s="114"/>
      <c r="X432" s="115"/>
    </row>
    <row r="433" spans="1:24" hidden="1" x14ac:dyDescent="0.25">
      <c r="A433" s="114"/>
      <c r="B433" s="115"/>
      <c r="C433" s="114"/>
      <c r="D433" s="115"/>
      <c r="E433" s="114"/>
      <c r="F433" s="115"/>
      <c r="G433" s="112"/>
      <c r="H433" s="113"/>
      <c r="I433" s="112"/>
      <c r="J433" s="113"/>
      <c r="K433" s="112"/>
      <c r="L433" s="113"/>
      <c r="M433" s="112"/>
      <c r="N433" s="113"/>
      <c r="O433" s="112"/>
      <c r="P433" s="113"/>
      <c r="Q433" s="112"/>
      <c r="R433" s="113"/>
      <c r="S433" s="112"/>
      <c r="T433" s="113"/>
      <c r="U433" s="112"/>
      <c r="V433" s="113"/>
      <c r="W433" s="114"/>
      <c r="X433" s="115"/>
    </row>
    <row r="434" spans="1:24" hidden="1" x14ac:dyDescent="0.25">
      <c r="A434" s="114"/>
      <c r="B434" s="115"/>
      <c r="C434" s="114"/>
      <c r="D434" s="115"/>
      <c r="E434" s="114"/>
      <c r="F434" s="115"/>
      <c r="G434" s="112"/>
      <c r="H434" s="113"/>
      <c r="I434" s="112"/>
      <c r="J434" s="113"/>
      <c r="K434" s="112"/>
      <c r="L434" s="113"/>
      <c r="M434" s="112"/>
      <c r="N434" s="113"/>
      <c r="O434" s="112"/>
      <c r="P434" s="113"/>
      <c r="Q434" s="112"/>
      <c r="R434" s="113"/>
      <c r="S434" s="112"/>
      <c r="T434" s="113"/>
      <c r="U434" s="112"/>
      <c r="V434" s="113"/>
      <c r="W434" s="114"/>
      <c r="X434" s="115"/>
    </row>
    <row r="435" spans="1:24" hidden="1" x14ac:dyDescent="0.25">
      <c r="A435" s="114"/>
      <c r="B435" s="115"/>
      <c r="C435" s="114"/>
      <c r="D435" s="115"/>
      <c r="E435" s="114"/>
      <c r="F435" s="115"/>
      <c r="G435" s="112"/>
      <c r="H435" s="113"/>
      <c r="I435" s="112"/>
      <c r="J435" s="113"/>
      <c r="K435" s="112"/>
      <c r="L435" s="113"/>
      <c r="M435" s="112"/>
      <c r="N435" s="113"/>
      <c r="O435" s="112"/>
      <c r="P435" s="113"/>
      <c r="Q435" s="112"/>
      <c r="R435" s="113"/>
      <c r="S435" s="112"/>
      <c r="T435" s="113"/>
      <c r="U435" s="112"/>
      <c r="V435" s="113"/>
      <c r="W435" s="114"/>
      <c r="X435" s="115"/>
    </row>
    <row r="436" spans="1:24" hidden="1" x14ac:dyDescent="0.25">
      <c r="A436" s="114"/>
      <c r="B436" s="115"/>
      <c r="C436" s="114"/>
      <c r="D436" s="115"/>
      <c r="E436" s="114"/>
      <c r="F436" s="115"/>
      <c r="G436" s="112"/>
      <c r="H436" s="113"/>
      <c r="I436" s="112"/>
      <c r="J436" s="113"/>
      <c r="K436" s="112"/>
      <c r="L436" s="113"/>
      <c r="M436" s="112"/>
      <c r="N436" s="113"/>
      <c r="O436" s="112"/>
      <c r="P436" s="113"/>
      <c r="Q436" s="112"/>
      <c r="R436" s="113"/>
      <c r="S436" s="112"/>
      <c r="T436" s="113"/>
      <c r="U436" s="112"/>
      <c r="V436" s="113"/>
      <c r="W436" s="114"/>
      <c r="X436" s="115"/>
    </row>
    <row r="437" spans="1:24" hidden="1" x14ac:dyDescent="0.25">
      <c r="A437" s="114"/>
      <c r="B437" s="115"/>
      <c r="C437" s="114"/>
      <c r="D437" s="115"/>
      <c r="E437" s="114"/>
      <c r="F437" s="115"/>
      <c r="G437" s="112"/>
      <c r="H437" s="113"/>
      <c r="I437" s="112"/>
      <c r="J437" s="113"/>
      <c r="K437" s="112"/>
      <c r="L437" s="113"/>
      <c r="M437" s="112"/>
      <c r="N437" s="113"/>
      <c r="O437" s="112"/>
      <c r="P437" s="113"/>
      <c r="Q437" s="112"/>
      <c r="R437" s="113"/>
      <c r="S437" s="112"/>
      <c r="T437" s="113"/>
      <c r="U437" s="112"/>
      <c r="V437" s="113"/>
      <c r="W437" s="114"/>
      <c r="X437" s="115"/>
    </row>
    <row r="438" spans="1:24" hidden="1" x14ac:dyDescent="0.25">
      <c r="A438" s="114"/>
      <c r="B438" s="115"/>
      <c r="C438" s="114"/>
      <c r="D438" s="115"/>
      <c r="E438" s="114"/>
      <c r="F438" s="115"/>
      <c r="G438" s="112"/>
      <c r="H438" s="113"/>
      <c r="I438" s="112"/>
      <c r="J438" s="113"/>
      <c r="K438" s="112"/>
      <c r="L438" s="113"/>
      <c r="M438" s="112"/>
      <c r="N438" s="113"/>
      <c r="O438" s="112"/>
      <c r="P438" s="113"/>
      <c r="Q438" s="112"/>
      <c r="R438" s="113"/>
      <c r="S438" s="112"/>
      <c r="T438" s="113"/>
      <c r="U438" s="112"/>
      <c r="V438" s="113"/>
      <c r="W438" s="114"/>
      <c r="X438" s="115"/>
    </row>
    <row r="439" spans="1:24" hidden="1" x14ac:dyDescent="0.25">
      <c r="A439" s="114"/>
      <c r="B439" s="115"/>
      <c r="C439" s="114"/>
      <c r="D439" s="115"/>
      <c r="E439" s="114"/>
      <c r="F439" s="115"/>
      <c r="G439" s="112"/>
      <c r="H439" s="113"/>
      <c r="I439" s="112"/>
      <c r="J439" s="113"/>
      <c r="K439" s="112"/>
      <c r="L439" s="113"/>
      <c r="M439" s="112"/>
      <c r="N439" s="113"/>
      <c r="O439" s="112"/>
      <c r="P439" s="113"/>
      <c r="Q439" s="112"/>
      <c r="R439" s="113"/>
      <c r="S439" s="112"/>
      <c r="T439" s="113"/>
      <c r="U439" s="112"/>
      <c r="V439" s="113"/>
      <c r="W439" s="114"/>
      <c r="X439" s="115"/>
    </row>
    <row r="440" spans="1:24" hidden="1" x14ac:dyDescent="0.25">
      <c r="A440" s="114"/>
      <c r="B440" s="115"/>
      <c r="C440" s="114"/>
      <c r="D440" s="115"/>
      <c r="E440" s="114"/>
      <c r="F440" s="115"/>
      <c r="G440" s="112"/>
      <c r="H440" s="113"/>
      <c r="I440" s="112"/>
      <c r="J440" s="113"/>
      <c r="K440" s="112"/>
      <c r="L440" s="113"/>
      <c r="M440" s="112"/>
      <c r="N440" s="113"/>
      <c r="O440" s="112"/>
      <c r="P440" s="113"/>
      <c r="Q440" s="112"/>
      <c r="R440" s="113"/>
      <c r="S440" s="112"/>
      <c r="T440" s="113"/>
      <c r="U440" s="112"/>
      <c r="V440" s="113"/>
      <c r="W440" s="114"/>
      <c r="X440" s="115"/>
    </row>
    <row r="441" spans="1:24" hidden="1" x14ac:dyDescent="0.25">
      <c r="A441" s="114"/>
      <c r="B441" s="115"/>
      <c r="C441" s="114"/>
      <c r="D441" s="115"/>
      <c r="E441" s="114"/>
      <c r="F441" s="115"/>
      <c r="G441" s="112"/>
      <c r="H441" s="113"/>
      <c r="I441" s="112"/>
      <c r="J441" s="113"/>
      <c r="K441" s="112"/>
      <c r="L441" s="113"/>
      <c r="M441" s="112"/>
      <c r="N441" s="113"/>
      <c r="O441" s="112"/>
      <c r="P441" s="113"/>
      <c r="Q441" s="112"/>
      <c r="R441" s="113"/>
      <c r="S441" s="112"/>
      <c r="T441" s="113"/>
      <c r="U441" s="112"/>
      <c r="V441" s="113"/>
      <c r="W441" s="114"/>
      <c r="X441" s="115"/>
    </row>
    <row r="442" spans="1:24" hidden="1" x14ac:dyDescent="0.25">
      <c r="A442" s="114"/>
      <c r="B442" s="115"/>
      <c r="C442" s="114"/>
      <c r="D442" s="115"/>
      <c r="E442" s="114"/>
      <c r="F442" s="115"/>
      <c r="G442" s="112"/>
      <c r="H442" s="113"/>
      <c r="I442" s="112"/>
      <c r="J442" s="113"/>
      <c r="K442" s="112"/>
      <c r="L442" s="113"/>
      <c r="M442" s="112"/>
      <c r="N442" s="113"/>
      <c r="O442" s="112"/>
      <c r="P442" s="113"/>
      <c r="Q442" s="112"/>
      <c r="R442" s="113"/>
      <c r="S442" s="112"/>
      <c r="T442" s="113"/>
      <c r="U442" s="112"/>
      <c r="V442" s="113"/>
      <c r="W442" s="114"/>
      <c r="X442" s="115"/>
    </row>
    <row r="443" spans="1:24" hidden="1" x14ac:dyDescent="0.25">
      <c r="A443" s="114"/>
      <c r="B443" s="115"/>
      <c r="C443" s="114"/>
      <c r="D443" s="115"/>
      <c r="E443" s="114"/>
      <c r="F443" s="115"/>
      <c r="G443" s="112"/>
      <c r="H443" s="113"/>
      <c r="I443" s="112"/>
      <c r="J443" s="113"/>
      <c r="K443" s="112"/>
      <c r="L443" s="113"/>
      <c r="M443" s="112"/>
      <c r="N443" s="113"/>
      <c r="O443" s="112"/>
      <c r="P443" s="113"/>
      <c r="Q443" s="112"/>
      <c r="R443" s="113"/>
      <c r="S443" s="112"/>
      <c r="T443" s="113"/>
      <c r="U443" s="112"/>
      <c r="V443" s="113"/>
      <c r="W443" s="114"/>
      <c r="X443" s="115"/>
    </row>
    <row r="444" spans="1:24" hidden="1" x14ac:dyDescent="0.25">
      <c r="A444" s="114"/>
      <c r="B444" s="115"/>
      <c r="C444" s="114"/>
      <c r="D444" s="115"/>
      <c r="E444" s="114"/>
      <c r="F444" s="115"/>
      <c r="G444" s="112"/>
      <c r="H444" s="113"/>
      <c r="I444" s="112"/>
      <c r="J444" s="113"/>
      <c r="K444" s="112"/>
      <c r="L444" s="113"/>
      <c r="M444" s="112"/>
      <c r="N444" s="113"/>
      <c r="O444" s="112"/>
      <c r="P444" s="113"/>
      <c r="Q444" s="112"/>
      <c r="R444" s="113"/>
      <c r="S444" s="112"/>
      <c r="T444" s="113"/>
      <c r="U444" s="112"/>
      <c r="V444" s="113"/>
      <c r="W444" s="114"/>
      <c r="X444" s="115"/>
    </row>
    <row r="445" spans="1:24" hidden="1" x14ac:dyDescent="0.25">
      <c r="A445" s="114"/>
      <c r="B445" s="115"/>
      <c r="C445" s="114"/>
      <c r="D445" s="115"/>
      <c r="E445" s="114"/>
      <c r="F445" s="115"/>
      <c r="G445" s="112"/>
      <c r="H445" s="113"/>
      <c r="I445" s="112"/>
      <c r="J445" s="113"/>
      <c r="K445" s="112"/>
      <c r="L445" s="113"/>
      <c r="M445" s="112"/>
      <c r="N445" s="113"/>
      <c r="O445" s="112"/>
      <c r="P445" s="113"/>
      <c r="Q445" s="112"/>
      <c r="R445" s="113"/>
      <c r="S445" s="112"/>
      <c r="T445" s="113"/>
      <c r="U445" s="112"/>
      <c r="V445" s="113"/>
      <c r="W445" s="114"/>
      <c r="X445" s="115"/>
    </row>
    <row r="446" spans="1:24" hidden="1" x14ac:dyDescent="0.25">
      <c r="A446" s="114"/>
      <c r="B446" s="115"/>
      <c r="C446" s="114"/>
      <c r="D446" s="115"/>
      <c r="E446" s="114"/>
      <c r="F446" s="115"/>
      <c r="G446" s="112"/>
      <c r="H446" s="113"/>
      <c r="I446" s="112"/>
      <c r="J446" s="113"/>
      <c r="K446" s="112"/>
      <c r="L446" s="113"/>
      <c r="M446" s="112"/>
      <c r="N446" s="113"/>
      <c r="O446" s="112"/>
      <c r="P446" s="113"/>
      <c r="Q446" s="112"/>
      <c r="R446" s="113"/>
      <c r="S446" s="112"/>
      <c r="T446" s="113"/>
      <c r="U446" s="112"/>
      <c r="V446" s="113"/>
      <c r="W446" s="114"/>
      <c r="X446" s="115"/>
    </row>
    <row r="447" spans="1:24" hidden="1" x14ac:dyDescent="0.25">
      <c r="A447" s="114"/>
      <c r="B447" s="115"/>
      <c r="C447" s="114"/>
      <c r="D447" s="115"/>
      <c r="E447" s="114"/>
      <c r="F447" s="115"/>
      <c r="G447" s="112"/>
      <c r="H447" s="113"/>
      <c r="I447" s="112"/>
      <c r="J447" s="113"/>
      <c r="K447" s="112"/>
      <c r="L447" s="113"/>
      <c r="M447" s="112"/>
      <c r="N447" s="113"/>
      <c r="O447" s="112"/>
      <c r="P447" s="113"/>
      <c r="Q447" s="112"/>
      <c r="R447" s="113"/>
      <c r="S447" s="112"/>
      <c r="T447" s="113"/>
      <c r="U447" s="112"/>
      <c r="V447" s="113"/>
      <c r="W447" s="114"/>
      <c r="X447" s="115"/>
    </row>
    <row r="448" spans="1:24" hidden="1" x14ac:dyDescent="0.25">
      <c r="A448" s="114"/>
      <c r="B448" s="115"/>
      <c r="C448" s="114"/>
      <c r="D448" s="115"/>
      <c r="E448" s="114"/>
      <c r="F448" s="115"/>
      <c r="G448" s="112"/>
      <c r="H448" s="113"/>
      <c r="I448" s="112"/>
      <c r="J448" s="113"/>
      <c r="K448" s="112"/>
      <c r="L448" s="113"/>
      <c r="M448" s="112"/>
      <c r="N448" s="113"/>
      <c r="O448" s="112"/>
      <c r="P448" s="113"/>
      <c r="Q448" s="112"/>
      <c r="R448" s="113"/>
      <c r="S448" s="112"/>
      <c r="T448" s="113"/>
      <c r="U448" s="112"/>
      <c r="V448" s="113"/>
      <c r="W448" s="114"/>
      <c r="X448" s="115"/>
    </row>
    <row r="449" spans="1:24" hidden="1" x14ac:dyDescent="0.25">
      <c r="A449" s="114"/>
      <c r="B449" s="115"/>
      <c r="C449" s="114"/>
      <c r="D449" s="115"/>
      <c r="E449" s="114"/>
      <c r="F449" s="115"/>
      <c r="G449" s="112"/>
      <c r="H449" s="113"/>
      <c r="I449" s="112"/>
      <c r="J449" s="113"/>
      <c r="K449" s="112"/>
      <c r="L449" s="113"/>
      <c r="M449" s="112"/>
      <c r="N449" s="113"/>
      <c r="O449" s="112"/>
      <c r="P449" s="113"/>
      <c r="Q449" s="112"/>
      <c r="R449" s="113"/>
      <c r="S449" s="112"/>
      <c r="T449" s="113"/>
      <c r="U449" s="112"/>
      <c r="V449" s="113"/>
      <c r="W449" s="114"/>
      <c r="X449" s="115"/>
    </row>
    <row r="450" spans="1:24" hidden="1" x14ac:dyDescent="0.25">
      <c r="A450" s="114"/>
      <c r="B450" s="115"/>
      <c r="C450" s="114"/>
      <c r="D450" s="115"/>
      <c r="E450" s="114"/>
      <c r="F450" s="115"/>
      <c r="G450" s="112"/>
      <c r="H450" s="113"/>
      <c r="I450" s="112"/>
      <c r="J450" s="113"/>
      <c r="K450" s="112"/>
      <c r="L450" s="113"/>
      <c r="M450" s="112"/>
      <c r="N450" s="113"/>
      <c r="O450" s="112"/>
      <c r="P450" s="113"/>
      <c r="Q450" s="112"/>
      <c r="R450" s="113"/>
      <c r="S450" s="112"/>
      <c r="T450" s="113"/>
      <c r="U450" s="112"/>
      <c r="V450" s="113"/>
      <c r="W450" s="114"/>
      <c r="X450" s="115"/>
    </row>
    <row r="451" spans="1:24" hidden="1" x14ac:dyDescent="0.25">
      <c r="A451" s="114"/>
      <c r="B451" s="115"/>
      <c r="C451" s="114"/>
      <c r="D451" s="115"/>
      <c r="E451" s="114"/>
      <c r="F451" s="115"/>
      <c r="G451" s="112"/>
      <c r="H451" s="113"/>
      <c r="I451" s="112"/>
      <c r="J451" s="113"/>
      <c r="K451" s="112"/>
      <c r="L451" s="113"/>
      <c r="M451" s="112"/>
      <c r="N451" s="113"/>
      <c r="O451" s="112"/>
      <c r="P451" s="113"/>
      <c r="Q451" s="112"/>
      <c r="R451" s="113"/>
      <c r="S451" s="112"/>
      <c r="T451" s="113"/>
      <c r="U451" s="112"/>
      <c r="V451" s="113"/>
      <c r="W451" s="114"/>
      <c r="X451" s="115"/>
    </row>
    <row r="452" spans="1:24" hidden="1" x14ac:dyDescent="0.25">
      <c r="A452" s="114"/>
      <c r="B452" s="115"/>
      <c r="C452" s="114"/>
      <c r="D452" s="115"/>
      <c r="E452" s="114"/>
      <c r="F452" s="115"/>
      <c r="G452" s="112"/>
      <c r="H452" s="113"/>
      <c r="I452" s="112"/>
      <c r="J452" s="113"/>
      <c r="K452" s="112"/>
      <c r="L452" s="113"/>
      <c r="M452" s="112"/>
      <c r="N452" s="113"/>
      <c r="O452" s="112"/>
      <c r="P452" s="113"/>
      <c r="Q452" s="112"/>
      <c r="R452" s="113"/>
      <c r="S452" s="112"/>
      <c r="T452" s="113"/>
      <c r="U452" s="112"/>
      <c r="V452" s="113"/>
      <c r="W452" s="114"/>
      <c r="X452" s="115"/>
    </row>
    <row r="453" spans="1:24" hidden="1" x14ac:dyDescent="0.25">
      <c r="A453" s="114"/>
      <c r="B453" s="115"/>
      <c r="C453" s="114"/>
      <c r="D453" s="115"/>
      <c r="E453" s="114"/>
      <c r="F453" s="115"/>
      <c r="G453" s="112"/>
      <c r="H453" s="113"/>
      <c r="I453" s="112"/>
      <c r="J453" s="113"/>
      <c r="K453" s="112"/>
      <c r="L453" s="113"/>
      <c r="M453" s="112"/>
      <c r="N453" s="113"/>
      <c r="O453" s="112"/>
      <c r="P453" s="113"/>
      <c r="Q453" s="112"/>
      <c r="R453" s="113"/>
      <c r="S453" s="112"/>
      <c r="T453" s="113"/>
      <c r="U453" s="112"/>
      <c r="V453" s="113"/>
      <c r="W453" s="114"/>
      <c r="X453" s="115"/>
    </row>
    <row r="454" spans="1:24" hidden="1" x14ac:dyDescent="0.25">
      <c r="A454" s="114"/>
      <c r="B454" s="115"/>
      <c r="C454" s="114"/>
      <c r="D454" s="115"/>
      <c r="E454" s="114"/>
      <c r="F454" s="115"/>
      <c r="G454" s="112"/>
      <c r="H454" s="113"/>
      <c r="I454" s="112"/>
      <c r="J454" s="113"/>
      <c r="K454" s="112"/>
      <c r="L454" s="113"/>
      <c r="M454" s="112"/>
      <c r="N454" s="113"/>
      <c r="O454" s="112"/>
      <c r="P454" s="113"/>
      <c r="Q454" s="112"/>
      <c r="R454" s="113"/>
      <c r="S454" s="112"/>
      <c r="T454" s="113"/>
      <c r="U454" s="112"/>
      <c r="V454" s="113"/>
      <c r="W454" s="114"/>
      <c r="X454" s="115"/>
    </row>
    <row r="455" spans="1:24" hidden="1" x14ac:dyDescent="0.25">
      <c r="A455" s="114"/>
      <c r="B455" s="115"/>
      <c r="C455" s="114"/>
      <c r="D455" s="115"/>
      <c r="E455" s="114"/>
      <c r="F455" s="115"/>
      <c r="G455" s="112"/>
      <c r="H455" s="113"/>
      <c r="I455" s="112"/>
      <c r="J455" s="113"/>
      <c r="K455" s="112"/>
      <c r="L455" s="113"/>
      <c r="M455" s="112"/>
      <c r="N455" s="113"/>
      <c r="O455" s="112"/>
      <c r="P455" s="113"/>
      <c r="Q455" s="112"/>
      <c r="R455" s="113"/>
      <c r="S455" s="112"/>
      <c r="T455" s="113"/>
      <c r="U455" s="112"/>
      <c r="V455" s="113"/>
      <c r="W455" s="114"/>
      <c r="X455" s="115"/>
    </row>
    <row r="456" spans="1:24" hidden="1" x14ac:dyDescent="0.25">
      <c r="A456" s="114"/>
      <c r="B456" s="115"/>
      <c r="C456" s="114"/>
      <c r="D456" s="115"/>
      <c r="E456" s="114"/>
      <c r="F456" s="115"/>
      <c r="G456" s="112"/>
      <c r="H456" s="113"/>
      <c r="I456" s="112"/>
      <c r="J456" s="113"/>
      <c r="K456" s="112"/>
      <c r="L456" s="113"/>
      <c r="M456" s="112"/>
      <c r="N456" s="113"/>
      <c r="O456" s="112"/>
      <c r="P456" s="113"/>
      <c r="Q456" s="112"/>
      <c r="R456" s="113"/>
      <c r="S456" s="112"/>
      <c r="T456" s="113"/>
      <c r="U456" s="112"/>
      <c r="V456" s="113"/>
      <c r="W456" s="114"/>
      <c r="X456" s="115"/>
    </row>
    <row r="457" spans="1:24" hidden="1" x14ac:dyDescent="0.25">
      <c r="A457" s="114"/>
      <c r="B457" s="115"/>
      <c r="C457" s="114"/>
      <c r="D457" s="115"/>
      <c r="E457" s="114"/>
      <c r="F457" s="115"/>
      <c r="G457" s="112"/>
      <c r="H457" s="113"/>
      <c r="I457" s="112"/>
      <c r="J457" s="113"/>
      <c r="K457" s="112"/>
      <c r="L457" s="113"/>
      <c r="M457" s="112"/>
      <c r="N457" s="113"/>
      <c r="O457" s="112"/>
      <c r="P457" s="113"/>
      <c r="Q457" s="112"/>
      <c r="R457" s="113"/>
      <c r="S457" s="112"/>
      <c r="T457" s="113"/>
      <c r="U457" s="112"/>
      <c r="V457" s="113"/>
      <c r="W457" s="114"/>
      <c r="X457" s="115"/>
    </row>
    <row r="458" spans="1:24" hidden="1" x14ac:dyDescent="0.25">
      <c r="A458" s="114"/>
      <c r="B458" s="115"/>
      <c r="C458" s="114"/>
      <c r="D458" s="115"/>
      <c r="E458" s="114"/>
      <c r="F458" s="115"/>
      <c r="G458" s="112"/>
      <c r="H458" s="113"/>
      <c r="I458" s="112"/>
      <c r="J458" s="113"/>
      <c r="K458" s="112"/>
      <c r="L458" s="113"/>
      <c r="M458" s="112"/>
      <c r="N458" s="113"/>
      <c r="O458" s="112"/>
      <c r="P458" s="113"/>
      <c r="Q458" s="112"/>
      <c r="R458" s="113"/>
      <c r="S458" s="112"/>
      <c r="T458" s="113"/>
      <c r="U458" s="112"/>
      <c r="V458" s="113"/>
      <c r="W458" s="114"/>
      <c r="X458" s="115"/>
    </row>
    <row r="459" spans="1:24" hidden="1" x14ac:dyDescent="0.25">
      <c r="A459" s="114"/>
      <c r="B459" s="115"/>
      <c r="C459" s="114"/>
      <c r="D459" s="115"/>
      <c r="E459" s="114"/>
      <c r="F459" s="115"/>
      <c r="G459" s="112"/>
      <c r="H459" s="113"/>
      <c r="I459" s="112"/>
      <c r="J459" s="113"/>
      <c r="K459" s="112"/>
      <c r="L459" s="113"/>
      <c r="M459" s="112"/>
      <c r="N459" s="113"/>
      <c r="O459" s="112"/>
      <c r="P459" s="113"/>
      <c r="Q459" s="112"/>
      <c r="R459" s="113"/>
      <c r="S459" s="112"/>
      <c r="T459" s="113"/>
      <c r="U459" s="112"/>
      <c r="V459" s="113"/>
      <c r="W459" s="114"/>
      <c r="X459" s="115"/>
    </row>
    <row r="460" spans="1:24" hidden="1" x14ac:dyDescent="0.25">
      <c r="A460" s="114"/>
      <c r="B460" s="115"/>
      <c r="C460" s="114"/>
      <c r="D460" s="115"/>
      <c r="E460" s="114"/>
      <c r="F460" s="115"/>
      <c r="G460" s="112"/>
      <c r="H460" s="113"/>
      <c r="I460" s="112"/>
      <c r="J460" s="113"/>
      <c r="K460" s="112"/>
      <c r="L460" s="113"/>
      <c r="M460" s="112"/>
      <c r="N460" s="113"/>
      <c r="O460" s="112"/>
      <c r="P460" s="113"/>
      <c r="Q460" s="112"/>
      <c r="R460" s="113"/>
      <c r="S460" s="112"/>
      <c r="T460" s="113"/>
      <c r="U460" s="112"/>
      <c r="V460" s="113"/>
      <c r="W460" s="114"/>
      <c r="X460" s="115"/>
    </row>
    <row r="461" spans="1:24" hidden="1" x14ac:dyDescent="0.25">
      <c r="A461" s="114"/>
      <c r="B461" s="115"/>
      <c r="C461" s="114"/>
      <c r="D461" s="115"/>
      <c r="E461" s="114"/>
      <c r="F461" s="115"/>
      <c r="G461" s="112"/>
      <c r="H461" s="113"/>
      <c r="I461" s="112"/>
      <c r="J461" s="113"/>
      <c r="K461" s="112"/>
      <c r="L461" s="113"/>
      <c r="M461" s="112"/>
      <c r="N461" s="113"/>
      <c r="O461" s="112"/>
      <c r="P461" s="113"/>
      <c r="Q461" s="112"/>
      <c r="R461" s="113"/>
      <c r="S461" s="112"/>
      <c r="T461" s="113"/>
      <c r="U461" s="112"/>
      <c r="V461" s="113"/>
      <c r="W461" s="114"/>
      <c r="X461" s="115"/>
    </row>
    <row r="462" spans="1:24" hidden="1" x14ac:dyDescent="0.25">
      <c r="A462" s="114"/>
      <c r="B462" s="115"/>
      <c r="C462" s="114"/>
      <c r="D462" s="115"/>
      <c r="E462" s="114"/>
      <c r="F462" s="115"/>
      <c r="G462" s="112"/>
      <c r="H462" s="113"/>
      <c r="I462" s="112"/>
      <c r="J462" s="113"/>
      <c r="K462" s="112"/>
      <c r="L462" s="113"/>
      <c r="M462" s="112"/>
      <c r="N462" s="113"/>
      <c r="O462" s="112"/>
      <c r="P462" s="113"/>
      <c r="Q462" s="112"/>
      <c r="R462" s="113"/>
      <c r="S462" s="112"/>
      <c r="T462" s="113"/>
      <c r="U462" s="112"/>
      <c r="V462" s="113"/>
      <c r="W462" s="114"/>
      <c r="X462" s="115"/>
    </row>
    <row r="463" spans="1:24" hidden="1" x14ac:dyDescent="0.25">
      <c r="A463" s="114"/>
      <c r="B463" s="115"/>
      <c r="C463" s="114"/>
      <c r="D463" s="115"/>
      <c r="E463" s="114"/>
      <c r="F463" s="115"/>
      <c r="G463" s="112"/>
      <c r="H463" s="113"/>
      <c r="I463" s="112"/>
      <c r="J463" s="113"/>
      <c r="K463" s="112"/>
      <c r="L463" s="113"/>
      <c r="M463" s="112"/>
      <c r="N463" s="113"/>
      <c r="O463" s="112"/>
      <c r="P463" s="113"/>
      <c r="Q463" s="112"/>
      <c r="R463" s="113"/>
      <c r="S463" s="112"/>
      <c r="T463" s="113"/>
      <c r="U463" s="112"/>
      <c r="V463" s="113"/>
      <c r="W463" s="114"/>
      <c r="X463" s="115"/>
    </row>
    <row r="464" spans="1:24" hidden="1" x14ac:dyDescent="0.25">
      <c r="A464" s="114"/>
      <c r="B464" s="115"/>
      <c r="C464" s="114"/>
      <c r="D464" s="115"/>
      <c r="E464" s="114"/>
      <c r="F464" s="115"/>
      <c r="G464" s="112"/>
      <c r="H464" s="113"/>
      <c r="I464" s="112"/>
      <c r="J464" s="113"/>
      <c r="K464" s="112"/>
      <c r="L464" s="113"/>
      <c r="M464" s="112"/>
      <c r="N464" s="113"/>
      <c r="O464" s="112"/>
      <c r="P464" s="113"/>
      <c r="Q464" s="112"/>
      <c r="R464" s="113"/>
      <c r="S464" s="112"/>
      <c r="T464" s="113"/>
      <c r="U464" s="112"/>
      <c r="V464" s="113"/>
      <c r="W464" s="114"/>
      <c r="X464" s="115"/>
    </row>
    <row r="465" spans="1:24" hidden="1" x14ac:dyDescent="0.25">
      <c r="A465" s="114"/>
      <c r="B465" s="115"/>
      <c r="C465" s="114"/>
      <c r="D465" s="115"/>
      <c r="E465" s="114"/>
      <c r="F465" s="115"/>
      <c r="G465" s="112"/>
      <c r="H465" s="113"/>
      <c r="I465" s="112"/>
      <c r="J465" s="113"/>
      <c r="K465" s="112"/>
      <c r="L465" s="113"/>
      <c r="M465" s="112"/>
      <c r="N465" s="113"/>
      <c r="O465" s="112"/>
      <c r="P465" s="113"/>
      <c r="Q465" s="112"/>
      <c r="R465" s="113"/>
      <c r="S465" s="112"/>
      <c r="T465" s="113"/>
      <c r="U465" s="112"/>
      <c r="V465" s="113"/>
      <c r="W465" s="114"/>
      <c r="X465" s="115"/>
    </row>
    <row r="466" spans="1:24" hidden="1" x14ac:dyDescent="0.25">
      <c r="A466" s="114"/>
      <c r="B466" s="115"/>
      <c r="C466" s="114"/>
      <c r="D466" s="115"/>
      <c r="E466" s="114"/>
      <c r="F466" s="115"/>
      <c r="G466" s="112"/>
      <c r="H466" s="113"/>
      <c r="I466" s="112"/>
      <c r="J466" s="113"/>
      <c r="K466" s="112"/>
      <c r="L466" s="113"/>
      <c r="M466" s="112"/>
      <c r="N466" s="113"/>
      <c r="O466" s="112"/>
      <c r="P466" s="113"/>
      <c r="Q466" s="112"/>
      <c r="R466" s="113"/>
      <c r="S466" s="112"/>
      <c r="T466" s="113"/>
      <c r="U466" s="112"/>
      <c r="V466" s="113"/>
      <c r="W466" s="114"/>
      <c r="X466" s="115"/>
    </row>
    <row r="467" spans="1:24" hidden="1" x14ac:dyDescent="0.25">
      <c r="A467" s="114"/>
      <c r="B467" s="115"/>
      <c r="C467" s="114"/>
      <c r="D467" s="115"/>
      <c r="E467" s="114"/>
      <c r="F467" s="115"/>
      <c r="G467" s="112"/>
      <c r="H467" s="113"/>
      <c r="I467" s="112"/>
      <c r="J467" s="113"/>
      <c r="K467" s="112"/>
      <c r="L467" s="113"/>
      <c r="M467" s="112"/>
      <c r="N467" s="113"/>
      <c r="O467" s="112"/>
      <c r="P467" s="113"/>
      <c r="Q467" s="112"/>
      <c r="R467" s="113"/>
      <c r="S467" s="112"/>
      <c r="T467" s="113"/>
      <c r="U467" s="112"/>
      <c r="V467" s="113"/>
      <c r="W467" s="114"/>
      <c r="X467" s="115"/>
    </row>
    <row r="468" spans="1:24" hidden="1" x14ac:dyDescent="0.25">
      <c r="A468" s="114"/>
      <c r="B468" s="115"/>
      <c r="C468" s="114"/>
      <c r="D468" s="115"/>
      <c r="E468" s="114"/>
      <c r="F468" s="115"/>
      <c r="G468" s="112"/>
      <c r="H468" s="113"/>
      <c r="I468" s="112"/>
      <c r="J468" s="113"/>
      <c r="K468" s="112"/>
      <c r="L468" s="113"/>
      <c r="M468" s="112"/>
      <c r="N468" s="113"/>
      <c r="O468" s="112"/>
      <c r="P468" s="113"/>
      <c r="Q468" s="112"/>
      <c r="R468" s="113"/>
      <c r="S468" s="112"/>
      <c r="T468" s="113"/>
      <c r="U468" s="112"/>
      <c r="V468" s="113"/>
      <c r="W468" s="114"/>
      <c r="X468" s="115"/>
    </row>
    <row r="469" spans="1:24" hidden="1" x14ac:dyDescent="0.25">
      <c r="A469" s="114"/>
      <c r="B469" s="115"/>
      <c r="C469" s="114"/>
      <c r="D469" s="115"/>
      <c r="E469" s="114"/>
      <c r="F469" s="115"/>
      <c r="G469" s="112"/>
      <c r="H469" s="113"/>
      <c r="I469" s="112"/>
      <c r="J469" s="113"/>
      <c r="K469" s="112"/>
      <c r="L469" s="113"/>
      <c r="M469" s="112"/>
      <c r="N469" s="113"/>
      <c r="O469" s="112"/>
      <c r="P469" s="113"/>
      <c r="Q469" s="112"/>
      <c r="R469" s="113"/>
      <c r="S469" s="112"/>
      <c r="T469" s="113"/>
      <c r="U469" s="112"/>
      <c r="V469" s="113"/>
      <c r="W469" s="114"/>
      <c r="X469" s="115"/>
    </row>
    <row r="470" spans="1:24" hidden="1" x14ac:dyDescent="0.25">
      <c r="A470" s="114"/>
      <c r="B470" s="115"/>
      <c r="C470" s="114"/>
      <c r="D470" s="115"/>
      <c r="E470" s="114"/>
      <c r="F470" s="115"/>
      <c r="G470" s="112"/>
      <c r="H470" s="113"/>
      <c r="I470" s="112"/>
      <c r="J470" s="113"/>
      <c r="K470" s="112"/>
      <c r="L470" s="113"/>
      <c r="M470" s="112"/>
      <c r="N470" s="113"/>
      <c r="O470" s="112"/>
      <c r="P470" s="113"/>
      <c r="Q470" s="112"/>
      <c r="R470" s="113"/>
      <c r="S470" s="112"/>
      <c r="T470" s="113"/>
      <c r="U470" s="112"/>
      <c r="V470" s="113"/>
      <c r="W470" s="114"/>
      <c r="X470" s="115"/>
    </row>
    <row r="471" spans="1:24" hidden="1" x14ac:dyDescent="0.25">
      <c r="A471" s="114"/>
      <c r="B471" s="115"/>
      <c r="C471" s="114"/>
      <c r="D471" s="115"/>
      <c r="E471" s="114"/>
      <c r="F471" s="115"/>
      <c r="G471" s="112"/>
      <c r="H471" s="113"/>
      <c r="I471" s="112"/>
      <c r="J471" s="113"/>
      <c r="K471" s="112"/>
      <c r="L471" s="113"/>
      <c r="M471" s="112"/>
      <c r="N471" s="113"/>
      <c r="O471" s="112"/>
      <c r="P471" s="113"/>
      <c r="Q471" s="112"/>
      <c r="R471" s="113"/>
      <c r="S471" s="112"/>
      <c r="T471" s="113"/>
      <c r="U471" s="112"/>
      <c r="V471" s="113"/>
      <c r="W471" s="114"/>
      <c r="X471" s="115"/>
    </row>
    <row r="472" spans="1:24" hidden="1" x14ac:dyDescent="0.25">
      <c r="A472" s="114"/>
      <c r="B472" s="115"/>
      <c r="C472" s="114"/>
      <c r="D472" s="115"/>
      <c r="E472" s="114"/>
      <c r="F472" s="115"/>
      <c r="G472" s="112"/>
      <c r="H472" s="113"/>
      <c r="I472" s="112"/>
      <c r="J472" s="113"/>
      <c r="K472" s="112"/>
      <c r="L472" s="113"/>
      <c r="M472" s="112"/>
      <c r="N472" s="113"/>
      <c r="O472" s="112"/>
      <c r="P472" s="113"/>
      <c r="Q472" s="112"/>
      <c r="R472" s="113"/>
      <c r="S472" s="112"/>
      <c r="T472" s="113"/>
      <c r="U472" s="112"/>
      <c r="V472" s="113"/>
      <c r="W472" s="114"/>
      <c r="X472" s="115"/>
    </row>
    <row r="473" spans="1:24" hidden="1" x14ac:dyDescent="0.25">
      <c r="A473" s="114"/>
      <c r="B473" s="115"/>
      <c r="C473" s="114"/>
      <c r="D473" s="115"/>
      <c r="E473" s="114"/>
      <c r="F473" s="115"/>
      <c r="G473" s="112"/>
      <c r="H473" s="113"/>
      <c r="I473" s="112"/>
      <c r="J473" s="113"/>
      <c r="K473" s="112"/>
      <c r="L473" s="113"/>
      <c r="M473" s="112"/>
      <c r="N473" s="113"/>
      <c r="O473" s="112"/>
      <c r="P473" s="113"/>
      <c r="Q473" s="112"/>
      <c r="R473" s="113"/>
      <c r="S473" s="112"/>
      <c r="T473" s="113"/>
      <c r="U473" s="112"/>
      <c r="V473" s="113"/>
      <c r="W473" s="114"/>
      <c r="X473" s="115"/>
    </row>
    <row r="474" spans="1:24" hidden="1" x14ac:dyDescent="0.25">
      <c r="A474" s="114"/>
      <c r="B474" s="115"/>
      <c r="C474" s="114"/>
      <c r="D474" s="115"/>
      <c r="E474" s="114"/>
      <c r="F474" s="115"/>
      <c r="G474" s="112"/>
      <c r="H474" s="113"/>
      <c r="I474" s="112"/>
      <c r="J474" s="113"/>
      <c r="K474" s="112"/>
      <c r="L474" s="113"/>
      <c r="M474" s="112"/>
      <c r="N474" s="113"/>
      <c r="O474" s="112"/>
      <c r="P474" s="113"/>
      <c r="Q474" s="112"/>
      <c r="R474" s="113"/>
      <c r="S474" s="112"/>
      <c r="T474" s="113"/>
      <c r="U474" s="112"/>
      <c r="V474" s="113"/>
      <c r="W474" s="114"/>
      <c r="X474" s="115"/>
    </row>
    <row r="475" spans="1:24" hidden="1" x14ac:dyDescent="0.25">
      <c r="A475" s="114"/>
      <c r="B475" s="115"/>
      <c r="C475" s="114"/>
      <c r="D475" s="115"/>
      <c r="E475" s="114"/>
      <c r="F475" s="115"/>
      <c r="G475" s="112"/>
      <c r="H475" s="113"/>
      <c r="I475" s="112"/>
      <c r="J475" s="113"/>
      <c r="K475" s="112"/>
      <c r="L475" s="113"/>
      <c r="M475" s="112"/>
      <c r="N475" s="113"/>
      <c r="O475" s="112"/>
      <c r="P475" s="113"/>
      <c r="Q475" s="112"/>
      <c r="R475" s="113"/>
      <c r="S475" s="112"/>
      <c r="T475" s="113"/>
      <c r="U475" s="112"/>
      <c r="V475" s="113"/>
      <c r="W475" s="114"/>
      <c r="X475" s="115"/>
    </row>
    <row r="476" spans="1:24" hidden="1" x14ac:dyDescent="0.25">
      <c r="A476" s="114"/>
      <c r="B476" s="115"/>
      <c r="C476" s="114"/>
      <c r="D476" s="115"/>
      <c r="E476" s="114"/>
      <c r="F476" s="115"/>
      <c r="G476" s="112"/>
      <c r="H476" s="113"/>
      <c r="I476" s="112"/>
      <c r="J476" s="113"/>
      <c r="K476" s="112"/>
      <c r="L476" s="113"/>
      <c r="M476" s="112"/>
      <c r="N476" s="113"/>
      <c r="O476" s="112"/>
      <c r="P476" s="113"/>
      <c r="Q476" s="112"/>
      <c r="R476" s="113"/>
      <c r="S476" s="112"/>
      <c r="T476" s="113"/>
      <c r="U476" s="112"/>
      <c r="V476" s="113"/>
      <c r="W476" s="114"/>
      <c r="X476" s="115"/>
    </row>
    <row r="477" spans="1:24" hidden="1" x14ac:dyDescent="0.25">
      <c r="A477" s="114"/>
      <c r="B477" s="115"/>
      <c r="C477" s="114"/>
      <c r="D477" s="115"/>
      <c r="E477" s="114"/>
      <c r="F477" s="115"/>
      <c r="G477" s="112"/>
      <c r="H477" s="113"/>
      <c r="I477" s="112"/>
      <c r="J477" s="113"/>
      <c r="K477" s="112"/>
      <c r="L477" s="113"/>
      <c r="M477" s="112"/>
      <c r="N477" s="113"/>
      <c r="O477" s="112"/>
      <c r="P477" s="113"/>
      <c r="Q477" s="112"/>
      <c r="R477" s="113"/>
      <c r="S477" s="112"/>
      <c r="T477" s="113"/>
      <c r="U477" s="112"/>
      <c r="V477" s="113"/>
      <c r="W477" s="114"/>
      <c r="X477" s="115"/>
    </row>
    <row r="478" spans="1:24" hidden="1" x14ac:dyDescent="0.25">
      <c r="A478" s="114"/>
      <c r="B478" s="115"/>
      <c r="C478" s="114"/>
      <c r="D478" s="115"/>
      <c r="E478" s="114"/>
      <c r="F478" s="115"/>
      <c r="G478" s="112"/>
      <c r="H478" s="113"/>
      <c r="I478" s="112"/>
      <c r="J478" s="113"/>
      <c r="K478" s="112"/>
      <c r="L478" s="113"/>
      <c r="M478" s="112"/>
      <c r="N478" s="113"/>
      <c r="O478" s="112"/>
      <c r="P478" s="113"/>
      <c r="Q478" s="112"/>
      <c r="R478" s="113"/>
      <c r="S478" s="112"/>
      <c r="T478" s="113"/>
      <c r="U478" s="112"/>
      <c r="V478" s="113"/>
      <c r="W478" s="114"/>
      <c r="X478" s="115"/>
    </row>
    <row r="479" spans="1:24" hidden="1" x14ac:dyDescent="0.25">
      <c r="A479" s="114"/>
      <c r="B479" s="115"/>
      <c r="C479" s="114"/>
      <c r="D479" s="115"/>
      <c r="E479" s="114"/>
      <c r="F479" s="115"/>
      <c r="G479" s="112"/>
      <c r="H479" s="113"/>
      <c r="I479" s="112"/>
      <c r="J479" s="113"/>
      <c r="K479" s="112"/>
      <c r="L479" s="113"/>
      <c r="M479" s="112"/>
      <c r="N479" s="113"/>
      <c r="O479" s="112"/>
      <c r="P479" s="113"/>
      <c r="Q479" s="112"/>
      <c r="R479" s="113"/>
      <c r="S479" s="112"/>
      <c r="T479" s="113"/>
      <c r="U479" s="112"/>
      <c r="V479" s="113"/>
      <c r="W479" s="114"/>
      <c r="X479" s="115"/>
    </row>
    <row r="480" spans="1:24" hidden="1" x14ac:dyDescent="0.25">
      <c r="A480" s="114"/>
      <c r="B480" s="115"/>
      <c r="C480" s="114"/>
      <c r="D480" s="115"/>
      <c r="E480" s="114"/>
      <c r="F480" s="115"/>
      <c r="G480" s="112"/>
      <c r="H480" s="113"/>
      <c r="I480" s="112"/>
      <c r="J480" s="113"/>
      <c r="K480" s="112"/>
      <c r="L480" s="113"/>
      <c r="M480" s="112"/>
      <c r="N480" s="113"/>
      <c r="O480" s="112"/>
      <c r="P480" s="113"/>
      <c r="Q480" s="112"/>
      <c r="R480" s="113"/>
      <c r="S480" s="112"/>
      <c r="T480" s="113"/>
      <c r="U480" s="112"/>
      <c r="V480" s="113"/>
      <c r="W480" s="114"/>
      <c r="X480" s="115"/>
    </row>
    <row r="481" spans="1:24" hidden="1" x14ac:dyDescent="0.25">
      <c r="A481" s="114"/>
      <c r="B481" s="115"/>
      <c r="C481" s="114"/>
      <c r="D481" s="115"/>
      <c r="E481" s="114"/>
      <c r="F481" s="115"/>
      <c r="G481" s="112"/>
      <c r="H481" s="113"/>
      <c r="I481" s="112"/>
      <c r="J481" s="113"/>
      <c r="K481" s="112"/>
      <c r="L481" s="113"/>
      <c r="M481" s="112"/>
      <c r="N481" s="113"/>
      <c r="O481" s="112"/>
      <c r="P481" s="113"/>
      <c r="Q481" s="112"/>
      <c r="R481" s="113"/>
      <c r="S481" s="112"/>
      <c r="T481" s="113"/>
      <c r="U481" s="112"/>
      <c r="V481" s="113"/>
      <c r="W481" s="114"/>
      <c r="X481" s="115"/>
    </row>
    <row r="482" spans="1:24" hidden="1" x14ac:dyDescent="0.25">
      <c r="A482" s="114"/>
      <c r="B482" s="115"/>
      <c r="C482" s="114"/>
      <c r="D482" s="115"/>
      <c r="E482" s="114"/>
      <c r="F482" s="115"/>
      <c r="G482" s="112"/>
      <c r="H482" s="113"/>
      <c r="I482" s="112"/>
      <c r="J482" s="113"/>
      <c r="K482" s="112"/>
      <c r="L482" s="113"/>
      <c r="M482" s="112"/>
      <c r="N482" s="113"/>
      <c r="O482" s="112"/>
      <c r="P482" s="113"/>
      <c r="Q482" s="112"/>
      <c r="R482" s="113"/>
      <c r="S482" s="112"/>
      <c r="T482" s="113"/>
      <c r="U482" s="112"/>
      <c r="V482" s="113"/>
      <c r="W482" s="114"/>
      <c r="X482" s="115"/>
    </row>
    <row r="483" spans="1:24" hidden="1" x14ac:dyDescent="0.25">
      <c r="A483" s="114"/>
      <c r="B483" s="115"/>
      <c r="C483" s="114"/>
      <c r="D483" s="115"/>
      <c r="E483" s="114"/>
      <c r="F483" s="115"/>
      <c r="G483" s="112"/>
      <c r="H483" s="113"/>
      <c r="I483" s="112"/>
      <c r="J483" s="113"/>
      <c r="K483" s="112"/>
      <c r="L483" s="113"/>
      <c r="M483" s="112"/>
      <c r="N483" s="113"/>
      <c r="O483" s="112"/>
      <c r="P483" s="113"/>
      <c r="Q483" s="112"/>
      <c r="R483" s="113"/>
      <c r="S483" s="112"/>
      <c r="T483" s="113"/>
      <c r="U483" s="112"/>
      <c r="V483" s="113"/>
      <c r="W483" s="114"/>
      <c r="X483" s="115"/>
    </row>
    <row r="484" spans="1:24" hidden="1" x14ac:dyDescent="0.25">
      <c r="A484" s="114"/>
      <c r="B484" s="115"/>
      <c r="C484" s="114"/>
      <c r="D484" s="115"/>
      <c r="E484" s="114"/>
      <c r="F484" s="115"/>
      <c r="G484" s="112"/>
      <c r="H484" s="113"/>
      <c r="I484" s="112"/>
      <c r="J484" s="113"/>
      <c r="K484" s="112"/>
      <c r="L484" s="113"/>
      <c r="M484" s="112"/>
      <c r="N484" s="113"/>
      <c r="O484" s="112"/>
      <c r="P484" s="113"/>
      <c r="Q484" s="112"/>
      <c r="R484" s="113"/>
      <c r="S484" s="112"/>
      <c r="T484" s="113"/>
      <c r="U484" s="112"/>
      <c r="V484" s="113"/>
      <c r="W484" s="114"/>
      <c r="X484" s="115"/>
    </row>
    <row r="485" spans="1:24" hidden="1" x14ac:dyDescent="0.25">
      <c r="A485" s="114"/>
      <c r="B485" s="115"/>
      <c r="C485" s="114"/>
      <c r="D485" s="115"/>
      <c r="E485" s="114"/>
      <c r="F485" s="115"/>
      <c r="G485" s="112"/>
      <c r="H485" s="113"/>
      <c r="I485" s="112"/>
      <c r="J485" s="113"/>
      <c r="K485" s="112"/>
      <c r="L485" s="113"/>
      <c r="M485" s="112"/>
      <c r="N485" s="113"/>
      <c r="O485" s="112"/>
      <c r="P485" s="113"/>
      <c r="Q485" s="112"/>
      <c r="R485" s="113"/>
      <c r="S485" s="112"/>
      <c r="T485" s="113"/>
      <c r="U485" s="112"/>
      <c r="V485" s="113"/>
      <c r="W485" s="114"/>
      <c r="X485" s="115"/>
    </row>
    <row r="486" spans="1:24" hidden="1" x14ac:dyDescent="0.25">
      <c r="A486" s="114"/>
      <c r="B486" s="115"/>
      <c r="C486" s="114"/>
      <c r="D486" s="115"/>
      <c r="E486" s="114"/>
      <c r="F486" s="115"/>
      <c r="G486" s="112"/>
      <c r="H486" s="113"/>
      <c r="I486" s="112"/>
      <c r="J486" s="113"/>
      <c r="K486" s="112"/>
      <c r="L486" s="113"/>
      <c r="M486" s="112"/>
      <c r="N486" s="113"/>
      <c r="O486" s="112"/>
      <c r="P486" s="113"/>
      <c r="Q486" s="112"/>
      <c r="R486" s="113"/>
      <c r="S486" s="112"/>
      <c r="T486" s="113"/>
      <c r="U486" s="112"/>
      <c r="V486" s="113"/>
      <c r="W486" s="114"/>
      <c r="X486" s="115"/>
    </row>
    <row r="487" spans="1:24" hidden="1" x14ac:dyDescent="0.25">
      <c r="A487" s="114"/>
      <c r="B487" s="115"/>
      <c r="C487" s="114"/>
      <c r="D487" s="115"/>
      <c r="E487" s="114"/>
      <c r="F487" s="115"/>
      <c r="G487" s="112"/>
      <c r="H487" s="113"/>
      <c r="I487" s="112"/>
      <c r="J487" s="113"/>
      <c r="K487" s="112"/>
      <c r="L487" s="113"/>
      <c r="M487" s="112"/>
      <c r="N487" s="113"/>
      <c r="O487" s="112"/>
      <c r="P487" s="113"/>
      <c r="Q487" s="112"/>
      <c r="R487" s="113"/>
      <c r="S487" s="112"/>
      <c r="T487" s="113"/>
      <c r="U487" s="112"/>
      <c r="V487" s="113"/>
      <c r="W487" s="114"/>
      <c r="X487" s="115"/>
    </row>
    <row r="488" spans="1:24" hidden="1" x14ac:dyDescent="0.25">
      <c r="A488" s="114"/>
      <c r="B488" s="115"/>
      <c r="C488" s="114"/>
      <c r="D488" s="115"/>
      <c r="E488" s="114"/>
      <c r="F488" s="115"/>
      <c r="G488" s="112"/>
      <c r="H488" s="113"/>
      <c r="I488" s="112"/>
      <c r="J488" s="113"/>
      <c r="K488" s="112"/>
      <c r="L488" s="113"/>
      <c r="M488" s="112"/>
      <c r="N488" s="113"/>
      <c r="O488" s="112"/>
      <c r="P488" s="113"/>
      <c r="Q488" s="112"/>
      <c r="R488" s="113"/>
      <c r="S488" s="112"/>
      <c r="T488" s="113"/>
      <c r="U488" s="112"/>
      <c r="V488" s="113"/>
      <c r="W488" s="114"/>
      <c r="X488" s="115"/>
    </row>
    <row r="489" spans="1:24" hidden="1" x14ac:dyDescent="0.25">
      <c r="A489" s="114"/>
      <c r="B489" s="115"/>
      <c r="C489" s="114"/>
      <c r="D489" s="115"/>
      <c r="E489" s="114"/>
      <c r="F489" s="115"/>
      <c r="G489" s="112"/>
      <c r="H489" s="113"/>
      <c r="I489" s="112"/>
      <c r="J489" s="113"/>
      <c r="K489" s="112"/>
      <c r="L489" s="113"/>
      <c r="M489" s="112"/>
      <c r="N489" s="113"/>
      <c r="O489" s="112"/>
      <c r="P489" s="113"/>
      <c r="Q489" s="112"/>
      <c r="R489" s="113"/>
      <c r="S489" s="112"/>
      <c r="T489" s="113"/>
      <c r="U489" s="112"/>
      <c r="V489" s="113"/>
      <c r="W489" s="114"/>
      <c r="X489" s="115"/>
    </row>
    <row r="490" spans="1:24" hidden="1" x14ac:dyDescent="0.25">
      <c r="A490" s="114"/>
      <c r="B490" s="115"/>
      <c r="C490" s="114"/>
      <c r="D490" s="115"/>
      <c r="E490" s="114"/>
      <c r="F490" s="115"/>
      <c r="G490" s="112"/>
      <c r="H490" s="113"/>
      <c r="I490" s="112"/>
      <c r="J490" s="113"/>
      <c r="K490" s="112"/>
      <c r="L490" s="113"/>
      <c r="M490" s="112"/>
      <c r="N490" s="113"/>
      <c r="O490" s="112"/>
      <c r="P490" s="113"/>
      <c r="Q490" s="112"/>
      <c r="R490" s="113"/>
      <c r="S490" s="112"/>
      <c r="T490" s="113"/>
      <c r="U490" s="112"/>
      <c r="V490" s="113"/>
      <c r="W490" s="114"/>
      <c r="X490" s="115"/>
    </row>
    <row r="491" spans="1:24" hidden="1" x14ac:dyDescent="0.25">
      <c r="A491" s="114"/>
      <c r="B491" s="115"/>
      <c r="C491" s="114"/>
      <c r="D491" s="115"/>
      <c r="E491" s="114"/>
      <c r="F491" s="115"/>
      <c r="G491" s="112"/>
      <c r="H491" s="113"/>
      <c r="I491" s="112"/>
      <c r="J491" s="113"/>
      <c r="K491" s="112"/>
      <c r="L491" s="113"/>
      <c r="M491" s="112"/>
      <c r="N491" s="113"/>
      <c r="O491" s="112"/>
      <c r="P491" s="113"/>
      <c r="Q491" s="112"/>
      <c r="R491" s="113"/>
      <c r="S491" s="112"/>
      <c r="T491" s="113"/>
      <c r="U491" s="112"/>
      <c r="V491" s="113"/>
      <c r="W491" s="114"/>
      <c r="X491" s="115"/>
    </row>
    <row r="492" spans="1:24" hidden="1" x14ac:dyDescent="0.25">
      <c r="A492" s="114"/>
      <c r="B492" s="115"/>
      <c r="C492" s="114"/>
      <c r="D492" s="115"/>
      <c r="E492" s="114"/>
      <c r="F492" s="115"/>
      <c r="G492" s="112"/>
      <c r="H492" s="113"/>
      <c r="I492" s="112"/>
      <c r="J492" s="113"/>
      <c r="K492" s="112"/>
      <c r="L492" s="113"/>
      <c r="M492" s="112"/>
      <c r="N492" s="113"/>
      <c r="O492" s="112"/>
      <c r="P492" s="113"/>
      <c r="Q492" s="112"/>
      <c r="R492" s="113"/>
      <c r="S492" s="112"/>
      <c r="T492" s="113"/>
      <c r="U492" s="112"/>
      <c r="V492" s="113"/>
      <c r="W492" s="114"/>
      <c r="X492" s="115"/>
    </row>
    <row r="493" spans="1:24" hidden="1" x14ac:dyDescent="0.25">
      <c r="A493" s="114"/>
      <c r="B493" s="115"/>
      <c r="C493" s="114"/>
      <c r="D493" s="115"/>
      <c r="E493" s="114"/>
      <c r="F493" s="115"/>
      <c r="G493" s="112"/>
      <c r="H493" s="113"/>
      <c r="I493" s="112"/>
      <c r="J493" s="113"/>
      <c r="K493" s="112"/>
      <c r="L493" s="113"/>
      <c r="M493" s="112"/>
      <c r="N493" s="113"/>
      <c r="O493" s="112"/>
      <c r="P493" s="113"/>
      <c r="Q493" s="112"/>
      <c r="R493" s="113"/>
      <c r="S493" s="112"/>
      <c r="T493" s="113"/>
      <c r="U493" s="112"/>
      <c r="V493" s="113"/>
      <c r="W493" s="114"/>
      <c r="X493" s="115"/>
    </row>
    <row r="494" spans="1:24" hidden="1" x14ac:dyDescent="0.25">
      <c r="A494" s="114"/>
      <c r="B494" s="115"/>
      <c r="C494" s="114"/>
      <c r="D494" s="115"/>
      <c r="E494" s="114"/>
      <c r="F494" s="115"/>
      <c r="G494" s="112"/>
      <c r="H494" s="113"/>
      <c r="I494" s="112"/>
      <c r="J494" s="113"/>
      <c r="K494" s="112"/>
      <c r="L494" s="113"/>
      <c r="M494" s="112"/>
      <c r="N494" s="113"/>
      <c r="O494" s="112"/>
      <c r="P494" s="113"/>
      <c r="Q494" s="112"/>
      <c r="R494" s="113"/>
      <c r="S494" s="112"/>
      <c r="T494" s="113"/>
      <c r="U494" s="112"/>
      <c r="V494" s="113"/>
      <c r="W494" s="114"/>
      <c r="X494" s="115"/>
    </row>
    <row r="495" spans="1:24" hidden="1" x14ac:dyDescent="0.25">
      <c r="A495" s="114"/>
      <c r="B495" s="115"/>
      <c r="C495" s="114"/>
      <c r="D495" s="115"/>
      <c r="E495" s="114"/>
      <c r="F495" s="115"/>
      <c r="G495" s="112"/>
      <c r="H495" s="113"/>
      <c r="I495" s="112"/>
      <c r="J495" s="113"/>
      <c r="K495" s="112"/>
      <c r="L495" s="113"/>
      <c r="M495" s="112"/>
      <c r="N495" s="113"/>
      <c r="O495" s="112"/>
      <c r="P495" s="113"/>
      <c r="Q495" s="112"/>
      <c r="R495" s="113"/>
      <c r="S495" s="112"/>
      <c r="T495" s="113"/>
      <c r="U495" s="112"/>
      <c r="V495" s="113"/>
      <c r="W495" s="114"/>
      <c r="X495" s="115"/>
    </row>
    <row r="496" spans="1:24" hidden="1" x14ac:dyDescent="0.25">
      <c r="A496" s="114"/>
      <c r="B496" s="115"/>
      <c r="C496" s="114"/>
      <c r="D496" s="115"/>
      <c r="E496" s="114"/>
      <c r="F496" s="115"/>
      <c r="G496" s="112"/>
      <c r="H496" s="113"/>
      <c r="I496" s="112"/>
      <c r="J496" s="113"/>
      <c r="K496" s="112"/>
      <c r="L496" s="113"/>
      <c r="M496" s="112"/>
      <c r="N496" s="113"/>
      <c r="O496" s="112"/>
      <c r="P496" s="113"/>
      <c r="Q496" s="112"/>
      <c r="R496" s="113"/>
      <c r="S496" s="112"/>
      <c r="T496" s="113"/>
      <c r="U496" s="112"/>
      <c r="V496" s="113"/>
      <c r="W496" s="114"/>
      <c r="X496" s="115"/>
    </row>
    <row r="497" spans="1:24" hidden="1" x14ac:dyDescent="0.25">
      <c r="A497" s="114"/>
      <c r="B497" s="115"/>
      <c r="C497" s="114"/>
      <c r="D497" s="115"/>
      <c r="E497" s="114"/>
      <c r="F497" s="115"/>
      <c r="G497" s="112"/>
      <c r="H497" s="113"/>
      <c r="I497" s="112"/>
      <c r="J497" s="113"/>
      <c r="K497" s="112"/>
      <c r="L497" s="113"/>
      <c r="M497" s="112"/>
      <c r="N497" s="113"/>
      <c r="O497" s="112"/>
      <c r="P497" s="113"/>
      <c r="Q497" s="112"/>
      <c r="R497" s="113"/>
      <c r="S497" s="112"/>
      <c r="T497" s="113"/>
      <c r="U497" s="112"/>
      <c r="V497" s="113"/>
      <c r="W497" s="114"/>
      <c r="X497" s="115"/>
    </row>
    <row r="498" spans="1:24" hidden="1" x14ac:dyDescent="0.25">
      <c r="A498" s="114"/>
      <c r="B498" s="115"/>
      <c r="C498" s="114"/>
      <c r="D498" s="115"/>
      <c r="E498" s="114"/>
      <c r="F498" s="115"/>
      <c r="G498" s="112"/>
      <c r="H498" s="113"/>
      <c r="I498" s="112"/>
      <c r="J498" s="113"/>
      <c r="K498" s="112"/>
      <c r="L498" s="113"/>
      <c r="M498" s="112"/>
      <c r="N498" s="113"/>
      <c r="O498" s="112"/>
      <c r="P498" s="113"/>
      <c r="Q498" s="112"/>
      <c r="R498" s="113"/>
      <c r="S498" s="112"/>
      <c r="T498" s="113"/>
      <c r="U498" s="112"/>
      <c r="V498" s="113"/>
      <c r="W498" s="114"/>
      <c r="X498" s="115"/>
    </row>
    <row r="499" spans="1:24" hidden="1" x14ac:dyDescent="0.25">
      <c r="A499" s="114"/>
      <c r="B499" s="115"/>
      <c r="C499" s="114"/>
      <c r="D499" s="115"/>
      <c r="E499" s="114"/>
      <c r="F499" s="115"/>
      <c r="G499" s="112"/>
      <c r="H499" s="113"/>
      <c r="I499" s="112"/>
      <c r="J499" s="113"/>
      <c r="K499" s="112"/>
      <c r="L499" s="113"/>
      <c r="M499" s="112"/>
      <c r="N499" s="113"/>
      <c r="O499" s="112"/>
      <c r="P499" s="113"/>
      <c r="Q499" s="112"/>
      <c r="R499" s="113"/>
      <c r="S499" s="112"/>
      <c r="T499" s="113"/>
      <c r="U499" s="112"/>
      <c r="V499" s="113"/>
      <c r="W499" s="114"/>
      <c r="X499" s="115"/>
    </row>
    <row r="500" spans="1:24" hidden="1" x14ac:dyDescent="0.25">
      <c r="A500" s="114"/>
      <c r="B500" s="115"/>
      <c r="C500" s="114"/>
      <c r="D500" s="115"/>
      <c r="E500" s="114"/>
      <c r="F500" s="115"/>
      <c r="G500" s="112"/>
      <c r="H500" s="113"/>
      <c r="I500" s="112"/>
      <c r="J500" s="113"/>
      <c r="K500" s="112"/>
      <c r="L500" s="113"/>
      <c r="M500" s="112"/>
      <c r="N500" s="113"/>
      <c r="O500" s="112"/>
      <c r="P500" s="113"/>
      <c r="Q500" s="112"/>
      <c r="R500" s="113"/>
      <c r="S500" s="112"/>
      <c r="T500" s="113"/>
      <c r="U500" s="112"/>
      <c r="V500" s="113"/>
      <c r="W500" s="114"/>
      <c r="X500" s="115"/>
    </row>
  </sheetData>
  <sheetProtection sheet="1" objects="1" scenarios="1" autoFilter="0"/>
  <mergeCells count="5846">
    <mergeCell ref="AE1:AI2"/>
    <mergeCell ref="AF3:AF4"/>
    <mergeCell ref="AG3:AG4"/>
    <mergeCell ref="AH3:AH4"/>
    <mergeCell ref="AI3:AI4"/>
    <mergeCell ref="AE3:AE4"/>
    <mergeCell ref="M500:N500"/>
    <mergeCell ref="O500:P500"/>
    <mergeCell ref="Q500:R500"/>
    <mergeCell ref="S500:T500"/>
    <mergeCell ref="U500:V500"/>
    <mergeCell ref="W500:X500"/>
    <mergeCell ref="A500:B500"/>
    <mergeCell ref="C500:D500"/>
    <mergeCell ref="E500:F500"/>
    <mergeCell ref="G500:H500"/>
    <mergeCell ref="I500:J500"/>
    <mergeCell ref="K500:L500"/>
    <mergeCell ref="M499:N499"/>
    <mergeCell ref="O499:P499"/>
    <mergeCell ref="Q499:R499"/>
    <mergeCell ref="S499:T499"/>
    <mergeCell ref="U499:V499"/>
    <mergeCell ref="W499:X499"/>
    <mergeCell ref="A499:B499"/>
    <mergeCell ref="C499:D499"/>
    <mergeCell ref="E499:F499"/>
    <mergeCell ref="G499:H499"/>
    <mergeCell ref="I499:J499"/>
    <mergeCell ref="K499:L499"/>
    <mergeCell ref="M498:N498"/>
    <mergeCell ref="O498:P498"/>
    <mergeCell ref="Q498:R498"/>
    <mergeCell ref="S498:T498"/>
    <mergeCell ref="U498:V498"/>
    <mergeCell ref="W498:X498"/>
    <mergeCell ref="A498:B498"/>
    <mergeCell ref="C498:D498"/>
    <mergeCell ref="E498:F498"/>
    <mergeCell ref="G498:H498"/>
    <mergeCell ref="I498:J498"/>
    <mergeCell ref="K498:L498"/>
    <mergeCell ref="M497:N497"/>
    <mergeCell ref="O497:P497"/>
    <mergeCell ref="Q497:R497"/>
    <mergeCell ref="S497:T497"/>
    <mergeCell ref="U497:V497"/>
    <mergeCell ref="W497:X497"/>
    <mergeCell ref="A497:B497"/>
    <mergeCell ref="C497:D497"/>
    <mergeCell ref="E497:F497"/>
    <mergeCell ref="G497:H497"/>
    <mergeCell ref="I497:J497"/>
    <mergeCell ref="K497:L497"/>
    <mergeCell ref="M496:N496"/>
    <mergeCell ref="O496:P496"/>
    <mergeCell ref="Q496:R496"/>
    <mergeCell ref="S496:T496"/>
    <mergeCell ref="U496:V496"/>
    <mergeCell ref="W496:X496"/>
    <mergeCell ref="A496:B496"/>
    <mergeCell ref="C496:D496"/>
    <mergeCell ref="E496:F496"/>
    <mergeCell ref="G496:H496"/>
    <mergeCell ref="I496:J496"/>
    <mergeCell ref="K496:L496"/>
    <mergeCell ref="M495:N495"/>
    <mergeCell ref="O495:P495"/>
    <mergeCell ref="Q495:R495"/>
    <mergeCell ref="S495:T495"/>
    <mergeCell ref="U495:V495"/>
    <mergeCell ref="W495:X495"/>
    <mergeCell ref="A495:B495"/>
    <mergeCell ref="C495:D495"/>
    <mergeCell ref="E495:F495"/>
    <mergeCell ref="G495:H495"/>
    <mergeCell ref="I495:J495"/>
    <mergeCell ref="K495:L495"/>
    <mergeCell ref="M494:N494"/>
    <mergeCell ref="O494:P494"/>
    <mergeCell ref="Q494:R494"/>
    <mergeCell ref="S494:T494"/>
    <mergeCell ref="U494:V494"/>
    <mergeCell ref="W494:X494"/>
    <mergeCell ref="A494:B494"/>
    <mergeCell ref="C494:D494"/>
    <mergeCell ref="E494:F494"/>
    <mergeCell ref="G494:H494"/>
    <mergeCell ref="I494:J494"/>
    <mergeCell ref="K494:L494"/>
    <mergeCell ref="M493:N493"/>
    <mergeCell ref="O493:P493"/>
    <mergeCell ref="Q493:R493"/>
    <mergeCell ref="S493:T493"/>
    <mergeCell ref="U493:V493"/>
    <mergeCell ref="W493:X493"/>
    <mergeCell ref="A493:B493"/>
    <mergeCell ref="C493:D493"/>
    <mergeCell ref="E493:F493"/>
    <mergeCell ref="G493:H493"/>
    <mergeCell ref="I493:J493"/>
    <mergeCell ref="K493:L493"/>
    <mergeCell ref="M492:N492"/>
    <mergeCell ref="O492:P492"/>
    <mergeCell ref="Q492:R492"/>
    <mergeCell ref="S492:T492"/>
    <mergeCell ref="U492:V492"/>
    <mergeCell ref="W492:X492"/>
    <mergeCell ref="A492:B492"/>
    <mergeCell ref="C492:D492"/>
    <mergeCell ref="E492:F492"/>
    <mergeCell ref="G492:H492"/>
    <mergeCell ref="I492:J492"/>
    <mergeCell ref="K492:L492"/>
    <mergeCell ref="M491:N491"/>
    <mergeCell ref="O491:P491"/>
    <mergeCell ref="Q491:R491"/>
    <mergeCell ref="S491:T491"/>
    <mergeCell ref="U491:V491"/>
    <mergeCell ref="W491:X491"/>
    <mergeCell ref="A491:B491"/>
    <mergeCell ref="C491:D491"/>
    <mergeCell ref="E491:F491"/>
    <mergeCell ref="G491:H491"/>
    <mergeCell ref="I491:J491"/>
    <mergeCell ref="K491:L491"/>
    <mergeCell ref="M490:N490"/>
    <mergeCell ref="O490:P490"/>
    <mergeCell ref="Q490:R490"/>
    <mergeCell ref="S490:T490"/>
    <mergeCell ref="U490:V490"/>
    <mergeCell ref="W490:X490"/>
    <mergeCell ref="A490:B490"/>
    <mergeCell ref="C490:D490"/>
    <mergeCell ref="E490:F490"/>
    <mergeCell ref="G490:H490"/>
    <mergeCell ref="I490:J490"/>
    <mergeCell ref="K490:L490"/>
    <mergeCell ref="M489:N489"/>
    <mergeCell ref="O489:P489"/>
    <mergeCell ref="Q489:R489"/>
    <mergeCell ref="S489:T489"/>
    <mergeCell ref="U489:V489"/>
    <mergeCell ref="W489:X489"/>
    <mergeCell ref="A489:B489"/>
    <mergeCell ref="C489:D489"/>
    <mergeCell ref="E489:F489"/>
    <mergeCell ref="G489:H489"/>
    <mergeCell ref="I489:J489"/>
    <mergeCell ref="K489:L489"/>
    <mergeCell ref="M488:N488"/>
    <mergeCell ref="O488:P488"/>
    <mergeCell ref="Q488:R488"/>
    <mergeCell ref="S488:T488"/>
    <mergeCell ref="U488:V488"/>
    <mergeCell ref="W488:X488"/>
    <mergeCell ref="A488:B488"/>
    <mergeCell ref="C488:D488"/>
    <mergeCell ref="E488:F488"/>
    <mergeCell ref="G488:H488"/>
    <mergeCell ref="I488:J488"/>
    <mergeCell ref="K488:L488"/>
    <mergeCell ref="M487:N487"/>
    <mergeCell ref="O487:P487"/>
    <mergeCell ref="Q487:R487"/>
    <mergeCell ref="S487:T487"/>
    <mergeCell ref="U487:V487"/>
    <mergeCell ref="W487:X487"/>
    <mergeCell ref="A487:B487"/>
    <mergeCell ref="C487:D487"/>
    <mergeCell ref="E487:F487"/>
    <mergeCell ref="G487:H487"/>
    <mergeCell ref="I487:J487"/>
    <mergeCell ref="K487:L487"/>
    <mergeCell ref="M486:N486"/>
    <mergeCell ref="O486:P486"/>
    <mergeCell ref="Q486:R486"/>
    <mergeCell ref="S486:T486"/>
    <mergeCell ref="U486:V486"/>
    <mergeCell ref="W486:X486"/>
    <mergeCell ref="A486:B486"/>
    <mergeCell ref="C486:D486"/>
    <mergeCell ref="E486:F486"/>
    <mergeCell ref="G486:H486"/>
    <mergeCell ref="I486:J486"/>
    <mergeCell ref="K486:L486"/>
    <mergeCell ref="M485:N485"/>
    <mergeCell ref="O485:P485"/>
    <mergeCell ref="Q485:R485"/>
    <mergeCell ref="S485:T485"/>
    <mergeCell ref="U485:V485"/>
    <mergeCell ref="W485:X485"/>
    <mergeCell ref="A485:B485"/>
    <mergeCell ref="C485:D485"/>
    <mergeCell ref="E485:F485"/>
    <mergeCell ref="G485:H485"/>
    <mergeCell ref="I485:J485"/>
    <mergeCell ref="K485:L485"/>
    <mergeCell ref="M484:N484"/>
    <mergeCell ref="O484:P484"/>
    <mergeCell ref="Q484:R484"/>
    <mergeCell ref="S484:T484"/>
    <mergeCell ref="U484:V484"/>
    <mergeCell ref="W484:X484"/>
    <mergeCell ref="A484:B484"/>
    <mergeCell ref="C484:D484"/>
    <mergeCell ref="E484:F484"/>
    <mergeCell ref="G484:H484"/>
    <mergeCell ref="I484:J484"/>
    <mergeCell ref="K484:L484"/>
    <mergeCell ref="M483:N483"/>
    <mergeCell ref="O483:P483"/>
    <mergeCell ref="Q483:R483"/>
    <mergeCell ref="S483:T483"/>
    <mergeCell ref="U483:V483"/>
    <mergeCell ref="W483:X483"/>
    <mergeCell ref="A483:B483"/>
    <mergeCell ref="C483:D483"/>
    <mergeCell ref="E483:F483"/>
    <mergeCell ref="G483:H483"/>
    <mergeCell ref="I483:J483"/>
    <mergeCell ref="K483:L483"/>
    <mergeCell ref="M482:N482"/>
    <mergeCell ref="O482:P482"/>
    <mergeCell ref="Q482:R482"/>
    <mergeCell ref="S482:T482"/>
    <mergeCell ref="U482:V482"/>
    <mergeCell ref="W482:X482"/>
    <mergeCell ref="A482:B482"/>
    <mergeCell ref="C482:D482"/>
    <mergeCell ref="E482:F482"/>
    <mergeCell ref="G482:H482"/>
    <mergeCell ref="I482:J482"/>
    <mergeCell ref="K482:L482"/>
    <mergeCell ref="M481:N481"/>
    <mergeCell ref="O481:P481"/>
    <mergeCell ref="Q481:R481"/>
    <mergeCell ref="S481:T481"/>
    <mergeCell ref="U481:V481"/>
    <mergeCell ref="W481:X481"/>
    <mergeCell ref="A481:B481"/>
    <mergeCell ref="C481:D481"/>
    <mergeCell ref="E481:F481"/>
    <mergeCell ref="G481:H481"/>
    <mergeCell ref="I481:J481"/>
    <mergeCell ref="K481:L481"/>
    <mergeCell ref="M480:N480"/>
    <mergeCell ref="O480:P480"/>
    <mergeCell ref="Q480:R480"/>
    <mergeCell ref="S480:T480"/>
    <mergeCell ref="U480:V480"/>
    <mergeCell ref="W480:X480"/>
    <mergeCell ref="A480:B480"/>
    <mergeCell ref="C480:D480"/>
    <mergeCell ref="E480:F480"/>
    <mergeCell ref="G480:H480"/>
    <mergeCell ref="I480:J480"/>
    <mergeCell ref="K480:L480"/>
    <mergeCell ref="M479:N479"/>
    <mergeCell ref="O479:P479"/>
    <mergeCell ref="Q479:R479"/>
    <mergeCell ref="S479:T479"/>
    <mergeCell ref="U479:V479"/>
    <mergeCell ref="W479:X479"/>
    <mergeCell ref="A479:B479"/>
    <mergeCell ref="C479:D479"/>
    <mergeCell ref="E479:F479"/>
    <mergeCell ref="G479:H479"/>
    <mergeCell ref="I479:J479"/>
    <mergeCell ref="K479:L479"/>
    <mergeCell ref="M478:N478"/>
    <mergeCell ref="O478:P478"/>
    <mergeCell ref="Q478:R478"/>
    <mergeCell ref="S478:T478"/>
    <mergeCell ref="U478:V478"/>
    <mergeCell ref="W478:X478"/>
    <mergeCell ref="A478:B478"/>
    <mergeCell ref="C478:D478"/>
    <mergeCell ref="E478:F478"/>
    <mergeCell ref="G478:H478"/>
    <mergeCell ref="I478:J478"/>
    <mergeCell ref="K478:L478"/>
    <mergeCell ref="M477:N477"/>
    <mergeCell ref="O477:P477"/>
    <mergeCell ref="Q477:R477"/>
    <mergeCell ref="S477:T477"/>
    <mergeCell ref="U477:V477"/>
    <mergeCell ref="W477:X477"/>
    <mergeCell ref="A477:B477"/>
    <mergeCell ref="C477:D477"/>
    <mergeCell ref="E477:F477"/>
    <mergeCell ref="G477:H477"/>
    <mergeCell ref="I477:J477"/>
    <mergeCell ref="K477:L477"/>
    <mergeCell ref="M476:N476"/>
    <mergeCell ref="O476:P476"/>
    <mergeCell ref="Q476:R476"/>
    <mergeCell ref="S476:T476"/>
    <mergeCell ref="U476:V476"/>
    <mergeCell ref="W476:X476"/>
    <mergeCell ref="A476:B476"/>
    <mergeCell ref="C476:D476"/>
    <mergeCell ref="E476:F476"/>
    <mergeCell ref="G476:H476"/>
    <mergeCell ref="I476:J476"/>
    <mergeCell ref="K476:L476"/>
    <mergeCell ref="M475:N475"/>
    <mergeCell ref="O475:P475"/>
    <mergeCell ref="Q475:R475"/>
    <mergeCell ref="S475:T475"/>
    <mergeCell ref="U475:V475"/>
    <mergeCell ref="W475:X475"/>
    <mergeCell ref="A475:B475"/>
    <mergeCell ref="C475:D475"/>
    <mergeCell ref="E475:F475"/>
    <mergeCell ref="G475:H475"/>
    <mergeCell ref="I475:J475"/>
    <mergeCell ref="K475:L475"/>
    <mergeCell ref="M474:N474"/>
    <mergeCell ref="O474:P474"/>
    <mergeCell ref="Q474:R474"/>
    <mergeCell ref="S474:T474"/>
    <mergeCell ref="U474:V474"/>
    <mergeCell ref="W474:X474"/>
    <mergeCell ref="A474:B474"/>
    <mergeCell ref="C474:D474"/>
    <mergeCell ref="E474:F474"/>
    <mergeCell ref="G474:H474"/>
    <mergeCell ref="I474:J474"/>
    <mergeCell ref="K474:L474"/>
    <mergeCell ref="M473:N473"/>
    <mergeCell ref="O473:P473"/>
    <mergeCell ref="Q473:R473"/>
    <mergeCell ref="S473:T473"/>
    <mergeCell ref="U473:V473"/>
    <mergeCell ref="W473:X473"/>
    <mergeCell ref="A473:B473"/>
    <mergeCell ref="C473:D473"/>
    <mergeCell ref="E473:F473"/>
    <mergeCell ref="G473:H473"/>
    <mergeCell ref="I473:J473"/>
    <mergeCell ref="K473:L473"/>
    <mergeCell ref="M472:N472"/>
    <mergeCell ref="O472:P472"/>
    <mergeCell ref="Q472:R472"/>
    <mergeCell ref="S472:T472"/>
    <mergeCell ref="U472:V472"/>
    <mergeCell ref="W472:X472"/>
    <mergeCell ref="A472:B472"/>
    <mergeCell ref="C472:D472"/>
    <mergeCell ref="E472:F472"/>
    <mergeCell ref="G472:H472"/>
    <mergeCell ref="I472:J472"/>
    <mergeCell ref="K472:L472"/>
    <mergeCell ref="M471:N471"/>
    <mergeCell ref="O471:P471"/>
    <mergeCell ref="Q471:R471"/>
    <mergeCell ref="S471:T471"/>
    <mergeCell ref="U471:V471"/>
    <mergeCell ref="W471:X471"/>
    <mergeCell ref="A471:B471"/>
    <mergeCell ref="C471:D471"/>
    <mergeCell ref="E471:F471"/>
    <mergeCell ref="G471:H471"/>
    <mergeCell ref="I471:J471"/>
    <mergeCell ref="K471:L471"/>
    <mergeCell ref="M470:N470"/>
    <mergeCell ref="O470:P470"/>
    <mergeCell ref="Q470:R470"/>
    <mergeCell ref="S470:T470"/>
    <mergeCell ref="U470:V470"/>
    <mergeCell ref="W470:X470"/>
    <mergeCell ref="A470:B470"/>
    <mergeCell ref="C470:D470"/>
    <mergeCell ref="E470:F470"/>
    <mergeCell ref="G470:H470"/>
    <mergeCell ref="I470:J470"/>
    <mergeCell ref="K470:L470"/>
    <mergeCell ref="M469:N469"/>
    <mergeCell ref="O469:P469"/>
    <mergeCell ref="Q469:R469"/>
    <mergeCell ref="S469:T469"/>
    <mergeCell ref="U469:V469"/>
    <mergeCell ref="W469:X469"/>
    <mergeCell ref="A469:B469"/>
    <mergeCell ref="C469:D469"/>
    <mergeCell ref="E469:F469"/>
    <mergeCell ref="G469:H469"/>
    <mergeCell ref="I469:J469"/>
    <mergeCell ref="K469:L469"/>
    <mergeCell ref="M468:N468"/>
    <mergeCell ref="O468:P468"/>
    <mergeCell ref="Q468:R468"/>
    <mergeCell ref="S468:T468"/>
    <mergeCell ref="U468:V468"/>
    <mergeCell ref="W468:X468"/>
    <mergeCell ref="A468:B468"/>
    <mergeCell ref="C468:D468"/>
    <mergeCell ref="E468:F468"/>
    <mergeCell ref="G468:H468"/>
    <mergeCell ref="I468:J468"/>
    <mergeCell ref="K468:L468"/>
    <mergeCell ref="M467:N467"/>
    <mergeCell ref="O467:P467"/>
    <mergeCell ref="Q467:R467"/>
    <mergeCell ref="S467:T467"/>
    <mergeCell ref="U467:V467"/>
    <mergeCell ref="W467:X467"/>
    <mergeCell ref="A467:B467"/>
    <mergeCell ref="C467:D467"/>
    <mergeCell ref="E467:F467"/>
    <mergeCell ref="G467:H467"/>
    <mergeCell ref="I467:J467"/>
    <mergeCell ref="K467:L467"/>
    <mergeCell ref="M466:N466"/>
    <mergeCell ref="O466:P466"/>
    <mergeCell ref="Q466:R466"/>
    <mergeCell ref="S466:T466"/>
    <mergeCell ref="U466:V466"/>
    <mergeCell ref="W466:X466"/>
    <mergeCell ref="A466:B466"/>
    <mergeCell ref="C466:D466"/>
    <mergeCell ref="E466:F466"/>
    <mergeCell ref="G466:H466"/>
    <mergeCell ref="I466:J466"/>
    <mergeCell ref="K466:L466"/>
    <mergeCell ref="M465:N465"/>
    <mergeCell ref="O465:P465"/>
    <mergeCell ref="Q465:R465"/>
    <mergeCell ref="S465:T465"/>
    <mergeCell ref="U465:V465"/>
    <mergeCell ref="W465:X465"/>
    <mergeCell ref="A465:B465"/>
    <mergeCell ref="C465:D465"/>
    <mergeCell ref="E465:F465"/>
    <mergeCell ref="G465:H465"/>
    <mergeCell ref="I465:J465"/>
    <mergeCell ref="K465:L465"/>
    <mergeCell ref="M464:N464"/>
    <mergeCell ref="O464:P464"/>
    <mergeCell ref="Q464:R464"/>
    <mergeCell ref="S464:T464"/>
    <mergeCell ref="U464:V464"/>
    <mergeCell ref="W464:X464"/>
    <mergeCell ref="A464:B464"/>
    <mergeCell ref="C464:D464"/>
    <mergeCell ref="E464:F464"/>
    <mergeCell ref="G464:H464"/>
    <mergeCell ref="I464:J464"/>
    <mergeCell ref="K464:L464"/>
    <mergeCell ref="M463:N463"/>
    <mergeCell ref="O463:P463"/>
    <mergeCell ref="Q463:R463"/>
    <mergeCell ref="S463:T463"/>
    <mergeCell ref="U463:V463"/>
    <mergeCell ref="W463:X463"/>
    <mergeCell ref="A463:B463"/>
    <mergeCell ref="C463:D463"/>
    <mergeCell ref="E463:F463"/>
    <mergeCell ref="G463:H463"/>
    <mergeCell ref="I463:J463"/>
    <mergeCell ref="K463:L463"/>
    <mergeCell ref="M462:N462"/>
    <mergeCell ref="O462:P462"/>
    <mergeCell ref="Q462:R462"/>
    <mergeCell ref="S462:T462"/>
    <mergeCell ref="U462:V462"/>
    <mergeCell ref="W462:X462"/>
    <mergeCell ref="A462:B462"/>
    <mergeCell ref="C462:D462"/>
    <mergeCell ref="E462:F462"/>
    <mergeCell ref="G462:H462"/>
    <mergeCell ref="I462:J462"/>
    <mergeCell ref="K462:L462"/>
    <mergeCell ref="M461:N461"/>
    <mergeCell ref="O461:P461"/>
    <mergeCell ref="Q461:R461"/>
    <mergeCell ref="S461:T461"/>
    <mergeCell ref="U461:V461"/>
    <mergeCell ref="W461:X461"/>
    <mergeCell ref="A461:B461"/>
    <mergeCell ref="C461:D461"/>
    <mergeCell ref="E461:F461"/>
    <mergeCell ref="G461:H461"/>
    <mergeCell ref="I461:J461"/>
    <mergeCell ref="K461:L461"/>
    <mergeCell ref="M460:N460"/>
    <mergeCell ref="O460:P460"/>
    <mergeCell ref="Q460:R460"/>
    <mergeCell ref="S460:T460"/>
    <mergeCell ref="U460:V460"/>
    <mergeCell ref="W460:X460"/>
    <mergeCell ref="A460:B460"/>
    <mergeCell ref="C460:D460"/>
    <mergeCell ref="E460:F460"/>
    <mergeCell ref="G460:H460"/>
    <mergeCell ref="I460:J460"/>
    <mergeCell ref="K460:L460"/>
    <mergeCell ref="M459:N459"/>
    <mergeCell ref="O459:P459"/>
    <mergeCell ref="Q459:R459"/>
    <mergeCell ref="S459:T459"/>
    <mergeCell ref="U459:V459"/>
    <mergeCell ref="W459:X459"/>
    <mergeCell ref="A459:B459"/>
    <mergeCell ref="C459:D459"/>
    <mergeCell ref="E459:F459"/>
    <mergeCell ref="G459:H459"/>
    <mergeCell ref="I459:J459"/>
    <mergeCell ref="K459:L459"/>
    <mergeCell ref="M458:N458"/>
    <mergeCell ref="O458:P458"/>
    <mergeCell ref="Q458:R458"/>
    <mergeCell ref="S458:T458"/>
    <mergeCell ref="U458:V458"/>
    <mergeCell ref="W458:X458"/>
    <mergeCell ref="A458:B458"/>
    <mergeCell ref="C458:D458"/>
    <mergeCell ref="E458:F458"/>
    <mergeCell ref="G458:H458"/>
    <mergeCell ref="I458:J458"/>
    <mergeCell ref="K458:L458"/>
    <mergeCell ref="M457:N457"/>
    <mergeCell ref="O457:P457"/>
    <mergeCell ref="Q457:R457"/>
    <mergeCell ref="S457:T457"/>
    <mergeCell ref="U457:V457"/>
    <mergeCell ref="W457:X457"/>
    <mergeCell ref="A457:B457"/>
    <mergeCell ref="C457:D457"/>
    <mergeCell ref="E457:F457"/>
    <mergeCell ref="G457:H457"/>
    <mergeCell ref="I457:J457"/>
    <mergeCell ref="K457:L457"/>
    <mergeCell ref="M456:N456"/>
    <mergeCell ref="O456:P456"/>
    <mergeCell ref="Q456:R456"/>
    <mergeCell ref="S456:T456"/>
    <mergeCell ref="U456:V456"/>
    <mergeCell ref="W456:X456"/>
    <mergeCell ref="A456:B456"/>
    <mergeCell ref="C456:D456"/>
    <mergeCell ref="E456:F456"/>
    <mergeCell ref="G456:H456"/>
    <mergeCell ref="I456:J456"/>
    <mergeCell ref="K456:L456"/>
    <mergeCell ref="M455:N455"/>
    <mergeCell ref="O455:P455"/>
    <mergeCell ref="Q455:R455"/>
    <mergeCell ref="S455:T455"/>
    <mergeCell ref="U455:V455"/>
    <mergeCell ref="W455:X455"/>
    <mergeCell ref="A455:B455"/>
    <mergeCell ref="C455:D455"/>
    <mergeCell ref="E455:F455"/>
    <mergeCell ref="G455:H455"/>
    <mergeCell ref="I455:J455"/>
    <mergeCell ref="K455:L455"/>
    <mergeCell ref="M454:N454"/>
    <mergeCell ref="O454:P454"/>
    <mergeCell ref="Q454:R454"/>
    <mergeCell ref="S454:T454"/>
    <mergeCell ref="U454:V454"/>
    <mergeCell ref="W454:X454"/>
    <mergeCell ref="A454:B454"/>
    <mergeCell ref="C454:D454"/>
    <mergeCell ref="E454:F454"/>
    <mergeCell ref="G454:H454"/>
    <mergeCell ref="I454:J454"/>
    <mergeCell ref="K454:L454"/>
    <mergeCell ref="M453:N453"/>
    <mergeCell ref="O453:P453"/>
    <mergeCell ref="Q453:R453"/>
    <mergeCell ref="S453:T453"/>
    <mergeCell ref="U453:V453"/>
    <mergeCell ref="W453:X453"/>
    <mergeCell ref="A453:B453"/>
    <mergeCell ref="C453:D453"/>
    <mergeCell ref="E453:F453"/>
    <mergeCell ref="G453:H453"/>
    <mergeCell ref="I453:J453"/>
    <mergeCell ref="K453:L453"/>
    <mergeCell ref="M452:N452"/>
    <mergeCell ref="O452:P452"/>
    <mergeCell ref="Q452:R452"/>
    <mergeCell ref="S452:T452"/>
    <mergeCell ref="U452:V452"/>
    <mergeCell ref="W452:X452"/>
    <mergeCell ref="A452:B452"/>
    <mergeCell ref="C452:D452"/>
    <mergeCell ref="E452:F452"/>
    <mergeCell ref="G452:H452"/>
    <mergeCell ref="I452:J452"/>
    <mergeCell ref="K452:L452"/>
    <mergeCell ref="M451:N451"/>
    <mergeCell ref="O451:P451"/>
    <mergeCell ref="Q451:R451"/>
    <mergeCell ref="S451:T451"/>
    <mergeCell ref="U451:V451"/>
    <mergeCell ref="W451:X451"/>
    <mergeCell ref="A451:B451"/>
    <mergeCell ref="C451:D451"/>
    <mergeCell ref="E451:F451"/>
    <mergeCell ref="G451:H451"/>
    <mergeCell ref="I451:J451"/>
    <mergeCell ref="K451:L451"/>
    <mergeCell ref="M450:N450"/>
    <mergeCell ref="O450:P450"/>
    <mergeCell ref="Q450:R450"/>
    <mergeCell ref="S450:T450"/>
    <mergeCell ref="U450:V450"/>
    <mergeCell ref="W450:X450"/>
    <mergeCell ref="A450:B450"/>
    <mergeCell ref="C450:D450"/>
    <mergeCell ref="E450:F450"/>
    <mergeCell ref="G450:H450"/>
    <mergeCell ref="I450:J450"/>
    <mergeCell ref="K450:L450"/>
    <mergeCell ref="M449:N449"/>
    <mergeCell ref="O449:P449"/>
    <mergeCell ref="Q449:R449"/>
    <mergeCell ref="S449:T449"/>
    <mergeCell ref="U449:V449"/>
    <mergeCell ref="W449:X449"/>
    <mergeCell ref="A449:B449"/>
    <mergeCell ref="C449:D449"/>
    <mergeCell ref="E449:F449"/>
    <mergeCell ref="G449:H449"/>
    <mergeCell ref="I449:J449"/>
    <mergeCell ref="K449:L449"/>
    <mergeCell ref="M448:N448"/>
    <mergeCell ref="O448:P448"/>
    <mergeCell ref="Q448:R448"/>
    <mergeCell ref="S448:T448"/>
    <mergeCell ref="U448:V448"/>
    <mergeCell ref="W448:X448"/>
    <mergeCell ref="A448:B448"/>
    <mergeCell ref="C448:D448"/>
    <mergeCell ref="E448:F448"/>
    <mergeCell ref="G448:H448"/>
    <mergeCell ref="I448:J448"/>
    <mergeCell ref="K448:L448"/>
    <mergeCell ref="M447:N447"/>
    <mergeCell ref="O447:P447"/>
    <mergeCell ref="Q447:R447"/>
    <mergeCell ref="S447:T447"/>
    <mergeCell ref="U447:V447"/>
    <mergeCell ref="W447:X447"/>
    <mergeCell ref="A447:B447"/>
    <mergeCell ref="C447:D447"/>
    <mergeCell ref="E447:F447"/>
    <mergeCell ref="G447:H447"/>
    <mergeCell ref="I447:J447"/>
    <mergeCell ref="K447:L447"/>
    <mergeCell ref="M446:N446"/>
    <mergeCell ref="O446:P446"/>
    <mergeCell ref="Q446:R446"/>
    <mergeCell ref="S446:T446"/>
    <mergeCell ref="U446:V446"/>
    <mergeCell ref="W446:X446"/>
    <mergeCell ref="A446:B446"/>
    <mergeCell ref="C446:D446"/>
    <mergeCell ref="E446:F446"/>
    <mergeCell ref="G446:H446"/>
    <mergeCell ref="I446:J446"/>
    <mergeCell ref="K446:L446"/>
    <mergeCell ref="M445:N445"/>
    <mergeCell ref="O445:P445"/>
    <mergeCell ref="Q445:R445"/>
    <mergeCell ref="S445:T445"/>
    <mergeCell ref="U445:V445"/>
    <mergeCell ref="W445:X445"/>
    <mergeCell ref="A445:B445"/>
    <mergeCell ref="C445:D445"/>
    <mergeCell ref="E445:F445"/>
    <mergeCell ref="G445:H445"/>
    <mergeCell ref="I445:J445"/>
    <mergeCell ref="K445:L445"/>
    <mergeCell ref="M444:N444"/>
    <mergeCell ref="O444:P444"/>
    <mergeCell ref="Q444:R444"/>
    <mergeCell ref="S444:T444"/>
    <mergeCell ref="U444:V444"/>
    <mergeCell ref="W444:X444"/>
    <mergeCell ref="A444:B444"/>
    <mergeCell ref="C444:D444"/>
    <mergeCell ref="E444:F444"/>
    <mergeCell ref="G444:H444"/>
    <mergeCell ref="I444:J444"/>
    <mergeCell ref="K444:L444"/>
    <mergeCell ref="M443:N443"/>
    <mergeCell ref="O443:P443"/>
    <mergeCell ref="Q443:R443"/>
    <mergeCell ref="S443:T443"/>
    <mergeCell ref="U443:V443"/>
    <mergeCell ref="W443:X443"/>
    <mergeCell ref="A443:B443"/>
    <mergeCell ref="C443:D443"/>
    <mergeCell ref="E443:F443"/>
    <mergeCell ref="G443:H443"/>
    <mergeCell ref="I443:J443"/>
    <mergeCell ref="K443:L443"/>
    <mergeCell ref="M442:N442"/>
    <mergeCell ref="O442:P442"/>
    <mergeCell ref="Q442:R442"/>
    <mergeCell ref="S442:T442"/>
    <mergeCell ref="U442:V442"/>
    <mergeCell ref="W442:X442"/>
    <mergeCell ref="A442:B442"/>
    <mergeCell ref="C442:D442"/>
    <mergeCell ref="E442:F442"/>
    <mergeCell ref="G442:H442"/>
    <mergeCell ref="I442:J442"/>
    <mergeCell ref="K442:L442"/>
    <mergeCell ref="M441:N441"/>
    <mergeCell ref="O441:P441"/>
    <mergeCell ref="Q441:R441"/>
    <mergeCell ref="S441:T441"/>
    <mergeCell ref="U441:V441"/>
    <mergeCell ref="W441:X441"/>
    <mergeCell ref="A441:B441"/>
    <mergeCell ref="C441:D441"/>
    <mergeCell ref="E441:F441"/>
    <mergeCell ref="G441:H441"/>
    <mergeCell ref="I441:J441"/>
    <mergeCell ref="K441:L441"/>
    <mergeCell ref="M440:N440"/>
    <mergeCell ref="O440:P440"/>
    <mergeCell ref="Q440:R440"/>
    <mergeCell ref="S440:T440"/>
    <mergeCell ref="U440:V440"/>
    <mergeCell ref="W440:X440"/>
    <mergeCell ref="A440:B440"/>
    <mergeCell ref="C440:D440"/>
    <mergeCell ref="E440:F440"/>
    <mergeCell ref="G440:H440"/>
    <mergeCell ref="I440:J440"/>
    <mergeCell ref="K440:L440"/>
    <mergeCell ref="M439:N439"/>
    <mergeCell ref="O439:P439"/>
    <mergeCell ref="Q439:R439"/>
    <mergeCell ref="S439:T439"/>
    <mergeCell ref="U439:V439"/>
    <mergeCell ref="W439:X439"/>
    <mergeCell ref="A439:B439"/>
    <mergeCell ref="C439:D439"/>
    <mergeCell ref="E439:F439"/>
    <mergeCell ref="G439:H439"/>
    <mergeCell ref="I439:J439"/>
    <mergeCell ref="K439:L439"/>
    <mergeCell ref="M438:N438"/>
    <mergeCell ref="O438:P438"/>
    <mergeCell ref="Q438:R438"/>
    <mergeCell ref="S438:T438"/>
    <mergeCell ref="U438:V438"/>
    <mergeCell ref="W438:X438"/>
    <mergeCell ref="A438:B438"/>
    <mergeCell ref="C438:D438"/>
    <mergeCell ref="E438:F438"/>
    <mergeCell ref="G438:H438"/>
    <mergeCell ref="I438:J438"/>
    <mergeCell ref="K438:L438"/>
    <mergeCell ref="M437:N437"/>
    <mergeCell ref="O437:P437"/>
    <mergeCell ref="Q437:R437"/>
    <mergeCell ref="S437:T437"/>
    <mergeCell ref="U437:V437"/>
    <mergeCell ref="W437:X437"/>
    <mergeCell ref="A437:B437"/>
    <mergeCell ref="C437:D437"/>
    <mergeCell ref="E437:F437"/>
    <mergeCell ref="G437:H437"/>
    <mergeCell ref="I437:J437"/>
    <mergeCell ref="K437:L437"/>
    <mergeCell ref="M436:N436"/>
    <mergeCell ref="O436:P436"/>
    <mergeCell ref="Q436:R436"/>
    <mergeCell ref="S436:T436"/>
    <mergeCell ref="U436:V436"/>
    <mergeCell ref="W436:X436"/>
    <mergeCell ref="A436:B436"/>
    <mergeCell ref="C436:D436"/>
    <mergeCell ref="E436:F436"/>
    <mergeCell ref="G436:H436"/>
    <mergeCell ref="I436:J436"/>
    <mergeCell ref="K436:L436"/>
    <mergeCell ref="M435:N435"/>
    <mergeCell ref="O435:P435"/>
    <mergeCell ref="Q435:R435"/>
    <mergeCell ref="S435:T435"/>
    <mergeCell ref="U435:V435"/>
    <mergeCell ref="W435:X435"/>
    <mergeCell ref="A435:B435"/>
    <mergeCell ref="C435:D435"/>
    <mergeCell ref="E435:F435"/>
    <mergeCell ref="G435:H435"/>
    <mergeCell ref="I435:J435"/>
    <mergeCell ref="K435:L435"/>
    <mergeCell ref="M434:N434"/>
    <mergeCell ref="O434:P434"/>
    <mergeCell ref="Q434:R434"/>
    <mergeCell ref="S434:T434"/>
    <mergeCell ref="U434:V434"/>
    <mergeCell ref="W434:X434"/>
    <mergeCell ref="A434:B434"/>
    <mergeCell ref="C434:D434"/>
    <mergeCell ref="E434:F434"/>
    <mergeCell ref="G434:H434"/>
    <mergeCell ref="I434:J434"/>
    <mergeCell ref="K434:L434"/>
    <mergeCell ref="M433:N433"/>
    <mergeCell ref="O433:P433"/>
    <mergeCell ref="Q433:R433"/>
    <mergeCell ref="S433:T433"/>
    <mergeCell ref="U433:V433"/>
    <mergeCell ref="W433:X433"/>
    <mergeCell ref="A433:B433"/>
    <mergeCell ref="C433:D433"/>
    <mergeCell ref="E433:F433"/>
    <mergeCell ref="G433:H433"/>
    <mergeCell ref="I433:J433"/>
    <mergeCell ref="K433:L433"/>
    <mergeCell ref="M432:N432"/>
    <mergeCell ref="O432:P432"/>
    <mergeCell ref="Q432:R432"/>
    <mergeCell ref="S432:T432"/>
    <mergeCell ref="U432:V432"/>
    <mergeCell ref="W432:X432"/>
    <mergeCell ref="A432:B432"/>
    <mergeCell ref="C432:D432"/>
    <mergeCell ref="E432:F432"/>
    <mergeCell ref="G432:H432"/>
    <mergeCell ref="I432:J432"/>
    <mergeCell ref="K432:L432"/>
    <mergeCell ref="M431:N431"/>
    <mergeCell ref="O431:P431"/>
    <mergeCell ref="Q431:R431"/>
    <mergeCell ref="S431:T431"/>
    <mergeCell ref="U431:V431"/>
    <mergeCell ref="W431:X431"/>
    <mergeCell ref="A431:B431"/>
    <mergeCell ref="C431:D431"/>
    <mergeCell ref="E431:F431"/>
    <mergeCell ref="G431:H431"/>
    <mergeCell ref="I431:J431"/>
    <mergeCell ref="K431:L431"/>
    <mergeCell ref="M430:N430"/>
    <mergeCell ref="O430:P430"/>
    <mergeCell ref="Q430:R430"/>
    <mergeCell ref="S430:T430"/>
    <mergeCell ref="U430:V430"/>
    <mergeCell ref="W430:X430"/>
    <mergeCell ref="A430:B430"/>
    <mergeCell ref="C430:D430"/>
    <mergeCell ref="E430:F430"/>
    <mergeCell ref="G430:H430"/>
    <mergeCell ref="I430:J430"/>
    <mergeCell ref="K430:L430"/>
    <mergeCell ref="M429:N429"/>
    <mergeCell ref="O429:P429"/>
    <mergeCell ref="Q429:R429"/>
    <mergeCell ref="S429:T429"/>
    <mergeCell ref="U429:V429"/>
    <mergeCell ref="W429:X429"/>
    <mergeCell ref="A429:B429"/>
    <mergeCell ref="C429:D429"/>
    <mergeCell ref="E429:F429"/>
    <mergeCell ref="G429:H429"/>
    <mergeCell ref="I429:J429"/>
    <mergeCell ref="K429:L429"/>
    <mergeCell ref="M428:N428"/>
    <mergeCell ref="O428:P428"/>
    <mergeCell ref="Q428:R428"/>
    <mergeCell ref="S428:T428"/>
    <mergeCell ref="U428:V428"/>
    <mergeCell ref="W428:X428"/>
    <mergeCell ref="A428:B428"/>
    <mergeCell ref="C428:D428"/>
    <mergeCell ref="E428:F428"/>
    <mergeCell ref="G428:H428"/>
    <mergeCell ref="I428:J428"/>
    <mergeCell ref="K428:L428"/>
    <mergeCell ref="M427:N427"/>
    <mergeCell ref="O427:P427"/>
    <mergeCell ref="Q427:R427"/>
    <mergeCell ref="S427:T427"/>
    <mergeCell ref="U427:V427"/>
    <mergeCell ref="W427:X427"/>
    <mergeCell ref="A427:B427"/>
    <mergeCell ref="C427:D427"/>
    <mergeCell ref="E427:F427"/>
    <mergeCell ref="G427:H427"/>
    <mergeCell ref="I427:J427"/>
    <mergeCell ref="K427:L427"/>
    <mergeCell ref="M426:N426"/>
    <mergeCell ref="O426:P426"/>
    <mergeCell ref="Q426:R426"/>
    <mergeCell ref="S426:T426"/>
    <mergeCell ref="U426:V426"/>
    <mergeCell ref="W426:X426"/>
    <mergeCell ref="A426:B426"/>
    <mergeCell ref="C426:D426"/>
    <mergeCell ref="E426:F426"/>
    <mergeCell ref="G426:H426"/>
    <mergeCell ref="I426:J426"/>
    <mergeCell ref="K426:L426"/>
    <mergeCell ref="M425:N425"/>
    <mergeCell ref="O425:P425"/>
    <mergeCell ref="Q425:R425"/>
    <mergeCell ref="S425:T425"/>
    <mergeCell ref="U425:V425"/>
    <mergeCell ref="W425:X425"/>
    <mergeCell ref="A425:B425"/>
    <mergeCell ref="C425:D425"/>
    <mergeCell ref="E425:F425"/>
    <mergeCell ref="G425:H425"/>
    <mergeCell ref="I425:J425"/>
    <mergeCell ref="K425:L425"/>
    <mergeCell ref="M424:N424"/>
    <mergeCell ref="O424:P424"/>
    <mergeCell ref="Q424:R424"/>
    <mergeCell ref="S424:T424"/>
    <mergeCell ref="U424:V424"/>
    <mergeCell ref="W424:X424"/>
    <mergeCell ref="A424:B424"/>
    <mergeCell ref="C424:D424"/>
    <mergeCell ref="E424:F424"/>
    <mergeCell ref="G424:H424"/>
    <mergeCell ref="I424:J424"/>
    <mergeCell ref="K424:L424"/>
    <mergeCell ref="M423:N423"/>
    <mergeCell ref="O423:P423"/>
    <mergeCell ref="Q423:R423"/>
    <mergeCell ref="S423:T423"/>
    <mergeCell ref="U423:V423"/>
    <mergeCell ref="W423:X423"/>
    <mergeCell ref="A423:B423"/>
    <mergeCell ref="C423:D423"/>
    <mergeCell ref="E423:F423"/>
    <mergeCell ref="G423:H423"/>
    <mergeCell ref="I423:J423"/>
    <mergeCell ref="K423:L423"/>
    <mergeCell ref="M422:N422"/>
    <mergeCell ref="O422:P422"/>
    <mergeCell ref="Q422:R422"/>
    <mergeCell ref="S422:T422"/>
    <mergeCell ref="U422:V422"/>
    <mergeCell ref="W422:X422"/>
    <mergeCell ref="A422:B422"/>
    <mergeCell ref="C422:D422"/>
    <mergeCell ref="E422:F422"/>
    <mergeCell ref="G422:H422"/>
    <mergeCell ref="I422:J422"/>
    <mergeCell ref="K422:L422"/>
    <mergeCell ref="M421:N421"/>
    <mergeCell ref="O421:P421"/>
    <mergeCell ref="Q421:R421"/>
    <mergeCell ref="S421:T421"/>
    <mergeCell ref="U421:V421"/>
    <mergeCell ref="W421:X421"/>
    <mergeCell ref="A421:B421"/>
    <mergeCell ref="C421:D421"/>
    <mergeCell ref="E421:F421"/>
    <mergeCell ref="G421:H421"/>
    <mergeCell ref="I421:J421"/>
    <mergeCell ref="K421:L421"/>
    <mergeCell ref="M420:N420"/>
    <mergeCell ref="O420:P420"/>
    <mergeCell ref="Q420:R420"/>
    <mergeCell ref="S420:T420"/>
    <mergeCell ref="U420:V420"/>
    <mergeCell ref="W420:X420"/>
    <mergeCell ref="A420:B420"/>
    <mergeCell ref="C420:D420"/>
    <mergeCell ref="E420:F420"/>
    <mergeCell ref="G420:H420"/>
    <mergeCell ref="I420:J420"/>
    <mergeCell ref="K420:L420"/>
    <mergeCell ref="M419:N419"/>
    <mergeCell ref="O419:P419"/>
    <mergeCell ref="Q419:R419"/>
    <mergeCell ref="S419:T419"/>
    <mergeCell ref="U419:V419"/>
    <mergeCell ref="W419:X419"/>
    <mergeCell ref="A419:B419"/>
    <mergeCell ref="C419:D419"/>
    <mergeCell ref="E419:F419"/>
    <mergeCell ref="G419:H419"/>
    <mergeCell ref="I419:J419"/>
    <mergeCell ref="K419:L419"/>
    <mergeCell ref="M418:N418"/>
    <mergeCell ref="O418:P418"/>
    <mergeCell ref="Q418:R418"/>
    <mergeCell ref="S418:T418"/>
    <mergeCell ref="U418:V418"/>
    <mergeCell ref="W418:X418"/>
    <mergeCell ref="A418:B418"/>
    <mergeCell ref="C418:D418"/>
    <mergeCell ref="E418:F418"/>
    <mergeCell ref="G418:H418"/>
    <mergeCell ref="I418:J418"/>
    <mergeCell ref="K418:L418"/>
    <mergeCell ref="M417:N417"/>
    <mergeCell ref="O417:P417"/>
    <mergeCell ref="Q417:R417"/>
    <mergeCell ref="S417:T417"/>
    <mergeCell ref="U417:V417"/>
    <mergeCell ref="W417:X417"/>
    <mergeCell ref="A417:B417"/>
    <mergeCell ref="C417:D417"/>
    <mergeCell ref="E417:F417"/>
    <mergeCell ref="G417:H417"/>
    <mergeCell ref="I417:J417"/>
    <mergeCell ref="K417:L417"/>
    <mergeCell ref="M416:N416"/>
    <mergeCell ref="O416:P416"/>
    <mergeCell ref="Q416:R416"/>
    <mergeCell ref="S416:T416"/>
    <mergeCell ref="U416:V416"/>
    <mergeCell ref="W416:X416"/>
    <mergeCell ref="A416:B416"/>
    <mergeCell ref="C416:D416"/>
    <mergeCell ref="E416:F416"/>
    <mergeCell ref="G416:H416"/>
    <mergeCell ref="I416:J416"/>
    <mergeCell ref="K416:L416"/>
    <mergeCell ref="M415:N415"/>
    <mergeCell ref="O415:P415"/>
    <mergeCell ref="Q415:R415"/>
    <mergeCell ref="S415:T415"/>
    <mergeCell ref="U415:V415"/>
    <mergeCell ref="W415:X415"/>
    <mergeCell ref="A415:B415"/>
    <mergeCell ref="C415:D415"/>
    <mergeCell ref="E415:F415"/>
    <mergeCell ref="G415:H415"/>
    <mergeCell ref="I415:J415"/>
    <mergeCell ref="K415:L415"/>
    <mergeCell ref="M414:N414"/>
    <mergeCell ref="O414:P414"/>
    <mergeCell ref="Q414:R414"/>
    <mergeCell ref="S414:T414"/>
    <mergeCell ref="U414:V414"/>
    <mergeCell ref="W414:X414"/>
    <mergeCell ref="A414:B414"/>
    <mergeCell ref="C414:D414"/>
    <mergeCell ref="E414:F414"/>
    <mergeCell ref="G414:H414"/>
    <mergeCell ref="I414:J414"/>
    <mergeCell ref="K414:L414"/>
    <mergeCell ref="M413:N413"/>
    <mergeCell ref="O413:P413"/>
    <mergeCell ref="Q413:R413"/>
    <mergeCell ref="S413:T413"/>
    <mergeCell ref="U413:V413"/>
    <mergeCell ref="W413:X413"/>
    <mergeCell ref="A413:B413"/>
    <mergeCell ref="C413:D413"/>
    <mergeCell ref="E413:F413"/>
    <mergeCell ref="G413:H413"/>
    <mergeCell ref="I413:J413"/>
    <mergeCell ref="K413:L413"/>
    <mergeCell ref="M412:N412"/>
    <mergeCell ref="O412:P412"/>
    <mergeCell ref="Q412:R412"/>
    <mergeCell ref="S412:T412"/>
    <mergeCell ref="U412:V412"/>
    <mergeCell ref="W412:X412"/>
    <mergeCell ref="A412:B412"/>
    <mergeCell ref="C412:D412"/>
    <mergeCell ref="E412:F412"/>
    <mergeCell ref="G412:H412"/>
    <mergeCell ref="I412:J412"/>
    <mergeCell ref="K412:L412"/>
    <mergeCell ref="M411:N411"/>
    <mergeCell ref="O411:P411"/>
    <mergeCell ref="Q411:R411"/>
    <mergeCell ref="S411:T411"/>
    <mergeCell ref="U411:V411"/>
    <mergeCell ref="W411:X411"/>
    <mergeCell ref="A411:B411"/>
    <mergeCell ref="C411:D411"/>
    <mergeCell ref="E411:F411"/>
    <mergeCell ref="G411:H411"/>
    <mergeCell ref="I411:J411"/>
    <mergeCell ref="K411:L411"/>
    <mergeCell ref="M410:N410"/>
    <mergeCell ref="O410:P410"/>
    <mergeCell ref="Q410:R410"/>
    <mergeCell ref="S410:T410"/>
    <mergeCell ref="U410:V410"/>
    <mergeCell ref="W410:X410"/>
    <mergeCell ref="A410:B410"/>
    <mergeCell ref="C410:D410"/>
    <mergeCell ref="E410:F410"/>
    <mergeCell ref="G410:H410"/>
    <mergeCell ref="I410:J410"/>
    <mergeCell ref="K410:L410"/>
    <mergeCell ref="M409:N409"/>
    <mergeCell ref="O409:P409"/>
    <mergeCell ref="Q409:R409"/>
    <mergeCell ref="S409:T409"/>
    <mergeCell ref="U409:V409"/>
    <mergeCell ref="W409:X409"/>
    <mergeCell ref="A409:B409"/>
    <mergeCell ref="C409:D409"/>
    <mergeCell ref="E409:F409"/>
    <mergeCell ref="G409:H409"/>
    <mergeCell ref="I409:J409"/>
    <mergeCell ref="K409:L409"/>
    <mergeCell ref="M408:N408"/>
    <mergeCell ref="O408:P408"/>
    <mergeCell ref="Q408:R408"/>
    <mergeCell ref="S408:T408"/>
    <mergeCell ref="U408:V408"/>
    <mergeCell ref="W408:X408"/>
    <mergeCell ref="A408:B408"/>
    <mergeCell ref="C408:D408"/>
    <mergeCell ref="E408:F408"/>
    <mergeCell ref="G408:H408"/>
    <mergeCell ref="I408:J408"/>
    <mergeCell ref="K408:L408"/>
    <mergeCell ref="M407:N407"/>
    <mergeCell ref="O407:P407"/>
    <mergeCell ref="Q407:R407"/>
    <mergeCell ref="S407:T407"/>
    <mergeCell ref="U407:V407"/>
    <mergeCell ref="W407:X407"/>
    <mergeCell ref="A407:B407"/>
    <mergeCell ref="C407:D407"/>
    <mergeCell ref="E407:F407"/>
    <mergeCell ref="G407:H407"/>
    <mergeCell ref="I407:J407"/>
    <mergeCell ref="K407:L407"/>
    <mergeCell ref="M406:N406"/>
    <mergeCell ref="O406:P406"/>
    <mergeCell ref="Q406:R406"/>
    <mergeCell ref="S406:T406"/>
    <mergeCell ref="U406:V406"/>
    <mergeCell ref="W406:X406"/>
    <mergeCell ref="A406:B406"/>
    <mergeCell ref="C406:D406"/>
    <mergeCell ref="E406:F406"/>
    <mergeCell ref="G406:H406"/>
    <mergeCell ref="I406:J406"/>
    <mergeCell ref="K406:L406"/>
    <mergeCell ref="M405:N405"/>
    <mergeCell ref="O405:P405"/>
    <mergeCell ref="Q405:R405"/>
    <mergeCell ref="S405:T405"/>
    <mergeCell ref="U405:V405"/>
    <mergeCell ref="W405:X405"/>
    <mergeCell ref="A405:B405"/>
    <mergeCell ref="C405:D405"/>
    <mergeCell ref="E405:F405"/>
    <mergeCell ref="G405:H405"/>
    <mergeCell ref="I405:J405"/>
    <mergeCell ref="K405:L405"/>
    <mergeCell ref="M404:N404"/>
    <mergeCell ref="O404:P404"/>
    <mergeCell ref="Q404:R404"/>
    <mergeCell ref="S404:T404"/>
    <mergeCell ref="U404:V404"/>
    <mergeCell ref="W404:X404"/>
    <mergeCell ref="A404:B404"/>
    <mergeCell ref="C404:D404"/>
    <mergeCell ref="E404:F404"/>
    <mergeCell ref="G404:H404"/>
    <mergeCell ref="I404:J404"/>
    <mergeCell ref="K404:L404"/>
    <mergeCell ref="M403:N403"/>
    <mergeCell ref="O403:P403"/>
    <mergeCell ref="Q403:R403"/>
    <mergeCell ref="S403:T403"/>
    <mergeCell ref="U403:V403"/>
    <mergeCell ref="W403:X403"/>
    <mergeCell ref="A403:B403"/>
    <mergeCell ref="C403:D403"/>
    <mergeCell ref="E403:F403"/>
    <mergeCell ref="G403:H403"/>
    <mergeCell ref="I403:J403"/>
    <mergeCell ref="K403:L403"/>
    <mergeCell ref="M402:N402"/>
    <mergeCell ref="O402:P402"/>
    <mergeCell ref="Q402:R402"/>
    <mergeCell ref="S402:T402"/>
    <mergeCell ref="U402:V402"/>
    <mergeCell ref="W402:X402"/>
    <mergeCell ref="A402:B402"/>
    <mergeCell ref="C402:D402"/>
    <mergeCell ref="E402:F402"/>
    <mergeCell ref="G402:H402"/>
    <mergeCell ref="I402:J402"/>
    <mergeCell ref="K402:L402"/>
    <mergeCell ref="M401:N401"/>
    <mergeCell ref="O401:P401"/>
    <mergeCell ref="Q401:R401"/>
    <mergeCell ref="S401:T401"/>
    <mergeCell ref="U401:V401"/>
    <mergeCell ref="W401:X401"/>
    <mergeCell ref="A401:B401"/>
    <mergeCell ref="C401:D401"/>
    <mergeCell ref="E401:F401"/>
    <mergeCell ref="G401:H401"/>
    <mergeCell ref="I401:J401"/>
    <mergeCell ref="K401:L401"/>
    <mergeCell ref="M400:N400"/>
    <mergeCell ref="O400:P400"/>
    <mergeCell ref="Q400:R400"/>
    <mergeCell ref="S400:T400"/>
    <mergeCell ref="U400:V400"/>
    <mergeCell ref="W400:X400"/>
    <mergeCell ref="A400:B400"/>
    <mergeCell ref="C400:D400"/>
    <mergeCell ref="E400:F400"/>
    <mergeCell ref="G400:H400"/>
    <mergeCell ref="I400:J400"/>
    <mergeCell ref="K400:L400"/>
    <mergeCell ref="M399:N399"/>
    <mergeCell ref="O399:P399"/>
    <mergeCell ref="Q399:R399"/>
    <mergeCell ref="S399:T399"/>
    <mergeCell ref="U399:V399"/>
    <mergeCell ref="W399:X399"/>
    <mergeCell ref="A399:B399"/>
    <mergeCell ref="C399:D399"/>
    <mergeCell ref="E399:F399"/>
    <mergeCell ref="G399:H399"/>
    <mergeCell ref="I399:J399"/>
    <mergeCell ref="K399:L399"/>
    <mergeCell ref="M398:N398"/>
    <mergeCell ref="O398:P398"/>
    <mergeCell ref="Q398:R398"/>
    <mergeCell ref="S398:T398"/>
    <mergeCell ref="U398:V398"/>
    <mergeCell ref="W398:X398"/>
    <mergeCell ref="A398:B398"/>
    <mergeCell ref="C398:D398"/>
    <mergeCell ref="E398:F398"/>
    <mergeCell ref="G398:H398"/>
    <mergeCell ref="I398:J398"/>
    <mergeCell ref="K398:L398"/>
    <mergeCell ref="M397:N397"/>
    <mergeCell ref="O397:P397"/>
    <mergeCell ref="Q397:R397"/>
    <mergeCell ref="S397:T397"/>
    <mergeCell ref="U397:V397"/>
    <mergeCell ref="W397:X397"/>
    <mergeCell ref="A397:B397"/>
    <mergeCell ref="C397:D397"/>
    <mergeCell ref="E397:F397"/>
    <mergeCell ref="G397:H397"/>
    <mergeCell ref="I397:J397"/>
    <mergeCell ref="K397:L397"/>
    <mergeCell ref="M396:N396"/>
    <mergeCell ref="O396:P396"/>
    <mergeCell ref="Q396:R396"/>
    <mergeCell ref="S396:T396"/>
    <mergeCell ref="U396:V396"/>
    <mergeCell ref="W396:X396"/>
    <mergeCell ref="A396:B396"/>
    <mergeCell ref="C396:D396"/>
    <mergeCell ref="E396:F396"/>
    <mergeCell ref="G396:H396"/>
    <mergeCell ref="I396:J396"/>
    <mergeCell ref="K396:L396"/>
    <mergeCell ref="M395:N395"/>
    <mergeCell ref="O395:P395"/>
    <mergeCell ref="Q395:R395"/>
    <mergeCell ref="S395:T395"/>
    <mergeCell ref="U395:V395"/>
    <mergeCell ref="W395:X395"/>
    <mergeCell ref="A395:B395"/>
    <mergeCell ref="C395:D395"/>
    <mergeCell ref="E395:F395"/>
    <mergeCell ref="G395:H395"/>
    <mergeCell ref="I395:J395"/>
    <mergeCell ref="K395:L395"/>
    <mergeCell ref="M394:N394"/>
    <mergeCell ref="O394:P394"/>
    <mergeCell ref="Q394:R394"/>
    <mergeCell ref="S394:T394"/>
    <mergeCell ref="U394:V394"/>
    <mergeCell ref="W394:X394"/>
    <mergeCell ref="A394:B394"/>
    <mergeCell ref="C394:D394"/>
    <mergeCell ref="E394:F394"/>
    <mergeCell ref="G394:H394"/>
    <mergeCell ref="I394:J394"/>
    <mergeCell ref="K394:L394"/>
    <mergeCell ref="M393:N393"/>
    <mergeCell ref="O393:P393"/>
    <mergeCell ref="Q393:R393"/>
    <mergeCell ref="S393:T393"/>
    <mergeCell ref="U393:V393"/>
    <mergeCell ref="W393:X393"/>
    <mergeCell ref="A393:B393"/>
    <mergeCell ref="C393:D393"/>
    <mergeCell ref="E393:F393"/>
    <mergeCell ref="G393:H393"/>
    <mergeCell ref="I393:J393"/>
    <mergeCell ref="K393:L393"/>
    <mergeCell ref="M392:N392"/>
    <mergeCell ref="O392:P392"/>
    <mergeCell ref="Q392:R392"/>
    <mergeCell ref="S392:T392"/>
    <mergeCell ref="U392:V392"/>
    <mergeCell ref="W392:X392"/>
    <mergeCell ref="A392:B392"/>
    <mergeCell ref="C392:D392"/>
    <mergeCell ref="E392:F392"/>
    <mergeCell ref="G392:H392"/>
    <mergeCell ref="I392:J392"/>
    <mergeCell ref="K392:L392"/>
    <mergeCell ref="M391:N391"/>
    <mergeCell ref="O391:P391"/>
    <mergeCell ref="Q391:R391"/>
    <mergeCell ref="S391:T391"/>
    <mergeCell ref="U391:V391"/>
    <mergeCell ref="W391:X391"/>
    <mergeCell ref="A391:B391"/>
    <mergeCell ref="C391:D391"/>
    <mergeCell ref="E391:F391"/>
    <mergeCell ref="G391:H391"/>
    <mergeCell ref="I391:J391"/>
    <mergeCell ref="K391:L391"/>
    <mergeCell ref="M390:N390"/>
    <mergeCell ref="O390:P390"/>
    <mergeCell ref="Q390:R390"/>
    <mergeCell ref="S390:T390"/>
    <mergeCell ref="U390:V390"/>
    <mergeCell ref="W390:X390"/>
    <mergeCell ref="A390:B390"/>
    <mergeCell ref="C390:D390"/>
    <mergeCell ref="E390:F390"/>
    <mergeCell ref="G390:H390"/>
    <mergeCell ref="I390:J390"/>
    <mergeCell ref="K390:L390"/>
    <mergeCell ref="M389:N389"/>
    <mergeCell ref="O389:P389"/>
    <mergeCell ref="Q389:R389"/>
    <mergeCell ref="S389:T389"/>
    <mergeCell ref="U389:V389"/>
    <mergeCell ref="W389:X389"/>
    <mergeCell ref="A389:B389"/>
    <mergeCell ref="C389:D389"/>
    <mergeCell ref="E389:F389"/>
    <mergeCell ref="G389:H389"/>
    <mergeCell ref="I389:J389"/>
    <mergeCell ref="K389:L389"/>
    <mergeCell ref="M388:N388"/>
    <mergeCell ref="O388:P388"/>
    <mergeCell ref="Q388:R388"/>
    <mergeCell ref="S388:T388"/>
    <mergeCell ref="U388:V388"/>
    <mergeCell ref="W388:X388"/>
    <mergeCell ref="A388:B388"/>
    <mergeCell ref="C388:D388"/>
    <mergeCell ref="E388:F388"/>
    <mergeCell ref="G388:H388"/>
    <mergeCell ref="I388:J388"/>
    <mergeCell ref="K388:L388"/>
    <mergeCell ref="M387:N387"/>
    <mergeCell ref="O387:P387"/>
    <mergeCell ref="Q387:R387"/>
    <mergeCell ref="S387:T387"/>
    <mergeCell ref="U387:V387"/>
    <mergeCell ref="W387:X387"/>
    <mergeCell ref="A387:B387"/>
    <mergeCell ref="C387:D387"/>
    <mergeCell ref="E387:F387"/>
    <mergeCell ref="G387:H387"/>
    <mergeCell ref="I387:J387"/>
    <mergeCell ref="K387:L387"/>
    <mergeCell ref="M386:N386"/>
    <mergeCell ref="O386:P386"/>
    <mergeCell ref="Q386:R386"/>
    <mergeCell ref="S386:T386"/>
    <mergeCell ref="U386:V386"/>
    <mergeCell ref="W386:X386"/>
    <mergeCell ref="A386:B386"/>
    <mergeCell ref="C386:D386"/>
    <mergeCell ref="E386:F386"/>
    <mergeCell ref="G386:H386"/>
    <mergeCell ref="I386:J386"/>
    <mergeCell ref="K386:L386"/>
    <mergeCell ref="M385:N385"/>
    <mergeCell ref="O385:P385"/>
    <mergeCell ref="Q385:R385"/>
    <mergeCell ref="S385:T385"/>
    <mergeCell ref="U385:V385"/>
    <mergeCell ref="W385:X385"/>
    <mergeCell ref="A385:B385"/>
    <mergeCell ref="C385:D385"/>
    <mergeCell ref="E385:F385"/>
    <mergeCell ref="G385:H385"/>
    <mergeCell ref="I385:J385"/>
    <mergeCell ref="K385:L385"/>
    <mergeCell ref="M384:N384"/>
    <mergeCell ref="O384:P384"/>
    <mergeCell ref="Q384:R384"/>
    <mergeCell ref="S384:T384"/>
    <mergeCell ref="U384:V384"/>
    <mergeCell ref="W384:X384"/>
    <mergeCell ref="A384:B384"/>
    <mergeCell ref="C384:D384"/>
    <mergeCell ref="E384:F384"/>
    <mergeCell ref="G384:H384"/>
    <mergeCell ref="I384:J384"/>
    <mergeCell ref="K384:L384"/>
    <mergeCell ref="M383:N383"/>
    <mergeCell ref="O383:P383"/>
    <mergeCell ref="Q383:R383"/>
    <mergeCell ref="S383:T383"/>
    <mergeCell ref="U383:V383"/>
    <mergeCell ref="W383:X383"/>
    <mergeCell ref="A383:B383"/>
    <mergeCell ref="C383:D383"/>
    <mergeCell ref="E383:F383"/>
    <mergeCell ref="G383:H383"/>
    <mergeCell ref="I383:J383"/>
    <mergeCell ref="K383:L383"/>
    <mergeCell ref="M382:N382"/>
    <mergeCell ref="O382:P382"/>
    <mergeCell ref="Q382:R382"/>
    <mergeCell ref="S382:T382"/>
    <mergeCell ref="U382:V382"/>
    <mergeCell ref="W382:X382"/>
    <mergeCell ref="A382:B382"/>
    <mergeCell ref="C382:D382"/>
    <mergeCell ref="E382:F382"/>
    <mergeCell ref="G382:H382"/>
    <mergeCell ref="I382:J382"/>
    <mergeCell ref="K382:L382"/>
    <mergeCell ref="M381:N381"/>
    <mergeCell ref="O381:P381"/>
    <mergeCell ref="Q381:R381"/>
    <mergeCell ref="S381:T381"/>
    <mergeCell ref="U381:V381"/>
    <mergeCell ref="W381:X381"/>
    <mergeCell ref="A381:B381"/>
    <mergeCell ref="C381:D381"/>
    <mergeCell ref="E381:F381"/>
    <mergeCell ref="G381:H381"/>
    <mergeCell ref="I381:J381"/>
    <mergeCell ref="K381:L381"/>
    <mergeCell ref="M380:N380"/>
    <mergeCell ref="O380:P380"/>
    <mergeCell ref="Q380:R380"/>
    <mergeCell ref="S380:T380"/>
    <mergeCell ref="U380:V380"/>
    <mergeCell ref="W380:X380"/>
    <mergeCell ref="A380:B380"/>
    <mergeCell ref="C380:D380"/>
    <mergeCell ref="E380:F380"/>
    <mergeCell ref="G380:H380"/>
    <mergeCell ref="I380:J380"/>
    <mergeCell ref="K380:L380"/>
    <mergeCell ref="M379:N379"/>
    <mergeCell ref="O379:P379"/>
    <mergeCell ref="Q379:R379"/>
    <mergeCell ref="S379:T379"/>
    <mergeCell ref="U379:V379"/>
    <mergeCell ref="W379:X379"/>
    <mergeCell ref="A379:B379"/>
    <mergeCell ref="C379:D379"/>
    <mergeCell ref="E379:F379"/>
    <mergeCell ref="G379:H379"/>
    <mergeCell ref="I379:J379"/>
    <mergeCell ref="K379:L379"/>
    <mergeCell ref="M378:N378"/>
    <mergeCell ref="O378:P378"/>
    <mergeCell ref="Q378:R378"/>
    <mergeCell ref="S378:T378"/>
    <mergeCell ref="U378:V378"/>
    <mergeCell ref="W378:X378"/>
    <mergeCell ref="A378:B378"/>
    <mergeCell ref="C378:D378"/>
    <mergeCell ref="E378:F378"/>
    <mergeCell ref="G378:H378"/>
    <mergeCell ref="I378:J378"/>
    <mergeCell ref="K378:L378"/>
    <mergeCell ref="M377:N377"/>
    <mergeCell ref="O377:P377"/>
    <mergeCell ref="Q377:R377"/>
    <mergeCell ref="S377:T377"/>
    <mergeCell ref="U377:V377"/>
    <mergeCell ref="W377:X377"/>
    <mergeCell ref="A377:B377"/>
    <mergeCell ref="C377:D377"/>
    <mergeCell ref="E377:F377"/>
    <mergeCell ref="G377:H377"/>
    <mergeCell ref="I377:J377"/>
    <mergeCell ref="K377:L377"/>
    <mergeCell ref="M376:N376"/>
    <mergeCell ref="O376:P376"/>
    <mergeCell ref="Q376:R376"/>
    <mergeCell ref="S376:T376"/>
    <mergeCell ref="U376:V376"/>
    <mergeCell ref="W376:X376"/>
    <mergeCell ref="A376:B376"/>
    <mergeCell ref="C376:D376"/>
    <mergeCell ref="E376:F376"/>
    <mergeCell ref="G376:H376"/>
    <mergeCell ref="I376:J376"/>
    <mergeCell ref="K376:L376"/>
    <mergeCell ref="M375:N375"/>
    <mergeCell ref="O375:P375"/>
    <mergeCell ref="Q375:R375"/>
    <mergeCell ref="S375:T375"/>
    <mergeCell ref="U375:V375"/>
    <mergeCell ref="W375:X375"/>
    <mergeCell ref="A375:B375"/>
    <mergeCell ref="C375:D375"/>
    <mergeCell ref="E375:F375"/>
    <mergeCell ref="G375:H375"/>
    <mergeCell ref="I375:J375"/>
    <mergeCell ref="K375:L375"/>
    <mergeCell ref="M374:N374"/>
    <mergeCell ref="O374:P374"/>
    <mergeCell ref="Q374:R374"/>
    <mergeCell ref="S374:T374"/>
    <mergeCell ref="U374:V374"/>
    <mergeCell ref="W374:X374"/>
    <mergeCell ref="A374:B374"/>
    <mergeCell ref="C374:D374"/>
    <mergeCell ref="E374:F374"/>
    <mergeCell ref="G374:H374"/>
    <mergeCell ref="I374:J374"/>
    <mergeCell ref="K374:L374"/>
    <mergeCell ref="M373:N373"/>
    <mergeCell ref="O373:P373"/>
    <mergeCell ref="Q373:R373"/>
    <mergeCell ref="S373:T373"/>
    <mergeCell ref="U373:V373"/>
    <mergeCell ref="W373:X373"/>
    <mergeCell ref="A373:B373"/>
    <mergeCell ref="C373:D373"/>
    <mergeCell ref="E373:F373"/>
    <mergeCell ref="G373:H373"/>
    <mergeCell ref="I373:J373"/>
    <mergeCell ref="K373:L373"/>
    <mergeCell ref="M372:N372"/>
    <mergeCell ref="O372:P372"/>
    <mergeCell ref="Q372:R372"/>
    <mergeCell ref="S372:T372"/>
    <mergeCell ref="U372:V372"/>
    <mergeCell ref="W372:X372"/>
    <mergeCell ref="A372:B372"/>
    <mergeCell ref="C372:D372"/>
    <mergeCell ref="E372:F372"/>
    <mergeCell ref="G372:H372"/>
    <mergeCell ref="I372:J372"/>
    <mergeCell ref="K372:L372"/>
    <mergeCell ref="M371:N371"/>
    <mergeCell ref="O371:P371"/>
    <mergeCell ref="Q371:R371"/>
    <mergeCell ref="S371:T371"/>
    <mergeCell ref="U371:V371"/>
    <mergeCell ref="W371:X371"/>
    <mergeCell ref="A371:B371"/>
    <mergeCell ref="C371:D371"/>
    <mergeCell ref="E371:F371"/>
    <mergeCell ref="G371:H371"/>
    <mergeCell ref="I371:J371"/>
    <mergeCell ref="K371:L371"/>
    <mergeCell ref="M370:N370"/>
    <mergeCell ref="O370:P370"/>
    <mergeCell ref="Q370:R370"/>
    <mergeCell ref="S370:T370"/>
    <mergeCell ref="U370:V370"/>
    <mergeCell ref="W370:X370"/>
    <mergeCell ref="A370:B370"/>
    <mergeCell ref="C370:D370"/>
    <mergeCell ref="E370:F370"/>
    <mergeCell ref="G370:H370"/>
    <mergeCell ref="I370:J370"/>
    <mergeCell ref="K370:L370"/>
    <mergeCell ref="M369:N369"/>
    <mergeCell ref="O369:P369"/>
    <mergeCell ref="Q369:R369"/>
    <mergeCell ref="S369:T369"/>
    <mergeCell ref="U369:V369"/>
    <mergeCell ref="W369:X369"/>
    <mergeCell ref="A369:B369"/>
    <mergeCell ref="C369:D369"/>
    <mergeCell ref="E369:F369"/>
    <mergeCell ref="G369:H369"/>
    <mergeCell ref="I369:J369"/>
    <mergeCell ref="K369:L369"/>
    <mergeCell ref="M368:N368"/>
    <mergeCell ref="O368:P368"/>
    <mergeCell ref="Q368:R368"/>
    <mergeCell ref="S368:T368"/>
    <mergeCell ref="U368:V368"/>
    <mergeCell ref="W368:X368"/>
    <mergeCell ref="A368:B368"/>
    <mergeCell ref="C368:D368"/>
    <mergeCell ref="E368:F368"/>
    <mergeCell ref="G368:H368"/>
    <mergeCell ref="I368:J368"/>
    <mergeCell ref="K368:L368"/>
    <mergeCell ref="M367:N367"/>
    <mergeCell ref="O367:P367"/>
    <mergeCell ref="Q367:R367"/>
    <mergeCell ref="S367:T367"/>
    <mergeCell ref="U367:V367"/>
    <mergeCell ref="W367:X367"/>
    <mergeCell ref="A367:B367"/>
    <mergeCell ref="C367:D367"/>
    <mergeCell ref="E367:F367"/>
    <mergeCell ref="G367:H367"/>
    <mergeCell ref="I367:J367"/>
    <mergeCell ref="K367:L367"/>
    <mergeCell ref="M366:N366"/>
    <mergeCell ref="O366:P366"/>
    <mergeCell ref="Q366:R366"/>
    <mergeCell ref="S366:T366"/>
    <mergeCell ref="U366:V366"/>
    <mergeCell ref="W366:X366"/>
    <mergeCell ref="A366:B366"/>
    <mergeCell ref="C366:D366"/>
    <mergeCell ref="E366:F366"/>
    <mergeCell ref="G366:H366"/>
    <mergeCell ref="I366:J366"/>
    <mergeCell ref="K366:L366"/>
    <mergeCell ref="M365:N365"/>
    <mergeCell ref="O365:P365"/>
    <mergeCell ref="Q365:R365"/>
    <mergeCell ref="S365:T365"/>
    <mergeCell ref="U365:V365"/>
    <mergeCell ref="W365:X365"/>
    <mergeCell ref="A365:B365"/>
    <mergeCell ref="C365:D365"/>
    <mergeCell ref="E365:F365"/>
    <mergeCell ref="G365:H365"/>
    <mergeCell ref="I365:J365"/>
    <mergeCell ref="K365:L365"/>
    <mergeCell ref="M364:N364"/>
    <mergeCell ref="O364:P364"/>
    <mergeCell ref="Q364:R364"/>
    <mergeCell ref="S364:T364"/>
    <mergeCell ref="U364:V364"/>
    <mergeCell ref="W364:X364"/>
    <mergeCell ref="A364:B364"/>
    <mergeCell ref="C364:D364"/>
    <mergeCell ref="E364:F364"/>
    <mergeCell ref="G364:H364"/>
    <mergeCell ref="I364:J364"/>
    <mergeCell ref="K364:L364"/>
    <mergeCell ref="M363:N363"/>
    <mergeCell ref="O363:P363"/>
    <mergeCell ref="Q363:R363"/>
    <mergeCell ref="S363:T363"/>
    <mergeCell ref="U363:V363"/>
    <mergeCell ref="W363:X363"/>
    <mergeCell ref="A363:B363"/>
    <mergeCell ref="C363:D363"/>
    <mergeCell ref="E363:F363"/>
    <mergeCell ref="G363:H363"/>
    <mergeCell ref="I363:J363"/>
    <mergeCell ref="K363:L363"/>
    <mergeCell ref="M362:N362"/>
    <mergeCell ref="O362:P362"/>
    <mergeCell ref="Q362:R362"/>
    <mergeCell ref="S362:T362"/>
    <mergeCell ref="U362:V362"/>
    <mergeCell ref="W362:X362"/>
    <mergeCell ref="A362:B362"/>
    <mergeCell ref="C362:D362"/>
    <mergeCell ref="E362:F362"/>
    <mergeCell ref="G362:H362"/>
    <mergeCell ref="I362:J362"/>
    <mergeCell ref="K362:L362"/>
    <mergeCell ref="M361:N361"/>
    <mergeCell ref="O361:P361"/>
    <mergeCell ref="Q361:R361"/>
    <mergeCell ref="S361:T361"/>
    <mergeCell ref="U361:V361"/>
    <mergeCell ref="W361:X361"/>
    <mergeCell ref="A361:B361"/>
    <mergeCell ref="C361:D361"/>
    <mergeCell ref="E361:F361"/>
    <mergeCell ref="G361:H361"/>
    <mergeCell ref="I361:J361"/>
    <mergeCell ref="K361:L361"/>
    <mergeCell ref="M360:N360"/>
    <mergeCell ref="O360:P360"/>
    <mergeCell ref="Q360:R360"/>
    <mergeCell ref="S360:T360"/>
    <mergeCell ref="U360:V360"/>
    <mergeCell ref="W360:X360"/>
    <mergeCell ref="A360:B360"/>
    <mergeCell ref="C360:D360"/>
    <mergeCell ref="E360:F360"/>
    <mergeCell ref="G360:H360"/>
    <mergeCell ref="I360:J360"/>
    <mergeCell ref="K360:L360"/>
    <mergeCell ref="M359:N359"/>
    <mergeCell ref="O359:P359"/>
    <mergeCell ref="Q359:R359"/>
    <mergeCell ref="S359:T359"/>
    <mergeCell ref="U359:V359"/>
    <mergeCell ref="W359:X359"/>
    <mergeCell ref="A359:B359"/>
    <mergeCell ref="C359:D359"/>
    <mergeCell ref="E359:F359"/>
    <mergeCell ref="G359:H359"/>
    <mergeCell ref="I359:J359"/>
    <mergeCell ref="K359:L359"/>
    <mergeCell ref="M358:N358"/>
    <mergeCell ref="O358:P358"/>
    <mergeCell ref="Q358:R358"/>
    <mergeCell ref="S358:T358"/>
    <mergeCell ref="U358:V358"/>
    <mergeCell ref="W358:X358"/>
    <mergeCell ref="A358:B358"/>
    <mergeCell ref="C358:D358"/>
    <mergeCell ref="E358:F358"/>
    <mergeCell ref="G358:H358"/>
    <mergeCell ref="I358:J358"/>
    <mergeCell ref="K358:L358"/>
    <mergeCell ref="M357:N357"/>
    <mergeCell ref="O357:P357"/>
    <mergeCell ref="Q357:R357"/>
    <mergeCell ref="S357:T357"/>
    <mergeCell ref="U357:V357"/>
    <mergeCell ref="W357:X357"/>
    <mergeCell ref="A357:B357"/>
    <mergeCell ref="C357:D357"/>
    <mergeCell ref="E357:F357"/>
    <mergeCell ref="G357:H357"/>
    <mergeCell ref="I357:J357"/>
    <mergeCell ref="K357:L357"/>
    <mergeCell ref="M356:N356"/>
    <mergeCell ref="O356:P356"/>
    <mergeCell ref="Q356:R356"/>
    <mergeCell ref="S356:T356"/>
    <mergeCell ref="U356:V356"/>
    <mergeCell ref="W356:X356"/>
    <mergeCell ref="A356:B356"/>
    <mergeCell ref="C356:D356"/>
    <mergeCell ref="E356:F356"/>
    <mergeCell ref="G356:H356"/>
    <mergeCell ref="I356:J356"/>
    <mergeCell ref="K356:L356"/>
    <mergeCell ref="M355:N355"/>
    <mergeCell ref="O355:P355"/>
    <mergeCell ref="Q355:R355"/>
    <mergeCell ref="S355:T355"/>
    <mergeCell ref="U355:V355"/>
    <mergeCell ref="W355:X355"/>
    <mergeCell ref="A355:B355"/>
    <mergeCell ref="C355:D355"/>
    <mergeCell ref="E355:F355"/>
    <mergeCell ref="G355:H355"/>
    <mergeCell ref="I355:J355"/>
    <mergeCell ref="K355:L355"/>
    <mergeCell ref="M354:N354"/>
    <mergeCell ref="O354:P354"/>
    <mergeCell ref="Q354:R354"/>
    <mergeCell ref="S354:T354"/>
    <mergeCell ref="U354:V354"/>
    <mergeCell ref="W354:X354"/>
    <mergeCell ref="A354:B354"/>
    <mergeCell ref="C354:D354"/>
    <mergeCell ref="E354:F354"/>
    <mergeCell ref="G354:H354"/>
    <mergeCell ref="I354:J354"/>
    <mergeCell ref="K354:L354"/>
    <mergeCell ref="M353:N353"/>
    <mergeCell ref="O353:P353"/>
    <mergeCell ref="Q353:R353"/>
    <mergeCell ref="S353:T353"/>
    <mergeCell ref="U353:V353"/>
    <mergeCell ref="W353:X353"/>
    <mergeCell ref="A353:B353"/>
    <mergeCell ref="C353:D353"/>
    <mergeCell ref="E353:F353"/>
    <mergeCell ref="G353:H353"/>
    <mergeCell ref="I353:J353"/>
    <mergeCell ref="K353:L353"/>
    <mergeCell ref="M352:N352"/>
    <mergeCell ref="O352:P352"/>
    <mergeCell ref="Q352:R352"/>
    <mergeCell ref="S352:T352"/>
    <mergeCell ref="U352:V352"/>
    <mergeCell ref="W352:X352"/>
    <mergeCell ref="A352:B352"/>
    <mergeCell ref="C352:D352"/>
    <mergeCell ref="E352:F352"/>
    <mergeCell ref="G352:H352"/>
    <mergeCell ref="I352:J352"/>
    <mergeCell ref="K352:L352"/>
    <mergeCell ref="M351:N351"/>
    <mergeCell ref="O351:P351"/>
    <mergeCell ref="Q351:R351"/>
    <mergeCell ref="S351:T351"/>
    <mergeCell ref="U351:V351"/>
    <mergeCell ref="W351:X351"/>
    <mergeCell ref="A351:B351"/>
    <mergeCell ref="C351:D351"/>
    <mergeCell ref="E351:F351"/>
    <mergeCell ref="G351:H351"/>
    <mergeCell ref="I351:J351"/>
    <mergeCell ref="K351:L351"/>
    <mergeCell ref="M350:N350"/>
    <mergeCell ref="O350:P350"/>
    <mergeCell ref="Q350:R350"/>
    <mergeCell ref="S350:T350"/>
    <mergeCell ref="U350:V350"/>
    <mergeCell ref="W350:X350"/>
    <mergeCell ref="A350:B350"/>
    <mergeCell ref="C350:D350"/>
    <mergeCell ref="E350:F350"/>
    <mergeCell ref="G350:H350"/>
    <mergeCell ref="I350:J350"/>
    <mergeCell ref="K350:L350"/>
    <mergeCell ref="M349:N349"/>
    <mergeCell ref="O349:P349"/>
    <mergeCell ref="Q349:R349"/>
    <mergeCell ref="S349:T349"/>
    <mergeCell ref="U349:V349"/>
    <mergeCell ref="W349:X349"/>
    <mergeCell ref="A349:B349"/>
    <mergeCell ref="C349:D349"/>
    <mergeCell ref="E349:F349"/>
    <mergeCell ref="G349:H349"/>
    <mergeCell ref="I349:J349"/>
    <mergeCell ref="K349:L349"/>
    <mergeCell ref="M348:N348"/>
    <mergeCell ref="O348:P348"/>
    <mergeCell ref="Q348:R348"/>
    <mergeCell ref="S348:T348"/>
    <mergeCell ref="U348:V348"/>
    <mergeCell ref="W348:X348"/>
    <mergeCell ref="A348:B348"/>
    <mergeCell ref="C348:D348"/>
    <mergeCell ref="E348:F348"/>
    <mergeCell ref="G348:H348"/>
    <mergeCell ref="I348:J348"/>
    <mergeCell ref="K348:L348"/>
    <mergeCell ref="M347:N347"/>
    <mergeCell ref="O347:P347"/>
    <mergeCell ref="Q347:R347"/>
    <mergeCell ref="S347:T347"/>
    <mergeCell ref="U347:V347"/>
    <mergeCell ref="W347:X347"/>
    <mergeCell ref="A347:B347"/>
    <mergeCell ref="C347:D347"/>
    <mergeCell ref="E347:F347"/>
    <mergeCell ref="G347:H347"/>
    <mergeCell ref="I347:J347"/>
    <mergeCell ref="K347:L347"/>
    <mergeCell ref="M346:N346"/>
    <mergeCell ref="O346:P346"/>
    <mergeCell ref="Q346:R346"/>
    <mergeCell ref="S346:T346"/>
    <mergeCell ref="U346:V346"/>
    <mergeCell ref="W346:X346"/>
    <mergeCell ref="A346:B346"/>
    <mergeCell ref="C346:D346"/>
    <mergeCell ref="E346:F346"/>
    <mergeCell ref="G346:H346"/>
    <mergeCell ref="I346:J346"/>
    <mergeCell ref="K346:L346"/>
    <mergeCell ref="M345:N345"/>
    <mergeCell ref="O345:P345"/>
    <mergeCell ref="Q345:R345"/>
    <mergeCell ref="S345:T345"/>
    <mergeCell ref="U345:V345"/>
    <mergeCell ref="W345:X345"/>
    <mergeCell ref="A345:B345"/>
    <mergeCell ref="C345:D345"/>
    <mergeCell ref="E345:F345"/>
    <mergeCell ref="G345:H345"/>
    <mergeCell ref="I345:J345"/>
    <mergeCell ref="K345:L345"/>
    <mergeCell ref="M344:N344"/>
    <mergeCell ref="O344:P344"/>
    <mergeCell ref="Q344:R344"/>
    <mergeCell ref="S344:T344"/>
    <mergeCell ref="U344:V344"/>
    <mergeCell ref="W344:X344"/>
    <mergeCell ref="A344:B344"/>
    <mergeCell ref="C344:D344"/>
    <mergeCell ref="E344:F344"/>
    <mergeCell ref="G344:H344"/>
    <mergeCell ref="I344:J344"/>
    <mergeCell ref="K344:L344"/>
    <mergeCell ref="M343:N343"/>
    <mergeCell ref="O343:P343"/>
    <mergeCell ref="Q343:R343"/>
    <mergeCell ref="S343:T343"/>
    <mergeCell ref="U343:V343"/>
    <mergeCell ref="W343:X343"/>
    <mergeCell ref="A343:B343"/>
    <mergeCell ref="C343:D343"/>
    <mergeCell ref="E343:F343"/>
    <mergeCell ref="G343:H343"/>
    <mergeCell ref="I343:J343"/>
    <mergeCell ref="K343:L343"/>
    <mergeCell ref="M342:N342"/>
    <mergeCell ref="O342:P342"/>
    <mergeCell ref="Q342:R342"/>
    <mergeCell ref="S342:T342"/>
    <mergeCell ref="U342:V342"/>
    <mergeCell ref="W342:X342"/>
    <mergeCell ref="A342:B342"/>
    <mergeCell ref="C342:D342"/>
    <mergeCell ref="E342:F342"/>
    <mergeCell ref="G342:H342"/>
    <mergeCell ref="I342:J342"/>
    <mergeCell ref="K342:L342"/>
    <mergeCell ref="M341:N341"/>
    <mergeCell ref="O341:P341"/>
    <mergeCell ref="Q341:R341"/>
    <mergeCell ref="S341:T341"/>
    <mergeCell ref="U341:V341"/>
    <mergeCell ref="W341:X341"/>
    <mergeCell ref="A341:B341"/>
    <mergeCell ref="C341:D341"/>
    <mergeCell ref="E341:F341"/>
    <mergeCell ref="G341:H341"/>
    <mergeCell ref="I341:J341"/>
    <mergeCell ref="K341:L341"/>
    <mergeCell ref="M340:N340"/>
    <mergeCell ref="O340:P340"/>
    <mergeCell ref="Q340:R340"/>
    <mergeCell ref="S340:T340"/>
    <mergeCell ref="U340:V340"/>
    <mergeCell ref="W340:X340"/>
    <mergeCell ref="A340:B340"/>
    <mergeCell ref="C340:D340"/>
    <mergeCell ref="E340:F340"/>
    <mergeCell ref="G340:H340"/>
    <mergeCell ref="I340:J340"/>
    <mergeCell ref="K340:L340"/>
    <mergeCell ref="M339:N339"/>
    <mergeCell ref="O339:P339"/>
    <mergeCell ref="Q339:R339"/>
    <mergeCell ref="S339:T339"/>
    <mergeCell ref="U339:V339"/>
    <mergeCell ref="W339:X339"/>
    <mergeCell ref="A339:B339"/>
    <mergeCell ref="C339:D339"/>
    <mergeCell ref="E339:F339"/>
    <mergeCell ref="G339:H339"/>
    <mergeCell ref="I339:J339"/>
    <mergeCell ref="K339:L339"/>
    <mergeCell ref="M338:N338"/>
    <mergeCell ref="O338:P338"/>
    <mergeCell ref="Q338:R338"/>
    <mergeCell ref="S338:T338"/>
    <mergeCell ref="U338:V338"/>
    <mergeCell ref="W338:X338"/>
    <mergeCell ref="A338:B338"/>
    <mergeCell ref="C338:D338"/>
    <mergeCell ref="E338:F338"/>
    <mergeCell ref="G338:H338"/>
    <mergeCell ref="I338:J338"/>
    <mergeCell ref="K338:L338"/>
    <mergeCell ref="M337:N337"/>
    <mergeCell ref="O337:P337"/>
    <mergeCell ref="Q337:R337"/>
    <mergeCell ref="S337:T337"/>
    <mergeCell ref="U337:V337"/>
    <mergeCell ref="W337:X337"/>
    <mergeCell ref="A337:B337"/>
    <mergeCell ref="C337:D337"/>
    <mergeCell ref="E337:F337"/>
    <mergeCell ref="G337:H337"/>
    <mergeCell ref="I337:J337"/>
    <mergeCell ref="K337:L337"/>
    <mergeCell ref="M336:N336"/>
    <mergeCell ref="O336:P336"/>
    <mergeCell ref="Q336:R336"/>
    <mergeCell ref="S336:T336"/>
    <mergeCell ref="U336:V336"/>
    <mergeCell ref="W336:X336"/>
    <mergeCell ref="A336:B336"/>
    <mergeCell ref="C336:D336"/>
    <mergeCell ref="E336:F336"/>
    <mergeCell ref="G336:H336"/>
    <mergeCell ref="I336:J336"/>
    <mergeCell ref="K336:L336"/>
    <mergeCell ref="M335:N335"/>
    <mergeCell ref="O335:P335"/>
    <mergeCell ref="Q335:R335"/>
    <mergeCell ref="S335:T335"/>
    <mergeCell ref="U335:V335"/>
    <mergeCell ref="W335:X335"/>
    <mergeCell ref="A335:B335"/>
    <mergeCell ref="C335:D335"/>
    <mergeCell ref="E335:F335"/>
    <mergeCell ref="G335:H335"/>
    <mergeCell ref="I335:J335"/>
    <mergeCell ref="K335:L335"/>
    <mergeCell ref="M334:N334"/>
    <mergeCell ref="O334:P334"/>
    <mergeCell ref="Q334:R334"/>
    <mergeCell ref="S334:T334"/>
    <mergeCell ref="U334:V334"/>
    <mergeCell ref="W334:X334"/>
    <mergeCell ref="A334:B334"/>
    <mergeCell ref="C334:D334"/>
    <mergeCell ref="E334:F334"/>
    <mergeCell ref="G334:H334"/>
    <mergeCell ref="I334:J334"/>
    <mergeCell ref="K334:L334"/>
    <mergeCell ref="M333:N333"/>
    <mergeCell ref="O333:P333"/>
    <mergeCell ref="Q333:R333"/>
    <mergeCell ref="S333:T333"/>
    <mergeCell ref="U333:V333"/>
    <mergeCell ref="W333:X333"/>
    <mergeCell ref="A333:B333"/>
    <mergeCell ref="C333:D333"/>
    <mergeCell ref="E333:F333"/>
    <mergeCell ref="G333:H333"/>
    <mergeCell ref="I333:J333"/>
    <mergeCell ref="K333:L333"/>
    <mergeCell ref="M332:N332"/>
    <mergeCell ref="O332:P332"/>
    <mergeCell ref="Q332:R332"/>
    <mergeCell ref="S332:T332"/>
    <mergeCell ref="U332:V332"/>
    <mergeCell ref="W332:X332"/>
    <mergeCell ref="A332:B332"/>
    <mergeCell ref="C332:D332"/>
    <mergeCell ref="E332:F332"/>
    <mergeCell ref="G332:H332"/>
    <mergeCell ref="I332:J332"/>
    <mergeCell ref="K332:L332"/>
    <mergeCell ref="M331:N331"/>
    <mergeCell ref="O331:P331"/>
    <mergeCell ref="Q331:R331"/>
    <mergeCell ref="S331:T331"/>
    <mergeCell ref="U331:V331"/>
    <mergeCell ref="W331:X331"/>
    <mergeCell ref="A331:B331"/>
    <mergeCell ref="C331:D331"/>
    <mergeCell ref="E331:F331"/>
    <mergeCell ref="G331:H331"/>
    <mergeCell ref="I331:J331"/>
    <mergeCell ref="K331:L331"/>
    <mergeCell ref="M330:N330"/>
    <mergeCell ref="O330:P330"/>
    <mergeCell ref="Q330:R330"/>
    <mergeCell ref="S330:T330"/>
    <mergeCell ref="U330:V330"/>
    <mergeCell ref="W330:X330"/>
    <mergeCell ref="A330:B330"/>
    <mergeCell ref="C330:D330"/>
    <mergeCell ref="E330:F330"/>
    <mergeCell ref="G330:H330"/>
    <mergeCell ref="I330:J330"/>
    <mergeCell ref="K330:L330"/>
    <mergeCell ref="M329:N329"/>
    <mergeCell ref="O329:P329"/>
    <mergeCell ref="Q329:R329"/>
    <mergeCell ref="S329:T329"/>
    <mergeCell ref="U329:V329"/>
    <mergeCell ref="W329:X329"/>
    <mergeCell ref="A329:B329"/>
    <mergeCell ref="C329:D329"/>
    <mergeCell ref="E329:F329"/>
    <mergeCell ref="G329:H329"/>
    <mergeCell ref="I329:J329"/>
    <mergeCell ref="K329:L329"/>
    <mergeCell ref="M328:N328"/>
    <mergeCell ref="O328:P328"/>
    <mergeCell ref="Q328:R328"/>
    <mergeCell ref="S328:T328"/>
    <mergeCell ref="U328:V328"/>
    <mergeCell ref="W328:X328"/>
    <mergeCell ref="A328:B328"/>
    <mergeCell ref="C328:D328"/>
    <mergeCell ref="E328:F328"/>
    <mergeCell ref="G328:H328"/>
    <mergeCell ref="I328:J328"/>
    <mergeCell ref="K328:L328"/>
    <mergeCell ref="M327:N327"/>
    <mergeCell ref="O327:P327"/>
    <mergeCell ref="Q327:R327"/>
    <mergeCell ref="S327:T327"/>
    <mergeCell ref="U327:V327"/>
    <mergeCell ref="W327:X327"/>
    <mergeCell ref="A327:B327"/>
    <mergeCell ref="C327:D327"/>
    <mergeCell ref="E327:F327"/>
    <mergeCell ref="G327:H327"/>
    <mergeCell ref="I327:J327"/>
    <mergeCell ref="K327:L327"/>
    <mergeCell ref="M326:N326"/>
    <mergeCell ref="O326:P326"/>
    <mergeCell ref="Q326:R326"/>
    <mergeCell ref="S326:T326"/>
    <mergeCell ref="U326:V326"/>
    <mergeCell ref="W326:X326"/>
    <mergeCell ref="A326:B326"/>
    <mergeCell ref="C326:D326"/>
    <mergeCell ref="E326:F326"/>
    <mergeCell ref="G326:H326"/>
    <mergeCell ref="I326:J326"/>
    <mergeCell ref="K326:L326"/>
    <mergeCell ref="M325:N325"/>
    <mergeCell ref="O325:P325"/>
    <mergeCell ref="Q325:R325"/>
    <mergeCell ref="S325:T325"/>
    <mergeCell ref="U325:V325"/>
    <mergeCell ref="W325:X325"/>
    <mergeCell ref="A325:B325"/>
    <mergeCell ref="C325:D325"/>
    <mergeCell ref="E325:F325"/>
    <mergeCell ref="G325:H325"/>
    <mergeCell ref="I325:J325"/>
    <mergeCell ref="K325:L325"/>
    <mergeCell ref="M324:N324"/>
    <mergeCell ref="O324:P324"/>
    <mergeCell ref="Q324:R324"/>
    <mergeCell ref="S324:T324"/>
    <mergeCell ref="U324:V324"/>
    <mergeCell ref="W324:X324"/>
    <mergeCell ref="A324:B324"/>
    <mergeCell ref="C324:D324"/>
    <mergeCell ref="E324:F324"/>
    <mergeCell ref="G324:H324"/>
    <mergeCell ref="I324:J324"/>
    <mergeCell ref="K324:L324"/>
    <mergeCell ref="M323:N323"/>
    <mergeCell ref="O323:P323"/>
    <mergeCell ref="Q323:R323"/>
    <mergeCell ref="S323:T323"/>
    <mergeCell ref="U323:V323"/>
    <mergeCell ref="W323:X323"/>
    <mergeCell ref="A323:B323"/>
    <mergeCell ref="C323:D323"/>
    <mergeCell ref="E323:F323"/>
    <mergeCell ref="G323:H323"/>
    <mergeCell ref="I323:J323"/>
    <mergeCell ref="K323:L323"/>
    <mergeCell ref="M322:N322"/>
    <mergeCell ref="O322:P322"/>
    <mergeCell ref="Q322:R322"/>
    <mergeCell ref="S322:T322"/>
    <mergeCell ref="U322:V322"/>
    <mergeCell ref="W322:X322"/>
    <mergeCell ref="A322:B322"/>
    <mergeCell ref="C322:D322"/>
    <mergeCell ref="E322:F322"/>
    <mergeCell ref="G322:H322"/>
    <mergeCell ref="I322:J322"/>
    <mergeCell ref="K322:L322"/>
    <mergeCell ref="M321:N321"/>
    <mergeCell ref="O321:P321"/>
    <mergeCell ref="Q321:R321"/>
    <mergeCell ref="S321:T321"/>
    <mergeCell ref="U321:V321"/>
    <mergeCell ref="W321:X321"/>
    <mergeCell ref="A321:B321"/>
    <mergeCell ref="C321:D321"/>
    <mergeCell ref="E321:F321"/>
    <mergeCell ref="G321:H321"/>
    <mergeCell ref="I321:J321"/>
    <mergeCell ref="K321:L321"/>
    <mergeCell ref="M320:N320"/>
    <mergeCell ref="O320:P320"/>
    <mergeCell ref="Q320:R320"/>
    <mergeCell ref="S320:T320"/>
    <mergeCell ref="U320:V320"/>
    <mergeCell ref="W320:X320"/>
    <mergeCell ref="A320:B320"/>
    <mergeCell ref="C320:D320"/>
    <mergeCell ref="E320:F320"/>
    <mergeCell ref="G320:H320"/>
    <mergeCell ref="I320:J320"/>
    <mergeCell ref="K320:L320"/>
    <mergeCell ref="M319:N319"/>
    <mergeCell ref="O319:P319"/>
    <mergeCell ref="Q319:R319"/>
    <mergeCell ref="S319:T319"/>
    <mergeCell ref="U319:V319"/>
    <mergeCell ref="W319:X319"/>
    <mergeCell ref="A319:B319"/>
    <mergeCell ref="C319:D319"/>
    <mergeCell ref="E319:F319"/>
    <mergeCell ref="G319:H319"/>
    <mergeCell ref="I319:J319"/>
    <mergeCell ref="K319:L319"/>
    <mergeCell ref="M318:N318"/>
    <mergeCell ref="O318:P318"/>
    <mergeCell ref="Q318:R318"/>
    <mergeCell ref="S318:T318"/>
    <mergeCell ref="U318:V318"/>
    <mergeCell ref="W318:X318"/>
    <mergeCell ref="A318:B318"/>
    <mergeCell ref="C318:D318"/>
    <mergeCell ref="E318:F318"/>
    <mergeCell ref="G318:H318"/>
    <mergeCell ref="I318:J318"/>
    <mergeCell ref="K318:L318"/>
    <mergeCell ref="M317:N317"/>
    <mergeCell ref="O317:P317"/>
    <mergeCell ref="Q317:R317"/>
    <mergeCell ref="S317:T317"/>
    <mergeCell ref="U317:V317"/>
    <mergeCell ref="W317:X317"/>
    <mergeCell ref="A317:B317"/>
    <mergeCell ref="C317:D317"/>
    <mergeCell ref="E317:F317"/>
    <mergeCell ref="G317:H317"/>
    <mergeCell ref="I317:J317"/>
    <mergeCell ref="K317:L317"/>
    <mergeCell ref="M316:N316"/>
    <mergeCell ref="O316:P316"/>
    <mergeCell ref="Q316:R316"/>
    <mergeCell ref="S316:T316"/>
    <mergeCell ref="U316:V316"/>
    <mergeCell ref="W316:X316"/>
    <mergeCell ref="A316:B316"/>
    <mergeCell ref="C316:D316"/>
    <mergeCell ref="E316:F316"/>
    <mergeCell ref="G316:H316"/>
    <mergeCell ref="I316:J316"/>
    <mergeCell ref="K316:L316"/>
    <mergeCell ref="M315:N315"/>
    <mergeCell ref="O315:P315"/>
    <mergeCell ref="Q315:R315"/>
    <mergeCell ref="S315:T315"/>
    <mergeCell ref="U315:V315"/>
    <mergeCell ref="W315:X315"/>
    <mergeCell ref="A315:B315"/>
    <mergeCell ref="C315:D315"/>
    <mergeCell ref="E315:F315"/>
    <mergeCell ref="G315:H315"/>
    <mergeCell ref="I315:J315"/>
    <mergeCell ref="K315:L315"/>
    <mergeCell ref="M314:N314"/>
    <mergeCell ref="O314:P314"/>
    <mergeCell ref="Q314:R314"/>
    <mergeCell ref="S314:T314"/>
    <mergeCell ref="U314:V314"/>
    <mergeCell ref="W314:X314"/>
    <mergeCell ref="A314:B314"/>
    <mergeCell ref="C314:D314"/>
    <mergeCell ref="E314:F314"/>
    <mergeCell ref="G314:H314"/>
    <mergeCell ref="I314:J314"/>
    <mergeCell ref="K314:L314"/>
    <mergeCell ref="M313:N313"/>
    <mergeCell ref="O313:P313"/>
    <mergeCell ref="Q313:R313"/>
    <mergeCell ref="S313:T313"/>
    <mergeCell ref="U313:V313"/>
    <mergeCell ref="W313:X313"/>
    <mergeCell ref="A313:B313"/>
    <mergeCell ref="C313:D313"/>
    <mergeCell ref="E313:F313"/>
    <mergeCell ref="G313:H313"/>
    <mergeCell ref="I313:J313"/>
    <mergeCell ref="K313:L313"/>
    <mergeCell ref="M312:N312"/>
    <mergeCell ref="O312:P312"/>
    <mergeCell ref="Q312:R312"/>
    <mergeCell ref="S312:T312"/>
    <mergeCell ref="U312:V312"/>
    <mergeCell ref="W312:X312"/>
    <mergeCell ref="A312:B312"/>
    <mergeCell ref="C312:D312"/>
    <mergeCell ref="E312:F312"/>
    <mergeCell ref="G312:H312"/>
    <mergeCell ref="I312:J312"/>
    <mergeCell ref="K312:L312"/>
    <mergeCell ref="M311:N311"/>
    <mergeCell ref="O311:P311"/>
    <mergeCell ref="Q311:R311"/>
    <mergeCell ref="S311:T311"/>
    <mergeCell ref="U311:V311"/>
    <mergeCell ref="W311:X311"/>
    <mergeCell ref="A311:B311"/>
    <mergeCell ref="C311:D311"/>
    <mergeCell ref="E311:F311"/>
    <mergeCell ref="G311:H311"/>
    <mergeCell ref="I311:J311"/>
    <mergeCell ref="K311:L311"/>
    <mergeCell ref="M310:N310"/>
    <mergeCell ref="O310:P310"/>
    <mergeCell ref="Q310:R310"/>
    <mergeCell ref="S310:T310"/>
    <mergeCell ref="U310:V310"/>
    <mergeCell ref="W310:X310"/>
    <mergeCell ref="A310:B310"/>
    <mergeCell ref="C310:D310"/>
    <mergeCell ref="E310:F310"/>
    <mergeCell ref="G310:H310"/>
    <mergeCell ref="I310:J310"/>
    <mergeCell ref="K310:L310"/>
    <mergeCell ref="M309:N309"/>
    <mergeCell ref="O309:P309"/>
    <mergeCell ref="Q309:R309"/>
    <mergeCell ref="S309:T309"/>
    <mergeCell ref="U309:V309"/>
    <mergeCell ref="W309:X309"/>
    <mergeCell ref="A309:B309"/>
    <mergeCell ref="C309:D309"/>
    <mergeCell ref="E309:F309"/>
    <mergeCell ref="G309:H309"/>
    <mergeCell ref="I309:J309"/>
    <mergeCell ref="K309:L309"/>
    <mergeCell ref="M308:N308"/>
    <mergeCell ref="O308:P308"/>
    <mergeCell ref="Q308:R308"/>
    <mergeCell ref="S308:T308"/>
    <mergeCell ref="U308:V308"/>
    <mergeCell ref="W308:X308"/>
    <mergeCell ref="A308:B308"/>
    <mergeCell ref="C308:D308"/>
    <mergeCell ref="E308:F308"/>
    <mergeCell ref="G308:H308"/>
    <mergeCell ref="I308:J308"/>
    <mergeCell ref="K308:L308"/>
    <mergeCell ref="M307:N307"/>
    <mergeCell ref="O307:P307"/>
    <mergeCell ref="Q307:R307"/>
    <mergeCell ref="S307:T307"/>
    <mergeCell ref="U307:V307"/>
    <mergeCell ref="W307:X307"/>
    <mergeCell ref="A307:B307"/>
    <mergeCell ref="C307:D307"/>
    <mergeCell ref="E307:F307"/>
    <mergeCell ref="G307:H307"/>
    <mergeCell ref="I307:J307"/>
    <mergeCell ref="K307:L307"/>
    <mergeCell ref="M306:N306"/>
    <mergeCell ref="O306:P306"/>
    <mergeCell ref="Q306:R306"/>
    <mergeCell ref="S306:T306"/>
    <mergeCell ref="U306:V306"/>
    <mergeCell ref="W306:X306"/>
    <mergeCell ref="A306:B306"/>
    <mergeCell ref="C306:D306"/>
    <mergeCell ref="E306:F306"/>
    <mergeCell ref="G306:H306"/>
    <mergeCell ref="I306:J306"/>
    <mergeCell ref="K306:L306"/>
    <mergeCell ref="M305:N305"/>
    <mergeCell ref="O305:P305"/>
    <mergeCell ref="Q305:R305"/>
    <mergeCell ref="S305:T305"/>
    <mergeCell ref="U305:V305"/>
    <mergeCell ref="W305:X305"/>
    <mergeCell ref="A305:B305"/>
    <mergeCell ref="C305:D305"/>
    <mergeCell ref="E305:F305"/>
    <mergeCell ref="G305:H305"/>
    <mergeCell ref="I305:J305"/>
    <mergeCell ref="K305:L305"/>
    <mergeCell ref="M304:N304"/>
    <mergeCell ref="O304:P304"/>
    <mergeCell ref="Q304:R304"/>
    <mergeCell ref="S304:T304"/>
    <mergeCell ref="U304:V304"/>
    <mergeCell ref="W304:X304"/>
    <mergeCell ref="A304:B304"/>
    <mergeCell ref="C304:D304"/>
    <mergeCell ref="E304:F304"/>
    <mergeCell ref="G304:H304"/>
    <mergeCell ref="I304:J304"/>
    <mergeCell ref="K304:L304"/>
    <mergeCell ref="M303:N303"/>
    <mergeCell ref="O303:P303"/>
    <mergeCell ref="Q303:R303"/>
    <mergeCell ref="S303:T303"/>
    <mergeCell ref="U303:V303"/>
    <mergeCell ref="W303:X303"/>
    <mergeCell ref="A303:B303"/>
    <mergeCell ref="C303:D303"/>
    <mergeCell ref="E303:F303"/>
    <mergeCell ref="G303:H303"/>
    <mergeCell ref="I303:J303"/>
    <mergeCell ref="K303:L303"/>
    <mergeCell ref="M302:N302"/>
    <mergeCell ref="O302:P302"/>
    <mergeCell ref="Q302:R302"/>
    <mergeCell ref="S302:T302"/>
    <mergeCell ref="U302:V302"/>
    <mergeCell ref="W302:X302"/>
    <mergeCell ref="A302:B302"/>
    <mergeCell ref="C302:D302"/>
    <mergeCell ref="E302:F302"/>
    <mergeCell ref="G302:H302"/>
    <mergeCell ref="I302:J302"/>
    <mergeCell ref="K302:L302"/>
    <mergeCell ref="M301:N301"/>
    <mergeCell ref="O301:P301"/>
    <mergeCell ref="Q301:R301"/>
    <mergeCell ref="S301:T301"/>
    <mergeCell ref="U301:V301"/>
    <mergeCell ref="W301:X301"/>
    <mergeCell ref="A301:B301"/>
    <mergeCell ref="C301:D301"/>
    <mergeCell ref="E301:F301"/>
    <mergeCell ref="G301:H301"/>
    <mergeCell ref="I301:J301"/>
    <mergeCell ref="K301:L301"/>
    <mergeCell ref="M300:N300"/>
    <mergeCell ref="O300:P300"/>
    <mergeCell ref="Q300:R300"/>
    <mergeCell ref="S300:T300"/>
    <mergeCell ref="U300:V300"/>
    <mergeCell ref="W300:X300"/>
    <mergeCell ref="A300:B300"/>
    <mergeCell ref="C300:D300"/>
    <mergeCell ref="E300:F300"/>
    <mergeCell ref="G300:H300"/>
    <mergeCell ref="I300:J300"/>
    <mergeCell ref="K300:L300"/>
    <mergeCell ref="M299:N299"/>
    <mergeCell ref="O299:P299"/>
    <mergeCell ref="Q299:R299"/>
    <mergeCell ref="S299:T299"/>
    <mergeCell ref="U299:V299"/>
    <mergeCell ref="W299:X299"/>
    <mergeCell ref="A299:B299"/>
    <mergeCell ref="C299:D299"/>
    <mergeCell ref="E299:F299"/>
    <mergeCell ref="G299:H299"/>
    <mergeCell ref="I299:J299"/>
    <mergeCell ref="K299:L299"/>
    <mergeCell ref="M298:N298"/>
    <mergeCell ref="O298:P298"/>
    <mergeCell ref="Q298:R298"/>
    <mergeCell ref="S298:T298"/>
    <mergeCell ref="U298:V298"/>
    <mergeCell ref="W298:X298"/>
    <mergeCell ref="A298:B298"/>
    <mergeCell ref="C298:D298"/>
    <mergeCell ref="E298:F298"/>
    <mergeCell ref="G298:H298"/>
    <mergeCell ref="I298:J298"/>
    <mergeCell ref="K298:L298"/>
    <mergeCell ref="M297:N297"/>
    <mergeCell ref="O297:P297"/>
    <mergeCell ref="Q297:R297"/>
    <mergeCell ref="S297:T297"/>
    <mergeCell ref="U297:V297"/>
    <mergeCell ref="W297:X297"/>
    <mergeCell ref="A297:B297"/>
    <mergeCell ref="C297:D297"/>
    <mergeCell ref="E297:F297"/>
    <mergeCell ref="G297:H297"/>
    <mergeCell ref="I297:J297"/>
    <mergeCell ref="K297:L297"/>
    <mergeCell ref="M296:N296"/>
    <mergeCell ref="O296:P296"/>
    <mergeCell ref="Q296:R296"/>
    <mergeCell ref="S296:T296"/>
    <mergeCell ref="U296:V296"/>
    <mergeCell ref="W296:X296"/>
    <mergeCell ref="A296:B296"/>
    <mergeCell ref="C296:D296"/>
    <mergeCell ref="E296:F296"/>
    <mergeCell ref="G296:H296"/>
    <mergeCell ref="I296:J296"/>
    <mergeCell ref="K296:L296"/>
    <mergeCell ref="M295:N295"/>
    <mergeCell ref="O295:P295"/>
    <mergeCell ref="Q295:R295"/>
    <mergeCell ref="S295:T295"/>
    <mergeCell ref="U295:V295"/>
    <mergeCell ref="W295:X295"/>
    <mergeCell ref="A295:B295"/>
    <mergeCell ref="C295:D295"/>
    <mergeCell ref="E295:F295"/>
    <mergeCell ref="G295:H295"/>
    <mergeCell ref="I295:J295"/>
    <mergeCell ref="K295:L295"/>
    <mergeCell ref="M294:N294"/>
    <mergeCell ref="O294:P294"/>
    <mergeCell ref="Q294:R294"/>
    <mergeCell ref="S294:T294"/>
    <mergeCell ref="U294:V294"/>
    <mergeCell ref="W294:X294"/>
    <mergeCell ref="A294:B294"/>
    <mergeCell ref="C294:D294"/>
    <mergeCell ref="E294:F294"/>
    <mergeCell ref="G294:H294"/>
    <mergeCell ref="I294:J294"/>
    <mergeCell ref="K294:L294"/>
    <mergeCell ref="M293:N293"/>
    <mergeCell ref="O293:P293"/>
    <mergeCell ref="Q293:R293"/>
    <mergeCell ref="S293:T293"/>
    <mergeCell ref="U293:V293"/>
    <mergeCell ref="W293:X293"/>
    <mergeCell ref="A293:B293"/>
    <mergeCell ref="C293:D293"/>
    <mergeCell ref="E293:F293"/>
    <mergeCell ref="G293:H293"/>
    <mergeCell ref="I293:J293"/>
    <mergeCell ref="K293:L293"/>
    <mergeCell ref="M292:N292"/>
    <mergeCell ref="O292:P292"/>
    <mergeCell ref="Q292:R292"/>
    <mergeCell ref="S292:T292"/>
    <mergeCell ref="U292:V292"/>
    <mergeCell ref="W292:X292"/>
    <mergeCell ref="A292:B292"/>
    <mergeCell ref="C292:D292"/>
    <mergeCell ref="E292:F292"/>
    <mergeCell ref="G292:H292"/>
    <mergeCell ref="I292:J292"/>
    <mergeCell ref="K292:L292"/>
    <mergeCell ref="M291:N291"/>
    <mergeCell ref="O291:P291"/>
    <mergeCell ref="Q291:R291"/>
    <mergeCell ref="S291:T291"/>
    <mergeCell ref="U291:V291"/>
    <mergeCell ref="W291:X291"/>
    <mergeCell ref="A291:B291"/>
    <mergeCell ref="C291:D291"/>
    <mergeCell ref="E291:F291"/>
    <mergeCell ref="G291:H291"/>
    <mergeCell ref="I291:J291"/>
    <mergeCell ref="K291:L291"/>
    <mergeCell ref="M290:N290"/>
    <mergeCell ref="O290:P290"/>
    <mergeCell ref="Q290:R290"/>
    <mergeCell ref="S290:T290"/>
    <mergeCell ref="U290:V290"/>
    <mergeCell ref="W290:X290"/>
    <mergeCell ref="A290:B290"/>
    <mergeCell ref="C290:D290"/>
    <mergeCell ref="E290:F290"/>
    <mergeCell ref="G290:H290"/>
    <mergeCell ref="I290:J290"/>
    <mergeCell ref="K290:L290"/>
    <mergeCell ref="M289:N289"/>
    <mergeCell ref="O289:P289"/>
    <mergeCell ref="Q289:R289"/>
    <mergeCell ref="S289:T289"/>
    <mergeCell ref="U289:V289"/>
    <mergeCell ref="W289:X289"/>
    <mergeCell ref="A289:B289"/>
    <mergeCell ref="C289:D289"/>
    <mergeCell ref="E289:F289"/>
    <mergeCell ref="G289:H289"/>
    <mergeCell ref="I289:J289"/>
    <mergeCell ref="K289:L289"/>
    <mergeCell ref="M288:N288"/>
    <mergeCell ref="O288:P288"/>
    <mergeCell ref="Q288:R288"/>
    <mergeCell ref="S288:T288"/>
    <mergeCell ref="U288:V288"/>
    <mergeCell ref="W288:X288"/>
    <mergeCell ref="A288:B288"/>
    <mergeCell ref="C288:D288"/>
    <mergeCell ref="E288:F288"/>
    <mergeCell ref="G288:H288"/>
    <mergeCell ref="I288:J288"/>
    <mergeCell ref="K288:L288"/>
    <mergeCell ref="M287:N287"/>
    <mergeCell ref="O287:P287"/>
    <mergeCell ref="Q287:R287"/>
    <mergeCell ref="S287:T287"/>
    <mergeCell ref="U287:V287"/>
    <mergeCell ref="W287:X287"/>
    <mergeCell ref="A287:B287"/>
    <mergeCell ref="C287:D287"/>
    <mergeCell ref="E287:F287"/>
    <mergeCell ref="G287:H287"/>
    <mergeCell ref="I287:J287"/>
    <mergeCell ref="K287:L287"/>
    <mergeCell ref="M286:N286"/>
    <mergeCell ref="O286:P286"/>
    <mergeCell ref="Q286:R286"/>
    <mergeCell ref="S286:T286"/>
    <mergeCell ref="U286:V286"/>
    <mergeCell ref="W286:X286"/>
    <mergeCell ref="A286:B286"/>
    <mergeCell ref="C286:D286"/>
    <mergeCell ref="E286:F286"/>
    <mergeCell ref="G286:H286"/>
    <mergeCell ref="I286:J286"/>
    <mergeCell ref="K286:L286"/>
    <mergeCell ref="M285:N285"/>
    <mergeCell ref="O285:P285"/>
    <mergeCell ref="Q285:R285"/>
    <mergeCell ref="S285:T285"/>
    <mergeCell ref="U285:V285"/>
    <mergeCell ref="W285:X285"/>
    <mergeCell ref="A285:B285"/>
    <mergeCell ref="C285:D285"/>
    <mergeCell ref="E285:F285"/>
    <mergeCell ref="G285:H285"/>
    <mergeCell ref="I285:J285"/>
    <mergeCell ref="K285:L285"/>
    <mergeCell ref="M284:N284"/>
    <mergeCell ref="O284:P284"/>
    <mergeCell ref="Q284:R284"/>
    <mergeCell ref="S284:T284"/>
    <mergeCell ref="U284:V284"/>
    <mergeCell ref="W284:X284"/>
    <mergeCell ref="A284:B284"/>
    <mergeCell ref="C284:D284"/>
    <mergeCell ref="E284:F284"/>
    <mergeCell ref="G284:H284"/>
    <mergeCell ref="I284:J284"/>
    <mergeCell ref="K284:L284"/>
    <mergeCell ref="M283:N283"/>
    <mergeCell ref="O283:P283"/>
    <mergeCell ref="Q283:R283"/>
    <mergeCell ref="S283:T283"/>
    <mergeCell ref="U283:V283"/>
    <mergeCell ref="W283:X283"/>
    <mergeCell ref="A283:B283"/>
    <mergeCell ref="C283:D283"/>
    <mergeCell ref="E283:F283"/>
    <mergeCell ref="G283:H283"/>
    <mergeCell ref="I283:J283"/>
    <mergeCell ref="K283:L283"/>
    <mergeCell ref="M282:N282"/>
    <mergeCell ref="O282:P282"/>
    <mergeCell ref="Q282:R282"/>
    <mergeCell ref="S282:T282"/>
    <mergeCell ref="U282:V282"/>
    <mergeCell ref="W282:X282"/>
    <mergeCell ref="A282:B282"/>
    <mergeCell ref="C282:D282"/>
    <mergeCell ref="E282:F282"/>
    <mergeCell ref="G282:H282"/>
    <mergeCell ref="I282:J282"/>
    <mergeCell ref="K282:L282"/>
    <mergeCell ref="M281:N281"/>
    <mergeCell ref="O281:P281"/>
    <mergeCell ref="Q281:R281"/>
    <mergeCell ref="S281:T281"/>
    <mergeCell ref="U281:V281"/>
    <mergeCell ref="W281:X281"/>
    <mergeCell ref="A281:B281"/>
    <mergeCell ref="C281:D281"/>
    <mergeCell ref="E281:F281"/>
    <mergeCell ref="G281:H281"/>
    <mergeCell ref="I281:J281"/>
    <mergeCell ref="K281:L281"/>
    <mergeCell ref="M280:N280"/>
    <mergeCell ref="O280:P280"/>
    <mergeCell ref="Q280:R280"/>
    <mergeCell ref="S280:T280"/>
    <mergeCell ref="U280:V280"/>
    <mergeCell ref="W280:X280"/>
    <mergeCell ref="A280:B280"/>
    <mergeCell ref="C280:D280"/>
    <mergeCell ref="E280:F280"/>
    <mergeCell ref="G280:H280"/>
    <mergeCell ref="I280:J280"/>
    <mergeCell ref="K280:L280"/>
    <mergeCell ref="M279:N279"/>
    <mergeCell ref="O279:P279"/>
    <mergeCell ref="Q279:R279"/>
    <mergeCell ref="S279:T279"/>
    <mergeCell ref="U279:V279"/>
    <mergeCell ref="W279:X279"/>
    <mergeCell ref="A279:B279"/>
    <mergeCell ref="C279:D279"/>
    <mergeCell ref="E279:F279"/>
    <mergeCell ref="G279:H279"/>
    <mergeCell ref="I279:J279"/>
    <mergeCell ref="K279:L279"/>
    <mergeCell ref="M278:N278"/>
    <mergeCell ref="O278:P278"/>
    <mergeCell ref="Q278:R278"/>
    <mergeCell ref="S278:T278"/>
    <mergeCell ref="U278:V278"/>
    <mergeCell ref="W278:X278"/>
    <mergeCell ref="A278:B278"/>
    <mergeCell ref="C278:D278"/>
    <mergeCell ref="E278:F278"/>
    <mergeCell ref="G278:H278"/>
    <mergeCell ref="I278:J278"/>
    <mergeCell ref="K278:L278"/>
    <mergeCell ref="M277:N277"/>
    <mergeCell ref="O277:P277"/>
    <mergeCell ref="Q277:R277"/>
    <mergeCell ref="S277:T277"/>
    <mergeCell ref="U277:V277"/>
    <mergeCell ref="W277:X277"/>
    <mergeCell ref="A277:B277"/>
    <mergeCell ref="C277:D277"/>
    <mergeCell ref="E277:F277"/>
    <mergeCell ref="G277:H277"/>
    <mergeCell ref="I277:J277"/>
    <mergeCell ref="K277:L277"/>
    <mergeCell ref="M276:N276"/>
    <mergeCell ref="O276:P276"/>
    <mergeCell ref="Q276:R276"/>
    <mergeCell ref="S276:T276"/>
    <mergeCell ref="U276:V276"/>
    <mergeCell ref="W276:X276"/>
    <mergeCell ref="A276:B276"/>
    <mergeCell ref="C276:D276"/>
    <mergeCell ref="E276:F276"/>
    <mergeCell ref="G276:H276"/>
    <mergeCell ref="I276:J276"/>
    <mergeCell ref="K276:L276"/>
    <mergeCell ref="M275:N275"/>
    <mergeCell ref="O275:P275"/>
    <mergeCell ref="Q275:R275"/>
    <mergeCell ref="S275:T275"/>
    <mergeCell ref="U275:V275"/>
    <mergeCell ref="W275:X275"/>
    <mergeCell ref="A275:B275"/>
    <mergeCell ref="C275:D275"/>
    <mergeCell ref="E275:F275"/>
    <mergeCell ref="G275:H275"/>
    <mergeCell ref="I275:J275"/>
    <mergeCell ref="K275:L275"/>
    <mergeCell ref="M274:N274"/>
    <mergeCell ref="O274:P274"/>
    <mergeCell ref="Q274:R274"/>
    <mergeCell ref="S274:T274"/>
    <mergeCell ref="U274:V274"/>
    <mergeCell ref="W274:X274"/>
    <mergeCell ref="A274:B274"/>
    <mergeCell ref="C274:D274"/>
    <mergeCell ref="E274:F274"/>
    <mergeCell ref="G274:H274"/>
    <mergeCell ref="I274:J274"/>
    <mergeCell ref="K274:L274"/>
    <mergeCell ref="M273:N273"/>
    <mergeCell ref="O273:P273"/>
    <mergeCell ref="Q273:R273"/>
    <mergeCell ref="S273:T273"/>
    <mergeCell ref="U273:V273"/>
    <mergeCell ref="W273:X273"/>
    <mergeCell ref="A273:B273"/>
    <mergeCell ref="C273:D273"/>
    <mergeCell ref="E273:F273"/>
    <mergeCell ref="G273:H273"/>
    <mergeCell ref="I273:J273"/>
    <mergeCell ref="K273:L273"/>
    <mergeCell ref="M272:N272"/>
    <mergeCell ref="O272:P272"/>
    <mergeCell ref="Q272:R272"/>
    <mergeCell ref="S272:T272"/>
    <mergeCell ref="U272:V272"/>
    <mergeCell ref="W272:X272"/>
    <mergeCell ref="A272:B272"/>
    <mergeCell ref="C272:D272"/>
    <mergeCell ref="E272:F272"/>
    <mergeCell ref="G272:H272"/>
    <mergeCell ref="I272:J272"/>
    <mergeCell ref="K272:L272"/>
    <mergeCell ref="M271:N271"/>
    <mergeCell ref="O271:P271"/>
    <mergeCell ref="Q271:R271"/>
    <mergeCell ref="S271:T271"/>
    <mergeCell ref="U271:V271"/>
    <mergeCell ref="W271:X271"/>
    <mergeCell ref="A271:B271"/>
    <mergeCell ref="C271:D271"/>
    <mergeCell ref="E271:F271"/>
    <mergeCell ref="G271:H271"/>
    <mergeCell ref="I271:J271"/>
    <mergeCell ref="K271:L271"/>
    <mergeCell ref="M270:N270"/>
    <mergeCell ref="O270:P270"/>
    <mergeCell ref="Q270:R270"/>
    <mergeCell ref="S270:T270"/>
    <mergeCell ref="U270:V270"/>
    <mergeCell ref="W270:X270"/>
    <mergeCell ref="A270:B270"/>
    <mergeCell ref="C270:D270"/>
    <mergeCell ref="E270:F270"/>
    <mergeCell ref="G270:H270"/>
    <mergeCell ref="I270:J270"/>
    <mergeCell ref="K270:L270"/>
    <mergeCell ref="M269:N269"/>
    <mergeCell ref="O269:P269"/>
    <mergeCell ref="Q269:R269"/>
    <mergeCell ref="S269:T269"/>
    <mergeCell ref="U269:V269"/>
    <mergeCell ref="W269:X269"/>
    <mergeCell ref="A269:B269"/>
    <mergeCell ref="C269:D269"/>
    <mergeCell ref="E269:F269"/>
    <mergeCell ref="G269:H269"/>
    <mergeCell ref="I269:J269"/>
    <mergeCell ref="K269:L269"/>
    <mergeCell ref="M268:N268"/>
    <mergeCell ref="O268:P268"/>
    <mergeCell ref="Q268:R268"/>
    <mergeCell ref="S268:T268"/>
    <mergeCell ref="U268:V268"/>
    <mergeCell ref="W268:X268"/>
    <mergeCell ref="A268:B268"/>
    <mergeCell ref="C268:D268"/>
    <mergeCell ref="E268:F268"/>
    <mergeCell ref="G268:H268"/>
    <mergeCell ref="I268:J268"/>
    <mergeCell ref="K268:L268"/>
    <mergeCell ref="M267:N267"/>
    <mergeCell ref="O267:P267"/>
    <mergeCell ref="Q267:R267"/>
    <mergeCell ref="S267:T267"/>
    <mergeCell ref="U267:V267"/>
    <mergeCell ref="W267:X267"/>
    <mergeCell ref="A267:B267"/>
    <mergeCell ref="C267:D267"/>
    <mergeCell ref="E267:F267"/>
    <mergeCell ref="G267:H267"/>
    <mergeCell ref="I267:J267"/>
    <mergeCell ref="K267:L267"/>
    <mergeCell ref="M266:N266"/>
    <mergeCell ref="O266:P266"/>
    <mergeCell ref="Q266:R266"/>
    <mergeCell ref="S266:T266"/>
    <mergeCell ref="U266:V266"/>
    <mergeCell ref="W266:X266"/>
    <mergeCell ref="A266:B266"/>
    <mergeCell ref="C266:D266"/>
    <mergeCell ref="E266:F266"/>
    <mergeCell ref="G266:H266"/>
    <mergeCell ref="I266:J266"/>
    <mergeCell ref="K266:L266"/>
    <mergeCell ref="M265:N265"/>
    <mergeCell ref="O265:P265"/>
    <mergeCell ref="Q265:R265"/>
    <mergeCell ref="S265:T265"/>
    <mergeCell ref="U265:V265"/>
    <mergeCell ref="W265:X265"/>
    <mergeCell ref="A265:B265"/>
    <mergeCell ref="C265:D265"/>
    <mergeCell ref="E265:F265"/>
    <mergeCell ref="G265:H265"/>
    <mergeCell ref="I265:J265"/>
    <mergeCell ref="K265:L265"/>
    <mergeCell ref="M264:N264"/>
    <mergeCell ref="O264:P264"/>
    <mergeCell ref="Q264:R264"/>
    <mergeCell ref="S264:T264"/>
    <mergeCell ref="U264:V264"/>
    <mergeCell ref="W264:X264"/>
    <mergeCell ref="A264:B264"/>
    <mergeCell ref="C264:D264"/>
    <mergeCell ref="E264:F264"/>
    <mergeCell ref="G264:H264"/>
    <mergeCell ref="I264:J264"/>
    <mergeCell ref="K264:L264"/>
    <mergeCell ref="M263:N263"/>
    <mergeCell ref="O263:P263"/>
    <mergeCell ref="Q263:R263"/>
    <mergeCell ref="S263:T263"/>
    <mergeCell ref="U263:V263"/>
    <mergeCell ref="W263:X263"/>
    <mergeCell ref="A263:B263"/>
    <mergeCell ref="C263:D263"/>
    <mergeCell ref="E263:F263"/>
    <mergeCell ref="G263:H263"/>
    <mergeCell ref="I263:J263"/>
    <mergeCell ref="K263:L263"/>
    <mergeCell ref="M262:N262"/>
    <mergeCell ref="O262:P262"/>
    <mergeCell ref="Q262:R262"/>
    <mergeCell ref="S262:T262"/>
    <mergeCell ref="U262:V262"/>
    <mergeCell ref="W262:X262"/>
    <mergeCell ref="A262:B262"/>
    <mergeCell ref="C262:D262"/>
    <mergeCell ref="E262:F262"/>
    <mergeCell ref="G262:H262"/>
    <mergeCell ref="I262:J262"/>
    <mergeCell ref="K262:L262"/>
    <mergeCell ref="M261:N261"/>
    <mergeCell ref="O261:P261"/>
    <mergeCell ref="Q261:R261"/>
    <mergeCell ref="S261:T261"/>
    <mergeCell ref="U261:V261"/>
    <mergeCell ref="W261:X261"/>
    <mergeCell ref="A261:B261"/>
    <mergeCell ref="C261:D261"/>
    <mergeCell ref="E261:F261"/>
    <mergeCell ref="G261:H261"/>
    <mergeCell ref="I261:J261"/>
    <mergeCell ref="K261:L261"/>
    <mergeCell ref="M260:N260"/>
    <mergeCell ref="O260:P260"/>
    <mergeCell ref="Q260:R260"/>
    <mergeCell ref="S260:T260"/>
    <mergeCell ref="U260:V260"/>
    <mergeCell ref="W260:X260"/>
    <mergeCell ref="A260:B260"/>
    <mergeCell ref="C260:D260"/>
    <mergeCell ref="E260:F260"/>
    <mergeCell ref="G260:H260"/>
    <mergeCell ref="I260:J260"/>
    <mergeCell ref="K260:L260"/>
    <mergeCell ref="M259:N259"/>
    <mergeCell ref="O259:P259"/>
    <mergeCell ref="Q259:R259"/>
    <mergeCell ref="S259:T259"/>
    <mergeCell ref="U259:V259"/>
    <mergeCell ref="W259:X259"/>
    <mergeCell ref="A259:B259"/>
    <mergeCell ref="C259:D259"/>
    <mergeCell ref="E259:F259"/>
    <mergeCell ref="G259:H259"/>
    <mergeCell ref="I259:J259"/>
    <mergeCell ref="K259:L259"/>
    <mergeCell ref="M258:N258"/>
    <mergeCell ref="O258:P258"/>
    <mergeCell ref="Q258:R258"/>
    <mergeCell ref="S258:T258"/>
    <mergeCell ref="U258:V258"/>
    <mergeCell ref="W258:X258"/>
    <mergeCell ref="A258:B258"/>
    <mergeCell ref="C258:D258"/>
    <mergeCell ref="E258:F258"/>
    <mergeCell ref="G258:H258"/>
    <mergeCell ref="I258:J258"/>
    <mergeCell ref="K258:L258"/>
    <mergeCell ref="M257:N257"/>
    <mergeCell ref="O257:P257"/>
    <mergeCell ref="Q257:R257"/>
    <mergeCell ref="S257:T257"/>
    <mergeCell ref="U257:V257"/>
    <mergeCell ref="W257:X257"/>
    <mergeCell ref="A257:B257"/>
    <mergeCell ref="C257:D257"/>
    <mergeCell ref="E257:F257"/>
    <mergeCell ref="G257:H257"/>
    <mergeCell ref="I257:J257"/>
    <mergeCell ref="K257:L257"/>
    <mergeCell ref="M256:N256"/>
    <mergeCell ref="O256:P256"/>
    <mergeCell ref="Q256:R256"/>
    <mergeCell ref="S256:T256"/>
    <mergeCell ref="U256:V256"/>
    <mergeCell ref="W256:X256"/>
    <mergeCell ref="A256:B256"/>
    <mergeCell ref="C256:D256"/>
    <mergeCell ref="E256:F256"/>
    <mergeCell ref="G256:H256"/>
    <mergeCell ref="I256:J256"/>
    <mergeCell ref="K256:L256"/>
    <mergeCell ref="M255:N255"/>
    <mergeCell ref="O255:P255"/>
    <mergeCell ref="Q255:R255"/>
    <mergeCell ref="S255:T255"/>
    <mergeCell ref="U255:V255"/>
    <mergeCell ref="W255:X255"/>
    <mergeCell ref="A255:B255"/>
    <mergeCell ref="C255:D255"/>
    <mergeCell ref="E255:F255"/>
    <mergeCell ref="G255:H255"/>
    <mergeCell ref="I255:J255"/>
    <mergeCell ref="K255:L255"/>
    <mergeCell ref="M254:N254"/>
    <mergeCell ref="O254:P254"/>
    <mergeCell ref="Q254:R254"/>
    <mergeCell ref="S254:T254"/>
    <mergeCell ref="U254:V254"/>
    <mergeCell ref="W254:X254"/>
    <mergeCell ref="A254:B254"/>
    <mergeCell ref="C254:D254"/>
    <mergeCell ref="E254:F254"/>
    <mergeCell ref="G254:H254"/>
    <mergeCell ref="I254:J254"/>
    <mergeCell ref="K254:L254"/>
    <mergeCell ref="M253:N253"/>
    <mergeCell ref="O253:P253"/>
    <mergeCell ref="Q253:R253"/>
    <mergeCell ref="S253:T253"/>
    <mergeCell ref="U253:V253"/>
    <mergeCell ref="W253:X253"/>
    <mergeCell ref="A253:B253"/>
    <mergeCell ref="C253:D253"/>
    <mergeCell ref="E253:F253"/>
    <mergeCell ref="G253:H253"/>
    <mergeCell ref="I253:J253"/>
    <mergeCell ref="K253:L253"/>
    <mergeCell ref="M252:N252"/>
    <mergeCell ref="O252:P252"/>
    <mergeCell ref="Q252:R252"/>
    <mergeCell ref="S252:T252"/>
    <mergeCell ref="U252:V252"/>
    <mergeCell ref="W252:X252"/>
    <mergeCell ref="A252:B252"/>
    <mergeCell ref="C252:D252"/>
    <mergeCell ref="E252:F252"/>
    <mergeCell ref="G252:H252"/>
    <mergeCell ref="I252:J252"/>
    <mergeCell ref="K252:L252"/>
    <mergeCell ref="M251:N251"/>
    <mergeCell ref="O251:P251"/>
    <mergeCell ref="Q251:R251"/>
    <mergeCell ref="S251:T251"/>
    <mergeCell ref="U251:V251"/>
    <mergeCell ref="W251:X251"/>
    <mergeCell ref="A251:B251"/>
    <mergeCell ref="C251:D251"/>
    <mergeCell ref="E251:F251"/>
    <mergeCell ref="G251:H251"/>
    <mergeCell ref="I251:J251"/>
    <mergeCell ref="K251:L251"/>
    <mergeCell ref="M250:N250"/>
    <mergeCell ref="O250:P250"/>
    <mergeCell ref="Q250:R250"/>
    <mergeCell ref="S250:T250"/>
    <mergeCell ref="U250:V250"/>
    <mergeCell ref="W250:X250"/>
    <mergeCell ref="A250:B250"/>
    <mergeCell ref="C250:D250"/>
    <mergeCell ref="E250:F250"/>
    <mergeCell ref="G250:H250"/>
    <mergeCell ref="I250:J250"/>
    <mergeCell ref="K250:L250"/>
    <mergeCell ref="M249:N249"/>
    <mergeCell ref="O249:P249"/>
    <mergeCell ref="Q249:R249"/>
    <mergeCell ref="S249:T249"/>
    <mergeCell ref="U249:V249"/>
    <mergeCell ref="W249:X249"/>
    <mergeCell ref="A249:B249"/>
    <mergeCell ref="C249:D249"/>
    <mergeCell ref="E249:F249"/>
    <mergeCell ref="G249:H249"/>
    <mergeCell ref="I249:J249"/>
    <mergeCell ref="K249:L249"/>
    <mergeCell ref="M248:N248"/>
    <mergeCell ref="O248:P248"/>
    <mergeCell ref="Q248:R248"/>
    <mergeCell ref="S248:T248"/>
    <mergeCell ref="U248:V248"/>
    <mergeCell ref="W248:X248"/>
    <mergeCell ref="A248:B248"/>
    <mergeCell ref="C248:D248"/>
    <mergeCell ref="E248:F248"/>
    <mergeCell ref="G248:H248"/>
    <mergeCell ref="I248:J248"/>
    <mergeCell ref="K248:L248"/>
    <mergeCell ref="M247:N247"/>
    <mergeCell ref="O247:P247"/>
    <mergeCell ref="Q247:R247"/>
    <mergeCell ref="S247:T247"/>
    <mergeCell ref="U247:V247"/>
    <mergeCell ref="W247:X247"/>
    <mergeCell ref="A247:B247"/>
    <mergeCell ref="C247:D247"/>
    <mergeCell ref="E247:F247"/>
    <mergeCell ref="G247:H247"/>
    <mergeCell ref="I247:J247"/>
    <mergeCell ref="K247:L247"/>
    <mergeCell ref="M246:N246"/>
    <mergeCell ref="O246:P246"/>
    <mergeCell ref="Q246:R246"/>
    <mergeCell ref="S246:T246"/>
    <mergeCell ref="U246:V246"/>
    <mergeCell ref="W246:X246"/>
    <mergeCell ref="A246:B246"/>
    <mergeCell ref="C246:D246"/>
    <mergeCell ref="E246:F246"/>
    <mergeCell ref="G246:H246"/>
    <mergeCell ref="I246:J246"/>
    <mergeCell ref="K246:L246"/>
    <mergeCell ref="M245:N245"/>
    <mergeCell ref="O245:P245"/>
    <mergeCell ref="Q245:R245"/>
    <mergeCell ref="S245:T245"/>
    <mergeCell ref="U245:V245"/>
    <mergeCell ref="W245:X245"/>
    <mergeCell ref="A245:B245"/>
    <mergeCell ref="C245:D245"/>
    <mergeCell ref="E245:F245"/>
    <mergeCell ref="G245:H245"/>
    <mergeCell ref="I245:J245"/>
    <mergeCell ref="K245:L245"/>
    <mergeCell ref="M244:N244"/>
    <mergeCell ref="O244:P244"/>
    <mergeCell ref="Q244:R244"/>
    <mergeCell ref="S244:T244"/>
    <mergeCell ref="U244:V244"/>
    <mergeCell ref="W244:X244"/>
    <mergeCell ref="A244:B244"/>
    <mergeCell ref="C244:D244"/>
    <mergeCell ref="E244:F244"/>
    <mergeCell ref="G244:H244"/>
    <mergeCell ref="I244:J244"/>
    <mergeCell ref="K244:L244"/>
    <mergeCell ref="M243:N243"/>
    <mergeCell ref="O243:P243"/>
    <mergeCell ref="Q243:R243"/>
    <mergeCell ref="S243:T243"/>
    <mergeCell ref="U243:V243"/>
    <mergeCell ref="W243:X243"/>
    <mergeCell ref="A243:B243"/>
    <mergeCell ref="C243:D243"/>
    <mergeCell ref="E243:F243"/>
    <mergeCell ref="G243:H243"/>
    <mergeCell ref="I243:J243"/>
    <mergeCell ref="K243:L243"/>
    <mergeCell ref="M242:N242"/>
    <mergeCell ref="O242:P242"/>
    <mergeCell ref="Q242:R242"/>
    <mergeCell ref="S242:T242"/>
    <mergeCell ref="U242:V242"/>
    <mergeCell ref="W242:X242"/>
    <mergeCell ref="A242:B242"/>
    <mergeCell ref="C242:D242"/>
    <mergeCell ref="E242:F242"/>
    <mergeCell ref="G242:H242"/>
    <mergeCell ref="I242:J242"/>
    <mergeCell ref="K242:L242"/>
    <mergeCell ref="M241:N241"/>
    <mergeCell ref="O241:P241"/>
    <mergeCell ref="Q241:R241"/>
    <mergeCell ref="S241:T241"/>
    <mergeCell ref="U241:V241"/>
    <mergeCell ref="W241:X241"/>
    <mergeCell ref="A241:B241"/>
    <mergeCell ref="C241:D241"/>
    <mergeCell ref="E241:F241"/>
    <mergeCell ref="G241:H241"/>
    <mergeCell ref="I241:J241"/>
    <mergeCell ref="K241:L241"/>
    <mergeCell ref="M240:N240"/>
    <mergeCell ref="O240:P240"/>
    <mergeCell ref="Q240:R240"/>
    <mergeCell ref="S240:T240"/>
    <mergeCell ref="U240:V240"/>
    <mergeCell ref="W240:X240"/>
    <mergeCell ref="A240:B240"/>
    <mergeCell ref="C240:D240"/>
    <mergeCell ref="E240:F240"/>
    <mergeCell ref="G240:H240"/>
    <mergeCell ref="I240:J240"/>
    <mergeCell ref="K240:L240"/>
    <mergeCell ref="M239:N239"/>
    <mergeCell ref="O239:P239"/>
    <mergeCell ref="Q239:R239"/>
    <mergeCell ref="S239:T239"/>
    <mergeCell ref="U239:V239"/>
    <mergeCell ref="W239:X239"/>
    <mergeCell ref="A239:B239"/>
    <mergeCell ref="C239:D239"/>
    <mergeCell ref="E239:F239"/>
    <mergeCell ref="G239:H239"/>
    <mergeCell ref="I239:J239"/>
    <mergeCell ref="K239:L239"/>
    <mergeCell ref="M238:N238"/>
    <mergeCell ref="O238:P238"/>
    <mergeCell ref="Q238:R238"/>
    <mergeCell ref="S238:T238"/>
    <mergeCell ref="U238:V238"/>
    <mergeCell ref="W238:X238"/>
    <mergeCell ref="A238:B238"/>
    <mergeCell ref="C238:D238"/>
    <mergeCell ref="E238:F238"/>
    <mergeCell ref="G238:H238"/>
    <mergeCell ref="I238:J238"/>
    <mergeCell ref="K238:L238"/>
    <mergeCell ref="M237:N237"/>
    <mergeCell ref="O237:P237"/>
    <mergeCell ref="Q237:R237"/>
    <mergeCell ref="S237:T237"/>
    <mergeCell ref="U237:V237"/>
    <mergeCell ref="W237:X237"/>
    <mergeCell ref="A237:B237"/>
    <mergeCell ref="C237:D237"/>
    <mergeCell ref="E237:F237"/>
    <mergeCell ref="G237:H237"/>
    <mergeCell ref="I237:J237"/>
    <mergeCell ref="K237:L237"/>
    <mergeCell ref="M236:N236"/>
    <mergeCell ref="O236:P236"/>
    <mergeCell ref="Q236:R236"/>
    <mergeCell ref="S236:T236"/>
    <mergeCell ref="U236:V236"/>
    <mergeCell ref="W236:X236"/>
    <mergeCell ref="A236:B236"/>
    <mergeCell ref="C236:D236"/>
    <mergeCell ref="E236:F236"/>
    <mergeCell ref="G236:H236"/>
    <mergeCell ref="I236:J236"/>
    <mergeCell ref="K236:L236"/>
    <mergeCell ref="M235:N235"/>
    <mergeCell ref="O235:P235"/>
    <mergeCell ref="Q235:R235"/>
    <mergeCell ref="S235:T235"/>
    <mergeCell ref="U235:V235"/>
    <mergeCell ref="W235:X235"/>
    <mergeCell ref="A235:B235"/>
    <mergeCell ref="C235:D235"/>
    <mergeCell ref="E235:F235"/>
    <mergeCell ref="G235:H235"/>
    <mergeCell ref="I235:J235"/>
    <mergeCell ref="K235:L235"/>
    <mergeCell ref="M234:N234"/>
    <mergeCell ref="O234:P234"/>
    <mergeCell ref="Q234:R234"/>
    <mergeCell ref="S234:T234"/>
    <mergeCell ref="U234:V234"/>
    <mergeCell ref="W234:X234"/>
    <mergeCell ref="A234:B234"/>
    <mergeCell ref="C234:D234"/>
    <mergeCell ref="E234:F234"/>
    <mergeCell ref="G234:H234"/>
    <mergeCell ref="I234:J234"/>
    <mergeCell ref="K234:L234"/>
    <mergeCell ref="M233:N233"/>
    <mergeCell ref="O233:P233"/>
    <mergeCell ref="Q233:R233"/>
    <mergeCell ref="S233:T233"/>
    <mergeCell ref="U233:V233"/>
    <mergeCell ref="W233:X233"/>
    <mergeCell ref="A233:B233"/>
    <mergeCell ref="C233:D233"/>
    <mergeCell ref="E233:F233"/>
    <mergeCell ref="G233:H233"/>
    <mergeCell ref="I233:J233"/>
    <mergeCell ref="K233:L233"/>
    <mergeCell ref="M232:N232"/>
    <mergeCell ref="O232:P232"/>
    <mergeCell ref="Q232:R232"/>
    <mergeCell ref="S232:T232"/>
    <mergeCell ref="U232:V232"/>
    <mergeCell ref="W232:X232"/>
    <mergeCell ref="A232:B232"/>
    <mergeCell ref="C232:D232"/>
    <mergeCell ref="E232:F232"/>
    <mergeCell ref="G232:H232"/>
    <mergeCell ref="I232:J232"/>
    <mergeCell ref="K232:L232"/>
    <mergeCell ref="M231:N231"/>
    <mergeCell ref="O231:P231"/>
    <mergeCell ref="Q231:R231"/>
    <mergeCell ref="S231:T231"/>
    <mergeCell ref="U231:V231"/>
    <mergeCell ref="W231:X231"/>
    <mergeCell ref="A231:B231"/>
    <mergeCell ref="C231:D231"/>
    <mergeCell ref="E231:F231"/>
    <mergeCell ref="G231:H231"/>
    <mergeCell ref="I231:J231"/>
    <mergeCell ref="K231:L231"/>
    <mergeCell ref="M230:N230"/>
    <mergeCell ref="O230:P230"/>
    <mergeCell ref="Q230:R230"/>
    <mergeCell ref="S230:T230"/>
    <mergeCell ref="U230:V230"/>
    <mergeCell ref="W230:X230"/>
    <mergeCell ref="A230:B230"/>
    <mergeCell ref="C230:D230"/>
    <mergeCell ref="E230:F230"/>
    <mergeCell ref="G230:H230"/>
    <mergeCell ref="I230:J230"/>
    <mergeCell ref="K230:L230"/>
    <mergeCell ref="M229:N229"/>
    <mergeCell ref="O229:P229"/>
    <mergeCell ref="Q229:R229"/>
    <mergeCell ref="S229:T229"/>
    <mergeCell ref="U229:V229"/>
    <mergeCell ref="W229:X229"/>
    <mergeCell ref="A229:B229"/>
    <mergeCell ref="C229:D229"/>
    <mergeCell ref="E229:F229"/>
    <mergeCell ref="G229:H229"/>
    <mergeCell ref="I229:J229"/>
    <mergeCell ref="K229:L229"/>
    <mergeCell ref="M228:N228"/>
    <mergeCell ref="O228:P228"/>
    <mergeCell ref="Q228:R228"/>
    <mergeCell ref="S228:T228"/>
    <mergeCell ref="U228:V228"/>
    <mergeCell ref="W228:X228"/>
    <mergeCell ref="A228:B228"/>
    <mergeCell ref="C228:D228"/>
    <mergeCell ref="E228:F228"/>
    <mergeCell ref="G228:H228"/>
    <mergeCell ref="I228:J228"/>
    <mergeCell ref="K228:L228"/>
    <mergeCell ref="M227:N227"/>
    <mergeCell ref="O227:P227"/>
    <mergeCell ref="Q227:R227"/>
    <mergeCell ref="S227:T227"/>
    <mergeCell ref="U227:V227"/>
    <mergeCell ref="W227:X227"/>
    <mergeCell ref="A227:B227"/>
    <mergeCell ref="C227:D227"/>
    <mergeCell ref="E227:F227"/>
    <mergeCell ref="G227:H227"/>
    <mergeCell ref="I227:J227"/>
    <mergeCell ref="K227:L227"/>
    <mergeCell ref="M226:N226"/>
    <mergeCell ref="O226:P226"/>
    <mergeCell ref="Q226:R226"/>
    <mergeCell ref="S226:T226"/>
    <mergeCell ref="U226:V226"/>
    <mergeCell ref="W226:X226"/>
    <mergeCell ref="A226:B226"/>
    <mergeCell ref="C226:D226"/>
    <mergeCell ref="E226:F226"/>
    <mergeCell ref="G226:H226"/>
    <mergeCell ref="I226:J226"/>
    <mergeCell ref="K226:L226"/>
    <mergeCell ref="M225:N225"/>
    <mergeCell ref="O225:P225"/>
    <mergeCell ref="Q225:R225"/>
    <mergeCell ref="S225:T225"/>
    <mergeCell ref="U225:V225"/>
    <mergeCell ref="W225:X225"/>
    <mergeCell ref="A225:B225"/>
    <mergeCell ref="C225:D225"/>
    <mergeCell ref="E225:F225"/>
    <mergeCell ref="G225:H225"/>
    <mergeCell ref="I225:J225"/>
    <mergeCell ref="K225:L225"/>
    <mergeCell ref="M224:N224"/>
    <mergeCell ref="O224:P224"/>
    <mergeCell ref="Q224:R224"/>
    <mergeCell ref="S224:T224"/>
    <mergeCell ref="U224:V224"/>
    <mergeCell ref="W224:X224"/>
    <mergeCell ref="A224:B224"/>
    <mergeCell ref="C224:D224"/>
    <mergeCell ref="E224:F224"/>
    <mergeCell ref="G224:H224"/>
    <mergeCell ref="I224:J224"/>
    <mergeCell ref="K224:L224"/>
    <mergeCell ref="M223:N223"/>
    <mergeCell ref="O223:P223"/>
    <mergeCell ref="Q223:R223"/>
    <mergeCell ref="S223:T223"/>
    <mergeCell ref="U223:V223"/>
    <mergeCell ref="W223:X223"/>
    <mergeCell ref="A223:B223"/>
    <mergeCell ref="C223:D223"/>
    <mergeCell ref="E223:F223"/>
    <mergeCell ref="G223:H223"/>
    <mergeCell ref="I223:J223"/>
    <mergeCell ref="K223:L223"/>
    <mergeCell ref="M222:N222"/>
    <mergeCell ref="O222:P222"/>
    <mergeCell ref="Q222:R222"/>
    <mergeCell ref="S222:T222"/>
    <mergeCell ref="U222:V222"/>
    <mergeCell ref="W222:X222"/>
    <mergeCell ref="A222:B222"/>
    <mergeCell ref="C222:D222"/>
    <mergeCell ref="E222:F222"/>
    <mergeCell ref="G222:H222"/>
    <mergeCell ref="I222:J222"/>
    <mergeCell ref="K222:L222"/>
    <mergeCell ref="M221:N221"/>
    <mergeCell ref="O221:P221"/>
    <mergeCell ref="Q221:R221"/>
    <mergeCell ref="S221:T221"/>
    <mergeCell ref="U221:V221"/>
    <mergeCell ref="W221:X221"/>
    <mergeCell ref="A221:B221"/>
    <mergeCell ref="C221:D221"/>
    <mergeCell ref="E221:F221"/>
    <mergeCell ref="G221:H221"/>
    <mergeCell ref="I221:J221"/>
    <mergeCell ref="K221:L221"/>
    <mergeCell ref="M220:N220"/>
    <mergeCell ref="O220:P220"/>
    <mergeCell ref="Q220:R220"/>
    <mergeCell ref="S220:T220"/>
    <mergeCell ref="U220:V220"/>
    <mergeCell ref="W220:X220"/>
    <mergeCell ref="A220:B220"/>
    <mergeCell ref="C220:D220"/>
    <mergeCell ref="E220:F220"/>
    <mergeCell ref="G220:H220"/>
    <mergeCell ref="I220:J220"/>
    <mergeCell ref="K220:L220"/>
    <mergeCell ref="M219:N219"/>
    <mergeCell ref="O219:P219"/>
    <mergeCell ref="Q219:R219"/>
    <mergeCell ref="S219:T219"/>
    <mergeCell ref="U219:V219"/>
    <mergeCell ref="W219:X219"/>
    <mergeCell ref="A219:B219"/>
    <mergeCell ref="C219:D219"/>
    <mergeCell ref="E219:F219"/>
    <mergeCell ref="G219:H219"/>
    <mergeCell ref="I219:J219"/>
    <mergeCell ref="K219:L219"/>
    <mergeCell ref="M218:N218"/>
    <mergeCell ref="O218:P218"/>
    <mergeCell ref="Q218:R218"/>
    <mergeCell ref="S218:T218"/>
    <mergeCell ref="U218:V218"/>
    <mergeCell ref="W218:X218"/>
    <mergeCell ref="A218:B218"/>
    <mergeCell ref="C218:D218"/>
    <mergeCell ref="E218:F218"/>
    <mergeCell ref="G218:H218"/>
    <mergeCell ref="I218:J218"/>
    <mergeCell ref="K218:L218"/>
    <mergeCell ref="M217:N217"/>
    <mergeCell ref="O217:P217"/>
    <mergeCell ref="Q217:R217"/>
    <mergeCell ref="S217:T217"/>
    <mergeCell ref="U217:V217"/>
    <mergeCell ref="W217:X217"/>
    <mergeCell ref="A217:B217"/>
    <mergeCell ref="C217:D217"/>
    <mergeCell ref="E217:F217"/>
    <mergeCell ref="G217:H217"/>
    <mergeCell ref="I217:J217"/>
    <mergeCell ref="K217:L217"/>
    <mergeCell ref="M216:N216"/>
    <mergeCell ref="O216:P216"/>
    <mergeCell ref="Q216:R216"/>
    <mergeCell ref="S216:T216"/>
    <mergeCell ref="U216:V216"/>
    <mergeCell ref="W216:X216"/>
    <mergeCell ref="A216:B216"/>
    <mergeCell ref="C216:D216"/>
    <mergeCell ref="E216:F216"/>
    <mergeCell ref="G216:H216"/>
    <mergeCell ref="I216:J216"/>
    <mergeCell ref="K216:L216"/>
    <mergeCell ref="M215:N215"/>
    <mergeCell ref="O215:P215"/>
    <mergeCell ref="Q215:R215"/>
    <mergeCell ref="S215:T215"/>
    <mergeCell ref="U215:V215"/>
    <mergeCell ref="W215:X215"/>
    <mergeCell ref="A215:B215"/>
    <mergeCell ref="C215:D215"/>
    <mergeCell ref="E215:F215"/>
    <mergeCell ref="G215:H215"/>
    <mergeCell ref="I215:J215"/>
    <mergeCell ref="K215:L215"/>
    <mergeCell ref="M214:N214"/>
    <mergeCell ref="O214:P214"/>
    <mergeCell ref="Q214:R214"/>
    <mergeCell ref="S214:T214"/>
    <mergeCell ref="U214:V214"/>
    <mergeCell ref="W214:X214"/>
    <mergeCell ref="A214:B214"/>
    <mergeCell ref="C214:D214"/>
    <mergeCell ref="E214:F214"/>
    <mergeCell ref="G214:H214"/>
    <mergeCell ref="I214:J214"/>
    <mergeCell ref="K214:L214"/>
    <mergeCell ref="M213:N213"/>
    <mergeCell ref="O213:P213"/>
    <mergeCell ref="Q213:R213"/>
    <mergeCell ref="S213:T213"/>
    <mergeCell ref="U213:V213"/>
    <mergeCell ref="W213:X213"/>
    <mergeCell ref="A213:B213"/>
    <mergeCell ref="C213:D213"/>
    <mergeCell ref="E213:F213"/>
    <mergeCell ref="G213:H213"/>
    <mergeCell ref="I213:J213"/>
    <mergeCell ref="K213:L213"/>
    <mergeCell ref="M212:N212"/>
    <mergeCell ref="O212:P212"/>
    <mergeCell ref="Q212:R212"/>
    <mergeCell ref="S212:T212"/>
    <mergeCell ref="U212:V212"/>
    <mergeCell ref="W212:X212"/>
    <mergeCell ref="A212:B212"/>
    <mergeCell ref="C212:D212"/>
    <mergeCell ref="E212:F212"/>
    <mergeCell ref="G212:H212"/>
    <mergeCell ref="I212:J212"/>
    <mergeCell ref="K212:L212"/>
    <mergeCell ref="M211:N211"/>
    <mergeCell ref="O211:P211"/>
    <mergeCell ref="Q211:R211"/>
    <mergeCell ref="S211:T211"/>
    <mergeCell ref="U211:V211"/>
    <mergeCell ref="W211:X211"/>
    <mergeCell ref="A211:B211"/>
    <mergeCell ref="C211:D211"/>
    <mergeCell ref="E211:F211"/>
    <mergeCell ref="G211:H211"/>
    <mergeCell ref="I211:J211"/>
    <mergeCell ref="K211:L211"/>
    <mergeCell ref="M210:N210"/>
    <mergeCell ref="O210:P210"/>
    <mergeCell ref="Q210:R210"/>
    <mergeCell ref="S210:T210"/>
    <mergeCell ref="U210:V210"/>
    <mergeCell ref="W210:X210"/>
    <mergeCell ref="A210:B210"/>
    <mergeCell ref="C210:D210"/>
    <mergeCell ref="E210:F210"/>
    <mergeCell ref="G210:H210"/>
    <mergeCell ref="I210:J210"/>
    <mergeCell ref="K210:L210"/>
    <mergeCell ref="M209:N209"/>
    <mergeCell ref="O209:P209"/>
    <mergeCell ref="Q209:R209"/>
    <mergeCell ref="S209:T209"/>
    <mergeCell ref="U209:V209"/>
    <mergeCell ref="W209:X209"/>
    <mergeCell ref="A209:B209"/>
    <mergeCell ref="C209:D209"/>
    <mergeCell ref="E209:F209"/>
    <mergeCell ref="G209:H209"/>
    <mergeCell ref="I209:J209"/>
    <mergeCell ref="K209:L209"/>
    <mergeCell ref="M208:N208"/>
    <mergeCell ref="O208:P208"/>
    <mergeCell ref="Q208:R208"/>
    <mergeCell ref="S208:T208"/>
    <mergeCell ref="U208:V208"/>
    <mergeCell ref="W208:X208"/>
    <mergeCell ref="A208:B208"/>
    <mergeCell ref="C208:D208"/>
    <mergeCell ref="E208:F208"/>
    <mergeCell ref="G208:H208"/>
    <mergeCell ref="I208:J208"/>
    <mergeCell ref="K208:L208"/>
    <mergeCell ref="M207:N207"/>
    <mergeCell ref="O207:P207"/>
    <mergeCell ref="Q207:R207"/>
    <mergeCell ref="S207:T207"/>
    <mergeCell ref="U207:V207"/>
    <mergeCell ref="W207:X207"/>
    <mergeCell ref="A207:B207"/>
    <mergeCell ref="C207:D207"/>
    <mergeCell ref="E207:F207"/>
    <mergeCell ref="G207:H207"/>
    <mergeCell ref="I207:J207"/>
    <mergeCell ref="K207:L207"/>
    <mergeCell ref="M206:N206"/>
    <mergeCell ref="O206:P206"/>
    <mergeCell ref="Q206:R206"/>
    <mergeCell ref="S206:T206"/>
    <mergeCell ref="U206:V206"/>
    <mergeCell ref="W206:X206"/>
    <mergeCell ref="A206:B206"/>
    <mergeCell ref="C206:D206"/>
    <mergeCell ref="E206:F206"/>
    <mergeCell ref="G206:H206"/>
    <mergeCell ref="I206:J206"/>
    <mergeCell ref="K206:L206"/>
    <mergeCell ref="M205:N205"/>
    <mergeCell ref="O205:P205"/>
    <mergeCell ref="Q205:R205"/>
    <mergeCell ref="S205:T205"/>
    <mergeCell ref="U205:V205"/>
    <mergeCell ref="W205:X205"/>
    <mergeCell ref="A205:B205"/>
    <mergeCell ref="C205:D205"/>
    <mergeCell ref="E205:F205"/>
    <mergeCell ref="G205:H205"/>
    <mergeCell ref="I205:J205"/>
    <mergeCell ref="K205:L205"/>
    <mergeCell ref="M204:N204"/>
    <mergeCell ref="O204:P204"/>
    <mergeCell ref="Q204:R204"/>
    <mergeCell ref="S204:T204"/>
    <mergeCell ref="U204:V204"/>
    <mergeCell ref="W204:X204"/>
    <mergeCell ref="A204:B204"/>
    <mergeCell ref="C204:D204"/>
    <mergeCell ref="E204:F204"/>
    <mergeCell ref="G204:H204"/>
    <mergeCell ref="I204:J204"/>
    <mergeCell ref="K204:L204"/>
    <mergeCell ref="M203:N203"/>
    <mergeCell ref="O203:P203"/>
    <mergeCell ref="Q203:R203"/>
    <mergeCell ref="S203:T203"/>
    <mergeCell ref="U203:V203"/>
    <mergeCell ref="W203:X203"/>
    <mergeCell ref="A203:B203"/>
    <mergeCell ref="C203:D203"/>
    <mergeCell ref="E203:F203"/>
    <mergeCell ref="G203:H203"/>
    <mergeCell ref="I203:J203"/>
    <mergeCell ref="K203:L203"/>
    <mergeCell ref="M202:N202"/>
    <mergeCell ref="O202:P202"/>
    <mergeCell ref="Q202:R202"/>
    <mergeCell ref="S202:T202"/>
    <mergeCell ref="U202:V202"/>
    <mergeCell ref="W202:X202"/>
    <mergeCell ref="A202:B202"/>
    <mergeCell ref="C202:D202"/>
    <mergeCell ref="E202:F202"/>
    <mergeCell ref="G202:H202"/>
    <mergeCell ref="I202:J202"/>
    <mergeCell ref="K202:L202"/>
    <mergeCell ref="M201:N201"/>
    <mergeCell ref="O201:P201"/>
    <mergeCell ref="Q201:R201"/>
    <mergeCell ref="S201:T201"/>
    <mergeCell ref="U201:V201"/>
    <mergeCell ref="W201:X201"/>
    <mergeCell ref="A201:B201"/>
    <mergeCell ref="C201:D201"/>
    <mergeCell ref="E201:F201"/>
    <mergeCell ref="G201:H201"/>
    <mergeCell ref="I201:J201"/>
    <mergeCell ref="K201:L201"/>
    <mergeCell ref="M200:N200"/>
    <mergeCell ref="O200:P200"/>
    <mergeCell ref="Q200:R200"/>
    <mergeCell ref="S200:T200"/>
    <mergeCell ref="U200:V200"/>
    <mergeCell ref="W200:X200"/>
    <mergeCell ref="A200:B200"/>
    <mergeCell ref="C200:D200"/>
    <mergeCell ref="E200:F200"/>
    <mergeCell ref="G200:H200"/>
    <mergeCell ref="I200:J200"/>
    <mergeCell ref="K200:L200"/>
    <mergeCell ref="M199:N199"/>
    <mergeCell ref="O199:P199"/>
    <mergeCell ref="Q199:R199"/>
    <mergeCell ref="S199:T199"/>
    <mergeCell ref="U199:V199"/>
    <mergeCell ref="W199:X199"/>
    <mergeCell ref="A199:B199"/>
    <mergeCell ref="C199:D199"/>
    <mergeCell ref="E199:F199"/>
    <mergeCell ref="G199:H199"/>
    <mergeCell ref="I199:J199"/>
    <mergeCell ref="K199:L199"/>
    <mergeCell ref="M198:N198"/>
    <mergeCell ref="O198:P198"/>
    <mergeCell ref="Q198:R198"/>
    <mergeCell ref="S198:T198"/>
    <mergeCell ref="U198:V198"/>
    <mergeCell ref="W198:X198"/>
    <mergeCell ref="A198:B198"/>
    <mergeCell ref="C198:D198"/>
    <mergeCell ref="E198:F198"/>
    <mergeCell ref="G198:H198"/>
    <mergeCell ref="I198:J198"/>
    <mergeCell ref="K198:L198"/>
    <mergeCell ref="M197:N197"/>
    <mergeCell ref="O197:P197"/>
    <mergeCell ref="Q197:R197"/>
    <mergeCell ref="S197:T197"/>
    <mergeCell ref="U197:V197"/>
    <mergeCell ref="W197:X197"/>
    <mergeCell ref="A197:B197"/>
    <mergeCell ref="C197:D197"/>
    <mergeCell ref="E197:F197"/>
    <mergeCell ref="G197:H197"/>
    <mergeCell ref="I197:J197"/>
    <mergeCell ref="K197:L197"/>
    <mergeCell ref="M196:N196"/>
    <mergeCell ref="O196:P196"/>
    <mergeCell ref="Q196:R196"/>
    <mergeCell ref="S196:T196"/>
    <mergeCell ref="U196:V196"/>
    <mergeCell ref="W196:X196"/>
    <mergeCell ref="A196:B196"/>
    <mergeCell ref="C196:D196"/>
    <mergeCell ref="E196:F196"/>
    <mergeCell ref="G196:H196"/>
    <mergeCell ref="I196:J196"/>
    <mergeCell ref="K196:L196"/>
    <mergeCell ref="M195:N195"/>
    <mergeCell ref="O195:P195"/>
    <mergeCell ref="Q195:R195"/>
    <mergeCell ref="S195:T195"/>
    <mergeCell ref="U195:V195"/>
    <mergeCell ref="W195:X195"/>
    <mergeCell ref="A195:B195"/>
    <mergeCell ref="C195:D195"/>
    <mergeCell ref="E195:F195"/>
    <mergeCell ref="G195:H195"/>
    <mergeCell ref="I195:J195"/>
    <mergeCell ref="K195:L195"/>
    <mergeCell ref="M194:N194"/>
    <mergeCell ref="O194:P194"/>
    <mergeCell ref="Q194:R194"/>
    <mergeCell ref="S194:T194"/>
    <mergeCell ref="U194:V194"/>
    <mergeCell ref="W194:X194"/>
    <mergeCell ref="A194:B194"/>
    <mergeCell ref="C194:D194"/>
    <mergeCell ref="E194:F194"/>
    <mergeCell ref="G194:H194"/>
    <mergeCell ref="I194:J194"/>
    <mergeCell ref="K194:L194"/>
    <mergeCell ref="M193:N193"/>
    <mergeCell ref="O193:P193"/>
    <mergeCell ref="Q193:R193"/>
    <mergeCell ref="S193:T193"/>
    <mergeCell ref="U193:V193"/>
    <mergeCell ref="W193:X193"/>
    <mergeCell ref="A193:B193"/>
    <mergeCell ref="C193:D193"/>
    <mergeCell ref="E193:F193"/>
    <mergeCell ref="G193:H193"/>
    <mergeCell ref="I193:J193"/>
    <mergeCell ref="K193:L193"/>
    <mergeCell ref="M192:N192"/>
    <mergeCell ref="O192:P192"/>
    <mergeCell ref="Q192:R192"/>
    <mergeCell ref="S192:T192"/>
    <mergeCell ref="U192:V192"/>
    <mergeCell ref="W192:X192"/>
    <mergeCell ref="A192:B192"/>
    <mergeCell ref="C192:D192"/>
    <mergeCell ref="E192:F192"/>
    <mergeCell ref="G192:H192"/>
    <mergeCell ref="I192:J192"/>
    <mergeCell ref="K192:L192"/>
    <mergeCell ref="M191:N191"/>
    <mergeCell ref="O191:P191"/>
    <mergeCell ref="Q191:R191"/>
    <mergeCell ref="S191:T191"/>
    <mergeCell ref="U191:V191"/>
    <mergeCell ref="W191:X191"/>
    <mergeCell ref="A191:B191"/>
    <mergeCell ref="C191:D191"/>
    <mergeCell ref="E191:F191"/>
    <mergeCell ref="G191:H191"/>
    <mergeCell ref="I191:J191"/>
    <mergeCell ref="K191:L191"/>
    <mergeCell ref="M190:N190"/>
    <mergeCell ref="O190:P190"/>
    <mergeCell ref="Q190:R190"/>
    <mergeCell ref="S190:T190"/>
    <mergeCell ref="U190:V190"/>
    <mergeCell ref="W190:X190"/>
    <mergeCell ref="A190:B190"/>
    <mergeCell ref="C190:D190"/>
    <mergeCell ref="E190:F190"/>
    <mergeCell ref="G190:H190"/>
    <mergeCell ref="I190:J190"/>
    <mergeCell ref="K190:L190"/>
    <mergeCell ref="M189:N189"/>
    <mergeCell ref="O189:P189"/>
    <mergeCell ref="Q189:R189"/>
    <mergeCell ref="S189:T189"/>
    <mergeCell ref="U189:V189"/>
    <mergeCell ref="W189:X189"/>
    <mergeCell ref="A189:B189"/>
    <mergeCell ref="C189:D189"/>
    <mergeCell ref="E189:F189"/>
    <mergeCell ref="G189:H189"/>
    <mergeCell ref="I189:J189"/>
    <mergeCell ref="K189:L189"/>
    <mergeCell ref="M188:N188"/>
    <mergeCell ref="O188:P188"/>
    <mergeCell ref="Q188:R188"/>
    <mergeCell ref="S188:T188"/>
    <mergeCell ref="U188:V188"/>
    <mergeCell ref="W188:X188"/>
    <mergeCell ref="A188:B188"/>
    <mergeCell ref="C188:D188"/>
    <mergeCell ref="E188:F188"/>
    <mergeCell ref="G188:H188"/>
    <mergeCell ref="I188:J188"/>
    <mergeCell ref="K188:L188"/>
    <mergeCell ref="M187:N187"/>
    <mergeCell ref="O187:P187"/>
    <mergeCell ref="Q187:R187"/>
    <mergeCell ref="S187:T187"/>
    <mergeCell ref="U187:V187"/>
    <mergeCell ref="W187:X187"/>
    <mergeCell ref="A187:B187"/>
    <mergeCell ref="C187:D187"/>
    <mergeCell ref="E187:F187"/>
    <mergeCell ref="G187:H187"/>
    <mergeCell ref="I187:J187"/>
    <mergeCell ref="K187:L187"/>
    <mergeCell ref="M186:N186"/>
    <mergeCell ref="O186:P186"/>
    <mergeCell ref="Q186:R186"/>
    <mergeCell ref="S186:T186"/>
    <mergeCell ref="U186:V186"/>
    <mergeCell ref="W186:X186"/>
    <mergeCell ref="A186:B186"/>
    <mergeCell ref="C186:D186"/>
    <mergeCell ref="E186:F186"/>
    <mergeCell ref="G186:H186"/>
    <mergeCell ref="I186:J186"/>
    <mergeCell ref="K186:L186"/>
    <mergeCell ref="M185:N185"/>
    <mergeCell ref="O185:P185"/>
    <mergeCell ref="Q185:R185"/>
    <mergeCell ref="S185:T185"/>
    <mergeCell ref="U185:V185"/>
    <mergeCell ref="W185:X185"/>
    <mergeCell ref="A185:B185"/>
    <mergeCell ref="C185:D185"/>
    <mergeCell ref="E185:F185"/>
    <mergeCell ref="G185:H185"/>
    <mergeCell ref="I185:J185"/>
    <mergeCell ref="K185:L185"/>
    <mergeCell ref="M184:N184"/>
    <mergeCell ref="O184:P184"/>
    <mergeCell ref="Q184:R184"/>
    <mergeCell ref="S184:T184"/>
    <mergeCell ref="U184:V184"/>
    <mergeCell ref="W184:X184"/>
    <mergeCell ref="A184:B184"/>
    <mergeCell ref="C184:D184"/>
    <mergeCell ref="E184:F184"/>
    <mergeCell ref="G184:H184"/>
    <mergeCell ref="I184:J184"/>
    <mergeCell ref="K184:L184"/>
    <mergeCell ref="M183:N183"/>
    <mergeCell ref="O183:P183"/>
    <mergeCell ref="Q183:R183"/>
    <mergeCell ref="S183:T183"/>
    <mergeCell ref="U183:V183"/>
    <mergeCell ref="W183:X183"/>
    <mergeCell ref="A183:B183"/>
    <mergeCell ref="C183:D183"/>
    <mergeCell ref="E183:F183"/>
    <mergeCell ref="G183:H183"/>
    <mergeCell ref="I183:J183"/>
    <mergeCell ref="K183:L183"/>
    <mergeCell ref="M182:N182"/>
    <mergeCell ref="O182:P182"/>
    <mergeCell ref="Q182:R182"/>
    <mergeCell ref="S182:T182"/>
    <mergeCell ref="U182:V182"/>
    <mergeCell ref="W182:X182"/>
    <mergeCell ref="A182:B182"/>
    <mergeCell ref="C182:D182"/>
    <mergeCell ref="E182:F182"/>
    <mergeCell ref="G182:H182"/>
    <mergeCell ref="I182:J182"/>
    <mergeCell ref="K182:L182"/>
    <mergeCell ref="M181:N181"/>
    <mergeCell ref="O181:P181"/>
    <mergeCell ref="Q181:R181"/>
    <mergeCell ref="S181:T181"/>
    <mergeCell ref="U181:V181"/>
    <mergeCell ref="W181:X181"/>
    <mergeCell ref="A181:B181"/>
    <mergeCell ref="C181:D181"/>
    <mergeCell ref="E181:F181"/>
    <mergeCell ref="G181:H181"/>
    <mergeCell ref="I181:J181"/>
    <mergeCell ref="K181:L181"/>
    <mergeCell ref="M180:N180"/>
    <mergeCell ref="O180:P180"/>
    <mergeCell ref="Q180:R180"/>
    <mergeCell ref="S180:T180"/>
    <mergeCell ref="U180:V180"/>
    <mergeCell ref="W180:X180"/>
    <mergeCell ref="A180:B180"/>
    <mergeCell ref="C180:D180"/>
    <mergeCell ref="E180:F180"/>
    <mergeCell ref="G180:H180"/>
    <mergeCell ref="I180:J180"/>
    <mergeCell ref="K180:L180"/>
    <mergeCell ref="M179:N179"/>
    <mergeCell ref="O179:P179"/>
    <mergeCell ref="Q179:R179"/>
    <mergeCell ref="S179:T179"/>
    <mergeCell ref="U179:V179"/>
    <mergeCell ref="W179:X179"/>
    <mergeCell ref="A179:B179"/>
    <mergeCell ref="C179:D179"/>
    <mergeCell ref="E179:F179"/>
    <mergeCell ref="G179:H179"/>
    <mergeCell ref="I179:J179"/>
    <mergeCell ref="K179:L179"/>
    <mergeCell ref="M178:N178"/>
    <mergeCell ref="O178:P178"/>
    <mergeCell ref="Q178:R178"/>
    <mergeCell ref="S178:T178"/>
    <mergeCell ref="U178:V178"/>
    <mergeCell ref="W178:X178"/>
    <mergeCell ref="A178:B178"/>
    <mergeCell ref="C178:D178"/>
    <mergeCell ref="E178:F178"/>
    <mergeCell ref="G178:H178"/>
    <mergeCell ref="I178:J178"/>
    <mergeCell ref="K178:L178"/>
    <mergeCell ref="M177:N177"/>
    <mergeCell ref="O177:P177"/>
    <mergeCell ref="Q177:R177"/>
    <mergeCell ref="S177:T177"/>
    <mergeCell ref="U177:V177"/>
    <mergeCell ref="W177:X177"/>
    <mergeCell ref="A177:B177"/>
    <mergeCell ref="C177:D177"/>
    <mergeCell ref="E177:F177"/>
    <mergeCell ref="G177:H177"/>
    <mergeCell ref="I177:J177"/>
    <mergeCell ref="K177:L177"/>
    <mergeCell ref="M176:N176"/>
    <mergeCell ref="O176:P176"/>
    <mergeCell ref="Q176:R176"/>
    <mergeCell ref="S176:T176"/>
    <mergeCell ref="U176:V176"/>
    <mergeCell ref="W176:X176"/>
    <mergeCell ref="A176:B176"/>
    <mergeCell ref="C176:D176"/>
    <mergeCell ref="E176:F176"/>
    <mergeCell ref="G176:H176"/>
    <mergeCell ref="I176:J176"/>
    <mergeCell ref="K176:L176"/>
    <mergeCell ref="M175:N175"/>
    <mergeCell ref="O175:P175"/>
    <mergeCell ref="Q175:R175"/>
    <mergeCell ref="S175:T175"/>
    <mergeCell ref="U175:V175"/>
    <mergeCell ref="W175:X175"/>
    <mergeCell ref="A175:B175"/>
    <mergeCell ref="C175:D175"/>
    <mergeCell ref="E175:F175"/>
    <mergeCell ref="G175:H175"/>
    <mergeCell ref="I175:J175"/>
    <mergeCell ref="K175:L175"/>
    <mergeCell ref="M174:N174"/>
    <mergeCell ref="O174:P174"/>
    <mergeCell ref="Q174:R174"/>
    <mergeCell ref="S174:T174"/>
    <mergeCell ref="U174:V174"/>
    <mergeCell ref="W174:X174"/>
    <mergeCell ref="A174:B174"/>
    <mergeCell ref="C174:D174"/>
    <mergeCell ref="E174:F174"/>
    <mergeCell ref="G174:H174"/>
    <mergeCell ref="I174:J174"/>
    <mergeCell ref="K174:L174"/>
    <mergeCell ref="M173:N173"/>
    <mergeCell ref="O173:P173"/>
    <mergeCell ref="Q173:R173"/>
    <mergeCell ref="S173:T173"/>
    <mergeCell ref="U173:V173"/>
    <mergeCell ref="W173:X173"/>
    <mergeCell ref="A173:B173"/>
    <mergeCell ref="C173:D173"/>
    <mergeCell ref="E173:F173"/>
    <mergeCell ref="G173:H173"/>
    <mergeCell ref="I173:J173"/>
    <mergeCell ref="K173:L173"/>
    <mergeCell ref="M172:N172"/>
    <mergeCell ref="O172:P172"/>
    <mergeCell ref="Q172:R172"/>
    <mergeCell ref="S172:T172"/>
    <mergeCell ref="U172:V172"/>
    <mergeCell ref="W172:X172"/>
    <mergeCell ref="A172:B172"/>
    <mergeCell ref="C172:D172"/>
    <mergeCell ref="E172:F172"/>
    <mergeCell ref="G172:H172"/>
    <mergeCell ref="I172:J172"/>
    <mergeCell ref="K172:L172"/>
    <mergeCell ref="M171:N171"/>
    <mergeCell ref="O171:P171"/>
    <mergeCell ref="Q171:R171"/>
    <mergeCell ref="S171:T171"/>
    <mergeCell ref="U171:V171"/>
    <mergeCell ref="W171:X171"/>
    <mergeCell ref="A171:B171"/>
    <mergeCell ref="C171:D171"/>
    <mergeCell ref="E171:F171"/>
    <mergeCell ref="G171:H171"/>
    <mergeCell ref="I171:J171"/>
    <mergeCell ref="K171:L171"/>
    <mergeCell ref="M170:N170"/>
    <mergeCell ref="O170:P170"/>
    <mergeCell ref="Q170:R170"/>
    <mergeCell ref="S170:T170"/>
    <mergeCell ref="U170:V170"/>
    <mergeCell ref="W170:X170"/>
    <mergeCell ref="A170:B170"/>
    <mergeCell ref="C170:D170"/>
    <mergeCell ref="E170:F170"/>
    <mergeCell ref="G170:H170"/>
    <mergeCell ref="I170:J170"/>
    <mergeCell ref="K170:L170"/>
    <mergeCell ref="M169:N169"/>
    <mergeCell ref="O169:P169"/>
    <mergeCell ref="Q169:R169"/>
    <mergeCell ref="S169:T169"/>
    <mergeCell ref="U169:V169"/>
    <mergeCell ref="W169:X169"/>
    <mergeCell ref="A169:B169"/>
    <mergeCell ref="C169:D169"/>
    <mergeCell ref="E169:F169"/>
    <mergeCell ref="G169:H169"/>
    <mergeCell ref="I169:J169"/>
    <mergeCell ref="K169:L169"/>
    <mergeCell ref="M168:N168"/>
    <mergeCell ref="O168:P168"/>
    <mergeCell ref="Q168:R168"/>
    <mergeCell ref="S168:T168"/>
    <mergeCell ref="U168:V168"/>
    <mergeCell ref="W168:X168"/>
    <mergeCell ref="A168:B168"/>
    <mergeCell ref="C168:D168"/>
    <mergeCell ref="E168:F168"/>
    <mergeCell ref="G168:H168"/>
    <mergeCell ref="I168:J168"/>
    <mergeCell ref="K168:L168"/>
    <mergeCell ref="M167:N167"/>
    <mergeCell ref="O167:P167"/>
    <mergeCell ref="Q167:R167"/>
    <mergeCell ref="S167:T167"/>
    <mergeCell ref="U167:V167"/>
    <mergeCell ref="W167:X167"/>
    <mergeCell ref="A167:B167"/>
    <mergeCell ref="C167:D167"/>
    <mergeCell ref="E167:F167"/>
    <mergeCell ref="G167:H167"/>
    <mergeCell ref="I167:J167"/>
    <mergeCell ref="K167:L167"/>
    <mergeCell ref="M166:N166"/>
    <mergeCell ref="O166:P166"/>
    <mergeCell ref="Q166:R166"/>
    <mergeCell ref="S166:T166"/>
    <mergeCell ref="U166:V166"/>
    <mergeCell ref="W166:X166"/>
    <mergeCell ref="A166:B166"/>
    <mergeCell ref="C166:D166"/>
    <mergeCell ref="E166:F166"/>
    <mergeCell ref="G166:H166"/>
    <mergeCell ref="I166:J166"/>
    <mergeCell ref="K166:L166"/>
    <mergeCell ref="M165:N165"/>
    <mergeCell ref="O165:P165"/>
    <mergeCell ref="Q165:R165"/>
    <mergeCell ref="S165:T165"/>
    <mergeCell ref="U165:V165"/>
    <mergeCell ref="W165:X165"/>
    <mergeCell ref="A165:B165"/>
    <mergeCell ref="C165:D165"/>
    <mergeCell ref="E165:F165"/>
    <mergeCell ref="G165:H165"/>
    <mergeCell ref="I165:J165"/>
    <mergeCell ref="K165:L165"/>
    <mergeCell ref="M164:N164"/>
    <mergeCell ref="O164:P164"/>
    <mergeCell ref="Q164:R164"/>
    <mergeCell ref="S164:T164"/>
    <mergeCell ref="U164:V164"/>
    <mergeCell ref="W164:X164"/>
    <mergeCell ref="A164:B164"/>
    <mergeCell ref="C164:D164"/>
    <mergeCell ref="E164:F164"/>
    <mergeCell ref="G164:H164"/>
    <mergeCell ref="I164:J164"/>
    <mergeCell ref="K164:L164"/>
    <mergeCell ref="M163:N163"/>
    <mergeCell ref="O163:P163"/>
    <mergeCell ref="Q163:R163"/>
    <mergeCell ref="S163:T163"/>
    <mergeCell ref="U163:V163"/>
    <mergeCell ref="W163:X163"/>
    <mergeCell ref="A163:B163"/>
    <mergeCell ref="C163:D163"/>
    <mergeCell ref="E163:F163"/>
    <mergeCell ref="G163:H163"/>
    <mergeCell ref="I163:J163"/>
    <mergeCell ref="K163:L163"/>
    <mergeCell ref="M162:N162"/>
    <mergeCell ref="O162:P162"/>
    <mergeCell ref="Q162:R162"/>
    <mergeCell ref="S162:T162"/>
    <mergeCell ref="U162:V162"/>
    <mergeCell ref="W162:X162"/>
    <mergeCell ref="A162:B162"/>
    <mergeCell ref="C162:D162"/>
    <mergeCell ref="E162:F162"/>
    <mergeCell ref="G162:H162"/>
    <mergeCell ref="I162:J162"/>
    <mergeCell ref="K162:L162"/>
    <mergeCell ref="M161:N161"/>
    <mergeCell ref="O161:P161"/>
    <mergeCell ref="Q161:R161"/>
    <mergeCell ref="S161:T161"/>
    <mergeCell ref="U161:V161"/>
    <mergeCell ref="W161:X161"/>
    <mergeCell ref="A161:B161"/>
    <mergeCell ref="C161:D161"/>
    <mergeCell ref="E161:F161"/>
    <mergeCell ref="G161:H161"/>
    <mergeCell ref="I161:J161"/>
    <mergeCell ref="K161:L161"/>
    <mergeCell ref="M160:N160"/>
    <mergeCell ref="O160:P160"/>
    <mergeCell ref="Q160:R160"/>
    <mergeCell ref="S160:T160"/>
    <mergeCell ref="U160:V160"/>
    <mergeCell ref="W160:X160"/>
    <mergeCell ref="A160:B160"/>
    <mergeCell ref="C160:D160"/>
    <mergeCell ref="E160:F160"/>
    <mergeCell ref="G160:H160"/>
    <mergeCell ref="I160:J160"/>
    <mergeCell ref="K160:L160"/>
    <mergeCell ref="M159:N159"/>
    <mergeCell ref="O159:P159"/>
    <mergeCell ref="Q159:R159"/>
    <mergeCell ref="S159:T159"/>
    <mergeCell ref="U159:V159"/>
    <mergeCell ref="W159:X159"/>
    <mergeCell ref="A159:B159"/>
    <mergeCell ref="C159:D159"/>
    <mergeCell ref="E159:F159"/>
    <mergeCell ref="G159:H159"/>
    <mergeCell ref="I159:J159"/>
    <mergeCell ref="K159:L159"/>
    <mergeCell ref="M158:N158"/>
    <mergeCell ref="O158:P158"/>
    <mergeCell ref="Q158:R158"/>
    <mergeCell ref="S158:T158"/>
    <mergeCell ref="U158:V158"/>
    <mergeCell ref="W158:X158"/>
    <mergeCell ref="A158:B158"/>
    <mergeCell ref="C158:D158"/>
    <mergeCell ref="E158:F158"/>
    <mergeCell ref="G158:H158"/>
    <mergeCell ref="I158:J158"/>
    <mergeCell ref="K158:L158"/>
    <mergeCell ref="M157:N157"/>
    <mergeCell ref="O157:P157"/>
    <mergeCell ref="Q157:R157"/>
    <mergeCell ref="S157:T157"/>
    <mergeCell ref="U157:V157"/>
    <mergeCell ref="W157:X157"/>
    <mergeCell ref="A157:B157"/>
    <mergeCell ref="C157:D157"/>
    <mergeCell ref="E157:F157"/>
    <mergeCell ref="G157:H157"/>
    <mergeCell ref="I157:J157"/>
    <mergeCell ref="K157:L157"/>
    <mergeCell ref="M156:N156"/>
    <mergeCell ref="O156:P156"/>
    <mergeCell ref="Q156:R156"/>
    <mergeCell ref="S156:T156"/>
    <mergeCell ref="U156:V156"/>
    <mergeCell ref="W156:X156"/>
    <mergeCell ref="A156:B156"/>
    <mergeCell ref="C156:D156"/>
    <mergeCell ref="E156:F156"/>
    <mergeCell ref="G156:H156"/>
    <mergeCell ref="I156:J156"/>
    <mergeCell ref="K156:L156"/>
    <mergeCell ref="M155:N155"/>
    <mergeCell ref="O155:P155"/>
    <mergeCell ref="Q155:R155"/>
    <mergeCell ref="S155:T155"/>
    <mergeCell ref="U155:V155"/>
    <mergeCell ref="W155:X155"/>
    <mergeCell ref="A155:B155"/>
    <mergeCell ref="C155:D155"/>
    <mergeCell ref="E155:F155"/>
    <mergeCell ref="G155:H155"/>
    <mergeCell ref="I155:J155"/>
    <mergeCell ref="K155:L155"/>
    <mergeCell ref="M154:N154"/>
    <mergeCell ref="O154:P154"/>
    <mergeCell ref="Q154:R154"/>
    <mergeCell ref="S154:T154"/>
    <mergeCell ref="U154:V154"/>
    <mergeCell ref="W154:X154"/>
    <mergeCell ref="A154:B154"/>
    <mergeCell ref="C154:D154"/>
    <mergeCell ref="E154:F154"/>
    <mergeCell ref="G154:H154"/>
    <mergeCell ref="I154:J154"/>
    <mergeCell ref="K154:L154"/>
    <mergeCell ref="M153:N153"/>
    <mergeCell ref="O153:P153"/>
    <mergeCell ref="Q153:R153"/>
    <mergeCell ref="S153:T153"/>
    <mergeCell ref="U153:V153"/>
    <mergeCell ref="W153:X153"/>
    <mergeCell ref="A153:B153"/>
    <mergeCell ref="C153:D153"/>
    <mergeCell ref="E153:F153"/>
    <mergeCell ref="G153:H153"/>
    <mergeCell ref="I153:J153"/>
    <mergeCell ref="K153:L153"/>
    <mergeCell ref="M152:N152"/>
    <mergeCell ref="O152:P152"/>
    <mergeCell ref="Q152:R152"/>
    <mergeCell ref="S152:T152"/>
    <mergeCell ref="U152:V152"/>
    <mergeCell ref="W152:X152"/>
    <mergeCell ref="A152:B152"/>
    <mergeCell ref="C152:D152"/>
    <mergeCell ref="E152:F152"/>
    <mergeCell ref="G152:H152"/>
    <mergeCell ref="I152:J152"/>
    <mergeCell ref="K152:L152"/>
    <mergeCell ref="M151:N151"/>
    <mergeCell ref="O151:P151"/>
    <mergeCell ref="Q151:R151"/>
    <mergeCell ref="S151:T151"/>
    <mergeCell ref="U151:V151"/>
    <mergeCell ref="W151:X151"/>
    <mergeCell ref="A151:B151"/>
    <mergeCell ref="C151:D151"/>
    <mergeCell ref="E151:F151"/>
    <mergeCell ref="G151:H151"/>
    <mergeCell ref="I151:J151"/>
    <mergeCell ref="K151:L151"/>
    <mergeCell ref="M150:N150"/>
    <mergeCell ref="O150:P150"/>
    <mergeCell ref="Q150:R150"/>
    <mergeCell ref="S150:T150"/>
    <mergeCell ref="U150:V150"/>
    <mergeCell ref="W150:X150"/>
    <mergeCell ref="A150:B150"/>
    <mergeCell ref="C150:D150"/>
    <mergeCell ref="E150:F150"/>
    <mergeCell ref="G150:H150"/>
    <mergeCell ref="I150:J150"/>
    <mergeCell ref="K150:L150"/>
    <mergeCell ref="M149:N149"/>
    <mergeCell ref="O149:P149"/>
    <mergeCell ref="Q149:R149"/>
    <mergeCell ref="S149:T149"/>
    <mergeCell ref="U149:V149"/>
    <mergeCell ref="W149:X149"/>
    <mergeCell ref="A149:B149"/>
    <mergeCell ref="C149:D149"/>
    <mergeCell ref="E149:F149"/>
    <mergeCell ref="G149:H149"/>
    <mergeCell ref="I149:J149"/>
    <mergeCell ref="K149:L149"/>
    <mergeCell ref="M148:N148"/>
    <mergeCell ref="O148:P148"/>
    <mergeCell ref="Q148:R148"/>
    <mergeCell ref="S148:T148"/>
    <mergeCell ref="U148:V148"/>
    <mergeCell ref="W148:X148"/>
    <mergeCell ref="A148:B148"/>
    <mergeCell ref="C148:D148"/>
    <mergeCell ref="E148:F148"/>
    <mergeCell ref="G148:H148"/>
    <mergeCell ref="I148:J148"/>
    <mergeCell ref="K148:L148"/>
    <mergeCell ref="M147:N147"/>
    <mergeCell ref="O147:P147"/>
    <mergeCell ref="Q147:R147"/>
    <mergeCell ref="S147:T147"/>
    <mergeCell ref="U147:V147"/>
    <mergeCell ref="W147:X147"/>
    <mergeCell ref="A147:B147"/>
    <mergeCell ref="C147:D147"/>
    <mergeCell ref="E147:F147"/>
    <mergeCell ref="G147:H147"/>
    <mergeCell ref="I147:J147"/>
    <mergeCell ref="K147:L147"/>
    <mergeCell ref="M146:N146"/>
    <mergeCell ref="O146:P146"/>
    <mergeCell ref="Q146:R146"/>
    <mergeCell ref="S146:T146"/>
    <mergeCell ref="U146:V146"/>
    <mergeCell ref="W146:X146"/>
    <mergeCell ref="A146:B146"/>
    <mergeCell ref="C146:D146"/>
    <mergeCell ref="E146:F146"/>
    <mergeCell ref="G146:H146"/>
    <mergeCell ref="I146:J146"/>
    <mergeCell ref="K146:L146"/>
    <mergeCell ref="M145:N145"/>
    <mergeCell ref="O145:P145"/>
    <mergeCell ref="Q145:R145"/>
    <mergeCell ref="S145:T145"/>
    <mergeCell ref="U145:V145"/>
    <mergeCell ref="W145:X145"/>
    <mergeCell ref="A145:B145"/>
    <mergeCell ref="C145:D145"/>
    <mergeCell ref="E145:F145"/>
    <mergeCell ref="G145:H145"/>
    <mergeCell ref="I145:J145"/>
    <mergeCell ref="K145:L145"/>
    <mergeCell ref="M144:N144"/>
    <mergeCell ref="O144:P144"/>
    <mergeCell ref="Q144:R144"/>
    <mergeCell ref="S144:T144"/>
    <mergeCell ref="U144:V144"/>
    <mergeCell ref="W144:X144"/>
    <mergeCell ref="A144:B144"/>
    <mergeCell ref="C144:D144"/>
    <mergeCell ref="E144:F144"/>
    <mergeCell ref="G144:H144"/>
    <mergeCell ref="I144:J144"/>
    <mergeCell ref="K144:L144"/>
    <mergeCell ref="M143:N143"/>
    <mergeCell ref="O143:P143"/>
    <mergeCell ref="Q143:R143"/>
    <mergeCell ref="S143:T143"/>
    <mergeCell ref="U143:V143"/>
    <mergeCell ref="W143:X143"/>
    <mergeCell ref="A143:B143"/>
    <mergeCell ref="C143:D143"/>
    <mergeCell ref="E143:F143"/>
    <mergeCell ref="G143:H143"/>
    <mergeCell ref="I143:J143"/>
    <mergeCell ref="K143:L143"/>
    <mergeCell ref="M142:N142"/>
    <mergeCell ref="O142:P142"/>
    <mergeCell ref="Q142:R142"/>
    <mergeCell ref="S142:T142"/>
    <mergeCell ref="U142:V142"/>
    <mergeCell ref="W142:X142"/>
    <mergeCell ref="A142:B142"/>
    <mergeCell ref="C142:D142"/>
    <mergeCell ref="E142:F142"/>
    <mergeCell ref="G142:H142"/>
    <mergeCell ref="I142:J142"/>
    <mergeCell ref="K142:L142"/>
    <mergeCell ref="M141:N141"/>
    <mergeCell ref="O141:P141"/>
    <mergeCell ref="Q141:R141"/>
    <mergeCell ref="S141:T141"/>
    <mergeCell ref="U141:V141"/>
    <mergeCell ref="W141:X141"/>
    <mergeCell ref="A141:B141"/>
    <mergeCell ref="C141:D141"/>
    <mergeCell ref="E141:F141"/>
    <mergeCell ref="G141:H141"/>
    <mergeCell ref="I141:J141"/>
    <mergeCell ref="K141:L141"/>
    <mergeCell ref="M140:N140"/>
    <mergeCell ref="O140:P140"/>
    <mergeCell ref="Q140:R140"/>
    <mergeCell ref="S140:T140"/>
    <mergeCell ref="U140:V140"/>
    <mergeCell ref="W140:X140"/>
    <mergeCell ref="A140:B140"/>
    <mergeCell ref="C140:D140"/>
    <mergeCell ref="E140:F140"/>
    <mergeCell ref="G140:H140"/>
    <mergeCell ref="I140:J140"/>
    <mergeCell ref="K140:L140"/>
    <mergeCell ref="M139:N139"/>
    <mergeCell ref="O139:P139"/>
    <mergeCell ref="Q139:R139"/>
    <mergeCell ref="S139:T139"/>
    <mergeCell ref="U139:V139"/>
    <mergeCell ref="W139:X139"/>
    <mergeCell ref="A139:B139"/>
    <mergeCell ref="C139:D139"/>
    <mergeCell ref="E139:F139"/>
    <mergeCell ref="G139:H139"/>
    <mergeCell ref="I139:J139"/>
    <mergeCell ref="K139:L139"/>
    <mergeCell ref="M138:N138"/>
    <mergeCell ref="O138:P138"/>
    <mergeCell ref="Q138:R138"/>
    <mergeCell ref="S138:T138"/>
    <mergeCell ref="U138:V138"/>
    <mergeCell ref="W138:X138"/>
    <mergeCell ref="A138:B138"/>
    <mergeCell ref="C138:D138"/>
    <mergeCell ref="E138:F138"/>
    <mergeCell ref="G138:H138"/>
    <mergeCell ref="I138:J138"/>
    <mergeCell ref="K138:L138"/>
    <mergeCell ref="M137:N137"/>
    <mergeCell ref="O137:P137"/>
    <mergeCell ref="Q137:R137"/>
    <mergeCell ref="S137:T137"/>
    <mergeCell ref="U137:V137"/>
    <mergeCell ref="W137:X137"/>
    <mergeCell ref="A137:B137"/>
    <mergeCell ref="C137:D137"/>
    <mergeCell ref="E137:F137"/>
    <mergeCell ref="G137:H137"/>
    <mergeCell ref="I137:J137"/>
    <mergeCell ref="K137:L137"/>
    <mergeCell ref="M136:N136"/>
    <mergeCell ref="O136:P136"/>
    <mergeCell ref="Q136:R136"/>
    <mergeCell ref="S136:T136"/>
    <mergeCell ref="U136:V136"/>
    <mergeCell ref="W136:X136"/>
    <mergeCell ref="A136:B136"/>
    <mergeCell ref="C136:D136"/>
    <mergeCell ref="E136:F136"/>
    <mergeCell ref="G136:H136"/>
    <mergeCell ref="I136:J136"/>
    <mergeCell ref="K136:L136"/>
    <mergeCell ref="M135:N135"/>
    <mergeCell ref="O135:P135"/>
    <mergeCell ref="Q135:R135"/>
    <mergeCell ref="S135:T135"/>
    <mergeCell ref="U135:V135"/>
    <mergeCell ref="W135:X135"/>
    <mergeCell ref="A135:B135"/>
    <mergeCell ref="C135:D135"/>
    <mergeCell ref="E135:F135"/>
    <mergeCell ref="G135:H135"/>
    <mergeCell ref="I135:J135"/>
    <mergeCell ref="K135:L135"/>
    <mergeCell ref="M134:N134"/>
    <mergeCell ref="O134:P134"/>
    <mergeCell ref="Q134:R134"/>
    <mergeCell ref="S134:T134"/>
    <mergeCell ref="U134:V134"/>
    <mergeCell ref="W134:X134"/>
    <mergeCell ref="A134:B134"/>
    <mergeCell ref="C134:D134"/>
    <mergeCell ref="E134:F134"/>
    <mergeCell ref="G134:H134"/>
    <mergeCell ref="I134:J134"/>
    <mergeCell ref="K134:L134"/>
    <mergeCell ref="M133:N133"/>
    <mergeCell ref="O133:P133"/>
    <mergeCell ref="Q133:R133"/>
    <mergeCell ref="S133:T133"/>
    <mergeCell ref="U133:V133"/>
    <mergeCell ref="W133:X133"/>
    <mergeCell ref="A133:B133"/>
    <mergeCell ref="C133:D133"/>
    <mergeCell ref="E133:F133"/>
    <mergeCell ref="G133:H133"/>
    <mergeCell ref="I133:J133"/>
    <mergeCell ref="K133:L133"/>
    <mergeCell ref="M132:N132"/>
    <mergeCell ref="O132:P132"/>
    <mergeCell ref="Q132:R132"/>
    <mergeCell ref="S132:T132"/>
    <mergeCell ref="U132:V132"/>
    <mergeCell ref="W132:X132"/>
    <mergeCell ref="A132:B132"/>
    <mergeCell ref="C132:D132"/>
    <mergeCell ref="E132:F132"/>
    <mergeCell ref="G132:H132"/>
    <mergeCell ref="I132:J132"/>
    <mergeCell ref="K132:L132"/>
    <mergeCell ref="M131:N131"/>
    <mergeCell ref="O131:P131"/>
    <mergeCell ref="Q131:R131"/>
    <mergeCell ref="S131:T131"/>
    <mergeCell ref="U131:V131"/>
    <mergeCell ref="W131:X131"/>
    <mergeCell ref="A131:B131"/>
    <mergeCell ref="C131:D131"/>
    <mergeCell ref="E131:F131"/>
    <mergeCell ref="G131:H131"/>
    <mergeCell ref="I131:J131"/>
    <mergeCell ref="K131:L131"/>
    <mergeCell ref="M130:N130"/>
    <mergeCell ref="O130:P130"/>
    <mergeCell ref="Q130:R130"/>
    <mergeCell ref="S130:T130"/>
    <mergeCell ref="U130:V130"/>
    <mergeCell ref="W130:X130"/>
    <mergeCell ref="A130:B130"/>
    <mergeCell ref="C130:D130"/>
    <mergeCell ref="E130:F130"/>
    <mergeCell ref="G130:H130"/>
    <mergeCell ref="I130:J130"/>
    <mergeCell ref="K130:L130"/>
    <mergeCell ref="M129:N129"/>
    <mergeCell ref="O129:P129"/>
    <mergeCell ref="Q129:R129"/>
    <mergeCell ref="S129:T129"/>
    <mergeCell ref="U129:V129"/>
    <mergeCell ref="W129:X129"/>
    <mergeCell ref="A129:B129"/>
    <mergeCell ref="C129:D129"/>
    <mergeCell ref="E129:F129"/>
    <mergeCell ref="G129:H129"/>
    <mergeCell ref="I129:J129"/>
    <mergeCell ref="K129:L129"/>
    <mergeCell ref="M128:N128"/>
    <mergeCell ref="O128:P128"/>
    <mergeCell ref="Q128:R128"/>
    <mergeCell ref="S128:T128"/>
    <mergeCell ref="U128:V128"/>
    <mergeCell ref="W128:X128"/>
    <mergeCell ref="A128:B128"/>
    <mergeCell ref="C128:D128"/>
    <mergeCell ref="E128:F128"/>
    <mergeCell ref="G128:H128"/>
    <mergeCell ref="I128:J128"/>
    <mergeCell ref="K128:L128"/>
    <mergeCell ref="M127:N127"/>
    <mergeCell ref="O127:P127"/>
    <mergeCell ref="Q127:R127"/>
    <mergeCell ref="S127:T127"/>
    <mergeCell ref="U127:V127"/>
    <mergeCell ref="W127:X127"/>
    <mergeCell ref="A127:B127"/>
    <mergeCell ref="C127:D127"/>
    <mergeCell ref="E127:F127"/>
    <mergeCell ref="G127:H127"/>
    <mergeCell ref="I127:J127"/>
    <mergeCell ref="K127:L127"/>
    <mergeCell ref="M126:N126"/>
    <mergeCell ref="O126:P126"/>
    <mergeCell ref="Q126:R126"/>
    <mergeCell ref="S126:T126"/>
    <mergeCell ref="U126:V126"/>
    <mergeCell ref="W126:X126"/>
    <mergeCell ref="A126:B126"/>
    <mergeCell ref="C126:D126"/>
    <mergeCell ref="E126:F126"/>
    <mergeCell ref="G126:H126"/>
    <mergeCell ref="I126:J126"/>
    <mergeCell ref="K126:L126"/>
    <mergeCell ref="M125:N125"/>
    <mergeCell ref="O125:P125"/>
    <mergeCell ref="Q125:R125"/>
    <mergeCell ref="S125:T125"/>
    <mergeCell ref="U125:V125"/>
    <mergeCell ref="W125:X125"/>
    <mergeCell ref="A125:B125"/>
    <mergeCell ref="C125:D125"/>
    <mergeCell ref="E125:F125"/>
    <mergeCell ref="G125:H125"/>
    <mergeCell ref="I125:J125"/>
    <mergeCell ref="K125:L125"/>
    <mergeCell ref="M124:N124"/>
    <mergeCell ref="O124:P124"/>
    <mergeCell ref="Q124:R124"/>
    <mergeCell ref="S124:T124"/>
    <mergeCell ref="U124:V124"/>
    <mergeCell ref="W124:X124"/>
    <mergeCell ref="A124:B124"/>
    <mergeCell ref="C124:D124"/>
    <mergeCell ref="E124:F124"/>
    <mergeCell ref="G124:H124"/>
    <mergeCell ref="I124:J124"/>
    <mergeCell ref="K124:L124"/>
    <mergeCell ref="M123:N123"/>
    <mergeCell ref="O123:P123"/>
    <mergeCell ref="Q123:R123"/>
    <mergeCell ref="S123:T123"/>
    <mergeCell ref="U123:V123"/>
    <mergeCell ref="W123:X123"/>
    <mergeCell ref="A123:B123"/>
    <mergeCell ref="C123:D123"/>
    <mergeCell ref="E123:F123"/>
    <mergeCell ref="G123:H123"/>
    <mergeCell ref="I123:J123"/>
    <mergeCell ref="K123:L123"/>
    <mergeCell ref="M122:N122"/>
    <mergeCell ref="O122:P122"/>
    <mergeCell ref="Q122:R122"/>
    <mergeCell ref="S122:T122"/>
    <mergeCell ref="U122:V122"/>
    <mergeCell ref="W122:X122"/>
    <mergeCell ref="A122:B122"/>
    <mergeCell ref="C122:D122"/>
    <mergeCell ref="E122:F122"/>
    <mergeCell ref="G122:H122"/>
    <mergeCell ref="I122:J122"/>
    <mergeCell ref="K122:L122"/>
    <mergeCell ref="M121:N121"/>
    <mergeCell ref="O121:P121"/>
    <mergeCell ref="Q121:R121"/>
    <mergeCell ref="S121:T121"/>
    <mergeCell ref="U121:V121"/>
    <mergeCell ref="W121:X121"/>
    <mergeCell ref="A121:B121"/>
    <mergeCell ref="C121:D121"/>
    <mergeCell ref="E121:F121"/>
    <mergeCell ref="G121:H121"/>
    <mergeCell ref="I121:J121"/>
    <mergeCell ref="K121:L121"/>
    <mergeCell ref="M120:N120"/>
    <mergeCell ref="O120:P120"/>
    <mergeCell ref="Q120:R120"/>
    <mergeCell ref="S120:T120"/>
    <mergeCell ref="U120:V120"/>
    <mergeCell ref="W120:X120"/>
    <mergeCell ref="A120:B120"/>
    <mergeCell ref="C120:D120"/>
    <mergeCell ref="E120:F120"/>
    <mergeCell ref="G120:H120"/>
    <mergeCell ref="I120:J120"/>
    <mergeCell ref="K120:L120"/>
    <mergeCell ref="M119:N119"/>
    <mergeCell ref="O119:P119"/>
    <mergeCell ref="Q119:R119"/>
    <mergeCell ref="S119:T119"/>
    <mergeCell ref="U119:V119"/>
    <mergeCell ref="W119:X119"/>
    <mergeCell ref="A119:B119"/>
    <mergeCell ref="C119:D119"/>
    <mergeCell ref="E119:F119"/>
    <mergeCell ref="G119:H119"/>
    <mergeCell ref="I119:J119"/>
    <mergeCell ref="K119:L119"/>
    <mergeCell ref="M118:N118"/>
    <mergeCell ref="O118:P118"/>
    <mergeCell ref="Q118:R118"/>
    <mergeCell ref="S118:T118"/>
    <mergeCell ref="U118:V118"/>
    <mergeCell ref="W118:X118"/>
    <mergeCell ref="A118:B118"/>
    <mergeCell ref="C118:D118"/>
    <mergeCell ref="E118:F118"/>
    <mergeCell ref="G118:H118"/>
    <mergeCell ref="I118:J118"/>
    <mergeCell ref="K118:L118"/>
    <mergeCell ref="M117:N117"/>
    <mergeCell ref="O117:P117"/>
    <mergeCell ref="Q117:R117"/>
    <mergeCell ref="S117:T117"/>
    <mergeCell ref="U117:V117"/>
    <mergeCell ref="W117:X117"/>
    <mergeCell ref="A117:B117"/>
    <mergeCell ref="C117:D117"/>
    <mergeCell ref="E117:F117"/>
    <mergeCell ref="G117:H117"/>
    <mergeCell ref="I117:J117"/>
    <mergeCell ref="K117:L117"/>
    <mergeCell ref="M116:N116"/>
    <mergeCell ref="O116:P116"/>
    <mergeCell ref="Q116:R116"/>
    <mergeCell ref="S116:T116"/>
    <mergeCell ref="U116:V116"/>
    <mergeCell ref="W116:X116"/>
    <mergeCell ref="A116:B116"/>
    <mergeCell ref="C116:D116"/>
    <mergeCell ref="E116:F116"/>
    <mergeCell ref="G116:H116"/>
    <mergeCell ref="I116:J116"/>
    <mergeCell ref="K116:L116"/>
    <mergeCell ref="M115:N115"/>
    <mergeCell ref="O115:P115"/>
    <mergeCell ref="Q115:R115"/>
    <mergeCell ref="S115:T115"/>
    <mergeCell ref="U115:V115"/>
    <mergeCell ref="W115:X115"/>
    <mergeCell ref="A115:B115"/>
    <mergeCell ref="C115:D115"/>
    <mergeCell ref="E115:F115"/>
    <mergeCell ref="G115:H115"/>
    <mergeCell ref="I115:J115"/>
    <mergeCell ref="K115:L115"/>
    <mergeCell ref="M114:N114"/>
    <mergeCell ref="O114:P114"/>
    <mergeCell ref="Q114:R114"/>
    <mergeCell ref="S114:T114"/>
    <mergeCell ref="U114:V114"/>
    <mergeCell ref="W114:X114"/>
    <mergeCell ref="A114:B114"/>
    <mergeCell ref="C114:D114"/>
    <mergeCell ref="E114:F114"/>
    <mergeCell ref="G114:H114"/>
    <mergeCell ref="I114:J114"/>
    <mergeCell ref="K114:L114"/>
    <mergeCell ref="M113:N113"/>
    <mergeCell ref="O113:P113"/>
    <mergeCell ref="Q113:R113"/>
    <mergeCell ref="S113:T113"/>
    <mergeCell ref="U113:V113"/>
    <mergeCell ref="W113:X113"/>
    <mergeCell ref="A113:B113"/>
    <mergeCell ref="C113:D113"/>
    <mergeCell ref="E113:F113"/>
    <mergeCell ref="G113:H113"/>
    <mergeCell ref="I113:J113"/>
    <mergeCell ref="K113:L113"/>
    <mergeCell ref="M112:N112"/>
    <mergeCell ref="O112:P112"/>
    <mergeCell ref="Q112:R112"/>
    <mergeCell ref="S112:T112"/>
    <mergeCell ref="U112:V112"/>
    <mergeCell ref="W112:X112"/>
    <mergeCell ref="A112:B112"/>
    <mergeCell ref="C112:D112"/>
    <mergeCell ref="E112:F112"/>
    <mergeCell ref="G112:H112"/>
    <mergeCell ref="I112:J112"/>
    <mergeCell ref="K112:L112"/>
    <mergeCell ref="M111:N111"/>
    <mergeCell ref="O111:P111"/>
    <mergeCell ref="Q111:R111"/>
    <mergeCell ref="S111:T111"/>
    <mergeCell ref="U111:V111"/>
    <mergeCell ref="W111:X111"/>
    <mergeCell ref="A111:B111"/>
    <mergeCell ref="C111:D111"/>
    <mergeCell ref="E111:F111"/>
    <mergeCell ref="G111:H111"/>
    <mergeCell ref="I111:J111"/>
    <mergeCell ref="K111:L111"/>
    <mergeCell ref="M110:N110"/>
    <mergeCell ref="O110:P110"/>
    <mergeCell ref="Q110:R110"/>
    <mergeCell ref="S110:T110"/>
    <mergeCell ref="U110:V110"/>
    <mergeCell ref="W110:X110"/>
    <mergeCell ref="A110:B110"/>
    <mergeCell ref="C110:D110"/>
    <mergeCell ref="E110:F110"/>
    <mergeCell ref="G110:H110"/>
    <mergeCell ref="I110:J110"/>
    <mergeCell ref="K110:L110"/>
    <mergeCell ref="M109:N109"/>
    <mergeCell ref="O109:P109"/>
    <mergeCell ref="Q109:R109"/>
    <mergeCell ref="S109:T109"/>
    <mergeCell ref="U109:V109"/>
    <mergeCell ref="W109:X109"/>
    <mergeCell ref="A109:B109"/>
    <mergeCell ref="C109:D109"/>
    <mergeCell ref="E109:F109"/>
    <mergeCell ref="G109:H109"/>
    <mergeCell ref="I109:J109"/>
    <mergeCell ref="K109:L109"/>
    <mergeCell ref="M108:N108"/>
    <mergeCell ref="O108:P108"/>
    <mergeCell ref="Q108:R108"/>
    <mergeCell ref="S108:T108"/>
    <mergeCell ref="U108:V108"/>
    <mergeCell ref="W108:X108"/>
    <mergeCell ref="A108:B108"/>
    <mergeCell ref="C108:D108"/>
    <mergeCell ref="E108:F108"/>
    <mergeCell ref="G108:H108"/>
    <mergeCell ref="I108:J108"/>
    <mergeCell ref="K108:L108"/>
    <mergeCell ref="M107:N107"/>
    <mergeCell ref="O107:P107"/>
    <mergeCell ref="Q107:R107"/>
    <mergeCell ref="S107:T107"/>
    <mergeCell ref="U107:V107"/>
    <mergeCell ref="W107:X107"/>
    <mergeCell ref="A107:B107"/>
    <mergeCell ref="C107:D107"/>
    <mergeCell ref="E107:F107"/>
    <mergeCell ref="G107:H107"/>
    <mergeCell ref="I107:J107"/>
    <mergeCell ref="K107:L107"/>
    <mergeCell ref="M106:N106"/>
    <mergeCell ref="O106:P106"/>
    <mergeCell ref="Q106:R106"/>
    <mergeCell ref="S106:T106"/>
    <mergeCell ref="U106:V106"/>
    <mergeCell ref="W106:X106"/>
    <mergeCell ref="A106:B106"/>
    <mergeCell ref="C106:D106"/>
    <mergeCell ref="E106:F106"/>
    <mergeCell ref="G106:H106"/>
    <mergeCell ref="I106:J106"/>
    <mergeCell ref="K106:L106"/>
    <mergeCell ref="M105:N105"/>
    <mergeCell ref="O105:P105"/>
    <mergeCell ref="Q105:R105"/>
    <mergeCell ref="S105:T105"/>
    <mergeCell ref="U105:V105"/>
    <mergeCell ref="W105:X105"/>
    <mergeCell ref="A105:B105"/>
    <mergeCell ref="C105:D105"/>
    <mergeCell ref="E105:F105"/>
    <mergeCell ref="G105:H105"/>
    <mergeCell ref="I105:J105"/>
    <mergeCell ref="K105:L105"/>
    <mergeCell ref="M104:N104"/>
    <mergeCell ref="O104:P104"/>
    <mergeCell ref="Q104:R104"/>
    <mergeCell ref="S104:T104"/>
    <mergeCell ref="U104:V104"/>
    <mergeCell ref="W104:X104"/>
    <mergeCell ref="A104:B104"/>
    <mergeCell ref="C104:D104"/>
    <mergeCell ref="E104:F104"/>
    <mergeCell ref="G104:H104"/>
    <mergeCell ref="I104:J104"/>
    <mergeCell ref="K104:L104"/>
    <mergeCell ref="M103:N103"/>
    <mergeCell ref="O103:P103"/>
    <mergeCell ref="Q103:R103"/>
    <mergeCell ref="S103:T103"/>
    <mergeCell ref="U103:V103"/>
    <mergeCell ref="W103:X103"/>
    <mergeCell ref="A103:B103"/>
    <mergeCell ref="C103:D103"/>
    <mergeCell ref="E103:F103"/>
    <mergeCell ref="G103:H103"/>
    <mergeCell ref="I103:J103"/>
    <mergeCell ref="K103:L103"/>
    <mergeCell ref="M102:N102"/>
    <mergeCell ref="O102:P102"/>
    <mergeCell ref="Q102:R102"/>
    <mergeCell ref="S102:T102"/>
    <mergeCell ref="U102:V102"/>
    <mergeCell ref="W102:X102"/>
    <mergeCell ref="A102:B102"/>
    <mergeCell ref="C102:D102"/>
    <mergeCell ref="E102:F102"/>
    <mergeCell ref="G102:H102"/>
    <mergeCell ref="I102:J102"/>
    <mergeCell ref="K102:L102"/>
    <mergeCell ref="M101:N101"/>
    <mergeCell ref="O101:P101"/>
    <mergeCell ref="Q101:R101"/>
    <mergeCell ref="S101:T101"/>
    <mergeCell ref="U101:V101"/>
    <mergeCell ref="W101:X101"/>
    <mergeCell ref="A101:B101"/>
    <mergeCell ref="C101:D101"/>
    <mergeCell ref="E101:F101"/>
    <mergeCell ref="G101:H101"/>
    <mergeCell ref="I101:J101"/>
    <mergeCell ref="K101:L101"/>
    <mergeCell ref="M100:N100"/>
    <mergeCell ref="O100:P100"/>
    <mergeCell ref="Q100:R100"/>
    <mergeCell ref="S100:T100"/>
    <mergeCell ref="U100:V100"/>
    <mergeCell ref="W100:X100"/>
    <mergeCell ref="A100:B100"/>
    <mergeCell ref="C100:D100"/>
    <mergeCell ref="E100:F100"/>
    <mergeCell ref="G100:H100"/>
    <mergeCell ref="I100:J100"/>
    <mergeCell ref="K100:L100"/>
    <mergeCell ref="M99:N99"/>
    <mergeCell ref="O99:P99"/>
    <mergeCell ref="Q99:R99"/>
    <mergeCell ref="S99:T99"/>
    <mergeCell ref="U99:V99"/>
    <mergeCell ref="W99:X99"/>
    <mergeCell ref="A99:B99"/>
    <mergeCell ref="C99:D99"/>
    <mergeCell ref="E99:F99"/>
    <mergeCell ref="G99:H99"/>
    <mergeCell ref="I99:J99"/>
    <mergeCell ref="K99:L99"/>
    <mergeCell ref="M98:N98"/>
    <mergeCell ref="O98:P98"/>
    <mergeCell ref="Q98:R98"/>
    <mergeCell ref="S98:T98"/>
    <mergeCell ref="U98:V98"/>
    <mergeCell ref="W98:X98"/>
    <mergeCell ref="A98:B98"/>
    <mergeCell ref="C98:D98"/>
    <mergeCell ref="E98:F98"/>
    <mergeCell ref="G98:H98"/>
    <mergeCell ref="I98:J98"/>
    <mergeCell ref="K98:L98"/>
    <mergeCell ref="M97:N97"/>
    <mergeCell ref="O97:P97"/>
    <mergeCell ref="Q97:R97"/>
    <mergeCell ref="S97:T97"/>
    <mergeCell ref="U97:V97"/>
    <mergeCell ref="W97:X97"/>
    <mergeCell ref="A97:B97"/>
    <mergeCell ref="C97:D97"/>
    <mergeCell ref="E97:F97"/>
    <mergeCell ref="G97:H97"/>
    <mergeCell ref="I97:J97"/>
    <mergeCell ref="K97:L97"/>
    <mergeCell ref="M96:N96"/>
    <mergeCell ref="O96:P96"/>
    <mergeCell ref="Q96:R96"/>
    <mergeCell ref="S96:T96"/>
    <mergeCell ref="U96:V96"/>
    <mergeCell ref="W96:X96"/>
    <mergeCell ref="A96:B96"/>
    <mergeCell ref="C96:D96"/>
    <mergeCell ref="E96:F96"/>
    <mergeCell ref="G96:H96"/>
    <mergeCell ref="I96:J96"/>
    <mergeCell ref="K96:L96"/>
    <mergeCell ref="M95:N95"/>
    <mergeCell ref="O95:P95"/>
    <mergeCell ref="Q95:R95"/>
    <mergeCell ref="S95:T95"/>
    <mergeCell ref="U95:V95"/>
    <mergeCell ref="W95:X95"/>
    <mergeCell ref="A95:B95"/>
    <mergeCell ref="C95:D95"/>
    <mergeCell ref="E95:F95"/>
    <mergeCell ref="G95:H95"/>
    <mergeCell ref="I95:J95"/>
    <mergeCell ref="K95:L95"/>
    <mergeCell ref="M94:N94"/>
    <mergeCell ref="O94:P94"/>
    <mergeCell ref="Q94:R94"/>
    <mergeCell ref="S94:T94"/>
    <mergeCell ref="U94:V94"/>
    <mergeCell ref="W94:X94"/>
    <mergeCell ref="A94:B94"/>
    <mergeCell ref="C94:D94"/>
    <mergeCell ref="E94:F94"/>
    <mergeCell ref="G94:H94"/>
    <mergeCell ref="I94:J94"/>
    <mergeCell ref="K94:L94"/>
    <mergeCell ref="M93:N93"/>
    <mergeCell ref="O93:P93"/>
    <mergeCell ref="Q93:R93"/>
    <mergeCell ref="S93:T93"/>
    <mergeCell ref="U93:V93"/>
    <mergeCell ref="W93:X93"/>
    <mergeCell ref="A93:B93"/>
    <mergeCell ref="C93:D93"/>
    <mergeCell ref="E93:F93"/>
    <mergeCell ref="G93:H93"/>
    <mergeCell ref="I93:J93"/>
    <mergeCell ref="K93:L93"/>
    <mergeCell ref="M92:N92"/>
    <mergeCell ref="O92:P92"/>
    <mergeCell ref="Q92:R92"/>
    <mergeCell ref="S92:T92"/>
    <mergeCell ref="U92:V92"/>
    <mergeCell ref="W92:X92"/>
    <mergeCell ref="A92:B92"/>
    <mergeCell ref="C92:D92"/>
    <mergeCell ref="E92:F92"/>
    <mergeCell ref="G92:H92"/>
    <mergeCell ref="I92:J92"/>
    <mergeCell ref="K92:L92"/>
    <mergeCell ref="M91:N91"/>
    <mergeCell ref="O91:P91"/>
    <mergeCell ref="Q91:R91"/>
    <mergeCell ref="S91:T91"/>
    <mergeCell ref="U91:V91"/>
    <mergeCell ref="W91:X91"/>
    <mergeCell ref="A91:B91"/>
    <mergeCell ref="C91:D91"/>
    <mergeCell ref="E91:F91"/>
    <mergeCell ref="G91:H91"/>
    <mergeCell ref="I91:J91"/>
    <mergeCell ref="K91:L91"/>
    <mergeCell ref="M90:N90"/>
    <mergeCell ref="O90:P90"/>
    <mergeCell ref="Q90:R90"/>
    <mergeCell ref="S90:T90"/>
    <mergeCell ref="U90:V90"/>
    <mergeCell ref="W90:X90"/>
    <mergeCell ref="A90:B90"/>
    <mergeCell ref="C90:D90"/>
    <mergeCell ref="E90:F90"/>
    <mergeCell ref="G90:H90"/>
    <mergeCell ref="I90:J90"/>
    <mergeCell ref="K90:L90"/>
    <mergeCell ref="M89:N89"/>
    <mergeCell ref="O89:P89"/>
    <mergeCell ref="Q89:R89"/>
    <mergeCell ref="S89:T89"/>
    <mergeCell ref="U89:V89"/>
    <mergeCell ref="W89:X89"/>
    <mergeCell ref="A89:B89"/>
    <mergeCell ref="C89:D89"/>
    <mergeCell ref="E89:F89"/>
    <mergeCell ref="G89:H89"/>
    <mergeCell ref="I89:J89"/>
    <mergeCell ref="K89:L89"/>
    <mergeCell ref="M88:N88"/>
    <mergeCell ref="O88:P88"/>
    <mergeCell ref="Q88:R88"/>
    <mergeCell ref="S88:T88"/>
    <mergeCell ref="U88:V88"/>
    <mergeCell ref="W88:X88"/>
    <mergeCell ref="A88:B88"/>
    <mergeCell ref="C88:D88"/>
    <mergeCell ref="E88:F88"/>
    <mergeCell ref="G88:H88"/>
    <mergeCell ref="I88:J88"/>
    <mergeCell ref="K88:L88"/>
    <mergeCell ref="M87:N87"/>
    <mergeCell ref="O87:P87"/>
    <mergeCell ref="Q87:R87"/>
    <mergeCell ref="S87:T87"/>
    <mergeCell ref="U87:V87"/>
    <mergeCell ref="W87:X87"/>
    <mergeCell ref="A87:B87"/>
    <mergeCell ref="C87:D87"/>
    <mergeCell ref="E87:F87"/>
    <mergeCell ref="G87:H87"/>
    <mergeCell ref="I87:J87"/>
    <mergeCell ref="K87:L87"/>
    <mergeCell ref="M86:N86"/>
    <mergeCell ref="O86:P86"/>
    <mergeCell ref="Q86:R86"/>
    <mergeCell ref="S86:T86"/>
    <mergeCell ref="U86:V86"/>
    <mergeCell ref="W86:X86"/>
    <mergeCell ref="A86:B86"/>
    <mergeCell ref="C86:D86"/>
    <mergeCell ref="E86:F86"/>
    <mergeCell ref="G86:H86"/>
    <mergeCell ref="I86:J86"/>
    <mergeCell ref="K86:L86"/>
    <mergeCell ref="M85:N85"/>
    <mergeCell ref="O85:P85"/>
    <mergeCell ref="Q85:R85"/>
    <mergeCell ref="S85:T85"/>
    <mergeCell ref="U85:V85"/>
    <mergeCell ref="W85:X85"/>
    <mergeCell ref="A85:B85"/>
    <mergeCell ref="C85:D85"/>
    <mergeCell ref="E85:F85"/>
    <mergeCell ref="G85:H85"/>
    <mergeCell ref="I85:J85"/>
    <mergeCell ref="K85:L85"/>
    <mergeCell ref="M84:N84"/>
    <mergeCell ref="O84:P84"/>
    <mergeCell ref="Q84:R84"/>
    <mergeCell ref="S84:T84"/>
    <mergeCell ref="U84:V84"/>
    <mergeCell ref="W84:X84"/>
    <mergeCell ref="A84:B84"/>
    <mergeCell ref="C84:D84"/>
    <mergeCell ref="E84:F84"/>
    <mergeCell ref="G84:H84"/>
    <mergeCell ref="I84:J84"/>
    <mergeCell ref="K84:L84"/>
    <mergeCell ref="M83:N83"/>
    <mergeCell ref="O83:P83"/>
    <mergeCell ref="Q83:R83"/>
    <mergeCell ref="S83:T83"/>
    <mergeCell ref="U83:V83"/>
    <mergeCell ref="W83:X83"/>
    <mergeCell ref="A83:B83"/>
    <mergeCell ref="C83:D83"/>
    <mergeCell ref="E83:F83"/>
    <mergeCell ref="G83:H83"/>
    <mergeCell ref="I83:J83"/>
    <mergeCell ref="K83:L83"/>
    <mergeCell ref="M82:N82"/>
    <mergeCell ref="O82:P82"/>
    <mergeCell ref="Q82:R82"/>
    <mergeCell ref="S82:T82"/>
    <mergeCell ref="U82:V82"/>
    <mergeCell ref="W82:X82"/>
    <mergeCell ref="A82:B82"/>
    <mergeCell ref="C82:D82"/>
    <mergeCell ref="E82:F82"/>
    <mergeCell ref="G82:H82"/>
    <mergeCell ref="I82:J82"/>
    <mergeCell ref="K82:L82"/>
    <mergeCell ref="M81:N81"/>
    <mergeCell ref="O81:P81"/>
    <mergeCell ref="Q81:R81"/>
    <mergeCell ref="S81:T81"/>
    <mergeCell ref="U81:V81"/>
    <mergeCell ref="W81:X81"/>
    <mergeCell ref="A81:B81"/>
    <mergeCell ref="C81:D81"/>
    <mergeCell ref="E81:F81"/>
    <mergeCell ref="G81:H81"/>
    <mergeCell ref="I81:J81"/>
    <mergeCell ref="K81:L81"/>
    <mergeCell ref="M80:N80"/>
    <mergeCell ref="O80:P80"/>
    <mergeCell ref="Q80:R80"/>
    <mergeCell ref="S80:T80"/>
    <mergeCell ref="U80:V80"/>
    <mergeCell ref="W80:X80"/>
    <mergeCell ref="A80:B80"/>
    <mergeCell ref="C80:D80"/>
    <mergeCell ref="E80:F80"/>
    <mergeCell ref="G80:H80"/>
    <mergeCell ref="I80:J80"/>
    <mergeCell ref="K80:L80"/>
    <mergeCell ref="M79:N79"/>
    <mergeCell ref="O79:P79"/>
    <mergeCell ref="Q79:R79"/>
    <mergeCell ref="S79:T79"/>
    <mergeCell ref="U79:V79"/>
    <mergeCell ref="W79:X79"/>
    <mergeCell ref="A79:B79"/>
    <mergeCell ref="C79:D79"/>
    <mergeCell ref="E79:F79"/>
    <mergeCell ref="G79:H79"/>
    <mergeCell ref="I79:J79"/>
    <mergeCell ref="K79:L79"/>
    <mergeCell ref="M78:N78"/>
    <mergeCell ref="O78:P78"/>
    <mergeCell ref="Q78:R78"/>
    <mergeCell ref="S78:T78"/>
    <mergeCell ref="U78:V78"/>
    <mergeCell ref="W78:X78"/>
    <mergeCell ref="A78:B78"/>
    <mergeCell ref="C78:D78"/>
    <mergeCell ref="E78:F78"/>
    <mergeCell ref="G78:H78"/>
    <mergeCell ref="I78:J78"/>
    <mergeCell ref="K78:L78"/>
    <mergeCell ref="M77:N77"/>
    <mergeCell ref="O77:P77"/>
    <mergeCell ref="Q77:R77"/>
    <mergeCell ref="S77:T77"/>
    <mergeCell ref="U77:V77"/>
    <mergeCell ref="W77:X77"/>
    <mergeCell ref="A77:B77"/>
    <mergeCell ref="C77:D77"/>
    <mergeCell ref="E77:F77"/>
    <mergeCell ref="G77:H77"/>
    <mergeCell ref="I77:J77"/>
    <mergeCell ref="K77:L77"/>
    <mergeCell ref="M76:N76"/>
    <mergeCell ref="O76:P76"/>
    <mergeCell ref="Q76:R76"/>
    <mergeCell ref="S76:T76"/>
    <mergeCell ref="U76:V76"/>
    <mergeCell ref="W76:X76"/>
    <mergeCell ref="A76:B76"/>
    <mergeCell ref="C76:D76"/>
    <mergeCell ref="E76:F76"/>
    <mergeCell ref="G76:H76"/>
    <mergeCell ref="I76:J76"/>
    <mergeCell ref="K76:L76"/>
    <mergeCell ref="M75:N75"/>
    <mergeCell ref="O75:P75"/>
    <mergeCell ref="Q75:R75"/>
    <mergeCell ref="S75:T75"/>
    <mergeCell ref="U75:V75"/>
    <mergeCell ref="W75:X75"/>
    <mergeCell ref="A75:B75"/>
    <mergeCell ref="C75:D75"/>
    <mergeCell ref="E75:F75"/>
    <mergeCell ref="G75:H75"/>
    <mergeCell ref="I75:J75"/>
    <mergeCell ref="K75:L75"/>
    <mergeCell ref="M74:N74"/>
    <mergeCell ref="O74:P74"/>
    <mergeCell ref="Q74:R74"/>
    <mergeCell ref="S74:T74"/>
    <mergeCell ref="U74:V74"/>
    <mergeCell ref="W74:X74"/>
    <mergeCell ref="A74:B74"/>
    <mergeCell ref="C74:D74"/>
    <mergeCell ref="E74:F74"/>
    <mergeCell ref="G74:H74"/>
    <mergeCell ref="I74:J74"/>
    <mergeCell ref="K74:L74"/>
    <mergeCell ref="M73:N73"/>
    <mergeCell ref="O73:P73"/>
    <mergeCell ref="Q73:R73"/>
    <mergeCell ref="S73:T73"/>
    <mergeCell ref="U73:V73"/>
    <mergeCell ref="W73:X73"/>
    <mergeCell ref="A73:B73"/>
    <mergeCell ref="C73:D73"/>
    <mergeCell ref="E73:F73"/>
    <mergeCell ref="G73:H73"/>
    <mergeCell ref="I73:J73"/>
    <mergeCell ref="K73:L73"/>
    <mergeCell ref="M72:N72"/>
    <mergeCell ref="O72:P72"/>
    <mergeCell ref="Q72:R72"/>
    <mergeCell ref="S72:T72"/>
    <mergeCell ref="U72:V72"/>
    <mergeCell ref="W72:X72"/>
    <mergeCell ref="A72:B72"/>
    <mergeCell ref="C72:D72"/>
    <mergeCell ref="E72:F72"/>
    <mergeCell ref="G72:H72"/>
    <mergeCell ref="I72:J72"/>
    <mergeCell ref="K72:L72"/>
    <mergeCell ref="M71:N71"/>
    <mergeCell ref="O71:P71"/>
    <mergeCell ref="Q71:R71"/>
    <mergeCell ref="S71:T71"/>
    <mergeCell ref="U71:V71"/>
    <mergeCell ref="W71:X71"/>
    <mergeCell ref="A71:B71"/>
    <mergeCell ref="C71:D71"/>
    <mergeCell ref="E71:F71"/>
    <mergeCell ref="G71:H71"/>
    <mergeCell ref="I71:J71"/>
    <mergeCell ref="K71:L71"/>
    <mergeCell ref="M70:N70"/>
    <mergeCell ref="O70:P70"/>
    <mergeCell ref="Q70:R70"/>
    <mergeCell ref="S70:T70"/>
    <mergeCell ref="U70:V70"/>
    <mergeCell ref="W70:X70"/>
    <mergeCell ref="A70:B70"/>
    <mergeCell ref="C70:D70"/>
    <mergeCell ref="E70:F70"/>
    <mergeCell ref="G70:H70"/>
    <mergeCell ref="I70:J70"/>
    <mergeCell ref="K70:L70"/>
    <mergeCell ref="M69:N69"/>
    <mergeCell ref="O69:P69"/>
    <mergeCell ref="Q69:R69"/>
    <mergeCell ref="S69:T69"/>
    <mergeCell ref="U69:V69"/>
    <mergeCell ref="W69:X69"/>
    <mergeCell ref="A69:B69"/>
    <mergeCell ref="C69:D69"/>
    <mergeCell ref="E69:F69"/>
    <mergeCell ref="G69:H69"/>
    <mergeCell ref="I69:J69"/>
    <mergeCell ref="K69:L69"/>
    <mergeCell ref="M68:N68"/>
    <mergeCell ref="O68:P68"/>
    <mergeCell ref="Q68:R68"/>
    <mergeCell ref="S68:T68"/>
    <mergeCell ref="U68:V68"/>
    <mergeCell ref="W68:X68"/>
    <mergeCell ref="A68:B68"/>
    <mergeCell ref="C68:D68"/>
    <mergeCell ref="E68:F68"/>
    <mergeCell ref="G68:H68"/>
    <mergeCell ref="I68:J68"/>
    <mergeCell ref="K68:L68"/>
    <mergeCell ref="M67:N67"/>
    <mergeCell ref="O67:P67"/>
    <mergeCell ref="Q67:R67"/>
    <mergeCell ref="S67:T67"/>
    <mergeCell ref="U67:V67"/>
    <mergeCell ref="W67:X67"/>
    <mergeCell ref="A67:B67"/>
    <mergeCell ref="C67:D67"/>
    <mergeCell ref="E67:F67"/>
    <mergeCell ref="G67:H67"/>
    <mergeCell ref="I67:J67"/>
    <mergeCell ref="K67:L67"/>
    <mergeCell ref="M66:N66"/>
    <mergeCell ref="O66:P66"/>
    <mergeCell ref="Q66:R66"/>
    <mergeCell ref="S66:T66"/>
    <mergeCell ref="U66:V66"/>
    <mergeCell ref="W66:X66"/>
    <mergeCell ref="A66:B66"/>
    <mergeCell ref="C66:D66"/>
    <mergeCell ref="E66:F66"/>
    <mergeCell ref="G66:H66"/>
    <mergeCell ref="I66:J66"/>
    <mergeCell ref="K66:L66"/>
    <mergeCell ref="M65:N65"/>
    <mergeCell ref="O65:P65"/>
    <mergeCell ref="Q65:R65"/>
    <mergeCell ref="S65:T65"/>
    <mergeCell ref="U65:V65"/>
    <mergeCell ref="W65:X65"/>
    <mergeCell ref="A65:B65"/>
    <mergeCell ref="C65:D65"/>
    <mergeCell ref="E65:F65"/>
    <mergeCell ref="G65:H65"/>
    <mergeCell ref="I65:J65"/>
    <mergeCell ref="K65:L65"/>
    <mergeCell ref="M64:N64"/>
    <mergeCell ref="O64:P64"/>
    <mergeCell ref="Q64:R64"/>
    <mergeCell ref="S64:T64"/>
    <mergeCell ref="U64:V64"/>
    <mergeCell ref="W64:X64"/>
    <mergeCell ref="A64:B64"/>
    <mergeCell ref="C64:D64"/>
    <mergeCell ref="E64:F64"/>
    <mergeCell ref="G64:H64"/>
    <mergeCell ref="I64:J64"/>
    <mergeCell ref="K64:L64"/>
    <mergeCell ref="M63:N63"/>
    <mergeCell ref="O63:P63"/>
    <mergeCell ref="Q63:R63"/>
    <mergeCell ref="S63:T63"/>
    <mergeCell ref="U63:V63"/>
    <mergeCell ref="W63:X63"/>
    <mergeCell ref="A63:B63"/>
    <mergeCell ref="C63:D63"/>
    <mergeCell ref="E63:F63"/>
    <mergeCell ref="G63:H63"/>
    <mergeCell ref="I63:J63"/>
    <mergeCell ref="K63:L63"/>
    <mergeCell ref="M62:N62"/>
    <mergeCell ref="O62:P62"/>
    <mergeCell ref="Q62:R62"/>
    <mergeCell ref="S62:T62"/>
    <mergeCell ref="U62:V62"/>
    <mergeCell ref="W62:X62"/>
    <mergeCell ref="A62:B62"/>
    <mergeCell ref="C62:D62"/>
    <mergeCell ref="E62:F62"/>
    <mergeCell ref="G62:H62"/>
    <mergeCell ref="I62:J62"/>
    <mergeCell ref="K62:L62"/>
    <mergeCell ref="M61:N61"/>
    <mergeCell ref="O61:P61"/>
    <mergeCell ref="Q61:R61"/>
    <mergeCell ref="S61:T61"/>
    <mergeCell ref="U61:V61"/>
    <mergeCell ref="W61:X61"/>
    <mergeCell ref="A61:B61"/>
    <mergeCell ref="C61:D61"/>
    <mergeCell ref="E61:F61"/>
    <mergeCell ref="G61:H61"/>
    <mergeCell ref="I61:J61"/>
    <mergeCell ref="K61:L61"/>
    <mergeCell ref="M60:N60"/>
    <mergeCell ref="O60:P60"/>
    <mergeCell ref="Q60:R60"/>
    <mergeCell ref="S60:T60"/>
    <mergeCell ref="U60:V60"/>
    <mergeCell ref="W60:X60"/>
    <mergeCell ref="A60:B60"/>
    <mergeCell ref="C60:D60"/>
    <mergeCell ref="E60:F60"/>
    <mergeCell ref="G60:H60"/>
    <mergeCell ref="I60:J60"/>
    <mergeCell ref="K60:L60"/>
    <mergeCell ref="M59:N59"/>
    <mergeCell ref="O59:P59"/>
    <mergeCell ref="Q59:R59"/>
    <mergeCell ref="S59:T59"/>
    <mergeCell ref="U59:V59"/>
    <mergeCell ref="W59:X59"/>
    <mergeCell ref="A59:B59"/>
    <mergeCell ref="C59:D59"/>
    <mergeCell ref="E59:F59"/>
    <mergeCell ref="G59:H59"/>
    <mergeCell ref="I59:J59"/>
    <mergeCell ref="K59:L59"/>
    <mergeCell ref="M58:N58"/>
    <mergeCell ref="O58:P58"/>
    <mergeCell ref="Q58:R58"/>
    <mergeCell ref="S58:T58"/>
    <mergeCell ref="U58:V58"/>
    <mergeCell ref="W58:X58"/>
    <mergeCell ref="A58:B58"/>
    <mergeCell ref="C58:D58"/>
    <mergeCell ref="E58:F58"/>
    <mergeCell ref="G58:H58"/>
    <mergeCell ref="I58:J58"/>
    <mergeCell ref="K58:L58"/>
    <mergeCell ref="M57:N57"/>
    <mergeCell ref="O57:P57"/>
    <mergeCell ref="Q57:R57"/>
    <mergeCell ref="S57:T57"/>
    <mergeCell ref="U57:V57"/>
    <mergeCell ref="W57:X57"/>
    <mergeCell ref="A57:B57"/>
    <mergeCell ref="C57:D57"/>
    <mergeCell ref="E57:F57"/>
    <mergeCell ref="G57:H57"/>
    <mergeCell ref="I57:J57"/>
    <mergeCell ref="K57:L57"/>
    <mergeCell ref="M56:N56"/>
    <mergeCell ref="O56:P56"/>
    <mergeCell ref="Q56:R56"/>
    <mergeCell ref="S56:T56"/>
    <mergeCell ref="U56:V56"/>
    <mergeCell ref="W56:X56"/>
    <mergeCell ref="A56:B56"/>
    <mergeCell ref="C56:D56"/>
    <mergeCell ref="E56:F56"/>
    <mergeCell ref="G56:H56"/>
    <mergeCell ref="I56:J56"/>
    <mergeCell ref="K56:L56"/>
    <mergeCell ref="M55:N55"/>
    <mergeCell ref="O55:P55"/>
    <mergeCell ref="Q55:R55"/>
    <mergeCell ref="S55:T55"/>
    <mergeCell ref="U55:V55"/>
    <mergeCell ref="W55:X55"/>
    <mergeCell ref="A55:B55"/>
    <mergeCell ref="C55:D55"/>
    <mergeCell ref="E55:F55"/>
    <mergeCell ref="G55:H55"/>
    <mergeCell ref="I55:J55"/>
    <mergeCell ref="K55:L55"/>
    <mergeCell ref="M54:N54"/>
    <mergeCell ref="O54:P54"/>
    <mergeCell ref="Q54:R54"/>
    <mergeCell ref="S54:T54"/>
    <mergeCell ref="U54:V54"/>
    <mergeCell ref="W54:X54"/>
    <mergeCell ref="A54:B54"/>
    <mergeCell ref="C54:D54"/>
    <mergeCell ref="E54:F54"/>
    <mergeCell ref="G54:H54"/>
    <mergeCell ref="I54:J54"/>
    <mergeCell ref="K54:L54"/>
    <mergeCell ref="M53:N53"/>
    <mergeCell ref="O53:P53"/>
    <mergeCell ref="Q53:R53"/>
    <mergeCell ref="S53:T53"/>
    <mergeCell ref="U53:V53"/>
    <mergeCell ref="W53:X53"/>
    <mergeCell ref="A53:B53"/>
    <mergeCell ref="C53:D53"/>
    <mergeCell ref="E53:F53"/>
    <mergeCell ref="G53:H53"/>
    <mergeCell ref="I53:J53"/>
    <mergeCell ref="K53:L53"/>
    <mergeCell ref="M52:N52"/>
    <mergeCell ref="O52:P52"/>
    <mergeCell ref="Q52:R52"/>
    <mergeCell ref="S52:T52"/>
    <mergeCell ref="U52:V52"/>
    <mergeCell ref="W52:X52"/>
    <mergeCell ref="A52:B52"/>
    <mergeCell ref="C52:D52"/>
    <mergeCell ref="E52:F52"/>
    <mergeCell ref="G52:H52"/>
    <mergeCell ref="I52:J52"/>
    <mergeCell ref="K52:L52"/>
    <mergeCell ref="M51:N51"/>
    <mergeCell ref="O51:P51"/>
    <mergeCell ref="Q51:R51"/>
    <mergeCell ref="S51:T51"/>
    <mergeCell ref="U51:V51"/>
    <mergeCell ref="W51:X51"/>
    <mergeCell ref="A51:B51"/>
    <mergeCell ref="C51:D51"/>
    <mergeCell ref="E51:F51"/>
    <mergeCell ref="G51:H51"/>
    <mergeCell ref="I51:J51"/>
    <mergeCell ref="K51:L51"/>
    <mergeCell ref="M50:N50"/>
    <mergeCell ref="O50:P50"/>
    <mergeCell ref="Q50:R50"/>
    <mergeCell ref="S50:T50"/>
    <mergeCell ref="U50:V50"/>
    <mergeCell ref="W50:X50"/>
    <mergeCell ref="A50:B50"/>
    <mergeCell ref="C50:D50"/>
    <mergeCell ref="E50:F50"/>
    <mergeCell ref="G50:H50"/>
    <mergeCell ref="I50:J50"/>
    <mergeCell ref="K50:L50"/>
    <mergeCell ref="M49:N49"/>
    <mergeCell ref="O49:P49"/>
    <mergeCell ref="Q49:R49"/>
    <mergeCell ref="S49:T49"/>
    <mergeCell ref="U49:V49"/>
    <mergeCell ref="W49:X49"/>
    <mergeCell ref="A49:B49"/>
    <mergeCell ref="C49:D49"/>
    <mergeCell ref="E49:F49"/>
    <mergeCell ref="G49:H49"/>
    <mergeCell ref="I49:J49"/>
    <mergeCell ref="K49:L49"/>
    <mergeCell ref="M48:N48"/>
    <mergeCell ref="O48:P48"/>
    <mergeCell ref="Q48:R48"/>
    <mergeCell ref="S48:T48"/>
    <mergeCell ref="U48:V48"/>
    <mergeCell ref="W48:X48"/>
    <mergeCell ref="A48:B48"/>
    <mergeCell ref="C48:D48"/>
    <mergeCell ref="E48:F48"/>
    <mergeCell ref="G48:H48"/>
    <mergeCell ref="I48:J48"/>
    <mergeCell ref="K48:L48"/>
    <mergeCell ref="M47:N47"/>
    <mergeCell ref="O47:P47"/>
    <mergeCell ref="Q47:R47"/>
    <mergeCell ref="S47:T47"/>
    <mergeCell ref="U47:V47"/>
    <mergeCell ref="W47:X47"/>
    <mergeCell ref="A47:B47"/>
    <mergeCell ref="C47:D47"/>
    <mergeCell ref="E47:F47"/>
    <mergeCell ref="G47:H47"/>
    <mergeCell ref="I47:J47"/>
    <mergeCell ref="K47:L47"/>
    <mergeCell ref="M46:N46"/>
    <mergeCell ref="O46:P46"/>
    <mergeCell ref="Q46:R46"/>
    <mergeCell ref="S46:T46"/>
    <mergeCell ref="U46:V46"/>
    <mergeCell ref="W46:X46"/>
    <mergeCell ref="A46:B46"/>
    <mergeCell ref="C46:D46"/>
    <mergeCell ref="E46:F46"/>
    <mergeCell ref="G46:H46"/>
    <mergeCell ref="I46:J46"/>
    <mergeCell ref="K46:L46"/>
    <mergeCell ref="M45:N45"/>
    <mergeCell ref="O45:P45"/>
    <mergeCell ref="Q45:R45"/>
    <mergeCell ref="S45:T45"/>
    <mergeCell ref="U45:V45"/>
    <mergeCell ref="W45:X45"/>
    <mergeCell ref="A45:B45"/>
    <mergeCell ref="C45:D45"/>
    <mergeCell ref="E45:F45"/>
    <mergeCell ref="G45:H45"/>
    <mergeCell ref="I45:J45"/>
    <mergeCell ref="K45:L45"/>
    <mergeCell ref="M44:N44"/>
    <mergeCell ref="O44:P44"/>
    <mergeCell ref="Q44:R44"/>
    <mergeCell ref="S44:T44"/>
    <mergeCell ref="U44:V44"/>
    <mergeCell ref="W44:X44"/>
    <mergeCell ref="A44:B44"/>
    <mergeCell ref="C44:D44"/>
    <mergeCell ref="E44:F44"/>
    <mergeCell ref="G44:H44"/>
    <mergeCell ref="I44:J44"/>
    <mergeCell ref="K44:L44"/>
    <mergeCell ref="M43:N43"/>
    <mergeCell ref="O43:P43"/>
    <mergeCell ref="Q43:R43"/>
    <mergeCell ref="S43:T43"/>
    <mergeCell ref="U43:V43"/>
    <mergeCell ref="W43:X43"/>
    <mergeCell ref="A43:B43"/>
    <mergeCell ref="C43:D43"/>
    <mergeCell ref="E43:F43"/>
    <mergeCell ref="G43:H43"/>
    <mergeCell ref="I43:J43"/>
    <mergeCell ref="K43:L43"/>
    <mergeCell ref="M42:N42"/>
    <mergeCell ref="O42:P42"/>
    <mergeCell ref="Q42:R42"/>
    <mergeCell ref="S42:T42"/>
    <mergeCell ref="U42:V42"/>
    <mergeCell ref="W42:X42"/>
    <mergeCell ref="A42:B42"/>
    <mergeCell ref="C42:D42"/>
    <mergeCell ref="E42:F42"/>
    <mergeCell ref="G42:H42"/>
    <mergeCell ref="I42:J42"/>
    <mergeCell ref="K42:L42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M40:N40"/>
    <mergeCell ref="O40:P40"/>
    <mergeCell ref="Q40:R40"/>
    <mergeCell ref="S40:T40"/>
    <mergeCell ref="U40:V40"/>
    <mergeCell ref="W40:X40"/>
    <mergeCell ref="A40:B40"/>
    <mergeCell ref="C40:D40"/>
    <mergeCell ref="E40:F40"/>
    <mergeCell ref="G40:H40"/>
    <mergeCell ref="I40:J40"/>
    <mergeCell ref="K40:L40"/>
    <mergeCell ref="M39:N39"/>
    <mergeCell ref="O39:P39"/>
    <mergeCell ref="Q39:R39"/>
    <mergeCell ref="S39:T39"/>
    <mergeCell ref="U39:V39"/>
    <mergeCell ref="W39:X39"/>
    <mergeCell ref="A39:B39"/>
    <mergeCell ref="C39:D39"/>
    <mergeCell ref="E39:F39"/>
    <mergeCell ref="G39:H39"/>
    <mergeCell ref="I39:J39"/>
    <mergeCell ref="K39:L39"/>
    <mergeCell ref="M38:N38"/>
    <mergeCell ref="O38:P38"/>
    <mergeCell ref="Q38:R38"/>
    <mergeCell ref="S38:T38"/>
    <mergeCell ref="U38:V38"/>
    <mergeCell ref="W38:X38"/>
    <mergeCell ref="A38:B38"/>
    <mergeCell ref="C38:D38"/>
    <mergeCell ref="E38:F38"/>
    <mergeCell ref="G38:H38"/>
    <mergeCell ref="I38:J38"/>
    <mergeCell ref="K38:L38"/>
    <mergeCell ref="M37:N37"/>
    <mergeCell ref="O37:P37"/>
    <mergeCell ref="Q37:R37"/>
    <mergeCell ref="S37:T37"/>
    <mergeCell ref="U37:V37"/>
    <mergeCell ref="W37:X37"/>
    <mergeCell ref="A37:B37"/>
    <mergeCell ref="C37:D37"/>
    <mergeCell ref="E37:F37"/>
    <mergeCell ref="G37:H37"/>
    <mergeCell ref="I37:J37"/>
    <mergeCell ref="K37:L37"/>
    <mergeCell ref="M36:N36"/>
    <mergeCell ref="O36:P36"/>
    <mergeCell ref="Q36:R36"/>
    <mergeCell ref="S36:T36"/>
    <mergeCell ref="U36:V36"/>
    <mergeCell ref="W36:X36"/>
    <mergeCell ref="A36:B36"/>
    <mergeCell ref="C36:D36"/>
    <mergeCell ref="E36:F36"/>
    <mergeCell ref="G36:H36"/>
    <mergeCell ref="I36:J36"/>
    <mergeCell ref="K36:L36"/>
    <mergeCell ref="M35:N35"/>
    <mergeCell ref="O35:P35"/>
    <mergeCell ref="Q35:R35"/>
    <mergeCell ref="S35:T35"/>
    <mergeCell ref="U35:V35"/>
    <mergeCell ref="W35:X35"/>
    <mergeCell ref="A35:B35"/>
    <mergeCell ref="C35:D35"/>
    <mergeCell ref="E35:F35"/>
    <mergeCell ref="G35:H35"/>
    <mergeCell ref="I35:J35"/>
    <mergeCell ref="K35:L35"/>
    <mergeCell ref="M34:N34"/>
    <mergeCell ref="O34:P34"/>
    <mergeCell ref="Q34:R34"/>
    <mergeCell ref="S34:T34"/>
    <mergeCell ref="U34:V34"/>
    <mergeCell ref="W34:X34"/>
    <mergeCell ref="C34:D34"/>
    <mergeCell ref="E34:F34"/>
    <mergeCell ref="G34:H34"/>
    <mergeCell ref="I34:J34"/>
    <mergeCell ref="K34:L34"/>
    <mergeCell ref="M33:N33"/>
    <mergeCell ref="O33:P33"/>
    <mergeCell ref="Q33:R33"/>
    <mergeCell ref="S33:T33"/>
    <mergeCell ref="U33:V33"/>
    <mergeCell ref="W33:X33"/>
    <mergeCell ref="C33:D33"/>
    <mergeCell ref="E33:F33"/>
    <mergeCell ref="G33:H33"/>
    <mergeCell ref="I33:J33"/>
    <mergeCell ref="K33:L33"/>
    <mergeCell ref="M32:N32"/>
    <mergeCell ref="O32:P32"/>
    <mergeCell ref="Q32:R32"/>
    <mergeCell ref="S32:T32"/>
    <mergeCell ref="U32:V32"/>
    <mergeCell ref="W32:X32"/>
    <mergeCell ref="C32:D32"/>
    <mergeCell ref="E32:F32"/>
    <mergeCell ref="G32:H32"/>
    <mergeCell ref="I32:J32"/>
    <mergeCell ref="K32:L32"/>
    <mergeCell ref="M31:N31"/>
    <mergeCell ref="O31:P31"/>
    <mergeCell ref="Q31:R31"/>
    <mergeCell ref="S31:T31"/>
    <mergeCell ref="U31:V31"/>
    <mergeCell ref="W31:X31"/>
    <mergeCell ref="C31:D31"/>
    <mergeCell ref="E31:F31"/>
    <mergeCell ref="G31:H31"/>
    <mergeCell ref="I31:J31"/>
    <mergeCell ref="K31:L31"/>
    <mergeCell ref="M30:N30"/>
    <mergeCell ref="O30:P30"/>
    <mergeCell ref="Q30:R30"/>
    <mergeCell ref="S30:T30"/>
    <mergeCell ref="U30:V30"/>
    <mergeCell ref="W30:X30"/>
    <mergeCell ref="C30:D30"/>
    <mergeCell ref="E30:F30"/>
    <mergeCell ref="G30:H30"/>
    <mergeCell ref="I30:J30"/>
    <mergeCell ref="K30:L30"/>
    <mergeCell ref="M29:N29"/>
    <mergeCell ref="O29:P29"/>
    <mergeCell ref="Q29:R29"/>
    <mergeCell ref="S29:T29"/>
    <mergeCell ref="U29:V29"/>
    <mergeCell ref="W29:X29"/>
    <mergeCell ref="C29:D29"/>
    <mergeCell ref="E29:F29"/>
    <mergeCell ref="G29:H29"/>
    <mergeCell ref="I29:J29"/>
    <mergeCell ref="K29:L29"/>
    <mergeCell ref="M28:N28"/>
    <mergeCell ref="O28:P28"/>
    <mergeCell ref="Q28:R28"/>
    <mergeCell ref="S28:T28"/>
    <mergeCell ref="U28:V28"/>
    <mergeCell ref="W28:X28"/>
    <mergeCell ref="C28:D28"/>
    <mergeCell ref="E28:F28"/>
    <mergeCell ref="G28:H28"/>
    <mergeCell ref="I28:J28"/>
    <mergeCell ref="K28:L28"/>
    <mergeCell ref="M27:N27"/>
    <mergeCell ref="O27:P27"/>
    <mergeCell ref="Q27:R27"/>
    <mergeCell ref="S27:T27"/>
    <mergeCell ref="U27:V27"/>
    <mergeCell ref="W27:X27"/>
    <mergeCell ref="C27:D27"/>
    <mergeCell ref="E27:F27"/>
    <mergeCell ref="G27:H27"/>
    <mergeCell ref="I27:J27"/>
    <mergeCell ref="K27:L27"/>
    <mergeCell ref="M26:N26"/>
    <mergeCell ref="O26:P26"/>
    <mergeCell ref="Q26:R26"/>
    <mergeCell ref="S26:T26"/>
    <mergeCell ref="U26:V26"/>
    <mergeCell ref="W26:X26"/>
    <mergeCell ref="C26:D26"/>
    <mergeCell ref="E26:F26"/>
    <mergeCell ref="G26:H26"/>
    <mergeCell ref="I26:J26"/>
    <mergeCell ref="K26:L26"/>
    <mergeCell ref="M25:N25"/>
    <mergeCell ref="O25:P25"/>
    <mergeCell ref="Q25:R25"/>
    <mergeCell ref="S25:T25"/>
    <mergeCell ref="U25:V25"/>
    <mergeCell ref="W25:X25"/>
    <mergeCell ref="C25:D25"/>
    <mergeCell ref="E25:F25"/>
    <mergeCell ref="G25:H25"/>
    <mergeCell ref="I25:J25"/>
    <mergeCell ref="K25:L25"/>
    <mergeCell ref="M24:N24"/>
    <mergeCell ref="O24:P24"/>
    <mergeCell ref="Q24:R24"/>
    <mergeCell ref="S24:T24"/>
    <mergeCell ref="U24:V24"/>
    <mergeCell ref="W24:X24"/>
    <mergeCell ref="C24:D24"/>
    <mergeCell ref="E24:F24"/>
    <mergeCell ref="G24:H24"/>
    <mergeCell ref="I24:J24"/>
    <mergeCell ref="K24:L24"/>
    <mergeCell ref="M23:N23"/>
    <mergeCell ref="O23:P23"/>
    <mergeCell ref="Q23:R23"/>
    <mergeCell ref="S23:T23"/>
    <mergeCell ref="U23:V23"/>
    <mergeCell ref="W23:X23"/>
    <mergeCell ref="C23:D23"/>
    <mergeCell ref="E23:F23"/>
    <mergeCell ref="G23:H23"/>
    <mergeCell ref="I23:J23"/>
    <mergeCell ref="K23:L23"/>
    <mergeCell ref="M22:N22"/>
    <mergeCell ref="O22:P22"/>
    <mergeCell ref="Q22:R22"/>
    <mergeCell ref="S22:T22"/>
    <mergeCell ref="U22:V22"/>
    <mergeCell ref="W22:X22"/>
    <mergeCell ref="C22:D22"/>
    <mergeCell ref="E22:F22"/>
    <mergeCell ref="G22:H22"/>
    <mergeCell ref="I22:J22"/>
    <mergeCell ref="K22:L22"/>
    <mergeCell ref="M21:N21"/>
    <mergeCell ref="O21:P21"/>
    <mergeCell ref="Q21:R21"/>
    <mergeCell ref="S21:T21"/>
    <mergeCell ref="U21:V21"/>
    <mergeCell ref="W21:X21"/>
    <mergeCell ref="C21:D21"/>
    <mergeCell ref="E21:F21"/>
    <mergeCell ref="G21:H21"/>
    <mergeCell ref="I21:J21"/>
    <mergeCell ref="K21:L21"/>
    <mergeCell ref="M20:N20"/>
    <mergeCell ref="O20:P20"/>
    <mergeCell ref="Q20:R20"/>
    <mergeCell ref="S20:T20"/>
    <mergeCell ref="U20:V20"/>
    <mergeCell ref="W20:X20"/>
    <mergeCell ref="C20:D20"/>
    <mergeCell ref="E20:F20"/>
    <mergeCell ref="G20:H20"/>
    <mergeCell ref="I20:J20"/>
    <mergeCell ref="K20:L20"/>
    <mergeCell ref="M19:N19"/>
    <mergeCell ref="O19:P19"/>
    <mergeCell ref="Q19:R19"/>
    <mergeCell ref="S19:T19"/>
    <mergeCell ref="U19:V19"/>
    <mergeCell ref="W19:X19"/>
    <mergeCell ref="C19:D19"/>
    <mergeCell ref="E19:F19"/>
    <mergeCell ref="G19:H19"/>
    <mergeCell ref="I19:J19"/>
    <mergeCell ref="K19:L19"/>
    <mergeCell ref="K15:L15"/>
    <mergeCell ref="M18:N18"/>
    <mergeCell ref="O18:P18"/>
    <mergeCell ref="Q18:R18"/>
    <mergeCell ref="S18:T18"/>
    <mergeCell ref="U18:V18"/>
    <mergeCell ref="W18:X18"/>
    <mergeCell ref="C18:D18"/>
    <mergeCell ref="E18:F18"/>
    <mergeCell ref="G18:H18"/>
    <mergeCell ref="I18:J18"/>
    <mergeCell ref="K18:L18"/>
    <mergeCell ref="M17:N17"/>
    <mergeCell ref="O17:P17"/>
    <mergeCell ref="Q17:R17"/>
    <mergeCell ref="S17:T17"/>
    <mergeCell ref="U17:V17"/>
    <mergeCell ref="W17:X17"/>
    <mergeCell ref="C17:D17"/>
    <mergeCell ref="E17:F17"/>
    <mergeCell ref="G17:H17"/>
    <mergeCell ref="I17:J17"/>
    <mergeCell ref="K17:L17"/>
    <mergeCell ref="M14:N14"/>
    <mergeCell ref="O14:P14"/>
    <mergeCell ref="Q14:R14"/>
    <mergeCell ref="S14:T14"/>
    <mergeCell ref="U14:V14"/>
    <mergeCell ref="W14:X14"/>
    <mergeCell ref="C14:D14"/>
    <mergeCell ref="E14:F14"/>
    <mergeCell ref="G14:H14"/>
    <mergeCell ref="I14:J14"/>
    <mergeCell ref="K14:L14"/>
    <mergeCell ref="M16:N16"/>
    <mergeCell ref="O16:P16"/>
    <mergeCell ref="Q16:R16"/>
    <mergeCell ref="S16:T16"/>
    <mergeCell ref="U16:V16"/>
    <mergeCell ref="W16:X16"/>
    <mergeCell ref="C16:D16"/>
    <mergeCell ref="E16:F16"/>
    <mergeCell ref="G16:H16"/>
    <mergeCell ref="I16:J16"/>
    <mergeCell ref="K16:L16"/>
    <mergeCell ref="M15:N15"/>
    <mergeCell ref="O15:P15"/>
    <mergeCell ref="Q15:R15"/>
    <mergeCell ref="S15:T15"/>
    <mergeCell ref="U15:V15"/>
    <mergeCell ref="W15:X15"/>
    <mergeCell ref="C15:D15"/>
    <mergeCell ref="E15:F15"/>
    <mergeCell ref="G15:H15"/>
    <mergeCell ref="I15:J15"/>
    <mergeCell ref="AB1:AC2"/>
    <mergeCell ref="A1:B4"/>
    <mergeCell ref="W3:X4"/>
    <mergeCell ref="S1:X2"/>
    <mergeCell ref="C1:D4"/>
    <mergeCell ref="E1:F4"/>
    <mergeCell ref="O3:P4"/>
    <mergeCell ref="Q3:R4"/>
    <mergeCell ref="K1:R2"/>
    <mergeCell ref="S3:T4"/>
    <mergeCell ref="U3:V4"/>
    <mergeCell ref="G1:J2"/>
    <mergeCell ref="G3:H4"/>
    <mergeCell ref="I3:J4"/>
    <mergeCell ref="K3:L4"/>
    <mergeCell ref="M3:N4"/>
    <mergeCell ref="AB3:AC4"/>
  </mergeCells>
  <phoneticPr fontId="12" type="noConversion"/>
  <conditionalFormatting sqref="G5:G1048576">
    <cfRule type="cellIs" dxfId="31" priority="26" operator="greaterThan">
      <formula>74%</formula>
    </cfRule>
    <cfRule type="cellIs" dxfId="30" priority="27" operator="between">
      <formula>60%</formula>
      <formula>75%</formula>
    </cfRule>
    <cfRule type="cellIs" dxfId="29" priority="28" operator="lessThan">
      <formula>60%</formula>
    </cfRule>
  </conditionalFormatting>
  <conditionalFormatting sqref="I5:I1048576">
    <cfRule type="cellIs" dxfId="28" priority="23" operator="greaterThan">
      <formula>54%</formula>
    </cfRule>
    <cfRule type="cellIs" dxfId="27" priority="24" operator="between">
      <formula>40%</formula>
      <formula>55%</formula>
    </cfRule>
    <cfRule type="cellIs" dxfId="26" priority="25" operator="lessThan">
      <formula>40%</formula>
    </cfRule>
  </conditionalFormatting>
  <conditionalFormatting sqref="K5:K1048576">
    <cfRule type="cellIs" dxfId="25" priority="20" operator="greaterThan">
      <formula>74%</formula>
    </cfRule>
    <cfRule type="cellIs" dxfId="24" priority="21" operator="between">
      <formula>60%</formula>
      <formula>75%</formula>
    </cfRule>
    <cfRule type="cellIs" dxfId="23" priority="22" operator="lessThan">
      <formula>60%</formula>
    </cfRule>
  </conditionalFormatting>
  <conditionalFormatting sqref="M5:M1048576">
    <cfRule type="cellIs" dxfId="22" priority="17" operator="greaterThan">
      <formula>64%</formula>
    </cfRule>
    <cfRule type="cellIs" dxfId="21" priority="18" operator="between">
      <formula>50%</formula>
      <formula>65%</formula>
    </cfRule>
    <cfRule type="cellIs" dxfId="20" priority="19" operator="lessThan">
      <formula>50%</formula>
    </cfRule>
  </conditionalFormatting>
  <conditionalFormatting sqref="O5:O1048576">
    <cfRule type="cellIs" dxfId="19" priority="14" operator="greaterThan">
      <formula>48%</formula>
    </cfRule>
    <cfRule type="cellIs" dxfId="18" priority="15" operator="between">
      <formula>38%</formula>
      <formula>49%</formula>
    </cfRule>
    <cfRule type="cellIs" dxfId="17" priority="16" operator="lessThan">
      <formula>38%</formula>
    </cfRule>
  </conditionalFormatting>
  <conditionalFormatting sqref="Q5:Q1048576">
    <cfRule type="cellIs" dxfId="16" priority="11" operator="greaterThan">
      <formula>64%</formula>
    </cfRule>
    <cfRule type="cellIs" dxfId="15" priority="12" operator="between">
      <formula>50%</formula>
      <formula>65%</formula>
    </cfRule>
    <cfRule type="cellIs" dxfId="14" priority="13" operator="lessThan">
      <formula>50%</formula>
    </cfRule>
  </conditionalFormatting>
  <conditionalFormatting sqref="S5:S1048576">
    <cfRule type="cellIs" dxfId="13" priority="8" operator="greaterThan">
      <formula>69%</formula>
    </cfRule>
    <cfRule type="cellIs" dxfId="12" priority="9" operator="between">
      <formula>55%</formula>
      <formula>70%</formula>
    </cfRule>
    <cfRule type="cellIs" dxfId="11" priority="10" operator="lessThan">
      <formula>55%</formula>
    </cfRule>
  </conditionalFormatting>
  <conditionalFormatting sqref="U5:U1048576">
    <cfRule type="cellIs" dxfId="10" priority="5" operator="greaterThan">
      <formula>64%</formula>
    </cfRule>
    <cfRule type="cellIs" dxfId="9" priority="6" operator="between">
      <formula>50%</formula>
      <formula>65%</formula>
    </cfRule>
    <cfRule type="cellIs" dxfId="8" priority="7" operator="lessThan">
      <formula>50%</formula>
    </cfRule>
  </conditionalFormatting>
  <conditionalFormatting sqref="W5:W1048576">
    <cfRule type="cellIs" dxfId="7" priority="2" operator="greaterThan">
      <formula>59%</formula>
    </cfRule>
    <cfRule type="cellIs" dxfId="6" priority="3" operator="between">
      <formula>45%</formula>
      <formula>60%</formula>
    </cfRule>
    <cfRule type="cellIs" dxfId="5" priority="4" operator="lessThan">
      <formula>45%</formula>
    </cfRule>
  </conditionalFormatting>
  <conditionalFormatting sqref="G1:W1048576">
    <cfRule type="cellIs" dxfId="4" priority="1" operator="lessThan">
      <formula>5%</formula>
    </cfRule>
  </conditionalFormatting>
  <dataValidations count="1">
    <dataValidation type="list" allowBlank="1" showInputMessage="1" showErrorMessage="1" sqref="AB3" xr:uid="{76A7DC28-7ABE-46E9-A65A-15F9396BE96A}">
      <formula1>SlipNumbers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C200-B405-4ACD-B5E9-2DA33D235F4A}">
  <sheetPr codeName="Sheet3"/>
  <dimension ref="A1:H1685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5703125" bestFit="1" customWidth="1"/>
    <col min="6" max="6" width="28" bestFit="1" customWidth="1"/>
    <col min="7" max="7" width="30.8554687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1483595</v>
      </c>
      <c r="B2" t="s">
        <v>2584</v>
      </c>
      <c r="C2" t="s">
        <v>17</v>
      </c>
      <c r="D2" t="s">
        <v>358</v>
      </c>
      <c r="E2" t="s">
        <v>338</v>
      </c>
      <c r="F2" t="s">
        <v>702</v>
      </c>
      <c r="G2" t="s">
        <v>2585</v>
      </c>
      <c r="H2" t="s">
        <v>2586</v>
      </c>
    </row>
    <row r="3" spans="1:8" x14ac:dyDescent="0.25">
      <c r="A3">
        <v>1489156</v>
      </c>
      <c r="B3" t="s">
        <v>2584</v>
      </c>
      <c r="C3" t="s">
        <v>17</v>
      </c>
      <c r="D3" t="s">
        <v>31</v>
      </c>
      <c r="E3" t="s">
        <v>27</v>
      </c>
      <c r="F3" t="s">
        <v>2233</v>
      </c>
      <c r="G3" t="s">
        <v>432</v>
      </c>
      <c r="H3" t="s">
        <v>2587</v>
      </c>
    </row>
    <row r="4" spans="1:8" x14ac:dyDescent="0.25">
      <c r="A4">
        <v>1491984</v>
      </c>
      <c r="B4" t="s">
        <v>2584</v>
      </c>
      <c r="C4" t="s">
        <v>17</v>
      </c>
      <c r="D4" t="s">
        <v>28</v>
      </c>
      <c r="E4" t="s">
        <v>2588</v>
      </c>
      <c r="F4" t="s">
        <v>2589</v>
      </c>
      <c r="G4" t="s">
        <v>2590</v>
      </c>
      <c r="H4" t="s">
        <v>2591</v>
      </c>
    </row>
    <row r="5" spans="1:8" x14ac:dyDescent="0.25">
      <c r="A5">
        <v>1491985</v>
      </c>
      <c r="B5" t="s">
        <v>2584</v>
      </c>
      <c r="C5" t="s">
        <v>17</v>
      </c>
      <c r="D5" t="s">
        <v>28</v>
      </c>
      <c r="E5" t="s">
        <v>2588</v>
      </c>
      <c r="F5" t="s">
        <v>2592</v>
      </c>
      <c r="G5" t="s">
        <v>2593</v>
      </c>
      <c r="H5" t="s">
        <v>2594</v>
      </c>
    </row>
    <row r="6" spans="1:8" x14ac:dyDescent="0.25">
      <c r="A6">
        <v>1493369</v>
      </c>
      <c r="B6" t="s">
        <v>2584</v>
      </c>
      <c r="C6" t="s">
        <v>17</v>
      </c>
      <c r="D6" t="s">
        <v>18</v>
      </c>
      <c r="E6" t="s">
        <v>2595</v>
      </c>
      <c r="F6" t="s">
        <v>2596</v>
      </c>
      <c r="G6" t="s">
        <v>2597</v>
      </c>
      <c r="H6" t="s">
        <v>2598</v>
      </c>
    </row>
    <row r="7" spans="1:8" x14ac:dyDescent="0.25">
      <c r="A7">
        <v>1508364</v>
      </c>
      <c r="B7" t="s">
        <v>2584</v>
      </c>
      <c r="C7" t="s">
        <v>17</v>
      </c>
      <c r="D7" t="s">
        <v>362</v>
      </c>
      <c r="E7" t="s">
        <v>2599</v>
      </c>
      <c r="F7" t="s">
        <v>2600</v>
      </c>
      <c r="G7" t="s">
        <v>2601</v>
      </c>
      <c r="H7" t="s">
        <v>2602</v>
      </c>
    </row>
    <row r="8" spans="1:8" x14ac:dyDescent="0.25">
      <c r="A8">
        <v>1508365</v>
      </c>
      <c r="B8" t="s">
        <v>2584</v>
      </c>
      <c r="C8" t="s">
        <v>17</v>
      </c>
      <c r="D8" t="s">
        <v>362</v>
      </c>
      <c r="E8" t="s">
        <v>2599</v>
      </c>
      <c r="F8" t="s">
        <v>2603</v>
      </c>
      <c r="G8" t="s">
        <v>2604</v>
      </c>
      <c r="H8" t="s">
        <v>2605</v>
      </c>
    </row>
    <row r="9" spans="1:8" x14ac:dyDescent="0.25">
      <c r="A9">
        <v>1511913</v>
      </c>
      <c r="B9" t="s">
        <v>2584</v>
      </c>
      <c r="C9" t="s">
        <v>17</v>
      </c>
      <c r="D9" t="s">
        <v>29</v>
      </c>
      <c r="E9" t="s">
        <v>102</v>
      </c>
      <c r="F9" t="s">
        <v>2606</v>
      </c>
      <c r="G9" t="s">
        <v>2607</v>
      </c>
      <c r="H9" t="s">
        <v>2608</v>
      </c>
    </row>
    <row r="10" spans="1:8" x14ac:dyDescent="0.25">
      <c r="A10">
        <v>1522349</v>
      </c>
      <c r="B10" t="s">
        <v>2584</v>
      </c>
      <c r="C10" t="s">
        <v>17</v>
      </c>
      <c r="D10" t="s">
        <v>20</v>
      </c>
      <c r="E10" t="s">
        <v>2609</v>
      </c>
      <c r="F10" t="s">
        <v>2610</v>
      </c>
      <c r="G10" t="s">
        <v>2611</v>
      </c>
      <c r="H10" t="s">
        <v>2612</v>
      </c>
    </row>
    <row r="11" spans="1:8" x14ac:dyDescent="0.25">
      <c r="A11">
        <v>1526477</v>
      </c>
      <c r="B11" t="s">
        <v>2584</v>
      </c>
      <c r="C11" t="s">
        <v>17</v>
      </c>
      <c r="D11" t="s">
        <v>366</v>
      </c>
      <c r="E11" t="s">
        <v>2613</v>
      </c>
      <c r="F11" t="s">
        <v>2614</v>
      </c>
      <c r="G11" t="s">
        <v>2615</v>
      </c>
      <c r="H11" t="s">
        <v>2616</v>
      </c>
    </row>
    <row r="12" spans="1:8" x14ac:dyDescent="0.25">
      <c r="A12">
        <v>1526657</v>
      </c>
      <c r="B12" t="s">
        <v>2584</v>
      </c>
      <c r="C12" t="s">
        <v>17</v>
      </c>
      <c r="D12" t="s">
        <v>420</v>
      </c>
      <c r="E12" t="s">
        <v>26</v>
      </c>
      <c r="F12" t="s">
        <v>477</v>
      </c>
      <c r="G12" t="s">
        <v>755</v>
      </c>
      <c r="H12" t="s">
        <v>2617</v>
      </c>
    </row>
    <row r="13" spans="1:8" x14ac:dyDescent="0.25">
      <c r="A13">
        <v>1530180</v>
      </c>
      <c r="B13" t="s">
        <v>2584</v>
      </c>
      <c r="C13" t="s">
        <v>17</v>
      </c>
      <c r="D13" t="s">
        <v>28</v>
      </c>
      <c r="E13" t="s">
        <v>2618</v>
      </c>
      <c r="F13" t="s">
        <v>2619</v>
      </c>
      <c r="G13" t="s">
        <v>2620</v>
      </c>
      <c r="H13" t="s">
        <v>2621</v>
      </c>
    </row>
    <row r="14" spans="1:8" x14ac:dyDescent="0.25">
      <c r="A14">
        <v>1530193</v>
      </c>
      <c r="B14" t="s">
        <v>2584</v>
      </c>
      <c r="C14" t="s">
        <v>17</v>
      </c>
      <c r="D14" t="s">
        <v>28</v>
      </c>
      <c r="E14" t="s">
        <v>2618</v>
      </c>
      <c r="F14" t="s">
        <v>2622</v>
      </c>
      <c r="G14" t="s">
        <v>2623</v>
      </c>
      <c r="H14" t="s">
        <v>2624</v>
      </c>
    </row>
    <row r="15" spans="1:8" x14ac:dyDescent="0.25">
      <c r="A15">
        <v>1530195</v>
      </c>
      <c r="B15" t="s">
        <v>2584</v>
      </c>
      <c r="C15" t="s">
        <v>17</v>
      </c>
      <c r="D15" t="s">
        <v>28</v>
      </c>
      <c r="E15" t="s">
        <v>2618</v>
      </c>
      <c r="F15" t="s">
        <v>2625</v>
      </c>
      <c r="G15" t="s">
        <v>2626</v>
      </c>
      <c r="H15" t="s">
        <v>2627</v>
      </c>
    </row>
    <row r="16" spans="1:8" x14ac:dyDescent="0.25">
      <c r="A16">
        <v>1503675</v>
      </c>
      <c r="B16" t="s">
        <v>2628</v>
      </c>
      <c r="C16" t="s">
        <v>17</v>
      </c>
      <c r="D16" t="s">
        <v>28</v>
      </c>
      <c r="E16" t="s">
        <v>2629</v>
      </c>
      <c r="F16" t="s">
        <v>2630</v>
      </c>
      <c r="G16" t="s">
        <v>2631</v>
      </c>
      <c r="H16" t="s">
        <v>2632</v>
      </c>
    </row>
    <row r="17" spans="1:8" x14ac:dyDescent="0.25">
      <c r="A17">
        <v>1498392</v>
      </c>
      <c r="B17" t="s">
        <v>2633</v>
      </c>
      <c r="C17" t="s">
        <v>17</v>
      </c>
      <c r="D17" t="s">
        <v>28</v>
      </c>
      <c r="E17" t="s">
        <v>242</v>
      </c>
      <c r="F17" t="s">
        <v>2421</v>
      </c>
      <c r="G17" t="s">
        <v>2634</v>
      </c>
      <c r="H17" t="s">
        <v>2635</v>
      </c>
    </row>
    <row r="18" spans="1:8" x14ac:dyDescent="0.25">
      <c r="A18">
        <v>1512546</v>
      </c>
      <c r="B18" t="s">
        <v>2633</v>
      </c>
      <c r="C18" t="s">
        <v>17</v>
      </c>
      <c r="D18" t="s">
        <v>370</v>
      </c>
      <c r="E18" t="s">
        <v>27</v>
      </c>
      <c r="F18" t="s">
        <v>534</v>
      </c>
      <c r="G18" t="s">
        <v>2636</v>
      </c>
      <c r="H18" t="s">
        <v>2637</v>
      </c>
    </row>
    <row r="19" spans="1:8" x14ac:dyDescent="0.25">
      <c r="A19">
        <v>1530192</v>
      </c>
      <c r="B19" t="s">
        <v>2633</v>
      </c>
      <c r="C19" t="s">
        <v>17</v>
      </c>
      <c r="D19" t="s">
        <v>28</v>
      </c>
      <c r="E19" t="s">
        <v>2618</v>
      </c>
      <c r="F19" t="s">
        <v>2638</v>
      </c>
      <c r="G19" t="s">
        <v>2639</v>
      </c>
      <c r="H19" t="s">
        <v>2640</v>
      </c>
    </row>
    <row r="20" spans="1:8" x14ac:dyDescent="0.25">
      <c r="A20">
        <v>1530497</v>
      </c>
      <c r="B20" t="s">
        <v>2633</v>
      </c>
      <c r="C20" t="s">
        <v>17</v>
      </c>
      <c r="D20" t="s">
        <v>364</v>
      </c>
      <c r="E20" t="s">
        <v>365</v>
      </c>
      <c r="F20" t="s">
        <v>433</v>
      </c>
      <c r="G20" t="s">
        <v>2443</v>
      </c>
      <c r="H20" t="s">
        <v>2641</v>
      </c>
    </row>
    <row r="21" spans="1:8" x14ac:dyDescent="0.25">
      <c r="A21">
        <v>1531919</v>
      </c>
      <c r="B21" t="s">
        <v>2633</v>
      </c>
      <c r="C21" t="s">
        <v>17</v>
      </c>
      <c r="D21" t="s">
        <v>72</v>
      </c>
      <c r="E21" t="s">
        <v>73</v>
      </c>
      <c r="F21" t="s">
        <v>529</v>
      </c>
      <c r="G21" t="s">
        <v>2356</v>
      </c>
      <c r="H21" t="s">
        <v>2642</v>
      </c>
    </row>
    <row r="22" spans="1:8" x14ac:dyDescent="0.25">
      <c r="A22">
        <v>1492562</v>
      </c>
      <c r="B22" t="s">
        <v>2643</v>
      </c>
      <c r="C22" t="s">
        <v>17</v>
      </c>
      <c r="D22" t="s">
        <v>18</v>
      </c>
      <c r="E22" t="s">
        <v>368</v>
      </c>
      <c r="F22" t="s">
        <v>2644</v>
      </c>
      <c r="G22" t="s">
        <v>2448</v>
      </c>
      <c r="H22" t="s">
        <v>2645</v>
      </c>
    </row>
    <row r="23" spans="1:8" x14ac:dyDescent="0.25">
      <c r="A23">
        <v>1494469</v>
      </c>
      <c r="B23" t="s">
        <v>2643</v>
      </c>
      <c r="C23" t="s">
        <v>17</v>
      </c>
      <c r="D23" t="s">
        <v>18</v>
      </c>
      <c r="E23" t="s">
        <v>369</v>
      </c>
      <c r="F23" t="s">
        <v>2418</v>
      </c>
      <c r="G23" t="s">
        <v>2646</v>
      </c>
      <c r="H23" t="s">
        <v>2647</v>
      </c>
    </row>
    <row r="24" spans="1:8" x14ac:dyDescent="0.25">
      <c r="A24">
        <v>1510098</v>
      </c>
      <c r="B24" t="s">
        <v>2648</v>
      </c>
      <c r="C24" t="s">
        <v>17</v>
      </c>
      <c r="D24" t="s">
        <v>371</v>
      </c>
      <c r="E24" t="s">
        <v>372</v>
      </c>
      <c r="F24" t="s">
        <v>488</v>
      </c>
      <c r="G24" t="s">
        <v>2649</v>
      </c>
      <c r="H24" t="s">
        <v>2650</v>
      </c>
    </row>
    <row r="25" spans="1:8" x14ac:dyDescent="0.25">
      <c r="A25">
        <v>1445580</v>
      </c>
      <c r="B25" t="s">
        <v>2651</v>
      </c>
      <c r="C25" t="s">
        <v>17</v>
      </c>
      <c r="D25" t="s">
        <v>18</v>
      </c>
      <c r="E25" t="s">
        <v>19</v>
      </c>
      <c r="F25" t="s">
        <v>561</v>
      </c>
      <c r="G25" t="s">
        <v>2652</v>
      </c>
      <c r="H25" t="s">
        <v>2653</v>
      </c>
    </row>
    <row r="26" spans="1:8" x14ac:dyDescent="0.25">
      <c r="A26">
        <v>1469683</v>
      </c>
      <c r="B26" t="s">
        <v>2651</v>
      </c>
      <c r="C26" t="s">
        <v>17</v>
      </c>
      <c r="D26" t="s">
        <v>35</v>
      </c>
      <c r="E26" t="s">
        <v>36</v>
      </c>
      <c r="F26" t="s">
        <v>756</v>
      </c>
      <c r="G26" t="s">
        <v>2654</v>
      </c>
      <c r="H26" t="s">
        <v>2655</v>
      </c>
    </row>
    <row r="27" spans="1:8" x14ac:dyDescent="0.25">
      <c r="A27">
        <v>1489154</v>
      </c>
      <c r="B27" t="s">
        <v>2651</v>
      </c>
      <c r="C27" t="s">
        <v>17</v>
      </c>
      <c r="D27" t="s">
        <v>31</v>
      </c>
      <c r="E27" t="s">
        <v>27</v>
      </c>
      <c r="F27" t="s">
        <v>703</v>
      </c>
      <c r="G27" t="s">
        <v>2656</v>
      </c>
      <c r="H27" t="s">
        <v>2657</v>
      </c>
    </row>
    <row r="28" spans="1:8" x14ac:dyDescent="0.25">
      <c r="A28">
        <v>1493370</v>
      </c>
      <c r="B28" t="s">
        <v>2651</v>
      </c>
      <c r="C28" t="s">
        <v>17</v>
      </c>
      <c r="D28" t="s">
        <v>18</v>
      </c>
      <c r="E28" t="s">
        <v>2595</v>
      </c>
      <c r="F28" t="s">
        <v>2658</v>
      </c>
      <c r="G28" t="s">
        <v>2659</v>
      </c>
      <c r="H28" t="s">
        <v>2660</v>
      </c>
    </row>
    <row r="29" spans="1:8" x14ac:dyDescent="0.25">
      <c r="A29">
        <v>1508366</v>
      </c>
      <c r="B29" t="s">
        <v>2651</v>
      </c>
      <c r="C29" t="s">
        <v>17</v>
      </c>
      <c r="D29" t="s">
        <v>362</v>
      </c>
      <c r="E29" t="s">
        <v>2599</v>
      </c>
      <c r="F29" t="s">
        <v>2661</v>
      </c>
      <c r="G29" t="s">
        <v>2662</v>
      </c>
      <c r="H29" t="s">
        <v>2663</v>
      </c>
    </row>
    <row r="30" spans="1:8" x14ac:dyDescent="0.25">
      <c r="A30">
        <v>1529210</v>
      </c>
      <c r="B30" t="s">
        <v>2664</v>
      </c>
      <c r="C30" t="s">
        <v>17</v>
      </c>
      <c r="D30" t="s">
        <v>35</v>
      </c>
      <c r="E30" t="s">
        <v>562</v>
      </c>
      <c r="F30" t="s">
        <v>2665</v>
      </c>
      <c r="G30" t="s">
        <v>2666</v>
      </c>
      <c r="H30" t="s">
        <v>2667</v>
      </c>
    </row>
    <row r="31" spans="1:8" x14ac:dyDescent="0.25">
      <c r="A31">
        <v>1494470</v>
      </c>
      <c r="B31" t="s">
        <v>2668</v>
      </c>
      <c r="C31" t="s">
        <v>17</v>
      </c>
      <c r="D31" t="s">
        <v>18</v>
      </c>
      <c r="E31" t="s">
        <v>369</v>
      </c>
      <c r="F31" t="s">
        <v>774</v>
      </c>
      <c r="G31" t="s">
        <v>736</v>
      </c>
      <c r="H31" t="s">
        <v>2669</v>
      </c>
    </row>
    <row r="32" spans="1:8" x14ac:dyDescent="0.25">
      <c r="A32">
        <v>1492563</v>
      </c>
      <c r="B32" t="s">
        <v>2670</v>
      </c>
      <c r="C32" t="s">
        <v>17</v>
      </c>
      <c r="D32" t="s">
        <v>18</v>
      </c>
      <c r="E32" t="s">
        <v>368</v>
      </c>
      <c r="F32" t="s">
        <v>2671</v>
      </c>
      <c r="G32" t="s">
        <v>2672</v>
      </c>
      <c r="H32" t="s">
        <v>2673</v>
      </c>
    </row>
    <row r="33" spans="1:8" x14ac:dyDescent="0.25">
      <c r="A33">
        <v>1529211</v>
      </c>
      <c r="B33" t="s">
        <v>2674</v>
      </c>
      <c r="C33" t="s">
        <v>17</v>
      </c>
      <c r="D33" t="s">
        <v>35</v>
      </c>
      <c r="E33" t="s">
        <v>562</v>
      </c>
      <c r="F33" t="s">
        <v>777</v>
      </c>
      <c r="G33" t="s">
        <v>2675</v>
      </c>
      <c r="H33" t="s">
        <v>2676</v>
      </c>
    </row>
    <row r="34" spans="1:8" x14ac:dyDescent="0.25">
      <c r="A34">
        <v>1532985</v>
      </c>
      <c r="B34" t="s">
        <v>2674</v>
      </c>
      <c r="C34" t="s">
        <v>17</v>
      </c>
      <c r="D34" t="s">
        <v>35</v>
      </c>
      <c r="E34" t="s">
        <v>2677</v>
      </c>
      <c r="F34" t="s">
        <v>2678</v>
      </c>
      <c r="G34" t="s">
        <v>2679</v>
      </c>
      <c r="H34" t="s">
        <v>2680</v>
      </c>
    </row>
    <row r="35" spans="1:8" x14ac:dyDescent="0.25">
      <c r="A35">
        <v>1532986</v>
      </c>
      <c r="B35" t="s">
        <v>2674</v>
      </c>
      <c r="C35" t="s">
        <v>17</v>
      </c>
      <c r="D35" t="s">
        <v>35</v>
      </c>
      <c r="E35" t="s">
        <v>2677</v>
      </c>
      <c r="F35" t="s">
        <v>2681</v>
      </c>
      <c r="G35" t="s">
        <v>2682</v>
      </c>
      <c r="H35" t="s">
        <v>2683</v>
      </c>
    </row>
    <row r="36" spans="1:8" x14ac:dyDescent="0.25">
      <c r="A36">
        <v>1533073</v>
      </c>
      <c r="B36" t="s">
        <v>2674</v>
      </c>
      <c r="C36" t="s">
        <v>17</v>
      </c>
      <c r="D36" t="s">
        <v>35</v>
      </c>
      <c r="E36" t="s">
        <v>2684</v>
      </c>
      <c r="F36" t="s">
        <v>2685</v>
      </c>
      <c r="G36" t="s">
        <v>2686</v>
      </c>
      <c r="H36" t="s">
        <v>2687</v>
      </c>
    </row>
    <row r="37" spans="1:8" x14ac:dyDescent="0.25">
      <c r="A37">
        <v>1533074</v>
      </c>
      <c r="B37" t="s">
        <v>2674</v>
      </c>
      <c r="C37" t="s">
        <v>17</v>
      </c>
      <c r="D37" t="s">
        <v>35</v>
      </c>
      <c r="E37" t="s">
        <v>2684</v>
      </c>
      <c r="F37" t="s">
        <v>2688</v>
      </c>
      <c r="G37" t="s">
        <v>2689</v>
      </c>
      <c r="H37" t="s">
        <v>2690</v>
      </c>
    </row>
    <row r="38" spans="1:8" x14ac:dyDescent="0.25">
      <c r="A38">
        <v>1533075</v>
      </c>
      <c r="B38" t="s">
        <v>2674</v>
      </c>
      <c r="C38" t="s">
        <v>17</v>
      </c>
      <c r="D38" t="s">
        <v>35</v>
      </c>
      <c r="E38" t="s">
        <v>2684</v>
      </c>
      <c r="F38" t="s">
        <v>2691</v>
      </c>
      <c r="G38" t="s">
        <v>2692</v>
      </c>
      <c r="H38" t="s">
        <v>2693</v>
      </c>
    </row>
    <row r="39" spans="1:8" x14ac:dyDescent="0.25">
      <c r="A39">
        <v>1469684</v>
      </c>
      <c r="B39" t="s">
        <v>2694</v>
      </c>
      <c r="C39" t="s">
        <v>17</v>
      </c>
      <c r="D39" t="s">
        <v>35</v>
      </c>
      <c r="E39" t="s">
        <v>36</v>
      </c>
      <c r="F39" t="s">
        <v>2695</v>
      </c>
      <c r="G39" t="s">
        <v>2696</v>
      </c>
      <c r="H39" t="s">
        <v>2697</v>
      </c>
    </row>
    <row r="40" spans="1:8" x14ac:dyDescent="0.25">
      <c r="A40">
        <v>1522068</v>
      </c>
      <c r="B40" t="s">
        <v>2694</v>
      </c>
      <c r="C40" t="s">
        <v>17</v>
      </c>
      <c r="D40" t="s">
        <v>35</v>
      </c>
      <c r="E40" t="s">
        <v>234</v>
      </c>
      <c r="F40" t="s">
        <v>2698</v>
      </c>
      <c r="G40" t="s">
        <v>2699</v>
      </c>
      <c r="H40" t="s">
        <v>2700</v>
      </c>
    </row>
    <row r="41" spans="1:8" x14ac:dyDescent="0.25">
      <c r="A41">
        <v>1527021</v>
      </c>
      <c r="B41" t="s">
        <v>2694</v>
      </c>
      <c r="C41" t="s">
        <v>17</v>
      </c>
      <c r="D41" t="s">
        <v>35</v>
      </c>
      <c r="E41" t="s">
        <v>2701</v>
      </c>
      <c r="F41" t="s">
        <v>2702</v>
      </c>
      <c r="G41" t="s">
        <v>2703</v>
      </c>
      <c r="H41" t="s">
        <v>2704</v>
      </c>
    </row>
    <row r="42" spans="1:8" x14ac:dyDescent="0.25">
      <c r="A42">
        <v>1532535</v>
      </c>
      <c r="B42" t="s">
        <v>2694</v>
      </c>
      <c r="C42" t="s">
        <v>17</v>
      </c>
      <c r="D42" t="s">
        <v>35</v>
      </c>
      <c r="E42" t="s">
        <v>2705</v>
      </c>
      <c r="F42" t="s">
        <v>2706</v>
      </c>
      <c r="G42" t="s">
        <v>2707</v>
      </c>
      <c r="H42" t="s">
        <v>2708</v>
      </c>
    </row>
    <row r="43" spans="1:8" x14ac:dyDescent="0.25">
      <c r="A43">
        <v>1522069</v>
      </c>
      <c r="B43" t="s">
        <v>2709</v>
      </c>
      <c r="C43" t="s">
        <v>17</v>
      </c>
      <c r="D43" t="s">
        <v>35</v>
      </c>
      <c r="E43" t="s">
        <v>234</v>
      </c>
      <c r="F43" t="s">
        <v>2710</v>
      </c>
      <c r="G43" t="s">
        <v>2711</v>
      </c>
      <c r="H43" t="s">
        <v>2712</v>
      </c>
    </row>
    <row r="44" spans="1:8" x14ac:dyDescent="0.25">
      <c r="A44">
        <v>1527022</v>
      </c>
      <c r="B44" t="s">
        <v>2713</v>
      </c>
      <c r="C44" t="s">
        <v>17</v>
      </c>
      <c r="D44" t="s">
        <v>35</v>
      </c>
      <c r="E44" t="s">
        <v>2701</v>
      </c>
      <c r="F44" t="s">
        <v>2714</v>
      </c>
      <c r="G44" t="s">
        <v>2715</v>
      </c>
      <c r="H44" t="s">
        <v>2716</v>
      </c>
    </row>
    <row r="45" spans="1:8" x14ac:dyDescent="0.25">
      <c r="A45">
        <v>1527023</v>
      </c>
      <c r="B45" t="s">
        <v>2713</v>
      </c>
      <c r="C45" t="s">
        <v>17</v>
      </c>
      <c r="D45" t="s">
        <v>35</v>
      </c>
      <c r="E45" t="s">
        <v>2701</v>
      </c>
      <c r="F45" t="s">
        <v>2717</v>
      </c>
      <c r="G45" t="s">
        <v>2718</v>
      </c>
      <c r="H45" t="s">
        <v>2719</v>
      </c>
    </row>
    <row r="46" spans="1:8" x14ac:dyDescent="0.25">
      <c r="A46">
        <v>1527276</v>
      </c>
      <c r="B46" t="s">
        <v>2713</v>
      </c>
      <c r="C46" t="s">
        <v>17</v>
      </c>
      <c r="D46" t="s">
        <v>35</v>
      </c>
      <c r="E46" t="s">
        <v>2720</v>
      </c>
      <c r="F46" t="s">
        <v>2721</v>
      </c>
      <c r="G46" t="s">
        <v>2722</v>
      </c>
      <c r="H46" t="s">
        <v>2723</v>
      </c>
    </row>
    <row r="47" spans="1:8" x14ac:dyDescent="0.25">
      <c r="A47">
        <v>1527277</v>
      </c>
      <c r="B47" t="s">
        <v>2713</v>
      </c>
      <c r="C47" t="s">
        <v>17</v>
      </c>
      <c r="D47" t="s">
        <v>35</v>
      </c>
      <c r="E47" t="s">
        <v>2720</v>
      </c>
      <c r="F47" t="s">
        <v>2724</v>
      </c>
      <c r="G47" t="s">
        <v>2725</v>
      </c>
      <c r="H47" t="s">
        <v>2726</v>
      </c>
    </row>
    <row r="48" spans="1:8" x14ac:dyDescent="0.25">
      <c r="A48">
        <v>1504719</v>
      </c>
      <c r="B48" t="s">
        <v>2727</v>
      </c>
      <c r="C48" t="s">
        <v>17</v>
      </c>
      <c r="D48" t="s">
        <v>33</v>
      </c>
      <c r="E48" t="s">
        <v>373</v>
      </c>
      <c r="F48" t="s">
        <v>784</v>
      </c>
      <c r="G48" t="s">
        <v>833</v>
      </c>
      <c r="H48" t="s">
        <v>2728</v>
      </c>
    </row>
    <row r="49" spans="1:8" x14ac:dyDescent="0.25">
      <c r="A49">
        <v>1506920</v>
      </c>
      <c r="B49" t="s">
        <v>2727</v>
      </c>
      <c r="C49" t="s">
        <v>17</v>
      </c>
      <c r="D49" t="s">
        <v>374</v>
      </c>
      <c r="E49" t="s">
        <v>375</v>
      </c>
      <c r="F49" t="s">
        <v>2729</v>
      </c>
      <c r="G49" t="s">
        <v>799</v>
      </c>
      <c r="H49" t="s">
        <v>2730</v>
      </c>
    </row>
    <row r="50" spans="1:8" x14ac:dyDescent="0.25">
      <c r="A50">
        <v>1510267</v>
      </c>
      <c r="B50" t="s">
        <v>2727</v>
      </c>
      <c r="C50" t="s">
        <v>17</v>
      </c>
      <c r="D50" t="s">
        <v>374</v>
      </c>
      <c r="E50" t="s">
        <v>376</v>
      </c>
      <c r="F50" t="s">
        <v>850</v>
      </c>
      <c r="G50" t="s">
        <v>2731</v>
      </c>
      <c r="H50" t="s">
        <v>2732</v>
      </c>
    </row>
    <row r="51" spans="1:8" x14ac:dyDescent="0.25">
      <c r="A51">
        <v>1510268</v>
      </c>
      <c r="B51" t="s">
        <v>2727</v>
      </c>
      <c r="C51" t="s">
        <v>17</v>
      </c>
      <c r="D51" t="s">
        <v>374</v>
      </c>
      <c r="E51" t="s">
        <v>376</v>
      </c>
      <c r="F51" t="s">
        <v>2733</v>
      </c>
      <c r="G51" t="s">
        <v>2734</v>
      </c>
      <c r="H51" t="s">
        <v>2735</v>
      </c>
    </row>
    <row r="52" spans="1:8" x14ac:dyDescent="0.25">
      <c r="A52">
        <v>1510269</v>
      </c>
      <c r="B52" t="s">
        <v>2727</v>
      </c>
      <c r="C52" t="s">
        <v>17</v>
      </c>
      <c r="D52" t="s">
        <v>374</v>
      </c>
      <c r="E52" t="s">
        <v>376</v>
      </c>
      <c r="F52" t="s">
        <v>449</v>
      </c>
      <c r="G52" t="s">
        <v>2736</v>
      </c>
      <c r="H52" t="s">
        <v>2737</v>
      </c>
    </row>
    <row r="53" spans="1:8" x14ac:dyDescent="0.25">
      <c r="A53">
        <v>1516632</v>
      </c>
      <c r="B53" t="s">
        <v>2727</v>
      </c>
      <c r="C53" t="s">
        <v>17</v>
      </c>
      <c r="D53" t="s">
        <v>33</v>
      </c>
      <c r="E53" t="s">
        <v>2738</v>
      </c>
      <c r="F53" t="s">
        <v>804</v>
      </c>
      <c r="G53" t="s">
        <v>787</v>
      </c>
      <c r="H53" t="s">
        <v>2739</v>
      </c>
    </row>
    <row r="54" spans="1:8" x14ac:dyDescent="0.25">
      <c r="A54">
        <v>1516633</v>
      </c>
      <c r="B54" t="s">
        <v>2727</v>
      </c>
      <c r="C54" t="s">
        <v>17</v>
      </c>
      <c r="D54" t="s">
        <v>33</v>
      </c>
      <c r="E54" t="s">
        <v>2738</v>
      </c>
      <c r="F54" t="s">
        <v>803</v>
      </c>
      <c r="G54" t="s">
        <v>786</v>
      </c>
      <c r="H54" t="s">
        <v>2740</v>
      </c>
    </row>
    <row r="55" spans="1:8" x14ac:dyDescent="0.25">
      <c r="A55">
        <v>1516634</v>
      </c>
      <c r="B55" t="s">
        <v>2727</v>
      </c>
      <c r="C55" t="s">
        <v>17</v>
      </c>
      <c r="D55" t="s">
        <v>33</v>
      </c>
      <c r="E55" t="s">
        <v>2738</v>
      </c>
      <c r="F55" t="s">
        <v>2741</v>
      </c>
      <c r="G55" t="s">
        <v>2742</v>
      </c>
      <c r="H55" t="s">
        <v>2743</v>
      </c>
    </row>
    <row r="56" spans="1:8" x14ac:dyDescent="0.25">
      <c r="A56">
        <v>1516635</v>
      </c>
      <c r="B56" t="s">
        <v>2727</v>
      </c>
      <c r="C56" t="s">
        <v>17</v>
      </c>
      <c r="D56" t="s">
        <v>33</v>
      </c>
      <c r="E56" t="s">
        <v>2738</v>
      </c>
      <c r="F56" t="s">
        <v>2744</v>
      </c>
      <c r="G56" t="s">
        <v>809</v>
      </c>
      <c r="H56" t="s">
        <v>2745</v>
      </c>
    </row>
    <row r="57" spans="1:8" x14ac:dyDescent="0.25">
      <c r="A57">
        <v>1516636</v>
      </c>
      <c r="B57" t="s">
        <v>2727</v>
      </c>
      <c r="C57" t="s">
        <v>17</v>
      </c>
      <c r="D57" t="s">
        <v>33</v>
      </c>
      <c r="E57" t="s">
        <v>2738</v>
      </c>
      <c r="F57" t="s">
        <v>811</v>
      </c>
      <c r="G57" t="s">
        <v>2746</v>
      </c>
      <c r="H57" t="s">
        <v>2747</v>
      </c>
    </row>
    <row r="58" spans="1:8" x14ac:dyDescent="0.25">
      <c r="A58">
        <v>1516637</v>
      </c>
      <c r="B58" t="s">
        <v>2727</v>
      </c>
      <c r="C58" t="s">
        <v>17</v>
      </c>
      <c r="D58" t="s">
        <v>33</v>
      </c>
      <c r="E58" t="s">
        <v>2738</v>
      </c>
      <c r="F58" t="s">
        <v>2748</v>
      </c>
      <c r="G58" t="s">
        <v>808</v>
      </c>
      <c r="H58" t="s">
        <v>2749</v>
      </c>
    </row>
    <row r="59" spans="1:8" x14ac:dyDescent="0.25">
      <c r="A59">
        <v>1516638</v>
      </c>
      <c r="B59" t="s">
        <v>2727</v>
      </c>
      <c r="C59" t="s">
        <v>17</v>
      </c>
      <c r="D59" t="s">
        <v>33</v>
      </c>
      <c r="E59" t="s">
        <v>2738</v>
      </c>
      <c r="F59" t="s">
        <v>810</v>
      </c>
      <c r="G59" t="s">
        <v>2750</v>
      </c>
      <c r="H59" t="s">
        <v>2751</v>
      </c>
    </row>
    <row r="60" spans="1:8" x14ac:dyDescent="0.25">
      <c r="A60">
        <v>1516639</v>
      </c>
      <c r="B60" t="s">
        <v>2727</v>
      </c>
      <c r="C60" t="s">
        <v>17</v>
      </c>
      <c r="D60" t="s">
        <v>33</v>
      </c>
      <c r="E60" t="s">
        <v>2738</v>
      </c>
      <c r="F60" t="s">
        <v>818</v>
      </c>
      <c r="G60" t="s">
        <v>823</v>
      </c>
      <c r="H60" t="s">
        <v>2752</v>
      </c>
    </row>
    <row r="61" spans="1:8" x14ac:dyDescent="0.25">
      <c r="A61">
        <v>1516640</v>
      </c>
      <c r="B61" t="s">
        <v>2727</v>
      </c>
      <c r="C61" t="s">
        <v>17</v>
      </c>
      <c r="D61" t="s">
        <v>33</v>
      </c>
      <c r="E61" t="s">
        <v>2738</v>
      </c>
      <c r="F61" t="s">
        <v>2753</v>
      </c>
      <c r="G61" t="s">
        <v>821</v>
      </c>
      <c r="H61" t="s">
        <v>2754</v>
      </c>
    </row>
    <row r="62" spans="1:8" x14ac:dyDescent="0.25">
      <c r="A62">
        <v>1520421</v>
      </c>
      <c r="B62" t="s">
        <v>2727</v>
      </c>
      <c r="C62" t="s">
        <v>17</v>
      </c>
      <c r="D62" t="s">
        <v>374</v>
      </c>
      <c r="E62" t="s">
        <v>563</v>
      </c>
      <c r="F62" t="s">
        <v>2755</v>
      </c>
      <c r="G62" t="s">
        <v>827</v>
      </c>
      <c r="H62" t="s">
        <v>2756</v>
      </c>
    </row>
    <row r="63" spans="1:8" x14ac:dyDescent="0.25">
      <c r="A63">
        <v>1520422</v>
      </c>
      <c r="B63" t="s">
        <v>2727</v>
      </c>
      <c r="C63" t="s">
        <v>17</v>
      </c>
      <c r="D63" t="s">
        <v>374</v>
      </c>
      <c r="E63" t="s">
        <v>563</v>
      </c>
      <c r="F63" t="s">
        <v>825</v>
      </c>
      <c r="G63" t="s">
        <v>835</v>
      </c>
      <c r="H63" t="s">
        <v>2757</v>
      </c>
    </row>
    <row r="64" spans="1:8" x14ac:dyDescent="0.25">
      <c r="A64">
        <v>1520423</v>
      </c>
      <c r="B64" t="s">
        <v>2727</v>
      </c>
      <c r="C64" t="s">
        <v>17</v>
      </c>
      <c r="D64" t="s">
        <v>374</v>
      </c>
      <c r="E64" t="s">
        <v>563</v>
      </c>
      <c r="F64" t="s">
        <v>2758</v>
      </c>
      <c r="G64" t="s">
        <v>834</v>
      </c>
      <c r="H64" t="s">
        <v>2759</v>
      </c>
    </row>
    <row r="65" spans="1:8" x14ac:dyDescent="0.25">
      <c r="A65">
        <v>1520424</v>
      </c>
      <c r="B65" t="s">
        <v>2727</v>
      </c>
      <c r="C65" t="s">
        <v>17</v>
      </c>
      <c r="D65" t="s">
        <v>374</v>
      </c>
      <c r="E65" t="s">
        <v>563</v>
      </c>
      <c r="F65" t="s">
        <v>829</v>
      </c>
      <c r="G65" t="s">
        <v>2760</v>
      </c>
      <c r="H65" t="s">
        <v>2761</v>
      </c>
    </row>
    <row r="66" spans="1:8" x14ac:dyDescent="0.25">
      <c r="A66">
        <v>1520425</v>
      </c>
      <c r="B66" t="s">
        <v>2727</v>
      </c>
      <c r="C66" t="s">
        <v>17</v>
      </c>
      <c r="D66" t="s">
        <v>374</v>
      </c>
      <c r="E66" t="s">
        <v>563</v>
      </c>
      <c r="F66" t="s">
        <v>830</v>
      </c>
      <c r="G66" t="s">
        <v>828</v>
      </c>
      <c r="H66" t="s">
        <v>2762</v>
      </c>
    </row>
    <row r="67" spans="1:8" x14ac:dyDescent="0.25">
      <c r="A67">
        <v>1504720</v>
      </c>
      <c r="B67" t="s">
        <v>2763</v>
      </c>
      <c r="C67" t="s">
        <v>17</v>
      </c>
      <c r="D67" t="s">
        <v>33</v>
      </c>
      <c r="E67" t="s">
        <v>373</v>
      </c>
      <c r="F67" t="s">
        <v>2764</v>
      </c>
      <c r="G67" t="s">
        <v>832</v>
      </c>
      <c r="H67" t="s">
        <v>2765</v>
      </c>
    </row>
    <row r="68" spans="1:8" x14ac:dyDescent="0.25">
      <c r="A68">
        <v>1529212</v>
      </c>
      <c r="B68" t="s">
        <v>2766</v>
      </c>
      <c r="C68" t="s">
        <v>17</v>
      </c>
      <c r="D68" t="s">
        <v>35</v>
      </c>
      <c r="E68" t="s">
        <v>562</v>
      </c>
      <c r="F68" t="s">
        <v>2767</v>
      </c>
      <c r="G68" t="s">
        <v>776</v>
      </c>
      <c r="H68" t="s">
        <v>2768</v>
      </c>
    </row>
    <row r="69" spans="1:8" x14ac:dyDescent="0.25">
      <c r="A69">
        <v>1484569</v>
      </c>
      <c r="B69" t="s">
        <v>2769</v>
      </c>
      <c r="C69" t="s">
        <v>17</v>
      </c>
      <c r="D69" t="s">
        <v>35</v>
      </c>
      <c r="E69" t="s">
        <v>2770</v>
      </c>
      <c r="F69" t="s">
        <v>2771</v>
      </c>
      <c r="G69" t="s">
        <v>2772</v>
      </c>
      <c r="H69" t="s">
        <v>2773</v>
      </c>
    </row>
    <row r="70" spans="1:8" x14ac:dyDescent="0.25">
      <c r="A70">
        <v>1517478</v>
      </c>
      <c r="B70" t="s">
        <v>2769</v>
      </c>
      <c r="C70" t="s">
        <v>17</v>
      </c>
      <c r="D70" t="s">
        <v>35</v>
      </c>
      <c r="E70" t="s">
        <v>313</v>
      </c>
      <c r="F70" t="s">
        <v>2774</v>
      </c>
      <c r="G70" t="s">
        <v>2775</v>
      </c>
      <c r="H70" t="s">
        <v>2776</v>
      </c>
    </row>
    <row r="71" spans="1:8" x14ac:dyDescent="0.25">
      <c r="A71">
        <v>1517479</v>
      </c>
      <c r="B71" t="s">
        <v>2769</v>
      </c>
      <c r="C71" t="s">
        <v>17</v>
      </c>
      <c r="D71" t="s">
        <v>35</v>
      </c>
      <c r="E71" t="s">
        <v>313</v>
      </c>
      <c r="F71" t="s">
        <v>2777</v>
      </c>
      <c r="G71" t="s">
        <v>2778</v>
      </c>
      <c r="H71" t="s">
        <v>2779</v>
      </c>
    </row>
    <row r="72" spans="1:8" x14ac:dyDescent="0.25">
      <c r="A72">
        <v>1517712</v>
      </c>
      <c r="B72" t="s">
        <v>2769</v>
      </c>
      <c r="C72" t="s">
        <v>17</v>
      </c>
      <c r="D72" t="s">
        <v>35</v>
      </c>
      <c r="E72" t="s">
        <v>316</v>
      </c>
      <c r="F72" t="s">
        <v>2780</v>
      </c>
      <c r="G72" t="s">
        <v>2781</v>
      </c>
      <c r="H72" t="s">
        <v>2782</v>
      </c>
    </row>
    <row r="73" spans="1:8" x14ac:dyDescent="0.25">
      <c r="A73">
        <v>1523704</v>
      </c>
      <c r="B73" t="s">
        <v>2769</v>
      </c>
      <c r="C73" t="s">
        <v>17</v>
      </c>
      <c r="D73" t="s">
        <v>35</v>
      </c>
      <c r="E73" t="s">
        <v>317</v>
      </c>
      <c r="F73" t="s">
        <v>2783</v>
      </c>
      <c r="G73" t="s">
        <v>2784</v>
      </c>
      <c r="H73" t="s">
        <v>2785</v>
      </c>
    </row>
    <row r="74" spans="1:8" x14ac:dyDescent="0.25">
      <c r="A74">
        <v>1523705</v>
      </c>
      <c r="B74" t="s">
        <v>2769</v>
      </c>
      <c r="C74" t="s">
        <v>17</v>
      </c>
      <c r="D74" t="s">
        <v>35</v>
      </c>
      <c r="E74" t="s">
        <v>317</v>
      </c>
      <c r="F74" t="s">
        <v>2786</v>
      </c>
      <c r="G74" t="s">
        <v>2787</v>
      </c>
      <c r="H74" t="s">
        <v>2788</v>
      </c>
    </row>
    <row r="75" spans="1:8" x14ac:dyDescent="0.25">
      <c r="A75">
        <v>1524118</v>
      </c>
      <c r="B75" t="s">
        <v>2769</v>
      </c>
      <c r="C75" t="s">
        <v>17</v>
      </c>
      <c r="D75" t="s">
        <v>35</v>
      </c>
      <c r="E75" t="s">
        <v>2789</v>
      </c>
      <c r="F75" t="s">
        <v>2790</v>
      </c>
      <c r="G75" t="s">
        <v>2791</v>
      </c>
      <c r="H75" t="s">
        <v>2792</v>
      </c>
    </row>
    <row r="76" spans="1:8" x14ac:dyDescent="0.25">
      <c r="A76">
        <v>1524200</v>
      </c>
      <c r="B76" t="s">
        <v>2769</v>
      </c>
      <c r="C76" t="s">
        <v>17</v>
      </c>
      <c r="D76" t="s">
        <v>35</v>
      </c>
      <c r="E76" t="s">
        <v>2789</v>
      </c>
      <c r="F76" t="s">
        <v>2793</v>
      </c>
      <c r="G76" t="s">
        <v>2794</v>
      </c>
      <c r="H76" t="s">
        <v>2795</v>
      </c>
    </row>
    <row r="77" spans="1:8" x14ac:dyDescent="0.25">
      <c r="A77">
        <v>1529898</v>
      </c>
      <c r="B77" t="s">
        <v>2769</v>
      </c>
      <c r="C77" t="s">
        <v>17</v>
      </c>
      <c r="D77" t="s">
        <v>377</v>
      </c>
      <c r="E77" t="s">
        <v>2796</v>
      </c>
      <c r="F77" t="s">
        <v>2797</v>
      </c>
      <c r="G77" t="s">
        <v>2798</v>
      </c>
      <c r="H77" t="s">
        <v>2799</v>
      </c>
    </row>
    <row r="78" spans="1:8" x14ac:dyDescent="0.25">
      <c r="A78">
        <v>1532534</v>
      </c>
      <c r="B78" t="s">
        <v>2769</v>
      </c>
      <c r="C78" t="s">
        <v>17</v>
      </c>
      <c r="D78" t="s">
        <v>35</v>
      </c>
      <c r="E78" t="s">
        <v>2705</v>
      </c>
      <c r="F78" t="s">
        <v>2800</v>
      </c>
      <c r="G78" t="s">
        <v>2801</v>
      </c>
      <c r="H78" t="s">
        <v>2802</v>
      </c>
    </row>
    <row r="79" spans="1:8" x14ac:dyDescent="0.25">
      <c r="A79">
        <v>1533155</v>
      </c>
      <c r="B79" t="s">
        <v>2769</v>
      </c>
      <c r="C79" t="s">
        <v>17</v>
      </c>
      <c r="D79" t="s">
        <v>2803</v>
      </c>
      <c r="E79" t="s">
        <v>2804</v>
      </c>
      <c r="F79" t="s">
        <v>2805</v>
      </c>
      <c r="G79" t="s">
        <v>2806</v>
      </c>
      <c r="H79" t="s">
        <v>2807</v>
      </c>
    </row>
    <row r="80" spans="1:8" x14ac:dyDescent="0.25">
      <c r="A80">
        <v>1469685</v>
      </c>
      <c r="B80" t="s">
        <v>2808</v>
      </c>
      <c r="C80" t="s">
        <v>17</v>
      </c>
      <c r="D80" t="s">
        <v>35</v>
      </c>
      <c r="E80" t="s">
        <v>36</v>
      </c>
      <c r="F80" t="s">
        <v>2809</v>
      </c>
      <c r="G80" t="s">
        <v>2810</v>
      </c>
      <c r="H80" t="s">
        <v>2811</v>
      </c>
    </row>
    <row r="81" spans="1:8" x14ac:dyDescent="0.25">
      <c r="A81">
        <v>1517480</v>
      </c>
      <c r="B81" t="s">
        <v>2812</v>
      </c>
      <c r="C81" t="s">
        <v>17</v>
      </c>
      <c r="D81" t="s">
        <v>35</v>
      </c>
      <c r="E81" t="s">
        <v>313</v>
      </c>
      <c r="F81" t="s">
        <v>2813</v>
      </c>
      <c r="G81" t="s">
        <v>2814</v>
      </c>
      <c r="H81" t="s">
        <v>2815</v>
      </c>
    </row>
    <row r="82" spans="1:8" x14ac:dyDescent="0.25">
      <c r="A82">
        <v>1527278</v>
      </c>
      <c r="B82" t="s">
        <v>2812</v>
      </c>
      <c r="C82" t="s">
        <v>17</v>
      </c>
      <c r="D82" t="s">
        <v>35</v>
      </c>
      <c r="E82" t="s">
        <v>2720</v>
      </c>
      <c r="F82" t="s">
        <v>2816</v>
      </c>
      <c r="G82" t="s">
        <v>2817</v>
      </c>
      <c r="H82" t="s">
        <v>2818</v>
      </c>
    </row>
    <row r="83" spans="1:8" x14ac:dyDescent="0.25">
      <c r="A83">
        <v>1517481</v>
      </c>
      <c r="B83" t="s">
        <v>2819</v>
      </c>
      <c r="C83" t="s">
        <v>17</v>
      </c>
      <c r="D83" t="s">
        <v>35</v>
      </c>
      <c r="E83" t="s">
        <v>313</v>
      </c>
      <c r="F83" t="s">
        <v>2820</v>
      </c>
      <c r="G83" t="s">
        <v>2821</v>
      </c>
      <c r="H83" t="s">
        <v>2822</v>
      </c>
    </row>
    <row r="84" spans="1:8" x14ac:dyDescent="0.25">
      <c r="A84">
        <v>1449266</v>
      </c>
      <c r="B84" t="s">
        <v>2823</v>
      </c>
      <c r="C84" t="s">
        <v>17</v>
      </c>
      <c r="D84" t="s">
        <v>564</v>
      </c>
      <c r="E84" t="s">
        <v>49</v>
      </c>
      <c r="F84" t="s">
        <v>2824</v>
      </c>
      <c r="G84" t="s">
        <v>2825</v>
      </c>
      <c r="H84" t="s">
        <v>2826</v>
      </c>
    </row>
    <row r="85" spans="1:8" x14ac:dyDescent="0.25">
      <c r="A85">
        <v>1527152</v>
      </c>
      <c r="B85" t="s">
        <v>2823</v>
      </c>
      <c r="C85" t="s">
        <v>17</v>
      </c>
      <c r="D85" t="s">
        <v>35</v>
      </c>
      <c r="E85" t="s">
        <v>2827</v>
      </c>
      <c r="F85" t="s">
        <v>2828</v>
      </c>
      <c r="G85" t="s">
        <v>2829</v>
      </c>
      <c r="H85" t="s">
        <v>2830</v>
      </c>
    </row>
    <row r="86" spans="1:8" x14ac:dyDescent="0.25">
      <c r="A86">
        <v>1531655</v>
      </c>
      <c r="B86" t="s">
        <v>2823</v>
      </c>
      <c r="C86" t="s">
        <v>17</v>
      </c>
      <c r="D86" t="s">
        <v>566</v>
      </c>
      <c r="E86" t="s">
        <v>567</v>
      </c>
      <c r="F86" t="s">
        <v>2831</v>
      </c>
      <c r="G86" t="s">
        <v>2832</v>
      </c>
      <c r="H86" t="s">
        <v>2833</v>
      </c>
    </row>
    <row r="87" spans="1:8" x14ac:dyDescent="0.25">
      <c r="A87">
        <v>1532627</v>
      </c>
      <c r="B87" t="s">
        <v>2823</v>
      </c>
      <c r="C87" t="s">
        <v>17</v>
      </c>
      <c r="D87" t="s">
        <v>419</v>
      </c>
      <c r="E87" t="s">
        <v>2834</v>
      </c>
      <c r="F87" t="s">
        <v>2835</v>
      </c>
      <c r="G87" t="s">
        <v>2836</v>
      </c>
      <c r="H87" t="s">
        <v>2837</v>
      </c>
    </row>
    <row r="88" spans="1:8" x14ac:dyDescent="0.25">
      <c r="A88">
        <v>1535430</v>
      </c>
      <c r="B88" t="s">
        <v>2823</v>
      </c>
      <c r="C88" t="s">
        <v>17</v>
      </c>
      <c r="D88" t="s">
        <v>35</v>
      </c>
      <c r="E88" t="s">
        <v>2838</v>
      </c>
      <c r="F88" t="s">
        <v>2839</v>
      </c>
      <c r="G88" t="s">
        <v>2840</v>
      </c>
      <c r="H88" t="s">
        <v>2841</v>
      </c>
    </row>
    <row r="89" spans="1:8" x14ac:dyDescent="0.25">
      <c r="A89">
        <v>1535431</v>
      </c>
      <c r="B89" t="s">
        <v>2823</v>
      </c>
      <c r="C89" t="s">
        <v>17</v>
      </c>
      <c r="D89" t="s">
        <v>35</v>
      </c>
      <c r="E89" t="s">
        <v>2838</v>
      </c>
      <c r="F89" t="s">
        <v>2842</v>
      </c>
      <c r="G89" t="s">
        <v>2843</v>
      </c>
      <c r="H89" t="s">
        <v>2844</v>
      </c>
    </row>
    <row r="90" spans="1:8" x14ac:dyDescent="0.25">
      <c r="A90">
        <v>1535432</v>
      </c>
      <c r="B90" t="s">
        <v>2823</v>
      </c>
      <c r="C90" t="s">
        <v>34</v>
      </c>
      <c r="D90" t="s">
        <v>35</v>
      </c>
      <c r="E90" t="s">
        <v>2838</v>
      </c>
      <c r="F90" t="s">
        <v>2845</v>
      </c>
      <c r="G90" t="s">
        <v>2846</v>
      </c>
      <c r="H90" t="s">
        <v>2847</v>
      </c>
    </row>
    <row r="91" spans="1:8" x14ac:dyDescent="0.25">
      <c r="A91">
        <v>1535433</v>
      </c>
      <c r="B91" t="s">
        <v>2823</v>
      </c>
      <c r="C91" t="s">
        <v>17</v>
      </c>
      <c r="D91" t="s">
        <v>35</v>
      </c>
      <c r="E91" t="s">
        <v>2838</v>
      </c>
      <c r="F91" t="s">
        <v>2848</v>
      </c>
      <c r="G91" t="s">
        <v>2849</v>
      </c>
      <c r="H91" t="s">
        <v>2850</v>
      </c>
    </row>
    <row r="92" spans="1:8" x14ac:dyDescent="0.25">
      <c r="A92">
        <v>1527151</v>
      </c>
      <c r="B92" t="s">
        <v>2851</v>
      </c>
      <c r="C92" t="s">
        <v>17</v>
      </c>
      <c r="D92" t="s">
        <v>35</v>
      </c>
      <c r="E92" t="s">
        <v>2827</v>
      </c>
      <c r="F92" t="s">
        <v>2852</v>
      </c>
      <c r="G92" t="s">
        <v>2853</v>
      </c>
      <c r="H92" t="s">
        <v>2854</v>
      </c>
    </row>
    <row r="93" spans="1:8" x14ac:dyDescent="0.25">
      <c r="A93">
        <v>1510270</v>
      </c>
      <c r="B93" t="s">
        <v>2855</v>
      </c>
      <c r="C93" t="s">
        <v>17</v>
      </c>
      <c r="D93" t="s">
        <v>374</v>
      </c>
      <c r="E93" t="s">
        <v>376</v>
      </c>
      <c r="F93" t="s">
        <v>847</v>
      </c>
      <c r="G93" t="s">
        <v>2856</v>
      </c>
      <c r="H93" t="s">
        <v>2857</v>
      </c>
    </row>
    <row r="94" spans="1:8" x14ac:dyDescent="0.25">
      <c r="A94">
        <v>1510271</v>
      </c>
      <c r="B94" t="s">
        <v>2855</v>
      </c>
      <c r="C94" t="s">
        <v>17</v>
      </c>
      <c r="D94" t="s">
        <v>374</v>
      </c>
      <c r="E94" t="s">
        <v>376</v>
      </c>
      <c r="F94" t="s">
        <v>801</v>
      </c>
      <c r="G94" t="s">
        <v>800</v>
      </c>
      <c r="H94" t="s">
        <v>2858</v>
      </c>
    </row>
    <row r="95" spans="1:8" x14ac:dyDescent="0.25">
      <c r="A95">
        <v>1517482</v>
      </c>
      <c r="B95" t="s">
        <v>2855</v>
      </c>
      <c r="C95" t="s">
        <v>17</v>
      </c>
      <c r="D95" t="s">
        <v>35</v>
      </c>
      <c r="E95" t="s">
        <v>313</v>
      </c>
      <c r="F95" t="s">
        <v>2859</v>
      </c>
      <c r="G95" t="s">
        <v>2860</v>
      </c>
      <c r="H95" t="s">
        <v>2861</v>
      </c>
    </row>
    <row r="96" spans="1:8" x14ac:dyDescent="0.25">
      <c r="A96">
        <v>1517715</v>
      </c>
      <c r="B96" t="s">
        <v>2855</v>
      </c>
      <c r="C96" t="s">
        <v>17</v>
      </c>
      <c r="D96" t="s">
        <v>35</v>
      </c>
      <c r="E96" t="s">
        <v>316</v>
      </c>
      <c r="F96" t="s">
        <v>2862</v>
      </c>
      <c r="G96" t="s">
        <v>824</v>
      </c>
      <c r="H96" t="s">
        <v>2863</v>
      </c>
    </row>
    <row r="97" spans="1:8" x14ac:dyDescent="0.25">
      <c r="A97">
        <v>1522070</v>
      </c>
      <c r="B97" t="s">
        <v>2855</v>
      </c>
      <c r="C97" t="s">
        <v>17</v>
      </c>
      <c r="D97" t="s">
        <v>35</v>
      </c>
      <c r="E97" t="s">
        <v>234</v>
      </c>
      <c r="F97" t="s">
        <v>2864</v>
      </c>
      <c r="G97" t="s">
        <v>2865</v>
      </c>
      <c r="H97" t="s">
        <v>2866</v>
      </c>
    </row>
    <row r="98" spans="1:8" x14ac:dyDescent="0.25">
      <c r="A98">
        <v>1522071</v>
      </c>
      <c r="B98" t="s">
        <v>2855</v>
      </c>
      <c r="C98" t="s">
        <v>17</v>
      </c>
      <c r="D98" t="s">
        <v>35</v>
      </c>
      <c r="E98" t="s">
        <v>234</v>
      </c>
      <c r="F98" t="s">
        <v>315</v>
      </c>
      <c r="G98" t="s">
        <v>2867</v>
      </c>
      <c r="H98" t="s">
        <v>2868</v>
      </c>
    </row>
    <row r="99" spans="1:8" x14ac:dyDescent="0.25">
      <c r="A99">
        <v>1523077</v>
      </c>
      <c r="B99" t="s">
        <v>2855</v>
      </c>
      <c r="C99" t="s">
        <v>17</v>
      </c>
      <c r="D99" t="s">
        <v>419</v>
      </c>
      <c r="E99" t="s">
        <v>81</v>
      </c>
      <c r="F99" t="s">
        <v>1164</v>
      </c>
      <c r="G99" t="s">
        <v>2869</v>
      </c>
      <c r="H99" t="s">
        <v>2870</v>
      </c>
    </row>
    <row r="100" spans="1:8" x14ac:dyDescent="0.25">
      <c r="A100">
        <v>1523078</v>
      </c>
      <c r="B100" t="s">
        <v>2855</v>
      </c>
      <c r="C100" t="s">
        <v>17</v>
      </c>
      <c r="D100" t="s">
        <v>419</v>
      </c>
      <c r="E100" t="s">
        <v>81</v>
      </c>
      <c r="F100" t="s">
        <v>2871</v>
      </c>
      <c r="G100" t="s">
        <v>2872</v>
      </c>
      <c r="H100" t="s">
        <v>2873</v>
      </c>
    </row>
    <row r="101" spans="1:8" x14ac:dyDescent="0.25">
      <c r="A101">
        <v>1532628</v>
      </c>
      <c r="B101" t="s">
        <v>2855</v>
      </c>
      <c r="C101" t="s">
        <v>17</v>
      </c>
      <c r="D101" t="s">
        <v>419</v>
      </c>
      <c r="E101" t="s">
        <v>2834</v>
      </c>
      <c r="F101" t="s">
        <v>2874</v>
      </c>
      <c r="G101" t="s">
        <v>2875</v>
      </c>
      <c r="H101" t="s">
        <v>2876</v>
      </c>
    </row>
    <row r="102" spans="1:8" x14ac:dyDescent="0.25">
      <c r="A102">
        <v>1532629</v>
      </c>
      <c r="B102" t="s">
        <v>2855</v>
      </c>
      <c r="C102" t="s">
        <v>17</v>
      </c>
      <c r="D102" t="s">
        <v>419</v>
      </c>
      <c r="E102" t="s">
        <v>2834</v>
      </c>
      <c r="F102" t="s">
        <v>2877</v>
      </c>
      <c r="G102" t="s">
        <v>2878</v>
      </c>
      <c r="H102" t="s">
        <v>2879</v>
      </c>
    </row>
    <row r="103" spans="1:8" x14ac:dyDescent="0.25">
      <c r="A103">
        <v>1453101</v>
      </c>
      <c r="B103" t="s">
        <v>2880</v>
      </c>
      <c r="C103" t="s">
        <v>17</v>
      </c>
      <c r="D103" t="s">
        <v>37</v>
      </c>
      <c r="E103" t="s">
        <v>565</v>
      </c>
      <c r="F103" t="s">
        <v>2881</v>
      </c>
      <c r="G103" t="s">
        <v>853</v>
      </c>
      <c r="H103" t="s">
        <v>2882</v>
      </c>
    </row>
    <row r="104" spans="1:8" x14ac:dyDescent="0.25">
      <c r="A104">
        <v>1453321</v>
      </c>
      <c r="B104" t="s">
        <v>2880</v>
      </c>
      <c r="C104" t="s">
        <v>32</v>
      </c>
      <c r="D104" t="s">
        <v>37</v>
      </c>
      <c r="E104" t="s">
        <v>565</v>
      </c>
      <c r="F104" t="s">
        <v>855</v>
      </c>
      <c r="G104" t="s">
        <v>856</v>
      </c>
      <c r="H104" t="s">
        <v>2883</v>
      </c>
    </row>
    <row r="105" spans="1:8" x14ac:dyDescent="0.25">
      <c r="A105">
        <v>1517714</v>
      </c>
      <c r="B105" t="s">
        <v>2880</v>
      </c>
      <c r="C105" t="s">
        <v>32</v>
      </c>
      <c r="D105" t="s">
        <v>35</v>
      </c>
      <c r="E105" t="s">
        <v>316</v>
      </c>
      <c r="F105" t="s">
        <v>2884</v>
      </c>
      <c r="G105" t="s">
        <v>2885</v>
      </c>
      <c r="H105" t="s">
        <v>2886</v>
      </c>
    </row>
    <row r="106" spans="1:8" x14ac:dyDescent="0.25">
      <c r="A106">
        <v>1517716</v>
      </c>
      <c r="B106" t="s">
        <v>2880</v>
      </c>
      <c r="C106" t="s">
        <v>17</v>
      </c>
      <c r="D106" t="s">
        <v>35</v>
      </c>
      <c r="E106" t="s">
        <v>316</v>
      </c>
      <c r="F106" t="s">
        <v>2887</v>
      </c>
      <c r="G106" t="s">
        <v>2888</v>
      </c>
      <c r="H106" t="s">
        <v>2889</v>
      </c>
    </row>
    <row r="107" spans="1:8" x14ac:dyDescent="0.25">
      <c r="A107">
        <v>1517717</v>
      </c>
      <c r="B107" t="s">
        <v>2880</v>
      </c>
      <c r="C107" t="s">
        <v>17</v>
      </c>
      <c r="D107" t="s">
        <v>35</v>
      </c>
      <c r="E107" t="s">
        <v>316</v>
      </c>
      <c r="F107" t="s">
        <v>2890</v>
      </c>
      <c r="G107" t="s">
        <v>791</v>
      </c>
      <c r="H107" t="s">
        <v>2891</v>
      </c>
    </row>
    <row r="108" spans="1:8" x14ac:dyDescent="0.25">
      <c r="A108">
        <v>1517870</v>
      </c>
      <c r="B108" t="s">
        <v>2880</v>
      </c>
      <c r="C108" t="s">
        <v>17</v>
      </c>
      <c r="D108" t="s">
        <v>35</v>
      </c>
      <c r="E108" t="s">
        <v>316</v>
      </c>
      <c r="F108" t="s">
        <v>2892</v>
      </c>
      <c r="G108" t="s">
        <v>2893</v>
      </c>
      <c r="H108" t="s">
        <v>2894</v>
      </c>
    </row>
    <row r="109" spans="1:8" x14ac:dyDescent="0.25">
      <c r="A109">
        <v>1521894</v>
      </c>
      <c r="B109" t="s">
        <v>2880</v>
      </c>
      <c r="C109" t="s">
        <v>17</v>
      </c>
      <c r="D109" t="s">
        <v>35</v>
      </c>
      <c r="E109" t="s">
        <v>314</v>
      </c>
      <c r="F109" t="s">
        <v>2895</v>
      </c>
      <c r="G109" t="s">
        <v>2896</v>
      </c>
      <c r="H109" t="s">
        <v>2897</v>
      </c>
    </row>
    <row r="110" spans="1:8" x14ac:dyDescent="0.25">
      <c r="A110">
        <v>1523706</v>
      </c>
      <c r="B110" t="s">
        <v>2880</v>
      </c>
      <c r="C110" t="s">
        <v>17</v>
      </c>
      <c r="D110" t="s">
        <v>35</v>
      </c>
      <c r="E110" t="s">
        <v>317</v>
      </c>
      <c r="F110" t="s">
        <v>836</v>
      </c>
      <c r="G110" t="s">
        <v>2898</v>
      </c>
      <c r="H110" t="s">
        <v>2899</v>
      </c>
    </row>
    <row r="111" spans="1:8" x14ac:dyDescent="0.25">
      <c r="A111">
        <v>1523995</v>
      </c>
      <c r="B111" t="s">
        <v>2880</v>
      </c>
      <c r="C111" t="s">
        <v>17</v>
      </c>
      <c r="D111" t="s">
        <v>35</v>
      </c>
      <c r="E111" t="s">
        <v>318</v>
      </c>
      <c r="F111" t="s">
        <v>2900</v>
      </c>
      <c r="G111" t="s">
        <v>2901</v>
      </c>
      <c r="H111" t="s">
        <v>2902</v>
      </c>
    </row>
    <row r="112" spans="1:8" x14ac:dyDescent="0.25">
      <c r="A112">
        <v>1529901</v>
      </c>
      <c r="B112" t="s">
        <v>2880</v>
      </c>
      <c r="C112" t="s">
        <v>17</v>
      </c>
      <c r="D112" t="s">
        <v>377</v>
      </c>
      <c r="E112" t="s">
        <v>2796</v>
      </c>
      <c r="F112" t="s">
        <v>2903</v>
      </c>
      <c r="G112" t="s">
        <v>2904</v>
      </c>
      <c r="H112" t="s">
        <v>2905</v>
      </c>
    </row>
    <row r="113" spans="1:8" x14ac:dyDescent="0.25">
      <c r="A113">
        <v>1532630</v>
      </c>
      <c r="B113" t="s">
        <v>2880</v>
      </c>
      <c r="C113" t="s">
        <v>17</v>
      </c>
      <c r="D113" t="s">
        <v>419</v>
      </c>
      <c r="E113" t="s">
        <v>2834</v>
      </c>
      <c r="F113" t="s">
        <v>2906</v>
      </c>
      <c r="G113" t="s">
        <v>2907</v>
      </c>
      <c r="H113" t="s">
        <v>2908</v>
      </c>
    </row>
    <row r="114" spans="1:8" x14ac:dyDescent="0.25">
      <c r="A114">
        <v>1532987</v>
      </c>
      <c r="B114" t="s">
        <v>2880</v>
      </c>
      <c r="C114" t="s">
        <v>2909</v>
      </c>
      <c r="D114" t="s">
        <v>35</v>
      </c>
      <c r="E114" t="s">
        <v>2677</v>
      </c>
      <c r="F114" t="s">
        <v>2910</v>
      </c>
      <c r="G114" t="s">
        <v>776</v>
      </c>
      <c r="H114" t="s">
        <v>2911</v>
      </c>
    </row>
    <row r="115" spans="1:8" x14ac:dyDescent="0.25">
      <c r="A115">
        <v>1533156</v>
      </c>
      <c r="B115" t="s">
        <v>2880</v>
      </c>
      <c r="C115" t="s">
        <v>17</v>
      </c>
      <c r="D115" t="s">
        <v>2803</v>
      </c>
      <c r="E115" t="s">
        <v>2804</v>
      </c>
      <c r="F115" t="s">
        <v>416</v>
      </c>
      <c r="G115" t="s">
        <v>2912</v>
      </c>
      <c r="H115" t="s">
        <v>2913</v>
      </c>
    </row>
    <row r="116" spans="1:8" x14ac:dyDescent="0.25">
      <c r="A116">
        <v>1517483</v>
      </c>
      <c r="B116" t="s">
        <v>2914</v>
      </c>
      <c r="C116" t="s">
        <v>17</v>
      </c>
      <c r="D116" t="s">
        <v>35</v>
      </c>
      <c r="E116" t="s">
        <v>313</v>
      </c>
      <c r="F116" t="s">
        <v>2915</v>
      </c>
      <c r="G116" t="s">
        <v>788</v>
      </c>
      <c r="H116" t="s">
        <v>2916</v>
      </c>
    </row>
    <row r="117" spans="1:8" x14ac:dyDescent="0.25">
      <c r="A117">
        <v>1527024</v>
      </c>
      <c r="B117" t="s">
        <v>2917</v>
      </c>
      <c r="C117" t="s">
        <v>17</v>
      </c>
      <c r="D117" t="s">
        <v>35</v>
      </c>
      <c r="E117" t="s">
        <v>2701</v>
      </c>
      <c r="F117" t="s">
        <v>2918</v>
      </c>
      <c r="G117" t="s">
        <v>2919</v>
      </c>
      <c r="H117" t="s">
        <v>2920</v>
      </c>
    </row>
    <row r="118" spans="1:8" x14ac:dyDescent="0.25">
      <c r="A118">
        <v>1532631</v>
      </c>
      <c r="B118" t="s">
        <v>2917</v>
      </c>
      <c r="C118" t="s">
        <v>17</v>
      </c>
      <c r="D118" t="s">
        <v>419</v>
      </c>
      <c r="E118" t="s">
        <v>2834</v>
      </c>
      <c r="F118" t="s">
        <v>2921</v>
      </c>
      <c r="G118" t="s">
        <v>2922</v>
      </c>
      <c r="H118" t="s">
        <v>2923</v>
      </c>
    </row>
    <row r="119" spans="1:8" x14ac:dyDescent="0.25">
      <c r="A119">
        <v>1526281</v>
      </c>
      <c r="B119" t="s">
        <v>2924</v>
      </c>
      <c r="C119" t="s">
        <v>17</v>
      </c>
      <c r="D119" t="s">
        <v>587</v>
      </c>
      <c r="E119" t="s">
        <v>588</v>
      </c>
      <c r="F119" t="s">
        <v>2925</v>
      </c>
      <c r="G119" t="s">
        <v>2926</v>
      </c>
      <c r="H119" t="s">
        <v>2927</v>
      </c>
    </row>
    <row r="120" spans="1:8" x14ac:dyDescent="0.25">
      <c r="A120">
        <v>1400561</v>
      </c>
      <c r="B120" t="s">
        <v>2928</v>
      </c>
      <c r="C120" t="s">
        <v>17</v>
      </c>
      <c r="D120" t="s">
        <v>319</v>
      </c>
      <c r="E120" t="s">
        <v>2929</v>
      </c>
      <c r="F120" t="s">
        <v>2930</v>
      </c>
      <c r="G120" t="s">
        <v>2931</v>
      </c>
      <c r="H120" t="s">
        <v>2932</v>
      </c>
    </row>
    <row r="121" spans="1:8" x14ac:dyDescent="0.25">
      <c r="A121">
        <v>1416376</v>
      </c>
      <c r="B121" t="s">
        <v>2928</v>
      </c>
      <c r="C121" t="s">
        <v>17</v>
      </c>
      <c r="D121" t="s">
        <v>319</v>
      </c>
      <c r="E121" t="s">
        <v>320</v>
      </c>
      <c r="F121" t="s">
        <v>2933</v>
      </c>
      <c r="G121" t="s">
        <v>2934</v>
      </c>
      <c r="H121" t="s">
        <v>2935</v>
      </c>
    </row>
    <row r="122" spans="1:8" x14ac:dyDescent="0.25">
      <c r="A122">
        <v>1488915</v>
      </c>
      <c r="B122" t="s">
        <v>2928</v>
      </c>
      <c r="C122" t="s">
        <v>17</v>
      </c>
      <c r="D122" t="s">
        <v>44</v>
      </c>
      <c r="E122" t="s">
        <v>2936</v>
      </c>
      <c r="F122" t="s">
        <v>2937</v>
      </c>
      <c r="G122" t="s">
        <v>2938</v>
      </c>
      <c r="H122" t="s">
        <v>2939</v>
      </c>
    </row>
    <row r="123" spans="1:8" x14ac:dyDescent="0.25">
      <c r="A123">
        <v>1489642</v>
      </c>
      <c r="B123" t="s">
        <v>2928</v>
      </c>
      <c r="C123" t="s">
        <v>17</v>
      </c>
      <c r="D123" t="s">
        <v>381</v>
      </c>
      <c r="E123" t="s">
        <v>568</v>
      </c>
      <c r="F123" t="s">
        <v>2940</v>
      </c>
      <c r="G123" t="s">
        <v>2941</v>
      </c>
      <c r="H123" t="s">
        <v>2942</v>
      </c>
    </row>
    <row r="124" spans="1:8" x14ac:dyDescent="0.25">
      <c r="A124">
        <v>1523996</v>
      </c>
      <c r="B124" t="s">
        <v>2928</v>
      </c>
      <c r="C124" t="s">
        <v>17</v>
      </c>
      <c r="D124" t="s">
        <v>35</v>
      </c>
      <c r="E124" t="s">
        <v>318</v>
      </c>
      <c r="F124" t="s">
        <v>2943</v>
      </c>
      <c r="G124" t="s">
        <v>2944</v>
      </c>
      <c r="H124" t="s">
        <v>2945</v>
      </c>
    </row>
    <row r="125" spans="1:8" x14ac:dyDescent="0.25">
      <c r="A125">
        <v>1524119</v>
      </c>
      <c r="B125" t="s">
        <v>2928</v>
      </c>
      <c r="C125" t="s">
        <v>17</v>
      </c>
      <c r="D125" t="s">
        <v>35</v>
      </c>
      <c r="E125" t="s">
        <v>2789</v>
      </c>
      <c r="F125" t="s">
        <v>2946</v>
      </c>
      <c r="G125" t="s">
        <v>2947</v>
      </c>
      <c r="H125" t="s">
        <v>2948</v>
      </c>
    </row>
    <row r="126" spans="1:8" x14ac:dyDescent="0.25">
      <c r="A126">
        <v>1526681</v>
      </c>
      <c r="B126" t="s">
        <v>2928</v>
      </c>
      <c r="C126" t="s">
        <v>17</v>
      </c>
      <c r="D126" t="s">
        <v>377</v>
      </c>
      <c r="E126" t="s">
        <v>2949</v>
      </c>
      <c r="F126" t="s">
        <v>2950</v>
      </c>
      <c r="G126" t="s">
        <v>2951</v>
      </c>
      <c r="H126" t="s">
        <v>2952</v>
      </c>
    </row>
    <row r="127" spans="1:8" x14ac:dyDescent="0.25">
      <c r="A127">
        <v>1527154</v>
      </c>
      <c r="B127" t="s">
        <v>2928</v>
      </c>
      <c r="C127" t="s">
        <v>17</v>
      </c>
      <c r="D127" t="s">
        <v>35</v>
      </c>
      <c r="E127" t="s">
        <v>2827</v>
      </c>
      <c r="F127" t="s">
        <v>2953</v>
      </c>
      <c r="G127" t="s">
        <v>2954</v>
      </c>
      <c r="H127" t="s">
        <v>2955</v>
      </c>
    </row>
    <row r="128" spans="1:8" x14ac:dyDescent="0.25">
      <c r="A128">
        <v>1527912</v>
      </c>
      <c r="B128" t="s">
        <v>2928</v>
      </c>
      <c r="C128" t="s">
        <v>17</v>
      </c>
      <c r="D128" t="s">
        <v>569</v>
      </c>
      <c r="E128" t="s">
        <v>49</v>
      </c>
      <c r="F128" t="s">
        <v>2956</v>
      </c>
      <c r="G128" t="s">
        <v>967</v>
      </c>
      <c r="H128" t="s">
        <v>2957</v>
      </c>
    </row>
    <row r="129" spans="1:8" x14ac:dyDescent="0.25">
      <c r="A129">
        <v>1533919</v>
      </c>
      <c r="B129" t="s">
        <v>2928</v>
      </c>
      <c r="C129" t="s">
        <v>17</v>
      </c>
      <c r="D129" t="s">
        <v>95</v>
      </c>
      <c r="E129" t="s">
        <v>378</v>
      </c>
      <c r="F129" t="s">
        <v>2958</v>
      </c>
      <c r="G129" t="s">
        <v>2959</v>
      </c>
      <c r="H129" t="s">
        <v>2960</v>
      </c>
    </row>
    <row r="130" spans="1:8" x14ac:dyDescent="0.25">
      <c r="A130">
        <v>1533920</v>
      </c>
      <c r="B130" t="s">
        <v>2928</v>
      </c>
      <c r="C130" t="s">
        <v>17</v>
      </c>
      <c r="D130" t="s">
        <v>95</v>
      </c>
      <c r="E130" t="s">
        <v>378</v>
      </c>
      <c r="F130" t="s">
        <v>2961</v>
      </c>
      <c r="G130" t="s">
        <v>2962</v>
      </c>
      <c r="H130" t="s">
        <v>2963</v>
      </c>
    </row>
    <row r="131" spans="1:8" x14ac:dyDescent="0.25">
      <c r="A131">
        <v>1533921</v>
      </c>
      <c r="B131" t="s">
        <v>2928</v>
      </c>
      <c r="C131" t="s">
        <v>17</v>
      </c>
      <c r="D131" t="s">
        <v>95</v>
      </c>
      <c r="E131" t="s">
        <v>378</v>
      </c>
      <c r="F131" t="s">
        <v>933</v>
      </c>
      <c r="G131" t="s">
        <v>2964</v>
      </c>
      <c r="H131" t="s">
        <v>2965</v>
      </c>
    </row>
    <row r="132" spans="1:8" x14ac:dyDescent="0.25">
      <c r="A132">
        <v>1533922</v>
      </c>
      <c r="B132" t="s">
        <v>2928</v>
      </c>
      <c r="C132" t="s">
        <v>17</v>
      </c>
      <c r="D132" t="s">
        <v>95</v>
      </c>
      <c r="E132" t="s">
        <v>378</v>
      </c>
      <c r="F132" t="s">
        <v>2485</v>
      </c>
      <c r="G132" t="s">
        <v>2966</v>
      </c>
      <c r="H132" t="s">
        <v>2967</v>
      </c>
    </row>
    <row r="133" spans="1:8" x14ac:dyDescent="0.25">
      <c r="A133">
        <v>1533923</v>
      </c>
      <c r="B133" t="s">
        <v>2928</v>
      </c>
      <c r="C133" t="s">
        <v>17</v>
      </c>
      <c r="D133" t="s">
        <v>95</v>
      </c>
      <c r="E133" t="s">
        <v>378</v>
      </c>
      <c r="F133" t="s">
        <v>2968</v>
      </c>
      <c r="G133" t="s">
        <v>2969</v>
      </c>
      <c r="H133" t="s">
        <v>2970</v>
      </c>
    </row>
    <row r="134" spans="1:8" x14ac:dyDescent="0.25">
      <c r="A134">
        <v>1533924</v>
      </c>
      <c r="B134" t="s">
        <v>2928</v>
      </c>
      <c r="C134" t="s">
        <v>17</v>
      </c>
      <c r="D134" t="s">
        <v>95</v>
      </c>
      <c r="E134" t="s">
        <v>378</v>
      </c>
      <c r="F134" t="s">
        <v>864</v>
      </c>
      <c r="G134" t="s">
        <v>2971</v>
      </c>
      <c r="H134" t="s">
        <v>2972</v>
      </c>
    </row>
    <row r="135" spans="1:8" x14ac:dyDescent="0.25">
      <c r="A135">
        <v>1533925</v>
      </c>
      <c r="B135" t="s">
        <v>2928</v>
      </c>
      <c r="C135" t="s">
        <v>17</v>
      </c>
      <c r="D135" t="s">
        <v>95</v>
      </c>
      <c r="E135" t="s">
        <v>378</v>
      </c>
      <c r="F135" t="s">
        <v>863</v>
      </c>
      <c r="G135" t="s">
        <v>2973</v>
      </c>
      <c r="H135" t="s">
        <v>2974</v>
      </c>
    </row>
    <row r="136" spans="1:8" x14ac:dyDescent="0.25">
      <c r="A136">
        <v>1533926</v>
      </c>
      <c r="B136" t="s">
        <v>2928</v>
      </c>
      <c r="C136" t="s">
        <v>17</v>
      </c>
      <c r="D136" t="s">
        <v>95</v>
      </c>
      <c r="E136" t="s">
        <v>378</v>
      </c>
      <c r="F136" t="s">
        <v>2975</v>
      </c>
      <c r="G136" t="s">
        <v>2976</v>
      </c>
      <c r="H136" t="s">
        <v>2977</v>
      </c>
    </row>
    <row r="137" spans="1:8" x14ac:dyDescent="0.25">
      <c r="A137">
        <v>1534913</v>
      </c>
      <c r="B137" t="s">
        <v>2928</v>
      </c>
      <c r="C137" t="s">
        <v>17</v>
      </c>
      <c r="D137" t="s">
        <v>21</v>
      </c>
      <c r="E137" t="s">
        <v>421</v>
      </c>
      <c r="F137" t="s">
        <v>2978</v>
      </c>
      <c r="G137" t="s">
        <v>873</v>
      </c>
      <c r="H137" t="s">
        <v>2979</v>
      </c>
    </row>
    <row r="138" spans="1:8" x14ac:dyDescent="0.25">
      <c r="A138">
        <v>1535434</v>
      </c>
      <c r="B138" t="s">
        <v>2928</v>
      </c>
      <c r="C138" t="s">
        <v>17</v>
      </c>
      <c r="D138" t="s">
        <v>35</v>
      </c>
      <c r="E138" t="s">
        <v>2838</v>
      </c>
      <c r="F138" t="s">
        <v>2980</v>
      </c>
      <c r="G138" t="s">
        <v>2981</v>
      </c>
      <c r="H138" t="s">
        <v>2982</v>
      </c>
    </row>
    <row r="139" spans="1:8" x14ac:dyDescent="0.25">
      <c r="A139">
        <v>1384565</v>
      </c>
      <c r="B139" t="s">
        <v>2983</v>
      </c>
      <c r="C139" t="s">
        <v>17</v>
      </c>
      <c r="D139" t="s">
        <v>381</v>
      </c>
      <c r="E139" t="s">
        <v>397</v>
      </c>
      <c r="F139" t="s">
        <v>2984</v>
      </c>
      <c r="G139" t="s">
        <v>2985</v>
      </c>
      <c r="H139" t="s">
        <v>2986</v>
      </c>
    </row>
    <row r="140" spans="1:8" x14ac:dyDescent="0.25">
      <c r="A140">
        <v>1487517</v>
      </c>
      <c r="B140" t="s">
        <v>2983</v>
      </c>
      <c r="C140" t="s">
        <v>34</v>
      </c>
      <c r="D140" t="s">
        <v>381</v>
      </c>
      <c r="E140" t="s">
        <v>571</v>
      </c>
      <c r="F140" t="s">
        <v>2987</v>
      </c>
      <c r="G140" t="s">
        <v>1577</v>
      </c>
      <c r="H140" t="s">
        <v>2988</v>
      </c>
    </row>
    <row r="141" spans="1:8" x14ac:dyDescent="0.25">
      <c r="A141">
        <v>1487740</v>
      </c>
      <c r="B141" t="s">
        <v>2983</v>
      </c>
      <c r="C141" t="s">
        <v>17</v>
      </c>
      <c r="D141" t="s">
        <v>381</v>
      </c>
      <c r="E141" t="s">
        <v>572</v>
      </c>
      <c r="F141" t="s">
        <v>2989</v>
      </c>
      <c r="G141" t="s">
        <v>1583</v>
      </c>
      <c r="H141" t="s">
        <v>2990</v>
      </c>
    </row>
    <row r="142" spans="1:8" x14ac:dyDescent="0.25">
      <c r="A142">
        <v>1489503</v>
      </c>
      <c r="B142" t="s">
        <v>2983</v>
      </c>
      <c r="C142" t="s">
        <v>17</v>
      </c>
      <c r="D142" t="s">
        <v>381</v>
      </c>
      <c r="E142" t="s">
        <v>573</v>
      </c>
      <c r="F142" t="s">
        <v>2991</v>
      </c>
      <c r="G142" t="s">
        <v>1591</v>
      </c>
      <c r="H142" t="s">
        <v>2992</v>
      </c>
    </row>
    <row r="143" spans="1:8" x14ac:dyDescent="0.25">
      <c r="A143">
        <v>1489636</v>
      </c>
      <c r="B143" t="s">
        <v>2983</v>
      </c>
      <c r="C143" t="s">
        <v>17</v>
      </c>
      <c r="D143" t="s">
        <v>381</v>
      </c>
      <c r="E143" t="s">
        <v>568</v>
      </c>
      <c r="F143" t="s">
        <v>2993</v>
      </c>
      <c r="G143" t="s">
        <v>2994</v>
      </c>
      <c r="H143" t="s">
        <v>2995</v>
      </c>
    </row>
    <row r="144" spans="1:8" x14ac:dyDescent="0.25">
      <c r="A144">
        <v>1489639</v>
      </c>
      <c r="B144" t="s">
        <v>2983</v>
      </c>
      <c r="C144" t="s">
        <v>17</v>
      </c>
      <c r="D144" t="s">
        <v>381</v>
      </c>
      <c r="E144" t="s">
        <v>568</v>
      </c>
      <c r="F144" t="s">
        <v>2996</v>
      </c>
      <c r="G144" t="s">
        <v>2997</v>
      </c>
      <c r="H144" t="s">
        <v>2998</v>
      </c>
    </row>
    <row r="145" spans="1:8" x14ac:dyDescent="0.25">
      <c r="A145">
        <v>1489892</v>
      </c>
      <c r="B145" t="s">
        <v>2983</v>
      </c>
      <c r="C145" t="s">
        <v>17</v>
      </c>
      <c r="D145" t="s">
        <v>381</v>
      </c>
      <c r="E145" t="s">
        <v>574</v>
      </c>
      <c r="F145" t="s">
        <v>2999</v>
      </c>
      <c r="G145" t="s">
        <v>1597</v>
      </c>
      <c r="H145" t="s">
        <v>3000</v>
      </c>
    </row>
    <row r="146" spans="1:8" x14ac:dyDescent="0.25">
      <c r="A146">
        <v>1489896</v>
      </c>
      <c r="B146" t="s">
        <v>2983</v>
      </c>
      <c r="C146" t="s">
        <v>17</v>
      </c>
      <c r="D146" t="s">
        <v>381</v>
      </c>
      <c r="E146" t="s">
        <v>574</v>
      </c>
      <c r="F146" t="s">
        <v>3001</v>
      </c>
      <c r="G146" t="s">
        <v>1599</v>
      </c>
      <c r="H146" t="s">
        <v>3002</v>
      </c>
    </row>
    <row r="147" spans="1:8" x14ac:dyDescent="0.25">
      <c r="A147">
        <v>1490016</v>
      </c>
      <c r="B147" t="s">
        <v>2983</v>
      </c>
      <c r="C147" t="s">
        <v>17</v>
      </c>
      <c r="D147" t="s">
        <v>381</v>
      </c>
      <c r="E147" t="s">
        <v>575</v>
      </c>
      <c r="F147" t="s">
        <v>3003</v>
      </c>
      <c r="G147" t="s">
        <v>894</v>
      </c>
      <c r="H147" t="s">
        <v>3004</v>
      </c>
    </row>
    <row r="148" spans="1:8" x14ac:dyDescent="0.25">
      <c r="A148">
        <v>1490017</v>
      </c>
      <c r="B148" t="s">
        <v>2983</v>
      </c>
      <c r="C148" t="s">
        <v>17</v>
      </c>
      <c r="D148" t="s">
        <v>381</v>
      </c>
      <c r="E148" t="s">
        <v>575</v>
      </c>
      <c r="F148" t="s">
        <v>893</v>
      </c>
      <c r="G148" t="s">
        <v>3005</v>
      </c>
      <c r="H148" t="s">
        <v>3006</v>
      </c>
    </row>
    <row r="149" spans="1:8" x14ac:dyDescent="0.25">
      <c r="A149">
        <v>1490018</v>
      </c>
      <c r="B149" t="s">
        <v>2983</v>
      </c>
      <c r="C149" t="s">
        <v>17</v>
      </c>
      <c r="D149" t="s">
        <v>381</v>
      </c>
      <c r="E149" t="s">
        <v>575</v>
      </c>
      <c r="F149" t="s">
        <v>3007</v>
      </c>
      <c r="G149" t="s">
        <v>3008</v>
      </c>
      <c r="H149" t="s">
        <v>3009</v>
      </c>
    </row>
    <row r="150" spans="1:8" x14ac:dyDescent="0.25">
      <c r="A150">
        <v>1487363</v>
      </c>
      <c r="B150" t="s">
        <v>3010</v>
      </c>
      <c r="C150" t="s">
        <v>17</v>
      </c>
      <c r="D150" t="s">
        <v>381</v>
      </c>
      <c r="E150" t="s">
        <v>548</v>
      </c>
      <c r="F150" t="s">
        <v>903</v>
      </c>
      <c r="G150" t="s">
        <v>3011</v>
      </c>
      <c r="H150" t="s">
        <v>3012</v>
      </c>
    </row>
    <row r="151" spans="1:8" x14ac:dyDescent="0.25">
      <c r="A151">
        <v>1487519</v>
      </c>
      <c r="B151" t="s">
        <v>3010</v>
      </c>
      <c r="C151" t="s">
        <v>17</v>
      </c>
      <c r="D151" t="s">
        <v>381</v>
      </c>
      <c r="E151" t="s">
        <v>571</v>
      </c>
      <c r="F151" t="s">
        <v>1575</v>
      </c>
      <c r="G151" t="s">
        <v>3013</v>
      </c>
      <c r="H151" t="s">
        <v>3014</v>
      </c>
    </row>
    <row r="152" spans="1:8" x14ac:dyDescent="0.25">
      <c r="A152">
        <v>1489638</v>
      </c>
      <c r="B152" t="s">
        <v>3010</v>
      </c>
      <c r="C152" t="s">
        <v>17</v>
      </c>
      <c r="D152" t="s">
        <v>381</v>
      </c>
      <c r="E152" t="s">
        <v>568</v>
      </c>
      <c r="F152" t="s">
        <v>3015</v>
      </c>
      <c r="G152" t="s">
        <v>3016</v>
      </c>
      <c r="H152" t="s">
        <v>3017</v>
      </c>
    </row>
    <row r="153" spans="1:8" x14ac:dyDescent="0.25">
      <c r="A153">
        <v>1489777</v>
      </c>
      <c r="B153" t="s">
        <v>3010</v>
      </c>
      <c r="C153" t="s">
        <v>17</v>
      </c>
      <c r="D153" t="s">
        <v>381</v>
      </c>
      <c r="E153" t="s">
        <v>550</v>
      </c>
      <c r="F153" t="s">
        <v>3018</v>
      </c>
      <c r="G153" t="s">
        <v>3019</v>
      </c>
      <c r="H153" t="s">
        <v>3020</v>
      </c>
    </row>
    <row r="154" spans="1:8" x14ac:dyDescent="0.25">
      <c r="A154">
        <v>1489895</v>
      </c>
      <c r="B154" t="s">
        <v>3010</v>
      </c>
      <c r="C154" t="s">
        <v>17</v>
      </c>
      <c r="D154" t="s">
        <v>381</v>
      </c>
      <c r="E154" t="s">
        <v>574</v>
      </c>
      <c r="F154" t="s">
        <v>892</v>
      </c>
      <c r="G154" t="s">
        <v>3021</v>
      </c>
      <c r="H154" t="s">
        <v>3022</v>
      </c>
    </row>
    <row r="155" spans="1:8" x14ac:dyDescent="0.25">
      <c r="A155">
        <v>1490019</v>
      </c>
      <c r="B155" t="s">
        <v>3010</v>
      </c>
      <c r="C155" t="s">
        <v>17</v>
      </c>
      <c r="D155" t="s">
        <v>381</v>
      </c>
      <c r="E155" t="s">
        <v>575</v>
      </c>
      <c r="F155" t="s">
        <v>3023</v>
      </c>
      <c r="G155" t="s">
        <v>3024</v>
      </c>
      <c r="H155" t="s">
        <v>3025</v>
      </c>
    </row>
    <row r="156" spans="1:8" x14ac:dyDescent="0.25">
      <c r="A156">
        <v>1518186</v>
      </c>
      <c r="B156" t="s">
        <v>3010</v>
      </c>
      <c r="C156" t="s">
        <v>17</v>
      </c>
      <c r="D156" t="s">
        <v>43</v>
      </c>
      <c r="E156" t="s">
        <v>576</v>
      </c>
      <c r="F156" t="s">
        <v>947</v>
      </c>
      <c r="G156" t="s">
        <v>1276</v>
      </c>
      <c r="H156" t="s">
        <v>3026</v>
      </c>
    </row>
    <row r="157" spans="1:8" x14ac:dyDescent="0.25">
      <c r="A157">
        <v>1531656</v>
      </c>
      <c r="B157" t="s">
        <v>3027</v>
      </c>
      <c r="C157" t="s">
        <v>17</v>
      </c>
      <c r="D157" t="s">
        <v>566</v>
      </c>
      <c r="E157" t="s">
        <v>567</v>
      </c>
      <c r="F157" t="s">
        <v>3028</v>
      </c>
      <c r="G157" t="s">
        <v>3029</v>
      </c>
      <c r="H157" t="s">
        <v>3030</v>
      </c>
    </row>
    <row r="158" spans="1:8" x14ac:dyDescent="0.25">
      <c r="A158">
        <v>1404585</v>
      </c>
      <c r="B158" t="s">
        <v>3031</v>
      </c>
      <c r="C158" t="s">
        <v>17</v>
      </c>
      <c r="D158" t="s">
        <v>41</v>
      </c>
      <c r="E158" t="s">
        <v>262</v>
      </c>
      <c r="F158" t="s">
        <v>3032</v>
      </c>
      <c r="G158" t="s">
        <v>915</v>
      </c>
      <c r="H158" t="s">
        <v>3033</v>
      </c>
    </row>
    <row r="159" spans="1:8" x14ac:dyDescent="0.25">
      <c r="A159">
        <v>1404586</v>
      </c>
      <c r="B159" t="s">
        <v>3031</v>
      </c>
      <c r="C159" t="s">
        <v>17</v>
      </c>
      <c r="D159" t="s">
        <v>41</v>
      </c>
      <c r="E159" t="s">
        <v>262</v>
      </c>
      <c r="F159" t="s">
        <v>3034</v>
      </c>
      <c r="G159" t="s">
        <v>3035</v>
      </c>
      <c r="H159" t="s">
        <v>3036</v>
      </c>
    </row>
    <row r="160" spans="1:8" x14ac:dyDescent="0.25">
      <c r="A160">
        <v>1412654</v>
      </c>
      <c r="B160" t="s">
        <v>3031</v>
      </c>
      <c r="C160" t="s">
        <v>17</v>
      </c>
      <c r="D160" t="s">
        <v>319</v>
      </c>
      <c r="E160" t="s">
        <v>3037</v>
      </c>
      <c r="F160" t="s">
        <v>3038</v>
      </c>
      <c r="G160" t="s">
        <v>3039</v>
      </c>
      <c r="H160" t="s">
        <v>3040</v>
      </c>
    </row>
    <row r="161" spans="1:8" x14ac:dyDescent="0.25">
      <c r="A161">
        <v>1449267</v>
      </c>
      <c r="B161" t="s">
        <v>3031</v>
      </c>
      <c r="C161" t="s">
        <v>17</v>
      </c>
      <c r="D161" t="s">
        <v>564</v>
      </c>
      <c r="E161" t="s">
        <v>49</v>
      </c>
      <c r="F161" t="s">
        <v>839</v>
      </c>
      <c r="G161" t="s">
        <v>3041</v>
      </c>
      <c r="H161" t="s">
        <v>3042</v>
      </c>
    </row>
    <row r="162" spans="1:8" x14ac:dyDescent="0.25">
      <c r="A162">
        <v>1453102</v>
      </c>
      <c r="B162" t="s">
        <v>3031</v>
      </c>
      <c r="C162" t="s">
        <v>17</v>
      </c>
      <c r="D162" t="s">
        <v>37</v>
      </c>
      <c r="E162" t="s">
        <v>565</v>
      </c>
      <c r="F162" t="s">
        <v>3043</v>
      </c>
      <c r="G162" t="s">
        <v>3044</v>
      </c>
      <c r="H162" t="s">
        <v>3045</v>
      </c>
    </row>
    <row r="163" spans="1:8" x14ac:dyDescent="0.25">
      <c r="A163">
        <v>1467988</v>
      </c>
      <c r="B163" t="s">
        <v>3031</v>
      </c>
      <c r="C163" t="s">
        <v>17</v>
      </c>
      <c r="D163" t="s">
        <v>41</v>
      </c>
      <c r="E163" t="s">
        <v>382</v>
      </c>
      <c r="F163" t="s">
        <v>3046</v>
      </c>
      <c r="G163" t="s">
        <v>3047</v>
      </c>
      <c r="H163" t="s">
        <v>3048</v>
      </c>
    </row>
    <row r="164" spans="1:8" x14ac:dyDescent="0.25">
      <c r="A164">
        <v>1479061</v>
      </c>
      <c r="B164" t="s">
        <v>3031</v>
      </c>
      <c r="C164" t="s">
        <v>32</v>
      </c>
      <c r="D164" t="s">
        <v>98</v>
      </c>
      <c r="E164" t="s">
        <v>237</v>
      </c>
      <c r="F164" t="s">
        <v>1981</v>
      </c>
      <c r="G164" t="s">
        <v>1987</v>
      </c>
      <c r="H164" t="s">
        <v>3049</v>
      </c>
    </row>
    <row r="165" spans="1:8" x14ac:dyDescent="0.25">
      <c r="A165">
        <v>1514584</v>
      </c>
      <c r="B165" t="s">
        <v>3031</v>
      </c>
      <c r="C165" t="s">
        <v>17</v>
      </c>
      <c r="D165" t="s">
        <v>67</v>
      </c>
      <c r="E165" t="s">
        <v>81</v>
      </c>
      <c r="F165" t="s">
        <v>3050</v>
      </c>
      <c r="G165" t="s">
        <v>3051</v>
      </c>
      <c r="H165" t="s">
        <v>3052</v>
      </c>
    </row>
    <row r="166" spans="1:8" x14ac:dyDescent="0.25">
      <c r="A166">
        <v>1518343</v>
      </c>
      <c r="B166" t="s">
        <v>3031</v>
      </c>
      <c r="C166" t="s">
        <v>17</v>
      </c>
      <c r="D166" t="s">
        <v>43</v>
      </c>
      <c r="E166" t="s">
        <v>576</v>
      </c>
      <c r="F166" t="s">
        <v>3053</v>
      </c>
      <c r="G166" t="s">
        <v>3054</v>
      </c>
      <c r="H166" t="s">
        <v>3055</v>
      </c>
    </row>
    <row r="167" spans="1:8" x14ac:dyDescent="0.25">
      <c r="A167">
        <v>1518352</v>
      </c>
      <c r="B167" t="s">
        <v>3031</v>
      </c>
      <c r="C167" t="s">
        <v>17</v>
      </c>
      <c r="D167" t="s">
        <v>43</v>
      </c>
      <c r="E167" t="s">
        <v>576</v>
      </c>
      <c r="F167" t="s">
        <v>3056</v>
      </c>
      <c r="G167" t="s">
        <v>951</v>
      </c>
      <c r="H167" t="s">
        <v>3057</v>
      </c>
    </row>
    <row r="168" spans="1:8" x14ac:dyDescent="0.25">
      <c r="A168">
        <v>1518567</v>
      </c>
      <c r="B168" t="s">
        <v>3031</v>
      </c>
      <c r="C168" t="s">
        <v>17</v>
      </c>
      <c r="D168" t="s">
        <v>43</v>
      </c>
      <c r="E168" t="s">
        <v>576</v>
      </c>
      <c r="F168" t="s">
        <v>1277</v>
      </c>
      <c r="G168" t="s">
        <v>3058</v>
      </c>
      <c r="H168" t="s">
        <v>3059</v>
      </c>
    </row>
    <row r="169" spans="1:8" x14ac:dyDescent="0.25">
      <c r="A169">
        <v>1525613</v>
      </c>
      <c r="B169" t="s">
        <v>3031</v>
      </c>
      <c r="C169" t="s">
        <v>17</v>
      </c>
      <c r="D169" t="s">
        <v>43</v>
      </c>
      <c r="E169" t="s">
        <v>3060</v>
      </c>
      <c r="F169" t="s">
        <v>954</v>
      </c>
      <c r="G169" t="s">
        <v>1220</v>
      </c>
      <c r="H169" t="s">
        <v>3061</v>
      </c>
    </row>
    <row r="170" spans="1:8" x14ac:dyDescent="0.25">
      <c r="A170">
        <v>1526680</v>
      </c>
      <c r="B170" t="s">
        <v>3031</v>
      </c>
      <c r="C170" t="s">
        <v>17</v>
      </c>
      <c r="D170" t="s">
        <v>377</v>
      </c>
      <c r="E170" t="s">
        <v>2949</v>
      </c>
      <c r="F170" t="s">
        <v>3062</v>
      </c>
      <c r="G170" t="s">
        <v>3063</v>
      </c>
      <c r="H170" t="s">
        <v>3064</v>
      </c>
    </row>
    <row r="171" spans="1:8" x14ac:dyDescent="0.25">
      <c r="A171">
        <v>1526682</v>
      </c>
      <c r="B171" t="s">
        <v>3031</v>
      </c>
      <c r="C171" t="s">
        <v>17</v>
      </c>
      <c r="D171" t="s">
        <v>377</v>
      </c>
      <c r="E171" t="s">
        <v>2949</v>
      </c>
      <c r="F171" t="s">
        <v>3065</v>
      </c>
      <c r="G171" t="s">
        <v>3066</v>
      </c>
      <c r="H171" t="s">
        <v>3067</v>
      </c>
    </row>
    <row r="172" spans="1:8" x14ac:dyDescent="0.25">
      <c r="A172">
        <v>1527155</v>
      </c>
      <c r="B172" t="s">
        <v>3031</v>
      </c>
      <c r="C172" t="s">
        <v>17</v>
      </c>
      <c r="D172" t="s">
        <v>35</v>
      </c>
      <c r="E172" t="s">
        <v>2827</v>
      </c>
      <c r="F172" t="s">
        <v>3068</v>
      </c>
      <c r="G172" t="s">
        <v>3069</v>
      </c>
      <c r="H172" t="s">
        <v>3070</v>
      </c>
    </row>
    <row r="173" spans="1:8" x14ac:dyDescent="0.25">
      <c r="A173">
        <v>1527913</v>
      </c>
      <c r="B173" t="s">
        <v>3031</v>
      </c>
      <c r="C173" t="s">
        <v>17</v>
      </c>
      <c r="D173" t="s">
        <v>569</v>
      </c>
      <c r="E173" t="s">
        <v>49</v>
      </c>
      <c r="F173" t="s">
        <v>1514</v>
      </c>
      <c r="G173" t="s">
        <v>3071</v>
      </c>
      <c r="H173" t="s">
        <v>3072</v>
      </c>
    </row>
    <row r="174" spans="1:8" x14ac:dyDescent="0.25">
      <c r="A174">
        <v>1529897</v>
      </c>
      <c r="B174" t="s">
        <v>3031</v>
      </c>
      <c r="C174" t="s">
        <v>17</v>
      </c>
      <c r="D174" t="s">
        <v>377</v>
      </c>
      <c r="E174" t="s">
        <v>2796</v>
      </c>
      <c r="F174" t="s">
        <v>3073</v>
      </c>
      <c r="G174" t="s">
        <v>3074</v>
      </c>
      <c r="H174" t="s">
        <v>3075</v>
      </c>
    </row>
    <row r="175" spans="1:8" x14ac:dyDescent="0.25">
      <c r="A175">
        <v>1535589</v>
      </c>
      <c r="B175" t="s">
        <v>3031</v>
      </c>
      <c r="C175" t="s">
        <v>17</v>
      </c>
      <c r="D175" t="s">
        <v>63</v>
      </c>
      <c r="E175" t="s">
        <v>384</v>
      </c>
      <c r="F175" t="s">
        <v>3076</v>
      </c>
      <c r="G175" t="s">
        <v>3077</v>
      </c>
      <c r="H175" t="s">
        <v>3078</v>
      </c>
    </row>
    <row r="176" spans="1:8" x14ac:dyDescent="0.25">
      <c r="A176">
        <v>1535590</v>
      </c>
      <c r="B176" t="s">
        <v>3031</v>
      </c>
      <c r="C176" t="s">
        <v>17</v>
      </c>
      <c r="D176" t="s">
        <v>63</v>
      </c>
      <c r="E176" t="s">
        <v>384</v>
      </c>
      <c r="F176" t="s">
        <v>3079</v>
      </c>
      <c r="G176" t="s">
        <v>3080</v>
      </c>
      <c r="H176" t="s">
        <v>3081</v>
      </c>
    </row>
    <row r="177" spans="1:8" x14ac:dyDescent="0.25">
      <c r="A177">
        <v>1398625</v>
      </c>
      <c r="B177" t="s">
        <v>3082</v>
      </c>
      <c r="C177" t="s">
        <v>17</v>
      </c>
      <c r="D177" t="s">
        <v>42</v>
      </c>
      <c r="E177" t="s">
        <v>50</v>
      </c>
      <c r="F177" t="s">
        <v>494</v>
      </c>
      <c r="G177" t="s">
        <v>3083</v>
      </c>
      <c r="H177" t="s">
        <v>3084</v>
      </c>
    </row>
    <row r="178" spans="1:8" x14ac:dyDescent="0.25">
      <c r="A178">
        <v>1398632</v>
      </c>
      <c r="B178" t="s">
        <v>3082</v>
      </c>
      <c r="C178" t="s">
        <v>17</v>
      </c>
      <c r="D178" t="s">
        <v>42</v>
      </c>
      <c r="E178" t="s">
        <v>50</v>
      </c>
      <c r="F178" t="s">
        <v>3085</v>
      </c>
      <c r="G178" t="s">
        <v>3086</v>
      </c>
      <c r="H178" t="s">
        <v>3087</v>
      </c>
    </row>
    <row r="179" spans="1:8" x14ac:dyDescent="0.25">
      <c r="A179">
        <v>1451596</v>
      </c>
      <c r="B179" t="s">
        <v>3082</v>
      </c>
      <c r="C179" t="s">
        <v>17</v>
      </c>
      <c r="D179" t="s">
        <v>44</v>
      </c>
      <c r="E179" t="s">
        <v>45</v>
      </c>
      <c r="F179" t="s">
        <v>3088</v>
      </c>
      <c r="G179" t="s">
        <v>3089</v>
      </c>
      <c r="H179" t="s">
        <v>3090</v>
      </c>
    </row>
    <row r="180" spans="1:8" x14ac:dyDescent="0.25">
      <c r="A180">
        <v>1467990</v>
      </c>
      <c r="B180" t="s">
        <v>3082</v>
      </c>
      <c r="C180" t="s">
        <v>17</v>
      </c>
      <c r="D180" t="s">
        <v>41</v>
      </c>
      <c r="E180" t="s">
        <v>382</v>
      </c>
      <c r="F180" t="s">
        <v>3091</v>
      </c>
      <c r="G180" t="s">
        <v>3092</v>
      </c>
      <c r="H180" t="s">
        <v>3093</v>
      </c>
    </row>
    <row r="181" spans="1:8" x14ac:dyDescent="0.25">
      <c r="A181">
        <v>1467991</v>
      </c>
      <c r="B181" t="s">
        <v>3082</v>
      </c>
      <c r="C181" t="s">
        <v>17</v>
      </c>
      <c r="D181" t="s">
        <v>41</v>
      </c>
      <c r="E181" t="s">
        <v>382</v>
      </c>
      <c r="F181" t="s">
        <v>3094</v>
      </c>
      <c r="G181" t="s">
        <v>3095</v>
      </c>
      <c r="H181" t="s">
        <v>3096</v>
      </c>
    </row>
    <row r="182" spans="1:8" x14ac:dyDescent="0.25">
      <c r="A182">
        <v>1468837</v>
      </c>
      <c r="B182" t="s">
        <v>3082</v>
      </c>
      <c r="C182" t="s">
        <v>17</v>
      </c>
      <c r="D182" t="s">
        <v>41</v>
      </c>
      <c r="E182" t="s">
        <v>382</v>
      </c>
      <c r="F182" t="s">
        <v>3097</v>
      </c>
      <c r="G182" t="s">
        <v>3098</v>
      </c>
      <c r="H182" t="s">
        <v>3099</v>
      </c>
    </row>
    <row r="183" spans="1:8" x14ac:dyDescent="0.25">
      <c r="A183">
        <v>1468933</v>
      </c>
      <c r="B183" t="s">
        <v>3082</v>
      </c>
      <c r="C183" t="s">
        <v>17</v>
      </c>
      <c r="D183" t="s">
        <v>41</v>
      </c>
      <c r="E183" t="s">
        <v>382</v>
      </c>
      <c r="F183" t="s">
        <v>3100</v>
      </c>
      <c r="G183" t="s">
        <v>3101</v>
      </c>
      <c r="H183" t="s">
        <v>3102</v>
      </c>
    </row>
    <row r="184" spans="1:8" x14ac:dyDescent="0.25">
      <c r="A184">
        <v>1488911</v>
      </c>
      <c r="B184" t="s">
        <v>3082</v>
      </c>
      <c r="C184" t="s">
        <v>17</v>
      </c>
      <c r="D184" t="s">
        <v>44</v>
      </c>
      <c r="E184" t="s">
        <v>2936</v>
      </c>
      <c r="F184" t="s">
        <v>3103</v>
      </c>
      <c r="G184" t="s">
        <v>3104</v>
      </c>
      <c r="H184" t="s">
        <v>3105</v>
      </c>
    </row>
    <row r="185" spans="1:8" x14ac:dyDescent="0.25">
      <c r="A185">
        <v>1513504</v>
      </c>
      <c r="B185" t="s">
        <v>3082</v>
      </c>
      <c r="C185" t="s">
        <v>17</v>
      </c>
      <c r="D185" t="s">
        <v>546</v>
      </c>
      <c r="E185" t="s">
        <v>580</v>
      </c>
      <c r="F185" t="s">
        <v>1353</v>
      </c>
      <c r="G185" t="s">
        <v>1011</v>
      </c>
      <c r="H185" t="s">
        <v>3106</v>
      </c>
    </row>
    <row r="186" spans="1:8" x14ac:dyDescent="0.25">
      <c r="A186">
        <v>1513506</v>
      </c>
      <c r="B186" t="s">
        <v>3082</v>
      </c>
      <c r="C186" t="s">
        <v>17</v>
      </c>
      <c r="D186" t="s">
        <v>546</v>
      </c>
      <c r="E186" t="s">
        <v>580</v>
      </c>
      <c r="F186" t="s">
        <v>3107</v>
      </c>
      <c r="G186" t="s">
        <v>1352</v>
      </c>
      <c r="H186" t="s">
        <v>3108</v>
      </c>
    </row>
    <row r="187" spans="1:8" x14ac:dyDescent="0.25">
      <c r="A187">
        <v>1519513</v>
      </c>
      <c r="B187" t="s">
        <v>3082</v>
      </c>
      <c r="C187" t="s">
        <v>17</v>
      </c>
      <c r="D187" t="s">
        <v>546</v>
      </c>
      <c r="E187" t="s">
        <v>547</v>
      </c>
      <c r="F187" t="s">
        <v>3109</v>
      </c>
      <c r="G187" t="s">
        <v>3110</v>
      </c>
      <c r="H187" t="s">
        <v>3111</v>
      </c>
    </row>
    <row r="188" spans="1:8" x14ac:dyDescent="0.25">
      <c r="A188">
        <v>1533975</v>
      </c>
      <c r="B188" t="s">
        <v>3082</v>
      </c>
      <c r="C188" t="s">
        <v>17</v>
      </c>
      <c r="D188" t="s">
        <v>95</v>
      </c>
      <c r="E188" t="s">
        <v>378</v>
      </c>
      <c r="F188" t="s">
        <v>934</v>
      </c>
      <c r="G188" t="s">
        <v>3112</v>
      </c>
      <c r="H188" t="s">
        <v>3113</v>
      </c>
    </row>
    <row r="189" spans="1:8" x14ac:dyDescent="0.25">
      <c r="A189">
        <v>1400199</v>
      </c>
      <c r="B189" t="s">
        <v>3114</v>
      </c>
      <c r="C189" t="s">
        <v>17</v>
      </c>
      <c r="D189" t="s">
        <v>377</v>
      </c>
      <c r="E189" t="s">
        <v>49</v>
      </c>
      <c r="F189" t="s">
        <v>2475</v>
      </c>
      <c r="G189" t="s">
        <v>3115</v>
      </c>
      <c r="H189" t="s">
        <v>3116</v>
      </c>
    </row>
    <row r="190" spans="1:8" x14ac:dyDescent="0.25">
      <c r="A190">
        <v>1412657</v>
      </c>
      <c r="B190" t="s">
        <v>3114</v>
      </c>
      <c r="C190" t="s">
        <v>17</v>
      </c>
      <c r="D190" t="s">
        <v>319</v>
      </c>
      <c r="E190" t="s">
        <v>3037</v>
      </c>
      <c r="F190" t="s">
        <v>3117</v>
      </c>
      <c r="G190" t="s">
        <v>3118</v>
      </c>
      <c r="H190" t="s">
        <v>3119</v>
      </c>
    </row>
    <row r="191" spans="1:8" x14ac:dyDescent="0.25">
      <c r="A191">
        <v>1504157</v>
      </c>
      <c r="B191" t="s">
        <v>3114</v>
      </c>
      <c r="C191" t="s">
        <v>17</v>
      </c>
      <c r="D191" t="s">
        <v>21</v>
      </c>
      <c r="E191" t="s">
        <v>22</v>
      </c>
      <c r="F191" t="s">
        <v>3120</v>
      </c>
      <c r="G191" t="s">
        <v>3121</v>
      </c>
      <c r="H191" t="s">
        <v>3122</v>
      </c>
    </row>
    <row r="192" spans="1:8" x14ac:dyDescent="0.25">
      <c r="A192">
        <v>1391576</v>
      </c>
      <c r="B192" t="s">
        <v>3123</v>
      </c>
      <c r="C192" t="s">
        <v>17</v>
      </c>
      <c r="D192" t="s">
        <v>319</v>
      </c>
      <c r="E192" t="s">
        <v>49</v>
      </c>
      <c r="F192" t="s">
        <v>3124</v>
      </c>
      <c r="G192" t="s">
        <v>3125</v>
      </c>
      <c r="H192" t="s">
        <v>3126</v>
      </c>
    </row>
    <row r="193" spans="1:8" x14ac:dyDescent="0.25">
      <c r="A193">
        <v>1397237</v>
      </c>
      <c r="B193" t="s">
        <v>3123</v>
      </c>
      <c r="C193" t="s">
        <v>17</v>
      </c>
      <c r="D193" t="s">
        <v>40</v>
      </c>
      <c r="E193" t="s">
        <v>3127</v>
      </c>
      <c r="F193" t="s">
        <v>3128</v>
      </c>
      <c r="G193" t="s">
        <v>3129</v>
      </c>
      <c r="H193" t="s">
        <v>3130</v>
      </c>
    </row>
    <row r="194" spans="1:8" x14ac:dyDescent="0.25">
      <c r="A194">
        <v>1397238</v>
      </c>
      <c r="B194" t="s">
        <v>3123</v>
      </c>
      <c r="C194" t="s">
        <v>17</v>
      </c>
      <c r="D194" t="s">
        <v>40</v>
      </c>
      <c r="E194" t="s">
        <v>3127</v>
      </c>
      <c r="F194" t="s">
        <v>3131</v>
      </c>
      <c r="G194" t="s">
        <v>3132</v>
      </c>
      <c r="H194" t="s">
        <v>3133</v>
      </c>
    </row>
    <row r="195" spans="1:8" x14ac:dyDescent="0.25">
      <c r="A195">
        <v>1397380</v>
      </c>
      <c r="B195" t="s">
        <v>3123</v>
      </c>
      <c r="C195" t="s">
        <v>17</v>
      </c>
      <c r="D195" t="s">
        <v>51</v>
      </c>
      <c r="E195" t="s">
        <v>3134</v>
      </c>
      <c r="F195" t="s">
        <v>3135</v>
      </c>
      <c r="G195" t="s">
        <v>3136</v>
      </c>
      <c r="H195" t="s">
        <v>3137</v>
      </c>
    </row>
    <row r="196" spans="1:8" x14ac:dyDescent="0.25">
      <c r="A196">
        <v>1397383</v>
      </c>
      <c r="B196" t="s">
        <v>3123</v>
      </c>
      <c r="C196" t="s">
        <v>17</v>
      </c>
      <c r="D196" t="s">
        <v>51</v>
      </c>
      <c r="E196" t="s">
        <v>3134</v>
      </c>
      <c r="F196" t="s">
        <v>3138</v>
      </c>
      <c r="G196" t="s">
        <v>3139</v>
      </c>
      <c r="H196" t="s">
        <v>3140</v>
      </c>
    </row>
    <row r="197" spans="1:8" x14ac:dyDescent="0.25">
      <c r="A197">
        <v>1398208</v>
      </c>
      <c r="B197" t="s">
        <v>3123</v>
      </c>
      <c r="C197" t="s">
        <v>17</v>
      </c>
      <c r="D197" t="s">
        <v>53</v>
      </c>
      <c r="E197" t="s">
        <v>264</v>
      </c>
      <c r="F197" t="s">
        <v>2263</v>
      </c>
      <c r="G197" t="s">
        <v>3141</v>
      </c>
      <c r="H197" t="s">
        <v>3142</v>
      </c>
    </row>
    <row r="198" spans="1:8" x14ac:dyDescent="0.25">
      <c r="A198">
        <v>1401351</v>
      </c>
      <c r="B198" t="s">
        <v>3123</v>
      </c>
      <c r="C198" t="s">
        <v>17</v>
      </c>
      <c r="D198" t="s">
        <v>43</v>
      </c>
      <c r="E198" t="s">
        <v>3143</v>
      </c>
      <c r="F198" t="s">
        <v>3144</v>
      </c>
      <c r="G198" t="s">
        <v>3145</v>
      </c>
      <c r="H198" t="s">
        <v>3146</v>
      </c>
    </row>
    <row r="199" spans="1:8" x14ac:dyDescent="0.25">
      <c r="A199">
        <v>1410365</v>
      </c>
      <c r="B199" t="s">
        <v>3123</v>
      </c>
      <c r="C199" t="s">
        <v>17</v>
      </c>
      <c r="D199" t="s">
        <v>51</v>
      </c>
      <c r="E199" t="s">
        <v>3147</v>
      </c>
      <c r="F199" t="s">
        <v>3148</v>
      </c>
      <c r="G199" t="s">
        <v>3149</v>
      </c>
      <c r="H199" t="s">
        <v>3150</v>
      </c>
    </row>
    <row r="200" spans="1:8" x14ac:dyDescent="0.25">
      <c r="A200">
        <v>1410668</v>
      </c>
      <c r="B200" t="s">
        <v>3123</v>
      </c>
      <c r="C200" t="s">
        <v>17</v>
      </c>
      <c r="D200" t="s">
        <v>51</v>
      </c>
      <c r="E200" t="s">
        <v>386</v>
      </c>
      <c r="F200" t="s">
        <v>3151</v>
      </c>
      <c r="G200" t="s">
        <v>1396</v>
      </c>
      <c r="H200" t="s">
        <v>3152</v>
      </c>
    </row>
    <row r="201" spans="1:8" x14ac:dyDescent="0.25">
      <c r="A201">
        <v>1410970</v>
      </c>
      <c r="B201" t="s">
        <v>3123</v>
      </c>
      <c r="C201" t="s">
        <v>17</v>
      </c>
      <c r="D201" t="s">
        <v>51</v>
      </c>
      <c r="E201" t="s">
        <v>539</v>
      </c>
      <c r="F201" t="s">
        <v>3153</v>
      </c>
      <c r="G201" t="s">
        <v>3154</v>
      </c>
      <c r="H201" t="s">
        <v>3155</v>
      </c>
    </row>
    <row r="202" spans="1:8" x14ac:dyDescent="0.25">
      <c r="A202">
        <v>1411270</v>
      </c>
      <c r="B202" t="s">
        <v>3123</v>
      </c>
      <c r="C202" t="s">
        <v>17</v>
      </c>
      <c r="D202" t="s">
        <v>51</v>
      </c>
      <c r="E202" t="s">
        <v>581</v>
      </c>
      <c r="F202" t="s">
        <v>3156</v>
      </c>
      <c r="G202" t="s">
        <v>3157</v>
      </c>
      <c r="H202" t="s">
        <v>3158</v>
      </c>
    </row>
    <row r="203" spans="1:8" x14ac:dyDescent="0.25">
      <c r="A203">
        <v>1411271</v>
      </c>
      <c r="B203" t="s">
        <v>3123</v>
      </c>
      <c r="C203" t="s">
        <v>17</v>
      </c>
      <c r="D203" t="s">
        <v>51</v>
      </c>
      <c r="E203" t="s">
        <v>581</v>
      </c>
      <c r="F203" t="s">
        <v>3159</v>
      </c>
      <c r="G203" t="s">
        <v>3160</v>
      </c>
      <c r="H203" t="s">
        <v>3161</v>
      </c>
    </row>
    <row r="204" spans="1:8" x14ac:dyDescent="0.25">
      <c r="A204">
        <v>1416379</v>
      </c>
      <c r="B204" t="s">
        <v>3123</v>
      </c>
      <c r="C204" t="s">
        <v>17</v>
      </c>
      <c r="D204" t="s">
        <v>319</v>
      </c>
      <c r="E204" t="s">
        <v>320</v>
      </c>
      <c r="F204" t="s">
        <v>1030</v>
      </c>
      <c r="G204" t="s">
        <v>3162</v>
      </c>
      <c r="H204" t="s">
        <v>3163</v>
      </c>
    </row>
    <row r="205" spans="1:8" x14ac:dyDescent="0.25">
      <c r="A205">
        <v>1416380</v>
      </c>
      <c r="B205" t="s">
        <v>3123</v>
      </c>
      <c r="C205" t="s">
        <v>17</v>
      </c>
      <c r="D205" t="s">
        <v>319</v>
      </c>
      <c r="E205" t="s">
        <v>320</v>
      </c>
      <c r="F205" t="s">
        <v>3164</v>
      </c>
      <c r="G205" t="s">
        <v>3165</v>
      </c>
      <c r="H205" t="s">
        <v>3166</v>
      </c>
    </row>
    <row r="206" spans="1:8" x14ac:dyDescent="0.25">
      <c r="A206">
        <v>1433604</v>
      </c>
      <c r="B206" t="s">
        <v>3123</v>
      </c>
      <c r="C206" t="s">
        <v>17</v>
      </c>
      <c r="D206" t="s">
        <v>78</v>
      </c>
      <c r="E206" t="s">
        <v>3167</v>
      </c>
      <c r="F206" t="s">
        <v>3168</v>
      </c>
      <c r="G206" t="s">
        <v>3169</v>
      </c>
      <c r="H206" t="s">
        <v>3170</v>
      </c>
    </row>
    <row r="207" spans="1:8" x14ac:dyDescent="0.25">
      <c r="A207">
        <v>1433605</v>
      </c>
      <c r="B207" t="s">
        <v>3123</v>
      </c>
      <c r="C207" t="s">
        <v>32</v>
      </c>
      <c r="D207" t="s">
        <v>78</v>
      </c>
      <c r="E207" t="s">
        <v>3167</v>
      </c>
      <c r="F207" t="s">
        <v>3171</v>
      </c>
      <c r="G207" t="s">
        <v>3172</v>
      </c>
      <c r="H207" t="s">
        <v>3173</v>
      </c>
    </row>
    <row r="208" spans="1:8" x14ac:dyDescent="0.25">
      <c r="A208">
        <v>1433689</v>
      </c>
      <c r="B208" t="s">
        <v>3123</v>
      </c>
      <c r="C208" t="s">
        <v>17</v>
      </c>
      <c r="D208" t="s">
        <v>78</v>
      </c>
      <c r="E208" t="s">
        <v>3174</v>
      </c>
      <c r="F208" t="s">
        <v>3175</v>
      </c>
      <c r="G208" t="s">
        <v>3176</v>
      </c>
      <c r="H208" t="s">
        <v>3177</v>
      </c>
    </row>
    <row r="209" spans="1:8" x14ac:dyDescent="0.25">
      <c r="A209">
        <v>1437625</v>
      </c>
      <c r="B209" t="s">
        <v>3123</v>
      </c>
      <c r="C209" t="s">
        <v>17</v>
      </c>
      <c r="D209" t="s">
        <v>65</v>
      </c>
      <c r="E209" t="s">
        <v>3178</v>
      </c>
      <c r="F209" t="s">
        <v>3179</v>
      </c>
      <c r="G209" t="s">
        <v>3180</v>
      </c>
      <c r="H209" t="s">
        <v>3181</v>
      </c>
    </row>
    <row r="210" spans="1:8" x14ac:dyDescent="0.25">
      <c r="A210">
        <v>1437626</v>
      </c>
      <c r="B210" t="s">
        <v>3123</v>
      </c>
      <c r="C210" t="s">
        <v>17</v>
      </c>
      <c r="D210" t="s">
        <v>65</v>
      </c>
      <c r="E210" t="s">
        <v>3178</v>
      </c>
      <c r="F210" t="s">
        <v>3182</v>
      </c>
      <c r="G210" t="s">
        <v>3183</v>
      </c>
      <c r="H210" t="s">
        <v>3184</v>
      </c>
    </row>
    <row r="211" spans="1:8" x14ac:dyDescent="0.25">
      <c r="A211">
        <v>1437627</v>
      </c>
      <c r="B211" t="s">
        <v>3123</v>
      </c>
      <c r="C211" t="s">
        <v>17</v>
      </c>
      <c r="D211" t="s">
        <v>65</v>
      </c>
      <c r="E211" t="s">
        <v>3178</v>
      </c>
      <c r="F211" t="s">
        <v>3185</v>
      </c>
      <c r="G211" t="s">
        <v>3186</v>
      </c>
      <c r="H211" t="s">
        <v>3187</v>
      </c>
    </row>
    <row r="212" spans="1:8" x14ac:dyDescent="0.25">
      <c r="A212">
        <v>1437628</v>
      </c>
      <c r="B212" t="s">
        <v>3123</v>
      </c>
      <c r="C212" t="s">
        <v>17</v>
      </c>
      <c r="D212" t="s">
        <v>65</v>
      </c>
      <c r="E212" t="s">
        <v>3178</v>
      </c>
      <c r="F212" t="s">
        <v>3188</v>
      </c>
      <c r="G212" t="s">
        <v>3189</v>
      </c>
      <c r="H212" t="s">
        <v>3190</v>
      </c>
    </row>
    <row r="213" spans="1:8" x14ac:dyDescent="0.25">
      <c r="A213">
        <v>1437819</v>
      </c>
      <c r="B213" t="s">
        <v>3123</v>
      </c>
      <c r="C213" t="s">
        <v>17</v>
      </c>
      <c r="D213" t="s">
        <v>65</v>
      </c>
      <c r="E213" t="s">
        <v>3191</v>
      </c>
      <c r="F213" t="s">
        <v>3192</v>
      </c>
      <c r="G213" t="s">
        <v>3193</v>
      </c>
      <c r="H213" t="s">
        <v>3194</v>
      </c>
    </row>
    <row r="214" spans="1:8" x14ac:dyDescent="0.25">
      <c r="A214">
        <v>1437820</v>
      </c>
      <c r="B214" t="s">
        <v>3123</v>
      </c>
      <c r="C214" t="s">
        <v>17</v>
      </c>
      <c r="D214" t="s">
        <v>65</v>
      </c>
      <c r="E214" t="s">
        <v>3191</v>
      </c>
      <c r="F214" t="s">
        <v>3195</v>
      </c>
      <c r="G214" t="s">
        <v>3196</v>
      </c>
      <c r="H214" t="s">
        <v>3197</v>
      </c>
    </row>
    <row r="215" spans="1:8" x14ac:dyDescent="0.25">
      <c r="A215">
        <v>1437822</v>
      </c>
      <c r="B215" t="s">
        <v>3123</v>
      </c>
      <c r="C215" t="s">
        <v>17</v>
      </c>
      <c r="D215" t="s">
        <v>65</v>
      </c>
      <c r="E215" t="s">
        <v>3191</v>
      </c>
      <c r="F215" t="s">
        <v>3198</v>
      </c>
      <c r="G215" t="s">
        <v>3199</v>
      </c>
      <c r="H215" t="s">
        <v>3200</v>
      </c>
    </row>
    <row r="216" spans="1:8" x14ac:dyDescent="0.25">
      <c r="A216">
        <v>1437823</v>
      </c>
      <c r="B216" t="s">
        <v>3123</v>
      </c>
      <c r="C216" t="s">
        <v>17</v>
      </c>
      <c r="D216" t="s">
        <v>65</v>
      </c>
      <c r="E216" t="s">
        <v>3191</v>
      </c>
      <c r="F216" t="s">
        <v>3201</v>
      </c>
      <c r="G216" t="s">
        <v>3202</v>
      </c>
      <c r="H216" t="s">
        <v>3203</v>
      </c>
    </row>
    <row r="217" spans="1:8" x14ac:dyDescent="0.25">
      <c r="A217">
        <v>1461559</v>
      </c>
      <c r="B217" t="s">
        <v>3123</v>
      </c>
      <c r="C217" t="s">
        <v>34</v>
      </c>
      <c r="D217" t="s">
        <v>40</v>
      </c>
      <c r="E217" t="s">
        <v>584</v>
      </c>
      <c r="F217" t="s">
        <v>3204</v>
      </c>
      <c r="G217" t="s">
        <v>3205</v>
      </c>
      <c r="H217" t="s">
        <v>3206</v>
      </c>
    </row>
    <row r="218" spans="1:8" x14ac:dyDescent="0.25">
      <c r="A218">
        <v>1468838</v>
      </c>
      <c r="B218" t="s">
        <v>3123</v>
      </c>
      <c r="C218" t="s">
        <v>17</v>
      </c>
      <c r="D218" t="s">
        <v>41</v>
      </c>
      <c r="E218" t="s">
        <v>382</v>
      </c>
      <c r="F218" t="s">
        <v>3207</v>
      </c>
      <c r="G218" t="s">
        <v>3208</v>
      </c>
      <c r="H218" t="s">
        <v>3209</v>
      </c>
    </row>
    <row r="219" spans="1:8" x14ac:dyDescent="0.25">
      <c r="A219">
        <v>1470754</v>
      </c>
      <c r="B219" t="s">
        <v>3123</v>
      </c>
      <c r="C219" t="s">
        <v>17</v>
      </c>
      <c r="D219" t="s">
        <v>67</v>
      </c>
      <c r="E219" t="s">
        <v>3210</v>
      </c>
      <c r="F219" t="s">
        <v>3211</v>
      </c>
      <c r="G219" t="s">
        <v>3212</v>
      </c>
      <c r="H219" t="s">
        <v>3213</v>
      </c>
    </row>
    <row r="220" spans="1:8" x14ac:dyDescent="0.25">
      <c r="A220">
        <v>1470758</v>
      </c>
      <c r="B220" t="s">
        <v>3123</v>
      </c>
      <c r="C220" t="s">
        <v>17</v>
      </c>
      <c r="D220" t="s">
        <v>67</v>
      </c>
      <c r="E220" t="s">
        <v>3210</v>
      </c>
      <c r="F220" t="s">
        <v>3214</v>
      </c>
      <c r="G220" t="s">
        <v>3215</v>
      </c>
      <c r="H220" t="s">
        <v>3216</v>
      </c>
    </row>
    <row r="221" spans="1:8" x14ac:dyDescent="0.25">
      <c r="A221">
        <v>1481921</v>
      </c>
      <c r="B221" t="s">
        <v>3123</v>
      </c>
      <c r="C221" t="s">
        <v>17</v>
      </c>
      <c r="D221" t="s">
        <v>51</v>
      </c>
      <c r="E221" t="s">
        <v>383</v>
      </c>
      <c r="F221" t="s">
        <v>3217</v>
      </c>
      <c r="G221" t="s">
        <v>1456</v>
      </c>
      <c r="H221" t="s">
        <v>3218</v>
      </c>
    </row>
    <row r="222" spans="1:8" x14ac:dyDescent="0.25">
      <c r="A222">
        <v>1481922</v>
      </c>
      <c r="B222" t="s">
        <v>3123</v>
      </c>
      <c r="C222" t="s">
        <v>17</v>
      </c>
      <c r="D222" t="s">
        <v>51</v>
      </c>
      <c r="E222" t="s">
        <v>383</v>
      </c>
      <c r="F222" t="s">
        <v>3219</v>
      </c>
      <c r="G222" t="s">
        <v>1146</v>
      </c>
      <c r="H222" t="s">
        <v>3220</v>
      </c>
    </row>
    <row r="223" spans="1:8" x14ac:dyDescent="0.25">
      <c r="A223">
        <v>1481925</v>
      </c>
      <c r="B223" t="s">
        <v>3123</v>
      </c>
      <c r="C223" t="s">
        <v>17</v>
      </c>
      <c r="D223" t="s">
        <v>51</v>
      </c>
      <c r="E223" t="s">
        <v>383</v>
      </c>
      <c r="F223" t="s">
        <v>3221</v>
      </c>
      <c r="G223" t="s">
        <v>3222</v>
      </c>
      <c r="H223" t="s">
        <v>3223</v>
      </c>
    </row>
    <row r="224" spans="1:8" x14ac:dyDescent="0.25">
      <c r="A224">
        <v>1481928</v>
      </c>
      <c r="B224" t="s">
        <v>3123</v>
      </c>
      <c r="C224" t="s">
        <v>17</v>
      </c>
      <c r="D224" t="s">
        <v>51</v>
      </c>
      <c r="E224" t="s">
        <v>383</v>
      </c>
      <c r="F224" t="s">
        <v>3224</v>
      </c>
      <c r="G224" t="s">
        <v>3225</v>
      </c>
      <c r="H224" t="s">
        <v>3226</v>
      </c>
    </row>
    <row r="225" spans="1:8" x14ac:dyDescent="0.25">
      <c r="A225">
        <v>1488909</v>
      </c>
      <c r="B225" t="s">
        <v>3123</v>
      </c>
      <c r="C225" t="s">
        <v>17</v>
      </c>
      <c r="D225" t="s">
        <v>44</v>
      </c>
      <c r="E225" t="s">
        <v>2936</v>
      </c>
      <c r="F225" t="s">
        <v>3227</v>
      </c>
      <c r="G225" t="s">
        <v>3228</v>
      </c>
      <c r="H225" t="s">
        <v>3229</v>
      </c>
    </row>
    <row r="226" spans="1:8" x14ac:dyDescent="0.25">
      <c r="A226">
        <v>1491103</v>
      </c>
      <c r="B226" t="s">
        <v>3123</v>
      </c>
      <c r="C226" t="s">
        <v>17</v>
      </c>
      <c r="D226" t="s">
        <v>105</v>
      </c>
      <c r="E226" t="s">
        <v>106</v>
      </c>
      <c r="F226" t="s">
        <v>3230</v>
      </c>
      <c r="G226" t="s">
        <v>3231</v>
      </c>
      <c r="H226" t="s">
        <v>3232</v>
      </c>
    </row>
    <row r="227" spans="1:8" x14ac:dyDescent="0.25">
      <c r="A227">
        <v>1491272</v>
      </c>
      <c r="B227" t="s">
        <v>3123</v>
      </c>
      <c r="C227" t="s">
        <v>17</v>
      </c>
      <c r="D227" t="s">
        <v>105</v>
      </c>
      <c r="E227" t="s">
        <v>321</v>
      </c>
      <c r="F227" t="s">
        <v>3233</v>
      </c>
      <c r="G227" t="s">
        <v>3234</v>
      </c>
      <c r="H227" t="s">
        <v>3235</v>
      </c>
    </row>
    <row r="228" spans="1:8" x14ac:dyDescent="0.25">
      <c r="A228">
        <v>1491455</v>
      </c>
      <c r="B228" t="s">
        <v>3123</v>
      </c>
      <c r="C228" t="s">
        <v>17</v>
      </c>
      <c r="D228" t="s">
        <v>95</v>
      </c>
      <c r="E228" t="s">
        <v>3236</v>
      </c>
      <c r="F228" t="s">
        <v>3237</v>
      </c>
      <c r="G228" t="s">
        <v>3238</v>
      </c>
      <c r="H228" t="s">
        <v>3239</v>
      </c>
    </row>
    <row r="229" spans="1:8" x14ac:dyDescent="0.25">
      <c r="A229">
        <v>1498014</v>
      </c>
      <c r="B229" t="s">
        <v>3123</v>
      </c>
      <c r="C229" t="s">
        <v>17</v>
      </c>
      <c r="D229" t="s">
        <v>53</v>
      </c>
      <c r="E229" t="s">
        <v>54</v>
      </c>
      <c r="F229" t="s">
        <v>3240</v>
      </c>
      <c r="G229" t="s">
        <v>3241</v>
      </c>
      <c r="H229" t="s">
        <v>3242</v>
      </c>
    </row>
    <row r="230" spans="1:8" x14ac:dyDescent="0.25">
      <c r="A230">
        <v>1502067</v>
      </c>
      <c r="B230" t="s">
        <v>3123</v>
      </c>
      <c r="C230" t="s">
        <v>17</v>
      </c>
      <c r="D230" t="s">
        <v>21</v>
      </c>
      <c r="E230" t="s">
        <v>22</v>
      </c>
      <c r="F230" t="s">
        <v>2524</v>
      </c>
      <c r="G230" t="s">
        <v>3243</v>
      </c>
      <c r="H230" t="s">
        <v>3244</v>
      </c>
    </row>
    <row r="231" spans="1:8" x14ac:dyDescent="0.25">
      <c r="A231">
        <v>1507795</v>
      </c>
      <c r="B231" t="s">
        <v>3123</v>
      </c>
      <c r="C231" t="s">
        <v>17</v>
      </c>
      <c r="D231" t="s">
        <v>21</v>
      </c>
      <c r="E231" t="s">
        <v>22</v>
      </c>
      <c r="F231" t="s">
        <v>3245</v>
      </c>
      <c r="G231" t="s">
        <v>3246</v>
      </c>
      <c r="H231" t="s">
        <v>3247</v>
      </c>
    </row>
    <row r="232" spans="1:8" x14ac:dyDescent="0.25">
      <c r="A232">
        <v>1514582</v>
      </c>
      <c r="B232" t="s">
        <v>3123</v>
      </c>
      <c r="C232" t="s">
        <v>17</v>
      </c>
      <c r="D232" t="s">
        <v>67</v>
      </c>
      <c r="E232" t="s">
        <v>81</v>
      </c>
      <c r="F232" t="s">
        <v>3248</v>
      </c>
      <c r="G232" t="s">
        <v>1266</v>
      </c>
      <c r="H232" t="s">
        <v>3249</v>
      </c>
    </row>
    <row r="233" spans="1:8" x14ac:dyDescent="0.25">
      <c r="A233">
        <v>1518179</v>
      </c>
      <c r="B233" t="s">
        <v>3123</v>
      </c>
      <c r="C233" t="s">
        <v>17</v>
      </c>
      <c r="D233" t="s">
        <v>379</v>
      </c>
      <c r="E233" t="s">
        <v>55</v>
      </c>
      <c r="F233" t="s">
        <v>3250</v>
      </c>
      <c r="G233" t="s">
        <v>1160</v>
      </c>
      <c r="H233" t="s">
        <v>3251</v>
      </c>
    </row>
    <row r="234" spans="1:8" x14ac:dyDescent="0.25">
      <c r="A234">
        <v>1518209</v>
      </c>
      <c r="B234" t="s">
        <v>3123</v>
      </c>
      <c r="C234" t="s">
        <v>17</v>
      </c>
      <c r="D234" t="s">
        <v>43</v>
      </c>
      <c r="E234" t="s">
        <v>576</v>
      </c>
      <c r="F234" t="s">
        <v>3252</v>
      </c>
      <c r="G234" t="s">
        <v>1274</v>
      </c>
      <c r="H234" t="s">
        <v>3253</v>
      </c>
    </row>
    <row r="235" spans="1:8" x14ac:dyDescent="0.25">
      <c r="A235">
        <v>1518344</v>
      </c>
      <c r="B235" t="s">
        <v>3123</v>
      </c>
      <c r="C235" t="s">
        <v>32</v>
      </c>
      <c r="D235" t="s">
        <v>43</v>
      </c>
      <c r="E235" t="s">
        <v>576</v>
      </c>
      <c r="F235" t="s">
        <v>1272</v>
      </c>
      <c r="G235" t="s">
        <v>3254</v>
      </c>
      <c r="H235" t="s">
        <v>3255</v>
      </c>
    </row>
    <row r="236" spans="1:8" x14ac:dyDescent="0.25">
      <c r="A236">
        <v>1518523</v>
      </c>
      <c r="B236" t="s">
        <v>3123</v>
      </c>
      <c r="C236" t="s">
        <v>17</v>
      </c>
      <c r="D236" t="s">
        <v>43</v>
      </c>
      <c r="E236" t="s">
        <v>576</v>
      </c>
      <c r="F236" t="s">
        <v>3256</v>
      </c>
      <c r="G236" t="s">
        <v>3257</v>
      </c>
      <c r="H236" t="s">
        <v>3258</v>
      </c>
    </row>
    <row r="237" spans="1:8" x14ac:dyDescent="0.25">
      <c r="A237">
        <v>1523079</v>
      </c>
      <c r="B237" t="s">
        <v>3123</v>
      </c>
      <c r="C237" t="s">
        <v>17</v>
      </c>
      <c r="D237" t="s">
        <v>419</v>
      </c>
      <c r="E237" t="s">
        <v>81</v>
      </c>
      <c r="F237" t="s">
        <v>3259</v>
      </c>
      <c r="G237" t="s">
        <v>1163</v>
      </c>
      <c r="H237" t="s">
        <v>3260</v>
      </c>
    </row>
    <row r="238" spans="1:8" x14ac:dyDescent="0.25">
      <c r="A238">
        <v>1525811</v>
      </c>
      <c r="B238" t="s">
        <v>3123</v>
      </c>
      <c r="C238" t="s">
        <v>17</v>
      </c>
      <c r="D238" t="s">
        <v>389</v>
      </c>
      <c r="E238" t="s">
        <v>49</v>
      </c>
      <c r="F238" t="s">
        <v>3261</v>
      </c>
      <c r="G238" t="s">
        <v>3262</v>
      </c>
      <c r="H238" t="s">
        <v>3263</v>
      </c>
    </row>
    <row r="239" spans="1:8" x14ac:dyDescent="0.25">
      <c r="A239">
        <v>1526050</v>
      </c>
      <c r="B239" t="s">
        <v>3123</v>
      </c>
      <c r="C239" t="s">
        <v>17</v>
      </c>
      <c r="D239" t="s">
        <v>43</v>
      </c>
      <c r="E239" t="s">
        <v>576</v>
      </c>
      <c r="F239" t="s">
        <v>3264</v>
      </c>
      <c r="G239" t="s">
        <v>3265</v>
      </c>
      <c r="H239" t="s">
        <v>3266</v>
      </c>
    </row>
    <row r="240" spans="1:8" x14ac:dyDescent="0.25">
      <c r="A240">
        <v>1526282</v>
      </c>
      <c r="B240" t="s">
        <v>3123</v>
      </c>
      <c r="C240" t="s">
        <v>17</v>
      </c>
      <c r="D240" t="s">
        <v>587</v>
      </c>
      <c r="E240" t="s">
        <v>588</v>
      </c>
      <c r="F240" t="s">
        <v>3267</v>
      </c>
      <c r="G240" t="s">
        <v>3268</v>
      </c>
      <c r="H240" t="s">
        <v>3269</v>
      </c>
    </row>
    <row r="241" spans="1:8" x14ac:dyDescent="0.25">
      <c r="A241">
        <v>1526678</v>
      </c>
      <c r="B241" t="s">
        <v>3123</v>
      </c>
      <c r="C241" t="s">
        <v>17</v>
      </c>
      <c r="D241" t="s">
        <v>377</v>
      </c>
      <c r="E241" t="s">
        <v>2949</v>
      </c>
      <c r="F241" t="s">
        <v>3270</v>
      </c>
      <c r="G241" t="s">
        <v>3271</v>
      </c>
      <c r="H241" t="s">
        <v>3272</v>
      </c>
    </row>
    <row r="242" spans="1:8" x14ac:dyDescent="0.25">
      <c r="A242">
        <v>1527153</v>
      </c>
      <c r="B242" t="s">
        <v>3123</v>
      </c>
      <c r="C242" t="s">
        <v>17</v>
      </c>
      <c r="D242" t="s">
        <v>35</v>
      </c>
      <c r="E242" t="s">
        <v>2827</v>
      </c>
      <c r="F242" t="s">
        <v>3273</v>
      </c>
      <c r="G242" t="s">
        <v>589</v>
      </c>
      <c r="H242" t="s">
        <v>3274</v>
      </c>
    </row>
    <row r="243" spans="1:8" x14ac:dyDescent="0.25">
      <c r="A243">
        <v>1529899</v>
      </c>
      <c r="B243" t="s">
        <v>3123</v>
      </c>
      <c r="C243" t="s">
        <v>17</v>
      </c>
      <c r="D243" t="s">
        <v>377</v>
      </c>
      <c r="E243" t="s">
        <v>2796</v>
      </c>
      <c r="F243" t="s">
        <v>3275</v>
      </c>
      <c r="G243" t="s">
        <v>3276</v>
      </c>
      <c r="H243" t="s">
        <v>3277</v>
      </c>
    </row>
    <row r="244" spans="1:8" x14ac:dyDescent="0.25">
      <c r="A244">
        <v>1533322</v>
      </c>
      <c r="B244" t="s">
        <v>3123</v>
      </c>
      <c r="C244" t="s">
        <v>2909</v>
      </c>
      <c r="D244" t="s">
        <v>21</v>
      </c>
      <c r="E244" t="s">
        <v>22</v>
      </c>
      <c r="F244" t="s">
        <v>3278</v>
      </c>
      <c r="G244" t="s">
        <v>3279</v>
      </c>
      <c r="H244" t="s">
        <v>3280</v>
      </c>
    </row>
    <row r="245" spans="1:8" x14ac:dyDescent="0.25">
      <c r="A245">
        <v>1533324</v>
      </c>
      <c r="B245" t="s">
        <v>3123</v>
      </c>
      <c r="C245" t="s">
        <v>17</v>
      </c>
      <c r="D245" t="s">
        <v>21</v>
      </c>
      <c r="E245" t="s">
        <v>22</v>
      </c>
      <c r="F245" t="s">
        <v>3281</v>
      </c>
      <c r="G245" t="s">
        <v>3282</v>
      </c>
      <c r="H245" t="s">
        <v>3283</v>
      </c>
    </row>
    <row r="246" spans="1:8" x14ac:dyDescent="0.25">
      <c r="A246">
        <v>1412652</v>
      </c>
      <c r="B246" t="s">
        <v>3284</v>
      </c>
      <c r="C246" t="s">
        <v>17</v>
      </c>
      <c r="D246" t="s">
        <v>319</v>
      </c>
      <c r="E246" t="s">
        <v>3037</v>
      </c>
      <c r="F246" t="s">
        <v>3285</v>
      </c>
      <c r="G246" t="s">
        <v>3286</v>
      </c>
      <c r="H246" t="s">
        <v>3287</v>
      </c>
    </row>
    <row r="247" spans="1:8" x14ac:dyDescent="0.25">
      <c r="A247">
        <v>1437824</v>
      </c>
      <c r="B247" t="s">
        <v>3284</v>
      </c>
      <c r="C247" t="s">
        <v>17</v>
      </c>
      <c r="D247" t="s">
        <v>65</v>
      </c>
      <c r="E247" t="s">
        <v>3191</v>
      </c>
      <c r="F247" t="s">
        <v>3288</v>
      </c>
      <c r="G247" t="s">
        <v>3289</v>
      </c>
      <c r="H247" t="s">
        <v>3290</v>
      </c>
    </row>
    <row r="248" spans="1:8" x14ac:dyDescent="0.25">
      <c r="A248">
        <v>1460644</v>
      </c>
      <c r="B248" t="s">
        <v>3284</v>
      </c>
      <c r="C248" t="s">
        <v>17</v>
      </c>
      <c r="D248" t="s">
        <v>40</v>
      </c>
      <c r="E248" t="s">
        <v>678</v>
      </c>
      <c r="F248" t="s">
        <v>1209</v>
      </c>
      <c r="G248" t="s">
        <v>1256</v>
      </c>
      <c r="H248" t="s">
        <v>3291</v>
      </c>
    </row>
    <row r="249" spans="1:8" x14ac:dyDescent="0.25">
      <c r="A249">
        <v>1479749</v>
      </c>
      <c r="B249" t="s">
        <v>3284</v>
      </c>
      <c r="C249" t="s">
        <v>17</v>
      </c>
      <c r="D249" t="s">
        <v>41</v>
      </c>
      <c r="E249" t="s">
        <v>3292</v>
      </c>
      <c r="F249" t="s">
        <v>3293</v>
      </c>
      <c r="G249" t="s">
        <v>3294</v>
      </c>
      <c r="H249" t="s">
        <v>3295</v>
      </c>
    </row>
    <row r="250" spans="1:8" x14ac:dyDescent="0.25">
      <c r="A250">
        <v>1491100</v>
      </c>
      <c r="B250" t="s">
        <v>3284</v>
      </c>
      <c r="C250" t="s">
        <v>17</v>
      </c>
      <c r="D250" t="s">
        <v>105</v>
      </c>
      <c r="E250" t="s">
        <v>106</v>
      </c>
      <c r="F250" t="s">
        <v>3296</v>
      </c>
      <c r="G250" t="s">
        <v>1351</v>
      </c>
      <c r="H250" t="s">
        <v>3297</v>
      </c>
    </row>
    <row r="251" spans="1:8" x14ac:dyDescent="0.25">
      <c r="A251">
        <v>1491273</v>
      </c>
      <c r="B251" t="s">
        <v>3284</v>
      </c>
      <c r="C251" t="s">
        <v>17</v>
      </c>
      <c r="D251" t="s">
        <v>105</v>
      </c>
      <c r="E251" t="s">
        <v>321</v>
      </c>
      <c r="F251" t="s">
        <v>1263</v>
      </c>
      <c r="G251" t="s">
        <v>3298</v>
      </c>
      <c r="H251" t="s">
        <v>3299</v>
      </c>
    </row>
    <row r="252" spans="1:8" x14ac:dyDescent="0.25">
      <c r="A252">
        <v>1504156</v>
      </c>
      <c r="B252" t="s">
        <v>3284</v>
      </c>
      <c r="C252" t="s">
        <v>17</v>
      </c>
      <c r="D252" t="s">
        <v>21</v>
      </c>
      <c r="E252" t="s">
        <v>22</v>
      </c>
      <c r="F252" t="s">
        <v>3300</v>
      </c>
      <c r="G252" t="s">
        <v>3301</v>
      </c>
      <c r="H252" t="s">
        <v>3302</v>
      </c>
    </row>
    <row r="253" spans="1:8" x14ac:dyDescent="0.25">
      <c r="A253">
        <v>1509726</v>
      </c>
      <c r="B253" t="s">
        <v>3284</v>
      </c>
      <c r="C253" t="s">
        <v>32</v>
      </c>
      <c r="D253" t="s">
        <v>58</v>
      </c>
      <c r="E253" t="s">
        <v>3303</v>
      </c>
      <c r="F253" t="s">
        <v>3304</v>
      </c>
      <c r="G253" t="s">
        <v>3305</v>
      </c>
      <c r="H253" t="s">
        <v>3306</v>
      </c>
    </row>
    <row r="254" spans="1:8" x14ac:dyDescent="0.25">
      <c r="A254">
        <v>1528562</v>
      </c>
      <c r="B254" t="s">
        <v>3284</v>
      </c>
      <c r="C254" t="s">
        <v>17</v>
      </c>
      <c r="D254" t="s">
        <v>419</v>
      </c>
      <c r="E254" t="s">
        <v>266</v>
      </c>
      <c r="F254" t="s">
        <v>3307</v>
      </c>
      <c r="G254" t="s">
        <v>3308</v>
      </c>
      <c r="H254" t="s">
        <v>3309</v>
      </c>
    </row>
    <row r="255" spans="1:8" x14ac:dyDescent="0.25">
      <c r="A255">
        <v>1528563</v>
      </c>
      <c r="B255" t="s">
        <v>3284</v>
      </c>
      <c r="C255" t="s">
        <v>17</v>
      </c>
      <c r="D255" t="s">
        <v>419</v>
      </c>
      <c r="E255" t="s">
        <v>266</v>
      </c>
      <c r="F255" t="s">
        <v>3310</v>
      </c>
      <c r="G255" t="s">
        <v>3311</v>
      </c>
      <c r="H255" t="s">
        <v>3312</v>
      </c>
    </row>
    <row r="256" spans="1:8" x14ac:dyDescent="0.25">
      <c r="A256">
        <v>1528564</v>
      </c>
      <c r="B256" t="s">
        <v>3284</v>
      </c>
      <c r="C256" t="s">
        <v>17</v>
      </c>
      <c r="D256" t="s">
        <v>419</v>
      </c>
      <c r="E256" t="s">
        <v>266</v>
      </c>
      <c r="F256" t="s">
        <v>3313</v>
      </c>
      <c r="G256" t="s">
        <v>3314</v>
      </c>
      <c r="H256" t="s">
        <v>3315</v>
      </c>
    </row>
    <row r="257" spans="1:8" x14ac:dyDescent="0.25">
      <c r="A257">
        <v>1528565</v>
      </c>
      <c r="B257" t="s">
        <v>3284</v>
      </c>
      <c r="C257" t="s">
        <v>17</v>
      </c>
      <c r="D257" t="s">
        <v>419</v>
      </c>
      <c r="E257" t="s">
        <v>266</v>
      </c>
      <c r="F257" t="s">
        <v>3316</v>
      </c>
      <c r="G257" t="s">
        <v>3317</v>
      </c>
      <c r="H257" t="s">
        <v>3318</v>
      </c>
    </row>
    <row r="258" spans="1:8" x14ac:dyDescent="0.25">
      <c r="A258">
        <v>1528566</v>
      </c>
      <c r="B258" t="s">
        <v>3284</v>
      </c>
      <c r="C258" t="s">
        <v>17</v>
      </c>
      <c r="D258" t="s">
        <v>419</v>
      </c>
      <c r="E258" t="s">
        <v>266</v>
      </c>
      <c r="F258" t="s">
        <v>3319</v>
      </c>
      <c r="G258" t="s">
        <v>3320</v>
      </c>
      <c r="H258" t="s">
        <v>3321</v>
      </c>
    </row>
    <row r="259" spans="1:8" x14ac:dyDescent="0.25">
      <c r="A259">
        <v>1528857</v>
      </c>
      <c r="B259" t="s">
        <v>3284</v>
      </c>
      <c r="C259" t="s">
        <v>17</v>
      </c>
      <c r="D259" t="s">
        <v>452</v>
      </c>
      <c r="E259" t="s">
        <v>49</v>
      </c>
      <c r="F259" t="s">
        <v>3322</v>
      </c>
      <c r="G259" t="s">
        <v>2452</v>
      </c>
      <c r="H259" t="s">
        <v>3323</v>
      </c>
    </row>
    <row r="260" spans="1:8" x14ac:dyDescent="0.25">
      <c r="A260">
        <v>1532632</v>
      </c>
      <c r="B260" t="s">
        <v>3284</v>
      </c>
      <c r="C260" t="s">
        <v>17</v>
      </c>
      <c r="D260" t="s">
        <v>419</v>
      </c>
      <c r="E260" t="s">
        <v>2834</v>
      </c>
      <c r="F260" t="s">
        <v>3324</v>
      </c>
      <c r="G260" t="s">
        <v>3325</v>
      </c>
      <c r="H260" t="s">
        <v>3326</v>
      </c>
    </row>
    <row r="261" spans="1:8" x14ac:dyDescent="0.25">
      <c r="A261">
        <v>1523080</v>
      </c>
      <c r="B261" t="s">
        <v>3327</v>
      </c>
      <c r="C261" t="s">
        <v>17</v>
      </c>
      <c r="D261" t="s">
        <v>419</v>
      </c>
      <c r="E261" t="s">
        <v>81</v>
      </c>
      <c r="F261" t="s">
        <v>3328</v>
      </c>
      <c r="G261" t="s">
        <v>3329</v>
      </c>
      <c r="H261" t="s">
        <v>3330</v>
      </c>
    </row>
    <row r="262" spans="1:8" x14ac:dyDescent="0.25">
      <c r="A262">
        <v>1523081</v>
      </c>
      <c r="B262" t="s">
        <v>3327</v>
      </c>
      <c r="C262" t="s">
        <v>17</v>
      </c>
      <c r="D262" t="s">
        <v>419</v>
      </c>
      <c r="E262" t="s">
        <v>81</v>
      </c>
      <c r="F262" t="s">
        <v>851</v>
      </c>
      <c r="G262" t="s">
        <v>3331</v>
      </c>
      <c r="H262" t="s">
        <v>3332</v>
      </c>
    </row>
    <row r="263" spans="1:8" x14ac:dyDescent="0.25">
      <c r="A263">
        <v>1533893</v>
      </c>
      <c r="B263" t="s">
        <v>3333</v>
      </c>
      <c r="C263" t="s">
        <v>17</v>
      </c>
      <c r="D263" t="s">
        <v>326</v>
      </c>
      <c r="E263" t="s">
        <v>327</v>
      </c>
      <c r="F263" t="s">
        <v>3334</v>
      </c>
      <c r="G263" t="s">
        <v>3335</v>
      </c>
      <c r="H263" t="s">
        <v>3336</v>
      </c>
    </row>
    <row r="264" spans="1:8" x14ac:dyDescent="0.25">
      <c r="A264">
        <v>1380066</v>
      </c>
      <c r="B264" t="s">
        <v>3337</v>
      </c>
      <c r="C264" t="s">
        <v>17</v>
      </c>
      <c r="D264" t="s">
        <v>78</v>
      </c>
      <c r="E264" t="s">
        <v>335</v>
      </c>
      <c r="F264" t="s">
        <v>3338</v>
      </c>
      <c r="G264" t="s">
        <v>3339</v>
      </c>
      <c r="H264" t="s">
        <v>3340</v>
      </c>
    </row>
    <row r="265" spans="1:8" x14ac:dyDescent="0.25">
      <c r="A265">
        <v>1380067</v>
      </c>
      <c r="B265" t="s">
        <v>3337</v>
      </c>
      <c r="C265" t="s">
        <v>17</v>
      </c>
      <c r="D265" t="s">
        <v>78</v>
      </c>
      <c r="E265" t="s">
        <v>335</v>
      </c>
      <c r="F265" t="s">
        <v>3341</v>
      </c>
      <c r="G265" t="s">
        <v>3342</v>
      </c>
      <c r="H265" t="s">
        <v>3343</v>
      </c>
    </row>
    <row r="266" spans="1:8" x14ac:dyDescent="0.25">
      <c r="A266">
        <v>1380068</v>
      </c>
      <c r="B266" t="s">
        <v>3337</v>
      </c>
      <c r="C266" t="s">
        <v>17</v>
      </c>
      <c r="D266" t="s">
        <v>78</v>
      </c>
      <c r="E266" t="s">
        <v>335</v>
      </c>
      <c r="F266" t="s">
        <v>2510</v>
      </c>
      <c r="G266" t="s">
        <v>3344</v>
      </c>
      <c r="H266" t="s">
        <v>3345</v>
      </c>
    </row>
    <row r="267" spans="1:8" x14ac:dyDescent="0.25">
      <c r="A267">
        <v>1380069</v>
      </c>
      <c r="B267" t="s">
        <v>3337</v>
      </c>
      <c r="C267" t="s">
        <v>17</v>
      </c>
      <c r="D267" t="s">
        <v>78</v>
      </c>
      <c r="E267" t="s">
        <v>335</v>
      </c>
      <c r="F267" t="s">
        <v>3346</v>
      </c>
      <c r="G267" t="s">
        <v>2511</v>
      </c>
      <c r="H267" t="s">
        <v>3347</v>
      </c>
    </row>
    <row r="268" spans="1:8" x14ac:dyDescent="0.25">
      <c r="A268">
        <v>1380070</v>
      </c>
      <c r="B268" t="s">
        <v>3337</v>
      </c>
      <c r="C268" t="s">
        <v>17</v>
      </c>
      <c r="D268" t="s">
        <v>78</v>
      </c>
      <c r="E268" t="s">
        <v>335</v>
      </c>
      <c r="F268" t="s">
        <v>3348</v>
      </c>
      <c r="G268" t="s">
        <v>3349</v>
      </c>
      <c r="H268" t="s">
        <v>3350</v>
      </c>
    </row>
    <row r="269" spans="1:8" x14ac:dyDescent="0.25">
      <c r="A269">
        <v>1380071</v>
      </c>
      <c r="B269" t="s">
        <v>3337</v>
      </c>
      <c r="C269" t="s">
        <v>17</v>
      </c>
      <c r="D269" t="s">
        <v>78</v>
      </c>
      <c r="E269" t="s">
        <v>335</v>
      </c>
      <c r="F269" t="s">
        <v>3351</v>
      </c>
      <c r="G269" t="s">
        <v>3352</v>
      </c>
      <c r="H269" t="s">
        <v>3353</v>
      </c>
    </row>
    <row r="270" spans="1:8" x14ac:dyDescent="0.25">
      <c r="A270">
        <v>1388851</v>
      </c>
      <c r="B270" t="s">
        <v>3337</v>
      </c>
      <c r="C270" t="s">
        <v>17</v>
      </c>
      <c r="D270" t="s">
        <v>43</v>
      </c>
      <c r="E270" t="s">
        <v>337</v>
      </c>
      <c r="F270" t="s">
        <v>3354</v>
      </c>
      <c r="G270" t="s">
        <v>3355</v>
      </c>
      <c r="H270" t="s">
        <v>3356</v>
      </c>
    </row>
    <row r="271" spans="1:8" x14ac:dyDescent="0.25">
      <c r="A271">
        <v>1388854</v>
      </c>
      <c r="B271" t="s">
        <v>3337</v>
      </c>
      <c r="C271" t="s">
        <v>17</v>
      </c>
      <c r="D271" t="s">
        <v>43</v>
      </c>
      <c r="E271" t="s">
        <v>337</v>
      </c>
      <c r="F271" t="s">
        <v>3357</v>
      </c>
      <c r="G271" t="s">
        <v>3358</v>
      </c>
      <c r="H271" t="s">
        <v>3359</v>
      </c>
    </row>
    <row r="272" spans="1:8" x14ac:dyDescent="0.25">
      <c r="A272">
        <v>1388855</v>
      </c>
      <c r="B272" t="s">
        <v>3337</v>
      </c>
      <c r="C272" t="s">
        <v>17</v>
      </c>
      <c r="D272" t="s">
        <v>43</v>
      </c>
      <c r="E272" t="s">
        <v>337</v>
      </c>
      <c r="F272" t="s">
        <v>3360</v>
      </c>
      <c r="G272" t="s">
        <v>1319</v>
      </c>
      <c r="H272" t="s">
        <v>3361</v>
      </c>
    </row>
    <row r="273" spans="1:8" x14ac:dyDescent="0.25">
      <c r="A273">
        <v>1393044</v>
      </c>
      <c r="B273" t="s">
        <v>3337</v>
      </c>
      <c r="C273" t="s">
        <v>17</v>
      </c>
      <c r="D273" t="s">
        <v>78</v>
      </c>
      <c r="E273" t="s">
        <v>3362</v>
      </c>
      <c r="F273" t="s">
        <v>3363</v>
      </c>
      <c r="G273" t="s">
        <v>3364</v>
      </c>
      <c r="H273" t="s">
        <v>3365</v>
      </c>
    </row>
    <row r="274" spans="1:8" x14ac:dyDescent="0.25">
      <c r="A274">
        <v>1393045</v>
      </c>
      <c r="B274" t="s">
        <v>3337</v>
      </c>
      <c r="C274" t="s">
        <v>17</v>
      </c>
      <c r="D274" t="s">
        <v>78</v>
      </c>
      <c r="E274" t="s">
        <v>3362</v>
      </c>
      <c r="F274" t="s">
        <v>3366</v>
      </c>
      <c r="G274" t="s">
        <v>3367</v>
      </c>
      <c r="H274" t="s">
        <v>3368</v>
      </c>
    </row>
    <row r="275" spans="1:8" x14ac:dyDescent="0.25">
      <c r="A275">
        <v>1393046</v>
      </c>
      <c r="B275" t="s">
        <v>3337</v>
      </c>
      <c r="C275" t="s">
        <v>17</v>
      </c>
      <c r="D275" t="s">
        <v>78</v>
      </c>
      <c r="E275" t="s">
        <v>3362</v>
      </c>
      <c r="F275" t="s">
        <v>3369</v>
      </c>
      <c r="G275" t="s">
        <v>3370</v>
      </c>
      <c r="H275" t="s">
        <v>3371</v>
      </c>
    </row>
    <row r="276" spans="1:8" x14ac:dyDescent="0.25">
      <c r="A276">
        <v>1393047</v>
      </c>
      <c r="B276" t="s">
        <v>3337</v>
      </c>
      <c r="C276" t="s">
        <v>17</v>
      </c>
      <c r="D276" t="s">
        <v>78</v>
      </c>
      <c r="E276" t="s">
        <v>3362</v>
      </c>
      <c r="F276" t="s">
        <v>3372</v>
      </c>
      <c r="G276" t="s">
        <v>3373</v>
      </c>
      <c r="H276" t="s">
        <v>3374</v>
      </c>
    </row>
    <row r="277" spans="1:8" x14ac:dyDescent="0.25">
      <c r="A277">
        <v>1393252</v>
      </c>
      <c r="B277" t="s">
        <v>3337</v>
      </c>
      <c r="C277" t="s">
        <v>17</v>
      </c>
      <c r="D277" t="s">
        <v>381</v>
      </c>
      <c r="E277" t="s">
        <v>3375</v>
      </c>
      <c r="F277" t="s">
        <v>3376</v>
      </c>
      <c r="G277" t="s">
        <v>3377</v>
      </c>
      <c r="H277" t="s">
        <v>3378</v>
      </c>
    </row>
    <row r="278" spans="1:8" x14ac:dyDescent="0.25">
      <c r="A278">
        <v>1397384</v>
      </c>
      <c r="B278" t="s">
        <v>3337</v>
      </c>
      <c r="C278" t="s">
        <v>17</v>
      </c>
      <c r="D278" t="s">
        <v>51</v>
      </c>
      <c r="E278" t="s">
        <v>3134</v>
      </c>
      <c r="F278" t="s">
        <v>3379</v>
      </c>
      <c r="G278" t="s">
        <v>3380</v>
      </c>
      <c r="H278" t="s">
        <v>3381</v>
      </c>
    </row>
    <row r="279" spans="1:8" x14ac:dyDescent="0.25">
      <c r="A279">
        <v>1397385</v>
      </c>
      <c r="B279" t="s">
        <v>3337</v>
      </c>
      <c r="C279" t="s">
        <v>17</v>
      </c>
      <c r="D279" t="s">
        <v>51</v>
      </c>
      <c r="E279" t="s">
        <v>3134</v>
      </c>
      <c r="F279" t="s">
        <v>3382</v>
      </c>
      <c r="G279" t="s">
        <v>3383</v>
      </c>
      <c r="H279" t="s">
        <v>3384</v>
      </c>
    </row>
    <row r="280" spans="1:8" x14ac:dyDescent="0.25">
      <c r="A280">
        <v>1404589</v>
      </c>
      <c r="B280" t="s">
        <v>3337</v>
      </c>
      <c r="C280" t="s">
        <v>17</v>
      </c>
      <c r="D280" t="s">
        <v>41</v>
      </c>
      <c r="E280" t="s">
        <v>262</v>
      </c>
      <c r="F280" t="s">
        <v>3385</v>
      </c>
      <c r="G280" t="s">
        <v>2481</v>
      </c>
      <c r="H280" t="s">
        <v>3386</v>
      </c>
    </row>
    <row r="281" spans="1:8" x14ac:dyDescent="0.25">
      <c r="A281">
        <v>1406852</v>
      </c>
      <c r="B281" t="s">
        <v>3337</v>
      </c>
      <c r="C281" t="s">
        <v>17</v>
      </c>
      <c r="D281" t="s">
        <v>43</v>
      </c>
      <c r="E281" t="s">
        <v>345</v>
      </c>
      <c r="F281" t="s">
        <v>1236</v>
      </c>
      <c r="G281" t="s">
        <v>3387</v>
      </c>
      <c r="H281" t="s">
        <v>3388</v>
      </c>
    </row>
    <row r="282" spans="1:8" x14ac:dyDescent="0.25">
      <c r="A282">
        <v>1406854</v>
      </c>
      <c r="B282" t="s">
        <v>3337</v>
      </c>
      <c r="C282" t="s">
        <v>94</v>
      </c>
      <c r="D282" t="s">
        <v>43</v>
      </c>
      <c r="E282" t="s">
        <v>345</v>
      </c>
      <c r="F282" t="s">
        <v>3389</v>
      </c>
      <c r="G282" t="s">
        <v>1237</v>
      </c>
      <c r="H282" t="s">
        <v>3390</v>
      </c>
    </row>
    <row r="283" spans="1:8" x14ac:dyDescent="0.25">
      <c r="A283">
        <v>1406855</v>
      </c>
      <c r="B283" t="s">
        <v>3337</v>
      </c>
      <c r="C283" t="s">
        <v>17</v>
      </c>
      <c r="D283" t="s">
        <v>43</v>
      </c>
      <c r="E283" t="s">
        <v>345</v>
      </c>
      <c r="F283" t="s">
        <v>3391</v>
      </c>
      <c r="G283" t="s">
        <v>1026</v>
      </c>
      <c r="H283" t="s">
        <v>3392</v>
      </c>
    </row>
    <row r="284" spans="1:8" x14ac:dyDescent="0.25">
      <c r="A284">
        <v>1408005</v>
      </c>
      <c r="B284" t="s">
        <v>3337</v>
      </c>
      <c r="C284" t="s">
        <v>17</v>
      </c>
      <c r="D284" t="s">
        <v>43</v>
      </c>
      <c r="E284" t="s">
        <v>341</v>
      </c>
      <c r="F284" t="s">
        <v>3393</v>
      </c>
      <c r="G284" t="s">
        <v>1532</v>
      </c>
      <c r="H284" t="s">
        <v>3394</v>
      </c>
    </row>
    <row r="285" spans="1:8" x14ac:dyDescent="0.25">
      <c r="A285">
        <v>1410663</v>
      </c>
      <c r="B285" t="s">
        <v>3337</v>
      </c>
      <c r="C285" t="s">
        <v>17</v>
      </c>
      <c r="D285" t="s">
        <v>51</v>
      </c>
      <c r="E285" t="s">
        <v>386</v>
      </c>
      <c r="F285" t="s">
        <v>3395</v>
      </c>
      <c r="G285" t="s">
        <v>3396</v>
      </c>
      <c r="H285" t="s">
        <v>3397</v>
      </c>
    </row>
    <row r="286" spans="1:8" x14ac:dyDescent="0.25">
      <c r="A286">
        <v>1410667</v>
      </c>
      <c r="B286" t="s">
        <v>3337</v>
      </c>
      <c r="C286" t="s">
        <v>17</v>
      </c>
      <c r="D286" t="s">
        <v>51</v>
      </c>
      <c r="E286" t="s">
        <v>386</v>
      </c>
      <c r="F286" t="s">
        <v>3398</v>
      </c>
      <c r="G286" t="s">
        <v>3399</v>
      </c>
      <c r="H286" t="s">
        <v>3400</v>
      </c>
    </row>
    <row r="287" spans="1:8" x14ac:dyDescent="0.25">
      <c r="A287">
        <v>1410964</v>
      </c>
      <c r="B287" t="s">
        <v>3337</v>
      </c>
      <c r="C287" t="s">
        <v>17</v>
      </c>
      <c r="D287" t="s">
        <v>51</v>
      </c>
      <c r="E287" t="s">
        <v>539</v>
      </c>
      <c r="F287" t="s">
        <v>3401</v>
      </c>
      <c r="G287" t="s">
        <v>3402</v>
      </c>
      <c r="H287" t="s">
        <v>3403</v>
      </c>
    </row>
    <row r="288" spans="1:8" x14ac:dyDescent="0.25">
      <c r="A288">
        <v>1410967</v>
      </c>
      <c r="B288" t="s">
        <v>3337</v>
      </c>
      <c r="C288" t="s">
        <v>17</v>
      </c>
      <c r="D288" t="s">
        <v>51</v>
      </c>
      <c r="E288" t="s">
        <v>539</v>
      </c>
      <c r="F288" t="s">
        <v>3404</v>
      </c>
      <c r="G288" t="s">
        <v>3405</v>
      </c>
      <c r="H288" t="s">
        <v>3406</v>
      </c>
    </row>
    <row r="289" spans="1:8" x14ac:dyDescent="0.25">
      <c r="A289">
        <v>1413327</v>
      </c>
      <c r="B289" t="s">
        <v>3337</v>
      </c>
      <c r="C289" t="s">
        <v>94</v>
      </c>
      <c r="D289" t="s">
        <v>43</v>
      </c>
      <c r="E289" t="s">
        <v>592</v>
      </c>
      <c r="F289" t="s">
        <v>3407</v>
      </c>
      <c r="G289" t="s">
        <v>919</v>
      </c>
      <c r="H289" t="s">
        <v>3408</v>
      </c>
    </row>
    <row r="290" spans="1:8" x14ac:dyDescent="0.25">
      <c r="A290">
        <v>1417298</v>
      </c>
      <c r="B290" t="s">
        <v>3337</v>
      </c>
      <c r="C290" t="s">
        <v>17</v>
      </c>
      <c r="D290" t="s">
        <v>65</v>
      </c>
      <c r="E290" t="s">
        <v>3409</v>
      </c>
      <c r="F290" t="s">
        <v>3410</v>
      </c>
      <c r="G290" t="s">
        <v>3411</v>
      </c>
      <c r="H290" t="s">
        <v>3412</v>
      </c>
    </row>
    <row r="291" spans="1:8" x14ac:dyDescent="0.25">
      <c r="A291">
        <v>1417299</v>
      </c>
      <c r="B291" t="s">
        <v>3337</v>
      </c>
      <c r="C291" t="s">
        <v>17</v>
      </c>
      <c r="D291" t="s">
        <v>65</v>
      </c>
      <c r="E291" t="s">
        <v>3409</v>
      </c>
      <c r="F291" t="s">
        <v>3413</v>
      </c>
      <c r="G291" t="s">
        <v>3414</v>
      </c>
      <c r="H291" t="s">
        <v>3415</v>
      </c>
    </row>
    <row r="292" spans="1:8" x14ac:dyDescent="0.25">
      <c r="A292">
        <v>1417300</v>
      </c>
      <c r="B292" t="s">
        <v>3337</v>
      </c>
      <c r="C292" t="s">
        <v>17</v>
      </c>
      <c r="D292" t="s">
        <v>65</v>
      </c>
      <c r="E292" t="s">
        <v>3409</v>
      </c>
      <c r="F292" t="s">
        <v>3416</v>
      </c>
      <c r="G292" t="s">
        <v>3417</v>
      </c>
      <c r="H292" t="s">
        <v>3418</v>
      </c>
    </row>
    <row r="293" spans="1:8" x14ac:dyDescent="0.25">
      <c r="A293">
        <v>1417301</v>
      </c>
      <c r="B293" t="s">
        <v>3337</v>
      </c>
      <c r="C293" t="s">
        <v>17</v>
      </c>
      <c r="D293" t="s">
        <v>65</v>
      </c>
      <c r="E293" t="s">
        <v>3409</v>
      </c>
      <c r="F293" t="s">
        <v>3419</v>
      </c>
      <c r="G293" t="s">
        <v>3420</v>
      </c>
      <c r="H293" t="s">
        <v>3421</v>
      </c>
    </row>
    <row r="294" spans="1:8" x14ac:dyDescent="0.25">
      <c r="A294">
        <v>1433690</v>
      </c>
      <c r="B294" t="s">
        <v>3337</v>
      </c>
      <c r="C294" t="s">
        <v>32</v>
      </c>
      <c r="D294" t="s">
        <v>78</v>
      </c>
      <c r="E294" t="s">
        <v>3174</v>
      </c>
      <c r="F294" t="s">
        <v>3422</v>
      </c>
      <c r="G294" t="s">
        <v>3423</v>
      </c>
      <c r="H294" t="s">
        <v>3424</v>
      </c>
    </row>
    <row r="295" spans="1:8" x14ac:dyDescent="0.25">
      <c r="A295">
        <v>1433691</v>
      </c>
      <c r="B295" t="s">
        <v>3337</v>
      </c>
      <c r="C295" t="s">
        <v>17</v>
      </c>
      <c r="D295" t="s">
        <v>78</v>
      </c>
      <c r="E295" t="s">
        <v>3174</v>
      </c>
      <c r="F295" t="s">
        <v>3425</v>
      </c>
      <c r="G295" t="s">
        <v>3426</v>
      </c>
      <c r="H295" t="s">
        <v>3427</v>
      </c>
    </row>
    <row r="296" spans="1:8" x14ac:dyDescent="0.25">
      <c r="A296">
        <v>1433775</v>
      </c>
      <c r="B296" t="s">
        <v>3337</v>
      </c>
      <c r="C296" t="s">
        <v>32</v>
      </c>
      <c r="D296" t="s">
        <v>78</v>
      </c>
      <c r="E296" t="s">
        <v>594</v>
      </c>
      <c r="F296" t="s">
        <v>3428</v>
      </c>
      <c r="G296" t="s">
        <v>1547</v>
      </c>
      <c r="H296" t="s">
        <v>3429</v>
      </c>
    </row>
    <row r="297" spans="1:8" x14ac:dyDescent="0.25">
      <c r="A297">
        <v>1433776</v>
      </c>
      <c r="B297" t="s">
        <v>3337</v>
      </c>
      <c r="C297" t="s">
        <v>17</v>
      </c>
      <c r="D297" t="s">
        <v>78</v>
      </c>
      <c r="E297" t="s">
        <v>594</v>
      </c>
      <c r="F297" t="s">
        <v>3430</v>
      </c>
      <c r="G297" t="s">
        <v>3431</v>
      </c>
      <c r="H297" t="s">
        <v>3432</v>
      </c>
    </row>
    <row r="298" spans="1:8" x14ac:dyDescent="0.25">
      <c r="A298">
        <v>1433852</v>
      </c>
      <c r="B298" t="s">
        <v>3337</v>
      </c>
      <c r="C298" t="s">
        <v>32</v>
      </c>
      <c r="D298" t="s">
        <v>78</v>
      </c>
      <c r="E298" t="s">
        <v>3433</v>
      </c>
      <c r="F298" t="s">
        <v>3434</v>
      </c>
      <c r="G298" t="s">
        <v>3435</v>
      </c>
      <c r="H298" t="s">
        <v>3436</v>
      </c>
    </row>
    <row r="299" spans="1:8" x14ac:dyDescent="0.25">
      <c r="A299">
        <v>1433853</v>
      </c>
      <c r="B299" t="s">
        <v>3337</v>
      </c>
      <c r="C299" t="s">
        <v>32</v>
      </c>
      <c r="D299" t="s">
        <v>78</v>
      </c>
      <c r="E299" t="s">
        <v>3433</v>
      </c>
      <c r="F299" t="s">
        <v>3437</v>
      </c>
      <c r="G299" t="s">
        <v>3438</v>
      </c>
      <c r="H299" t="s">
        <v>3439</v>
      </c>
    </row>
    <row r="300" spans="1:8" x14ac:dyDescent="0.25">
      <c r="A300">
        <v>1433854</v>
      </c>
      <c r="B300" t="s">
        <v>3337</v>
      </c>
      <c r="C300" t="s">
        <v>17</v>
      </c>
      <c r="D300" t="s">
        <v>78</v>
      </c>
      <c r="E300" t="s">
        <v>3433</v>
      </c>
      <c r="F300" t="s">
        <v>3440</v>
      </c>
      <c r="G300" t="s">
        <v>3441</v>
      </c>
      <c r="H300" t="s">
        <v>3442</v>
      </c>
    </row>
    <row r="301" spans="1:8" x14ac:dyDescent="0.25">
      <c r="A301">
        <v>1437825</v>
      </c>
      <c r="B301" t="s">
        <v>3337</v>
      </c>
      <c r="C301" t="s">
        <v>32</v>
      </c>
      <c r="D301" t="s">
        <v>65</v>
      </c>
      <c r="E301" t="s">
        <v>3191</v>
      </c>
      <c r="F301" t="s">
        <v>3443</v>
      </c>
      <c r="G301" t="s">
        <v>3444</v>
      </c>
      <c r="H301" t="s">
        <v>3445</v>
      </c>
    </row>
    <row r="302" spans="1:8" x14ac:dyDescent="0.25">
      <c r="A302">
        <v>1445914</v>
      </c>
      <c r="B302" t="s">
        <v>3337</v>
      </c>
      <c r="C302" t="s">
        <v>17</v>
      </c>
      <c r="D302" t="s">
        <v>66</v>
      </c>
      <c r="E302" t="s">
        <v>582</v>
      </c>
      <c r="F302" t="s">
        <v>2504</v>
      </c>
      <c r="G302" t="s">
        <v>3446</v>
      </c>
      <c r="H302" t="s">
        <v>3447</v>
      </c>
    </row>
    <row r="303" spans="1:8" x14ac:dyDescent="0.25">
      <c r="A303">
        <v>1449500</v>
      </c>
      <c r="B303" t="s">
        <v>3337</v>
      </c>
      <c r="C303" t="s">
        <v>17</v>
      </c>
      <c r="D303" t="s">
        <v>64</v>
      </c>
      <c r="E303" t="s">
        <v>3448</v>
      </c>
      <c r="F303" t="s">
        <v>3449</v>
      </c>
      <c r="G303" t="s">
        <v>3450</v>
      </c>
      <c r="H303" t="s">
        <v>3451</v>
      </c>
    </row>
    <row r="304" spans="1:8" x14ac:dyDescent="0.25">
      <c r="A304">
        <v>1468897</v>
      </c>
      <c r="B304" t="s">
        <v>3337</v>
      </c>
      <c r="C304" t="s">
        <v>17</v>
      </c>
      <c r="D304" t="s">
        <v>41</v>
      </c>
      <c r="E304" t="s">
        <v>382</v>
      </c>
      <c r="F304" t="s">
        <v>1571</v>
      </c>
      <c r="G304" t="s">
        <v>3452</v>
      </c>
      <c r="H304" t="s">
        <v>3453</v>
      </c>
    </row>
    <row r="305" spans="1:8" x14ac:dyDescent="0.25">
      <c r="A305">
        <v>1468986</v>
      </c>
      <c r="B305" t="s">
        <v>3337</v>
      </c>
      <c r="C305" t="s">
        <v>32</v>
      </c>
      <c r="D305" t="s">
        <v>78</v>
      </c>
      <c r="E305" t="s">
        <v>3433</v>
      </c>
      <c r="F305" t="s">
        <v>3454</v>
      </c>
      <c r="G305" t="s">
        <v>3455</v>
      </c>
      <c r="H305" t="s">
        <v>3456</v>
      </c>
    </row>
    <row r="306" spans="1:8" x14ac:dyDescent="0.25">
      <c r="A306">
        <v>1470756</v>
      </c>
      <c r="B306" t="s">
        <v>3337</v>
      </c>
      <c r="C306" t="s">
        <v>17</v>
      </c>
      <c r="D306" t="s">
        <v>67</v>
      </c>
      <c r="E306" t="s">
        <v>3210</v>
      </c>
      <c r="F306" t="s">
        <v>79</v>
      </c>
      <c r="G306" t="s">
        <v>3457</v>
      </c>
      <c r="H306" t="s">
        <v>3458</v>
      </c>
    </row>
    <row r="307" spans="1:8" x14ac:dyDescent="0.25">
      <c r="A307">
        <v>1474837</v>
      </c>
      <c r="B307" t="s">
        <v>3337</v>
      </c>
      <c r="C307" t="s">
        <v>17</v>
      </c>
      <c r="D307" t="s">
        <v>267</v>
      </c>
      <c r="E307" t="s">
        <v>632</v>
      </c>
      <c r="F307" t="s">
        <v>3459</v>
      </c>
      <c r="G307" t="s">
        <v>1755</v>
      </c>
      <c r="H307" t="s">
        <v>3460</v>
      </c>
    </row>
    <row r="308" spans="1:8" x14ac:dyDescent="0.25">
      <c r="A308">
        <v>1491106</v>
      </c>
      <c r="B308" t="s">
        <v>3337</v>
      </c>
      <c r="C308" t="s">
        <v>17</v>
      </c>
      <c r="D308" t="s">
        <v>105</v>
      </c>
      <c r="E308" t="s">
        <v>106</v>
      </c>
      <c r="F308" t="s">
        <v>3461</v>
      </c>
      <c r="G308" t="s">
        <v>1219</v>
      </c>
      <c r="H308" t="s">
        <v>3462</v>
      </c>
    </row>
    <row r="309" spans="1:8" x14ac:dyDescent="0.25">
      <c r="A309">
        <v>1491274</v>
      </c>
      <c r="B309" t="s">
        <v>3337</v>
      </c>
      <c r="C309" t="s">
        <v>17</v>
      </c>
      <c r="D309" t="s">
        <v>105</v>
      </c>
      <c r="E309" t="s">
        <v>321</v>
      </c>
      <c r="F309" t="s">
        <v>3463</v>
      </c>
      <c r="G309" t="s">
        <v>3464</v>
      </c>
      <c r="H309" t="s">
        <v>3465</v>
      </c>
    </row>
    <row r="310" spans="1:8" x14ac:dyDescent="0.25">
      <c r="A310">
        <v>1502065</v>
      </c>
      <c r="B310" t="s">
        <v>3337</v>
      </c>
      <c r="C310" t="s">
        <v>2909</v>
      </c>
      <c r="D310" t="s">
        <v>21</v>
      </c>
      <c r="E310" t="s">
        <v>22</v>
      </c>
      <c r="F310" t="s">
        <v>1280</v>
      </c>
      <c r="G310" t="s">
        <v>1781</v>
      </c>
      <c r="H310" t="s">
        <v>3466</v>
      </c>
    </row>
    <row r="311" spans="1:8" x14ac:dyDescent="0.25">
      <c r="A311">
        <v>1502068</v>
      </c>
      <c r="B311" t="s">
        <v>3337</v>
      </c>
      <c r="C311" t="s">
        <v>32</v>
      </c>
      <c r="D311" t="s">
        <v>21</v>
      </c>
      <c r="E311" t="s">
        <v>22</v>
      </c>
      <c r="F311" t="s">
        <v>3467</v>
      </c>
      <c r="G311" t="s">
        <v>3468</v>
      </c>
      <c r="H311" t="s">
        <v>3469</v>
      </c>
    </row>
    <row r="312" spans="1:8" x14ac:dyDescent="0.25">
      <c r="A312">
        <v>1502069</v>
      </c>
      <c r="B312" t="s">
        <v>3337</v>
      </c>
      <c r="C312" t="s">
        <v>32</v>
      </c>
      <c r="D312" t="s">
        <v>21</v>
      </c>
      <c r="E312" t="s">
        <v>22</v>
      </c>
      <c r="F312" t="s">
        <v>3470</v>
      </c>
      <c r="G312" t="s">
        <v>3471</v>
      </c>
      <c r="H312" t="s">
        <v>3472</v>
      </c>
    </row>
    <row r="313" spans="1:8" x14ac:dyDescent="0.25">
      <c r="A313">
        <v>1502070</v>
      </c>
      <c r="B313" t="s">
        <v>3337</v>
      </c>
      <c r="C313" t="s">
        <v>17</v>
      </c>
      <c r="D313" t="s">
        <v>21</v>
      </c>
      <c r="E313" t="s">
        <v>22</v>
      </c>
      <c r="F313" t="s">
        <v>2901</v>
      </c>
      <c r="G313" t="s">
        <v>3473</v>
      </c>
      <c r="H313" t="s">
        <v>3474</v>
      </c>
    </row>
    <row r="314" spans="1:8" x14ac:dyDescent="0.25">
      <c r="A314">
        <v>1502071</v>
      </c>
      <c r="B314" t="s">
        <v>3337</v>
      </c>
      <c r="C314" t="s">
        <v>32</v>
      </c>
      <c r="D314" t="s">
        <v>21</v>
      </c>
      <c r="E314" t="s">
        <v>22</v>
      </c>
      <c r="F314" t="s">
        <v>3475</v>
      </c>
      <c r="G314" t="s">
        <v>3476</v>
      </c>
      <c r="H314" t="s">
        <v>3477</v>
      </c>
    </row>
    <row r="315" spans="1:8" x14ac:dyDescent="0.25">
      <c r="A315">
        <v>1502072</v>
      </c>
      <c r="B315" t="s">
        <v>3337</v>
      </c>
      <c r="C315" t="s">
        <v>32</v>
      </c>
      <c r="D315" t="s">
        <v>21</v>
      </c>
      <c r="E315" t="s">
        <v>22</v>
      </c>
      <c r="F315" t="s">
        <v>3478</v>
      </c>
      <c r="G315" t="s">
        <v>3479</v>
      </c>
      <c r="H315" t="s">
        <v>3480</v>
      </c>
    </row>
    <row r="316" spans="1:8" x14ac:dyDescent="0.25">
      <c r="A316">
        <v>1502073</v>
      </c>
      <c r="B316" t="s">
        <v>3337</v>
      </c>
      <c r="C316" t="s">
        <v>17</v>
      </c>
      <c r="D316" t="s">
        <v>21</v>
      </c>
      <c r="E316" t="s">
        <v>22</v>
      </c>
      <c r="F316" t="s">
        <v>2151</v>
      </c>
      <c r="G316" t="s">
        <v>3481</v>
      </c>
      <c r="H316" t="s">
        <v>3482</v>
      </c>
    </row>
    <row r="317" spans="1:8" x14ac:dyDescent="0.25">
      <c r="A317">
        <v>1502074</v>
      </c>
      <c r="B317" t="s">
        <v>3337</v>
      </c>
      <c r="C317" t="s">
        <v>32</v>
      </c>
      <c r="D317" t="s">
        <v>21</v>
      </c>
      <c r="E317" t="s">
        <v>22</v>
      </c>
      <c r="F317" t="s">
        <v>3483</v>
      </c>
      <c r="G317" t="s">
        <v>3484</v>
      </c>
      <c r="H317" t="s">
        <v>3485</v>
      </c>
    </row>
    <row r="318" spans="1:8" x14ac:dyDescent="0.25">
      <c r="A318">
        <v>1502402</v>
      </c>
      <c r="B318" t="s">
        <v>3337</v>
      </c>
      <c r="C318" t="s">
        <v>2909</v>
      </c>
      <c r="D318" t="s">
        <v>21</v>
      </c>
      <c r="E318" t="s">
        <v>22</v>
      </c>
      <c r="F318" t="s">
        <v>3486</v>
      </c>
      <c r="G318" t="s">
        <v>3487</v>
      </c>
      <c r="H318" t="s">
        <v>3488</v>
      </c>
    </row>
    <row r="319" spans="1:8" x14ac:dyDescent="0.25">
      <c r="A319">
        <v>1505925</v>
      </c>
      <c r="B319" t="s">
        <v>3337</v>
      </c>
      <c r="C319" t="s">
        <v>17</v>
      </c>
      <c r="D319" t="s">
        <v>21</v>
      </c>
      <c r="E319" t="s">
        <v>22</v>
      </c>
      <c r="F319" t="s">
        <v>1279</v>
      </c>
      <c r="G319" t="s">
        <v>3489</v>
      </c>
      <c r="H319" t="s">
        <v>3490</v>
      </c>
    </row>
    <row r="320" spans="1:8" x14ac:dyDescent="0.25">
      <c r="A320">
        <v>1507796</v>
      </c>
      <c r="B320" t="s">
        <v>3337</v>
      </c>
      <c r="C320" t="s">
        <v>17</v>
      </c>
      <c r="D320" t="s">
        <v>21</v>
      </c>
      <c r="E320" t="s">
        <v>22</v>
      </c>
      <c r="F320" t="s">
        <v>3491</v>
      </c>
      <c r="G320" t="s">
        <v>3492</v>
      </c>
      <c r="H320" t="s">
        <v>3493</v>
      </c>
    </row>
    <row r="321" spans="1:8" x14ac:dyDescent="0.25">
      <c r="A321">
        <v>1507797</v>
      </c>
      <c r="B321" t="s">
        <v>3337</v>
      </c>
      <c r="C321" t="s">
        <v>17</v>
      </c>
      <c r="D321" t="s">
        <v>21</v>
      </c>
      <c r="E321" t="s">
        <v>22</v>
      </c>
      <c r="F321" t="s">
        <v>2152</v>
      </c>
      <c r="G321" t="s">
        <v>3494</v>
      </c>
      <c r="H321" t="s">
        <v>3495</v>
      </c>
    </row>
    <row r="322" spans="1:8" x14ac:dyDescent="0.25">
      <c r="A322">
        <v>1507798</v>
      </c>
      <c r="B322" t="s">
        <v>3337</v>
      </c>
      <c r="C322" t="s">
        <v>32</v>
      </c>
      <c r="D322" t="s">
        <v>21</v>
      </c>
      <c r="E322" t="s">
        <v>22</v>
      </c>
      <c r="F322" t="s">
        <v>3496</v>
      </c>
      <c r="G322" t="s">
        <v>3497</v>
      </c>
      <c r="H322" t="s">
        <v>3498</v>
      </c>
    </row>
    <row r="323" spans="1:8" x14ac:dyDescent="0.25">
      <c r="A323">
        <v>1514580</v>
      </c>
      <c r="B323" t="s">
        <v>3337</v>
      </c>
      <c r="C323" t="s">
        <v>94</v>
      </c>
      <c r="D323" t="s">
        <v>67</v>
      </c>
      <c r="E323" t="s">
        <v>81</v>
      </c>
      <c r="F323" t="s">
        <v>3499</v>
      </c>
      <c r="G323" t="s">
        <v>942</v>
      </c>
      <c r="H323" t="s">
        <v>3500</v>
      </c>
    </row>
    <row r="324" spans="1:8" x14ac:dyDescent="0.25">
      <c r="A324">
        <v>1514581</v>
      </c>
      <c r="B324" t="s">
        <v>3337</v>
      </c>
      <c r="C324" t="s">
        <v>17</v>
      </c>
      <c r="D324" t="s">
        <v>67</v>
      </c>
      <c r="E324" t="s">
        <v>81</v>
      </c>
      <c r="F324" t="s">
        <v>1268</v>
      </c>
      <c r="G324" t="s">
        <v>3501</v>
      </c>
      <c r="H324" t="s">
        <v>3502</v>
      </c>
    </row>
    <row r="325" spans="1:8" x14ac:dyDescent="0.25">
      <c r="A325">
        <v>1514583</v>
      </c>
      <c r="B325" t="s">
        <v>3337</v>
      </c>
      <c r="C325" t="s">
        <v>94</v>
      </c>
      <c r="D325" t="s">
        <v>67</v>
      </c>
      <c r="E325" t="s">
        <v>81</v>
      </c>
      <c r="F325" t="s">
        <v>943</v>
      </c>
      <c r="G325" t="s">
        <v>3503</v>
      </c>
      <c r="H325" t="s">
        <v>3504</v>
      </c>
    </row>
    <row r="326" spans="1:8" x14ac:dyDescent="0.25">
      <c r="A326">
        <v>1515201</v>
      </c>
      <c r="B326" t="s">
        <v>3337</v>
      </c>
      <c r="C326" t="s">
        <v>17</v>
      </c>
      <c r="D326" t="s">
        <v>85</v>
      </c>
      <c r="E326" t="s">
        <v>634</v>
      </c>
      <c r="F326" t="s">
        <v>3505</v>
      </c>
      <c r="G326" t="s">
        <v>1768</v>
      </c>
      <c r="H326" t="s">
        <v>3506</v>
      </c>
    </row>
    <row r="327" spans="1:8" x14ac:dyDescent="0.25">
      <c r="A327">
        <v>1518515</v>
      </c>
      <c r="B327" t="s">
        <v>3337</v>
      </c>
      <c r="C327" t="s">
        <v>32</v>
      </c>
      <c r="D327" t="s">
        <v>43</v>
      </c>
      <c r="E327" t="s">
        <v>576</v>
      </c>
      <c r="F327" t="s">
        <v>3507</v>
      </c>
      <c r="G327" t="s">
        <v>3508</v>
      </c>
      <c r="H327" t="s">
        <v>3509</v>
      </c>
    </row>
    <row r="328" spans="1:8" x14ac:dyDescent="0.25">
      <c r="A328">
        <v>1523082</v>
      </c>
      <c r="B328" t="s">
        <v>3337</v>
      </c>
      <c r="C328" t="s">
        <v>17</v>
      </c>
      <c r="D328" t="s">
        <v>419</v>
      </c>
      <c r="E328" t="s">
        <v>81</v>
      </c>
      <c r="F328" t="s">
        <v>3510</v>
      </c>
      <c r="G328" t="s">
        <v>3511</v>
      </c>
      <c r="H328" t="s">
        <v>3512</v>
      </c>
    </row>
    <row r="329" spans="1:8" x14ac:dyDescent="0.25">
      <c r="A329">
        <v>1527914</v>
      </c>
      <c r="B329" t="s">
        <v>3337</v>
      </c>
      <c r="C329" t="s">
        <v>17</v>
      </c>
      <c r="D329" t="s">
        <v>569</v>
      </c>
      <c r="E329" t="s">
        <v>49</v>
      </c>
      <c r="F329" t="s">
        <v>3513</v>
      </c>
      <c r="G329" t="s">
        <v>3514</v>
      </c>
      <c r="H329" t="s">
        <v>3515</v>
      </c>
    </row>
    <row r="330" spans="1:8" x14ac:dyDescent="0.25">
      <c r="A330">
        <v>1528795</v>
      </c>
      <c r="B330" t="s">
        <v>3337</v>
      </c>
      <c r="C330" t="s">
        <v>17</v>
      </c>
      <c r="D330" t="s">
        <v>377</v>
      </c>
      <c r="E330" t="s">
        <v>45</v>
      </c>
      <c r="F330" t="s">
        <v>2457</v>
      </c>
      <c r="G330" t="s">
        <v>2484</v>
      </c>
      <c r="H330" t="s">
        <v>3516</v>
      </c>
    </row>
    <row r="331" spans="1:8" x14ac:dyDescent="0.25">
      <c r="A331">
        <v>1529149</v>
      </c>
      <c r="B331" t="s">
        <v>3337</v>
      </c>
      <c r="C331" t="s">
        <v>17</v>
      </c>
      <c r="D331" t="s">
        <v>585</v>
      </c>
      <c r="E331" t="s">
        <v>3517</v>
      </c>
      <c r="F331" t="s">
        <v>3518</v>
      </c>
      <c r="G331" t="s">
        <v>3519</v>
      </c>
      <c r="H331" t="s">
        <v>3520</v>
      </c>
    </row>
    <row r="332" spans="1:8" x14ac:dyDescent="0.25">
      <c r="A332">
        <v>1529150</v>
      </c>
      <c r="B332" t="s">
        <v>3337</v>
      </c>
      <c r="C332" t="s">
        <v>17</v>
      </c>
      <c r="D332" t="s">
        <v>585</v>
      </c>
      <c r="E332" t="s">
        <v>3517</v>
      </c>
      <c r="F332" t="s">
        <v>3521</v>
      </c>
      <c r="G332" t="s">
        <v>3522</v>
      </c>
      <c r="H332" t="s">
        <v>3523</v>
      </c>
    </row>
    <row r="333" spans="1:8" x14ac:dyDescent="0.25">
      <c r="A333">
        <v>1530753</v>
      </c>
      <c r="B333" t="s">
        <v>3337</v>
      </c>
      <c r="C333" t="s">
        <v>17</v>
      </c>
      <c r="D333" t="s">
        <v>20</v>
      </c>
      <c r="E333" t="s">
        <v>3524</v>
      </c>
      <c r="F333" t="s">
        <v>3525</v>
      </c>
      <c r="G333" t="s">
        <v>3526</v>
      </c>
      <c r="H333" t="s">
        <v>3527</v>
      </c>
    </row>
    <row r="334" spans="1:8" x14ac:dyDescent="0.25">
      <c r="A334">
        <v>1530754</v>
      </c>
      <c r="B334" t="s">
        <v>3337</v>
      </c>
      <c r="C334" t="s">
        <v>17</v>
      </c>
      <c r="D334" t="s">
        <v>20</v>
      </c>
      <c r="E334" t="s">
        <v>3524</v>
      </c>
      <c r="F334" t="s">
        <v>3528</v>
      </c>
      <c r="G334" t="s">
        <v>3529</v>
      </c>
      <c r="H334" t="s">
        <v>3530</v>
      </c>
    </row>
    <row r="335" spans="1:8" x14ac:dyDescent="0.25">
      <c r="A335">
        <v>1530755</v>
      </c>
      <c r="B335" t="s">
        <v>3337</v>
      </c>
      <c r="C335" t="s">
        <v>32</v>
      </c>
      <c r="D335" t="s">
        <v>20</v>
      </c>
      <c r="E335" t="s">
        <v>3524</v>
      </c>
      <c r="F335" t="s">
        <v>3531</v>
      </c>
      <c r="G335" t="s">
        <v>3532</v>
      </c>
      <c r="H335" t="s">
        <v>3533</v>
      </c>
    </row>
    <row r="336" spans="1:8" x14ac:dyDescent="0.25">
      <c r="A336">
        <v>1531500</v>
      </c>
      <c r="B336" t="s">
        <v>3337</v>
      </c>
      <c r="C336" t="s">
        <v>94</v>
      </c>
      <c r="D336" t="s">
        <v>596</v>
      </c>
      <c r="E336" t="s">
        <v>69</v>
      </c>
      <c r="F336" t="s">
        <v>2458</v>
      </c>
      <c r="G336" t="s">
        <v>1287</v>
      </c>
      <c r="H336" t="s">
        <v>3534</v>
      </c>
    </row>
    <row r="337" spans="1:8" x14ac:dyDescent="0.25">
      <c r="A337">
        <v>1531501</v>
      </c>
      <c r="B337" t="s">
        <v>3337</v>
      </c>
      <c r="C337" t="s">
        <v>17</v>
      </c>
      <c r="D337" t="s">
        <v>596</v>
      </c>
      <c r="E337" t="s">
        <v>69</v>
      </c>
      <c r="F337" t="s">
        <v>2463</v>
      </c>
      <c r="G337" t="s">
        <v>2461</v>
      </c>
      <c r="H337" t="s">
        <v>3535</v>
      </c>
    </row>
    <row r="338" spans="1:8" x14ac:dyDescent="0.25">
      <c r="A338">
        <v>1533323</v>
      </c>
      <c r="B338" t="s">
        <v>3337</v>
      </c>
      <c r="C338" t="s">
        <v>94</v>
      </c>
      <c r="D338" t="s">
        <v>21</v>
      </c>
      <c r="E338" t="s">
        <v>22</v>
      </c>
      <c r="F338" t="s">
        <v>3536</v>
      </c>
      <c r="G338" t="s">
        <v>3537</v>
      </c>
      <c r="H338" t="s">
        <v>3538</v>
      </c>
    </row>
    <row r="339" spans="1:8" x14ac:dyDescent="0.25">
      <c r="A339">
        <v>1533325</v>
      </c>
      <c r="B339" t="s">
        <v>3337</v>
      </c>
      <c r="C339" t="s">
        <v>17</v>
      </c>
      <c r="D339" t="s">
        <v>21</v>
      </c>
      <c r="E339" t="s">
        <v>22</v>
      </c>
      <c r="F339" t="s">
        <v>3539</v>
      </c>
      <c r="G339" t="s">
        <v>3540</v>
      </c>
      <c r="H339" t="s">
        <v>3541</v>
      </c>
    </row>
    <row r="340" spans="1:8" x14ac:dyDescent="0.25">
      <c r="A340">
        <v>1535593</v>
      </c>
      <c r="B340" t="s">
        <v>3337</v>
      </c>
      <c r="C340" t="s">
        <v>17</v>
      </c>
      <c r="D340" t="s">
        <v>63</v>
      </c>
      <c r="E340" t="s">
        <v>635</v>
      </c>
      <c r="F340" t="s">
        <v>1789</v>
      </c>
      <c r="G340" t="s">
        <v>3542</v>
      </c>
      <c r="H340" t="s">
        <v>3543</v>
      </c>
    </row>
    <row r="341" spans="1:8" x14ac:dyDescent="0.25">
      <c r="A341">
        <v>1535601</v>
      </c>
      <c r="B341" t="s">
        <v>3337</v>
      </c>
      <c r="C341" t="s">
        <v>17</v>
      </c>
      <c r="D341" t="s">
        <v>85</v>
      </c>
      <c r="E341" t="s">
        <v>3544</v>
      </c>
      <c r="F341" t="s">
        <v>3545</v>
      </c>
      <c r="G341" t="s">
        <v>3546</v>
      </c>
      <c r="H341" t="s">
        <v>3547</v>
      </c>
    </row>
    <row r="342" spans="1:8" x14ac:dyDescent="0.25">
      <c r="A342">
        <v>1400562</v>
      </c>
      <c r="B342" t="s">
        <v>3548</v>
      </c>
      <c r="C342" t="s">
        <v>94</v>
      </c>
      <c r="D342" t="s">
        <v>319</v>
      </c>
      <c r="E342" t="s">
        <v>2929</v>
      </c>
      <c r="F342" t="s">
        <v>3549</v>
      </c>
      <c r="G342" t="s">
        <v>3550</v>
      </c>
      <c r="H342" t="s">
        <v>3551</v>
      </c>
    </row>
    <row r="343" spans="1:8" x14ac:dyDescent="0.25">
      <c r="A343">
        <v>1481924</v>
      </c>
      <c r="B343" t="s">
        <v>3548</v>
      </c>
      <c r="C343" t="s">
        <v>94</v>
      </c>
      <c r="D343" t="s">
        <v>51</v>
      </c>
      <c r="E343" t="s">
        <v>383</v>
      </c>
      <c r="F343" t="s">
        <v>3552</v>
      </c>
      <c r="G343" t="s">
        <v>3553</v>
      </c>
      <c r="H343" t="s">
        <v>3554</v>
      </c>
    </row>
    <row r="344" spans="1:8" x14ac:dyDescent="0.25">
      <c r="A344">
        <v>1509658</v>
      </c>
      <c r="B344" t="s">
        <v>3548</v>
      </c>
      <c r="C344" t="s">
        <v>32</v>
      </c>
      <c r="D344" t="s">
        <v>21</v>
      </c>
      <c r="E344" t="s">
        <v>22</v>
      </c>
      <c r="F344" t="s">
        <v>3555</v>
      </c>
      <c r="G344" t="s">
        <v>3556</v>
      </c>
      <c r="H344" t="s">
        <v>3557</v>
      </c>
    </row>
    <row r="345" spans="1:8" x14ac:dyDescent="0.25">
      <c r="A345">
        <v>1518180</v>
      </c>
      <c r="B345" t="s">
        <v>3548</v>
      </c>
      <c r="C345" t="s">
        <v>94</v>
      </c>
      <c r="D345" t="s">
        <v>379</v>
      </c>
      <c r="E345" t="s">
        <v>55</v>
      </c>
      <c r="F345" t="s">
        <v>1159</v>
      </c>
      <c r="G345" t="s">
        <v>867</v>
      </c>
      <c r="H345" t="s">
        <v>3558</v>
      </c>
    </row>
    <row r="346" spans="1:8" x14ac:dyDescent="0.25">
      <c r="A346">
        <v>1522768</v>
      </c>
      <c r="B346" t="s">
        <v>3548</v>
      </c>
      <c r="C346" t="s">
        <v>94</v>
      </c>
      <c r="D346" t="s">
        <v>585</v>
      </c>
      <c r="E346" t="s">
        <v>586</v>
      </c>
      <c r="F346" t="s">
        <v>3559</v>
      </c>
      <c r="G346" t="s">
        <v>3560</v>
      </c>
      <c r="H346" t="s">
        <v>3561</v>
      </c>
    </row>
    <row r="347" spans="1:8" x14ac:dyDescent="0.25">
      <c r="A347">
        <v>1379271</v>
      </c>
      <c r="B347" t="s">
        <v>3562</v>
      </c>
      <c r="C347" t="s">
        <v>94</v>
      </c>
      <c r="D347" t="s">
        <v>65</v>
      </c>
      <c r="E347" t="s">
        <v>49</v>
      </c>
      <c r="F347" t="s">
        <v>2579</v>
      </c>
      <c r="G347" t="s">
        <v>3563</v>
      </c>
      <c r="H347" t="s">
        <v>3564</v>
      </c>
    </row>
    <row r="348" spans="1:8" x14ac:dyDescent="0.25">
      <c r="A348">
        <v>1386454</v>
      </c>
      <c r="B348" t="s">
        <v>3562</v>
      </c>
      <c r="C348" t="s">
        <v>94</v>
      </c>
      <c r="D348" t="s">
        <v>65</v>
      </c>
      <c r="E348" t="s">
        <v>2834</v>
      </c>
      <c r="F348" t="s">
        <v>3565</v>
      </c>
      <c r="G348" t="s">
        <v>3566</v>
      </c>
      <c r="H348" t="s">
        <v>3567</v>
      </c>
    </row>
    <row r="349" spans="1:8" x14ac:dyDescent="0.25">
      <c r="A349">
        <v>1386458</v>
      </c>
      <c r="B349" t="s">
        <v>3562</v>
      </c>
      <c r="C349" t="s">
        <v>94</v>
      </c>
      <c r="D349" t="s">
        <v>65</v>
      </c>
      <c r="E349" t="s">
        <v>2834</v>
      </c>
      <c r="F349" t="s">
        <v>3568</v>
      </c>
      <c r="G349" t="s">
        <v>3569</v>
      </c>
      <c r="H349" t="s">
        <v>3570</v>
      </c>
    </row>
    <row r="350" spans="1:8" x14ac:dyDescent="0.25">
      <c r="A350">
        <v>1387010</v>
      </c>
      <c r="B350" t="s">
        <v>3562</v>
      </c>
      <c r="C350" t="s">
        <v>94</v>
      </c>
      <c r="D350" t="s">
        <v>65</v>
      </c>
      <c r="E350" t="s">
        <v>70</v>
      </c>
      <c r="F350" t="s">
        <v>2790</v>
      </c>
      <c r="G350" t="s">
        <v>3571</v>
      </c>
      <c r="H350" t="s">
        <v>3572</v>
      </c>
    </row>
    <row r="351" spans="1:8" x14ac:dyDescent="0.25">
      <c r="A351">
        <v>1387012</v>
      </c>
      <c r="B351" t="s">
        <v>3562</v>
      </c>
      <c r="C351" t="s">
        <v>94</v>
      </c>
      <c r="D351" t="s">
        <v>65</v>
      </c>
      <c r="E351" t="s">
        <v>70</v>
      </c>
      <c r="F351" t="s">
        <v>3573</v>
      </c>
      <c r="G351" t="s">
        <v>3574</v>
      </c>
      <c r="H351" t="s">
        <v>3575</v>
      </c>
    </row>
    <row r="352" spans="1:8" x14ac:dyDescent="0.25">
      <c r="A352">
        <v>1387014</v>
      </c>
      <c r="B352" t="s">
        <v>3562</v>
      </c>
      <c r="C352" t="s">
        <v>94</v>
      </c>
      <c r="D352" t="s">
        <v>65</v>
      </c>
      <c r="E352" t="s">
        <v>70</v>
      </c>
      <c r="F352" t="s">
        <v>3576</v>
      </c>
      <c r="G352" t="s">
        <v>473</v>
      </c>
      <c r="H352" t="s">
        <v>3577</v>
      </c>
    </row>
    <row r="353" spans="1:8" x14ac:dyDescent="0.25">
      <c r="A353">
        <v>1387564</v>
      </c>
      <c r="B353" t="s">
        <v>3562</v>
      </c>
      <c r="C353" t="s">
        <v>94</v>
      </c>
      <c r="D353" t="s">
        <v>65</v>
      </c>
      <c r="E353" t="s">
        <v>266</v>
      </c>
      <c r="F353" t="s">
        <v>3578</v>
      </c>
      <c r="G353" t="s">
        <v>525</v>
      </c>
      <c r="H353" t="s">
        <v>3579</v>
      </c>
    </row>
    <row r="354" spans="1:8" x14ac:dyDescent="0.25">
      <c r="A354">
        <v>1387570</v>
      </c>
      <c r="B354" t="s">
        <v>3562</v>
      </c>
      <c r="C354" t="s">
        <v>94</v>
      </c>
      <c r="D354" t="s">
        <v>65</v>
      </c>
      <c r="E354" t="s">
        <v>266</v>
      </c>
      <c r="F354" t="s">
        <v>3580</v>
      </c>
      <c r="G354" t="s">
        <v>3581</v>
      </c>
      <c r="H354" t="s">
        <v>3582</v>
      </c>
    </row>
    <row r="355" spans="1:8" x14ac:dyDescent="0.25">
      <c r="A355">
        <v>1399863</v>
      </c>
      <c r="B355" t="s">
        <v>3562</v>
      </c>
      <c r="C355" t="s">
        <v>94</v>
      </c>
      <c r="D355" t="s">
        <v>65</v>
      </c>
      <c r="E355" t="s">
        <v>104</v>
      </c>
      <c r="F355" t="s">
        <v>3583</v>
      </c>
      <c r="G355" t="s">
        <v>3584</v>
      </c>
      <c r="H355" t="s">
        <v>3585</v>
      </c>
    </row>
    <row r="356" spans="1:8" x14ac:dyDescent="0.25">
      <c r="A356">
        <v>1408297</v>
      </c>
      <c r="B356" t="s">
        <v>3562</v>
      </c>
      <c r="C356" t="s">
        <v>94</v>
      </c>
      <c r="D356" t="s">
        <v>43</v>
      </c>
      <c r="E356" t="s">
        <v>591</v>
      </c>
      <c r="F356" t="s">
        <v>3586</v>
      </c>
      <c r="G356" t="s">
        <v>1387</v>
      </c>
      <c r="H356" t="s">
        <v>3587</v>
      </c>
    </row>
    <row r="357" spans="1:8" x14ac:dyDescent="0.25">
      <c r="A357">
        <v>1409418</v>
      </c>
      <c r="B357" t="s">
        <v>3562</v>
      </c>
      <c r="C357" t="s">
        <v>94</v>
      </c>
      <c r="D357" t="s">
        <v>43</v>
      </c>
      <c r="E357" t="s">
        <v>600</v>
      </c>
      <c r="F357" t="s">
        <v>3588</v>
      </c>
      <c r="G357" t="s">
        <v>3589</v>
      </c>
      <c r="H357" t="s">
        <v>3590</v>
      </c>
    </row>
    <row r="358" spans="1:8" x14ac:dyDescent="0.25">
      <c r="A358">
        <v>1420150</v>
      </c>
      <c r="B358" t="s">
        <v>3562</v>
      </c>
      <c r="C358" t="s">
        <v>94</v>
      </c>
      <c r="D358" t="s">
        <v>71</v>
      </c>
      <c r="E358" t="s">
        <v>3591</v>
      </c>
      <c r="F358" t="s">
        <v>3592</v>
      </c>
      <c r="G358" t="s">
        <v>3593</v>
      </c>
      <c r="H358" t="s">
        <v>3594</v>
      </c>
    </row>
    <row r="359" spans="1:8" x14ac:dyDescent="0.25">
      <c r="A359">
        <v>1420151</v>
      </c>
      <c r="B359" t="s">
        <v>3562</v>
      </c>
      <c r="C359" t="s">
        <v>94</v>
      </c>
      <c r="D359" t="s">
        <v>71</v>
      </c>
      <c r="E359" t="s">
        <v>3591</v>
      </c>
      <c r="F359" t="s">
        <v>3595</v>
      </c>
      <c r="G359" t="s">
        <v>3596</v>
      </c>
      <c r="H359" t="s">
        <v>3597</v>
      </c>
    </row>
    <row r="360" spans="1:8" x14ac:dyDescent="0.25">
      <c r="A360">
        <v>1420152</v>
      </c>
      <c r="B360" t="s">
        <v>3562</v>
      </c>
      <c r="C360" t="s">
        <v>94</v>
      </c>
      <c r="D360" t="s">
        <v>71</v>
      </c>
      <c r="E360" t="s">
        <v>3591</v>
      </c>
      <c r="F360" t="s">
        <v>3598</v>
      </c>
      <c r="G360" t="s">
        <v>3599</v>
      </c>
      <c r="H360" t="s">
        <v>3600</v>
      </c>
    </row>
    <row r="361" spans="1:8" x14ac:dyDescent="0.25">
      <c r="A361">
        <v>1420153</v>
      </c>
      <c r="B361" t="s">
        <v>3562</v>
      </c>
      <c r="C361" t="s">
        <v>94</v>
      </c>
      <c r="D361" t="s">
        <v>71</v>
      </c>
      <c r="E361" t="s">
        <v>3591</v>
      </c>
      <c r="F361" t="s">
        <v>3601</v>
      </c>
      <c r="G361" t="s">
        <v>3602</v>
      </c>
      <c r="H361" t="s">
        <v>3603</v>
      </c>
    </row>
    <row r="362" spans="1:8" x14ac:dyDescent="0.25">
      <c r="A362">
        <v>1433777</v>
      </c>
      <c r="B362" t="s">
        <v>3562</v>
      </c>
      <c r="C362" t="s">
        <v>94</v>
      </c>
      <c r="D362" t="s">
        <v>78</v>
      </c>
      <c r="E362" t="s">
        <v>594</v>
      </c>
      <c r="F362" t="s">
        <v>3604</v>
      </c>
      <c r="G362" t="s">
        <v>1546</v>
      </c>
      <c r="H362" t="s">
        <v>3605</v>
      </c>
    </row>
    <row r="363" spans="1:8" x14ac:dyDescent="0.25">
      <c r="A363">
        <v>1461560</v>
      </c>
      <c r="B363" t="s">
        <v>3562</v>
      </c>
      <c r="C363" t="s">
        <v>34</v>
      </c>
      <c r="D363" t="s">
        <v>40</v>
      </c>
      <c r="E363" t="s">
        <v>584</v>
      </c>
      <c r="F363" t="s">
        <v>3606</v>
      </c>
      <c r="G363" t="s">
        <v>3607</v>
      </c>
      <c r="H363" t="s">
        <v>3608</v>
      </c>
    </row>
    <row r="364" spans="1:8" x14ac:dyDescent="0.25">
      <c r="A364">
        <v>1491102</v>
      </c>
      <c r="B364" t="s">
        <v>3562</v>
      </c>
      <c r="C364" t="s">
        <v>94</v>
      </c>
      <c r="D364" t="s">
        <v>105</v>
      </c>
      <c r="E364" t="s">
        <v>106</v>
      </c>
      <c r="F364" t="s">
        <v>1148</v>
      </c>
      <c r="G364" t="s">
        <v>3609</v>
      </c>
      <c r="H364" t="s">
        <v>3610</v>
      </c>
    </row>
    <row r="365" spans="1:8" x14ac:dyDescent="0.25">
      <c r="A365">
        <v>1491275</v>
      </c>
      <c r="B365" t="s">
        <v>3562</v>
      </c>
      <c r="C365" t="s">
        <v>94</v>
      </c>
      <c r="D365" t="s">
        <v>105</v>
      </c>
      <c r="E365" t="s">
        <v>321</v>
      </c>
      <c r="F365" t="s">
        <v>3611</v>
      </c>
      <c r="G365" t="s">
        <v>3612</v>
      </c>
      <c r="H365" t="s">
        <v>3613</v>
      </c>
    </row>
    <row r="366" spans="1:8" x14ac:dyDescent="0.25">
      <c r="A366">
        <v>1507799</v>
      </c>
      <c r="B366" t="s">
        <v>3562</v>
      </c>
      <c r="C366" t="s">
        <v>32</v>
      </c>
      <c r="D366" t="s">
        <v>21</v>
      </c>
      <c r="E366" t="s">
        <v>22</v>
      </c>
      <c r="F366" t="s">
        <v>3614</v>
      </c>
      <c r="G366" t="s">
        <v>3615</v>
      </c>
      <c r="H366" t="s">
        <v>3616</v>
      </c>
    </row>
    <row r="367" spans="1:8" x14ac:dyDescent="0.25">
      <c r="A367">
        <v>1509896</v>
      </c>
      <c r="B367" t="s">
        <v>3562</v>
      </c>
      <c r="C367" t="s">
        <v>32</v>
      </c>
      <c r="D367" t="s">
        <v>21</v>
      </c>
      <c r="E367" t="s">
        <v>22</v>
      </c>
      <c r="F367" t="s">
        <v>1778</v>
      </c>
      <c r="G367" t="s">
        <v>1779</v>
      </c>
      <c r="H367" t="s">
        <v>3617</v>
      </c>
    </row>
    <row r="368" spans="1:8" x14ac:dyDescent="0.25">
      <c r="A368">
        <v>1513505</v>
      </c>
      <c r="B368" t="s">
        <v>3562</v>
      </c>
      <c r="C368" t="s">
        <v>94</v>
      </c>
      <c r="D368" t="s">
        <v>546</v>
      </c>
      <c r="E368" t="s">
        <v>580</v>
      </c>
      <c r="F368" t="s">
        <v>3618</v>
      </c>
      <c r="G368" t="s">
        <v>3619</v>
      </c>
      <c r="H368" t="s">
        <v>3620</v>
      </c>
    </row>
    <row r="369" spans="1:8" x14ac:dyDescent="0.25">
      <c r="A369">
        <v>1520378</v>
      </c>
      <c r="B369" t="s">
        <v>3562</v>
      </c>
      <c r="C369" t="s">
        <v>32</v>
      </c>
      <c r="D369" t="s">
        <v>21</v>
      </c>
      <c r="E369" t="s">
        <v>22</v>
      </c>
      <c r="F369" t="s">
        <v>3621</v>
      </c>
      <c r="G369" t="s">
        <v>1454</v>
      </c>
      <c r="H369" t="s">
        <v>3622</v>
      </c>
    </row>
    <row r="370" spans="1:8" x14ac:dyDescent="0.25">
      <c r="A370">
        <v>1526679</v>
      </c>
      <c r="B370" t="s">
        <v>3562</v>
      </c>
      <c r="C370" t="s">
        <v>94</v>
      </c>
      <c r="D370" t="s">
        <v>377</v>
      </c>
      <c r="E370" t="s">
        <v>2949</v>
      </c>
      <c r="F370" t="s">
        <v>3623</v>
      </c>
      <c r="G370" t="s">
        <v>3624</v>
      </c>
      <c r="H370" t="s">
        <v>3625</v>
      </c>
    </row>
    <row r="371" spans="1:8" x14ac:dyDescent="0.25">
      <c r="A371">
        <v>1530616</v>
      </c>
      <c r="B371" t="s">
        <v>3562</v>
      </c>
      <c r="C371" t="s">
        <v>94</v>
      </c>
      <c r="D371" t="s">
        <v>20</v>
      </c>
      <c r="E371" t="s">
        <v>602</v>
      </c>
      <c r="F371" t="s">
        <v>3626</v>
      </c>
      <c r="G371" t="s">
        <v>3627</v>
      </c>
      <c r="H371" t="s">
        <v>3628</v>
      </c>
    </row>
    <row r="372" spans="1:8" x14ac:dyDescent="0.25">
      <c r="A372">
        <v>1530618</v>
      </c>
      <c r="B372" t="s">
        <v>3562</v>
      </c>
      <c r="C372" t="s">
        <v>94</v>
      </c>
      <c r="D372" t="s">
        <v>20</v>
      </c>
      <c r="E372" t="s">
        <v>602</v>
      </c>
      <c r="F372" t="s">
        <v>3629</v>
      </c>
      <c r="G372" t="s">
        <v>3630</v>
      </c>
      <c r="H372" t="s">
        <v>3631</v>
      </c>
    </row>
    <row r="373" spans="1:8" x14ac:dyDescent="0.25">
      <c r="A373">
        <v>1530619</v>
      </c>
      <c r="B373" t="s">
        <v>3562</v>
      </c>
      <c r="C373" t="s">
        <v>94</v>
      </c>
      <c r="D373" t="s">
        <v>20</v>
      </c>
      <c r="E373" t="s">
        <v>602</v>
      </c>
      <c r="F373" t="s">
        <v>3632</v>
      </c>
      <c r="G373" t="s">
        <v>3633</v>
      </c>
      <c r="H373" t="s">
        <v>3634</v>
      </c>
    </row>
    <row r="374" spans="1:8" x14ac:dyDescent="0.25">
      <c r="A374">
        <v>1531657</v>
      </c>
      <c r="B374" t="s">
        <v>3562</v>
      </c>
      <c r="C374" t="s">
        <v>94</v>
      </c>
      <c r="D374" t="s">
        <v>566</v>
      </c>
      <c r="E374" t="s">
        <v>567</v>
      </c>
      <c r="F374" t="s">
        <v>1166</v>
      </c>
      <c r="G374" t="s">
        <v>860</v>
      </c>
      <c r="H374" t="s">
        <v>3635</v>
      </c>
    </row>
    <row r="375" spans="1:8" x14ac:dyDescent="0.25">
      <c r="A375">
        <v>1380333</v>
      </c>
      <c r="B375" t="s">
        <v>3636</v>
      </c>
      <c r="C375" t="s">
        <v>94</v>
      </c>
      <c r="D375" t="s">
        <v>390</v>
      </c>
      <c r="E375" t="s">
        <v>400</v>
      </c>
      <c r="F375" t="s">
        <v>2241</v>
      </c>
      <c r="G375" t="s">
        <v>1313</v>
      </c>
      <c r="H375" t="s">
        <v>3637</v>
      </c>
    </row>
    <row r="376" spans="1:8" x14ac:dyDescent="0.25">
      <c r="A376">
        <v>1381745</v>
      </c>
      <c r="B376" t="s">
        <v>3636</v>
      </c>
      <c r="C376" t="s">
        <v>3638</v>
      </c>
      <c r="D376" t="s">
        <v>51</v>
      </c>
      <c r="E376" t="s">
        <v>52</v>
      </c>
      <c r="F376" t="s">
        <v>1021</v>
      </c>
      <c r="G376" t="s">
        <v>3639</v>
      </c>
      <c r="H376" t="s">
        <v>3640</v>
      </c>
    </row>
    <row r="377" spans="1:8" x14ac:dyDescent="0.25">
      <c r="A377">
        <v>1385109</v>
      </c>
      <c r="B377" t="s">
        <v>3636</v>
      </c>
      <c r="C377" t="s">
        <v>94</v>
      </c>
      <c r="D377" t="s">
        <v>63</v>
      </c>
      <c r="E377" t="s">
        <v>265</v>
      </c>
      <c r="F377" t="s">
        <v>3641</v>
      </c>
      <c r="G377" t="s">
        <v>2507</v>
      </c>
      <c r="H377" t="s">
        <v>3642</v>
      </c>
    </row>
    <row r="378" spans="1:8" x14ac:dyDescent="0.25">
      <c r="A378">
        <v>1388224</v>
      </c>
      <c r="B378" t="s">
        <v>3636</v>
      </c>
      <c r="C378" t="s">
        <v>94</v>
      </c>
      <c r="D378" t="s">
        <v>267</v>
      </c>
      <c r="E378" t="s">
        <v>402</v>
      </c>
      <c r="F378" t="s">
        <v>3643</v>
      </c>
      <c r="G378" t="s">
        <v>3644</v>
      </c>
      <c r="H378" t="s">
        <v>3645</v>
      </c>
    </row>
    <row r="379" spans="1:8" x14ac:dyDescent="0.25">
      <c r="A379">
        <v>1389355</v>
      </c>
      <c r="B379" t="s">
        <v>3636</v>
      </c>
      <c r="C379" t="s">
        <v>94</v>
      </c>
      <c r="D379" t="s">
        <v>89</v>
      </c>
      <c r="E379" t="s">
        <v>236</v>
      </c>
      <c r="F379" t="s">
        <v>3646</v>
      </c>
      <c r="G379" t="s">
        <v>524</v>
      </c>
      <c r="H379" t="s">
        <v>3647</v>
      </c>
    </row>
    <row r="380" spans="1:8" x14ac:dyDescent="0.25">
      <c r="A380">
        <v>1389357</v>
      </c>
      <c r="B380" t="s">
        <v>3636</v>
      </c>
      <c r="C380" t="s">
        <v>94</v>
      </c>
      <c r="D380" t="s">
        <v>89</v>
      </c>
      <c r="E380" t="s">
        <v>236</v>
      </c>
      <c r="F380" t="s">
        <v>3648</v>
      </c>
      <c r="G380" t="s">
        <v>2549</v>
      </c>
      <c r="H380" t="s">
        <v>3649</v>
      </c>
    </row>
    <row r="381" spans="1:8" x14ac:dyDescent="0.25">
      <c r="A381">
        <v>1391102</v>
      </c>
      <c r="B381" t="s">
        <v>3636</v>
      </c>
      <c r="C381" t="s">
        <v>94</v>
      </c>
      <c r="D381" t="s">
        <v>40</v>
      </c>
      <c r="E381" t="s">
        <v>74</v>
      </c>
      <c r="F381" t="s">
        <v>1359</v>
      </c>
      <c r="G381" t="s">
        <v>3650</v>
      </c>
      <c r="H381" t="s">
        <v>3651</v>
      </c>
    </row>
    <row r="382" spans="1:8" x14ac:dyDescent="0.25">
      <c r="A382">
        <v>1392105</v>
      </c>
      <c r="B382" t="s">
        <v>3636</v>
      </c>
      <c r="C382" t="s">
        <v>94</v>
      </c>
      <c r="D382" t="s">
        <v>40</v>
      </c>
      <c r="E382" t="s">
        <v>75</v>
      </c>
      <c r="F382" t="s">
        <v>428</v>
      </c>
      <c r="G382" t="s">
        <v>1361</v>
      </c>
      <c r="H382" t="s">
        <v>3652</v>
      </c>
    </row>
    <row r="383" spans="1:8" x14ac:dyDescent="0.25">
      <c r="A383">
        <v>1393048</v>
      </c>
      <c r="B383" t="s">
        <v>3636</v>
      </c>
      <c r="C383" t="s">
        <v>94</v>
      </c>
      <c r="D383" t="s">
        <v>78</v>
      </c>
      <c r="E383" t="s">
        <v>3362</v>
      </c>
      <c r="F383" t="s">
        <v>3653</v>
      </c>
      <c r="G383" t="s">
        <v>3654</v>
      </c>
      <c r="H383" t="s">
        <v>3655</v>
      </c>
    </row>
    <row r="384" spans="1:8" x14ac:dyDescent="0.25">
      <c r="A384">
        <v>1393049</v>
      </c>
      <c r="B384" t="s">
        <v>3636</v>
      </c>
      <c r="C384" t="s">
        <v>94</v>
      </c>
      <c r="D384" t="s">
        <v>78</v>
      </c>
      <c r="E384" t="s">
        <v>3362</v>
      </c>
      <c r="F384" t="s">
        <v>3656</v>
      </c>
      <c r="G384" t="s">
        <v>3657</v>
      </c>
      <c r="H384" t="s">
        <v>3658</v>
      </c>
    </row>
    <row r="385" spans="1:8" x14ac:dyDescent="0.25">
      <c r="A385">
        <v>1393178</v>
      </c>
      <c r="B385" t="s">
        <v>3636</v>
      </c>
      <c r="C385" t="s">
        <v>94</v>
      </c>
      <c r="D385" t="s">
        <v>78</v>
      </c>
      <c r="E385" t="s">
        <v>549</v>
      </c>
      <c r="F385" t="s">
        <v>3659</v>
      </c>
      <c r="G385" t="s">
        <v>3660</v>
      </c>
      <c r="H385" t="s">
        <v>3661</v>
      </c>
    </row>
    <row r="386" spans="1:8" x14ac:dyDescent="0.25">
      <c r="A386">
        <v>1393179</v>
      </c>
      <c r="B386" t="s">
        <v>3636</v>
      </c>
      <c r="C386" t="s">
        <v>94</v>
      </c>
      <c r="D386" t="s">
        <v>78</v>
      </c>
      <c r="E386" t="s">
        <v>549</v>
      </c>
      <c r="F386" t="s">
        <v>3662</v>
      </c>
      <c r="G386" t="s">
        <v>3663</v>
      </c>
      <c r="H386" t="s">
        <v>3664</v>
      </c>
    </row>
    <row r="387" spans="1:8" x14ac:dyDescent="0.25">
      <c r="A387">
        <v>1393180</v>
      </c>
      <c r="B387" t="s">
        <v>3636</v>
      </c>
      <c r="C387" t="s">
        <v>94</v>
      </c>
      <c r="D387" t="s">
        <v>78</v>
      </c>
      <c r="E387" t="s">
        <v>549</v>
      </c>
      <c r="F387" t="s">
        <v>3665</v>
      </c>
      <c r="G387" t="s">
        <v>3666</v>
      </c>
      <c r="H387" t="s">
        <v>3667</v>
      </c>
    </row>
    <row r="388" spans="1:8" x14ac:dyDescent="0.25">
      <c r="A388">
        <v>1393255</v>
      </c>
      <c r="B388" t="s">
        <v>3636</v>
      </c>
      <c r="C388" t="s">
        <v>94</v>
      </c>
      <c r="D388" t="s">
        <v>381</v>
      </c>
      <c r="E388" t="s">
        <v>3375</v>
      </c>
      <c r="F388" t="s">
        <v>3668</v>
      </c>
      <c r="G388" t="s">
        <v>3669</v>
      </c>
      <c r="H388" t="s">
        <v>3670</v>
      </c>
    </row>
    <row r="389" spans="1:8" x14ac:dyDescent="0.25">
      <c r="A389">
        <v>1394343</v>
      </c>
      <c r="B389" t="s">
        <v>3636</v>
      </c>
      <c r="C389" t="s">
        <v>94</v>
      </c>
      <c r="D389" t="s">
        <v>43</v>
      </c>
      <c r="E389" t="s">
        <v>339</v>
      </c>
      <c r="F389" t="s">
        <v>3671</v>
      </c>
      <c r="G389" t="s">
        <v>3672</v>
      </c>
      <c r="H389" t="s">
        <v>3673</v>
      </c>
    </row>
    <row r="390" spans="1:8" x14ac:dyDescent="0.25">
      <c r="A390">
        <v>1394346</v>
      </c>
      <c r="B390" t="s">
        <v>3636</v>
      </c>
      <c r="C390" t="s">
        <v>94</v>
      </c>
      <c r="D390" t="s">
        <v>43</v>
      </c>
      <c r="E390" t="s">
        <v>339</v>
      </c>
      <c r="F390" t="s">
        <v>2281</v>
      </c>
      <c r="G390" t="s">
        <v>3674</v>
      </c>
      <c r="H390" t="s">
        <v>3675</v>
      </c>
    </row>
    <row r="391" spans="1:8" x14ac:dyDescent="0.25">
      <c r="A391">
        <v>1394347</v>
      </c>
      <c r="B391" t="s">
        <v>3636</v>
      </c>
      <c r="C391" t="s">
        <v>94</v>
      </c>
      <c r="D391" t="s">
        <v>43</v>
      </c>
      <c r="E391" t="s">
        <v>339</v>
      </c>
      <c r="F391" t="s">
        <v>1324</v>
      </c>
      <c r="G391" t="s">
        <v>3676</v>
      </c>
      <c r="H391" t="s">
        <v>3677</v>
      </c>
    </row>
    <row r="392" spans="1:8" x14ac:dyDescent="0.25">
      <c r="A392">
        <v>1394348</v>
      </c>
      <c r="B392" t="s">
        <v>3636</v>
      </c>
      <c r="C392" t="s">
        <v>94</v>
      </c>
      <c r="D392" t="s">
        <v>43</v>
      </c>
      <c r="E392" t="s">
        <v>339</v>
      </c>
      <c r="F392" t="s">
        <v>3678</v>
      </c>
      <c r="G392" t="s">
        <v>1325</v>
      </c>
      <c r="H392" t="s">
        <v>3679</v>
      </c>
    </row>
    <row r="393" spans="1:8" x14ac:dyDescent="0.25">
      <c r="A393">
        <v>1394349</v>
      </c>
      <c r="B393" t="s">
        <v>3636</v>
      </c>
      <c r="C393" t="s">
        <v>94</v>
      </c>
      <c r="D393" t="s">
        <v>43</v>
      </c>
      <c r="E393" t="s">
        <v>339</v>
      </c>
      <c r="F393" t="s">
        <v>3680</v>
      </c>
      <c r="G393" t="s">
        <v>3681</v>
      </c>
      <c r="H393" t="s">
        <v>3682</v>
      </c>
    </row>
    <row r="394" spans="1:8" x14ac:dyDescent="0.25">
      <c r="A394">
        <v>1395268</v>
      </c>
      <c r="B394" t="s">
        <v>3636</v>
      </c>
      <c r="C394" t="s">
        <v>94</v>
      </c>
      <c r="D394" t="s">
        <v>63</v>
      </c>
      <c r="E394" t="s">
        <v>604</v>
      </c>
      <c r="F394" t="s">
        <v>3683</v>
      </c>
      <c r="G394" t="s">
        <v>3684</v>
      </c>
      <c r="H394" t="s">
        <v>3685</v>
      </c>
    </row>
    <row r="395" spans="1:8" x14ac:dyDescent="0.25">
      <c r="A395">
        <v>1396018</v>
      </c>
      <c r="B395" t="s">
        <v>3636</v>
      </c>
      <c r="C395" t="s">
        <v>94</v>
      </c>
      <c r="D395" t="s">
        <v>51</v>
      </c>
      <c r="E395" t="s">
        <v>385</v>
      </c>
      <c r="F395" t="s">
        <v>3686</v>
      </c>
      <c r="G395" t="s">
        <v>3687</v>
      </c>
      <c r="H395" t="s">
        <v>3688</v>
      </c>
    </row>
    <row r="396" spans="1:8" x14ac:dyDescent="0.25">
      <c r="A396">
        <v>1397382</v>
      </c>
      <c r="B396" t="s">
        <v>3636</v>
      </c>
      <c r="C396" t="s">
        <v>94</v>
      </c>
      <c r="D396" t="s">
        <v>51</v>
      </c>
      <c r="E396" t="s">
        <v>3134</v>
      </c>
      <c r="F396" t="s">
        <v>3689</v>
      </c>
      <c r="G396" t="s">
        <v>3690</v>
      </c>
      <c r="H396" t="s">
        <v>3691</v>
      </c>
    </row>
    <row r="397" spans="1:8" x14ac:dyDescent="0.25">
      <c r="A397">
        <v>1398630</v>
      </c>
      <c r="B397" t="s">
        <v>3636</v>
      </c>
      <c r="C397" t="s">
        <v>94</v>
      </c>
      <c r="D397" t="s">
        <v>42</v>
      </c>
      <c r="E397" t="s">
        <v>50</v>
      </c>
      <c r="F397" t="s">
        <v>3692</v>
      </c>
      <c r="G397" t="s">
        <v>3693</v>
      </c>
      <c r="H397" t="s">
        <v>3694</v>
      </c>
    </row>
    <row r="398" spans="1:8" x14ac:dyDescent="0.25">
      <c r="A398">
        <v>1398631</v>
      </c>
      <c r="B398" t="s">
        <v>3636</v>
      </c>
      <c r="C398" t="s">
        <v>94</v>
      </c>
      <c r="D398" t="s">
        <v>42</v>
      </c>
      <c r="E398" t="s">
        <v>50</v>
      </c>
      <c r="F398" t="s">
        <v>3695</v>
      </c>
      <c r="G398" t="s">
        <v>3696</v>
      </c>
      <c r="H398" t="s">
        <v>3697</v>
      </c>
    </row>
    <row r="399" spans="1:8" x14ac:dyDescent="0.25">
      <c r="A399">
        <v>1398840</v>
      </c>
      <c r="B399" t="s">
        <v>3636</v>
      </c>
      <c r="C399" t="s">
        <v>94</v>
      </c>
      <c r="D399" t="s">
        <v>332</v>
      </c>
      <c r="E399" t="s">
        <v>396</v>
      </c>
      <c r="F399" t="s">
        <v>3698</v>
      </c>
      <c r="G399" t="s">
        <v>3699</v>
      </c>
      <c r="H399" t="s">
        <v>3700</v>
      </c>
    </row>
    <row r="400" spans="1:8" x14ac:dyDescent="0.25">
      <c r="A400">
        <v>1398842</v>
      </c>
      <c r="B400" t="s">
        <v>3636</v>
      </c>
      <c r="C400" t="s">
        <v>32</v>
      </c>
      <c r="D400" t="s">
        <v>332</v>
      </c>
      <c r="E400" t="s">
        <v>396</v>
      </c>
      <c r="F400" t="s">
        <v>3701</v>
      </c>
      <c r="G400" t="s">
        <v>3702</v>
      </c>
      <c r="H400" t="s">
        <v>3703</v>
      </c>
    </row>
    <row r="401" spans="1:8" x14ac:dyDescent="0.25">
      <c r="A401">
        <v>1400201</v>
      </c>
      <c r="B401" t="s">
        <v>3636</v>
      </c>
      <c r="C401" t="s">
        <v>94</v>
      </c>
      <c r="D401" t="s">
        <v>377</v>
      </c>
      <c r="E401" t="s">
        <v>49</v>
      </c>
      <c r="F401" t="s">
        <v>2176</v>
      </c>
      <c r="G401" t="s">
        <v>1196</v>
      </c>
      <c r="H401" t="s">
        <v>3704</v>
      </c>
    </row>
    <row r="402" spans="1:8" x14ac:dyDescent="0.25">
      <c r="A402">
        <v>1401352</v>
      </c>
      <c r="B402" t="s">
        <v>3636</v>
      </c>
      <c r="C402" t="s">
        <v>94</v>
      </c>
      <c r="D402" t="s">
        <v>43</v>
      </c>
      <c r="E402" t="s">
        <v>3143</v>
      </c>
      <c r="F402" t="s">
        <v>3705</v>
      </c>
      <c r="G402" t="s">
        <v>3706</v>
      </c>
      <c r="H402" t="s">
        <v>3707</v>
      </c>
    </row>
    <row r="403" spans="1:8" x14ac:dyDescent="0.25">
      <c r="A403">
        <v>1406282</v>
      </c>
      <c r="B403" t="s">
        <v>3636</v>
      </c>
      <c r="C403" t="s">
        <v>3638</v>
      </c>
      <c r="D403" t="s">
        <v>43</v>
      </c>
      <c r="E403" t="s">
        <v>393</v>
      </c>
      <c r="F403" t="s">
        <v>1232</v>
      </c>
      <c r="G403" t="s">
        <v>3708</v>
      </c>
      <c r="H403" t="s">
        <v>3709</v>
      </c>
    </row>
    <row r="404" spans="1:8" x14ac:dyDescent="0.25">
      <c r="A404">
        <v>1406283</v>
      </c>
      <c r="B404" t="s">
        <v>3636</v>
      </c>
      <c r="C404" t="s">
        <v>3638</v>
      </c>
      <c r="D404" t="s">
        <v>43</v>
      </c>
      <c r="E404" t="s">
        <v>393</v>
      </c>
      <c r="F404" t="s">
        <v>3710</v>
      </c>
      <c r="G404" t="s">
        <v>3711</v>
      </c>
      <c r="H404" t="s">
        <v>3712</v>
      </c>
    </row>
    <row r="405" spans="1:8" x14ac:dyDescent="0.25">
      <c r="A405">
        <v>1406284</v>
      </c>
      <c r="B405" t="s">
        <v>3636</v>
      </c>
      <c r="C405" t="s">
        <v>3638</v>
      </c>
      <c r="D405" t="s">
        <v>43</v>
      </c>
      <c r="E405" t="s">
        <v>393</v>
      </c>
      <c r="F405" t="s">
        <v>3713</v>
      </c>
      <c r="G405" t="s">
        <v>3714</v>
      </c>
      <c r="H405" t="s">
        <v>3715</v>
      </c>
    </row>
    <row r="406" spans="1:8" x14ac:dyDescent="0.25">
      <c r="A406">
        <v>1407082</v>
      </c>
      <c r="B406" t="s">
        <v>3636</v>
      </c>
      <c r="C406" t="s">
        <v>3638</v>
      </c>
      <c r="D406" t="s">
        <v>43</v>
      </c>
      <c r="E406" t="s">
        <v>605</v>
      </c>
      <c r="F406" t="s">
        <v>3716</v>
      </c>
      <c r="G406" t="s">
        <v>3717</v>
      </c>
      <c r="H406" t="s">
        <v>3718</v>
      </c>
    </row>
    <row r="407" spans="1:8" x14ac:dyDescent="0.25">
      <c r="A407">
        <v>1407083</v>
      </c>
      <c r="B407" t="s">
        <v>3636</v>
      </c>
      <c r="C407" t="s">
        <v>94</v>
      </c>
      <c r="D407" t="s">
        <v>43</v>
      </c>
      <c r="E407" t="s">
        <v>605</v>
      </c>
      <c r="F407" t="s">
        <v>3719</v>
      </c>
      <c r="G407" t="s">
        <v>1377</v>
      </c>
      <c r="H407" t="s">
        <v>3720</v>
      </c>
    </row>
    <row r="408" spans="1:8" x14ac:dyDescent="0.25">
      <c r="A408">
        <v>1407084</v>
      </c>
      <c r="B408" t="s">
        <v>3636</v>
      </c>
      <c r="C408" t="s">
        <v>3638</v>
      </c>
      <c r="D408" t="s">
        <v>43</v>
      </c>
      <c r="E408" t="s">
        <v>605</v>
      </c>
      <c r="F408" t="s">
        <v>3721</v>
      </c>
      <c r="G408" t="s">
        <v>3722</v>
      </c>
      <c r="H408" t="s">
        <v>3723</v>
      </c>
    </row>
    <row r="409" spans="1:8" x14ac:dyDescent="0.25">
      <c r="A409">
        <v>1407086</v>
      </c>
      <c r="B409" t="s">
        <v>3636</v>
      </c>
      <c r="C409" t="s">
        <v>94</v>
      </c>
      <c r="D409" t="s">
        <v>43</v>
      </c>
      <c r="E409" t="s">
        <v>605</v>
      </c>
      <c r="F409" t="s">
        <v>3724</v>
      </c>
      <c r="G409" t="s">
        <v>3725</v>
      </c>
      <c r="H409" t="s">
        <v>3726</v>
      </c>
    </row>
    <row r="410" spans="1:8" x14ac:dyDescent="0.25">
      <c r="A410">
        <v>1407358</v>
      </c>
      <c r="B410" t="s">
        <v>3636</v>
      </c>
      <c r="C410" t="s">
        <v>32</v>
      </c>
      <c r="D410" t="s">
        <v>43</v>
      </c>
      <c r="E410" t="s">
        <v>394</v>
      </c>
      <c r="F410" t="s">
        <v>3727</v>
      </c>
      <c r="G410" t="s">
        <v>1651</v>
      </c>
      <c r="H410" t="s">
        <v>3728</v>
      </c>
    </row>
    <row r="411" spans="1:8" x14ac:dyDescent="0.25">
      <c r="A411">
        <v>1407692</v>
      </c>
      <c r="B411" t="s">
        <v>3636</v>
      </c>
      <c r="C411" t="s">
        <v>94</v>
      </c>
      <c r="D411" t="s">
        <v>43</v>
      </c>
      <c r="E411" t="s">
        <v>76</v>
      </c>
      <c r="F411" t="s">
        <v>3729</v>
      </c>
      <c r="G411" t="s">
        <v>1378</v>
      </c>
      <c r="H411" t="s">
        <v>3730</v>
      </c>
    </row>
    <row r="412" spans="1:8" x14ac:dyDescent="0.25">
      <c r="A412">
        <v>1407693</v>
      </c>
      <c r="B412" t="s">
        <v>3636</v>
      </c>
      <c r="C412" t="s">
        <v>94</v>
      </c>
      <c r="D412" t="s">
        <v>43</v>
      </c>
      <c r="E412" t="s">
        <v>76</v>
      </c>
      <c r="F412" t="s">
        <v>3731</v>
      </c>
      <c r="G412" t="s">
        <v>1383</v>
      </c>
      <c r="H412" t="s">
        <v>3732</v>
      </c>
    </row>
    <row r="413" spans="1:8" x14ac:dyDescent="0.25">
      <c r="A413">
        <v>1408291</v>
      </c>
      <c r="B413" t="s">
        <v>3636</v>
      </c>
      <c r="C413" t="s">
        <v>94</v>
      </c>
      <c r="D413" t="s">
        <v>43</v>
      </c>
      <c r="E413" t="s">
        <v>591</v>
      </c>
      <c r="F413" t="s">
        <v>3733</v>
      </c>
      <c r="G413" t="s">
        <v>1654</v>
      </c>
      <c r="H413" t="s">
        <v>3734</v>
      </c>
    </row>
    <row r="414" spans="1:8" x14ac:dyDescent="0.25">
      <c r="A414">
        <v>1408293</v>
      </c>
      <c r="B414" t="s">
        <v>3636</v>
      </c>
      <c r="C414" t="s">
        <v>94</v>
      </c>
      <c r="D414" t="s">
        <v>43</v>
      </c>
      <c r="E414" t="s">
        <v>591</v>
      </c>
      <c r="F414" t="s">
        <v>3735</v>
      </c>
      <c r="G414" t="s">
        <v>3736</v>
      </c>
      <c r="H414" t="s">
        <v>3737</v>
      </c>
    </row>
    <row r="415" spans="1:8" x14ac:dyDescent="0.25">
      <c r="A415">
        <v>1408572</v>
      </c>
      <c r="B415" t="s">
        <v>3636</v>
      </c>
      <c r="C415" t="s">
        <v>94</v>
      </c>
      <c r="D415" t="s">
        <v>43</v>
      </c>
      <c r="E415" t="s">
        <v>3738</v>
      </c>
      <c r="F415" t="s">
        <v>3739</v>
      </c>
      <c r="G415" t="s">
        <v>3740</v>
      </c>
      <c r="H415" t="s">
        <v>3741</v>
      </c>
    </row>
    <row r="416" spans="1:8" x14ac:dyDescent="0.25">
      <c r="A416">
        <v>1408574</v>
      </c>
      <c r="B416" t="s">
        <v>3636</v>
      </c>
      <c r="C416" t="s">
        <v>94</v>
      </c>
      <c r="D416" t="s">
        <v>43</v>
      </c>
      <c r="E416" t="s">
        <v>3738</v>
      </c>
      <c r="F416" t="s">
        <v>3742</v>
      </c>
      <c r="G416" t="s">
        <v>3743</v>
      </c>
      <c r="H416" t="s">
        <v>3744</v>
      </c>
    </row>
    <row r="417" spans="1:8" x14ac:dyDescent="0.25">
      <c r="A417">
        <v>1408575</v>
      </c>
      <c r="B417" t="s">
        <v>3636</v>
      </c>
      <c r="C417" t="s">
        <v>94</v>
      </c>
      <c r="D417" t="s">
        <v>43</v>
      </c>
      <c r="E417" t="s">
        <v>3738</v>
      </c>
      <c r="F417" t="s">
        <v>3745</v>
      </c>
      <c r="G417" t="s">
        <v>3746</v>
      </c>
      <c r="H417" t="s">
        <v>3747</v>
      </c>
    </row>
    <row r="418" spans="1:8" x14ac:dyDescent="0.25">
      <c r="A418">
        <v>1408576</v>
      </c>
      <c r="B418" t="s">
        <v>3636</v>
      </c>
      <c r="C418" t="s">
        <v>94</v>
      </c>
      <c r="D418" t="s">
        <v>43</v>
      </c>
      <c r="E418" t="s">
        <v>3738</v>
      </c>
      <c r="F418" t="s">
        <v>3748</v>
      </c>
      <c r="G418" t="s">
        <v>3749</v>
      </c>
      <c r="H418" t="s">
        <v>3750</v>
      </c>
    </row>
    <row r="419" spans="1:8" x14ac:dyDescent="0.25">
      <c r="A419">
        <v>1408577</v>
      </c>
      <c r="B419" t="s">
        <v>3636</v>
      </c>
      <c r="C419" t="s">
        <v>94</v>
      </c>
      <c r="D419" t="s">
        <v>43</v>
      </c>
      <c r="E419" t="s">
        <v>3738</v>
      </c>
      <c r="F419" t="s">
        <v>3751</v>
      </c>
      <c r="G419" t="s">
        <v>3752</v>
      </c>
      <c r="H419" t="s">
        <v>3753</v>
      </c>
    </row>
    <row r="420" spans="1:8" x14ac:dyDescent="0.25">
      <c r="A420">
        <v>1408578</v>
      </c>
      <c r="B420" t="s">
        <v>3636</v>
      </c>
      <c r="C420" t="s">
        <v>3638</v>
      </c>
      <c r="D420" t="s">
        <v>43</v>
      </c>
      <c r="E420" t="s">
        <v>3738</v>
      </c>
      <c r="F420" t="s">
        <v>3754</v>
      </c>
      <c r="G420" t="s">
        <v>3755</v>
      </c>
      <c r="H420" t="s">
        <v>3756</v>
      </c>
    </row>
    <row r="421" spans="1:8" x14ac:dyDescent="0.25">
      <c r="A421">
        <v>1408885</v>
      </c>
      <c r="B421" t="s">
        <v>3636</v>
      </c>
      <c r="C421" t="s">
        <v>94</v>
      </c>
      <c r="D421" t="s">
        <v>43</v>
      </c>
      <c r="E421" t="s">
        <v>395</v>
      </c>
      <c r="F421" t="s">
        <v>3757</v>
      </c>
      <c r="G421" t="s">
        <v>3758</v>
      </c>
      <c r="H421" t="s">
        <v>3759</v>
      </c>
    </row>
    <row r="422" spans="1:8" x14ac:dyDescent="0.25">
      <c r="A422">
        <v>1408886</v>
      </c>
      <c r="B422" t="s">
        <v>3636</v>
      </c>
      <c r="C422" t="s">
        <v>94</v>
      </c>
      <c r="D422" t="s">
        <v>43</v>
      </c>
      <c r="E422" t="s">
        <v>395</v>
      </c>
      <c r="F422" t="s">
        <v>3760</v>
      </c>
      <c r="G422" t="s">
        <v>3761</v>
      </c>
      <c r="H422" t="s">
        <v>3762</v>
      </c>
    </row>
    <row r="423" spans="1:8" x14ac:dyDescent="0.25">
      <c r="A423">
        <v>1408887</v>
      </c>
      <c r="B423" t="s">
        <v>3636</v>
      </c>
      <c r="C423" t="s">
        <v>94</v>
      </c>
      <c r="D423" t="s">
        <v>43</v>
      </c>
      <c r="E423" t="s">
        <v>395</v>
      </c>
      <c r="F423" t="s">
        <v>3763</v>
      </c>
      <c r="G423" t="s">
        <v>3764</v>
      </c>
      <c r="H423" t="s">
        <v>3765</v>
      </c>
    </row>
    <row r="424" spans="1:8" x14ac:dyDescent="0.25">
      <c r="A424">
        <v>1408889</v>
      </c>
      <c r="B424" t="s">
        <v>3636</v>
      </c>
      <c r="C424" t="s">
        <v>94</v>
      </c>
      <c r="D424" t="s">
        <v>43</v>
      </c>
      <c r="E424" t="s">
        <v>395</v>
      </c>
      <c r="F424" t="s">
        <v>3766</v>
      </c>
      <c r="G424" t="s">
        <v>3767</v>
      </c>
      <c r="H424" t="s">
        <v>3768</v>
      </c>
    </row>
    <row r="425" spans="1:8" x14ac:dyDescent="0.25">
      <c r="A425">
        <v>1408890</v>
      </c>
      <c r="B425" t="s">
        <v>3636</v>
      </c>
      <c r="C425" t="s">
        <v>3638</v>
      </c>
      <c r="D425" t="s">
        <v>43</v>
      </c>
      <c r="E425" t="s">
        <v>395</v>
      </c>
      <c r="F425" t="s">
        <v>3769</v>
      </c>
      <c r="G425" t="s">
        <v>3770</v>
      </c>
      <c r="H425" t="s">
        <v>3771</v>
      </c>
    </row>
    <row r="426" spans="1:8" x14ac:dyDescent="0.25">
      <c r="A426">
        <v>1408892</v>
      </c>
      <c r="B426" t="s">
        <v>3636</v>
      </c>
      <c r="C426" t="s">
        <v>94</v>
      </c>
      <c r="D426" t="s">
        <v>43</v>
      </c>
      <c r="E426" t="s">
        <v>395</v>
      </c>
      <c r="F426" t="s">
        <v>3772</v>
      </c>
      <c r="G426" t="s">
        <v>1389</v>
      </c>
      <c r="H426" t="s">
        <v>3773</v>
      </c>
    </row>
    <row r="427" spans="1:8" x14ac:dyDescent="0.25">
      <c r="A427">
        <v>1408893</v>
      </c>
      <c r="B427" t="s">
        <v>3636</v>
      </c>
      <c r="C427" t="s">
        <v>94</v>
      </c>
      <c r="D427" t="s">
        <v>43</v>
      </c>
      <c r="E427" t="s">
        <v>395</v>
      </c>
      <c r="F427" t="s">
        <v>3774</v>
      </c>
      <c r="G427" t="s">
        <v>3775</v>
      </c>
      <c r="H427" t="s">
        <v>3776</v>
      </c>
    </row>
    <row r="428" spans="1:8" x14ac:dyDescent="0.25">
      <c r="A428">
        <v>1409165</v>
      </c>
      <c r="B428" t="s">
        <v>3636</v>
      </c>
      <c r="C428" t="s">
        <v>94</v>
      </c>
      <c r="D428" t="s">
        <v>43</v>
      </c>
      <c r="E428" t="s">
        <v>3777</v>
      </c>
      <c r="F428" t="s">
        <v>3778</v>
      </c>
      <c r="G428" t="s">
        <v>3779</v>
      </c>
      <c r="H428" t="s">
        <v>3780</v>
      </c>
    </row>
    <row r="429" spans="1:8" x14ac:dyDescent="0.25">
      <c r="A429">
        <v>1409168</v>
      </c>
      <c r="B429" t="s">
        <v>3636</v>
      </c>
      <c r="C429" t="s">
        <v>94</v>
      </c>
      <c r="D429" t="s">
        <v>43</v>
      </c>
      <c r="E429" t="s">
        <v>3777</v>
      </c>
      <c r="F429" t="s">
        <v>3781</v>
      </c>
      <c r="G429" t="s">
        <v>3782</v>
      </c>
      <c r="H429" t="s">
        <v>3783</v>
      </c>
    </row>
    <row r="430" spans="1:8" x14ac:dyDescent="0.25">
      <c r="A430">
        <v>1409169</v>
      </c>
      <c r="B430" t="s">
        <v>3636</v>
      </c>
      <c r="C430" t="s">
        <v>3638</v>
      </c>
      <c r="D430" t="s">
        <v>43</v>
      </c>
      <c r="E430" t="s">
        <v>3777</v>
      </c>
      <c r="F430" t="s">
        <v>3784</v>
      </c>
      <c r="G430" t="s">
        <v>3785</v>
      </c>
      <c r="H430" t="s">
        <v>3786</v>
      </c>
    </row>
    <row r="431" spans="1:8" x14ac:dyDescent="0.25">
      <c r="A431">
        <v>1409419</v>
      </c>
      <c r="B431" t="s">
        <v>3636</v>
      </c>
      <c r="C431" t="s">
        <v>3638</v>
      </c>
      <c r="D431" t="s">
        <v>43</v>
      </c>
      <c r="E431" t="s">
        <v>600</v>
      </c>
      <c r="F431" t="s">
        <v>3787</v>
      </c>
      <c r="G431" t="s">
        <v>1393</v>
      </c>
      <c r="H431" t="s">
        <v>3788</v>
      </c>
    </row>
    <row r="432" spans="1:8" x14ac:dyDescent="0.25">
      <c r="A432">
        <v>1409630</v>
      </c>
      <c r="B432" t="s">
        <v>3636</v>
      </c>
      <c r="C432" t="s">
        <v>94</v>
      </c>
      <c r="D432" t="s">
        <v>43</v>
      </c>
      <c r="E432" t="s">
        <v>3789</v>
      </c>
      <c r="F432" t="s">
        <v>3790</v>
      </c>
      <c r="G432" t="s">
        <v>3791</v>
      </c>
      <c r="H432" t="s">
        <v>3792</v>
      </c>
    </row>
    <row r="433" spans="1:8" x14ac:dyDescent="0.25">
      <c r="A433">
        <v>1409632</v>
      </c>
      <c r="B433" t="s">
        <v>3636</v>
      </c>
      <c r="C433" t="s">
        <v>94</v>
      </c>
      <c r="D433" t="s">
        <v>43</v>
      </c>
      <c r="E433" t="s">
        <v>3789</v>
      </c>
      <c r="F433" t="s">
        <v>3793</v>
      </c>
      <c r="G433" t="s">
        <v>3794</v>
      </c>
      <c r="H433" t="s">
        <v>3795</v>
      </c>
    </row>
    <row r="434" spans="1:8" x14ac:dyDescent="0.25">
      <c r="A434">
        <v>1409928</v>
      </c>
      <c r="B434" t="s">
        <v>3636</v>
      </c>
      <c r="C434" t="s">
        <v>94</v>
      </c>
      <c r="D434" t="s">
        <v>43</v>
      </c>
      <c r="E434" t="s">
        <v>396</v>
      </c>
      <c r="F434" t="s">
        <v>3796</v>
      </c>
      <c r="G434" t="s">
        <v>3797</v>
      </c>
      <c r="H434" t="s">
        <v>3798</v>
      </c>
    </row>
    <row r="435" spans="1:8" x14ac:dyDescent="0.25">
      <c r="A435">
        <v>1409929</v>
      </c>
      <c r="B435" t="s">
        <v>3636</v>
      </c>
      <c r="C435" t="s">
        <v>94</v>
      </c>
      <c r="D435" t="s">
        <v>43</v>
      </c>
      <c r="E435" t="s">
        <v>396</v>
      </c>
      <c r="F435" t="s">
        <v>3799</v>
      </c>
      <c r="G435" t="s">
        <v>3800</v>
      </c>
      <c r="H435" t="s">
        <v>3801</v>
      </c>
    </row>
    <row r="436" spans="1:8" x14ac:dyDescent="0.25">
      <c r="A436">
        <v>1409930</v>
      </c>
      <c r="B436" t="s">
        <v>3636</v>
      </c>
      <c r="C436" t="s">
        <v>3638</v>
      </c>
      <c r="D436" t="s">
        <v>43</v>
      </c>
      <c r="E436" t="s">
        <v>396</v>
      </c>
      <c r="F436" t="s">
        <v>3802</v>
      </c>
      <c r="G436" t="s">
        <v>3803</v>
      </c>
      <c r="H436" t="s">
        <v>3804</v>
      </c>
    </row>
    <row r="437" spans="1:8" x14ac:dyDescent="0.25">
      <c r="A437">
        <v>1409931</v>
      </c>
      <c r="B437" t="s">
        <v>3636</v>
      </c>
      <c r="C437" t="s">
        <v>94</v>
      </c>
      <c r="D437" t="s">
        <v>43</v>
      </c>
      <c r="E437" t="s">
        <v>396</v>
      </c>
      <c r="F437" t="s">
        <v>3805</v>
      </c>
      <c r="G437" t="s">
        <v>3806</v>
      </c>
      <c r="H437" t="s">
        <v>3807</v>
      </c>
    </row>
    <row r="438" spans="1:8" x14ac:dyDescent="0.25">
      <c r="A438">
        <v>1409932</v>
      </c>
      <c r="B438" t="s">
        <v>3636</v>
      </c>
      <c r="C438" t="s">
        <v>94</v>
      </c>
      <c r="D438" t="s">
        <v>43</v>
      </c>
      <c r="E438" t="s">
        <v>396</v>
      </c>
      <c r="F438" t="s">
        <v>3808</v>
      </c>
      <c r="G438" t="s">
        <v>1394</v>
      </c>
      <c r="H438" t="s">
        <v>3809</v>
      </c>
    </row>
    <row r="439" spans="1:8" x14ac:dyDescent="0.25">
      <c r="A439">
        <v>1409933</v>
      </c>
      <c r="B439" t="s">
        <v>3636</v>
      </c>
      <c r="C439" t="s">
        <v>94</v>
      </c>
      <c r="D439" t="s">
        <v>43</v>
      </c>
      <c r="E439" t="s">
        <v>396</v>
      </c>
      <c r="F439" t="s">
        <v>3810</v>
      </c>
      <c r="G439" t="s">
        <v>3811</v>
      </c>
      <c r="H439" t="s">
        <v>3812</v>
      </c>
    </row>
    <row r="440" spans="1:8" x14ac:dyDescent="0.25">
      <c r="A440">
        <v>1409935</v>
      </c>
      <c r="B440" t="s">
        <v>3636</v>
      </c>
      <c r="C440" t="s">
        <v>94</v>
      </c>
      <c r="D440" t="s">
        <v>43</v>
      </c>
      <c r="E440" t="s">
        <v>396</v>
      </c>
      <c r="F440" t="s">
        <v>3813</v>
      </c>
      <c r="G440" t="s">
        <v>3814</v>
      </c>
      <c r="H440" t="s">
        <v>3815</v>
      </c>
    </row>
    <row r="441" spans="1:8" x14ac:dyDescent="0.25">
      <c r="A441">
        <v>1409936</v>
      </c>
      <c r="B441" t="s">
        <v>3636</v>
      </c>
      <c r="C441" t="s">
        <v>100</v>
      </c>
      <c r="D441" t="s">
        <v>43</v>
      </c>
      <c r="E441" t="s">
        <v>396</v>
      </c>
      <c r="F441" t="s">
        <v>3816</v>
      </c>
      <c r="G441" t="s">
        <v>3817</v>
      </c>
      <c r="H441" t="s">
        <v>3818</v>
      </c>
    </row>
    <row r="442" spans="1:8" x14ac:dyDescent="0.25">
      <c r="A442">
        <v>1410360</v>
      </c>
      <c r="B442" t="s">
        <v>3636</v>
      </c>
      <c r="C442" t="s">
        <v>94</v>
      </c>
      <c r="D442" t="s">
        <v>51</v>
      </c>
      <c r="E442" t="s">
        <v>3147</v>
      </c>
      <c r="F442" t="s">
        <v>3819</v>
      </c>
      <c r="G442" t="s">
        <v>3820</v>
      </c>
      <c r="H442" t="s">
        <v>3821</v>
      </c>
    </row>
    <row r="443" spans="1:8" x14ac:dyDescent="0.25">
      <c r="A443">
        <v>1410361</v>
      </c>
      <c r="B443" t="s">
        <v>3636</v>
      </c>
      <c r="C443" t="s">
        <v>94</v>
      </c>
      <c r="D443" t="s">
        <v>51</v>
      </c>
      <c r="E443" t="s">
        <v>3147</v>
      </c>
      <c r="F443" t="s">
        <v>3822</v>
      </c>
      <c r="G443" t="s">
        <v>3823</v>
      </c>
      <c r="H443" t="s">
        <v>3824</v>
      </c>
    </row>
    <row r="444" spans="1:8" x14ac:dyDescent="0.25">
      <c r="A444">
        <v>1410516</v>
      </c>
      <c r="B444" t="s">
        <v>3636</v>
      </c>
      <c r="C444" t="s">
        <v>32</v>
      </c>
      <c r="D444" t="s">
        <v>51</v>
      </c>
      <c r="E444" t="s">
        <v>386</v>
      </c>
      <c r="F444" t="s">
        <v>3825</v>
      </c>
      <c r="G444" t="s">
        <v>3826</v>
      </c>
      <c r="H444" t="s">
        <v>3827</v>
      </c>
    </row>
    <row r="445" spans="1:8" x14ac:dyDescent="0.25">
      <c r="A445">
        <v>1410665</v>
      </c>
      <c r="B445" t="s">
        <v>3636</v>
      </c>
      <c r="C445" t="s">
        <v>32</v>
      </c>
      <c r="D445" t="s">
        <v>51</v>
      </c>
      <c r="E445" t="s">
        <v>386</v>
      </c>
      <c r="F445" t="s">
        <v>3828</v>
      </c>
      <c r="G445" t="s">
        <v>3829</v>
      </c>
      <c r="H445" t="s">
        <v>3830</v>
      </c>
    </row>
    <row r="446" spans="1:8" x14ac:dyDescent="0.25">
      <c r="A446">
        <v>1410669</v>
      </c>
      <c r="B446" t="s">
        <v>3636</v>
      </c>
      <c r="C446" t="s">
        <v>94</v>
      </c>
      <c r="D446" t="s">
        <v>51</v>
      </c>
      <c r="E446" t="s">
        <v>386</v>
      </c>
      <c r="F446" t="s">
        <v>3831</v>
      </c>
      <c r="G446" t="s">
        <v>3832</v>
      </c>
      <c r="H446" t="s">
        <v>3833</v>
      </c>
    </row>
    <row r="447" spans="1:8" x14ac:dyDescent="0.25">
      <c r="A447">
        <v>1411121</v>
      </c>
      <c r="B447" t="s">
        <v>3636</v>
      </c>
      <c r="C447" t="s">
        <v>94</v>
      </c>
      <c r="D447" t="s">
        <v>51</v>
      </c>
      <c r="E447" t="s">
        <v>581</v>
      </c>
      <c r="F447" t="s">
        <v>3834</v>
      </c>
      <c r="G447" t="s">
        <v>3835</v>
      </c>
      <c r="H447" t="s">
        <v>3836</v>
      </c>
    </row>
    <row r="448" spans="1:8" x14ac:dyDescent="0.25">
      <c r="A448">
        <v>1411272</v>
      </c>
      <c r="B448" t="s">
        <v>3636</v>
      </c>
      <c r="C448" t="s">
        <v>3638</v>
      </c>
      <c r="D448" t="s">
        <v>51</v>
      </c>
      <c r="E448" t="s">
        <v>581</v>
      </c>
      <c r="F448" t="s">
        <v>3837</v>
      </c>
      <c r="G448" t="s">
        <v>3838</v>
      </c>
      <c r="H448" t="s">
        <v>3839</v>
      </c>
    </row>
    <row r="449" spans="1:8" x14ac:dyDescent="0.25">
      <c r="A449">
        <v>1412261</v>
      </c>
      <c r="B449" t="s">
        <v>3636</v>
      </c>
      <c r="C449" t="s">
        <v>32</v>
      </c>
      <c r="D449" t="s">
        <v>43</v>
      </c>
      <c r="E449" t="s">
        <v>600</v>
      </c>
      <c r="F449" t="s">
        <v>3840</v>
      </c>
      <c r="G449" t="s">
        <v>3841</v>
      </c>
      <c r="H449" t="s">
        <v>3842</v>
      </c>
    </row>
    <row r="450" spans="1:8" x14ac:dyDescent="0.25">
      <c r="A450">
        <v>1413152</v>
      </c>
      <c r="B450" t="s">
        <v>3636</v>
      </c>
      <c r="C450" t="s">
        <v>3638</v>
      </c>
      <c r="D450" t="s">
        <v>51</v>
      </c>
      <c r="E450" t="s">
        <v>386</v>
      </c>
      <c r="F450" t="s">
        <v>3843</v>
      </c>
      <c r="G450" t="s">
        <v>3844</v>
      </c>
      <c r="H450" t="s">
        <v>3845</v>
      </c>
    </row>
    <row r="451" spans="1:8" x14ac:dyDescent="0.25">
      <c r="A451">
        <v>1413328</v>
      </c>
      <c r="B451" t="s">
        <v>3636</v>
      </c>
      <c r="C451" t="s">
        <v>32</v>
      </c>
      <c r="D451" t="s">
        <v>43</v>
      </c>
      <c r="E451" t="s">
        <v>592</v>
      </c>
      <c r="F451" t="s">
        <v>2040</v>
      </c>
      <c r="G451" t="s">
        <v>3846</v>
      </c>
      <c r="H451" t="s">
        <v>3847</v>
      </c>
    </row>
    <row r="452" spans="1:8" x14ac:dyDescent="0.25">
      <c r="A452">
        <v>1413329</v>
      </c>
      <c r="B452" t="s">
        <v>3636</v>
      </c>
      <c r="C452" t="s">
        <v>3638</v>
      </c>
      <c r="D452" t="s">
        <v>43</v>
      </c>
      <c r="E452" t="s">
        <v>592</v>
      </c>
      <c r="F452" t="s">
        <v>3848</v>
      </c>
      <c r="G452" t="s">
        <v>3849</v>
      </c>
      <c r="H452" t="s">
        <v>3850</v>
      </c>
    </row>
    <row r="453" spans="1:8" x14ac:dyDescent="0.25">
      <c r="A453">
        <v>1431797</v>
      </c>
      <c r="B453" t="s">
        <v>3636</v>
      </c>
      <c r="C453" t="s">
        <v>94</v>
      </c>
      <c r="D453" t="s">
        <v>40</v>
      </c>
      <c r="E453" t="s">
        <v>340</v>
      </c>
      <c r="F453" t="s">
        <v>3851</v>
      </c>
      <c r="G453" t="s">
        <v>1037</v>
      </c>
      <c r="H453" t="s">
        <v>3852</v>
      </c>
    </row>
    <row r="454" spans="1:8" x14ac:dyDescent="0.25">
      <c r="A454">
        <v>1433606</v>
      </c>
      <c r="B454" t="s">
        <v>3636</v>
      </c>
      <c r="C454" t="s">
        <v>32</v>
      </c>
      <c r="D454" t="s">
        <v>78</v>
      </c>
      <c r="E454" t="s">
        <v>3167</v>
      </c>
      <c r="F454" t="s">
        <v>3853</v>
      </c>
      <c r="G454" t="s">
        <v>3854</v>
      </c>
      <c r="H454" t="s">
        <v>3855</v>
      </c>
    </row>
    <row r="455" spans="1:8" x14ac:dyDescent="0.25">
      <c r="A455">
        <v>1433607</v>
      </c>
      <c r="B455" t="s">
        <v>3636</v>
      </c>
      <c r="C455" t="s">
        <v>32</v>
      </c>
      <c r="D455" t="s">
        <v>78</v>
      </c>
      <c r="E455" t="s">
        <v>3167</v>
      </c>
      <c r="F455" t="s">
        <v>3856</v>
      </c>
      <c r="G455" t="s">
        <v>3857</v>
      </c>
      <c r="H455" t="s">
        <v>3858</v>
      </c>
    </row>
    <row r="456" spans="1:8" x14ac:dyDescent="0.25">
      <c r="A456">
        <v>1433778</v>
      </c>
      <c r="B456" t="s">
        <v>3636</v>
      </c>
      <c r="C456" t="s">
        <v>32</v>
      </c>
      <c r="D456" t="s">
        <v>78</v>
      </c>
      <c r="E456" t="s">
        <v>594</v>
      </c>
      <c r="F456" t="s">
        <v>1246</v>
      </c>
      <c r="G456" t="s">
        <v>3859</v>
      </c>
      <c r="H456" t="s">
        <v>3860</v>
      </c>
    </row>
    <row r="457" spans="1:8" x14ac:dyDescent="0.25">
      <c r="A457">
        <v>1433855</v>
      </c>
      <c r="B457" t="s">
        <v>3636</v>
      </c>
      <c r="C457" t="s">
        <v>17</v>
      </c>
      <c r="D457" t="s">
        <v>78</v>
      </c>
      <c r="E457" t="s">
        <v>3433</v>
      </c>
      <c r="F457" t="s">
        <v>3861</v>
      </c>
      <c r="G457" t="s">
        <v>3862</v>
      </c>
      <c r="H457" t="s">
        <v>3863</v>
      </c>
    </row>
    <row r="458" spans="1:8" x14ac:dyDescent="0.25">
      <c r="A458">
        <v>1437821</v>
      </c>
      <c r="B458" t="s">
        <v>3636</v>
      </c>
      <c r="C458" t="s">
        <v>94</v>
      </c>
      <c r="D458" t="s">
        <v>65</v>
      </c>
      <c r="E458" t="s">
        <v>3191</v>
      </c>
      <c r="F458" t="s">
        <v>3864</v>
      </c>
      <c r="G458" t="s">
        <v>3865</v>
      </c>
      <c r="H458" t="s">
        <v>3866</v>
      </c>
    </row>
    <row r="459" spans="1:8" x14ac:dyDescent="0.25">
      <c r="A459">
        <v>1451600</v>
      </c>
      <c r="B459" t="s">
        <v>3636</v>
      </c>
      <c r="C459" t="s">
        <v>94</v>
      </c>
      <c r="D459" t="s">
        <v>44</v>
      </c>
      <c r="E459" t="s">
        <v>45</v>
      </c>
      <c r="F459" t="s">
        <v>1519</v>
      </c>
      <c r="G459" t="s">
        <v>2067</v>
      </c>
      <c r="H459" t="s">
        <v>3867</v>
      </c>
    </row>
    <row r="460" spans="1:8" x14ac:dyDescent="0.25">
      <c r="A460">
        <v>1456618</v>
      </c>
      <c r="B460" t="s">
        <v>3636</v>
      </c>
      <c r="C460" t="s">
        <v>34</v>
      </c>
      <c r="D460" t="s">
        <v>107</v>
      </c>
      <c r="E460" t="s">
        <v>3868</v>
      </c>
      <c r="F460" t="s">
        <v>3869</v>
      </c>
      <c r="G460" t="s">
        <v>3870</v>
      </c>
      <c r="H460" t="s">
        <v>3871</v>
      </c>
    </row>
    <row r="461" spans="1:8" x14ac:dyDescent="0.25">
      <c r="A461">
        <v>1456857</v>
      </c>
      <c r="B461" t="s">
        <v>3636</v>
      </c>
      <c r="C461" t="s">
        <v>34</v>
      </c>
      <c r="D461" t="s">
        <v>107</v>
      </c>
      <c r="E461" t="s">
        <v>3868</v>
      </c>
      <c r="F461" t="s">
        <v>3872</v>
      </c>
      <c r="G461" t="s">
        <v>3873</v>
      </c>
      <c r="H461" t="s">
        <v>3874</v>
      </c>
    </row>
    <row r="462" spans="1:8" x14ac:dyDescent="0.25">
      <c r="A462">
        <v>1457707</v>
      </c>
      <c r="B462" t="s">
        <v>3636</v>
      </c>
      <c r="C462" t="s">
        <v>3638</v>
      </c>
      <c r="D462" t="s">
        <v>3875</v>
      </c>
      <c r="E462" t="s">
        <v>3876</v>
      </c>
      <c r="F462" t="s">
        <v>3877</v>
      </c>
      <c r="G462" t="s">
        <v>3878</v>
      </c>
      <c r="H462" t="s">
        <v>3879</v>
      </c>
    </row>
    <row r="463" spans="1:8" x14ac:dyDescent="0.25">
      <c r="A463">
        <v>1467981</v>
      </c>
      <c r="B463" t="s">
        <v>3636</v>
      </c>
      <c r="C463" t="s">
        <v>94</v>
      </c>
      <c r="D463" t="s">
        <v>41</v>
      </c>
      <c r="E463" t="s">
        <v>382</v>
      </c>
      <c r="F463" t="s">
        <v>3880</v>
      </c>
      <c r="G463" t="s">
        <v>3881</v>
      </c>
      <c r="H463" t="s">
        <v>3882</v>
      </c>
    </row>
    <row r="464" spans="1:8" x14ac:dyDescent="0.25">
      <c r="A464">
        <v>1467983</v>
      </c>
      <c r="B464" t="s">
        <v>3636</v>
      </c>
      <c r="C464" t="s">
        <v>94</v>
      </c>
      <c r="D464" t="s">
        <v>41</v>
      </c>
      <c r="E464" t="s">
        <v>382</v>
      </c>
      <c r="F464" t="s">
        <v>3883</v>
      </c>
      <c r="G464" t="s">
        <v>3884</v>
      </c>
      <c r="H464" t="s">
        <v>3885</v>
      </c>
    </row>
    <row r="465" spans="1:8" x14ac:dyDescent="0.25">
      <c r="A465">
        <v>1470761</v>
      </c>
      <c r="B465" t="s">
        <v>3636</v>
      </c>
      <c r="C465" t="s">
        <v>3638</v>
      </c>
      <c r="D465" t="s">
        <v>67</v>
      </c>
      <c r="E465" t="s">
        <v>3210</v>
      </c>
      <c r="F465" t="s">
        <v>3886</v>
      </c>
      <c r="G465" t="s">
        <v>3887</v>
      </c>
      <c r="H465" t="s">
        <v>3888</v>
      </c>
    </row>
    <row r="466" spans="1:8" x14ac:dyDescent="0.25">
      <c r="A466">
        <v>1473532</v>
      </c>
      <c r="B466" t="s">
        <v>3636</v>
      </c>
      <c r="C466" t="s">
        <v>32</v>
      </c>
      <c r="D466" t="s">
        <v>95</v>
      </c>
      <c r="E466" t="s">
        <v>3889</v>
      </c>
      <c r="F466" t="s">
        <v>3890</v>
      </c>
      <c r="G466" t="s">
        <v>3891</v>
      </c>
      <c r="H466" t="s">
        <v>3892</v>
      </c>
    </row>
    <row r="467" spans="1:8" x14ac:dyDescent="0.25">
      <c r="A467">
        <v>1473534</v>
      </c>
      <c r="B467" t="s">
        <v>3636</v>
      </c>
      <c r="C467" t="s">
        <v>32</v>
      </c>
      <c r="D467" t="s">
        <v>95</v>
      </c>
      <c r="E467" t="s">
        <v>3889</v>
      </c>
      <c r="F467" t="s">
        <v>3893</v>
      </c>
      <c r="G467" t="s">
        <v>3894</v>
      </c>
      <c r="H467" t="s">
        <v>3895</v>
      </c>
    </row>
    <row r="468" spans="1:8" x14ac:dyDescent="0.25">
      <c r="A468">
        <v>1473536</v>
      </c>
      <c r="B468" t="s">
        <v>3636</v>
      </c>
      <c r="C468" t="s">
        <v>94</v>
      </c>
      <c r="D468" t="s">
        <v>95</v>
      </c>
      <c r="E468" t="s">
        <v>3889</v>
      </c>
      <c r="F468" t="s">
        <v>3896</v>
      </c>
      <c r="G468" t="s">
        <v>3897</v>
      </c>
      <c r="H468" t="s">
        <v>3898</v>
      </c>
    </row>
    <row r="469" spans="1:8" x14ac:dyDescent="0.25">
      <c r="A469">
        <v>1473537</v>
      </c>
      <c r="B469" t="s">
        <v>3636</v>
      </c>
      <c r="C469" t="s">
        <v>94</v>
      </c>
      <c r="D469" t="s">
        <v>95</v>
      </c>
      <c r="E469" t="s">
        <v>3889</v>
      </c>
      <c r="F469" t="s">
        <v>3899</v>
      </c>
      <c r="G469" t="s">
        <v>3900</v>
      </c>
      <c r="H469" t="s">
        <v>3901</v>
      </c>
    </row>
    <row r="470" spans="1:8" x14ac:dyDescent="0.25">
      <c r="A470">
        <v>1473645</v>
      </c>
      <c r="B470" t="s">
        <v>3636</v>
      </c>
      <c r="C470" t="s">
        <v>94</v>
      </c>
      <c r="D470" t="s">
        <v>95</v>
      </c>
      <c r="E470" t="s">
        <v>3902</v>
      </c>
      <c r="F470" t="s">
        <v>3903</v>
      </c>
      <c r="G470" t="s">
        <v>3904</v>
      </c>
      <c r="H470" t="s">
        <v>3905</v>
      </c>
    </row>
    <row r="471" spans="1:8" x14ac:dyDescent="0.25">
      <c r="A471">
        <v>1473648</v>
      </c>
      <c r="B471" t="s">
        <v>3636</v>
      </c>
      <c r="C471" t="s">
        <v>94</v>
      </c>
      <c r="D471" t="s">
        <v>95</v>
      </c>
      <c r="E471" t="s">
        <v>3902</v>
      </c>
      <c r="F471" t="s">
        <v>3906</v>
      </c>
      <c r="G471" t="s">
        <v>3907</v>
      </c>
      <c r="H471" t="s">
        <v>3908</v>
      </c>
    </row>
    <row r="472" spans="1:8" x14ac:dyDescent="0.25">
      <c r="A472">
        <v>1473793</v>
      </c>
      <c r="B472" t="s">
        <v>3636</v>
      </c>
      <c r="C472" t="s">
        <v>32</v>
      </c>
      <c r="D472" t="s">
        <v>95</v>
      </c>
      <c r="E472" t="s">
        <v>3909</v>
      </c>
      <c r="F472" t="s">
        <v>3910</v>
      </c>
      <c r="G472" t="s">
        <v>3911</v>
      </c>
      <c r="H472" t="s">
        <v>3912</v>
      </c>
    </row>
    <row r="473" spans="1:8" x14ac:dyDescent="0.25">
      <c r="A473">
        <v>1473795</v>
      </c>
      <c r="B473" t="s">
        <v>3636</v>
      </c>
      <c r="C473" t="s">
        <v>32</v>
      </c>
      <c r="D473" t="s">
        <v>95</v>
      </c>
      <c r="E473" t="s">
        <v>3909</v>
      </c>
      <c r="F473" t="s">
        <v>3913</v>
      </c>
      <c r="G473" t="s">
        <v>3914</v>
      </c>
      <c r="H473" t="s">
        <v>3915</v>
      </c>
    </row>
    <row r="474" spans="1:8" x14ac:dyDescent="0.25">
      <c r="A474">
        <v>1473796</v>
      </c>
      <c r="B474" t="s">
        <v>3636</v>
      </c>
      <c r="C474" t="s">
        <v>32</v>
      </c>
      <c r="D474" t="s">
        <v>95</v>
      </c>
      <c r="E474" t="s">
        <v>3909</v>
      </c>
      <c r="F474" t="s">
        <v>3916</v>
      </c>
      <c r="G474" t="s">
        <v>3917</v>
      </c>
      <c r="H474" t="s">
        <v>3918</v>
      </c>
    </row>
    <row r="475" spans="1:8" x14ac:dyDescent="0.25">
      <c r="A475">
        <v>1473797</v>
      </c>
      <c r="B475" t="s">
        <v>3636</v>
      </c>
      <c r="C475" t="s">
        <v>32</v>
      </c>
      <c r="D475" t="s">
        <v>95</v>
      </c>
      <c r="E475" t="s">
        <v>3909</v>
      </c>
      <c r="F475" t="s">
        <v>3919</v>
      </c>
      <c r="G475" t="s">
        <v>3920</v>
      </c>
      <c r="H475" t="s">
        <v>3921</v>
      </c>
    </row>
    <row r="476" spans="1:8" x14ac:dyDescent="0.25">
      <c r="A476">
        <v>1473886</v>
      </c>
      <c r="B476" t="s">
        <v>3636</v>
      </c>
      <c r="C476" t="s">
        <v>94</v>
      </c>
      <c r="D476" t="s">
        <v>95</v>
      </c>
      <c r="E476" t="s">
        <v>540</v>
      </c>
      <c r="F476" t="s">
        <v>3922</v>
      </c>
      <c r="G476" t="s">
        <v>3923</v>
      </c>
      <c r="H476" t="s">
        <v>3924</v>
      </c>
    </row>
    <row r="477" spans="1:8" x14ac:dyDescent="0.25">
      <c r="A477">
        <v>1473887</v>
      </c>
      <c r="B477" t="s">
        <v>3636</v>
      </c>
      <c r="C477" t="s">
        <v>94</v>
      </c>
      <c r="D477" t="s">
        <v>95</v>
      </c>
      <c r="E477" t="s">
        <v>540</v>
      </c>
      <c r="F477" t="s">
        <v>3925</v>
      </c>
      <c r="G477" t="s">
        <v>939</v>
      </c>
      <c r="H477" t="s">
        <v>3926</v>
      </c>
    </row>
    <row r="478" spans="1:8" x14ac:dyDescent="0.25">
      <c r="A478">
        <v>1473889</v>
      </c>
      <c r="B478" t="s">
        <v>3636</v>
      </c>
      <c r="C478" t="s">
        <v>32</v>
      </c>
      <c r="D478" t="s">
        <v>95</v>
      </c>
      <c r="E478" t="s">
        <v>540</v>
      </c>
      <c r="F478" t="s">
        <v>3927</v>
      </c>
      <c r="G478" t="s">
        <v>3928</v>
      </c>
      <c r="H478" t="s">
        <v>3929</v>
      </c>
    </row>
    <row r="479" spans="1:8" x14ac:dyDescent="0.25">
      <c r="A479">
        <v>1473932</v>
      </c>
      <c r="B479" t="s">
        <v>3636</v>
      </c>
      <c r="C479" t="s">
        <v>94</v>
      </c>
      <c r="D479" t="s">
        <v>95</v>
      </c>
      <c r="E479" t="s">
        <v>540</v>
      </c>
      <c r="F479" t="s">
        <v>3930</v>
      </c>
      <c r="G479" t="s">
        <v>3931</v>
      </c>
      <c r="H479" t="s">
        <v>3932</v>
      </c>
    </row>
    <row r="480" spans="1:8" x14ac:dyDescent="0.25">
      <c r="A480">
        <v>1473933</v>
      </c>
      <c r="B480" t="s">
        <v>3636</v>
      </c>
      <c r="C480" t="s">
        <v>94</v>
      </c>
      <c r="D480" t="s">
        <v>95</v>
      </c>
      <c r="E480" t="s">
        <v>540</v>
      </c>
      <c r="F480" t="s">
        <v>3933</v>
      </c>
      <c r="G480" t="s">
        <v>940</v>
      </c>
      <c r="H480" t="s">
        <v>3934</v>
      </c>
    </row>
    <row r="481" spans="1:8" x14ac:dyDescent="0.25">
      <c r="A481">
        <v>1474053</v>
      </c>
      <c r="B481" t="s">
        <v>3636</v>
      </c>
      <c r="C481" t="s">
        <v>94</v>
      </c>
      <c r="D481" t="s">
        <v>95</v>
      </c>
      <c r="E481" t="s">
        <v>3935</v>
      </c>
      <c r="F481" t="s">
        <v>3936</v>
      </c>
      <c r="G481" t="s">
        <v>3937</v>
      </c>
      <c r="H481" t="s">
        <v>3938</v>
      </c>
    </row>
    <row r="482" spans="1:8" x14ac:dyDescent="0.25">
      <c r="A482">
        <v>1474055</v>
      </c>
      <c r="B482" t="s">
        <v>3636</v>
      </c>
      <c r="C482" t="s">
        <v>94</v>
      </c>
      <c r="D482" t="s">
        <v>95</v>
      </c>
      <c r="E482" t="s">
        <v>3935</v>
      </c>
      <c r="F482" t="s">
        <v>3939</v>
      </c>
      <c r="G482" t="s">
        <v>3940</v>
      </c>
      <c r="H482" t="s">
        <v>3941</v>
      </c>
    </row>
    <row r="483" spans="1:8" x14ac:dyDescent="0.25">
      <c r="A483">
        <v>1474057</v>
      </c>
      <c r="B483" t="s">
        <v>3636</v>
      </c>
      <c r="C483" t="s">
        <v>32</v>
      </c>
      <c r="D483" t="s">
        <v>95</v>
      </c>
      <c r="E483" t="s">
        <v>3935</v>
      </c>
      <c r="F483" t="s">
        <v>3942</v>
      </c>
      <c r="G483" t="s">
        <v>3943</v>
      </c>
      <c r="H483" t="s">
        <v>3944</v>
      </c>
    </row>
    <row r="484" spans="1:8" x14ac:dyDescent="0.25">
      <c r="A484">
        <v>1474165</v>
      </c>
      <c r="B484" t="s">
        <v>3636</v>
      </c>
      <c r="C484" t="s">
        <v>32</v>
      </c>
      <c r="D484" t="s">
        <v>95</v>
      </c>
      <c r="E484" t="s">
        <v>3945</v>
      </c>
      <c r="F484" t="s">
        <v>3946</v>
      </c>
      <c r="G484" t="s">
        <v>3947</v>
      </c>
      <c r="H484" t="s">
        <v>3948</v>
      </c>
    </row>
    <row r="485" spans="1:8" x14ac:dyDescent="0.25">
      <c r="A485">
        <v>1474168</v>
      </c>
      <c r="B485" t="s">
        <v>3636</v>
      </c>
      <c r="C485" t="s">
        <v>94</v>
      </c>
      <c r="D485" t="s">
        <v>95</v>
      </c>
      <c r="E485" t="s">
        <v>3945</v>
      </c>
      <c r="F485" t="s">
        <v>3949</v>
      </c>
      <c r="G485" t="s">
        <v>3950</v>
      </c>
      <c r="H485" t="s">
        <v>3951</v>
      </c>
    </row>
    <row r="486" spans="1:8" x14ac:dyDescent="0.25">
      <c r="A486">
        <v>1474169</v>
      </c>
      <c r="B486" t="s">
        <v>3636</v>
      </c>
      <c r="C486" t="s">
        <v>32</v>
      </c>
      <c r="D486" t="s">
        <v>95</v>
      </c>
      <c r="E486" t="s">
        <v>3945</v>
      </c>
      <c r="F486" t="s">
        <v>3952</v>
      </c>
      <c r="G486" t="s">
        <v>3953</v>
      </c>
      <c r="H486" t="s">
        <v>3954</v>
      </c>
    </row>
    <row r="487" spans="1:8" x14ac:dyDescent="0.25">
      <c r="A487">
        <v>1474195</v>
      </c>
      <c r="B487" t="s">
        <v>3636</v>
      </c>
      <c r="C487" t="s">
        <v>32</v>
      </c>
      <c r="D487" t="s">
        <v>95</v>
      </c>
      <c r="E487" t="s">
        <v>3945</v>
      </c>
      <c r="F487" t="s">
        <v>3955</v>
      </c>
      <c r="G487" t="s">
        <v>3956</v>
      </c>
      <c r="H487" t="s">
        <v>3957</v>
      </c>
    </row>
    <row r="488" spans="1:8" x14ac:dyDescent="0.25">
      <c r="A488">
        <v>1474265</v>
      </c>
      <c r="B488" t="s">
        <v>3636</v>
      </c>
      <c r="C488" t="s">
        <v>94</v>
      </c>
      <c r="D488" t="s">
        <v>95</v>
      </c>
      <c r="E488" t="s">
        <v>3958</v>
      </c>
      <c r="F488" t="s">
        <v>3959</v>
      </c>
      <c r="G488" t="s">
        <v>3960</v>
      </c>
      <c r="H488" t="s">
        <v>3961</v>
      </c>
    </row>
    <row r="489" spans="1:8" x14ac:dyDescent="0.25">
      <c r="A489">
        <v>1474322</v>
      </c>
      <c r="B489" t="s">
        <v>3636</v>
      </c>
      <c r="C489" t="s">
        <v>17</v>
      </c>
      <c r="D489" t="s">
        <v>95</v>
      </c>
      <c r="E489" t="s">
        <v>3958</v>
      </c>
      <c r="F489" t="s">
        <v>3962</v>
      </c>
      <c r="G489" t="s">
        <v>3963</v>
      </c>
      <c r="H489" t="s">
        <v>3964</v>
      </c>
    </row>
    <row r="490" spans="1:8" x14ac:dyDescent="0.25">
      <c r="A490">
        <v>1474448</v>
      </c>
      <c r="B490" t="s">
        <v>3636</v>
      </c>
      <c r="C490" t="s">
        <v>32</v>
      </c>
      <c r="D490" t="s">
        <v>95</v>
      </c>
      <c r="E490" t="s">
        <v>3965</v>
      </c>
      <c r="F490" t="s">
        <v>3966</v>
      </c>
      <c r="G490" t="s">
        <v>3967</v>
      </c>
      <c r="H490" t="s">
        <v>3968</v>
      </c>
    </row>
    <row r="491" spans="1:8" x14ac:dyDescent="0.25">
      <c r="A491">
        <v>1474449</v>
      </c>
      <c r="B491" t="s">
        <v>3636</v>
      </c>
      <c r="C491" t="s">
        <v>17</v>
      </c>
      <c r="D491" t="s">
        <v>95</v>
      </c>
      <c r="E491" t="s">
        <v>3965</v>
      </c>
      <c r="F491" t="s">
        <v>3969</v>
      </c>
      <c r="G491" t="s">
        <v>3970</v>
      </c>
      <c r="H491" t="s">
        <v>3971</v>
      </c>
    </row>
    <row r="492" spans="1:8" x14ac:dyDescent="0.25">
      <c r="A492">
        <v>1474450</v>
      </c>
      <c r="B492" t="s">
        <v>3636</v>
      </c>
      <c r="C492" t="s">
        <v>32</v>
      </c>
      <c r="D492" t="s">
        <v>95</v>
      </c>
      <c r="E492" t="s">
        <v>3965</v>
      </c>
      <c r="F492" t="s">
        <v>3972</v>
      </c>
      <c r="G492" t="s">
        <v>3973</v>
      </c>
      <c r="H492" t="s">
        <v>3974</v>
      </c>
    </row>
    <row r="493" spans="1:8" x14ac:dyDescent="0.25">
      <c r="A493">
        <v>1474452</v>
      </c>
      <c r="B493" t="s">
        <v>3636</v>
      </c>
      <c r="C493" t="s">
        <v>32</v>
      </c>
      <c r="D493" t="s">
        <v>95</v>
      </c>
      <c r="E493" t="s">
        <v>3965</v>
      </c>
      <c r="F493" t="s">
        <v>3975</v>
      </c>
      <c r="G493" t="s">
        <v>3976</v>
      </c>
      <c r="H493" t="s">
        <v>3977</v>
      </c>
    </row>
    <row r="494" spans="1:8" x14ac:dyDescent="0.25">
      <c r="A494">
        <v>1487362</v>
      </c>
      <c r="B494" t="s">
        <v>3636</v>
      </c>
      <c r="C494" t="s">
        <v>94</v>
      </c>
      <c r="D494" t="s">
        <v>381</v>
      </c>
      <c r="E494" t="s">
        <v>548</v>
      </c>
      <c r="F494" t="s">
        <v>882</v>
      </c>
      <c r="G494" t="s">
        <v>3978</v>
      </c>
      <c r="H494" t="s">
        <v>3979</v>
      </c>
    </row>
    <row r="495" spans="1:8" x14ac:dyDescent="0.25">
      <c r="A495">
        <v>1488910</v>
      </c>
      <c r="B495" t="s">
        <v>3636</v>
      </c>
      <c r="C495" t="s">
        <v>32</v>
      </c>
      <c r="D495" t="s">
        <v>44</v>
      </c>
      <c r="E495" t="s">
        <v>2936</v>
      </c>
      <c r="F495" t="s">
        <v>3980</v>
      </c>
      <c r="G495" t="s">
        <v>3981</v>
      </c>
      <c r="H495" t="s">
        <v>3982</v>
      </c>
    </row>
    <row r="496" spans="1:8" x14ac:dyDescent="0.25">
      <c r="A496">
        <v>1488912</v>
      </c>
      <c r="B496" t="s">
        <v>3636</v>
      </c>
      <c r="C496" t="s">
        <v>32</v>
      </c>
      <c r="D496" t="s">
        <v>44</v>
      </c>
      <c r="E496" t="s">
        <v>2936</v>
      </c>
      <c r="F496" t="s">
        <v>3983</v>
      </c>
      <c r="G496" t="s">
        <v>3984</v>
      </c>
      <c r="H496" t="s">
        <v>3985</v>
      </c>
    </row>
    <row r="497" spans="1:8" x14ac:dyDescent="0.25">
      <c r="A497">
        <v>1488913</v>
      </c>
      <c r="B497" t="s">
        <v>3636</v>
      </c>
      <c r="C497" t="s">
        <v>94</v>
      </c>
      <c r="D497" t="s">
        <v>44</v>
      </c>
      <c r="E497" t="s">
        <v>2936</v>
      </c>
      <c r="F497" t="s">
        <v>3986</v>
      </c>
      <c r="G497" t="s">
        <v>3987</v>
      </c>
      <c r="H497" t="s">
        <v>3988</v>
      </c>
    </row>
    <row r="498" spans="1:8" x14ac:dyDescent="0.25">
      <c r="A498">
        <v>1488916</v>
      </c>
      <c r="B498" t="s">
        <v>3636</v>
      </c>
      <c r="C498" t="s">
        <v>32</v>
      </c>
      <c r="D498" t="s">
        <v>44</v>
      </c>
      <c r="E498" t="s">
        <v>2936</v>
      </c>
      <c r="F498" t="s">
        <v>3989</v>
      </c>
      <c r="G498" t="s">
        <v>3990</v>
      </c>
      <c r="H498" t="s">
        <v>3991</v>
      </c>
    </row>
    <row r="499" spans="1:8" x14ac:dyDescent="0.25">
      <c r="A499">
        <v>1488917</v>
      </c>
      <c r="B499" t="s">
        <v>3636</v>
      </c>
      <c r="C499" t="s">
        <v>32</v>
      </c>
      <c r="D499" t="s">
        <v>44</v>
      </c>
      <c r="E499" t="s">
        <v>2936</v>
      </c>
      <c r="F499" t="s">
        <v>3992</v>
      </c>
      <c r="G499" t="s">
        <v>3993</v>
      </c>
      <c r="H499" t="s">
        <v>3994</v>
      </c>
    </row>
    <row r="500" spans="1:8" x14ac:dyDescent="0.25">
      <c r="A500">
        <v>1489506</v>
      </c>
      <c r="B500" t="s">
        <v>3636</v>
      </c>
      <c r="C500" t="s">
        <v>94</v>
      </c>
      <c r="D500" t="s">
        <v>381</v>
      </c>
      <c r="E500" t="s">
        <v>573</v>
      </c>
      <c r="F500" t="s">
        <v>1589</v>
      </c>
      <c r="G500" t="s">
        <v>3995</v>
      </c>
      <c r="H500" t="s">
        <v>3996</v>
      </c>
    </row>
    <row r="501" spans="1:8" x14ac:dyDescent="0.25">
      <c r="A501">
        <v>1494988</v>
      </c>
      <c r="B501" t="s">
        <v>3636</v>
      </c>
      <c r="C501" t="s">
        <v>32</v>
      </c>
      <c r="D501" t="s">
        <v>44</v>
      </c>
      <c r="E501" t="s">
        <v>398</v>
      </c>
      <c r="F501" t="s">
        <v>3997</v>
      </c>
      <c r="G501" t="s">
        <v>1464</v>
      </c>
      <c r="H501" t="s">
        <v>3998</v>
      </c>
    </row>
    <row r="502" spans="1:8" x14ac:dyDescent="0.25">
      <c r="A502">
        <v>1494989</v>
      </c>
      <c r="B502" t="s">
        <v>3636</v>
      </c>
      <c r="C502" t="s">
        <v>94</v>
      </c>
      <c r="D502" t="s">
        <v>44</v>
      </c>
      <c r="E502" t="s">
        <v>398</v>
      </c>
      <c r="F502" t="s">
        <v>3999</v>
      </c>
      <c r="G502" t="s">
        <v>4000</v>
      </c>
      <c r="H502" t="s">
        <v>4001</v>
      </c>
    </row>
    <row r="503" spans="1:8" x14ac:dyDescent="0.25">
      <c r="A503">
        <v>1494990</v>
      </c>
      <c r="B503" t="s">
        <v>3636</v>
      </c>
      <c r="C503" t="s">
        <v>32</v>
      </c>
      <c r="D503" t="s">
        <v>44</v>
      </c>
      <c r="E503" t="s">
        <v>398</v>
      </c>
      <c r="F503" t="s">
        <v>4002</v>
      </c>
      <c r="G503" t="s">
        <v>4003</v>
      </c>
      <c r="H503" t="s">
        <v>4004</v>
      </c>
    </row>
    <row r="504" spans="1:8" x14ac:dyDescent="0.25">
      <c r="A504">
        <v>1494991</v>
      </c>
      <c r="B504" t="s">
        <v>3636</v>
      </c>
      <c r="C504" t="s">
        <v>32</v>
      </c>
      <c r="D504" t="s">
        <v>44</v>
      </c>
      <c r="E504" t="s">
        <v>398</v>
      </c>
      <c r="F504" t="s">
        <v>4005</v>
      </c>
      <c r="G504" t="s">
        <v>4006</v>
      </c>
      <c r="H504" t="s">
        <v>4007</v>
      </c>
    </row>
    <row r="505" spans="1:8" x14ac:dyDescent="0.25">
      <c r="A505">
        <v>1494992</v>
      </c>
      <c r="B505" t="s">
        <v>3636</v>
      </c>
      <c r="C505" t="s">
        <v>32</v>
      </c>
      <c r="D505" t="s">
        <v>44</v>
      </c>
      <c r="E505" t="s">
        <v>398</v>
      </c>
      <c r="F505" t="s">
        <v>4008</v>
      </c>
      <c r="G505" t="s">
        <v>4009</v>
      </c>
      <c r="H505" t="s">
        <v>4010</v>
      </c>
    </row>
    <row r="506" spans="1:8" x14ac:dyDescent="0.25">
      <c r="A506">
        <v>1494993</v>
      </c>
      <c r="B506" t="s">
        <v>3636</v>
      </c>
      <c r="C506" t="s">
        <v>32</v>
      </c>
      <c r="D506" t="s">
        <v>44</v>
      </c>
      <c r="E506" t="s">
        <v>398</v>
      </c>
      <c r="F506" t="s">
        <v>4011</v>
      </c>
      <c r="G506" t="s">
        <v>4012</v>
      </c>
      <c r="H506" t="s">
        <v>4013</v>
      </c>
    </row>
    <row r="507" spans="1:8" x14ac:dyDescent="0.25">
      <c r="A507">
        <v>1494994</v>
      </c>
      <c r="B507" t="s">
        <v>3636</v>
      </c>
      <c r="C507" t="s">
        <v>32</v>
      </c>
      <c r="D507" t="s">
        <v>44</v>
      </c>
      <c r="E507" t="s">
        <v>398</v>
      </c>
      <c r="F507" t="s">
        <v>4014</v>
      </c>
      <c r="G507" t="s">
        <v>4015</v>
      </c>
      <c r="H507" t="s">
        <v>4016</v>
      </c>
    </row>
    <row r="508" spans="1:8" x14ac:dyDescent="0.25">
      <c r="A508">
        <v>1494995</v>
      </c>
      <c r="B508" t="s">
        <v>3636</v>
      </c>
      <c r="C508" t="s">
        <v>32</v>
      </c>
      <c r="D508" t="s">
        <v>44</v>
      </c>
      <c r="E508" t="s">
        <v>398</v>
      </c>
      <c r="F508" t="s">
        <v>1463</v>
      </c>
      <c r="G508" t="s">
        <v>4017</v>
      </c>
      <c r="H508" t="s">
        <v>4018</v>
      </c>
    </row>
    <row r="509" spans="1:8" x14ac:dyDescent="0.25">
      <c r="A509">
        <v>1494996</v>
      </c>
      <c r="B509" t="s">
        <v>3636</v>
      </c>
      <c r="C509" t="s">
        <v>32</v>
      </c>
      <c r="D509" t="s">
        <v>44</v>
      </c>
      <c r="E509" t="s">
        <v>398</v>
      </c>
      <c r="F509" t="s">
        <v>4019</v>
      </c>
      <c r="G509" t="s">
        <v>4020</v>
      </c>
      <c r="H509" t="s">
        <v>4021</v>
      </c>
    </row>
    <row r="510" spans="1:8" x14ac:dyDescent="0.25">
      <c r="A510">
        <v>1495175</v>
      </c>
      <c r="B510" t="s">
        <v>3636</v>
      </c>
      <c r="C510" t="s">
        <v>94</v>
      </c>
      <c r="D510" t="s">
        <v>541</v>
      </c>
      <c r="E510" t="s">
        <v>238</v>
      </c>
      <c r="F510" t="s">
        <v>1465</v>
      </c>
      <c r="G510" t="s">
        <v>1467</v>
      </c>
      <c r="H510" t="s">
        <v>4022</v>
      </c>
    </row>
    <row r="511" spans="1:8" x14ac:dyDescent="0.25">
      <c r="A511">
        <v>1495176</v>
      </c>
      <c r="B511" t="s">
        <v>3636</v>
      </c>
      <c r="C511" t="s">
        <v>94</v>
      </c>
      <c r="D511" t="s">
        <v>541</v>
      </c>
      <c r="E511" t="s">
        <v>238</v>
      </c>
      <c r="F511" t="s">
        <v>4023</v>
      </c>
      <c r="G511" t="s">
        <v>4024</v>
      </c>
      <c r="H511" t="s">
        <v>4025</v>
      </c>
    </row>
    <row r="512" spans="1:8" x14ac:dyDescent="0.25">
      <c r="A512">
        <v>1495179</v>
      </c>
      <c r="B512" t="s">
        <v>3636</v>
      </c>
      <c r="C512" t="s">
        <v>32</v>
      </c>
      <c r="D512" t="s">
        <v>541</v>
      </c>
      <c r="E512" t="s">
        <v>238</v>
      </c>
      <c r="F512" t="s">
        <v>4026</v>
      </c>
      <c r="G512" t="s">
        <v>4027</v>
      </c>
      <c r="H512" t="s">
        <v>4028</v>
      </c>
    </row>
    <row r="513" spans="1:8" x14ac:dyDescent="0.25">
      <c r="A513">
        <v>1495181</v>
      </c>
      <c r="B513" t="s">
        <v>3636</v>
      </c>
      <c r="C513" t="s">
        <v>3638</v>
      </c>
      <c r="D513" t="s">
        <v>541</v>
      </c>
      <c r="E513" t="s">
        <v>238</v>
      </c>
      <c r="F513" t="s">
        <v>1471</v>
      </c>
      <c r="G513" t="s">
        <v>614</v>
      </c>
      <c r="H513" t="s">
        <v>4029</v>
      </c>
    </row>
    <row r="514" spans="1:8" x14ac:dyDescent="0.25">
      <c r="A514">
        <v>1495302</v>
      </c>
      <c r="B514" t="s">
        <v>3636</v>
      </c>
      <c r="C514" t="s">
        <v>32</v>
      </c>
      <c r="D514" t="s">
        <v>85</v>
      </c>
      <c r="E514" t="s">
        <v>4030</v>
      </c>
      <c r="F514" t="s">
        <v>4031</v>
      </c>
      <c r="G514" t="s">
        <v>4032</v>
      </c>
      <c r="H514" t="s">
        <v>4033</v>
      </c>
    </row>
    <row r="515" spans="1:8" x14ac:dyDescent="0.25">
      <c r="A515">
        <v>1495303</v>
      </c>
      <c r="B515" t="s">
        <v>3636</v>
      </c>
      <c r="C515" t="s">
        <v>94</v>
      </c>
      <c r="D515" t="s">
        <v>85</v>
      </c>
      <c r="E515" t="s">
        <v>4030</v>
      </c>
      <c r="F515" t="s">
        <v>4034</v>
      </c>
      <c r="G515" t="s">
        <v>4035</v>
      </c>
      <c r="H515" t="s">
        <v>4036</v>
      </c>
    </row>
    <row r="516" spans="1:8" x14ac:dyDescent="0.25">
      <c r="A516">
        <v>1495304</v>
      </c>
      <c r="B516" t="s">
        <v>3636</v>
      </c>
      <c r="C516" t="s">
        <v>94</v>
      </c>
      <c r="D516" t="s">
        <v>85</v>
      </c>
      <c r="E516" t="s">
        <v>4030</v>
      </c>
      <c r="F516" t="s">
        <v>4037</v>
      </c>
      <c r="G516" t="s">
        <v>4038</v>
      </c>
      <c r="H516" t="s">
        <v>4039</v>
      </c>
    </row>
    <row r="517" spans="1:8" x14ac:dyDescent="0.25">
      <c r="A517">
        <v>1495305</v>
      </c>
      <c r="B517" t="s">
        <v>3636</v>
      </c>
      <c r="C517" t="s">
        <v>94</v>
      </c>
      <c r="D517" t="s">
        <v>85</v>
      </c>
      <c r="E517" t="s">
        <v>4030</v>
      </c>
      <c r="F517" t="s">
        <v>4040</v>
      </c>
      <c r="G517" t="s">
        <v>4041</v>
      </c>
      <c r="H517" t="s">
        <v>4042</v>
      </c>
    </row>
    <row r="518" spans="1:8" x14ac:dyDescent="0.25">
      <c r="A518">
        <v>1497895</v>
      </c>
      <c r="B518" t="s">
        <v>3636</v>
      </c>
      <c r="C518" t="s">
        <v>94</v>
      </c>
      <c r="D518" t="s">
        <v>608</v>
      </c>
      <c r="E518" t="s">
        <v>45</v>
      </c>
      <c r="F518" t="s">
        <v>4043</v>
      </c>
      <c r="G518" t="s">
        <v>4044</v>
      </c>
      <c r="H518" t="s">
        <v>4045</v>
      </c>
    </row>
    <row r="519" spans="1:8" x14ac:dyDescent="0.25">
      <c r="A519">
        <v>1497898</v>
      </c>
      <c r="B519" t="s">
        <v>3636</v>
      </c>
      <c r="C519" t="s">
        <v>94</v>
      </c>
      <c r="D519" t="s">
        <v>608</v>
      </c>
      <c r="E519" t="s">
        <v>45</v>
      </c>
      <c r="F519" t="s">
        <v>4046</v>
      </c>
      <c r="G519" t="s">
        <v>4047</v>
      </c>
      <c r="H519" t="s">
        <v>4048</v>
      </c>
    </row>
    <row r="520" spans="1:8" x14ac:dyDescent="0.25">
      <c r="A520">
        <v>1500335</v>
      </c>
      <c r="B520" t="s">
        <v>3636</v>
      </c>
      <c r="C520" t="s">
        <v>94</v>
      </c>
      <c r="D520" t="s">
        <v>324</v>
      </c>
      <c r="E520" t="s">
        <v>325</v>
      </c>
      <c r="F520" t="s">
        <v>1474</v>
      </c>
      <c r="G520" t="s">
        <v>4049</v>
      </c>
      <c r="H520" t="s">
        <v>4050</v>
      </c>
    </row>
    <row r="521" spans="1:8" x14ac:dyDescent="0.25">
      <c r="A521">
        <v>1500337</v>
      </c>
      <c r="B521" t="s">
        <v>3636</v>
      </c>
      <c r="C521" t="s">
        <v>94</v>
      </c>
      <c r="D521" t="s">
        <v>324</v>
      </c>
      <c r="E521" t="s">
        <v>325</v>
      </c>
      <c r="F521" t="s">
        <v>1476</v>
      </c>
      <c r="G521" t="s">
        <v>4051</v>
      </c>
      <c r="H521" t="s">
        <v>4052</v>
      </c>
    </row>
    <row r="522" spans="1:8" x14ac:dyDescent="0.25">
      <c r="A522">
        <v>1502066</v>
      </c>
      <c r="B522" t="s">
        <v>3636</v>
      </c>
      <c r="C522" t="s">
        <v>94</v>
      </c>
      <c r="D522" t="s">
        <v>21</v>
      </c>
      <c r="E522" t="s">
        <v>22</v>
      </c>
      <c r="F522" t="s">
        <v>4053</v>
      </c>
      <c r="G522" t="s">
        <v>4054</v>
      </c>
      <c r="H522" t="s">
        <v>4055</v>
      </c>
    </row>
    <row r="523" spans="1:8" x14ac:dyDescent="0.25">
      <c r="A523">
        <v>1502075</v>
      </c>
      <c r="B523" t="s">
        <v>3636</v>
      </c>
      <c r="C523" t="s">
        <v>94</v>
      </c>
      <c r="D523" t="s">
        <v>21</v>
      </c>
      <c r="E523" t="s">
        <v>22</v>
      </c>
      <c r="F523" t="s">
        <v>423</v>
      </c>
      <c r="G523" t="s">
        <v>4056</v>
      </c>
      <c r="H523" t="s">
        <v>4057</v>
      </c>
    </row>
    <row r="524" spans="1:8" x14ac:dyDescent="0.25">
      <c r="A524">
        <v>1502076</v>
      </c>
      <c r="B524" t="s">
        <v>3636</v>
      </c>
      <c r="C524" t="s">
        <v>2909</v>
      </c>
      <c r="D524" t="s">
        <v>21</v>
      </c>
      <c r="E524" t="s">
        <v>22</v>
      </c>
      <c r="F524" t="s">
        <v>4058</v>
      </c>
      <c r="G524" t="s">
        <v>4059</v>
      </c>
      <c r="H524" t="s">
        <v>4060</v>
      </c>
    </row>
    <row r="525" spans="1:8" x14ac:dyDescent="0.25">
      <c r="A525">
        <v>1502077</v>
      </c>
      <c r="B525" t="s">
        <v>3636</v>
      </c>
      <c r="C525" t="s">
        <v>94</v>
      </c>
      <c r="D525" t="s">
        <v>21</v>
      </c>
      <c r="E525" t="s">
        <v>22</v>
      </c>
      <c r="F525" t="s">
        <v>2522</v>
      </c>
      <c r="G525" t="s">
        <v>2150</v>
      </c>
      <c r="H525" t="s">
        <v>4061</v>
      </c>
    </row>
    <row r="526" spans="1:8" x14ac:dyDescent="0.25">
      <c r="A526">
        <v>1502078</v>
      </c>
      <c r="B526" t="s">
        <v>3636</v>
      </c>
      <c r="C526" t="s">
        <v>32</v>
      </c>
      <c r="D526" t="s">
        <v>21</v>
      </c>
      <c r="E526" t="s">
        <v>22</v>
      </c>
      <c r="F526" t="s">
        <v>4054</v>
      </c>
      <c r="G526" t="s">
        <v>4062</v>
      </c>
      <c r="H526" t="s">
        <v>4063</v>
      </c>
    </row>
    <row r="527" spans="1:8" x14ac:dyDescent="0.25">
      <c r="A527">
        <v>1502079</v>
      </c>
      <c r="B527" t="s">
        <v>3636</v>
      </c>
      <c r="C527" t="s">
        <v>94</v>
      </c>
      <c r="D527" t="s">
        <v>21</v>
      </c>
      <c r="E527" t="s">
        <v>22</v>
      </c>
      <c r="F527" t="s">
        <v>4064</v>
      </c>
      <c r="G527" t="s">
        <v>4065</v>
      </c>
      <c r="H527" t="s">
        <v>4066</v>
      </c>
    </row>
    <row r="528" spans="1:8" x14ac:dyDescent="0.25">
      <c r="A528">
        <v>1502403</v>
      </c>
      <c r="B528" t="s">
        <v>3636</v>
      </c>
      <c r="C528" t="s">
        <v>32</v>
      </c>
      <c r="D528" t="s">
        <v>21</v>
      </c>
      <c r="E528" t="s">
        <v>22</v>
      </c>
      <c r="F528" t="s">
        <v>4067</v>
      </c>
      <c r="G528" t="s">
        <v>4068</v>
      </c>
      <c r="H528" t="s">
        <v>4069</v>
      </c>
    </row>
    <row r="529" spans="1:8" x14ac:dyDescent="0.25">
      <c r="A529">
        <v>1502405</v>
      </c>
      <c r="B529" t="s">
        <v>3636</v>
      </c>
      <c r="C529" t="s">
        <v>32</v>
      </c>
      <c r="D529" t="s">
        <v>21</v>
      </c>
      <c r="E529" t="s">
        <v>22</v>
      </c>
      <c r="F529" t="s">
        <v>4070</v>
      </c>
      <c r="G529" t="s">
        <v>4071</v>
      </c>
      <c r="H529" t="s">
        <v>4072</v>
      </c>
    </row>
    <row r="530" spans="1:8" x14ac:dyDescent="0.25">
      <c r="A530">
        <v>1505926</v>
      </c>
      <c r="B530" t="s">
        <v>3636</v>
      </c>
      <c r="C530" t="s">
        <v>32</v>
      </c>
      <c r="D530" t="s">
        <v>21</v>
      </c>
      <c r="E530" t="s">
        <v>22</v>
      </c>
      <c r="F530" t="s">
        <v>4073</v>
      </c>
      <c r="G530" t="s">
        <v>4074</v>
      </c>
      <c r="H530" t="s">
        <v>4075</v>
      </c>
    </row>
    <row r="531" spans="1:8" x14ac:dyDescent="0.25">
      <c r="A531">
        <v>1506388</v>
      </c>
      <c r="B531" t="s">
        <v>3636</v>
      </c>
      <c r="C531" t="s">
        <v>2909</v>
      </c>
      <c r="D531" t="s">
        <v>21</v>
      </c>
      <c r="E531" t="s">
        <v>22</v>
      </c>
      <c r="F531" t="s">
        <v>4076</v>
      </c>
      <c r="G531" t="s">
        <v>1453</v>
      </c>
      <c r="H531" t="s">
        <v>4077</v>
      </c>
    </row>
    <row r="532" spans="1:8" x14ac:dyDescent="0.25">
      <c r="A532">
        <v>1506570</v>
      </c>
      <c r="B532" t="s">
        <v>3636</v>
      </c>
      <c r="C532" t="s">
        <v>94</v>
      </c>
      <c r="D532" t="s">
        <v>610</v>
      </c>
      <c r="E532" t="s">
        <v>611</v>
      </c>
      <c r="F532" t="s">
        <v>4078</v>
      </c>
      <c r="G532" t="s">
        <v>4079</v>
      </c>
      <c r="H532" t="s">
        <v>4080</v>
      </c>
    </row>
    <row r="533" spans="1:8" x14ac:dyDescent="0.25">
      <c r="A533">
        <v>1506571</v>
      </c>
      <c r="B533" t="s">
        <v>3636</v>
      </c>
      <c r="C533" t="s">
        <v>94</v>
      </c>
      <c r="D533" t="s">
        <v>610</v>
      </c>
      <c r="E533" t="s">
        <v>611</v>
      </c>
      <c r="F533" t="s">
        <v>4081</v>
      </c>
      <c r="G533" t="s">
        <v>4082</v>
      </c>
      <c r="H533" t="s">
        <v>4083</v>
      </c>
    </row>
    <row r="534" spans="1:8" x14ac:dyDescent="0.25">
      <c r="A534">
        <v>1507870</v>
      </c>
      <c r="B534" t="s">
        <v>3636</v>
      </c>
      <c r="C534" t="s">
        <v>3638</v>
      </c>
      <c r="D534" t="s">
        <v>612</v>
      </c>
      <c r="E534" t="s">
        <v>613</v>
      </c>
      <c r="F534" t="s">
        <v>4084</v>
      </c>
      <c r="G534" t="s">
        <v>1487</v>
      </c>
      <c r="H534" t="s">
        <v>4085</v>
      </c>
    </row>
    <row r="535" spans="1:8" x14ac:dyDescent="0.25">
      <c r="A535">
        <v>1507872</v>
      </c>
      <c r="B535" t="s">
        <v>3636</v>
      </c>
      <c r="C535" t="s">
        <v>94</v>
      </c>
      <c r="D535" t="s">
        <v>612</v>
      </c>
      <c r="E535" t="s">
        <v>613</v>
      </c>
      <c r="F535" t="s">
        <v>4086</v>
      </c>
      <c r="G535" t="s">
        <v>4087</v>
      </c>
      <c r="H535" t="s">
        <v>4088</v>
      </c>
    </row>
    <row r="536" spans="1:8" x14ac:dyDescent="0.25">
      <c r="A536">
        <v>1507873</v>
      </c>
      <c r="B536" t="s">
        <v>3636</v>
      </c>
      <c r="C536" t="s">
        <v>32</v>
      </c>
      <c r="D536" t="s">
        <v>612</v>
      </c>
      <c r="E536" t="s">
        <v>613</v>
      </c>
      <c r="F536" t="s">
        <v>1488</v>
      </c>
      <c r="G536" t="s">
        <v>4089</v>
      </c>
      <c r="H536" t="s">
        <v>4090</v>
      </c>
    </row>
    <row r="537" spans="1:8" x14ac:dyDescent="0.25">
      <c r="A537">
        <v>1507874</v>
      </c>
      <c r="B537" t="s">
        <v>3636</v>
      </c>
      <c r="C537" t="s">
        <v>32</v>
      </c>
      <c r="D537" t="s">
        <v>612</v>
      </c>
      <c r="E537" t="s">
        <v>613</v>
      </c>
      <c r="F537" t="s">
        <v>79</v>
      </c>
      <c r="G537" t="s">
        <v>1489</v>
      </c>
      <c r="H537" t="s">
        <v>4091</v>
      </c>
    </row>
    <row r="538" spans="1:8" x14ac:dyDescent="0.25">
      <c r="A538">
        <v>1509287</v>
      </c>
      <c r="B538" t="s">
        <v>3636</v>
      </c>
      <c r="C538" t="s">
        <v>94</v>
      </c>
      <c r="D538" t="s">
        <v>44</v>
      </c>
      <c r="E538" t="s">
        <v>388</v>
      </c>
      <c r="F538" t="s">
        <v>4092</v>
      </c>
      <c r="G538" t="s">
        <v>4093</v>
      </c>
      <c r="H538" t="s">
        <v>4094</v>
      </c>
    </row>
    <row r="539" spans="1:8" x14ac:dyDescent="0.25">
      <c r="A539">
        <v>1509288</v>
      </c>
      <c r="B539" t="s">
        <v>3636</v>
      </c>
      <c r="C539" t="s">
        <v>32</v>
      </c>
      <c r="D539" t="s">
        <v>44</v>
      </c>
      <c r="E539" t="s">
        <v>388</v>
      </c>
      <c r="F539" t="s">
        <v>4095</v>
      </c>
      <c r="G539" t="s">
        <v>4096</v>
      </c>
      <c r="H539" t="s">
        <v>4097</v>
      </c>
    </row>
    <row r="540" spans="1:8" x14ac:dyDescent="0.25">
      <c r="A540">
        <v>1509289</v>
      </c>
      <c r="B540" t="s">
        <v>3636</v>
      </c>
      <c r="C540" t="s">
        <v>32</v>
      </c>
      <c r="D540" t="s">
        <v>44</v>
      </c>
      <c r="E540" t="s">
        <v>388</v>
      </c>
      <c r="F540" t="s">
        <v>4098</v>
      </c>
      <c r="G540" t="s">
        <v>453</v>
      </c>
      <c r="H540" t="s">
        <v>4099</v>
      </c>
    </row>
    <row r="541" spans="1:8" x14ac:dyDescent="0.25">
      <c r="A541">
        <v>1509292</v>
      </c>
      <c r="B541" t="s">
        <v>3636</v>
      </c>
      <c r="C541" t="s">
        <v>17</v>
      </c>
      <c r="D541" t="s">
        <v>44</v>
      </c>
      <c r="E541" t="s">
        <v>388</v>
      </c>
      <c r="F541" t="s">
        <v>4100</v>
      </c>
      <c r="G541" t="s">
        <v>4101</v>
      </c>
      <c r="H541" t="s">
        <v>4102</v>
      </c>
    </row>
    <row r="542" spans="1:8" x14ac:dyDescent="0.25">
      <c r="A542">
        <v>1509293</v>
      </c>
      <c r="B542" t="s">
        <v>3636</v>
      </c>
      <c r="C542" t="s">
        <v>32</v>
      </c>
      <c r="D542" t="s">
        <v>44</v>
      </c>
      <c r="E542" t="s">
        <v>388</v>
      </c>
      <c r="F542" t="s">
        <v>1265</v>
      </c>
      <c r="G542" t="s">
        <v>4103</v>
      </c>
      <c r="H542" t="s">
        <v>4104</v>
      </c>
    </row>
    <row r="543" spans="1:8" x14ac:dyDescent="0.25">
      <c r="A543">
        <v>1509294</v>
      </c>
      <c r="B543" t="s">
        <v>3636</v>
      </c>
      <c r="C543" t="s">
        <v>32</v>
      </c>
      <c r="D543" t="s">
        <v>44</v>
      </c>
      <c r="E543" t="s">
        <v>388</v>
      </c>
      <c r="F543" t="s">
        <v>4105</v>
      </c>
      <c r="G543" t="s">
        <v>4106</v>
      </c>
      <c r="H543" t="s">
        <v>4107</v>
      </c>
    </row>
    <row r="544" spans="1:8" x14ac:dyDescent="0.25">
      <c r="A544">
        <v>1514909</v>
      </c>
      <c r="B544" t="s">
        <v>3636</v>
      </c>
      <c r="C544" t="s">
        <v>32</v>
      </c>
      <c r="D544" t="s">
        <v>493</v>
      </c>
      <c r="E544" t="s">
        <v>39</v>
      </c>
      <c r="F544" t="s">
        <v>4108</v>
      </c>
      <c r="G544" t="s">
        <v>4109</v>
      </c>
      <c r="H544" t="s">
        <v>4110</v>
      </c>
    </row>
    <row r="545" spans="1:8" x14ac:dyDescent="0.25">
      <c r="A545">
        <v>1514910</v>
      </c>
      <c r="B545" t="s">
        <v>3636</v>
      </c>
      <c r="C545" t="s">
        <v>3638</v>
      </c>
      <c r="D545" t="s">
        <v>493</v>
      </c>
      <c r="E545" t="s">
        <v>39</v>
      </c>
      <c r="F545" t="s">
        <v>4111</v>
      </c>
      <c r="G545" t="s">
        <v>4112</v>
      </c>
      <c r="H545" t="s">
        <v>4113</v>
      </c>
    </row>
    <row r="546" spans="1:8" x14ac:dyDescent="0.25">
      <c r="A546">
        <v>1514911</v>
      </c>
      <c r="B546" t="s">
        <v>3636</v>
      </c>
      <c r="C546" t="s">
        <v>3638</v>
      </c>
      <c r="D546" t="s">
        <v>493</v>
      </c>
      <c r="E546" t="s">
        <v>39</v>
      </c>
      <c r="F546" t="s">
        <v>4114</v>
      </c>
      <c r="G546" t="s">
        <v>4115</v>
      </c>
      <c r="H546" t="s">
        <v>4116</v>
      </c>
    </row>
    <row r="547" spans="1:8" x14ac:dyDescent="0.25">
      <c r="A547">
        <v>1515165</v>
      </c>
      <c r="B547" t="s">
        <v>3636</v>
      </c>
      <c r="C547" t="s">
        <v>17</v>
      </c>
      <c r="D547" t="s">
        <v>44</v>
      </c>
      <c r="E547" t="s">
        <v>4117</v>
      </c>
      <c r="F547" t="s">
        <v>4118</v>
      </c>
      <c r="G547" t="s">
        <v>4119</v>
      </c>
      <c r="H547" t="s">
        <v>4120</v>
      </c>
    </row>
    <row r="548" spans="1:8" x14ac:dyDescent="0.25">
      <c r="A548">
        <v>1515166</v>
      </c>
      <c r="B548" t="s">
        <v>3636</v>
      </c>
      <c r="C548" t="s">
        <v>32</v>
      </c>
      <c r="D548" t="s">
        <v>44</v>
      </c>
      <c r="E548" t="s">
        <v>4117</v>
      </c>
      <c r="F548" t="s">
        <v>4121</v>
      </c>
      <c r="G548" t="s">
        <v>4122</v>
      </c>
      <c r="H548" t="s">
        <v>4123</v>
      </c>
    </row>
    <row r="549" spans="1:8" x14ac:dyDescent="0.25">
      <c r="A549">
        <v>1515167</v>
      </c>
      <c r="B549" t="s">
        <v>3636</v>
      </c>
      <c r="C549" t="s">
        <v>4124</v>
      </c>
      <c r="D549" t="s">
        <v>44</v>
      </c>
      <c r="E549" t="s">
        <v>4117</v>
      </c>
      <c r="F549" t="s">
        <v>4125</v>
      </c>
      <c r="G549" t="s">
        <v>4126</v>
      </c>
      <c r="H549" t="s">
        <v>4127</v>
      </c>
    </row>
    <row r="550" spans="1:8" x14ac:dyDescent="0.25">
      <c r="A550">
        <v>1515168</v>
      </c>
      <c r="B550" t="s">
        <v>3636</v>
      </c>
      <c r="C550" t="s">
        <v>32</v>
      </c>
      <c r="D550" t="s">
        <v>44</v>
      </c>
      <c r="E550" t="s">
        <v>4117</v>
      </c>
      <c r="F550" t="s">
        <v>4128</v>
      </c>
      <c r="G550" t="s">
        <v>4129</v>
      </c>
      <c r="H550" t="s">
        <v>4130</v>
      </c>
    </row>
    <row r="551" spans="1:8" x14ac:dyDescent="0.25">
      <c r="A551">
        <v>1516975</v>
      </c>
      <c r="B551" t="s">
        <v>3636</v>
      </c>
      <c r="C551" t="s">
        <v>94</v>
      </c>
      <c r="D551" t="s">
        <v>62</v>
      </c>
      <c r="E551" t="s">
        <v>615</v>
      </c>
      <c r="F551" t="s">
        <v>4131</v>
      </c>
      <c r="G551" t="s">
        <v>4132</v>
      </c>
      <c r="H551" t="s">
        <v>4133</v>
      </c>
    </row>
    <row r="552" spans="1:8" x14ac:dyDescent="0.25">
      <c r="A552">
        <v>1516977</v>
      </c>
      <c r="B552" t="s">
        <v>3636</v>
      </c>
      <c r="C552" t="s">
        <v>94</v>
      </c>
      <c r="D552" t="s">
        <v>62</v>
      </c>
      <c r="E552" t="s">
        <v>615</v>
      </c>
      <c r="F552" t="s">
        <v>4134</v>
      </c>
      <c r="G552" t="s">
        <v>4135</v>
      </c>
      <c r="H552" t="s">
        <v>4136</v>
      </c>
    </row>
    <row r="553" spans="1:8" x14ac:dyDescent="0.25">
      <c r="A553">
        <v>1516980</v>
      </c>
      <c r="B553" t="s">
        <v>3636</v>
      </c>
      <c r="C553" t="s">
        <v>94</v>
      </c>
      <c r="D553" t="s">
        <v>62</v>
      </c>
      <c r="E553" t="s">
        <v>615</v>
      </c>
      <c r="F553" t="s">
        <v>4137</v>
      </c>
      <c r="G553" t="s">
        <v>4138</v>
      </c>
      <c r="H553" t="s">
        <v>4139</v>
      </c>
    </row>
    <row r="554" spans="1:8" x14ac:dyDescent="0.25">
      <c r="A554">
        <v>1517026</v>
      </c>
      <c r="B554" t="s">
        <v>3636</v>
      </c>
      <c r="C554" t="s">
        <v>94</v>
      </c>
      <c r="D554" t="s">
        <v>62</v>
      </c>
      <c r="E554" t="s">
        <v>615</v>
      </c>
      <c r="F554" t="s">
        <v>4140</v>
      </c>
      <c r="G554" t="s">
        <v>4141</v>
      </c>
      <c r="H554" t="s">
        <v>4142</v>
      </c>
    </row>
    <row r="555" spans="1:8" x14ac:dyDescent="0.25">
      <c r="A555">
        <v>1517028</v>
      </c>
      <c r="B555" t="s">
        <v>3636</v>
      </c>
      <c r="C555" t="s">
        <v>94</v>
      </c>
      <c r="D555" t="s">
        <v>62</v>
      </c>
      <c r="E555" t="s">
        <v>615</v>
      </c>
      <c r="F555" t="s">
        <v>4143</v>
      </c>
      <c r="G555" t="s">
        <v>4144</v>
      </c>
      <c r="H555" t="s">
        <v>4145</v>
      </c>
    </row>
    <row r="556" spans="1:8" x14ac:dyDescent="0.25">
      <c r="A556">
        <v>1518353</v>
      </c>
      <c r="B556" t="s">
        <v>3636</v>
      </c>
      <c r="C556" t="s">
        <v>32</v>
      </c>
      <c r="D556" t="s">
        <v>43</v>
      </c>
      <c r="E556" t="s">
        <v>576</v>
      </c>
      <c r="F556" t="s">
        <v>952</v>
      </c>
      <c r="G556" t="s">
        <v>950</v>
      </c>
      <c r="H556" t="s">
        <v>4146</v>
      </c>
    </row>
    <row r="557" spans="1:8" x14ac:dyDescent="0.25">
      <c r="A557">
        <v>1518572</v>
      </c>
      <c r="B557" t="s">
        <v>3636</v>
      </c>
      <c r="C557" t="s">
        <v>32</v>
      </c>
      <c r="D557" t="s">
        <v>43</v>
      </c>
      <c r="E557" t="s">
        <v>576</v>
      </c>
      <c r="F557" t="s">
        <v>965</v>
      </c>
      <c r="G557" t="s">
        <v>959</v>
      </c>
      <c r="H557" t="s">
        <v>4147</v>
      </c>
    </row>
    <row r="558" spans="1:8" x14ac:dyDescent="0.25">
      <c r="A558">
        <v>1529900</v>
      </c>
      <c r="B558" t="s">
        <v>3636</v>
      </c>
      <c r="C558" t="s">
        <v>94</v>
      </c>
      <c r="D558" t="s">
        <v>377</v>
      </c>
      <c r="E558" t="s">
        <v>2796</v>
      </c>
      <c r="F558" t="s">
        <v>4148</v>
      </c>
      <c r="G558" t="s">
        <v>4149</v>
      </c>
      <c r="H558" t="s">
        <v>4150</v>
      </c>
    </row>
    <row r="559" spans="1:8" x14ac:dyDescent="0.25">
      <c r="A559">
        <v>1530697</v>
      </c>
      <c r="B559" t="s">
        <v>3636</v>
      </c>
      <c r="C559" t="s">
        <v>3638</v>
      </c>
      <c r="D559" t="s">
        <v>20</v>
      </c>
      <c r="E559" t="s">
        <v>618</v>
      </c>
      <c r="F559" t="s">
        <v>4151</v>
      </c>
      <c r="G559" t="s">
        <v>714</v>
      </c>
      <c r="H559" t="s">
        <v>4152</v>
      </c>
    </row>
    <row r="560" spans="1:8" x14ac:dyDescent="0.25">
      <c r="A560">
        <v>1530698</v>
      </c>
      <c r="B560" t="s">
        <v>3636</v>
      </c>
      <c r="C560" t="s">
        <v>3638</v>
      </c>
      <c r="D560" t="s">
        <v>20</v>
      </c>
      <c r="E560" t="s">
        <v>618</v>
      </c>
      <c r="F560" t="s">
        <v>4153</v>
      </c>
      <c r="G560" t="s">
        <v>4154</v>
      </c>
      <c r="H560" t="s">
        <v>4155</v>
      </c>
    </row>
    <row r="561" spans="1:8" x14ac:dyDescent="0.25">
      <c r="A561">
        <v>1531506</v>
      </c>
      <c r="B561" t="s">
        <v>3636</v>
      </c>
      <c r="C561" t="s">
        <v>34</v>
      </c>
      <c r="D561" t="s">
        <v>68</v>
      </c>
      <c r="E561" t="s">
        <v>55</v>
      </c>
      <c r="F561" t="s">
        <v>4156</v>
      </c>
      <c r="G561" t="s">
        <v>4157</v>
      </c>
      <c r="H561" t="s">
        <v>4158</v>
      </c>
    </row>
    <row r="562" spans="1:8" x14ac:dyDescent="0.25">
      <c r="A562">
        <v>1531510</v>
      </c>
      <c r="B562" t="s">
        <v>3636</v>
      </c>
      <c r="C562" t="s">
        <v>94</v>
      </c>
      <c r="D562" t="s">
        <v>95</v>
      </c>
      <c r="E562" t="s">
        <v>96</v>
      </c>
      <c r="F562" t="s">
        <v>4159</v>
      </c>
      <c r="G562" t="s">
        <v>4160</v>
      </c>
      <c r="H562" t="s">
        <v>4161</v>
      </c>
    </row>
    <row r="563" spans="1:8" x14ac:dyDescent="0.25">
      <c r="A563">
        <v>1531605</v>
      </c>
      <c r="B563" t="s">
        <v>3636</v>
      </c>
      <c r="C563" t="s">
        <v>4162</v>
      </c>
      <c r="D563" t="s">
        <v>90</v>
      </c>
      <c r="E563" t="s">
        <v>55</v>
      </c>
      <c r="F563" t="s">
        <v>4163</v>
      </c>
      <c r="G563" t="s">
        <v>4164</v>
      </c>
      <c r="H563" t="s">
        <v>4165</v>
      </c>
    </row>
    <row r="564" spans="1:8" x14ac:dyDescent="0.25">
      <c r="A564">
        <v>1531615</v>
      </c>
      <c r="B564" t="s">
        <v>3636</v>
      </c>
      <c r="C564" t="s">
        <v>32</v>
      </c>
      <c r="D564" t="s">
        <v>90</v>
      </c>
      <c r="E564" t="s">
        <v>55</v>
      </c>
      <c r="F564" t="s">
        <v>4166</v>
      </c>
      <c r="G564" t="s">
        <v>4167</v>
      </c>
      <c r="H564" t="s">
        <v>4168</v>
      </c>
    </row>
    <row r="565" spans="1:8" x14ac:dyDescent="0.25">
      <c r="A565">
        <v>1531920</v>
      </c>
      <c r="B565" t="s">
        <v>3636</v>
      </c>
      <c r="C565" t="s">
        <v>94</v>
      </c>
      <c r="D565" t="s">
        <v>72</v>
      </c>
      <c r="E565" t="s">
        <v>73</v>
      </c>
      <c r="F565" t="s">
        <v>1355</v>
      </c>
      <c r="G565" t="s">
        <v>4169</v>
      </c>
      <c r="H565" t="s">
        <v>4170</v>
      </c>
    </row>
    <row r="566" spans="1:8" x14ac:dyDescent="0.25">
      <c r="A566">
        <v>1534599</v>
      </c>
      <c r="B566" t="s">
        <v>3636</v>
      </c>
      <c r="C566" t="s">
        <v>32</v>
      </c>
      <c r="D566" t="s">
        <v>78</v>
      </c>
      <c r="E566" t="s">
        <v>4171</v>
      </c>
      <c r="F566" t="s">
        <v>4172</v>
      </c>
      <c r="G566" t="s">
        <v>4173</v>
      </c>
      <c r="H566" t="s">
        <v>4174</v>
      </c>
    </row>
    <row r="567" spans="1:8" x14ac:dyDescent="0.25">
      <c r="A567">
        <v>1534629</v>
      </c>
      <c r="B567" t="s">
        <v>3636</v>
      </c>
      <c r="C567" t="s">
        <v>32</v>
      </c>
      <c r="D567" t="s">
        <v>78</v>
      </c>
      <c r="E567" t="s">
        <v>4171</v>
      </c>
      <c r="F567" t="s">
        <v>4175</v>
      </c>
      <c r="G567" t="s">
        <v>4176</v>
      </c>
      <c r="H567" t="s">
        <v>4177</v>
      </c>
    </row>
    <row r="568" spans="1:8" x14ac:dyDescent="0.25">
      <c r="A568">
        <v>1534630</v>
      </c>
      <c r="B568" t="s">
        <v>3636</v>
      </c>
      <c r="C568" t="s">
        <v>32</v>
      </c>
      <c r="D568" t="s">
        <v>78</v>
      </c>
      <c r="E568" t="s">
        <v>4171</v>
      </c>
      <c r="F568" t="s">
        <v>4178</v>
      </c>
      <c r="G568" t="s">
        <v>4179</v>
      </c>
      <c r="H568" t="s">
        <v>4180</v>
      </c>
    </row>
    <row r="569" spans="1:8" x14ac:dyDescent="0.25">
      <c r="A569">
        <v>1534631</v>
      </c>
      <c r="B569" t="s">
        <v>3636</v>
      </c>
      <c r="C569" t="s">
        <v>32</v>
      </c>
      <c r="D569" t="s">
        <v>78</v>
      </c>
      <c r="E569" t="s">
        <v>4171</v>
      </c>
      <c r="F569" t="s">
        <v>4181</v>
      </c>
      <c r="G569" t="s">
        <v>4182</v>
      </c>
      <c r="H569" t="s">
        <v>4183</v>
      </c>
    </row>
    <row r="570" spans="1:8" x14ac:dyDescent="0.25">
      <c r="A570">
        <v>1535602</v>
      </c>
      <c r="B570" t="s">
        <v>3636</v>
      </c>
      <c r="C570" t="s">
        <v>94</v>
      </c>
      <c r="D570" t="s">
        <v>85</v>
      </c>
      <c r="E570" t="s">
        <v>3544</v>
      </c>
      <c r="F570" t="s">
        <v>4184</v>
      </c>
      <c r="G570" t="s">
        <v>4185</v>
      </c>
      <c r="H570" t="s">
        <v>4186</v>
      </c>
    </row>
    <row r="571" spans="1:8" x14ac:dyDescent="0.25">
      <c r="A571">
        <v>1525812</v>
      </c>
      <c r="B571" t="s">
        <v>4187</v>
      </c>
      <c r="C571" t="s">
        <v>94</v>
      </c>
      <c r="D571" t="s">
        <v>389</v>
      </c>
      <c r="E571" t="s">
        <v>49</v>
      </c>
      <c r="F571" t="s">
        <v>1507</v>
      </c>
      <c r="G571" t="s">
        <v>4188</v>
      </c>
      <c r="H571" t="s">
        <v>4189</v>
      </c>
    </row>
    <row r="572" spans="1:8" x14ac:dyDescent="0.25">
      <c r="A572">
        <v>1381744</v>
      </c>
      <c r="B572" t="s">
        <v>4190</v>
      </c>
      <c r="C572" t="s">
        <v>100</v>
      </c>
      <c r="D572" t="s">
        <v>51</v>
      </c>
      <c r="E572" t="s">
        <v>52</v>
      </c>
      <c r="F572" t="s">
        <v>2505</v>
      </c>
      <c r="G572" t="s">
        <v>1525</v>
      </c>
      <c r="H572" t="s">
        <v>4191</v>
      </c>
    </row>
    <row r="573" spans="1:8" x14ac:dyDescent="0.25">
      <c r="A573">
        <v>1391578</v>
      </c>
      <c r="B573" t="s">
        <v>4190</v>
      </c>
      <c r="C573" t="s">
        <v>100</v>
      </c>
      <c r="D573" t="s">
        <v>319</v>
      </c>
      <c r="E573" t="s">
        <v>49</v>
      </c>
      <c r="F573" t="s">
        <v>2472</v>
      </c>
      <c r="G573" t="s">
        <v>2487</v>
      </c>
      <c r="H573" t="s">
        <v>4192</v>
      </c>
    </row>
    <row r="574" spans="1:8" x14ac:dyDescent="0.25">
      <c r="A574">
        <v>1391797</v>
      </c>
      <c r="B574" t="s">
        <v>4190</v>
      </c>
      <c r="C574" t="s">
        <v>100</v>
      </c>
      <c r="D574" t="s">
        <v>332</v>
      </c>
      <c r="E574" t="s">
        <v>333</v>
      </c>
      <c r="F574" t="s">
        <v>4193</v>
      </c>
      <c r="G574" t="s">
        <v>4194</v>
      </c>
      <c r="H574" t="s">
        <v>4195</v>
      </c>
    </row>
    <row r="575" spans="1:8" x14ac:dyDescent="0.25">
      <c r="A575">
        <v>1397878</v>
      </c>
      <c r="B575" t="s">
        <v>4190</v>
      </c>
      <c r="C575" t="s">
        <v>100</v>
      </c>
      <c r="D575" t="s">
        <v>332</v>
      </c>
      <c r="E575" t="s">
        <v>4196</v>
      </c>
      <c r="F575" t="s">
        <v>4197</v>
      </c>
      <c r="G575" t="s">
        <v>4198</v>
      </c>
      <c r="H575" t="s">
        <v>4199</v>
      </c>
    </row>
    <row r="576" spans="1:8" x14ac:dyDescent="0.25">
      <c r="A576">
        <v>1399201</v>
      </c>
      <c r="B576" t="s">
        <v>4190</v>
      </c>
      <c r="C576" t="s">
        <v>100</v>
      </c>
      <c r="D576" t="s">
        <v>58</v>
      </c>
      <c r="E576" t="s">
        <v>4200</v>
      </c>
      <c r="F576" t="s">
        <v>4201</v>
      </c>
      <c r="G576" t="s">
        <v>4202</v>
      </c>
      <c r="H576" t="s">
        <v>4203</v>
      </c>
    </row>
    <row r="577" spans="1:8" x14ac:dyDescent="0.25">
      <c r="A577">
        <v>1399202</v>
      </c>
      <c r="B577" t="s">
        <v>4190</v>
      </c>
      <c r="C577" t="s">
        <v>100</v>
      </c>
      <c r="D577" t="s">
        <v>58</v>
      </c>
      <c r="E577" t="s">
        <v>4200</v>
      </c>
      <c r="F577" t="s">
        <v>4204</v>
      </c>
      <c r="G577" t="s">
        <v>4205</v>
      </c>
      <c r="H577" t="s">
        <v>4206</v>
      </c>
    </row>
    <row r="578" spans="1:8" x14ac:dyDescent="0.25">
      <c r="A578">
        <v>1399204</v>
      </c>
      <c r="B578" t="s">
        <v>4190</v>
      </c>
      <c r="C578" t="s">
        <v>100</v>
      </c>
      <c r="D578" t="s">
        <v>58</v>
      </c>
      <c r="E578" t="s">
        <v>4200</v>
      </c>
      <c r="F578" t="s">
        <v>4207</v>
      </c>
      <c r="G578" t="s">
        <v>4208</v>
      </c>
      <c r="H578" t="s">
        <v>4209</v>
      </c>
    </row>
    <row r="579" spans="1:8" x14ac:dyDescent="0.25">
      <c r="A579">
        <v>1399205</v>
      </c>
      <c r="B579" t="s">
        <v>4190</v>
      </c>
      <c r="C579" t="s">
        <v>100</v>
      </c>
      <c r="D579" t="s">
        <v>58</v>
      </c>
      <c r="E579" t="s">
        <v>4200</v>
      </c>
      <c r="F579" t="s">
        <v>4210</v>
      </c>
      <c r="G579" t="s">
        <v>4211</v>
      </c>
      <c r="H579" t="s">
        <v>4212</v>
      </c>
    </row>
    <row r="580" spans="1:8" x14ac:dyDescent="0.25">
      <c r="A580">
        <v>1399209</v>
      </c>
      <c r="B580" t="s">
        <v>4190</v>
      </c>
      <c r="C580" t="s">
        <v>100</v>
      </c>
      <c r="D580" t="s">
        <v>58</v>
      </c>
      <c r="E580" t="s">
        <v>4200</v>
      </c>
      <c r="F580" t="s">
        <v>4213</v>
      </c>
      <c r="G580" t="s">
        <v>4214</v>
      </c>
      <c r="H580" t="s">
        <v>4215</v>
      </c>
    </row>
    <row r="581" spans="1:8" x14ac:dyDescent="0.25">
      <c r="A581">
        <v>1406286</v>
      </c>
      <c r="B581" t="s">
        <v>4190</v>
      </c>
      <c r="C581" t="s">
        <v>32</v>
      </c>
      <c r="D581" t="s">
        <v>43</v>
      </c>
      <c r="E581" t="s">
        <v>393</v>
      </c>
      <c r="F581" t="s">
        <v>4216</v>
      </c>
      <c r="G581" t="s">
        <v>4217</v>
      </c>
      <c r="H581" t="s">
        <v>4218</v>
      </c>
    </row>
    <row r="582" spans="1:8" x14ac:dyDescent="0.25">
      <c r="A582">
        <v>1406290</v>
      </c>
      <c r="B582" t="s">
        <v>4190</v>
      </c>
      <c r="C582" t="s">
        <v>100</v>
      </c>
      <c r="D582" t="s">
        <v>43</v>
      </c>
      <c r="E582" t="s">
        <v>393</v>
      </c>
      <c r="F582" t="s">
        <v>4219</v>
      </c>
      <c r="G582" t="s">
        <v>4220</v>
      </c>
      <c r="H582" t="s">
        <v>4221</v>
      </c>
    </row>
    <row r="583" spans="1:8" x14ac:dyDescent="0.25">
      <c r="A583">
        <v>1418051</v>
      </c>
      <c r="B583" t="s">
        <v>4190</v>
      </c>
      <c r="C583" t="s">
        <v>100</v>
      </c>
      <c r="D583" t="s">
        <v>332</v>
      </c>
      <c r="E583" t="s">
        <v>4222</v>
      </c>
      <c r="F583" t="s">
        <v>4223</v>
      </c>
      <c r="G583" t="s">
        <v>4224</v>
      </c>
      <c r="H583" t="s">
        <v>4225</v>
      </c>
    </row>
    <row r="584" spans="1:8" x14ac:dyDescent="0.25">
      <c r="A584">
        <v>1429642</v>
      </c>
      <c r="B584" t="s">
        <v>4190</v>
      </c>
      <c r="C584" t="s">
        <v>100</v>
      </c>
      <c r="D584" t="s">
        <v>37</v>
      </c>
      <c r="E584" t="s">
        <v>238</v>
      </c>
      <c r="F584" t="s">
        <v>4226</v>
      </c>
      <c r="G584" t="s">
        <v>4227</v>
      </c>
      <c r="H584" t="s">
        <v>4228</v>
      </c>
    </row>
    <row r="585" spans="1:8" x14ac:dyDescent="0.25">
      <c r="A585">
        <v>1429643</v>
      </c>
      <c r="B585" t="s">
        <v>4190</v>
      </c>
      <c r="C585" t="s">
        <v>100</v>
      </c>
      <c r="D585" t="s">
        <v>37</v>
      </c>
      <c r="E585" t="s">
        <v>238</v>
      </c>
      <c r="F585" t="s">
        <v>4229</v>
      </c>
      <c r="G585" t="s">
        <v>4230</v>
      </c>
      <c r="H585" t="s">
        <v>4231</v>
      </c>
    </row>
    <row r="586" spans="1:8" x14ac:dyDescent="0.25">
      <c r="A586">
        <v>1438079</v>
      </c>
      <c r="B586" t="s">
        <v>4190</v>
      </c>
      <c r="C586" t="s">
        <v>32</v>
      </c>
      <c r="D586" t="s">
        <v>58</v>
      </c>
      <c r="E586" t="s">
        <v>621</v>
      </c>
      <c r="F586" t="s">
        <v>4232</v>
      </c>
      <c r="G586" t="s">
        <v>4233</v>
      </c>
      <c r="H586" t="s">
        <v>4234</v>
      </c>
    </row>
    <row r="587" spans="1:8" x14ac:dyDescent="0.25">
      <c r="A587">
        <v>1438080</v>
      </c>
      <c r="B587" t="s">
        <v>4190</v>
      </c>
      <c r="C587" t="s">
        <v>32</v>
      </c>
      <c r="D587" t="s">
        <v>58</v>
      </c>
      <c r="E587" t="s">
        <v>621</v>
      </c>
      <c r="F587" t="s">
        <v>4235</v>
      </c>
      <c r="G587" t="s">
        <v>4236</v>
      </c>
      <c r="H587" t="s">
        <v>4237</v>
      </c>
    </row>
    <row r="588" spans="1:8" x14ac:dyDescent="0.25">
      <c r="A588">
        <v>1438081</v>
      </c>
      <c r="B588" t="s">
        <v>4190</v>
      </c>
      <c r="C588" t="s">
        <v>32</v>
      </c>
      <c r="D588" t="s">
        <v>58</v>
      </c>
      <c r="E588" t="s">
        <v>621</v>
      </c>
      <c r="F588" t="s">
        <v>4238</v>
      </c>
      <c r="G588" t="s">
        <v>4239</v>
      </c>
      <c r="H588" t="s">
        <v>4240</v>
      </c>
    </row>
    <row r="589" spans="1:8" x14ac:dyDescent="0.25">
      <c r="A589">
        <v>1438082</v>
      </c>
      <c r="B589" t="s">
        <v>4190</v>
      </c>
      <c r="C589" t="s">
        <v>32</v>
      </c>
      <c r="D589" t="s">
        <v>58</v>
      </c>
      <c r="E589" t="s">
        <v>621</v>
      </c>
      <c r="F589" t="s">
        <v>4241</v>
      </c>
      <c r="G589" t="s">
        <v>4242</v>
      </c>
      <c r="H589" t="s">
        <v>4243</v>
      </c>
    </row>
    <row r="590" spans="1:8" x14ac:dyDescent="0.25">
      <c r="A590">
        <v>1438385</v>
      </c>
      <c r="B590" t="s">
        <v>4190</v>
      </c>
      <c r="C590" t="s">
        <v>32</v>
      </c>
      <c r="D590" t="s">
        <v>58</v>
      </c>
      <c r="E590" t="s">
        <v>622</v>
      </c>
      <c r="F590" t="s">
        <v>4244</v>
      </c>
      <c r="G590" t="s">
        <v>4245</v>
      </c>
      <c r="H590" t="s">
        <v>4246</v>
      </c>
    </row>
    <row r="591" spans="1:8" x14ac:dyDescent="0.25">
      <c r="A591">
        <v>1438386</v>
      </c>
      <c r="B591" t="s">
        <v>4190</v>
      </c>
      <c r="C591" t="s">
        <v>32</v>
      </c>
      <c r="D591" t="s">
        <v>58</v>
      </c>
      <c r="E591" t="s">
        <v>622</v>
      </c>
      <c r="F591" t="s">
        <v>4247</v>
      </c>
      <c r="G591" t="s">
        <v>4248</v>
      </c>
      <c r="H591" t="s">
        <v>4249</v>
      </c>
    </row>
    <row r="592" spans="1:8" x14ac:dyDescent="0.25">
      <c r="A592">
        <v>1438387</v>
      </c>
      <c r="B592" t="s">
        <v>4190</v>
      </c>
      <c r="C592" t="s">
        <v>32</v>
      </c>
      <c r="D592" t="s">
        <v>58</v>
      </c>
      <c r="E592" t="s">
        <v>622</v>
      </c>
      <c r="F592" t="s">
        <v>4250</v>
      </c>
      <c r="G592" t="s">
        <v>1549</v>
      </c>
      <c r="H592" t="s">
        <v>4251</v>
      </c>
    </row>
    <row r="593" spans="1:8" x14ac:dyDescent="0.25">
      <c r="A593">
        <v>1438388</v>
      </c>
      <c r="B593" t="s">
        <v>4190</v>
      </c>
      <c r="C593" t="s">
        <v>32</v>
      </c>
      <c r="D593" t="s">
        <v>58</v>
      </c>
      <c r="E593" t="s">
        <v>622</v>
      </c>
      <c r="F593" t="s">
        <v>4252</v>
      </c>
      <c r="G593" t="s">
        <v>4253</v>
      </c>
      <c r="H593" t="s">
        <v>4254</v>
      </c>
    </row>
    <row r="594" spans="1:8" x14ac:dyDescent="0.25">
      <c r="A594">
        <v>1439300</v>
      </c>
      <c r="B594" t="s">
        <v>4190</v>
      </c>
      <c r="C594" t="s">
        <v>100</v>
      </c>
      <c r="D594" t="s">
        <v>41</v>
      </c>
      <c r="E594" t="s">
        <v>4255</v>
      </c>
      <c r="F594" t="s">
        <v>4256</v>
      </c>
      <c r="G594" t="s">
        <v>4257</v>
      </c>
      <c r="H594" t="s">
        <v>4258</v>
      </c>
    </row>
    <row r="595" spans="1:8" x14ac:dyDescent="0.25">
      <c r="A595">
        <v>1439305</v>
      </c>
      <c r="B595" t="s">
        <v>4190</v>
      </c>
      <c r="C595" t="s">
        <v>100</v>
      </c>
      <c r="D595" t="s">
        <v>41</v>
      </c>
      <c r="E595" t="s">
        <v>4255</v>
      </c>
      <c r="F595" t="s">
        <v>4259</v>
      </c>
      <c r="G595" t="s">
        <v>4260</v>
      </c>
      <c r="H595" t="s">
        <v>4261</v>
      </c>
    </row>
    <row r="596" spans="1:8" x14ac:dyDescent="0.25">
      <c r="A596">
        <v>1439678</v>
      </c>
      <c r="B596" t="s">
        <v>4190</v>
      </c>
      <c r="C596" t="s">
        <v>100</v>
      </c>
      <c r="D596" t="s">
        <v>41</v>
      </c>
      <c r="E596" t="s">
        <v>1198</v>
      </c>
      <c r="F596" t="s">
        <v>2179</v>
      </c>
      <c r="G596" t="s">
        <v>1200</v>
      </c>
      <c r="H596" t="s">
        <v>4262</v>
      </c>
    </row>
    <row r="597" spans="1:8" x14ac:dyDescent="0.25">
      <c r="A597">
        <v>1439682</v>
      </c>
      <c r="B597" t="s">
        <v>4190</v>
      </c>
      <c r="C597" t="s">
        <v>100</v>
      </c>
      <c r="D597" t="s">
        <v>41</v>
      </c>
      <c r="E597" t="s">
        <v>1198</v>
      </c>
      <c r="F597" t="s">
        <v>1550</v>
      </c>
      <c r="G597" t="s">
        <v>2540</v>
      </c>
      <c r="H597" t="s">
        <v>4263</v>
      </c>
    </row>
    <row r="598" spans="1:8" x14ac:dyDescent="0.25">
      <c r="A598">
        <v>1439684</v>
      </c>
      <c r="B598" t="s">
        <v>4190</v>
      </c>
      <c r="C598" t="s">
        <v>100</v>
      </c>
      <c r="D598" t="s">
        <v>41</v>
      </c>
      <c r="E598" t="s">
        <v>1198</v>
      </c>
      <c r="F598" t="s">
        <v>1199</v>
      </c>
      <c r="G598" t="s">
        <v>2326</v>
      </c>
      <c r="H598" t="s">
        <v>4264</v>
      </c>
    </row>
    <row r="599" spans="1:8" x14ac:dyDescent="0.25">
      <c r="A599">
        <v>1440065</v>
      </c>
      <c r="B599" t="s">
        <v>4190</v>
      </c>
      <c r="C599" t="s">
        <v>100</v>
      </c>
      <c r="D599" t="s">
        <v>41</v>
      </c>
      <c r="E599" t="s">
        <v>1554</v>
      </c>
      <c r="F599" t="s">
        <v>2546</v>
      </c>
      <c r="G599" t="s">
        <v>2545</v>
      </c>
      <c r="H599" t="s">
        <v>4265</v>
      </c>
    </row>
    <row r="600" spans="1:8" x14ac:dyDescent="0.25">
      <c r="A600">
        <v>1441350</v>
      </c>
      <c r="B600" t="s">
        <v>4190</v>
      </c>
      <c r="C600" t="s">
        <v>100</v>
      </c>
      <c r="D600" t="s">
        <v>108</v>
      </c>
      <c r="E600" t="s">
        <v>232</v>
      </c>
      <c r="F600" t="s">
        <v>4266</v>
      </c>
      <c r="G600" t="s">
        <v>4267</v>
      </c>
      <c r="H600" t="s">
        <v>4268</v>
      </c>
    </row>
    <row r="601" spans="1:8" x14ac:dyDescent="0.25">
      <c r="A601">
        <v>1441351</v>
      </c>
      <c r="B601" t="s">
        <v>4190</v>
      </c>
      <c r="C601" t="s">
        <v>100</v>
      </c>
      <c r="D601" t="s">
        <v>108</v>
      </c>
      <c r="E601" t="s">
        <v>232</v>
      </c>
      <c r="F601" t="s">
        <v>4269</v>
      </c>
      <c r="G601" t="s">
        <v>4270</v>
      </c>
      <c r="H601" t="s">
        <v>4271</v>
      </c>
    </row>
    <row r="602" spans="1:8" x14ac:dyDescent="0.25">
      <c r="A602">
        <v>1441352</v>
      </c>
      <c r="B602" t="s">
        <v>4190</v>
      </c>
      <c r="C602" t="s">
        <v>100</v>
      </c>
      <c r="D602" t="s">
        <v>108</v>
      </c>
      <c r="E602" t="s">
        <v>232</v>
      </c>
      <c r="F602" t="s">
        <v>4272</v>
      </c>
      <c r="G602" t="s">
        <v>4273</v>
      </c>
      <c r="H602" t="s">
        <v>4274</v>
      </c>
    </row>
    <row r="603" spans="1:8" x14ac:dyDescent="0.25">
      <c r="A603">
        <v>1441353</v>
      </c>
      <c r="B603" t="s">
        <v>4190</v>
      </c>
      <c r="C603" t="s">
        <v>32</v>
      </c>
      <c r="D603" t="s">
        <v>108</v>
      </c>
      <c r="E603" t="s">
        <v>232</v>
      </c>
      <c r="F603" t="s">
        <v>4275</v>
      </c>
      <c r="G603" t="s">
        <v>4276</v>
      </c>
      <c r="H603" t="s">
        <v>4277</v>
      </c>
    </row>
    <row r="604" spans="1:8" x14ac:dyDescent="0.25">
      <c r="A604">
        <v>1441354</v>
      </c>
      <c r="B604" t="s">
        <v>4190</v>
      </c>
      <c r="C604" t="s">
        <v>32</v>
      </c>
      <c r="D604" t="s">
        <v>108</v>
      </c>
      <c r="E604" t="s">
        <v>232</v>
      </c>
      <c r="F604" t="s">
        <v>4278</v>
      </c>
      <c r="G604" t="s">
        <v>496</v>
      </c>
      <c r="H604" t="s">
        <v>4279</v>
      </c>
    </row>
    <row r="605" spans="1:8" x14ac:dyDescent="0.25">
      <c r="A605">
        <v>1445216</v>
      </c>
      <c r="B605" t="s">
        <v>4190</v>
      </c>
      <c r="C605" t="s">
        <v>32</v>
      </c>
      <c r="D605" t="s">
        <v>63</v>
      </c>
      <c r="E605" t="s">
        <v>623</v>
      </c>
      <c r="F605" t="s">
        <v>4280</v>
      </c>
      <c r="G605" t="s">
        <v>4281</v>
      </c>
      <c r="H605" t="s">
        <v>4282</v>
      </c>
    </row>
    <row r="606" spans="1:8" x14ac:dyDescent="0.25">
      <c r="A606">
        <v>1445217</v>
      </c>
      <c r="B606" t="s">
        <v>4190</v>
      </c>
      <c r="C606" t="s">
        <v>32</v>
      </c>
      <c r="D606" t="s">
        <v>63</v>
      </c>
      <c r="E606" t="s">
        <v>623</v>
      </c>
      <c r="F606" t="s">
        <v>1561</v>
      </c>
      <c r="G606" t="s">
        <v>4283</v>
      </c>
      <c r="H606" t="s">
        <v>4284</v>
      </c>
    </row>
    <row r="607" spans="1:8" x14ac:dyDescent="0.25">
      <c r="A607">
        <v>1445218</v>
      </c>
      <c r="B607" t="s">
        <v>4190</v>
      </c>
      <c r="C607" t="s">
        <v>100</v>
      </c>
      <c r="D607" t="s">
        <v>63</v>
      </c>
      <c r="E607" t="s">
        <v>623</v>
      </c>
      <c r="F607" t="s">
        <v>4285</v>
      </c>
      <c r="G607" t="s">
        <v>4286</v>
      </c>
      <c r="H607" t="s">
        <v>4287</v>
      </c>
    </row>
    <row r="608" spans="1:8" x14ac:dyDescent="0.25">
      <c r="A608">
        <v>1445219</v>
      </c>
      <c r="B608" t="s">
        <v>4190</v>
      </c>
      <c r="C608" t="s">
        <v>32</v>
      </c>
      <c r="D608" t="s">
        <v>63</v>
      </c>
      <c r="E608" t="s">
        <v>623</v>
      </c>
      <c r="F608" t="s">
        <v>4288</v>
      </c>
      <c r="G608" t="s">
        <v>1562</v>
      </c>
      <c r="H608" t="s">
        <v>4289</v>
      </c>
    </row>
    <row r="609" spans="1:8" x14ac:dyDescent="0.25">
      <c r="A609">
        <v>1445220</v>
      </c>
      <c r="B609" t="s">
        <v>4190</v>
      </c>
      <c r="C609" t="s">
        <v>100</v>
      </c>
      <c r="D609" t="s">
        <v>63</v>
      </c>
      <c r="E609" t="s">
        <v>623</v>
      </c>
      <c r="F609" t="s">
        <v>4290</v>
      </c>
      <c r="G609" t="s">
        <v>4291</v>
      </c>
      <c r="H609" t="s">
        <v>4292</v>
      </c>
    </row>
    <row r="610" spans="1:8" x14ac:dyDescent="0.25">
      <c r="A610">
        <v>1445221</v>
      </c>
      <c r="B610" t="s">
        <v>4190</v>
      </c>
      <c r="C610" t="s">
        <v>32</v>
      </c>
      <c r="D610" t="s">
        <v>63</v>
      </c>
      <c r="E610" t="s">
        <v>623</v>
      </c>
      <c r="F610" t="s">
        <v>4293</v>
      </c>
      <c r="G610" t="s">
        <v>4294</v>
      </c>
      <c r="H610" t="s">
        <v>4295</v>
      </c>
    </row>
    <row r="611" spans="1:8" x14ac:dyDescent="0.25">
      <c r="A611">
        <v>1446099</v>
      </c>
      <c r="B611" t="s">
        <v>4190</v>
      </c>
      <c r="C611" t="s">
        <v>32</v>
      </c>
      <c r="D611" t="s">
        <v>108</v>
      </c>
      <c r="E611" t="s">
        <v>232</v>
      </c>
      <c r="F611" t="s">
        <v>4296</v>
      </c>
      <c r="G611" t="s">
        <v>4297</v>
      </c>
      <c r="H611" t="s">
        <v>4298</v>
      </c>
    </row>
    <row r="612" spans="1:8" x14ac:dyDescent="0.25">
      <c r="A612">
        <v>1446100</v>
      </c>
      <c r="B612" t="s">
        <v>4190</v>
      </c>
      <c r="C612" t="s">
        <v>32</v>
      </c>
      <c r="D612" t="s">
        <v>108</v>
      </c>
      <c r="E612" t="s">
        <v>232</v>
      </c>
      <c r="F612" t="s">
        <v>4299</v>
      </c>
      <c r="G612" t="s">
        <v>4300</v>
      </c>
      <c r="H612" t="s">
        <v>4301</v>
      </c>
    </row>
    <row r="613" spans="1:8" x14ac:dyDescent="0.25">
      <c r="A613">
        <v>1446377</v>
      </c>
      <c r="B613" t="s">
        <v>4190</v>
      </c>
      <c r="C613" t="s">
        <v>32</v>
      </c>
      <c r="D613" t="s">
        <v>37</v>
      </c>
      <c r="E613" t="s">
        <v>617</v>
      </c>
      <c r="F613" t="s">
        <v>4302</v>
      </c>
      <c r="G613" t="s">
        <v>1564</v>
      </c>
      <c r="H613" t="s">
        <v>4303</v>
      </c>
    </row>
    <row r="614" spans="1:8" x14ac:dyDescent="0.25">
      <c r="A614">
        <v>1446378</v>
      </c>
      <c r="B614" t="s">
        <v>4190</v>
      </c>
      <c r="C614" t="s">
        <v>32</v>
      </c>
      <c r="D614" t="s">
        <v>37</v>
      </c>
      <c r="E614" t="s">
        <v>617</v>
      </c>
      <c r="F614" t="s">
        <v>1563</v>
      </c>
      <c r="G614" t="s">
        <v>4304</v>
      </c>
      <c r="H614" t="s">
        <v>4305</v>
      </c>
    </row>
    <row r="615" spans="1:8" x14ac:dyDescent="0.25">
      <c r="A615">
        <v>1446455</v>
      </c>
      <c r="B615" t="s">
        <v>4190</v>
      </c>
      <c r="C615" t="s">
        <v>100</v>
      </c>
      <c r="D615" t="s">
        <v>37</v>
      </c>
      <c r="E615" t="s">
        <v>617</v>
      </c>
      <c r="F615" t="s">
        <v>4306</v>
      </c>
      <c r="G615" t="s">
        <v>4307</v>
      </c>
      <c r="H615" t="s">
        <v>4308</v>
      </c>
    </row>
    <row r="616" spans="1:8" x14ac:dyDescent="0.25">
      <c r="A616">
        <v>1449497</v>
      </c>
      <c r="B616" t="s">
        <v>4190</v>
      </c>
      <c r="C616" t="s">
        <v>32</v>
      </c>
      <c r="D616" t="s">
        <v>64</v>
      </c>
      <c r="E616" t="s">
        <v>3448</v>
      </c>
      <c r="F616" t="s">
        <v>4309</v>
      </c>
      <c r="G616" t="s">
        <v>4310</v>
      </c>
      <c r="H616" t="s">
        <v>4311</v>
      </c>
    </row>
    <row r="617" spans="1:8" x14ac:dyDescent="0.25">
      <c r="A617">
        <v>1449498</v>
      </c>
      <c r="B617" t="s">
        <v>4190</v>
      </c>
      <c r="C617" t="s">
        <v>100</v>
      </c>
      <c r="D617" t="s">
        <v>64</v>
      </c>
      <c r="E617" t="s">
        <v>3448</v>
      </c>
      <c r="F617" t="s">
        <v>4312</v>
      </c>
      <c r="G617" t="s">
        <v>4313</v>
      </c>
      <c r="H617" t="s">
        <v>4314</v>
      </c>
    </row>
    <row r="618" spans="1:8" x14ac:dyDescent="0.25">
      <c r="A618">
        <v>1449502</v>
      </c>
      <c r="B618" t="s">
        <v>4190</v>
      </c>
      <c r="C618" t="s">
        <v>32</v>
      </c>
      <c r="D618" t="s">
        <v>64</v>
      </c>
      <c r="E618" t="s">
        <v>3448</v>
      </c>
      <c r="F618" t="s">
        <v>4315</v>
      </c>
      <c r="G618" t="s">
        <v>4316</v>
      </c>
      <c r="H618" t="s">
        <v>4317</v>
      </c>
    </row>
    <row r="619" spans="1:8" x14ac:dyDescent="0.25">
      <c r="A619">
        <v>1449503</v>
      </c>
      <c r="B619" t="s">
        <v>4190</v>
      </c>
      <c r="C619" t="s">
        <v>100</v>
      </c>
      <c r="D619" t="s">
        <v>64</v>
      </c>
      <c r="E619" t="s">
        <v>3448</v>
      </c>
      <c r="F619" t="s">
        <v>4318</v>
      </c>
      <c r="G619" t="s">
        <v>4319</v>
      </c>
      <c r="H619" t="s">
        <v>4320</v>
      </c>
    </row>
    <row r="620" spans="1:8" x14ac:dyDescent="0.25">
      <c r="A620">
        <v>1451870</v>
      </c>
      <c r="B620" t="s">
        <v>4190</v>
      </c>
      <c r="C620" t="s">
        <v>100</v>
      </c>
      <c r="D620" t="s">
        <v>44</v>
      </c>
      <c r="E620" t="s">
        <v>232</v>
      </c>
      <c r="F620" t="s">
        <v>4321</v>
      </c>
      <c r="G620" t="s">
        <v>2479</v>
      </c>
      <c r="H620" t="s">
        <v>4322</v>
      </c>
    </row>
    <row r="621" spans="1:8" x14ac:dyDescent="0.25">
      <c r="A621">
        <v>1451871</v>
      </c>
      <c r="B621" t="s">
        <v>4190</v>
      </c>
      <c r="C621" t="s">
        <v>100</v>
      </c>
      <c r="D621" t="s">
        <v>44</v>
      </c>
      <c r="E621" t="s">
        <v>232</v>
      </c>
      <c r="F621" t="s">
        <v>4323</v>
      </c>
      <c r="G621" t="s">
        <v>1569</v>
      </c>
      <c r="H621" t="s">
        <v>4324</v>
      </c>
    </row>
    <row r="622" spans="1:8" x14ac:dyDescent="0.25">
      <c r="A622">
        <v>1451873</v>
      </c>
      <c r="B622" t="s">
        <v>4190</v>
      </c>
      <c r="C622" t="s">
        <v>100</v>
      </c>
      <c r="D622" t="s">
        <v>44</v>
      </c>
      <c r="E622" t="s">
        <v>232</v>
      </c>
      <c r="F622" t="s">
        <v>4325</v>
      </c>
      <c r="G622" t="s">
        <v>4326</v>
      </c>
      <c r="H622" t="s">
        <v>4327</v>
      </c>
    </row>
    <row r="623" spans="1:8" x14ac:dyDescent="0.25">
      <c r="A623">
        <v>1451874</v>
      </c>
      <c r="B623" t="s">
        <v>4190</v>
      </c>
      <c r="C623" t="s">
        <v>100</v>
      </c>
      <c r="D623" t="s">
        <v>44</v>
      </c>
      <c r="E623" t="s">
        <v>232</v>
      </c>
      <c r="F623" t="s">
        <v>4328</v>
      </c>
      <c r="G623" t="s">
        <v>4329</v>
      </c>
      <c r="H623" t="s">
        <v>4330</v>
      </c>
    </row>
    <row r="624" spans="1:8" x14ac:dyDescent="0.25">
      <c r="A624">
        <v>1451875</v>
      </c>
      <c r="B624" t="s">
        <v>4190</v>
      </c>
      <c r="C624" t="s">
        <v>100</v>
      </c>
      <c r="D624" t="s">
        <v>44</v>
      </c>
      <c r="E624" t="s">
        <v>232</v>
      </c>
      <c r="F624" t="s">
        <v>4331</v>
      </c>
      <c r="G624" t="s">
        <v>4332</v>
      </c>
      <c r="H624" t="s">
        <v>4333</v>
      </c>
    </row>
    <row r="625" spans="1:8" x14ac:dyDescent="0.25">
      <c r="A625">
        <v>1451876</v>
      </c>
      <c r="B625" t="s">
        <v>4190</v>
      </c>
      <c r="C625" t="s">
        <v>32</v>
      </c>
      <c r="D625" t="s">
        <v>44</v>
      </c>
      <c r="E625" t="s">
        <v>232</v>
      </c>
      <c r="F625" t="s">
        <v>455</v>
      </c>
      <c r="G625" t="s">
        <v>4334</v>
      </c>
      <c r="H625" t="s">
        <v>4335</v>
      </c>
    </row>
    <row r="626" spans="1:8" x14ac:dyDescent="0.25">
      <c r="A626">
        <v>1451877</v>
      </c>
      <c r="B626" t="s">
        <v>4190</v>
      </c>
      <c r="C626" t="s">
        <v>100</v>
      </c>
      <c r="D626" t="s">
        <v>44</v>
      </c>
      <c r="E626" t="s">
        <v>232</v>
      </c>
      <c r="F626" t="s">
        <v>4336</v>
      </c>
      <c r="G626" t="s">
        <v>4337</v>
      </c>
      <c r="H626" t="s">
        <v>4338</v>
      </c>
    </row>
    <row r="627" spans="1:8" x14ac:dyDescent="0.25">
      <c r="A627">
        <v>1454242</v>
      </c>
      <c r="B627" t="s">
        <v>4190</v>
      </c>
      <c r="C627" t="s">
        <v>100</v>
      </c>
      <c r="D627" t="s">
        <v>41</v>
      </c>
      <c r="E627" t="s">
        <v>4339</v>
      </c>
      <c r="F627" t="s">
        <v>4340</v>
      </c>
      <c r="G627" t="s">
        <v>4341</v>
      </c>
      <c r="H627" t="s">
        <v>4342</v>
      </c>
    </row>
    <row r="628" spans="1:8" x14ac:dyDescent="0.25">
      <c r="A628">
        <v>1456367</v>
      </c>
      <c r="B628" t="s">
        <v>4190</v>
      </c>
      <c r="C628" t="s">
        <v>100</v>
      </c>
      <c r="D628" t="s">
        <v>41</v>
      </c>
      <c r="E628" t="s">
        <v>4343</v>
      </c>
      <c r="F628" t="s">
        <v>4344</v>
      </c>
      <c r="G628" t="s">
        <v>4345</v>
      </c>
      <c r="H628" t="s">
        <v>4346</v>
      </c>
    </row>
    <row r="629" spans="1:8" x14ac:dyDescent="0.25">
      <c r="A629">
        <v>1467982</v>
      </c>
      <c r="B629" t="s">
        <v>4190</v>
      </c>
      <c r="C629" t="s">
        <v>100</v>
      </c>
      <c r="D629" t="s">
        <v>41</v>
      </c>
      <c r="E629" t="s">
        <v>382</v>
      </c>
      <c r="F629" t="s">
        <v>4347</v>
      </c>
      <c r="G629" t="s">
        <v>4348</v>
      </c>
      <c r="H629" t="s">
        <v>4349</v>
      </c>
    </row>
    <row r="630" spans="1:8" x14ac:dyDescent="0.25">
      <c r="A630">
        <v>1467984</v>
      </c>
      <c r="B630" t="s">
        <v>4190</v>
      </c>
      <c r="C630" t="s">
        <v>100</v>
      </c>
      <c r="D630" t="s">
        <v>41</v>
      </c>
      <c r="E630" t="s">
        <v>382</v>
      </c>
      <c r="F630" t="s">
        <v>4350</v>
      </c>
      <c r="G630" t="s">
        <v>4351</v>
      </c>
      <c r="H630" t="s">
        <v>4352</v>
      </c>
    </row>
    <row r="631" spans="1:8" x14ac:dyDescent="0.25">
      <c r="A631">
        <v>1467987</v>
      </c>
      <c r="B631" t="s">
        <v>4190</v>
      </c>
      <c r="C631" t="s">
        <v>100</v>
      </c>
      <c r="D631" t="s">
        <v>41</v>
      </c>
      <c r="E631" t="s">
        <v>382</v>
      </c>
      <c r="F631" t="s">
        <v>4353</v>
      </c>
      <c r="G631" t="s">
        <v>4354</v>
      </c>
      <c r="H631" t="s">
        <v>4355</v>
      </c>
    </row>
    <row r="632" spans="1:8" x14ac:dyDescent="0.25">
      <c r="A632">
        <v>1467989</v>
      </c>
      <c r="B632" t="s">
        <v>4190</v>
      </c>
      <c r="C632" t="s">
        <v>100</v>
      </c>
      <c r="D632" t="s">
        <v>41</v>
      </c>
      <c r="E632" t="s">
        <v>382</v>
      </c>
      <c r="F632" t="s">
        <v>4356</v>
      </c>
      <c r="G632" t="s">
        <v>4357</v>
      </c>
      <c r="H632" t="s">
        <v>4358</v>
      </c>
    </row>
    <row r="633" spans="1:8" x14ac:dyDescent="0.25">
      <c r="A633">
        <v>1467992</v>
      </c>
      <c r="B633" t="s">
        <v>4190</v>
      </c>
      <c r="C633" t="s">
        <v>100</v>
      </c>
      <c r="D633" t="s">
        <v>41</v>
      </c>
      <c r="E633" t="s">
        <v>382</v>
      </c>
      <c r="F633" t="s">
        <v>4359</v>
      </c>
      <c r="G633" t="s">
        <v>4360</v>
      </c>
      <c r="H633" t="s">
        <v>4361</v>
      </c>
    </row>
    <row r="634" spans="1:8" x14ac:dyDescent="0.25">
      <c r="A634">
        <v>1468898</v>
      </c>
      <c r="B634" t="s">
        <v>4190</v>
      </c>
      <c r="C634" t="s">
        <v>100</v>
      </c>
      <c r="D634" t="s">
        <v>41</v>
      </c>
      <c r="E634" t="s">
        <v>382</v>
      </c>
      <c r="F634" t="s">
        <v>4362</v>
      </c>
      <c r="G634" t="s">
        <v>1570</v>
      </c>
      <c r="H634" t="s">
        <v>4363</v>
      </c>
    </row>
    <row r="635" spans="1:8" x14ac:dyDescent="0.25">
      <c r="A635">
        <v>1472585</v>
      </c>
      <c r="B635" t="s">
        <v>4190</v>
      </c>
      <c r="C635" t="s">
        <v>32</v>
      </c>
      <c r="D635" t="s">
        <v>63</v>
      </c>
      <c r="E635" t="s">
        <v>623</v>
      </c>
      <c r="F635" t="s">
        <v>4364</v>
      </c>
      <c r="G635" t="s">
        <v>4365</v>
      </c>
      <c r="H635" t="s">
        <v>4366</v>
      </c>
    </row>
    <row r="636" spans="1:8" x14ac:dyDescent="0.25">
      <c r="A636">
        <v>1472586</v>
      </c>
      <c r="B636" t="s">
        <v>4190</v>
      </c>
      <c r="C636" t="s">
        <v>32</v>
      </c>
      <c r="D636" t="s">
        <v>63</v>
      </c>
      <c r="E636" t="s">
        <v>623</v>
      </c>
      <c r="F636" t="s">
        <v>4367</v>
      </c>
      <c r="G636" t="s">
        <v>4368</v>
      </c>
      <c r="H636" t="s">
        <v>4369</v>
      </c>
    </row>
    <row r="637" spans="1:8" x14ac:dyDescent="0.25">
      <c r="A637">
        <v>1497894</v>
      </c>
      <c r="B637" t="s">
        <v>4190</v>
      </c>
      <c r="C637" t="s">
        <v>100</v>
      </c>
      <c r="D637" t="s">
        <v>608</v>
      </c>
      <c r="E637" t="s">
        <v>45</v>
      </c>
      <c r="F637" t="s">
        <v>4370</v>
      </c>
      <c r="G637" t="s">
        <v>4371</v>
      </c>
      <c r="H637" t="s">
        <v>4372</v>
      </c>
    </row>
    <row r="638" spans="1:8" x14ac:dyDescent="0.25">
      <c r="A638">
        <v>1497896</v>
      </c>
      <c r="B638" t="s">
        <v>4190</v>
      </c>
      <c r="C638" t="s">
        <v>100</v>
      </c>
      <c r="D638" t="s">
        <v>608</v>
      </c>
      <c r="E638" t="s">
        <v>45</v>
      </c>
      <c r="F638" t="s">
        <v>4373</v>
      </c>
      <c r="G638" t="s">
        <v>4374</v>
      </c>
      <c r="H638" t="s">
        <v>4375</v>
      </c>
    </row>
    <row r="639" spans="1:8" x14ac:dyDescent="0.25">
      <c r="A639">
        <v>1506572</v>
      </c>
      <c r="B639" t="s">
        <v>4190</v>
      </c>
      <c r="C639" t="s">
        <v>34</v>
      </c>
      <c r="D639" t="s">
        <v>610</v>
      </c>
      <c r="E639" t="s">
        <v>611</v>
      </c>
      <c r="F639" t="s">
        <v>4376</v>
      </c>
      <c r="G639" t="s">
        <v>4377</v>
      </c>
      <c r="H639" t="s">
        <v>4378</v>
      </c>
    </row>
    <row r="640" spans="1:8" x14ac:dyDescent="0.25">
      <c r="A640">
        <v>1508317</v>
      </c>
      <c r="B640" t="s">
        <v>4190</v>
      </c>
      <c r="C640" t="s">
        <v>32</v>
      </c>
      <c r="D640" t="s">
        <v>58</v>
      </c>
      <c r="E640" t="s">
        <v>4379</v>
      </c>
      <c r="F640" t="s">
        <v>4380</v>
      </c>
      <c r="G640" t="s">
        <v>4381</v>
      </c>
      <c r="H640" t="s">
        <v>4382</v>
      </c>
    </row>
    <row r="641" spans="1:8" x14ac:dyDescent="0.25">
      <c r="A641">
        <v>1508645</v>
      </c>
      <c r="B641" t="s">
        <v>4190</v>
      </c>
      <c r="C641" t="s">
        <v>32</v>
      </c>
      <c r="D641" t="s">
        <v>334</v>
      </c>
      <c r="E641" t="s">
        <v>549</v>
      </c>
      <c r="F641" t="s">
        <v>4383</v>
      </c>
      <c r="G641" t="s">
        <v>1600</v>
      </c>
      <c r="H641" t="s">
        <v>4384</v>
      </c>
    </row>
    <row r="642" spans="1:8" x14ac:dyDescent="0.25">
      <c r="A642">
        <v>1508646</v>
      </c>
      <c r="B642" t="s">
        <v>4190</v>
      </c>
      <c r="C642" t="s">
        <v>100</v>
      </c>
      <c r="D642" t="s">
        <v>334</v>
      </c>
      <c r="E642" t="s">
        <v>549</v>
      </c>
      <c r="F642" t="s">
        <v>4385</v>
      </c>
      <c r="G642" t="s">
        <v>1601</v>
      </c>
      <c r="H642" t="s">
        <v>4386</v>
      </c>
    </row>
    <row r="643" spans="1:8" x14ac:dyDescent="0.25">
      <c r="A643">
        <v>1508647</v>
      </c>
      <c r="B643" t="s">
        <v>4190</v>
      </c>
      <c r="C643" t="s">
        <v>100</v>
      </c>
      <c r="D643" t="s">
        <v>334</v>
      </c>
      <c r="E643" t="s">
        <v>549</v>
      </c>
      <c r="F643" t="s">
        <v>4387</v>
      </c>
      <c r="G643" t="s">
        <v>4388</v>
      </c>
      <c r="H643" t="s">
        <v>4389</v>
      </c>
    </row>
    <row r="644" spans="1:8" x14ac:dyDescent="0.25">
      <c r="A644">
        <v>1508697</v>
      </c>
      <c r="B644" t="s">
        <v>4190</v>
      </c>
      <c r="C644" t="s">
        <v>32</v>
      </c>
      <c r="D644" t="s">
        <v>334</v>
      </c>
      <c r="E644" t="s">
        <v>549</v>
      </c>
      <c r="F644" t="s">
        <v>4390</v>
      </c>
      <c r="G644" t="s">
        <v>4391</v>
      </c>
      <c r="H644" t="s">
        <v>4392</v>
      </c>
    </row>
    <row r="645" spans="1:8" x14ac:dyDescent="0.25">
      <c r="A645">
        <v>1508698</v>
      </c>
      <c r="B645" t="s">
        <v>4190</v>
      </c>
      <c r="C645" t="s">
        <v>100</v>
      </c>
      <c r="D645" t="s">
        <v>334</v>
      </c>
      <c r="E645" t="s">
        <v>549</v>
      </c>
      <c r="F645" t="s">
        <v>4393</v>
      </c>
      <c r="G645" t="s">
        <v>4394</v>
      </c>
      <c r="H645" t="s">
        <v>4395</v>
      </c>
    </row>
    <row r="646" spans="1:8" x14ac:dyDescent="0.25">
      <c r="A646">
        <v>1508699</v>
      </c>
      <c r="B646" t="s">
        <v>4190</v>
      </c>
      <c r="C646" t="s">
        <v>32</v>
      </c>
      <c r="D646" t="s">
        <v>334</v>
      </c>
      <c r="E646" t="s">
        <v>549</v>
      </c>
      <c r="F646" t="s">
        <v>4396</v>
      </c>
      <c r="G646" t="s">
        <v>4397</v>
      </c>
      <c r="H646" t="s">
        <v>4398</v>
      </c>
    </row>
    <row r="647" spans="1:8" x14ac:dyDescent="0.25">
      <c r="A647">
        <v>1508700</v>
      </c>
      <c r="B647" t="s">
        <v>4190</v>
      </c>
      <c r="C647" t="s">
        <v>100</v>
      </c>
      <c r="D647" t="s">
        <v>334</v>
      </c>
      <c r="E647" t="s">
        <v>549</v>
      </c>
      <c r="F647" t="s">
        <v>4399</v>
      </c>
      <c r="G647" t="s">
        <v>4400</v>
      </c>
      <c r="H647" t="s">
        <v>4401</v>
      </c>
    </row>
    <row r="648" spans="1:8" x14ac:dyDescent="0.25">
      <c r="A648">
        <v>1509727</v>
      </c>
      <c r="B648" t="s">
        <v>4190</v>
      </c>
      <c r="C648" t="s">
        <v>100</v>
      </c>
      <c r="D648" t="s">
        <v>58</v>
      </c>
      <c r="E648" t="s">
        <v>3303</v>
      </c>
      <c r="F648" t="s">
        <v>4402</v>
      </c>
      <c r="G648" t="s">
        <v>4403</v>
      </c>
      <c r="H648" t="s">
        <v>4404</v>
      </c>
    </row>
    <row r="649" spans="1:8" x14ac:dyDescent="0.25">
      <c r="A649">
        <v>1518816</v>
      </c>
      <c r="B649" t="s">
        <v>4190</v>
      </c>
      <c r="C649" t="s">
        <v>32</v>
      </c>
      <c r="D649" t="s">
        <v>334</v>
      </c>
      <c r="E649" t="s">
        <v>3362</v>
      </c>
      <c r="F649" t="s">
        <v>4405</v>
      </c>
      <c r="G649" t="s">
        <v>4406</v>
      </c>
      <c r="H649" t="s">
        <v>4407</v>
      </c>
    </row>
    <row r="650" spans="1:8" x14ac:dyDescent="0.25">
      <c r="A650">
        <v>1518817</v>
      </c>
      <c r="B650" t="s">
        <v>4190</v>
      </c>
      <c r="C650" t="s">
        <v>32</v>
      </c>
      <c r="D650" t="s">
        <v>334</v>
      </c>
      <c r="E650" t="s">
        <v>3362</v>
      </c>
      <c r="F650" t="s">
        <v>4408</v>
      </c>
      <c r="G650" t="s">
        <v>4409</v>
      </c>
      <c r="H650" t="s">
        <v>4410</v>
      </c>
    </row>
    <row r="651" spans="1:8" x14ac:dyDescent="0.25">
      <c r="A651">
        <v>1518818</v>
      </c>
      <c r="B651" t="s">
        <v>4190</v>
      </c>
      <c r="C651" t="s">
        <v>32</v>
      </c>
      <c r="D651" t="s">
        <v>334</v>
      </c>
      <c r="E651" t="s">
        <v>3362</v>
      </c>
      <c r="F651" t="s">
        <v>4411</v>
      </c>
      <c r="G651" t="s">
        <v>4412</v>
      </c>
      <c r="H651" t="s">
        <v>4413</v>
      </c>
    </row>
    <row r="652" spans="1:8" x14ac:dyDescent="0.25">
      <c r="A652">
        <v>1518819</v>
      </c>
      <c r="B652" t="s">
        <v>4190</v>
      </c>
      <c r="C652" t="s">
        <v>32</v>
      </c>
      <c r="D652" t="s">
        <v>334</v>
      </c>
      <c r="E652" t="s">
        <v>3362</v>
      </c>
      <c r="F652" t="s">
        <v>4414</v>
      </c>
      <c r="G652" t="s">
        <v>4415</v>
      </c>
      <c r="H652" t="s">
        <v>4416</v>
      </c>
    </row>
    <row r="653" spans="1:8" x14ac:dyDescent="0.25">
      <c r="A653">
        <v>1518820</v>
      </c>
      <c r="B653" t="s">
        <v>4190</v>
      </c>
      <c r="C653" t="s">
        <v>32</v>
      </c>
      <c r="D653" t="s">
        <v>334</v>
      </c>
      <c r="E653" t="s">
        <v>3362</v>
      </c>
      <c r="F653" t="s">
        <v>4417</v>
      </c>
      <c r="G653" t="s">
        <v>4418</v>
      </c>
      <c r="H653" t="s">
        <v>4419</v>
      </c>
    </row>
    <row r="654" spans="1:8" x14ac:dyDescent="0.25">
      <c r="A654">
        <v>1518821</v>
      </c>
      <c r="B654" t="s">
        <v>4190</v>
      </c>
      <c r="C654" t="s">
        <v>32</v>
      </c>
      <c r="D654" t="s">
        <v>334</v>
      </c>
      <c r="E654" t="s">
        <v>3362</v>
      </c>
      <c r="F654" t="s">
        <v>4420</v>
      </c>
      <c r="G654" t="s">
        <v>4421</v>
      </c>
      <c r="H654" t="s">
        <v>4422</v>
      </c>
    </row>
    <row r="655" spans="1:8" x14ac:dyDescent="0.25">
      <c r="A655">
        <v>1518822</v>
      </c>
      <c r="B655" t="s">
        <v>4190</v>
      </c>
      <c r="C655" t="s">
        <v>100</v>
      </c>
      <c r="D655" t="s">
        <v>334</v>
      </c>
      <c r="E655" t="s">
        <v>3362</v>
      </c>
      <c r="F655" t="s">
        <v>4423</v>
      </c>
      <c r="G655" t="s">
        <v>4424</v>
      </c>
      <c r="H655" t="s">
        <v>4425</v>
      </c>
    </row>
    <row r="656" spans="1:8" x14ac:dyDescent="0.25">
      <c r="A656">
        <v>1518823</v>
      </c>
      <c r="B656" t="s">
        <v>4190</v>
      </c>
      <c r="C656" t="s">
        <v>32</v>
      </c>
      <c r="D656" t="s">
        <v>334</v>
      </c>
      <c r="E656" t="s">
        <v>3362</v>
      </c>
      <c r="F656" t="s">
        <v>4426</v>
      </c>
      <c r="G656" t="s">
        <v>4427</v>
      </c>
      <c r="H656" t="s">
        <v>4428</v>
      </c>
    </row>
    <row r="657" spans="1:8" x14ac:dyDescent="0.25">
      <c r="A657">
        <v>1531692</v>
      </c>
      <c r="B657" t="s">
        <v>4190</v>
      </c>
      <c r="C657" t="s">
        <v>100</v>
      </c>
      <c r="D657" t="s">
        <v>108</v>
      </c>
      <c r="E657" t="s">
        <v>45</v>
      </c>
      <c r="F657" t="s">
        <v>4429</v>
      </c>
      <c r="G657" t="s">
        <v>2468</v>
      </c>
      <c r="H657" t="s">
        <v>4430</v>
      </c>
    </row>
    <row r="658" spans="1:8" x14ac:dyDescent="0.25">
      <c r="A658">
        <v>1531693</v>
      </c>
      <c r="B658" t="s">
        <v>4190</v>
      </c>
      <c r="C658" t="s">
        <v>100</v>
      </c>
      <c r="D658" t="s">
        <v>108</v>
      </c>
      <c r="E658" t="s">
        <v>45</v>
      </c>
      <c r="F658" t="s">
        <v>1444</v>
      </c>
      <c r="G658" t="s">
        <v>454</v>
      </c>
      <c r="H658" t="s">
        <v>4431</v>
      </c>
    </row>
    <row r="659" spans="1:8" x14ac:dyDescent="0.25">
      <c r="A659">
        <v>1533326</v>
      </c>
      <c r="B659" t="s">
        <v>4190</v>
      </c>
      <c r="C659" t="s">
        <v>32</v>
      </c>
      <c r="D659" t="s">
        <v>21</v>
      </c>
      <c r="E659" t="s">
        <v>22</v>
      </c>
      <c r="F659" t="s">
        <v>4432</v>
      </c>
      <c r="G659" t="s">
        <v>4433</v>
      </c>
      <c r="H659" t="s">
        <v>4434</v>
      </c>
    </row>
    <row r="660" spans="1:8" x14ac:dyDescent="0.25">
      <c r="A660">
        <v>1535055</v>
      </c>
      <c r="B660" t="s">
        <v>4190</v>
      </c>
      <c r="C660" t="s">
        <v>32</v>
      </c>
      <c r="D660" t="s">
        <v>21</v>
      </c>
      <c r="E660" t="s">
        <v>2580</v>
      </c>
      <c r="F660" t="s">
        <v>2581</v>
      </c>
      <c r="G660" t="s">
        <v>2583</v>
      </c>
      <c r="H660" t="s">
        <v>4435</v>
      </c>
    </row>
    <row r="661" spans="1:8" x14ac:dyDescent="0.25">
      <c r="A661">
        <v>1535056</v>
      </c>
      <c r="B661" t="s">
        <v>4190</v>
      </c>
      <c r="C661" t="s">
        <v>32</v>
      </c>
      <c r="D661" t="s">
        <v>21</v>
      </c>
      <c r="E661" t="s">
        <v>2580</v>
      </c>
      <c r="F661" t="s">
        <v>2582</v>
      </c>
      <c r="G661" t="s">
        <v>4436</v>
      </c>
      <c r="H661" t="s">
        <v>4437</v>
      </c>
    </row>
    <row r="662" spans="1:8" x14ac:dyDescent="0.25">
      <c r="A662">
        <v>1535740</v>
      </c>
      <c r="B662" t="s">
        <v>4190</v>
      </c>
      <c r="C662" t="s">
        <v>100</v>
      </c>
      <c r="D662" t="s">
        <v>20</v>
      </c>
      <c r="E662" t="s">
        <v>4438</v>
      </c>
      <c r="F662" t="s">
        <v>4439</v>
      </c>
      <c r="G662" t="s">
        <v>4440</v>
      </c>
      <c r="H662" t="s">
        <v>4441</v>
      </c>
    </row>
    <row r="663" spans="1:8" x14ac:dyDescent="0.25">
      <c r="A663">
        <v>1380609</v>
      </c>
      <c r="B663" t="s">
        <v>4442</v>
      </c>
      <c r="C663" t="s">
        <v>100</v>
      </c>
      <c r="D663" t="s">
        <v>51</v>
      </c>
      <c r="E663" t="s">
        <v>57</v>
      </c>
      <c r="F663" t="s">
        <v>2321</v>
      </c>
      <c r="G663" t="s">
        <v>522</v>
      </c>
      <c r="H663" t="s">
        <v>4443</v>
      </c>
    </row>
    <row r="664" spans="1:8" x14ac:dyDescent="0.25">
      <c r="A664">
        <v>1508318</v>
      </c>
      <c r="B664" t="s">
        <v>4442</v>
      </c>
      <c r="C664" t="s">
        <v>32</v>
      </c>
      <c r="D664" t="s">
        <v>58</v>
      </c>
      <c r="E664" t="s">
        <v>4379</v>
      </c>
      <c r="F664" t="s">
        <v>4444</v>
      </c>
      <c r="G664" t="s">
        <v>4445</v>
      </c>
      <c r="H664" t="s">
        <v>4446</v>
      </c>
    </row>
    <row r="665" spans="1:8" x14ac:dyDescent="0.25">
      <c r="A665">
        <v>1378162</v>
      </c>
      <c r="B665" t="s">
        <v>4447</v>
      </c>
      <c r="C665" t="s">
        <v>100</v>
      </c>
      <c r="D665" t="s">
        <v>41</v>
      </c>
      <c r="E665" t="s">
        <v>60</v>
      </c>
      <c r="F665" t="s">
        <v>1612</v>
      </c>
      <c r="G665" t="s">
        <v>1194</v>
      </c>
      <c r="H665" t="s">
        <v>4448</v>
      </c>
    </row>
    <row r="666" spans="1:8" x14ac:dyDescent="0.25">
      <c r="A666">
        <v>1379921</v>
      </c>
      <c r="B666" t="s">
        <v>4447</v>
      </c>
      <c r="C666" t="s">
        <v>32</v>
      </c>
      <c r="D666" t="s">
        <v>92</v>
      </c>
      <c r="E666" t="s">
        <v>4449</v>
      </c>
      <c r="F666" t="s">
        <v>4450</v>
      </c>
      <c r="G666" t="s">
        <v>4451</v>
      </c>
      <c r="H666" t="s">
        <v>4452</v>
      </c>
    </row>
    <row r="667" spans="1:8" x14ac:dyDescent="0.25">
      <c r="A667">
        <v>1384053</v>
      </c>
      <c r="B667" t="s">
        <v>4447</v>
      </c>
      <c r="C667" t="s">
        <v>100</v>
      </c>
      <c r="D667" t="s">
        <v>326</v>
      </c>
      <c r="E667" t="s">
        <v>331</v>
      </c>
      <c r="F667" t="s">
        <v>2206</v>
      </c>
      <c r="G667" t="s">
        <v>1613</v>
      </c>
      <c r="H667" t="s">
        <v>4453</v>
      </c>
    </row>
    <row r="668" spans="1:8" x14ac:dyDescent="0.25">
      <c r="A668">
        <v>1384570</v>
      </c>
      <c r="B668" t="s">
        <v>4447</v>
      </c>
      <c r="C668" t="s">
        <v>100</v>
      </c>
      <c r="D668" t="s">
        <v>381</v>
      </c>
      <c r="E668" t="s">
        <v>397</v>
      </c>
      <c r="F668" t="s">
        <v>1609</v>
      </c>
      <c r="G668" t="s">
        <v>4454</v>
      </c>
      <c r="H668" t="s">
        <v>4455</v>
      </c>
    </row>
    <row r="669" spans="1:8" x14ac:dyDescent="0.25">
      <c r="A669">
        <v>1388223</v>
      </c>
      <c r="B669" t="s">
        <v>4447</v>
      </c>
      <c r="C669" t="s">
        <v>100</v>
      </c>
      <c r="D669" t="s">
        <v>267</v>
      </c>
      <c r="E669" t="s">
        <v>402</v>
      </c>
      <c r="F669" t="s">
        <v>4456</v>
      </c>
      <c r="G669" t="s">
        <v>1797</v>
      </c>
      <c r="H669" t="s">
        <v>4457</v>
      </c>
    </row>
    <row r="670" spans="1:8" x14ac:dyDescent="0.25">
      <c r="A670">
        <v>1394901</v>
      </c>
      <c r="B670" t="s">
        <v>4447</v>
      </c>
      <c r="C670" t="s">
        <v>100</v>
      </c>
      <c r="D670" t="s">
        <v>268</v>
      </c>
      <c r="E670" t="s">
        <v>392</v>
      </c>
      <c r="F670" t="s">
        <v>4458</v>
      </c>
      <c r="G670" t="s">
        <v>897</v>
      </c>
      <c r="H670" t="s">
        <v>4459</v>
      </c>
    </row>
    <row r="671" spans="1:8" x14ac:dyDescent="0.25">
      <c r="A671">
        <v>1394902</v>
      </c>
      <c r="B671" t="s">
        <v>4447</v>
      </c>
      <c r="C671" t="s">
        <v>100</v>
      </c>
      <c r="D671" t="s">
        <v>268</v>
      </c>
      <c r="E671" t="s">
        <v>392</v>
      </c>
      <c r="F671" t="s">
        <v>4460</v>
      </c>
      <c r="G671" t="s">
        <v>4461</v>
      </c>
      <c r="H671" t="s">
        <v>4462</v>
      </c>
    </row>
    <row r="672" spans="1:8" x14ac:dyDescent="0.25">
      <c r="A672">
        <v>1394903</v>
      </c>
      <c r="B672" t="s">
        <v>4447</v>
      </c>
      <c r="C672" t="s">
        <v>100</v>
      </c>
      <c r="D672" t="s">
        <v>268</v>
      </c>
      <c r="E672" t="s">
        <v>392</v>
      </c>
      <c r="F672" t="s">
        <v>4463</v>
      </c>
      <c r="G672" t="s">
        <v>4464</v>
      </c>
      <c r="H672" t="s">
        <v>4465</v>
      </c>
    </row>
    <row r="673" spans="1:8" x14ac:dyDescent="0.25">
      <c r="A673">
        <v>1394904</v>
      </c>
      <c r="B673" t="s">
        <v>4447</v>
      </c>
      <c r="C673" t="s">
        <v>100</v>
      </c>
      <c r="D673" t="s">
        <v>268</v>
      </c>
      <c r="E673" t="s">
        <v>392</v>
      </c>
      <c r="F673" t="s">
        <v>4466</v>
      </c>
      <c r="G673" t="s">
        <v>914</v>
      </c>
      <c r="H673" t="s">
        <v>4467</v>
      </c>
    </row>
    <row r="674" spans="1:8" x14ac:dyDescent="0.25">
      <c r="A674">
        <v>1395750</v>
      </c>
      <c r="B674" t="s">
        <v>4447</v>
      </c>
      <c r="C674" t="s">
        <v>100</v>
      </c>
      <c r="D674" t="s">
        <v>240</v>
      </c>
      <c r="E674" t="s">
        <v>241</v>
      </c>
      <c r="F674" t="s">
        <v>4468</v>
      </c>
      <c r="G674" t="s">
        <v>4469</v>
      </c>
      <c r="H674" t="s">
        <v>4470</v>
      </c>
    </row>
    <row r="675" spans="1:8" x14ac:dyDescent="0.25">
      <c r="A675">
        <v>1395756</v>
      </c>
      <c r="B675" t="s">
        <v>4447</v>
      </c>
      <c r="C675" t="s">
        <v>100</v>
      </c>
      <c r="D675" t="s">
        <v>240</v>
      </c>
      <c r="E675" t="s">
        <v>241</v>
      </c>
      <c r="F675" t="s">
        <v>4471</v>
      </c>
      <c r="G675" t="s">
        <v>1602</v>
      </c>
      <c r="H675" t="s">
        <v>4472</v>
      </c>
    </row>
    <row r="676" spans="1:8" x14ac:dyDescent="0.25">
      <c r="A676">
        <v>1395757</v>
      </c>
      <c r="B676" t="s">
        <v>4447</v>
      </c>
      <c r="C676" t="s">
        <v>100</v>
      </c>
      <c r="D676" t="s">
        <v>240</v>
      </c>
      <c r="E676" t="s">
        <v>241</v>
      </c>
      <c r="F676" t="s">
        <v>4473</v>
      </c>
      <c r="G676" t="s">
        <v>4474</v>
      </c>
      <c r="H676" t="s">
        <v>4475</v>
      </c>
    </row>
    <row r="677" spans="1:8" x14ac:dyDescent="0.25">
      <c r="A677">
        <v>1395758</v>
      </c>
      <c r="B677" t="s">
        <v>4447</v>
      </c>
      <c r="C677" t="s">
        <v>100</v>
      </c>
      <c r="D677" t="s">
        <v>240</v>
      </c>
      <c r="E677" t="s">
        <v>241</v>
      </c>
      <c r="F677" t="s">
        <v>4476</v>
      </c>
      <c r="G677" t="s">
        <v>4477</v>
      </c>
      <c r="H677" t="s">
        <v>4478</v>
      </c>
    </row>
    <row r="678" spans="1:8" x14ac:dyDescent="0.25">
      <c r="A678">
        <v>1395759</v>
      </c>
      <c r="B678" t="s">
        <v>4447</v>
      </c>
      <c r="C678" t="s">
        <v>100</v>
      </c>
      <c r="D678" t="s">
        <v>240</v>
      </c>
      <c r="E678" t="s">
        <v>241</v>
      </c>
      <c r="F678" t="s">
        <v>4479</v>
      </c>
      <c r="G678" t="s">
        <v>4480</v>
      </c>
      <c r="H678" t="s">
        <v>4481</v>
      </c>
    </row>
    <row r="679" spans="1:8" x14ac:dyDescent="0.25">
      <c r="A679">
        <v>1395760</v>
      </c>
      <c r="B679" t="s">
        <v>4447</v>
      </c>
      <c r="C679" t="s">
        <v>100</v>
      </c>
      <c r="D679" t="s">
        <v>240</v>
      </c>
      <c r="E679" t="s">
        <v>241</v>
      </c>
      <c r="F679" t="s">
        <v>4482</v>
      </c>
      <c r="G679" t="s">
        <v>4483</v>
      </c>
      <c r="H679" t="s">
        <v>4484</v>
      </c>
    </row>
    <row r="680" spans="1:8" x14ac:dyDescent="0.25">
      <c r="A680">
        <v>1395761</v>
      </c>
      <c r="B680" t="s">
        <v>4447</v>
      </c>
      <c r="C680" t="s">
        <v>100</v>
      </c>
      <c r="D680" t="s">
        <v>240</v>
      </c>
      <c r="E680" t="s">
        <v>241</v>
      </c>
      <c r="F680" t="s">
        <v>4485</v>
      </c>
      <c r="G680" t="s">
        <v>4486</v>
      </c>
      <c r="H680" t="s">
        <v>4487</v>
      </c>
    </row>
    <row r="681" spans="1:8" x14ac:dyDescent="0.25">
      <c r="A681">
        <v>1395762</v>
      </c>
      <c r="B681" t="s">
        <v>4447</v>
      </c>
      <c r="C681" t="s">
        <v>100</v>
      </c>
      <c r="D681" t="s">
        <v>240</v>
      </c>
      <c r="E681" t="s">
        <v>241</v>
      </c>
      <c r="F681" t="s">
        <v>4488</v>
      </c>
      <c r="G681" t="s">
        <v>4489</v>
      </c>
      <c r="H681" t="s">
        <v>4490</v>
      </c>
    </row>
    <row r="682" spans="1:8" x14ac:dyDescent="0.25">
      <c r="A682">
        <v>1396025</v>
      </c>
      <c r="B682" t="s">
        <v>4447</v>
      </c>
      <c r="C682" t="s">
        <v>100</v>
      </c>
      <c r="D682" t="s">
        <v>51</v>
      </c>
      <c r="E682" t="s">
        <v>385</v>
      </c>
      <c r="F682" t="s">
        <v>4491</v>
      </c>
      <c r="G682" t="s">
        <v>2283</v>
      </c>
      <c r="H682" t="s">
        <v>4492</v>
      </c>
    </row>
    <row r="683" spans="1:8" x14ac:dyDescent="0.25">
      <c r="A683">
        <v>1398210</v>
      </c>
      <c r="B683" t="s">
        <v>4447</v>
      </c>
      <c r="C683" t="s">
        <v>100</v>
      </c>
      <c r="D683" t="s">
        <v>53</v>
      </c>
      <c r="E683" t="s">
        <v>264</v>
      </c>
      <c r="F683" t="s">
        <v>4493</v>
      </c>
      <c r="G683" t="s">
        <v>1024</v>
      </c>
      <c r="H683" t="s">
        <v>4494</v>
      </c>
    </row>
    <row r="684" spans="1:8" x14ac:dyDescent="0.25">
      <c r="A684">
        <v>1398841</v>
      </c>
      <c r="B684" t="s">
        <v>4447</v>
      </c>
      <c r="C684" t="s">
        <v>32</v>
      </c>
      <c r="D684" t="s">
        <v>332</v>
      </c>
      <c r="E684" t="s">
        <v>396</v>
      </c>
      <c r="F684" t="s">
        <v>4495</v>
      </c>
      <c r="G684" t="s">
        <v>4496</v>
      </c>
      <c r="H684" t="s">
        <v>4497</v>
      </c>
    </row>
    <row r="685" spans="1:8" x14ac:dyDescent="0.25">
      <c r="A685">
        <v>1398843</v>
      </c>
      <c r="B685" t="s">
        <v>4447</v>
      </c>
      <c r="C685" t="s">
        <v>32</v>
      </c>
      <c r="D685" t="s">
        <v>332</v>
      </c>
      <c r="E685" t="s">
        <v>396</v>
      </c>
      <c r="F685" t="s">
        <v>4498</v>
      </c>
      <c r="G685" t="s">
        <v>4499</v>
      </c>
      <c r="H685" t="s">
        <v>4500</v>
      </c>
    </row>
    <row r="686" spans="1:8" x14ac:dyDescent="0.25">
      <c r="A686">
        <v>1398844</v>
      </c>
      <c r="B686" t="s">
        <v>4447</v>
      </c>
      <c r="C686" t="s">
        <v>32</v>
      </c>
      <c r="D686" t="s">
        <v>332</v>
      </c>
      <c r="E686" t="s">
        <v>396</v>
      </c>
      <c r="F686" t="s">
        <v>4501</v>
      </c>
      <c r="G686" t="s">
        <v>4502</v>
      </c>
      <c r="H686" t="s">
        <v>4503</v>
      </c>
    </row>
    <row r="687" spans="1:8" x14ac:dyDescent="0.25">
      <c r="A687">
        <v>1398845</v>
      </c>
      <c r="B687" t="s">
        <v>4447</v>
      </c>
      <c r="C687" t="s">
        <v>32</v>
      </c>
      <c r="D687" t="s">
        <v>332</v>
      </c>
      <c r="E687" t="s">
        <v>396</v>
      </c>
      <c r="F687" t="s">
        <v>4504</v>
      </c>
      <c r="G687" t="s">
        <v>4505</v>
      </c>
      <c r="H687" t="s">
        <v>4506</v>
      </c>
    </row>
    <row r="688" spans="1:8" x14ac:dyDescent="0.25">
      <c r="A688">
        <v>1398846</v>
      </c>
      <c r="B688" t="s">
        <v>4447</v>
      </c>
      <c r="C688" t="s">
        <v>32</v>
      </c>
      <c r="D688" t="s">
        <v>332</v>
      </c>
      <c r="E688" t="s">
        <v>396</v>
      </c>
      <c r="F688" t="s">
        <v>4507</v>
      </c>
      <c r="G688" t="s">
        <v>4508</v>
      </c>
      <c r="H688" t="s">
        <v>4509</v>
      </c>
    </row>
    <row r="689" spans="1:8" x14ac:dyDescent="0.25">
      <c r="A689">
        <v>1399203</v>
      </c>
      <c r="B689" t="s">
        <v>4447</v>
      </c>
      <c r="C689" t="s">
        <v>100</v>
      </c>
      <c r="D689" t="s">
        <v>58</v>
      </c>
      <c r="E689" t="s">
        <v>4200</v>
      </c>
      <c r="F689" t="s">
        <v>4510</v>
      </c>
      <c r="G689" t="s">
        <v>4511</v>
      </c>
      <c r="H689" t="s">
        <v>4512</v>
      </c>
    </row>
    <row r="690" spans="1:8" x14ac:dyDescent="0.25">
      <c r="A690">
        <v>1399206</v>
      </c>
      <c r="B690" t="s">
        <v>4447</v>
      </c>
      <c r="C690" t="s">
        <v>100</v>
      </c>
      <c r="D690" t="s">
        <v>58</v>
      </c>
      <c r="E690" t="s">
        <v>4200</v>
      </c>
      <c r="F690" t="s">
        <v>4513</v>
      </c>
      <c r="G690" t="s">
        <v>4514</v>
      </c>
      <c r="H690" t="s">
        <v>4515</v>
      </c>
    </row>
    <row r="691" spans="1:8" x14ac:dyDescent="0.25">
      <c r="A691">
        <v>1400557</v>
      </c>
      <c r="B691" t="s">
        <v>4447</v>
      </c>
      <c r="C691" t="s">
        <v>100</v>
      </c>
      <c r="D691" t="s">
        <v>319</v>
      </c>
      <c r="E691" t="s">
        <v>2929</v>
      </c>
      <c r="F691" t="s">
        <v>4516</v>
      </c>
      <c r="G691" t="s">
        <v>4517</v>
      </c>
      <c r="H691" t="s">
        <v>4518</v>
      </c>
    </row>
    <row r="692" spans="1:8" x14ac:dyDescent="0.25">
      <c r="A692">
        <v>1404587</v>
      </c>
      <c r="B692" t="s">
        <v>4447</v>
      </c>
      <c r="C692" t="s">
        <v>100</v>
      </c>
      <c r="D692" t="s">
        <v>41</v>
      </c>
      <c r="E692" t="s">
        <v>262</v>
      </c>
      <c r="F692" t="s">
        <v>916</v>
      </c>
      <c r="G692" t="s">
        <v>492</v>
      </c>
      <c r="H692" t="s">
        <v>4519</v>
      </c>
    </row>
    <row r="693" spans="1:8" x14ac:dyDescent="0.25">
      <c r="A693">
        <v>1404593</v>
      </c>
      <c r="B693" t="s">
        <v>4447</v>
      </c>
      <c r="C693" t="s">
        <v>100</v>
      </c>
      <c r="D693" t="s">
        <v>41</v>
      </c>
      <c r="E693" t="s">
        <v>262</v>
      </c>
      <c r="F693" t="s">
        <v>2456</v>
      </c>
      <c r="G693" t="s">
        <v>4520</v>
      </c>
      <c r="H693" t="s">
        <v>4521</v>
      </c>
    </row>
    <row r="694" spans="1:8" x14ac:dyDescent="0.25">
      <c r="A694">
        <v>1406135</v>
      </c>
      <c r="B694" t="s">
        <v>4447</v>
      </c>
      <c r="C694" t="s">
        <v>32</v>
      </c>
      <c r="D694" t="s">
        <v>43</v>
      </c>
      <c r="E694" t="s">
        <v>393</v>
      </c>
      <c r="F694" t="s">
        <v>1233</v>
      </c>
      <c r="G694" t="s">
        <v>4522</v>
      </c>
      <c r="H694" t="s">
        <v>4523</v>
      </c>
    </row>
    <row r="695" spans="1:8" x14ac:dyDescent="0.25">
      <c r="A695">
        <v>1406287</v>
      </c>
      <c r="B695" t="s">
        <v>4447</v>
      </c>
      <c r="C695" t="s">
        <v>32</v>
      </c>
      <c r="D695" t="s">
        <v>43</v>
      </c>
      <c r="E695" t="s">
        <v>393</v>
      </c>
      <c r="F695" t="s">
        <v>4524</v>
      </c>
      <c r="G695" t="s">
        <v>4525</v>
      </c>
      <c r="H695" t="s">
        <v>4526</v>
      </c>
    </row>
    <row r="696" spans="1:8" x14ac:dyDescent="0.25">
      <c r="A696">
        <v>1406288</v>
      </c>
      <c r="B696" t="s">
        <v>4447</v>
      </c>
      <c r="C696" t="s">
        <v>32</v>
      </c>
      <c r="D696" t="s">
        <v>43</v>
      </c>
      <c r="E696" t="s">
        <v>393</v>
      </c>
      <c r="F696" t="s">
        <v>4527</v>
      </c>
      <c r="G696" t="s">
        <v>4528</v>
      </c>
      <c r="H696" t="s">
        <v>4529</v>
      </c>
    </row>
    <row r="697" spans="1:8" x14ac:dyDescent="0.25">
      <c r="A697">
        <v>1406289</v>
      </c>
      <c r="B697" t="s">
        <v>4447</v>
      </c>
      <c r="C697" t="s">
        <v>100</v>
      </c>
      <c r="D697" t="s">
        <v>43</v>
      </c>
      <c r="E697" t="s">
        <v>393</v>
      </c>
      <c r="F697" t="s">
        <v>4530</v>
      </c>
      <c r="G697" t="s">
        <v>4531</v>
      </c>
      <c r="H697" t="s">
        <v>4532</v>
      </c>
    </row>
    <row r="698" spans="1:8" x14ac:dyDescent="0.25">
      <c r="A698">
        <v>1406558</v>
      </c>
      <c r="B698" t="s">
        <v>4447</v>
      </c>
      <c r="C698" t="s">
        <v>100</v>
      </c>
      <c r="D698" t="s">
        <v>43</v>
      </c>
      <c r="E698" t="s">
        <v>551</v>
      </c>
      <c r="F698" t="s">
        <v>4533</v>
      </c>
      <c r="G698" t="s">
        <v>4534</v>
      </c>
      <c r="H698" t="s">
        <v>4535</v>
      </c>
    </row>
    <row r="699" spans="1:8" x14ac:dyDescent="0.25">
      <c r="A699">
        <v>1407359</v>
      </c>
      <c r="B699" t="s">
        <v>4447</v>
      </c>
      <c r="C699" t="s">
        <v>32</v>
      </c>
      <c r="D699" t="s">
        <v>43</v>
      </c>
      <c r="E699" t="s">
        <v>394</v>
      </c>
      <c r="F699" t="s">
        <v>1648</v>
      </c>
      <c r="G699" t="s">
        <v>4536</v>
      </c>
      <c r="H699" t="s">
        <v>4537</v>
      </c>
    </row>
    <row r="700" spans="1:8" x14ac:dyDescent="0.25">
      <c r="A700">
        <v>1407360</v>
      </c>
      <c r="B700" t="s">
        <v>4447</v>
      </c>
      <c r="C700" t="s">
        <v>32</v>
      </c>
      <c r="D700" t="s">
        <v>43</v>
      </c>
      <c r="E700" t="s">
        <v>394</v>
      </c>
      <c r="F700" t="s">
        <v>4538</v>
      </c>
      <c r="G700" t="s">
        <v>4539</v>
      </c>
      <c r="H700" t="s">
        <v>4540</v>
      </c>
    </row>
    <row r="701" spans="1:8" x14ac:dyDescent="0.25">
      <c r="A701">
        <v>1407361</v>
      </c>
      <c r="B701" t="s">
        <v>4447</v>
      </c>
      <c r="C701" t="s">
        <v>32</v>
      </c>
      <c r="D701" t="s">
        <v>43</v>
      </c>
      <c r="E701" t="s">
        <v>394</v>
      </c>
      <c r="F701" t="s">
        <v>4541</v>
      </c>
      <c r="G701" t="s">
        <v>1530</v>
      </c>
      <c r="H701" t="s">
        <v>4542</v>
      </c>
    </row>
    <row r="702" spans="1:8" x14ac:dyDescent="0.25">
      <c r="A702">
        <v>1407362</v>
      </c>
      <c r="B702" t="s">
        <v>4447</v>
      </c>
      <c r="C702" t="s">
        <v>32</v>
      </c>
      <c r="D702" t="s">
        <v>43</v>
      </c>
      <c r="E702" t="s">
        <v>394</v>
      </c>
      <c r="F702" t="s">
        <v>4543</v>
      </c>
      <c r="G702" t="s">
        <v>4544</v>
      </c>
      <c r="H702" t="s">
        <v>4545</v>
      </c>
    </row>
    <row r="703" spans="1:8" x14ac:dyDescent="0.25">
      <c r="A703">
        <v>1408006</v>
      </c>
      <c r="B703" t="s">
        <v>4447</v>
      </c>
      <c r="C703" t="s">
        <v>100</v>
      </c>
      <c r="D703" t="s">
        <v>43</v>
      </c>
      <c r="E703" t="s">
        <v>341</v>
      </c>
      <c r="F703" t="s">
        <v>4546</v>
      </c>
      <c r="G703" t="s">
        <v>912</v>
      </c>
      <c r="H703" t="s">
        <v>4547</v>
      </c>
    </row>
    <row r="704" spans="1:8" x14ac:dyDescent="0.25">
      <c r="A704">
        <v>1409166</v>
      </c>
      <c r="B704" t="s">
        <v>4447</v>
      </c>
      <c r="C704" t="s">
        <v>100</v>
      </c>
      <c r="D704" t="s">
        <v>43</v>
      </c>
      <c r="E704" t="s">
        <v>3777</v>
      </c>
      <c r="F704" t="s">
        <v>4548</v>
      </c>
      <c r="G704" t="s">
        <v>4549</v>
      </c>
      <c r="H704" t="s">
        <v>4550</v>
      </c>
    </row>
    <row r="705" spans="1:8" x14ac:dyDescent="0.25">
      <c r="A705">
        <v>1409631</v>
      </c>
      <c r="B705" t="s">
        <v>4447</v>
      </c>
      <c r="C705" t="s">
        <v>32</v>
      </c>
      <c r="D705" t="s">
        <v>43</v>
      </c>
      <c r="E705" t="s">
        <v>3789</v>
      </c>
      <c r="F705" t="s">
        <v>4551</v>
      </c>
      <c r="G705" t="s">
        <v>4552</v>
      </c>
      <c r="H705" t="s">
        <v>4553</v>
      </c>
    </row>
    <row r="706" spans="1:8" x14ac:dyDescent="0.25">
      <c r="A706">
        <v>1410362</v>
      </c>
      <c r="B706" t="s">
        <v>4447</v>
      </c>
      <c r="C706" t="s">
        <v>32</v>
      </c>
      <c r="D706" t="s">
        <v>51</v>
      </c>
      <c r="E706" t="s">
        <v>3147</v>
      </c>
      <c r="F706" t="s">
        <v>4554</v>
      </c>
      <c r="G706" t="s">
        <v>4555</v>
      </c>
      <c r="H706" t="s">
        <v>4556</v>
      </c>
    </row>
    <row r="707" spans="1:8" x14ac:dyDescent="0.25">
      <c r="A707">
        <v>1410363</v>
      </c>
      <c r="B707" t="s">
        <v>4447</v>
      </c>
      <c r="C707" t="s">
        <v>100</v>
      </c>
      <c r="D707" t="s">
        <v>51</v>
      </c>
      <c r="E707" t="s">
        <v>3147</v>
      </c>
      <c r="F707" t="s">
        <v>4557</v>
      </c>
      <c r="G707" t="s">
        <v>4558</v>
      </c>
      <c r="H707" t="s">
        <v>4559</v>
      </c>
    </row>
    <row r="708" spans="1:8" x14ac:dyDescent="0.25">
      <c r="A708">
        <v>1410963</v>
      </c>
      <c r="B708" t="s">
        <v>4447</v>
      </c>
      <c r="C708" t="s">
        <v>100</v>
      </c>
      <c r="D708" t="s">
        <v>51</v>
      </c>
      <c r="E708" t="s">
        <v>539</v>
      </c>
      <c r="F708" t="s">
        <v>4560</v>
      </c>
      <c r="G708" t="s">
        <v>1027</v>
      </c>
      <c r="H708" t="s">
        <v>4561</v>
      </c>
    </row>
    <row r="709" spans="1:8" x14ac:dyDescent="0.25">
      <c r="A709">
        <v>1410965</v>
      </c>
      <c r="B709" t="s">
        <v>4447</v>
      </c>
      <c r="C709" t="s">
        <v>100</v>
      </c>
      <c r="D709" t="s">
        <v>51</v>
      </c>
      <c r="E709" t="s">
        <v>539</v>
      </c>
      <c r="F709" t="s">
        <v>4562</v>
      </c>
      <c r="G709" t="s">
        <v>4563</v>
      </c>
      <c r="H709" t="s">
        <v>4564</v>
      </c>
    </row>
    <row r="710" spans="1:8" x14ac:dyDescent="0.25">
      <c r="A710">
        <v>1411273</v>
      </c>
      <c r="B710" t="s">
        <v>4447</v>
      </c>
      <c r="C710" t="s">
        <v>100</v>
      </c>
      <c r="D710" t="s">
        <v>51</v>
      </c>
      <c r="E710" t="s">
        <v>581</v>
      </c>
      <c r="F710" t="s">
        <v>4565</v>
      </c>
      <c r="G710" t="s">
        <v>4566</v>
      </c>
      <c r="H710" t="s">
        <v>4567</v>
      </c>
    </row>
    <row r="711" spans="1:8" x14ac:dyDescent="0.25">
      <c r="A711">
        <v>1415545</v>
      </c>
      <c r="B711" t="s">
        <v>4447</v>
      </c>
      <c r="C711" t="s">
        <v>100</v>
      </c>
      <c r="D711" t="s">
        <v>616</v>
      </c>
      <c r="E711" t="s">
        <v>69</v>
      </c>
      <c r="F711" t="s">
        <v>1672</v>
      </c>
      <c r="G711" t="s">
        <v>2213</v>
      </c>
      <c r="H711" t="s">
        <v>4568</v>
      </c>
    </row>
    <row r="712" spans="1:8" x14ac:dyDescent="0.25">
      <c r="A712">
        <v>1417570</v>
      </c>
      <c r="B712" t="s">
        <v>4447</v>
      </c>
      <c r="C712" t="s">
        <v>100</v>
      </c>
      <c r="D712" t="s">
        <v>403</v>
      </c>
      <c r="E712" t="s">
        <v>404</v>
      </c>
      <c r="F712" t="s">
        <v>4569</v>
      </c>
      <c r="G712" t="s">
        <v>1690</v>
      </c>
      <c r="H712" t="s">
        <v>4570</v>
      </c>
    </row>
    <row r="713" spans="1:8" x14ac:dyDescent="0.25">
      <c r="A713">
        <v>1417571</v>
      </c>
      <c r="B713" t="s">
        <v>4447</v>
      </c>
      <c r="C713" t="s">
        <v>100</v>
      </c>
      <c r="D713" t="s">
        <v>403</v>
      </c>
      <c r="E713" t="s">
        <v>404</v>
      </c>
      <c r="F713" t="s">
        <v>4571</v>
      </c>
      <c r="G713" t="s">
        <v>4572</v>
      </c>
      <c r="H713" t="s">
        <v>4573</v>
      </c>
    </row>
    <row r="714" spans="1:8" x14ac:dyDescent="0.25">
      <c r="A714">
        <v>1417574</v>
      </c>
      <c r="B714" t="s">
        <v>4447</v>
      </c>
      <c r="C714" t="s">
        <v>100</v>
      </c>
      <c r="D714" t="s">
        <v>403</v>
      </c>
      <c r="E714" t="s">
        <v>404</v>
      </c>
      <c r="F714" t="s">
        <v>4574</v>
      </c>
      <c r="G714" t="s">
        <v>4575</v>
      </c>
      <c r="H714" t="s">
        <v>4576</v>
      </c>
    </row>
    <row r="715" spans="1:8" x14ac:dyDescent="0.25">
      <c r="A715">
        <v>1418651</v>
      </c>
      <c r="B715" t="s">
        <v>4447</v>
      </c>
      <c r="C715" t="s">
        <v>100</v>
      </c>
      <c r="D715" t="s">
        <v>80</v>
      </c>
      <c r="E715" t="s">
        <v>626</v>
      </c>
      <c r="F715" t="s">
        <v>4577</v>
      </c>
      <c r="G715" t="s">
        <v>4578</v>
      </c>
      <c r="H715" t="s">
        <v>4579</v>
      </c>
    </row>
    <row r="716" spans="1:8" x14ac:dyDescent="0.25">
      <c r="A716">
        <v>1418654</v>
      </c>
      <c r="B716" t="s">
        <v>4447</v>
      </c>
      <c r="C716" t="s">
        <v>100</v>
      </c>
      <c r="D716" t="s">
        <v>80</v>
      </c>
      <c r="E716" t="s">
        <v>626</v>
      </c>
      <c r="F716" t="s">
        <v>4580</v>
      </c>
      <c r="G716" t="s">
        <v>4581</v>
      </c>
      <c r="H716" t="s">
        <v>4582</v>
      </c>
    </row>
    <row r="717" spans="1:8" x14ac:dyDescent="0.25">
      <c r="A717">
        <v>1419901</v>
      </c>
      <c r="B717" t="s">
        <v>4447</v>
      </c>
      <c r="C717" t="s">
        <v>100</v>
      </c>
      <c r="D717" t="s">
        <v>41</v>
      </c>
      <c r="E717" t="s">
        <v>348</v>
      </c>
      <c r="F717" t="s">
        <v>4583</v>
      </c>
      <c r="G717" t="s">
        <v>2166</v>
      </c>
      <c r="H717" t="s">
        <v>4584</v>
      </c>
    </row>
    <row r="718" spans="1:8" x14ac:dyDescent="0.25">
      <c r="A718">
        <v>1419905</v>
      </c>
      <c r="B718" t="s">
        <v>4447</v>
      </c>
      <c r="C718" t="s">
        <v>100</v>
      </c>
      <c r="D718" t="s">
        <v>41</v>
      </c>
      <c r="E718" t="s">
        <v>348</v>
      </c>
      <c r="F718" t="s">
        <v>4585</v>
      </c>
      <c r="G718" t="s">
        <v>1696</v>
      </c>
      <c r="H718" t="s">
        <v>4586</v>
      </c>
    </row>
    <row r="719" spans="1:8" x14ac:dyDescent="0.25">
      <c r="A719">
        <v>1419909</v>
      </c>
      <c r="B719" t="s">
        <v>4447</v>
      </c>
      <c r="C719" t="s">
        <v>100</v>
      </c>
      <c r="D719" t="s">
        <v>41</v>
      </c>
      <c r="E719" t="s">
        <v>348</v>
      </c>
      <c r="F719" t="s">
        <v>1699</v>
      </c>
      <c r="G719" t="s">
        <v>4587</v>
      </c>
      <c r="H719" t="s">
        <v>4588</v>
      </c>
    </row>
    <row r="720" spans="1:8" x14ac:dyDescent="0.25">
      <c r="A720">
        <v>1421627</v>
      </c>
      <c r="B720" t="s">
        <v>4447</v>
      </c>
      <c r="C720" t="s">
        <v>100</v>
      </c>
      <c r="D720" t="s">
        <v>89</v>
      </c>
      <c r="E720" t="s">
        <v>4589</v>
      </c>
      <c r="F720" t="s">
        <v>4590</v>
      </c>
      <c r="G720" t="s">
        <v>4591</v>
      </c>
      <c r="H720" t="s">
        <v>4592</v>
      </c>
    </row>
    <row r="721" spans="1:8" x14ac:dyDescent="0.25">
      <c r="A721">
        <v>1422042</v>
      </c>
      <c r="B721" t="s">
        <v>4447</v>
      </c>
      <c r="C721" t="s">
        <v>100</v>
      </c>
      <c r="D721" t="s">
        <v>268</v>
      </c>
      <c r="E721" t="s">
        <v>601</v>
      </c>
      <c r="F721" t="s">
        <v>4593</v>
      </c>
      <c r="G721" t="s">
        <v>4594</v>
      </c>
      <c r="H721" t="s">
        <v>4595</v>
      </c>
    </row>
    <row r="722" spans="1:8" x14ac:dyDescent="0.25">
      <c r="A722">
        <v>1422043</v>
      </c>
      <c r="B722" t="s">
        <v>4447</v>
      </c>
      <c r="C722" t="s">
        <v>100</v>
      </c>
      <c r="D722" t="s">
        <v>268</v>
      </c>
      <c r="E722" t="s">
        <v>601</v>
      </c>
      <c r="F722" t="s">
        <v>4596</v>
      </c>
      <c r="G722" t="s">
        <v>898</v>
      </c>
      <c r="H722" t="s">
        <v>4597</v>
      </c>
    </row>
    <row r="723" spans="1:8" x14ac:dyDescent="0.25">
      <c r="A723">
        <v>1422044</v>
      </c>
      <c r="B723" t="s">
        <v>4447</v>
      </c>
      <c r="C723" t="s">
        <v>100</v>
      </c>
      <c r="D723" t="s">
        <v>268</v>
      </c>
      <c r="E723" t="s">
        <v>601</v>
      </c>
      <c r="F723" t="s">
        <v>4598</v>
      </c>
      <c r="G723" t="s">
        <v>4599</v>
      </c>
      <c r="H723" t="s">
        <v>4600</v>
      </c>
    </row>
    <row r="724" spans="1:8" x14ac:dyDescent="0.25">
      <c r="A724">
        <v>1422045</v>
      </c>
      <c r="B724" t="s">
        <v>4447</v>
      </c>
      <c r="C724" t="s">
        <v>32</v>
      </c>
      <c r="D724" t="s">
        <v>268</v>
      </c>
      <c r="E724" t="s">
        <v>601</v>
      </c>
      <c r="F724" t="s">
        <v>4601</v>
      </c>
      <c r="G724" t="s">
        <v>4602</v>
      </c>
      <c r="H724" t="s">
        <v>4603</v>
      </c>
    </row>
    <row r="725" spans="1:8" x14ac:dyDescent="0.25">
      <c r="A725">
        <v>1422216</v>
      </c>
      <c r="B725" t="s">
        <v>4447</v>
      </c>
      <c r="C725" t="s">
        <v>32</v>
      </c>
      <c r="D725" t="s">
        <v>268</v>
      </c>
      <c r="E725" t="s">
        <v>619</v>
      </c>
      <c r="F725" t="s">
        <v>4604</v>
      </c>
      <c r="G725" t="s">
        <v>936</v>
      </c>
      <c r="H725" t="s">
        <v>4605</v>
      </c>
    </row>
    <row r="726" spans="1:8" x14ac:dyDescent="0.25">
      <c r="A726">
        <v>1422217</v>
      </c>
      <c r="B726" t="s">
        <v>4447</v>
      </c>
      <c r="C726" t="s">
        <v>100</v>
      </c>
      <c r="D726" t="s">
        <v>268</v>
      </c>
      <c r="E726" t="s">
        <v>619</v>
      </c>
      <c r="F726" t="s">
        <v>4606</v>
      </c>
      <c r="G726" t="s">
        <v>1537</v>
      </c>
      <c r="H726" t="s">
        <v>4607</v>
      </c>
    </row>
    <row r="727" spans="1:8" x14ac:dyDescent="0.25">
      <c r="A727">
        <v>1422218</v>
      </c>
      <c r="B727" t="s">
        <v>4447</v>
      </c>
      <c r="C727" t="s">
        <v>100</v>
      </c>
      <c r="D727" t="s">
        <v>268</v>
      </c>
      <c r="E727" t="s">
        <v>619</v>
      </c>
      <c r="F727" t="s">
        <v>4608</v>
      </c>
      <c r="G727" t="s">
        <v>4609</v>
      </c>
      <c r="H727" t="s">
        <v>4610</v>
      </c>
    </row>
    <row r="728" spans="1:8" x14ac:dyDescent="0.25">
      <c r="A728">
        <v>1422219</v>
      </c>
      <c r="B728" t="s">
        <v>4447</v>
      </c>
      <c r="C728" t="s">
        <v>32</v>
      </c>
      <c r="D728" t="s">
        <v>268</v>
      </c>
      <c r="E728" t="s">
        <v>619</v>
      </c>
      <c r="F728" t="s">
        <v>4611</v>
      </c>
      <c r="G728" t="s">
        <v>4612</v>
      </c>
      <c r="H728" t="s">
        <v>4613</v>
      </c>
    </row>
    <row r="729" spans="1:8" x14ac:dyDescent="0.25">
      <c r="A729">
        <v>1422425</v>
      </c>
      <c r="B729" t="s">
        <v>4447</v>
      </c>
      <c r="C729" t="s">
        <v>32</v>
      </c>
      <c r="D729" t="s">
        <v>268</v>
      </c>
      <c r="E729" t="s">
        <v>620</v>
      </c>
      <c r="F729" t="s">
        <v>4614</v>
      </c>
      <c r="G729" t="s">
        <v>4615</v>
      </c>
      <c r="H729" t="s">
        <v>4616</v>
      </c>
    </row>
    <row r="730" spans="1:8" x14ac:dyDescent="0.25">
      <c r="A730">
        <v>1422426</v>
      </c>
      <c r="B730" t="s">
        <v>4447</v>
      </c>
      <c r="C730" t="s">
        <v>32</v>
      </c>
      <c r="D730" t="s">
        <v>268</v>
      </c>
      <c r="E730" t="s">
        <v>620</v>
      </c>
      <c r="F730" t="s">
        <v>4617</v>
      </c>
      <c r="G730" t="s">
        <v>4618</v>
      </c>
      <c r="H730" t="s">
        <v>4619</v>
      </c>
    </row>
    <row r="731" spans="1:8" x14ac:dyDescent="0.25">
      <c r="A731">
        <v>1422427</v>
      </c>
      <c r="B731" t="s">
        <v>4447</v>
      </c>
      <c r="C731" t="s">
        <v>32</v>
      </c>
      <c r="D731" t="s">
        <v>268</v>
      </c>
      <c r="E731" t="s">
        <v>620</v>
      </c>
      <c r="F731" t="s">
        <v>4620</v>
      </c>
      <c r="G731" t="s">
        <v>4621</v>
      </c>
      <c r="H731" t="s">
        <v>4622</v>
      </c>
    </row>
    <row r="732" spans="1:8" x14ac:dyDescent="0.25">
      <c r="A732">
        <v>1422430</v>
      </c>
      <c r="B732" t="s">
        <v>4447</v>
      </c>
      <c r="C732" t="s">
        <v>32</v>
      </c>
      <c r="D732" t="s">
        <v>268</v>
      </c>
      <c r="E732" t="s">
        <v>620</v>
      </c>
      <c r="F732" t="s">
        <v>4623</v>
      </c>
      <c r="G732" t="s">
        <v>4624</v>
      </c>
      <c r="H732" t="s">
        <v>4625</v>
      </c>
    </row>
    <row r="733" spans="1:8" x14ac:dyDescent="0.25">
      <c r="A733">
        <v>1430343</v>
      </c>
      <c r="B733" t="s">
        <v>4447</v>
      </c>
      <c r="C733" t="s">
        <v>100</v>
      </c>
      <c r="D733" t="s">
        <v>80</v>
      </c>
      <c r="E733" t="s">
        <v>628</v>
      </c>
      <c r="F733" t="s">
        <v>1544</v>
      </c>
      <c r="G733" t="s">
        <v>4626</v>
      </c>
      <c r="H733" t="s">
        <v>4627</v>
      </c>
    </row>
    <row r="734" spans="1:8" x14ac:dyDescent="0.25">
      <c r="A734">
        <v>1430543</v>
      </c>
      <c r="B734" t="s">
        <v>4447</v>
      </c>
      <c r="C734" t="s">
        <v>100</v>
      </c>
      <c r="D734" t="s">
        <v>80</v>
      </c>
      <c r="E734" t="s">
        <v>629</v>
      </c>
      <c r="F734" t="s">
        <v>4628</v>
      </c>
      <c r="G734" t="s">
        <v>4629</v>
      </c>
      <c r="H734" t="s">
        <v>4630</v>
      </c>
    </row>
    <row r="735" spans="1:8" x14ac:dyDescent="0.25">
      <c r="A735">
        <v>1430544</v>
      </c>
      <c r="B735" t="s">
        <v>4447</v>
      </c>
      <c r="C735" t="s">
        <v>32</v>
      </c>
      <c r="D735" t="s">
        <v>80</v>
      </c>
      <c r="E735" t="s">
        <v>629</v>
      </c>
      <c r="F735" t="s">
        <v>4631</v>
      </c>
      <c r="G735" t="s">
        <v>4632</v>
      </c>
      <c r="H735" t="s">
        <v>4633</v>
      </c>
    </row>
    <row r="736" spans="1:8" x14ac:dyDescent="0.25">
      <c r="A736">
        <v>1437629</v>
      </c>
      <c r="B736" t="s">
        <v>4447</v>
      </c>
      <c r="C736" t="s">
        <v>100</v>
      </c>
      <c r="D736" t="s">
        <v>65</v>
      </c>
      <c r="E736" t="s">
        <v>3178</v>
      </c>
      <c r="F736" t="s">
        <v>4634</v>
      </c>
      <c r="G736" t="s">
        <v>4635</v>
      </c>
      <c r="H736" t="s">
        <v>4636</v>
      </c>
    </row>
    <row r="737" spans="1:8" x14ac:dyDescent="0.25">
      <c r="A737">
        <v>1438083</v>
      </c>
      <c r="B737" t="s">
        <v>4447</v>
      </c>
      <c r="C737" t="s">
        <v>32</v>
      </c>
      <c r="D737" t="s">
        <v>58</v>
      </c>
      <c r="E737" t="s">
        <v>621</v>
      </c>
      <c r="F737" t="s">
        <v>4637</v>
      </c>
      <c r="G737" t="s">
        <v>4638</v>
      </c>
      <c r="H737" t="s">
        <v>4639</v>
      </c>
    </row>
    <row r="738" spans="1:8" x14ac:dyDescent="0.25">
      <c r="A738">
        <v>1438084</v>
      </c>
      <c r="B738" t="s">
        <v>4447</v>
      </c>
      <c r="C738" t="s">
        <v>32</v>
      </c>
      <c r="D738" t="s">
        <v>58</v>
      </c>
      <c r="E738" t="s">
        <v>621</v>
      </c>
      <c r="F738" t="s">
        <v>4640</v>
      </c>
      <c r="G738" t="s">
        <v>4641</v>
      </c>
      <c r="H738" t="s">
        <v>4642</v>
      </c>
    </row>
    <row r="739" spans="1:8" x14ac:dyDescent="0.25">
      <c r="A739">
        <v>1438389</v>
      </c>
      <c r="B739" t="s">
        <v>4447</v>
      </c>
      <c r="C739" t="s">
        <v>32</v>
      </c>
      <c r="D739" t="s">
        <v>58</v>
      </c>
      <c r="E739" t="s">
        <v>622</v>
      </c>
      <c r="F739" t="s">
        <v>4643</v>
      </c>
      <c r="G739" t="s">
        <v>4644</v>
      </c>
      <c r="H739" t="s">
        <v>4645</v>
      </c>
    </row>
    <row r="740" spans="1:8" x14ac:dyDescent="0.25">
      <c r="A740">
        <v>1438390</v>
      </c>
      <c r="B740" t="s">
        <v>4447</v>
      </c>
      <c r="C740" t="s">
        <v>32</v>
      </c>
      <c r="D740" t="s">
        <v>58</v>
      </c>
      <c r="E740" t="s">
        <v>622</v>
      </c>
      <c r="F740" t="s">
        <v>4646</v>
      </c>
      <c r="G740" t="s">
        <v>4647</v>
      </c>
      <c r="H740" t="s">
        <v>4648</v>
      </c>
    </row>
    <row r="741" spans="1:8" x14ac:dyDescent="0.25">
      <c r="A741">
        <v>1438393</v>
      </c>
      <c r="B741" t="s">
        <v>4447</v>
      </c>
      <c r="C741" t="s">
        <v>32</v>
      </c>
      <c r="D741" t="s">
        <v>58</v>
      </c>
      <c r="E741" t="s">
        <v>622</v>
      </c>
      <c r="F741" t="s">
        <v>4649</v>
      </c>
      <c r="G741" t="s">
        <v>4650</v>
      </c>
      <c r="H741" t="s">
        <v>4651</v>
      </c>
    </row>
    <row r="742" spans="1:8" x14ac:dyDescent="0.25">
      <c r="A742">
        <v>1454546</v>
      </c>
      <c r="B742" t="s">
        <v>4447</v>
      </c>
      <c r="C742" t="s">
        <v>32</v>
      </c>
      <c r="D742" t="s">
        <v>41</v>
      </c>
      <c r="E742" t="s">
        <v>4652</v>
      </c>
      <c r="F742" t="s">
        <v>4653</v>
      </c>
      <c r="G742" t="s">
        <v>4654</v>
      </c>
      <c r="H742" t="s">
        <v>4655</v>
      </c>
    </row>
    <row r="743" spans="1:8" x14ac:dyDescent="0.25">
      <c r="A743">
        <v>1454844</v>
      </c>
      <c r="B743" t="s">
        <v>4447</v>
      </c>
      <c r="C743" t="s">
        <v>100</v>
      </c>
      <c r="D743" t="s">
        <v>41</v>
      </c>
      <c r="E743" t="s">
        <v>4656</v>
      </c>
      <c r="F743" t="s">
        <v>4657</v>
      </c>
      <c r="G743" t="s">
        <v>4658</v>
      </c>
      <c r="H743" t="s">
        <v>4659</v>
      </c>
    </row>
    <row r="744" spans="1:8" x14ac:dyDescent="0.25">
      <c r="A744">
        <v>1464799</v>
      </c>
      <c r="B744" t="s">
        <v>4447</v>
      </c>
      <c r="C744" t="s">
        <v>32</v>
      </c>
      <c r="D744" t="s">
        <v>332</v>
      </c>
      <c r="E744" t="s">
        <v>4660</v>
      </c>
      <c r="F744" t="s">
        <v>4661</v>
      </c>
      <c r="G744" t="s">
        <v>4662</v>
      </c>
      <c r="H744" t="s">
        <v>4663</v>
      </c>
    </row>
    <row r="745" spans="1:8" x14ac:dyDescent="0.25">
      <c r="A745">
        <v>1464800</v>
      </c>
      <c r="B745" t="s">
        <v>4447</v>
      </c>
      <c r="C745" t="s">
        <v>32</v>
      </c>
      <c r="D745" t="s">
        <v>332</v>
      </c>
      <c r="E745" t="s">
        <v>4660</v>
      </c>
      <c r="F745" t="s">
        <v>4664</v>
      </c>
      <c r="G745" t="s">
        <v>4665</v>
      </c>
      <c r="H745" t="s">
        <v>4666</v>
      </c>
    </row>
    <row r="746" spans="1:8" x14ac:dyDescent="0.25">
      <c r="A746">
        <v>1464801</v>
      </c>
      <c r="B746" t="s">
        <v>4447</v>
      </c>
      <c r="C746" t="s">
        <v>17</v>
      </c>
      <c r="D746" t="s">
        <v>332</v>
      </c>
      <c r="E746" t="s">
        <v>4660</v>
      </c>
      <c r="F746" t="s">
        <v>4667</v>
      </c>
      <c r="G746" t="s">
        <v>4668</v>
      </c>
      <c r="H746" t="s">
        <v>4669</v>
      </c>
    </row>
    <row r="747" spans="1:8" x14ac:dyDescent="0.25">
      <c r="A747">
        <v>1464802</v>
      </c>
      <c r="B747" t="s">
        <v>4447</v>
      </c>
      <c r="C747" t="s">
        <v>32</v>
      </c>
      <c r="D747" t="s">
        <v>332</v>
      </c>
      <c r="E747" t="s">
        <v>4660</v>
      </c>
      <c r="F747" t="s">
        <v>4670</v>
      </c>
      <c r="G747" t="s">
        <v>4671</v>
      </c>
      <c r="H747" t="s">
        <v>4672</v>
      </c>
    </row>
    <row r="748" spans="1:8" x14ac:dyDescent="0.25">
      <c r="A748">
        <v>1464803</v>
      </c>
      <c r="B748" t="s">
        <v>4447</v>
      </c>
      <c r="C748" t="s">
        <v>32</v>
      </c>
      <c r="D748" t="s">
        <v>332</v>
      </c>
      <c r="E748" t="s">
        <v>4660</v>
      </c>
      <c r="F748" t="s">
        <v>4673</v>
      </c>
      <c r="G748" t="s">
        <v>4674</v>
      </c>
      <c r="H748" t="s">
        <v>4675</v>
      </c>
    </row>
    <row r="749" spans="1:8" x14ac:dyDescent="0.25">
      <c r="A749">
        <v>1464804</v>
      </c>
      <c r="B749" t="s">
        <v>4447</v>
      </c>
      <c r="C749" t="s">
        <v>17</v>
      </c>
      <c r="D749" t="s">
        <v>332</v>
      </c>
      <c r="E749" t="s">
        <v>4660</v>
      </c>
      <c r="F749" t="s">
        <v>4676</v>
      </c>
      <c r="G749" t="s">
        <v>4677</v>
      </c>
      <c r="H749" t="s">
        <v>4678</v>
      </c>
    </row>
    <row r="750" spans="1:8" x14ac:dyDescent="0.25">
      <c r="A750">
        <v>1464805</v>
      </c>
      <c r="B750" t="s">
        <v>4447</v>
      </c>
      <c r="C750" t="s">
        <v>32</v>
      </c>
      <c r="D750" t="s">
        <v>332</v>
      </c>
      <c r="E750" t="s">
        <v>4660</v>
      </c>
      <c r="F750" t="s">
        <v>4679</v>
      </c>
      <c r="G750" t="s">
        <v>4680</v>
      </c>
      <c r="H750" t="s">
        <v>4681</v>
      </c>
    </row>
    <row r="751" spans="1:8" x14ac:dyDescent="0.25">
      <c r="A751">
        <v>1464806</v>
      </c>
      <c r="B751" t="s">
        <v>4447</v>
      </c>
      <c r="C751" t="s">
        <v>32</v>
      </c>
      <c r="D751" t="s">
        <v>332</v>
      </c>
      <c r="E751" t="s">
        <v>4660</v>
      </c>
      <c r="F751" t="s">
        <v>4682</v>
      </c>
      <c r="G751" t="s">
        <v>4683</v>
      </c>
      <c r="H751" t="s">
        <v>4684</v>
      </c>
    </row>
    <row r="752" spans="1:8" x14ac:dyDescent="0.25">
      <c r="A752">
        <v>1465053</v>
      </c>
      <c r="B752" t="s">
        <v>4447</v>
      </c>
      <c r="C752" t="s">
        <v>32</v>
      </c>
      <c r="D752" t="s">
        <v>332</v>
      </c>
      <c r="E752" t="s">
        <v>4685</v>
      </c>
      <c r="F752" t="s">
        <v>4686</v>
      </c>
      <c r="G752" t="s">
        <v>4687</v>
      </c>
      <c r="H752" t="s">
        <v>4688</v>
      </c>
    </row>
    <row r="753" spans="1:8" x14ac:dyDescent="0.25">
      <c r="A753">
        <v>1471709</v>
      </c>
      <c r="B753" t="s">
        <v>4447</v>
      </c>
      <c r="C753" t="s">
        <v>32</v>
      </c>
      <c r="D753" t="s">
        <v>329</v>
      </c>
      <c r="E753" t="s">
        <v>330</v>
      </c>
      <c r="F753" t="s">
        <v>4689</v>
      </c>
      <c r="G753" t="s">
        <v>4690</v>
      </c>
      <c r="H753" t="s">
        <v>4691</v>
      </c>
    </row>
    <row r="754" spans="1:8" x14ac:dyDescent="0.25">
      <c r="A754">
        <v>1471710</v>
      </c>
      <c r="B754" t="s">
        <v>4447</v>
      </c>
      <c r="C754" t="s">
        <v>32</v>
      </c>
      <c r="D754" t="s">
        <v>329</v>
      </c>
      <c r="E754" t="s">
        <v>330</v>
      </c>
      <c r="F754" t="s">
        <v>653</v>
      </c>
      <c r="G754" t="s">
        <v>1969</v>
      </c>
      <c r="H754" t="s">
        <v>4692</v>
      </c>
    </row>
    <row r="755" spans="1:8" x14ac:dyDescent="0.25">
      <c r="A755">
        <v>1471726</v>
      </c>
      <c r="B755" t="s">
        <v>4447</v>
      </c>
      <c r="C755" t="s">
        <v>34</v>
      </c>
      <c r="D755" t="s">
        <v>329</v>
      </c>
      <c r="E755" t="s">
        <v>330</v>
      </c>
      <c r="F755" t="s">
        <v>4689</v>
      </c>
      <c r="G755" t="s">
        <v>637</v>
      </c>
      <c r="H755" t="s">
        <v>4693</v>
      </c>
    </row>
    <row r="756" spans="1:8" x14ac:dyDescent="0.25">
      <c r="A756">
        <v>1471727</v>
      </c>
      <c r="B756" t="s">
        <v>4447</v>
      </c>
      <c r="C756" t="s">
        <v>34</v>
      </c>
      <c r="D756" t="s">
        <v>329</v>
      </c>
      <c r="E756" t="s">
        <v>330</v>
      </c>
      <c r="F756" t="s">
        <v>4690</v>
      </c>
      <c r="G756" t="s">
        <v>653</v>
      </c>
      <c r="H756" t="s">
        <v>4694</v>
      </c>
    </row>
    <row r="757" spans="1:8" x14ac:dyDescent="0.25">
      <c r="A757">
        <v>1471816</v>
      </c>
      <c r="B757" t="s">
        <v>4447</v>
      </c>
      <c r="C757" t="s">
        <v>100</v>
      </c>
      <c r="D757" t="s">
        <v>329</v>
      </c>
      <c r="E757" t="s">
        <v>330</v>
      </c>
      <c r="F757" t="s">
        <v>631</v>
      </c>
      <c r="G757" t="s">
        <v>542</v>
      </c>
      <c r="H757" t="s">
        <v>4695</v>
      </c>
    </row>
    <row r="758" spans="1:8" x14ac:dyDescent="0.25">
      <c r="A758">
        <v>1474657</v>
      </c>
      <c r="B758" t="s">
        <v>4447</v>
      </c>
      <c r="C758" t="s">
        <v>100</v>
      </c>
      <c r="D758" t="s">
        <v>267</v>
      </c>
      <c r="E758" t="s">
        <v>4696</v>
      </c>
      <c r="F758" t="s">
        <v>4697</v>
      </c>
      <c r="G758" t="s">
        <v>4698</v>
      </c>
      <c r="H758" t="s">
        <v>4699</v>
      </c>
    </row>
    <row r="759" spans="1:8" x14ac:dyDescent="0.25">
      <c r="A759">
        <v>1474658</v>
      </c>
      <c r="B759" t="s">
        <v>4447</v>
      </c>
      <c r="C759" t="s">
        <v>32</v>
      </c>
      <c r="D759" t="s">
        <v>267</v>
      </c>
      <c r="E759" t="s">
        <v>4696</v>
      </c>
      <c r="F759" t="s">
        <v>4700</v>
      </c>
      <c r="G759" t="s">
        <v>4701</v>
      </c>
      <c r="H759" t="s">
        <v>4702</v>
      </c>
    </row>
    <row r="760" spans="1:8" x14ac:dyDescent="0.25">
      <c r="A760">
        <v>1474660</v>
      </c>
      <c r="B760" t="s">
        <v>4447</v>
      </c>
      <c r="C760" t="s">
        <v>32</v>
      </c>
      <c r="D760" t="s">
        <v>267</v>
      </c>
      <c r="E760" t="s">
        <v>4696</v>
      </c>
      <c r="F760" t="s">
        <v>4703</v>
      </c>
      <c r="G760" t="s">
        <v>4704</v>
      </c>
      <c r="H760" t="s">
        <v>4705</v>
      </c>
    </row>
    <row r="761" spans="1:8" x14ac:dyDescent="0.25">
      <c r="A761">
        <v>1474661</v>
      </c>
      <c r="B761" t="s">
        <v>4447</v>
      </c>
      <c r="C761" t="s">
        <v>100</v>
      </c>
      <c r="D761" t="s">
        <v>267</v>
      </c>
      <c r="E761" t="s">
        <v>4696</v>
      </c>
      <c r="F761" t="s">
        <v>4706</v>
      </c>
      <c r="G761" t="s">
        <v>4707</v>
      </c>
      <c r="H761" t="s">
        <v>4708</v>
      </c>
    </row>
    <row r="762" spans="1:8" x14ac:dyDescent="0.25">
      <c r="A762">
        <v>1474836</v>
      </c>
      <c r="B762" t="s">
        <v>4447</v>
      </c>
      <c r="C762" t="s">
        <v>32</v>
      </c>
      <c r="D762" t="s">
        <v>267</v>
      </c>
      <c r="E762" t="s">
        <v>632</v>
      </c>
      <c r="F762" t="s">
        <v>4709</v>
      </c>
      <c r="G762" t="s">
        <v>4710</v>
      </c>
      <c r="H762" t="s">
        <v>4711</v>
      </c>
    </row>
    <row r="763" spans="1:8" x14ac:dyDescent="0.25">
      <c r="A763">
        <v>1474839</v>
      </c>
      <c r="B763" t="s">
        <v>4447</v>
      </c>
      <c r="C763" t="s">
        <v>32</v>
      </c>
      <c r="D763" t="s">
        <v>267</v>
      </c>
      <c r="E763" t="s">
        <v>632</v>
      </c>
      <c r="F763" t="s">
        <v>4712</v>
      </c>
      <c r="G763" t="s">
        <v>4713</v>
      </c>
      <c r="H763" t="s">
        <v>4714</v>
      </c>
    </row>
    <row r="764" spans="1:8" x14ac:dyDescent="0.25">
      <c r="A764">
        <v>1474842</v>
      </c>
      <c r="B764" t="s">
        <v>4447</v>
      </c>
      <c r="C764" t="s">
        <v>100</v>
      </c>
      <c r="D764" t="s">
        <v>267</v>
      </c>
      <c r="E764" t="s">
        <v>632</v>
      </c>
      <c r="F764" t="s">
        <v>4715</v>
      </c>
      <c r="G764" t="s">
        <v>1756</v>
      </c>
      <c r="H764" t="s">
        <v>4716</v>
      </c>
    </row>
    <row r="765" spans="1:8" x14ac:dyDescent="0.25">
      <c r="A765">
        <v>1475503</v>
      </c>
      <c r="B765" t="s">
        <v>4447</v>
      </c>
      <c r="C765" t="s">
        <v>100</v>
      </c>
      <c r="D765" t="s">
        <v>326</v>
      </c>
      <c r="E765" t="s">
        <v>633</v>
      </c>
      <c r="F765" t="s">
        <v>4717</v>
      </c>
      <c r="G765" t="s">
        <v>4718</v>
      </c>
      <c r="H765" t="s">
        <v>4719</v>
      </c>
    </row>
    <row r="766" spans="1:8" x14ac:dyDescent="0.25">
      <c r="A766">
        <v>1475504</v>
      </c>
      <c r="B766" t="s">
        <v>4447</v>
      </c>
      <c r="C766" t="s">
        <v>100</v>
      </c>
      <c r="D766" t="s">
        <v>326</v>
      </c>
      <c r="E766" t="s">
        <v>633</v>
      </c>
      <c r="F766" t="s">
        <v>4720</v>
      </c>
      <c r="G766" t="s">
        <v>4721</v>
      </c>
      <c r="H766" t="s">
        <v>4722</v>
      </c>
    </row>
    <row r="767" spans="1:8" x14ac:dyDescent="0.25">
      <c r="A767">
        <v>1475505</v>
      </c>
      <c r="B767" t="s">
        <v>4447</v>
      </c>
      <c r="C767" t="s">
        <v>100</v>
      </c>
      <c r="D767" t="s">
        <v>326</v>
      </c>
      <c r="E767" t="s">
        <v>633</v>
      </c>
      <c r="F767" t="s">
        <v>4723</v>
      </c>
      <c r="G767" t="s">
        <v>4724</v>
      </c>
      <c r="H767" t="s">
        <v>4725</v>
      </c>
    </row>
    <row r="768" spans="1:8" x14ac:dyDescent="0.25">
      <c r="A768">
        <v>1475506</v>
      </c>
      <c r="B768" t="s">
        <v>4447</v>
      </c>
      <c r="C768" t="s">
        <v>100</v>
      </c>
      <c r="D768" t="s">
        <v>326</v>
      </c>
      <c r="E768" t="s">
        <v>633</v>
      </c>
      <c r="F768" t="s">
        <v>4726</v>
      </c>
      <c r="G768" t="s">
        <v>1760</v>
      </c>
      <c r="H768" t="s">
        <v>4727</v>
      </c>
    </row>
    <row r="769" spans="1:8" x14ac:dyDescent="0.25">
      <c r="A769">
        <v>1475507</v>
      </c>
      <c r="B769" t="s">
        <v>4447</v>
      </c>
      <c r="C769" t="s">
        <v>100</v>
      </c>
      <c r="D769" t="s">
        <v>326</v>
      </c>
      <c r="E769" t="s">
        <v>633</v>
      </c>
      <c r="F769" t="s">
        <v>4728</v>
      </c>
      <c r="G769" t="s">
        <v>4729</v>
      </c>
      <c r="H769" t="s">
        <v>4730</v>
      </c>
    </row>
    <row r="770" spans="1:8" x14ac:dyDescent="0.25">
      <c r="A770">
        <v>1475508</v>
      </c>
      <c r="B770" t="s">
        <v>4447</v>
      </c>
      <c r="C770" t="s">
        <v>100</v>
      </c>
      <c r="D770" t="s">
        <v>326</v>
      </c>
      <c r="E770" t="s">
        <v>633</v>
      </c>
      <c r="F770" t="s">
        <v>4731</v>
      </c>
      <c r="G770" t="s">
        <v>4732</v>
      </c>
      <c r="H770" t="s">
        <v>4733</v>
      </c>
    </row>
    <row r="771" spans="1:8" x14ac:dyDescent="0.25">
      <c r="A771">
        <v>1475509</v>
      </c>
      <c r="B771" t="s">
        <v>4447</v>
      </c>
      <c r="C771" t="s">
        <v>32</v>
      </c>
      <c r="D771" t="s">
        <v>326</v>
      </c>
      <c r="E771" t="s">
        <v>633</v>
      </c>
      <c r="F771" t="s">
        <v>4734</v>
      </c>
      <c r="G771" t="s">
        <v>4735</v>
      </c>
      <c r="H771" t="s">
        <v>4736</v>
      </c>
    </row>
    <row r="772" spans="1:8" x14ac:dyDescent="0.25">
      <c r="A772">
        <v>1480403</v>
      </c>
      <c r="B772" t="s">
        <v>4447</v>
      </c>
      <c r="C772" t="s">
        <v>32</v>
      </c>
      <c r="D772" t="s">
        <v>267</v>
      </c>
      <c r="E772" t="s">
        <v>4696</v>
      </c>
      <c r="F772" t="s">
        <v>4737</v>
      </c>
      <c r="G772" t="s">
        <v>4738</v>
      </c>
      <c r="H772" t="s">
        <v>4739</v>
      </c>
    </row>
    <row r="773" spans="1:8" x14ac:dyDescent="0.25">
      <c r="A773">
        <v>1487356</v>
      </c>
      <c r="B773" t="s">
        <v>4447</v>
      </c>
      <c r="C773" t="s">
        <v>100</v>
      </c>
      <c r="D773" t="s">
        <v>381</v>
      </c>
      <c r="E773" t="s">
        <v>548</v>
      </c>
      <c r="F773" t="s">
        <v>4740</v>
      </c>
      <c r="G773" t="s">
        <v>883</v>
      </c>
      <c r="H773" t="s">
        <v>4741</v>
      </c>
    </row>
    <row r="774" spans="1:8" x14ac:dyDescent="0.25">
      <c r="A774">
        <v>1487361</v>
      </c>
      <c r="B774" t="s">
        <v>4447</v>
      </c>
      <c r="C774" t="s">
        <v>32</v>
      </c>
      <c r="D774" t="s">
        <v>381</v>
      </c>
      <c r="E774" t="s">
        <v>548</v>
      </c>
      <c r="F774" t="s">
        <v>1572</v>
      </c>
      <c r="G774" t="s">
        <v>884</v>
      </c>
      <c r="H774" t="s">
        <v>4742</v>
      </c>
    </row>
    <row r="775" spans="1:8" x14ac:dyDescent="0.25">
      <c r="A775">
        <v>1487520</v>
      </c>
      <c r="B775" t="s">
        <v>4447</v>
      </c>
      <c r="C775" t="s">
        <v>100</v>
      </c>
      <c r="D775" t="s">
        <v>381</v>
      </c>
      <c r="E775" t="s">
        <v>571</v>
      </c>
      <c r="F775" t="s">
        <v>1576</v>
      </c>
      <c r="G775" t="s">
        <v>4743</v>
      </c>
      <c r="H775" t="s">
        <v>4744</v>
      </c>
    </row>
    <row r="776" spans="1:8" x14ac:dyDescent="0.25">
      <c r="A776">
        <v>1487634</v>
      </c>
      <c r="B776" t="s">
        <v>4447</v>
      </c>
      <c r="C776" t="s">
        <v>32</v>
      </c>
      <c r="D776" t="s">
        <v>381</v>
      </c>
      <c r="E776" t="s">
        <v>624</v>
      </c>
      <c r="F776" t="s">
        <v>4745</v>
      </c>
      <c r="G776" t="s">
        <v>1457</v>
      </c>
      <c r="H776" t="s">
        <v>4746</v>
      </c>
    </row>
    <row r="777" spans="1:8" x14ac:dyDescent="0.25">
      <c r="A777">
        <v>1487637</v>
      </c>
      <c r="B777" t="s">
        <v>4447</v>
      </c>
      <c r="C777" t="s">
        <v>100</v>
      </c>
      <c r="D777" t="s">
        <v>381</v>
      </c>
      <c r="E777" t="s">
        <v>624</v>
      </c>
      <c r="F777" t="s">
        <v>4747</v>
      </c>
      <c r="G777" t="s">
        <v>885</v>
      </c>
      <c r="H777" t="s">
        <v>4748</v>
      </c>
    </row>
    <row r="778" spans="1:8" x14ac:dyDescent="0.25">
      <c r="A778">
        <v>1487639</v>
      </c>
      <c r="B778" t="s">
        <v>4447</v>
      </c>
      <c r="C778" t="s">
        <v>32</v>
      </c>
      <c r="D778" t="s">
        <v>381</v>
      </c>
      <c r="E778" t="s">
        <v>624</v>
      </c>
      <c r="F778" t="s">
        <v>4749</v>
      </c>
      <c r="G778" t="s">
        <v>4750</v>
      </c>
      <c r="H778" t="s">
        <v>4751</v>
      </c>
    </row>
    <row r="779" spans="1:8" x14ac:dyDescent="0.25">
      <c r="A779">
        <v>1487742</v>
      </c>
      <c r="B779" t="s">
        <v>4447</v>
      </c>
      <c r="C779" t="s">
        <v>32</v>
      </c>
      <c r="D779" t="s">
        <v>381</v>
      </c>
      <c r="E779" t="s">
        <v>572</v>
      </c>
      <c r="F779" t="s">
        <v>4752</v>
      </c>
      <c r="G779" t="s">
        <v>1585</v>
      </c>
      <c r="H779" t="s">
        <v>4753</v>
      </c>
    </row>
    <row r="780" spans="1:8" x14ac:dyDescent="0.25">
      <c r="A780">
        <v>1487743</v>
      </c>
      <c r="B780" t="s">
        <v>4447</v>
      </c>
      <c r="C780" t="s">
        <v>32</v>
      </c>
      <c r="D780" t="s">
        <v>381</v>
      </c>
      <c r="E780" t="s">
        <v>572</v>
      </c>
      <c r="F780" t="s">
        <v>1761</v>
      </c>
      <c r="G780" t="s">
        <v>4754</v>
      </c>
      <c r="H780" t="s">
        <v>4755</v>
      </c>
    </row>
    <row r="781" spans="1:8" x14ac:dyDescent="0.25">
      <c r="A781">
        <v>1487745</v>
      </c>
      <c r="B781" t="s">
        <v>4447</v>
      </c>
      <c r="C781" t="s">
        <v>32</v>
      </c>
      <c r="D781" t="s">
        <v>381</v>
      </c>
      <c r="E781" t="s">
        <v>572</v>
      </c>
      <c r="F781" t="s">
        <v>4756</v>
      </c>
      <c r="G781" t="s">
        <v>4757</v>
      </c>
      <c r="H781" t="s">
        <v>4758</v>
      </c>
    </row>
    <row r="782" spans="1:8" x14ac:dyDescent="0.25">
      <c r="A782">
        <v>1487747</v>
      </c>
      <c r="B782" t="s">
        <v>4447</v>
      </c>
      <c r="C782" t="s">
        <v>32</v>
      </c>
      <c r="D782" t="s">
        <v>381</v>
      </c>
      <c r="E782" t="s">
        <v>572</v>
      </c>
      <c r="F782" t="s">
        <v>4759</v>
      </c>
      <c r="G782" t="s">
        <v>887</v>
      </c>
      <c r="H782" t="s">
        <v>4760</v>
      </c>
    </row>
    <row r="783" spans="1:8" x14ac:dyDescent="0.25">
      <c r="A783">
        <v>1489500</v>
      </c>
      <c r="B783" t="s">
        <v>4447</v>
      </c>
      <c r="C783" t="s">
        <v>100</v>
      </c>
      <c r="D783" t="s">
        <v>381</v>
      </c>
      <c r="E783" t="s">
        <v>573</v>
      </c>
      <c r="F783" t="s">
        <v>4761</v>
      </c>
      <c r="G783" t="s">
        <v>4762</v>
      </c>
      <c r="H783" t="s">
        <v>4763</v>
      </c>
    </row>
    <row r="784" spans="1:8" x14ac:dyDescent="0.25">
      <c r="A784">
        <v>1489505</v>
      </c>
      <c r="B784" t="s">
        <v>4447</v>
      </c>
      <c r="C784" t="s">
        <v>100</v>
      </c>
      <c r="D784" t="s">
        <v>381</v>
      </c>
      <c r="E784" t="s">
        <v>573</v>
      </c>
      <c r="F784" t="s">
        <v>4764</v>
      </c>
      <c r="G784" t="s">
        <v>868</v>
      </c>
      <c r="H784" t="s">
        <v>4765</v>
      </c>
    </row>
    <row r="785" spans="1:8" x14ac:dyDescent="0.25">
      <c r="A785">
        <v>1489640</v>
      </c>
      <c r="B785" t="s">
        <v>4447</v>
      </c>
      <c r="C785" t="s">
        <v>100</v>
      </c>
      <c r="D785" t="s">
        <v>381</v>
      </c>
      <c r="E785" t="s">
        <v>568</v>
      </c>
      <c r="F785" t="s">
        <v>4766</v>
      </c>
      <c r="G785" t="s">
        <v>908</v>
      </c>
      <c r="H785" t="s">
        <v>4767</v>
      </c>
    </row>
    <row r="786" spans="1:8" x14ac:dyDescent="0.25">
      <c r="A786">
        <v>1489772</v>
      </c>
      <c r="B786" t="s">
        <v>4447</v>
      </c>
      <c r="C786" t="s">
        <v>32</v>
      </c>
      <c r="D786" t="s">
        <v>381</v>
      </c>
      <c r="E786" t="s">
        <v>550</v>
      </c>
      <c r="F786" t="s">
        <v>909</v>
      </c>
      <c r="G786" t="s">
        <v>4768</v>
      </c>
      <c r="H786" t="s">
        <v>4769</v>
      </c>
    </row>
    <row r="787" spans="1:8" x14ac:dyDescent="0.25">
      <c r="A787">
        <v>1489773</v>
      </c>
      <c r="B787" t="s">
        <v>4447</v>
      </c>
      <c r="C787" t="s">
        <v>32</v>
      </c>
      <c r="D787" t="s">
        <v>381</v>
      </c>
      <c r="E787" t="s">
        <v>550</v>
      </c>
      <c r="F787" t="s">
        <v>4770</v>
      </c>
      <c r="G787" t="s">
        <v>1764</v>
      </c>
      <c r="H787" t="s">
        <v>4771</v>
      </c>
    </row>
    <row r="788" spans="1:8" x14ac:dyDescent="0.25">
      <c r="A788">
        <v>1489778</v>
      </c>
      <c r="B788" t="s">
        <v>4447</v>
      </c>
      <c r="C788" t="s">
        <v>32</v>
      </c>
      <c r="D788" t="s">
        <v>381</v>
      </c>
      <c r="E788" t="s">
        <v>550</v>
      </c>
      <c r="F788" t="s">
        <v>1763</v>
      </c>
      <c r="G788" t="s">
        <v>4772</v>
      </c>
      <c r="H788" t="s">
        <v>4773</v>
      </c>
    </row>
    <row r="789" spans="1:8" x14ac:dyDescent="0.25">
      <c r="A789">
        <v>1489779</v>
      </c>
      <c r="B789" t="s">
        <v>4447</v>
      </c>
      <c r="C789" t="s">
        <v>32</v>
      </c>
      <c r="D789" t="s">
        <v>381</v>
      </c>
      <c r="E789" t="s">
        <v>550</v>
      </c>
      <c r="F789" t="s">
        <v>4774</v>
      </c>
      <c r="G789" t="s">
        <v>4775</v>
      </c>
      <c r="H789" t="s">
        <v>4776</v>
      </c>
    </row>
    <row r="790" spans="1:8" x14ac:dyDescent="0.25">
      <c r="A790">
        <v>1489894</v>
      </c>
      <c r="B790" t="s">
        <v>4447</v>
      </c>
      <c r="C790" t="s">
        <v>100</v>
      </c>
      <c r="D790" t="s">
        <v>381</v>
      </c>
      <c r="E790" t="s">
        <v>574</v>
      </c>
      <c r="F790" t="s">
        <v>4777</v>
      </c>
      <c r="G790" t="s">
        <v>4778</v>
      </c>
      <c r="H790" t="s">
        <v>4779</v>
      </c>
    </row>
    <row r="791" spans="1:8" x14ac:dyDescent="0.25">
      <c r="A791">
        <v>1489897</v>
      </c>
      <c r="B791" t="s">
        <v>4447</v>
      </c>
      <c r="C791" t="s">
        <v>32</v>
      </c>
      <c r="D791" t="s">
        <v>381</v>
      </c>
      <c r="E791" t="s">
        <v>574</v>
      </c>
      <c r="F791" t="s">
        <v>1595</v>
      </c>
      <c r="G791" t="s">
        <v>4780</v>
      </c>
      <c r="H791" t="s">
        <v>4781</v>
      </c>
    </row>
    <row r="792" spans="1:8" x14ac:dyDescent="0.25">
      <c r="A792">
        <v>1490014</v>
      </c>
      <c r="B792" t="s">
        <v>4447</v>
      </c>
      <c r="C792" t="s">
        <v>100</v>
      </c>
      <c r="D792" t="s">
        <v>381</v>
      </c>
      <c r="E792" t="s">
        <v>575</v>
      </c>
      <c r="F792" t="s">
        <v>4782</v>
      </c>
      <c r="G792" t="s">
        <v>4783</v>
      </c>
      <c r="H792" t="s">
        <v>4784</v>
      </c>
    </row>
    <row r="793" spans="1:8" x14ac:dyDescent="0.25">
      <c r="A793">
        <v>1490015</v>
      </c>
      <c r="B793" t="s">
        <v>4447</v>
      </c>
      <c r="C793" t="s">
        <v>32</v>
      </c>
      <c r="D793" t="s">
        <v>381</v>
      </c>
      <c r="E793" t="s">
        <v>575</v>
      </c>
      <c r="F793" t="s">
        <v>4785</v>
      </c>
      <c r="G793" t="s">
        <v>4786</v>
      </c>
      <c r="H793" t="s">
        <v>4787</v>
      </c>
    </row>
    <row r="794" spans="1:8" x14ac:dyDescent="0.25">
      <c r="A794">
        <v>1497765</v>
      </c>
      <c r="B794" t="s">
        <v>4447</v>
      </c>
      <c r="C794" t="s">
        <v>100</v>
      </c>
      <c r="D794" t="s">
        <v>493</v>
      </c>
      <c r="E794" t="s">
        <v>265</v>
      </c>
      <c r="F794" t="s">
        <v>2146</v>
      </c>
      <c r="G794" t="s">
        <v>4788</v>
      </c>
      <c r="H794" t="s">
        <v>4789</v>
      </c>
    </row>
    <row r="795" spans="1:8" x14ac:dyDescent="0.25">
      <c r="A795">
        <v>1497897</v>
      </c>
      <c r="B795" t="s">
        <v>4447</v>
      </c>
      <c r="C795" t="s">
        <v>100</v>
      </c>
      <c r="D795" t="s">
        <v>608</v>
      </c>
      <c r="E795" t="s">
        <v>45</v>
      </c>
      <c r="F795" t="s">
        <v>4790</v>
      </c>
      <c r="G795" t="s">
        <v>4791</v>
      </c>
      <c r="H795" t="s">
        <v>4792</v>
      </c>
    </row>
    <row r="796" spans="1:8" x14ac:dyDescent="0.25">
      <c r="A796">
        <v>1502080</v>
      </c>
      <c r="B796" t="s">
        <v>4447</v>
      </c>
      <c r="C796" t="s">
        <v>100</v>
      </c>
      <c r="D796" t="s">
        <v>21</v>
      </c>
      <c r="E796" t="s">
        <v>22</v>
      </c>
      <c r="F796" t="s">
        <v>4793</v>
      </c>
      <c r="G796" t="s">
        <v>4794</v>
      </c>
      <c r="H796" t="s">
        <v>4795</v>
      </c>
    </row>
    <row r="797" spans="1:8" x14ac:dyDescent="0.25">
      <c r="A797">
        <v>1502081</v>
      </c>
      <c r="B797" t="s">
        <v>4447</v>
      </c>
      <c r="C797" t="s">
        <v>32</v>
      </c>
      <c r="D797" t="s">
        <v>21</v>
      </c>
      <c r="E797" t="s">
        <v>22</v>
      </c>
      <c r="F797" t="s">
        <v>4796</v>
      </c>
      <c r="G797" t="s">
        <v>4797</v>
      </c>
      <c r="H797" t="s">
        <v>4798</v>
      </c>
    </row>
    <row r="798" spans="1:8" x14ac:dyDescent="0.25">
      <c r="A798">
        <v>1502219</v>
      </c>
      <c r="B798" t="s">
        <v>4447</v>
      </c>
      <c r="C798" t="s">
        <v>100</v>
      </c>
      <c r="D798" t="s">
        <v>21</v>
      </c>
      <c r="E798" t="s">
        <v>4799</v>
      </c>
      <c r="F798" t="s">
        <v>4800</v>
      </c>
      <c r="G798" t="s">
        <v>4801</v>
      </c>
      <c r="H798" t="s">
        <v>4802</v>
      </c>
    </row>
    <row r="799" spans="1:8" x14ac:dyDescent="0.25">
      <c r="A799">
        <v>1502220</v>
      </c>
      <c r="B799" t="s">
        <v>4447</v>
      </c>
      <c r="C799" t="s">
        <v>100</v>
      </c>
      <c r="D799" t="s">
        <v>21</v>
      </c>
      <c r="E799" t="s">
        <v>4799</v>
      </c>
      <c r="F799" t="s">
        <v>4803</v>
      </c>
      <c r="G799" t="s">
        <v>4804</v>
      </c>
      <c r="H799" t="s">
        <v>4805</v>
      </c>
    </row>
    <row r="800" spans="1:8" x14ac:dyDescent="0.25">
      <c r="A800">
        <v>1502406</v>
      </c>
      <c r="B800" t="s">
        <v>4447</v>
      </c>
      <c r="C800" t="s">
        <v>32</v>
      </c>
      <c r="D800" t="s">
        <v>21</v>
      </c>
      <c r="E800" t="s">
        <v>22</v>
      </c>
      <c r="F800" t="s">
        <v>4806</v>
      </c>
      <c r="G800" t="s">
        <v>4807</v>
      </c>
      <c r="H800" t="s">
        <v>4808</v>
      </c>
    </row>
    <row r="801" spans="1:8" x14ac:dyDescent="0.25">
      <c r="A801">
        <v>1506236</v>
      </c>
      <c r="B801" t="s">
        <v>4447</v>
      </c>
      <c r="C801" t="s">
        <v>100</v>
      </c>
      <c r="D801" t="s">
        <v>326</v>
      </c>
      <c r="E801" t="s">
        <v>4809</v>
      </c>
      <c r="F801" t="s">
        <v>4810</v>
      </c>
      <c r="G801" t="s">
        <v>4811</v>
      </c>
      <c r="H801" t="s">
        <v>4812</v>
      </c>
    </row>
    <row r="802" spans="1:8" x14ac:dyDescent="0.25">
      <c r="A802">
        <v>1506237</v>
      </c>
      <c r="B802" t="s">
        <v>4447</v>
      </c>
      <c r="C802" t="s">
        <v>100</v>
      </c>
      <c r="D802" t="s">
        <v>326</v>
      </c>
      <c r="E802" t="s">
        <v>4809</v>
      </c>
      <c r="F802" t="s">
        <v>4813</v>
      </c>
      <c r="G802" t="s">
        <v>4814</v>
      </c>
      <c r="H802" t="s">
        <v>4815</v>
      </c>
    </row>
    <row r="803" spans="1:8" x14ac:dyDescent="0.25">
      <c r="A803">
        <v>1506238</v>
      </c>
      <c r="B803" t="s">
        <v>4447</v>
      </c>
      <c r="C803" t="s">
        <v>100</v>
      </c>
      <c r="D803" t="s">
        <v>326</v>
      </c>
      <c r="E803" t="s">
        <v>4809</v>
      </c>
      <c r="F803" t="s">
        <v>4816</v>
      </c>
      <c r="G803" t="s">
        <v>4817</v>
      </c>
      <c r="H803" t="s">
        <v>4818</v>
      </c>
    </row>
    <row r="804" spans="1:8" x14ac:dyDescent="0.25">
      <c r="A804">
        <v>1506239</v>
      </c>
      <c r="B804" t="s">
        <v>4447</v>
      </c>
      <c r="C804" t="s">
        <v>100</v>
      </c>
      <c r="D804" t="s">
        <v>326</v>
      </c>
      <c r="E804" t="s">
        <v>4809</v>
      </c>
      <c r="F804" t="s">
        <v>4819</v>
      </c>
      <c r="G804" t="s">
        <v>4820</v>
      </c>
      <c r="H804" t="s">
        <v>4821</v>
      </c>
    </row>
    <row r="805" spans="1:8" x14ac:dyDescent="0.25">
      <c r="A805">
        <v>1506240</v>
      </c>
      <c r="B805" t="s">
        <v>4447</v>
      </c>
      <c r="C805" t="s">
        <v>100</v>
      </c>
      <c r="D805" t="s">
        <v>326</v>
      </c>
      <c r="E805" t="s">
        <v>4809</v>
      </c>
      <c r="F805" t="s">
        <v>4822</v>
      </c>
      <c r="G805" t="s">
        <v>4823</v>
      </c>
      <c r="H805" t="s">
        <v>4824</v>
      </c>
    </row>
    <row r="806" spans="1:8" x14ac:dyDescent="0.25">
      <c r="A806">
        <v>1506241</v>
      </c>
      <c r="B806" t="s">
        <v>4447</v>
      </c>
      <c r="C806" t="s">
        <v>32</v>
      </c>
      <c r="D806" t="s">
        <v>326</v>
      </c>
      <c r="E806" t="s">
        <v>4809</v>
      </c>
      <c r="F806" t="s">
        <v>4825</v>
      </c>
      <c r="G806" t="s">
        <v>4826</v>
      </c>
      <c r="H806" t="s">
        <v>4827</v>
      </c>
    </row>
    <row r="807" spans="1:8" x14ac:dyDescent="0.25">
      <c r="A807">
        <v>1506242</v>
      </c>
      <c r="B807" t="s">
        <v>4447</v>
      </c>
      <c r="C807" t="s">
        <v>100</v>
      </c>
      <c r="D807" t="s">
        <v>326</v>
      </c>
      <c r="E807" t="s">
        <v>4809</v>
      </c>
      <c r="F807" t="s">
        <v>4828</v>
      </c>
      <c r="G807" t="s">
        <v>4829</v>
      </c>
      <c r="H807" t="s">
        <v>4830</v>
      </c>
    </row>
    <row r="808" spans="1:8" x14ac:dyDescent="0.25">
      <c r="A808">
        <v>1508319</v>
      </c>
      <c r="B808" t="s">
        <v>4447</v>
      </c>
      <c r="C808" t="s">
        <v>32</v>
      </c>
      <c r="D808" t="s">
        <v>58</v>
      </c>
      <c r="E808" t="s">
        <v>4379</v>
      </c>
      <c r="F808" t="s">
        <v>4831</v>
      </c>
      <c r="G808" t="s">
        <v>4832</v>
      </c>
      <c r="H808" t="s">
        <v>4833</v>
      </c>
    </row>
    <row r="809" spans="1:8" x14ac:dyDescent="0.25">
      <c r="A809">
        <v>1508320</v>
      </c>
      <c r="B809" t="s">
        <v>4447</v>
      </c>
      <c r="C809" t="s">
        <v>32</v>
      </c>
      <c r="D809" t="s">
        <v>58</v>
      </c>
      <c r="E809" t="s">
        <v>4379</v>
      </c>
      <c r="F809" t="s">
        <v>4834</v>
      </c>
      <c r="G809" t="s">
        <v>4835</v>
      </c>
      <c r="H809" t="s">
        <v>4836</v>
      </c>
    </row>
    <row r="810" spans="1:8" x14ac:dyDescent="0.25">
      <c r="A810">
        <v>1509728</v>
      </c>
      <c r="B810" t="s">
        <v>4447</v>
      </c>
      <c r="C810" t="s">
        <v>32</v>
      </c>
      <c r="D810" t="s">
        <v>58</v>
      </c>
      <c r="E810" t="s">
        <v>3303</v>
      </c>
      <c r="F810" t="s">
        <v>4837</v>
      </c>
      <c r="G810" t="s">
        <v>4838</v>
      </c>
      <c r="H810" t="s">
        <v>4839</v>
      </c>
    </row>
    <row r="811" spans="1:8" x14ac:dyDescent="0.25">
      <c r="A811">
        <v>1515169</v>
      </c>
      <c r="B811" t="s">
        <v>4447</v>
      </c>
      <c r="C811" t="s">
        <v>32</v>
      </c>
      <c r="D811" t="s">
        <v>44</v>
      </c>
      <c r="E811" t="s">
        <v>4117</v>
      </c>
      <c r="F811" t="s">
        <v>4840</v>
      </c>
      <c r="G811" t="s">
        <v>4841</v>
      </c>
      <c r="H811" t="s">
        <v>4842</v>
      </c>
    </row>
    <row r="812" spans="1:8" x14ac:dyDescent="0.25">
      <c r="A812">
        <v>1515216</v>
      </c>
      <c r="B812" t="s">
        <v>4447</v>
      </c>
      <c r="C812" t="s">
        <v>100</v>
      </c>
      <c r="D812" t="s">
        <v>85</v>
      </c>
      <c r="E812" t="s">
        <v>634</v>
      </c>
      <c r="F812" t="s">
        <v>4843</v>
      </c>
      <c r="G812" t="s">
        <v>4844</v>
      </c>
      <c r="H812" t="s">
        <v>4845</v>
      </c>
    </row>
    <row r="813" spans="1:8" x14ac:dyDescent="0.25">
      <c r="A813">
        <v>1515217</v>
      </c>
      <c r="B813" t="s">
        <v>4447</v>
      </c>
      <c r="C813" t="s">
        <v>100</v>
      </c>
      <c r="D813" t="s">
        <v>85</v>
      </c>
      <c r="E813" t="s">
        <v>634</v>
      </c>
      <c r="F813" t="s">
        <v>1498</v>
      </c>
      <c r="G813" t="s">
        <v>1767</v>
      </c>
      <c r="H813" t="s">
        <v>4846</v>
      </c>
    </row>
    <row r="814" spans="1:8" x14ac:dyDescent="0.25">
      <c r="A814">
        <v>1515786</v>
      </c>
      <c r="B814" t="s">
        <v>4447</v>
      </c>
      <c r="C814" t="s">
        <v>100</v>
      </c>
      <c r="D814" t="s">
        <v>544</v>
      </c>
      <c r="E814" t="s">
        <v>545</v>
      </c>
      <c r="F814" t="s">
        <v>4847</v>
      </c>
      <c r="G814" t="s">
        <v>4848</v>
      </c>
      <c r="H814" t="s">
        <v>4849</v>
      </c>
    </row>
    <row r="815" spans="1:8" x14ac:dyDescent="0.25">
      <c r="A815">
        <v>1517435</v>
      </c>
      <c r="B815" t="s">
        <v>4447</v>
      </c>
      <c r="C815" t="s">
        <v>32</v>
      </c>
      <c r="D815" t="s">
        <v>21</v>
      </c>
      <c r="E815" t="s">
        <v>22</v>
      </c>
      <c r="F815" t="s">
        <v>4064</v>
      </c>
      <c r="G815" t="s">
        <v>4850</v>
      </c>
      <c r="H815" t="s">
        <v>4851</v>
      </c>
    </row>
    <row r="816" spans="1:8" x14ac:dyDescent="0.25">
      <c r="A816">
        <v>1518524</v>
      </c>
      <c r="B816" t="s">
        <v>4447</v>
      </c>
      <c r="C816" t="s">
        <v>32</v>
      </c>
      <c r="D816" t="s">
        <v>43</v>
      </c>
      <c r="E816" t="s">
        <v>576</v>
      </c>
      <c r="F816" t="s">
        <v>957</v>
      </c>
      <c r="G816" t="s">
        <v>960</v>
      </c>
      <c r="H816" t="s">
        <v>4852</v>
      </c>
    </row>
    <row r="817" spans="1:8" x14ac:dyDescent="0.25">
      <c r="A817">
        <v>1518558</v>
      </c>
      <c r="B817" t="s">
        <v>4447</v>
      </c>
      <c r="C817" t="s">
        <v>32</v>
      </c>
      <c r="D817" t="s">
        <v>43</v>
      </c>
      <c r="E817" t="s">
        <v>576</v>
      </c>
      <c r="F817" t="s">
        <v>4853</v>
      </c>
      <c r="G817" t="s">
        <v>4854</v>
      </c>
      <c r="H817" t="s">
        <v>4855</v>
      </c>
    </row>
    <row r="818" spans="1:8" x14ac:dyDescent="0.25">
      <c r="A818">
        <v>1521312</v>
      </c>
      <c r="B818" t="s">
        <v>4447</v>
      </c>
      <c r="C818" t="s">
        <v>100</v>
      </c>
      <c r="D818" t="s">
        <v>260</v>
      </c>
      <c r="E818" t="s">
        <v>261</v>
      </c>
      <c r="F818" t="s">
        <v>4856</v>
      </c>
      <c r="G818" t="s">
        <v>2482</v>
      </c>
      <c r="H818" t="s">
        <v>4857</v>
      </c>
    </row>
    <row r="819" spans="1:8" x14ac:dyDescent="0.25">
      <c r="A819">
        <v>1523341</v>
      </c>
      <c r="B819" t="s">
        <v>4447</v>
      </c>
      <c r="C819" t="s">
        <v>100</v>
      </c>
      <c r="D819" t="s">
        <v>616</v>
      </c>
      <c r="E819" t="s">
        <v>617</v>
      </c>
      <c r="F819" t="s">
        <v>4858</v>
      </c>
      <c r="G819" t="s">
        <v>4859</v>
      </c>
      <c r="H819" t="s">
        <v>4860</v>
      </c>
    </row>
    <row r="820" spans="1:8" x14ac:dyDescent="0.25">
      <c r="A820">
        <v>1528794</v>
      </c>
      <c r="B820" t="s">
        <v>4447</v>
      </c>
      <c r="C820" t="s">
        <v>100</v>
      </c>
      <c r="D820" t="s">
        <v>377</v>
      </c>
      <c r="E820" t="s">
        <v>45</v>
      </c>
      <c r="F820" t="s">
        <v>859</v>
      </c>
      <c r="G820" t="s">
        <v>4861</v>
      </c>
      <c r="H820" t="s">
        <v>4862</v>
      </c>
    </row>
    <row r="821" spans="1:8" x14ac:dyDescent="0.25">
      <c r="A821">
        <v>1529485</v>
      </c>
      <c r="B821" t="s">
        <v>4447</v>
      </c>
      <c r="C821" t="s">
        <v>100</v>
      </c>
      <c r="D821" t="s">
        <v>544</v>
      </c>
      <c r="E821" t="s">
        <v>4863</v>
      </c>
      <c r="F821" t="s">
        <v>4864</v>
      </c>
      <c r="G821" t="s">
        <v>4865</v>
      </c>
      <c r="H821" t="s">
        <v>4866</v>
      </c>
    </row>
    <row r="822" spans="1:8" x14ac:dyDescent="0.25">
      <c r="A822">
        <v>1529486</v>
      </c>
      <c r="B822" t="s">
        <v>4447</v>
      </c>
      <c r="C822" t="s">
        <v>100</v>
      </c>
      <c r="D822" t="s">
        <v>544</v>
      </c>
      <c r="E822" t="s">
        <v>4863</v>
      </c>
      <c r="F822" t="s">
        <v>4867</v>
      </c>
      <c r="G822" t="s">
        <v>4868</v>
      </c>
      <c r="H822" t="s">
        <v>4869</v>
      </c>
    </row>
    <row r="823" spans="1:8" x14ac:dyDescent="0.25">
      <c r="A823">
        <v>1529777</v>
      </c>
      <c r="B823" t="s">
        <v>4447</v>
      </c>
      <c r="C823" t="s">
        <v>32</v>
      </c>
      <c r="D823" t="s">
        <v>63</v>
      </c>
      <c r="E823" t="s">
        <v>625</v>
      </c>
      <c r="F823" t="s">
        <v>4870</v>
      </c>
      <c r="G823" t="s">
        <v>1607</v>
      </c>
      <c r="H823" t="s">
        <v>4871</v>
      </c>
    </row>
    <row r="824" spans="1:8" x14ac:dyDescent="0.25">
      <c r="A824">
        <v>1529778</v>
      </c>
      <c r="B824" t="s">
        <v>4447</v>
      </c>
      <c r="C824" t="s">
        <v>32</v>
      </c>
      <c r="D824" t="s">
        <v>63</v>
      </c>
      <c r="E824" t="s">
        <v>625</v>
      </c>
      <c r="F824" t="s">
        <v>4872</v>
      </c>
      <c r="G824" t="s">
        <v>969</v>
      </c>
      <c r="H824" t="s">
        <v>4873</v>
      </c>
    </row>
    <row r="825" spans="1:8" x14ac:dyDescent="0.25">
      <c r="A825">
        <v>1529779</v>
      </c>
      <c r="B825" t="s">
        <v>4447</v>
      </c>
      <c r="C825" t="s">
        <v>32</v>
      </c>
      <c r="D825" t="s">
        <v>63</v>
      </c>
      <c r="E825" t="s">
        <v>625</v>
      </c>
      <c r="F825" t="s">
        <v>4874</v>
      </c>
      <c r="G825" t="s">
        <v>4875</v>
      </c>
      <c r="H825" t="s">
        <v>4876</v>
      </c>
    </row>
    <row r="826" spans="1:8" x14ac:dyDescent="0.25">
      <c r="A826">
        <v>1529780</v>
      </c>
      <c r="B826" t="s">
        <v>4447</v>
      </c>
      <c r="C826" t="s">
        <v>32</v>
      </c>
      <c r="D826" t="s">
        <v>63</v>
      </c>
      <c r="E826" t="s">
        <v>625</v>
      </c>
      <c r="F826" t="s">
        <v>4877</v>
      </c>
      <c r="G826" t="s">
        <v>4878</v>
      </c>
      <c r="H826" t="s">
        <v>4879</v>
      </c>
    </row>
    <row r="827" spans="1:8" x14ac:dyDescent="0.25">
      <c r="A827">
        <v>1529781</v>
      </c>
      <c r="B827" t="s">
        <v>4447</v>
      </c>
      <c r="C827" t="s">
        <v>32</v>
      </c>
      <c r="D827" t="s">
        <v>63</v>
      </c>
      <c r="E827" t="s">
        <v>625</v>
      </c>
      <c r="F827" t="s">
        <v>4880</v>
      </c>
      <c r="G827" t="s">
        <v>4881</v>
      </c>
      <c r="H827" t="s">
        <v>4882</v>
      </c>
    </row>
    <row r="828" spans="1:8" x14ac:dyDescent="0.25">
      <c r="A828">
        <v>1529782</v>
      </c>
      <c r="B828" t="s">
        <v>4447</v>
      </c>
      <c r="C828" t="s">
        <v>32</v>
      </c>
      <c r="D828" t="s">
        <v>63</v>
      </c>
      <c r="E828" t="s">
        <v>625</v>
      </c>
      <c r="F828" t="s">
        <v>4883</v>
      </c>
      <c r="G828" t="s">
        <v>4884</v>
      </c>
      <c r="H828" t="s">
        <v>4885</v>
      </c>
    </row>
    <row r="829" spans="1:8" x14ac:dyDescent="0.25">
      <c r="A829">
        <v>1529896</v>
      </c>
      <c r="B829" t="s">
        <v>4447</v>
      </c>
      <c r="C829" t="s">
        <v>100</v>
      </c>
      <c r="D829" t="s">
        <v>377</v>
      </c>
      <c r="E829" t="s">
        <v>2796</v>
      </c>
      <c r="F829" t="s">
        <v>4886</v>
      </c>
      <c r="G829" t="s">
        <v>4887</v>
      </c>
      <c r="H829" t="s">
        <v>4888</v>
      </c>
    </row>
    <row r="830" spans="1:8" x14ac:dyDescent="0.25">
      <c r="A830">
        <v>1530700</v>
      </c>
      <c r="B830" t="s">
        <v>4447</v>
      </c>
      <c r="C830" t="s">
        <v>32</v>
      </c>
      <c r="D830" t="s">
        <v>20</v>
      </c>
      <c r="E830" t="s">
        <v>618</v>
      </c>
      <c r="F830" t="s">
        <v>2526</v>
      </c>
      <c r="G830" t="s">
        <v>4889</v>
      </c>
      <c r="H830" t="s">
        <v>4890</v>
      </c>
    </row>
    <row r="831" spans="1:8" x14ac:dyDescent="0.25">
      <c r="A831">
        <v>1531606</v>
      </c>
      <c r="B831" t="s">
        <v>4447</v>
      </c>
      <c r="C831" t="s">
        <v>32</v>
      </c>
      <c r="D831" t="s">
        <v>90</v>
      </c>
      <c r="E831" t="s">
        <v>55</v>
      </c>
      <c r="F831" t="s">
        <v>4891</v>
      </c>
      <c r="G831" t="s">
        <v>4892</v>
      </c>
      <c r="H831" t="s">
        <v>4893</v>
      </c>
    </row>
    <row r="832" spans="1:8" x14ac:dyDescent="0.25">
      <c r="A832">
        <v>1531607</v>
      </c>
      <c r="B832" t="s">
        <v>4447</v>
      </c>
      <c r="C832" t="s">
        <v>4162</v>
      </c>
      <c r="D832" t="s">
        <v>90</v>
      </c>
      <c r="E832" t="s">
        <v>55</v>
      </c>
      <c r="F832" t="s">
        <v>4894</v>
      </c>
      <c r="G832" t="s">
        <v>4895</v>
      </c>
      <c r="H832" t="s">
        <v>4896</v>
      </c>
    </row>
    <row r="833" spans="1:8" x14ac:dyDescent="0.25">
      <c r="A833">
        <v>1531608</v>
      </c>
      <c r="B833" t="s">
        <v>4447</v>
      </c>
      <c r="C833" t="s">
        <v>32</v>
      </c>
      <c r="D833" t="s">
        <v>90</v>
      </c>
      <c r="E833" t="s">
        <v>55</v>
      </c>
      <c r="F833" t="s">
        <v>4897</v>
      </c>
      <c r="G833" t="s">
        <v>4898</v>
      </c>
      <c r="H833" t="s">
        <v>4899</v>
      </c>
    </row>
    <row r="834" spans="1:8" x14ac:dyDescent="0.25">
      <c r="A834">
        <v>1531610</v>
      </c>
      <c r="B834" t="s">
        <v>4447</v>
      </c>
      <c r="C834" t="s">
        <v>32</v>
      </c>
      <c r="D834" t="s">
        <v>90</v>
      </c>
      <c r="E834" t="s">
        <v>55</v>
      </c>
      <c r="F834" t="s">
        <v>4900</v>
      </c>
      <c r="G834" t="s">
        <v>4901</v>
      </c>
      <c r="H834" t="s">
        <v>4902</v>
      </c>
    </row>
    <row r="835" spans="1:8" x14ac:dyDescent="0.25">
      <c r="A835">
        <v>1534568</v>
      </c>
      <c r="B835" t="s">
        <v>4447</v>
      </c>
      <c r="C835" t="s">
        <v>100</v>
      </c>
      <c r="D835" t="s">
        <v>90</v>
      </c>
      <c r="E835" t="s">
        <v>91</v>
      </c>
      <c r="F835" t="s">
        <v>4903</v>
      </c>
      <c r="G835" t="s">
        <v>4904</v>
      </c>
      <c r="H835" t="s">
        <v>4905</v>
      </c>
    </row>
    <row r="836" spans="1:8" x14ac:dyDescent="0.25">
      <c r="A836">
        <v>1535594</v>
      </c>
      <c r="B836" t="s">
        <v>4447</v>
      </c>
      <c r="C836" t="s">
        <v>32</v>
      </c>
      <c r="D836" t="s">
        <v>63</v>
      </c>
      <c r="E836" t="s">
        <v>635</v>
      </c>
      <c r="F836" t="s">
        <v>4906</v>
      </c>
      <c r="G836" t="s">
        <v>4907</v>
      </c>
      <c r="H836" t="s">
        <v>4908</v>
      </c>
    </row>
    <row r="837" spans="1:8" x14ac:dyDescent="0.25">
      <c r="A837">
        <v>1535595</v>
      </c>
      <c r="B837" t="s">
        <v>4447</v>
      </c>
      <c r="C837" t="s">
        <v>32</v>
      </c>
      <c r="D837" t="s">
        <v>63</v>
      </c>
      <c r="E837" t="s">
        <v>635</v>
      </c>
      <c r="F837" t="s">
        <v>4909</v>
      </c>
      <c r="G837" t="s">
        <v>1790</v>
      </c>
      <c r="H837" t="s">
        <v>4910</v>
      </c>
    </row>
    <row r="838" spans="1:8" x14ac:dyDescent="0.25">
      <c r="A838">
        <v>1535596</v>
      </c>
      <c r="B838" t="s">
        <v>4447</v>
      </c>
      <c r="C838" t="s">
        <v>32</v>
      </c>
      <c r="D838" t="s">
        <v>63</v>
      </c>
      <c r="E838" t="s">
        <v>635</v>
      </c>
      <c r="F838" t="s">
        <v>4911</v>
      </c>
      <c r="G838" t="s">
        <v>4912</v>
      </c>
      <c r="H838" t="s">
        <v>4913</v>
      </c>
    </row>
    <row r="839" spans="1:8" x14ac:dyDescent="0.25">
      <c r="A839">
        <v>1535597</v>
      </c>
      <c r="B839" t="s">
        <v>4447</v>
      </c>
      <c r="C839" t="s">
        <v>32</v>
      </c>
      <c r="D839" t="s">
        <v>63</v>
      </c>
      <c r="E839" t="s">
        <v>635</v>
      </c>
      <c r="F839" t="s">
        <v>4914</v>
      </c>
      <c r="G839" t="s">
        <v>1787</v>
      </c>
      <c r="H839" t="s">
        <v>4915</v>
      </c>
    </row>
    <row r="840" spans="1:8" x14ac:dyDescent="0.25">
      <c r="A840">
        <v>1535673</v>
      </c>
      <c r="B840" t="s">
        <v>4447</v>
      </c>
      <c r="C840" t="s">
        <v>32</v>
      </c>
      <c r="D840" t="s">
        <v>85</v>
      </c>
      <c r="E840" t="s">
        <v>3544</v>
      </c>
      <c r="F840" t="s">
        <v>4916</v>
      </c>
      <c r="G840" t="s">
        <v>4917</v>
      </c>
      <c r="H840" t="s">
        <v>4918</v>
      </c>
    </row>
    <row r="841" spans="1:8" x14ac:dyDescent="0.25">
      <c r="A841">
        <v>1535741</v>
      </c>
      <c r="B841" t="s">
        <v>4447</v>
      </c>
      <c r="C841" t="s">
        <v>34</v>
      </c>
      <c r="D841" t="s">
        <v>20</v>
      </c>
      <c r="E841" t="s">
        <v>4438</v>
      </c>
      <c r="F841" t="s">
        <v>4919</v>
      </c>
      <c r="G841" t="s">
        <v>4920</v>
      </c>
      <c r="H841" t="s">
        <v>4921</v>
      </c>
    </row>
    <row r="842" spans="1:8" x14ac:dyDescent="0.25">
      <c r="A842">
        <v>1435085</v>
      </c>
      <c r="B842" t="s">
        <v>4447</v>
      </c>
      <c r="C842" t="s">
        <v>32</v>
      </c>
      <c r="D842" t="s">
        <v>65</v>
      </c>
      <c r="E842" t="s">
        <v>4922</v>
      </c>
      <c r="F842" t="s">
        <v>4923</v>
      </c>
      <c r="G842" t="s">
        <v>4924</v>
      </c>
      <c r="H842" t="s">
        <v>4925</v>
      </c>
    </row>
    <row r="843" spans="1:8" x14ac:dyDescent="0.25">
      <c r="A843">
        <v>1435086</v>
      </c>
      <c r="B843" t="s">
        <v>4447</v>
      </c>
      <c r="C843" t="s">
        <v>32</v>
      </c>
      <c r="D843" t="s">
        <v>65</v>
      </c>
      <c r="E843" t="s">
        <v>4922</v>
      </c>
      <c r="F843" t="s">
        <v>4926</v>
      </c>
      <c r="G843" t="s">
        <v>4927</v>
      </c>
      <c r="H843" t="s">
        <v>4928</v>
      </c>
    </row>
    <row r="844" spans="1:8" x14ac:dyDescent="0.25">
      <c r="A844">
        <v>1526456</v>
      </c>
      <c r="B844" t="s">
        <v>4929</v>
      </c>
      <c r="C844" t="s">
        <v>32</v>
      </c>
      <c r="D844" t="s">
        <v>553</v>
      </c>
      <c r="E844" t="s">
        <v>49</v>
      </c>
      <c r="F844" t="s">
        <v>4930</v>
      </c>
      <c r="G844" t="s">
        <v>4931</v>
      </c>
      <c r="H844" t="s">
        <v>4932</v>
      </c>
    </row>
    <row r="845" spans="1:8" x14ac:dyDescent="0.25">
      <c r="A845">
        <v>1388220</v>
      </c>
      <c r="B845" t="s">
        <v>4933</v>
      </c>
      <c r="C845" t="s">
        <v>32</v>
      </c>
      <c r="D845" t="s">
        <v>267</v>
      </c>
      <c r="E845" t="s">
        <v>402</v>
      </c>
      <c r="F845" t="s">
        <v>4934</v>
      </c>
      <c r="G845" t="s">
        <v>4935</v>
      </c>
      <c r="H845" t="s">
        <v>4936</v>
      </c>
    </row>
    <row r="846" spans="1:8" x14ac:dyDescent="0.25">
      <c r="A846">
        <v>1388222</v>
      </c>
      <c r="B846" t="s">
        <v>4933</v>
      </c>
      <c r="C846" t="s">
        <v>32</v>
      </c>
      <c r="D846" t="s">
        <v>267</v>
      </c>
      <c r="E846" t="s">
        <v>402</v>
      </c>
      <c r="F846" t="s">
        <v>1617</v>
      </c>
      <c r="G846" t="s">
        <v>4937</v>
      </c>
      <c r="H846" t="s">
        <v>4938</v>
      </c>
    </row>
    <row r="847" spans="1:8" x14ac:dyDescent="0.25">
      <c r="A847">
        <v>1388543</v>
      </c>
      <c r="B847" t="s">
        <v>4933</v>
      </c>
      <c r="C847" t="s">
        <v>32</v>
      </c>
      <c r="D847" t="s">
        <v>43</v>
      </c>
      <c r="E847" t="s">
        <v>347</v>
      </c>
      <c r="F847" t="s">
        <v>4939</v>
      </c>
      <c r="G847" t="s">
        <v>2174</v>
      </c>
      <c r="H847" t="s">
        <v>4940</v>
      </c>
    </row>
    <row r="848" spans="1:8" x14ac:dyDescent="0.25">
      <c r="A848">
        <v>1388545</v>
      </c>
      <c r="B848" t="s">
        <v>4933</v>
      </c>
      <c r="C848" t="s">
        <v>32</v>
      </c>
      <c r="D848" t="s">
        <v>43</v>
      </c>
      <c r="E848" t="s">
        <v>347</v>
      </c>
      <c r="F848" t="s">
        <v>4941</v>
      </c>
      <c r="G848" t="s">
        <v>4942</v>
      </c>
      <c r="H848" t="s">
        <v>4943</v>
      </c>
    </row>
    <row r="849" spans="1:8" x14ac:dyDescent="0.25">
      <c r="A849">
        <v>1388546</v>
      </c>
      <c r="B849" t="s">
        <v>4933</v>
      </c>
      <c r="C849" t="s">
        <v>32</v>
      </c>
      <c r="D849" t="s">
        <v>43</v>
      </c>
      <c r="E849" t="s">
        <v>347</v>
      </c>
      <c r="F849" t="s">
        <v>4944</v>
      </c>
      <c r="G849" t="s">
        <v>4945</v>
      </c>
      <c r="H849" t="s">
        <v>4946</v>
      </c>
    </row>
    <row r="850" spans="1:8" x14ac:dyDescent="0.25">
      <c r="A850">
        <v>1388550</v>
      </c>
      <c r="B850" t="s">
        <v>4933</v>
      </c>
      <c r="C850" t="s">
        <v>32</v>
      </c>
      <c r="D850" t="s">
        <v>43</v>
      </c>
      <c r="E850" t="s">
        <v>347</v>
      </c>
      <c r="F850" t="s">
        <v>4947</v>
      </c>
      <c r="G850" t="s">
        <v>2175</v>
      </c>
      <c r="H850" t="s">
        <v>4948</v>
      </c>
    </row>
    <row r="851" spans="1:8" x14ac:dyDescent="0.25">
      <c r="A851">
        <v>1399207</v>
      </c>
      <c r="B851" t="s">
        <v>4933</v>
      </c>
      <c r="C851" t="s">
        <v>32</v>
      </c>
      <c r="D851" t="s">
        <v>58</v>
      </c>
      <c r="E851" t="s">
        <v>4200</v>
      </c>
      <c r="F851" t="s">
        <v>4949</v>
      </c>
      <c r="G851" t="s">
        <v>4950</v>
      </c>
      <c r="H851" t="s">
        <v>4951</v>
      </c>
    </row>
    <row r="852" spans="1:8" x14ac:dyDescent="0.25">
      <c r="A852">
        <v>1406556</v>
      </c>
      <c r="B852" t="s">
        <v>4933</v>
      </c>
      <c r="C852" t="s">
        <v>32</v>
      </c>
      <c r="D852" t="s">
        <v>43</v>
      </c>
      <c r="E852" t="s">
        <v>551</v>
      </c>
      <c r="F852" t="s">
        <v>4952</v>
      </c>
      <c r="G852" t="s">
        <v>1645</v>
      </c>
      <c r="H852" t="s">
        <v>4953</v>
      </c>
    </row>
    <row r="853" spans="1:8" x14ac:dyDescent="0.25">
      <c r="A853">
        <v>1406557</v>
      </c>
      <c r="B853" t="s">
        <v>4933</v>
      </c>
      <c r="C853" t="s">
        <v>32</v>
      </c>
      <c r="D853" t="s">
        <v>43</v>
      </c>
      <c r="E853" t="s">
        <v>551</v>
      </c>
      <c r="F853" t="s">
        <v>4954</v>
      </c>
      <c r="G853" t="s">
        <v>4955</v>
      </c>
      <c r="H853" t="s">
        <v>4956</v>
      </c>
    </row>
    <row r="854" spans="1:8" x14ac:dyDescent="0.25">
      <c r="A854">
        <v>1406561</v>
      </c>
      <c r="B854" t="s">
        <v>4933</v>
      </c>
      <c r="C854" t="s">
        <v>32</v>
      </c>
      <c r="D854" t="s">
        <v>43</v>
      </c>
      <c r="E854" t="s">
        <v>551</v>
      </c>
      <c r="F854" t="s">
        <v>4957</v>
      </c>
      <c r="G854" t="s">
        <v>4958</v>
      </c>
      <c r="H854" t="s">
        <v>4959</v>
      </c>
    </row>
    <row r="855" spans="1:8" x14ac:dyDescent="0.25">
      <c r="A855">
        <v>1406562</v>
      </c>
      <c r="B855" t="s">
        <v>4933</v>
      </c>
      <c r="C855" t="s">
        <v>32</v>
      </c>
      <c r="D855" t="s">
        <v>43</v>
      </c>
      <c r="E855" t="s">
        <v>551</v>
      </c>
      <c r="F855" t="s">
        <v>4960</v>
      </c>
      <c r="G855" t="s">
        <v>1647</v>
      </c>
      <c r="H855" t="s">
        <v>4961</v>
      </c>
    </row>
    <row r="856" spans="1:8" x14ac:dyDescent="0.25">
      <c r="A856">
        <v>1409034</v>
      </c>
      <c r="B856" t="s">
        <v>4933</v>
      </c>
      <c r="C856" t="s">
        <v>32</v>
      </c>
      <c r="D856" t="s">
        <v>43</v>
      </c>
      <c r="E856" t="s">
        <v>3777</v>
      </c>
      <c r="F856" t="s">
        <v>4962</v>
      </c>
      <c r="G856" t="s">
        <v>4963</v>
      </c>
      <c r="H856" t="s">
        <v>4964</v>
      </c>
    </row>
    <row r="857" spans="1:8" x14ac:dyDescent="0.25">
      <c r="A857">
        <v>1418646</v>
      </c>
      <c r="B857" t="s">
        <v>4933</v>
      </c>
      <c r="C857" t="s">
        <v>32</v>
      </c>
      <c r="D857" t="s">
        <v>80</v>
      </c>
      <c r="E857" t="s">
        <v>626</v>
      </c>
      <c r="F857" t="s">
        <v>4965</v>
      </c>
      <c r="G857" t="s">
        <v>4966</v>
      </c>
      <c r="H857" t="s">
        <v>4967</v>
      </c>
    </row>
    <row r="858" spans="1:8" x14ac:dyDescent="0.25">
      <c r="A858">
        <v>1462484</v>
      </c>
      <c r="B858" t="s">
        <v>4933</v>
      </c>
      <c r="C858" t="s">
        <v>32</v>
      </c>
      <c r="D858" t="s">
        <v>40</v>
      </c>
      <c r="E858" t="s">
        <v>650</v>
      </c>
      <c r="F858" t="s">
        <v>4968</v>
      </c>
      <c r="G858" t="s">
        <v>4969</v>
      </c>
      <c r="H858" t="s">
        <v>4970</v>
      </c>
    </row>
    <row r="859" spans="1:8" x14ac:dyDescent="0.25">
      <c r="A859">
        <v>1463855</v>
      </c>
      <c r="B859" t="s">
        <v>4933</v>
      </c>
      <c r="C859" t="s">
        <v>32</v>
      </c>
      <c r="D859" t="s">
        <v>332</v>
      </c>
      <c r="E859" t="s">
        <v>4971</v>
      </c>
      <c r="F859" t="s">
        <v>4972</v>
      </c>
      <c r="G859" t="s">
        <v>4973</v>
      </c>
      <c r="H859" t="s">
        <v>4974</v>
      </c>
    </row>
    <row r="860" spans="1:8" x14ac:dyDescent="0.25">
      <c r="A860">
        <v>1463856</v>
      </c>
      <c r="B860" t="s">
        <v>4933</v>
      </c>
      <c r="C860" t="s">
        <v>32</v>
      </c>
      <c r="D860" t="s">
        <v>332</v>
      </c>
      <c r="E860" t="s">
        <v>4971</v>
      </c>
      <c r="F860" t="s">
        <v>4975</v>
      </c>
      <c r="G860" t="s">
        <v>4976</v>
      </c>
      <c r="H860" t="s">
        <v>4977</v>
      </c>
    </row>
    <row r="861" spans="1:8" x14ac:dyDescent="0.25">
      <c r="A861">
        <v>1463857</v>
      </c>
      <c r="B861" t="s">
        <v>4933</v>
      </c>
      <c r="C861" t="s">
        <v>32</v>
      </c>
      <c r="D861" t="s">
        <v>332</v>
      </c>
      <c r="E861" t="s">
        <v>4971</v>
      </c>
      <c r="F861" t="s">
        <v>4978</v>
      </c>
      <c r="G861" t="s">
        <v>4979</v>
      </c>
      <c r="H861" t="s">
        <v>4980</v>
      </c>
    </row>
    <row r="862" spans="1:8" x14ac:dyDescent="0.25">
      <c r="A862">
        <v>1463858</v>
      </c>
      <c r="B862" t="s">
        <v>4933</v>
      </c>
      <c r="C862" t="s">
        <v>32</v>
      </c>
      <c r="D862" t="s">
        <v>332</v>
      </c>
      <c r="E862" t="s">
        <v>4971</v>
      </c>
      <c r="F862" t="s">
        <v>4981</v>
      </c>
      <c r="G862" t="s">
        <v>4982</v>
      </c>
      <c r="H862" t="s">
        <v>4983</v>
      </c>
    </row>
    <row r="863" spans="1:8" x14ac:dyDescent="0.25">
      <c r="A863">
        <v>1463859</v>
      </c>
      <c r="B863" t="s">
        <v>4933</v>
      </c>
      <c r="C863" t="s">
        <v>32</v>
      </c>
      <c r="D863" t="s">
        <v>332</v>
      </c>
      <c r="E863" t="s">
        <v>4971</v>
      </c>
      <c r="F863" t="s">
        <v>4984</v>
      </c>
      <c r="G863" t="s">
        <v>4985</v>
      </c>
      <c r="H863" t="s">
        <v>4986</v>
      </c>
    </row>
    <row r="864" spans="1:8" x14ac:dyDescent="0.25">
      <c r="A864">
        <v>1463860</v>
      </c>
      <c r="B864" t="s">
        <v>4933</v>
      </c>
      <c r="C864" t="s">
        <v>32</v>
      </c>
      <c r="D864" t="s">
        <v>332</v>
      </c>
      <c r="E864" t="s">
        <v>4971</v>
      </c>
      <c r="F864" t="s">
        <v>4987</v>
      </c>
      <c r="G864" t="s">
        <v>4988</v>
      </c>
      <c r="H864" t="s">
        <v>4989</v>
      </c>
    </row>
    <row r="865" spans="1:8" x14ac:dyDescent="0.25">
      <c r="A865">
        <v>1463861</v>
      </c>
      <c r="B865" t="s">
        <v>4933</v>
      </c>
      <c r="C865" t="s">
        <v>32</v>
      </c>
      <c r="D865" t="s">
        <v>332</v>
      </c>
      <c r="E865" t="s">
        <v>4971</v>
      </c>
      <c r="F865" t="s">
        <v>4990</v>
      </c>
      <c r="G865" t="s">
        <v>4991</v>
      </c>
      <c r="H865" t="s">
        <v>4992</v>
      </c>
    </row>
    <row r="866" spans="1:8" x14ac:dyDescent="0.25">
      <c r="A866">
        <v>1463862</v>
      </c>
      <c r="B866" t="s">
        <v>4933</v>
      </c>
      <c r="C866" t="s">
        <v>32</v>
      </c>
      <c r="D866" t="s">
        <v>332</v>
      </c>
      <c r="E866" t="s">
        <v>4971</v>
      </c>
      <c r="F866" t="s">
        <v>4993</v>
      </c>
      <c r="G866" t="s">
        <v>4994</v>
      </c>
      <c r="H866" t="s">
        <v>4995</v>
      </c>
    </row>
    <row r="867" spans="1:8" x14ac:dyDescent="0.25">
      <c r="A867">
        <v>1471729</v>
      </c>
      <c r="B867" t="s">
        <v>4933</v>
      </c>
      <c r="C867" t="s">
        <v>34</v>
      </c>
      <c r="D867" t="s">
        <v>329</v>
      </c>
      <c r="E867" t="s">
        <v>330</v>
      </c>
      <c r="F867" t="s">
        <v>4996</v>
      </c>
      <c r="G867" t="s">
        <v>631</v>
      </c>
      <c r="H867" t="s">
        <v>4997</v>
      </c>
    </row>
    <row r="868" spans="1:8" x14ac:dyDescent="0.25">
      <c r="A868">
        <v>1502404</v>
      </c>
      <c r="B868" t="s">
        <v>4933</v>
      </c>
      <c r="C868" t="s">
        <v>32</v>
      </c>
      <c r="D868" t="s">
        <v>21</v>
      </c>
      <c r="E868" t="s">
        <v>22</v>
      </c>
      <c r="F868" t="s">
        <v>4998</v>
      </c>
      <c r="G868" t="s">
        <v>2520</v>
      </c>
      <c r="H868" t="s">
        <v>4999</v>
      </c>
    </row>
    <row r="869" spans="1:8" x14ac:dyDescent="0.25">
      <c r="A869">
        <v>1508977</v>
      </c>
      <c r="B869" t="s">
        <v>4933</v>
      </c>
      <c r="C869" t="s">
        <v>32</v>
      </c>
      <c r="D869" t="s">
        <v>240</v>
      </c>
      <c r="E869" t="s">
        <v>49</v>
      </c>
      <c r="F869" t="s">
        <v>5000</v>
      </c>
      <c r="G869" t="s">
        <v>1603</v>
      </c>
      <c r="H869" t="s">
        <v>5001</v>
      </c>
    </row>
    <row r="870" spans="1:8" x14ac:dyDescent="0.25">
      <c r="A870">
        <v>1508978</v>
      </c>
      <c r="B870" t="s">
        <v>4933</v>
      </c>
      <c r="C870" t="s">
        <v>32</v>
      </c>
      <c r="D870" t="s">
        <v>240</v>
      </c>
      <c r="E870" t="s">
        <v>49</v>
      </c>
      <c r="F870" t="s">
        <v>5002</v>
      </c>
      <c r="G870" t="s">
        <v>5003</v>
      </c>
      <c r="H870" t="s">
        <v>5004</v>
      </c>
    </row>
    <row r="871" spans="1:8" x14ac:dyDescent="0.25">
      <c r="A871">
        <v>1509008</v>
      </c>
      <c r="B871" t="s">
        <v>4933</v>
      </c>
      <c r="C871" t="s">
        <v>32</v>
      </c>
      <c r="D871" t="s">
        <v>240</v>
      </c>
      <c r="E871" t="s">
        <v>49</v>
      </c>
      <c r="F871" t="s">
        <v>5005</v>
      </c>
      <c r="G871" t="s">
        <v>5006</v>
      </c>
      <c r="H871" t="s">
        <v>5007</v>
      </c>
    </row>
    <row r="872" spans="1:8" x14ac:dyDescent="0.25">
      <c r="A872">
        <v>1509291</v>
      </c>
      <c r="B872" t="s">
        <v>4933</v>
      </c>
      <c r="C872" t="s">
        <v>32</v>
      </c>
      <c r="D872" t="s">
        <v>44</v>
      </c>
      <c r="E872" t="s">
        <v>388</v>
      </c>
      <c r="F872" t="s">
        <v>5008</v>
      </c>
      <c r="G872" t="s">
        <v>1491</v>
      </c>
      <c r="H872" t="s">
        <v>5009</v>
      </c>
    </row>
    <row r="873" spans="1:8" x14ac:dyDescent="0.25">
      <c r="A873">
        <v>1522769</v>
      </c>
      <c r="B873" t="s">
        <v>4933</v>
      </c>
      <c r="C873" t="s">
        <v>32</v>
      </c>
      <c r="D873" t="s">
        <v>585</v>
      </c>
      <c r="E873" t="s">
        <v>586</v>
      </c>
      <c r="F873" t="s">
        <v>1311</v>
      </c>
      <c r="G873" t="s">
        <v>5010</v>
      </c>
      <c r="H873" t="s">
        <v>5011</v>
      </c>
    </row>
    <row r="874" spans="1:8" x14ac:dyDescent="0.25">
      <c r="A874">
        <v>1528480</v>
      </c>
      <c r="B874" t="s">
        <v>4933</v>
      </c>
      <c r="C874" t="s">
        <v>32</v>
      </c>
      <c r="D874" t="s">
        <v>268</v>
      </c>
      <c r="E874" t="s">
        <v>265</v>
      </c>
      <c r="F874" t="s">
        <v>5012</v>
      </c>
      <c r="G874" t="s">
        <v>1823</v>
      </c>
      <c r="H874" t="s">
        <v>5013</v>
      </c>
    </row>
    <row r="875" spans="1:8" x14ac:dyDescent="0.25">
      <c r="A875">
        <v>1528510</v>
      </c>
      <c r="B875" t="s">
        <v>4933</v>
      </c>
      <c r="C875" t="s">
        <v>32</v>
      </c>
      <c r="D875" t="s">
        <v>268</v>
      </c>
      <c r="E875" t="s">
        <v>265</v>
      </c>
      <c r="F875" t="s">
        <v>5014</v>
      </c>
      <c r="G875" t="s">
        <v>5015</v>
      </c>
      <c r="H875" t="s">
        <v>5016</v>
      </c>
    </row>
    <row r="876" spans="1:8" x14ac:dyDescent="0.25">
      <c r="A876">
        <v>1528511</v>
      </c>
      <c r="B876" t="s">
        <v>4933</v>
      </c>
      <c r="C876" t="s">
        <v>32</v>
      </c>
      <c r="D876" t="s">
        <v>268</v>
      </c>
      <c r="E876" t="s">
        <v>265</v>
      </c>
      <c r="F876" t="s">
        <v>5017</v>
      </c>
      <c r="G876" t="s">
        <v>2237</v>
      </c>
      <c r="H876" t="s">
        <v>5018</v>
      </c>
    </row>
    <row r="877" spans="1:8" x14ac:dyDescent="0.25">
      <c r="A877">
        <v>1533177</v>
      </c>
      <c r="B877" t="s">
        <v>4933</v>
      </c>
      <c r="C877" t="s">
        <v>32</v>
      </c>
      <c r="D877" t="s">
        <v>5019</v>
      </c>
      <c r="E877" t="s">
        <v>5020</v>
      </c>
      <c r="F877" t="s">
        <v>5021</v>
      </c>
      <c r="G877" t="s">
        <v>5022</v>
      </c>
      <c r="H877" t="s">
        <v>5023</v>
      </c>
    </row>
    <row r="878" spans="1:8" x14ac:dyDescent="0.25">
      <c r="A878">
        <v>1533178</v>
      </c>
      <c r="B878" t="s">
        <v>4933</v>
      </c>
      <c r="C878" t="s">
        <v>32</v>
      </c>
      <c r="D878" t="s">
        <v>5019</v>
      </c>
      <c r="E878" t="s">
        <v>5020</v>
      </c>
      <c r="F878" t="s">
        <v>5024</v>
      </c>
      <c r="G878" t="s">
        <v>5025</v>
      </c>
      <c r="H878" t="s">
        <v>5026</v>
      </c>
    </row>
    <row r="879" spans="1:8" x14ac:dyDescent="0.25">
      <c r="A879">
        <v>1533179</v>
      </c>
      <c r="B879" t="s">
        <v>4933</v>
      </c>
      <c r="C879" t="s">
        <v>32</v>
      </c>
      <c r="D879" t="s">
        <v>5019</v>
      </c>
      <c r="E879" t="s">
        <v>5020</v>
      </c>
      <c r="F879" t="s">
        <v>5027</v>
      </c>
      <c r="G879" t="s">
        <v>5028</v>
      </c>
      <c r="H879" t="s">
        <v>5029</v>
      </c>
    </row>
    <row r="880" spans="1:8" x14ac:dyDescent="0.25">
      <c r="A880">
        <v>1533180</v>
      </c>
      <c r="B880" t="s">
        <v>4933</v>
      </c>
      <c r="C880" t="s">
        <v>32</v>
      </c>
      <c r="D880" t="s">
        <v>5019</v>
      </c>
      <c r="E880" t="s">
        <v>5020</v>
      </c>
      <c r="F880" t="s">
        <v>5030</v>
      </c>
      <c r="G880" t="s">
        <v>5031</v>
      </c>
      <c r="H880" t="s">
        <v>5032</v>
      </c>
    </row>
    <row r="881" spans="1:8" x14ac:dyDescent="0.25">
      <c r="A881">
        <v>1533214</v>
      </c>
      <c r="B881" t="s">
        <v>4933</v>
      </c>
      <c r="C881" t="s">
        <v>32</v>
      </c>
      <c r="D881" t="s">
        <v>5019</v>
      </c>
      <c r="E881" t="s">
        <v>5020</v>
      </c>
      <c r="F881" t="s">
        <v>5033</v>
      </c>
      <c r="G881" t="s">
        <v>5034</v>
      </c>
      <c r="H881" t="s">
        <v>5035</v>
      </c>
    </row>
    <row r="882" spans="1:8" x14ac:dyDescent="0.25">
      <c r="A882">
        <v>1533215</v>
      </c>
      <c r="B882" t="s">
        <v>4933</v>
      </c>
      <c r="C882" t="s">
        <v>32</v>
      </c>
      <c r="D882" t="s">
        <v>5019</v>
      </c>
      <c r="E882" t="s">
        <v>5020</v>
      </c>
      <c r="F882" t="s">
        <v>5036</v>
      </c>
      <c r="G882" t="s">
        <v>5037</v>
      </c>
      <c r="H882" t="s">
        <v>5038</v>
      </c>
    </row>
    <row r="883" spans="1:8" x14ac:dyDescent="0.25">
      <c r="A883">
        <v>1533889</v>
      </c>
      <c r="B883" t="s">
        <v>4933</v>
      </c>
      <c r="C883" t="s">
        <v>32</v>
      </c>
      <c r="D883" t="s">
        <v>326</v>
      </c>
      <c r="E883" t="s">
        <v>327</v>
      </c>
      <c r="F883" t="s">
        <v>1186</v>
      </c>
      <c r="G883" t="s">
        <v>5039</v>
      </c>
      <c r="H883" t="s">
        <v>5040</v>
      </c>
    </row>
    <row r="884" spans="1:8" x14ac:dyDescent="0.25">
      <c r="A884">
        <v>1533890</v>
      </c>
      <c r="B884" t="s">
        <v>4933</v>
      </c>
      <c r="C884" t="s">
        <v>32</v>
      </c>
      <c r="D884" t="s">
        <v>326</v>
      </c>
      <c r="E884" t="s">
        <v>327</v>
      </c>
      <c r="F884" t="s">
        <v>5041</v>
      </c>
      <c r="G884" t="s">
        <v>5042</v>
      </c>
      <c r="H884" t="s">
        <v>5043</v>
      </c>
    </row>
    <row r="885" spans="1:8" x14ac:dyDescent="0.25">
      <c r="A885">
        <v>1535591</v>
      </c>
      <c r="B885" t="s">
        <v>4933</v>
      </c>
      <c r="C885" t="s">
        <v>32</v>
      </c>
      <c r="D885" t="s">
        <v>63</v>
      </c>
      <c r="E885" t="s">
        <v>384</v>
      </c>
      <c r="F885" t="s">
        <v>5044</v>
      </c>
      <c r="G885" t="s">
        <v>1179</v>
      </c>
      <c r="H885" t="s">
        <v>5045</v>
      </c>
    </row>
    <row r="886" spans="1:8" x14ac:dyDescent="0.25">
      <c r="A886">
        <v>1535592</v>
      </c>
      <c r="B886" t="s">
        <v>4933</v>
      </c>
      <c r="C886" t="s">
        <v>32</v>
      </c>
      <c r="D886" t="s">
        <v>63</v>
      </c>
      <c r="E886" t="s">
        <v>384</v>
      </c>
      <c r="F886" t="s">
        <v>5046</v>
      </c>
      <c r="G886" t="s">
        <v>5047</v>
      </c>
      <c r="H886" t="s">
        <v>5048</v>
      </c>
    </row>
    <row r="887" spans="1:8" x14ac:dyDescent="0.25">
      <c r="A887">
        <v>1519500</v>
      </c>
      <c r="B887" t="s">
        <v>5049</v>
      </c>
      <c r="C887" t="s">
        <v>32</v>
      </c>
      <c r="D887" t="s">
        <v>87</v>
      </c>
      <c r="E887" t="s">
        <v>5050</v>
      </c>
      <c r="F887" t="s">
        <v>5051</v>
      </c>
      <c r="G887" t="s">
        <v>270</v>
      </c>
      <c r="H887" t="s">
        <v>5052</v>
      </c>
    </row>
    <row r="888" spans="1:8" x14ac:dyDescent="0.25">
      <c r="A888">
        <v>1379273</v>
      </c>
      <c r="B888" t="s">
        <v>5053</v>
      </c>
      <c r="C888" t="s">
        <v>32</v>
      </c>
      <c r="D888" t="s">
        <v>65</v>
      </c>
      <c r="E888" t="s">
        <v>49</v>
      </c>
      <c r="F888" t="s">
        <v>1281</v>
      </c>
      <c r="G888" t="s">
        <v>5054</v>
      </c>
      <c r="H888" t="s">
        <v>5055</v>
      </c>
    </row>
    <row r="889" spans="1:8" x14ac:dyDescent="0.25">
      <c r="A889">
        <v>1379275</v>
      </c>
      <c r="B889" t="s">
        <v>5053</v>
      </c>
      <c r="C889" t="s">
        <v>34</v>
      </c>
      <c r="D889" t="s">
        <v>65</v>
      </c>
      <c r="E889" t="s">
        <v>49</v>
      </c>
      <c r="F889" t="s">
        <v>5056</v>
      </c>
      <c r="G889" t="s">
        <v>5057</v>
      </c>
      <c r="H889" t="s">
        <v>5058</v>
      </c>
    </row>
    <row r="890" spans="1:8" x14ac:dyDescent="0.25">
      <c r="A890">
        <v>1379913</v>
      </c>
      <c r="B890" t="s">
        <v>5053</v>
      </c>
      <c r="C890" t="s">
        <v>32</v>
      </c>
      <c r="D890" t="s">
        <v>92</v>
      </c>
      <c r="E890" t="s">
        <v>4449</v>
      </c>
      <c r="F890" t="s">
        <v>5059</v>
      </c>
      <c r="G890" t="s">
        <v>5060</v>
      </c>
      <c r="H890" t="s">
        <v>5061</v>
      </c>
    </row>
    <row r="891" spans="1:8" x14ac:dyDescent="0.25">
      <c r="A891">
        <v>1379914</v>
      </c>
      <c r="B891" t="s">
        <v>5053</v>
      </c>
      <c r="C891" t="s">
        <v>32</v>
      </c>
      <c r="D891" t="s">
        <v>92</v>
      </c>
      <c r="E891" t="s">
        <v>4449</v>
      </c>
      <c r="F891" t="s">
        <v>5062</v>
      </c>
      <c r="G891" t="s">
        <v>5063</v>
      </c>
      <c r="H891" t="s">
        <v>5064</v>
      </c>
    </row>
    <row r="892" spans="1:8" x14ac:dyDescent="0.25">
      <c r="A892">
        <v>1379915</v>
      </c>
      <c r="B892" t="s">
        <v>5053</v>
      </c>
      <c r="C892" t="s">
        <v>32</v>
      </c>
      <c r="D892" t="s">
        <v>92</v>
      </c>
      <c r="E892" t="s">
        <v>4449</v>
      </c>
      <c r="F892" t="s">
        <v>5065</v>
      </c>
      <c r="G892" t="s">
        <v>5066</v>
      </c>
      <c r="H892" t="s">
        <v>5067</v>
      </c>
    </row>
    <row r="893" spans="1:8" x14ac:dyDescent="0.25">
      <c r="A893">
        <v>1379916</v>
      </c>
      <c r="B893" t="s">
        <v>5053</v>
      </c>
      <c r="C893" t="s">
        <v>32</v>
      </c>
      <c r="D893" t="s">
        <v>92</v>
      </c>
      <c r="E893" t="s">
        <v>4449</v>
      </c>
      <c r="F893" t="s">
        <v>5068</v>
      </c>
      <c r="G893" t="s">
        <v>5069</v>
      </c>
      <c r="H893" t="s">
        <v>5070</v>
      </c>
    </row>
    <row r="894" spans="1:8" x14ac:dyDescent="0.25">
      <c r="A894">
        <v>1379917</v>
      </c>
      <c r="B894" t="s">
        <v>5053</v>
      </c>
      <c r="C894" t="s">
        <v>32</v>
      </c>
      <c r="D894" t="s">
        <v>92</v>
      </c>
      <c r="E894" t="s">
        <v>4449</v>
      </c>
      <c r="F894" t="s">
        <v>5071</v>
      </c>
      <c r="G894" t="s">
        <v>5072</v>
      </c>
      <c r="H894" t="s">
        <v>5073</v>
      </c>
    </row>
    <row r="895" spans="1:8" x14ac:dyDescent="0.25">
      <c r="A895">
        <v>1379918</v>
      </c>
      <c r="B895" t="s">
        <v>5053</v>
      </c>
      <c r="C895" t="s">
        <v>32</v>
      </c>
      <c r="D895" t="s">
        <v>92</v>
      </c>
      <c r="E895" t="s">
        <v>4449</v>
      </c>
      <c r="F895" t="s">
        <v>5074</v>
      </c>
      <c r="G895" t="s">
        <v>5075</v>
      </c>
      <c r="H895" t="s">
        <v>5076</v>
      </c>
    </row>
    <row r="896" spans="1:8" x14ac:dyDescent="0.25">
      <c r="A896">
        <v>1379919</v>
      </c>
      <c r="B896" t="s">
        <v>5053</v>
      </c>
      <c r="C896" t="s">
        <v>32</v>
      </c>
      <c r="D896" t="s">
        <v>92</v>
      </c>
      <c r="E896" t="s">
        <v>4449</v>
      </c>
      <c r="F896" t="s">
        <v>5077</v>
      </c>
      <c r="G896" t="s">
        <v>5078</v>
      </c>
      <c r="H896" t="s">
        <v>5079</v>
      </c>
    </row>
    <row r="897" spans="1:8" x14ac:dyDescent="0.25">
      <c r="A897">
        <v>1379920</v>
      </c>
      <c r="B897" t="s">
        <v>5053</v>
      </c>
      <c r="C897" t="s">
        <v>32</v>
      </c>
      <c r="D897" t="s">
        <v>92</v>
      </c>
      <c r="E897" t="s">
        <v>4449</v>
      </c>
      <c r="F897" t="s">
        <v>5080</v>
      </c>
      <c r="G897" t="s">
        <v>5081</v>
      </c>
      <c r="H897" t="s">
        <v>5082</v>
      </c>
    </row>
    <row r="898" spans="1:8" x14ac:dyDescent="0.25">
      <c r="A898">
        <v>1382847</v>
      </c>
      <c r="B898" t="s">
        <v>5053</v>
      </c>
      <c r="C898" t="s">
        <v>32</v>
      </c>
      <c r="D898" t="s">
        <v>92</v>
      </c>
      <c r="E898" t="s">
        <v>5083</v>
      </c>
      <c r="F898" t="s">
        <v>5084</v>
      </c>
      <c r="G898" t="s">
        <v>518</v>
      </c>
      <c r="H898" t="s">
        <v>5085</v>
      </c>
    </row>
    <row r="899" spans="1:8" x14ac:dyDescent="0.25">
      <c r="A899">
        <v>1382848</v>
      </c>
      <c r="B899" t="s">
        <v>5053</v>
      </c>
      <c r="C899" t="s">
        <v>32</v>
      </c>
      <c r="D899" t="s">
        <v>92</v>
      </c>
      <c r="E899" t="s">
        <v>5083</v>
      </c>
      <c r="F899" t="s">
        <v>5086</v>
      </c>
      <c r="G899" t="s">
        <v>5087</v>
      </c>
      <c r="H899" t="s">
        <v>5088</v>
      </c>
    </row>
    <row r="900" spans="1:8" x14ac:dyDescent="0.25">
      <c r="A900">
        <v>1382849</v>
      </c>
      <c r="B900" t="s">
        <v>5053</v>
      </c>
      <c r="C900" t="s">
        <v>32</v>
      </c>
      <c r="D900" t="s">
        <v>92</v>
      </c>
      <c r="E900" t="s">
        <v>5083</v>
      </c>
      <c r="F900" t="s">
        <v>5089</v>
      </c>
      <c r="G900" t="s">
        <v>5090</v>
      </c>
      <c r="H900" t="s">
        <v>5091</v>
      </c>
    </row>
    <row r="901" spans="1:8" x14ac:dyDescent="0.25">
      <c r="A901">
        <v>1382850</v>
      </c>
      <c r="B901" t="s">
        <v>5053</v>
      </c>
      <c r="C901" t="s">
        <v>32</v>
      </c>
      <c r="D901" t="s">
        <v>92</v>
      </c>
      <c r="E901" t="s">
        <v>5083</v>
      </c>
      <c r="F901" t="s">
        <v>5092</v>
      </c>
      <c r="G901" t="s">
        <v>5093</v>
      </c>
      <c r="H901" t="s">
        <v>5094</v>
      </c>
    </row>
    <row r="902" spans="1:8" x14ac:dyDescent="0.25">
      <c r="A902">
        <v>1383009</v>
      </c>
      <c r="B902" t="s">
        <v>5053</v>
      </c>
      <c r="C902" t="s">
        <v>32</v>
      </c>
      <c r="D902" t="s">
        <v>92</v>
      </c>
      <c r="E902" t="s">
        <v>70</v>
      </c>
      <c r="F902" t="s">
        <v>5095</v>
      </c>
      <c r="G902" t="s">
        <v>5096</v>
      </c>
      <c r="H902" t="s">
        <v>5097</v>
      </c>
    </row>
    <row r="903" spans="1:8" x14ac:dyDescent="0.25">
      <c r="A903">
        <v>1383010</v>
      </c>
      <c r="B903" t="s">
        <v>5053</v>
      </c>
      <c r="C903" t="s">
        <v>32</v>
      </c>
      <c r="D903" t="s">
        <v>92</v>
      </c>
      <c r="E903" t="s">
        <v>70</v>
      </c>
      <c r="F903" t="s">
        <v>5098</v>
      </c>
      <c r="G903" t="s">
        <v>5099</v>
      </c>
      <c r="H903" t="s">
        <v>5100</v>
      </c>
    </row>
    <row r="904" spans="1:8" x14ac:dyDescent="0.25">
      <c r="A904">
        <v>1383012</v>
      </c>
      <c r="B904" t="s">
        <v>5053</v>
      </c>
      <c r="C904" t="s">
        <v>32</v>
      </c>
      <c r="D904" t="s">
        <v>92</v>
      </c>
      <c r="E904" t="s">
        <v>70</v>
      </c>
      <c r="F904" t="s">
        <v>5101</v>
      </c>
      <c r="G904" t="s">
        <v>5102</v>
      </c>
      <c r="H904" t="s">
        <v>5103</v>
      </c>
    </row>
    <row r="905" spans="1:8" x14ac:dyDescent="0.25">
      <c r="A905">
        <v>1383013</v>
      </c>
      <c r="B905" t="s">
        <v>5053</v>
      </c>
      <c r="C905" t="s">
        <v>32</v>
      </c>
      <c r="D905" t="s">
        <v>92</v>
      </c>
      <c r="E905" t="s">
        <v>70</v>
      </c>
      <c r="F905" t="s">
        <v>5104</v>
      </c>
      <c r="G905" t="s">
        <v>5105</v>
      </c>
      <c r="H905" t="s">
        <v>5106</v>
      </c>
    </row>
    <row r="906" spans="1:8" x14ac:dyDescent="0.25">
      <c r="A906">
        <v>1383189</v>
      </c>
      <c r="B906" t="s">
        <v>5053</v>
      </c>
      <c r="C906" t="s">
        <v>32</v>
      </c>
      <c r="D906" t="s">
        <v>92</v>
      </c>
      <c r="E906" t="s">
        <v>266</v>
      </c>
      <c r="F906" t="s">
        <v>5107</v>
      </c>
      <c r="G906" t="s">
        <v>5108</v>
      </c>
      <c r="H906" t="s">
        <v>5109</v>
      </c>
    </row>
    <row r="907" spans="1:8" x14ac:dyDescent="0.25">
      <c r="A907">
        <v>1383190</v>
      </c>
      <c r="B907" t="s">
        <v>5053</v>
      </c>
      <c r="C907" t="s">
        <v>32</v>
      </c>
      <c r="D907" t="s">
        <v>92</v>
      </c>
      <c r="E907" t="s">
        <v>266</v>
      </c>
      <c r="F907" t="s">
        <v>5110</v>
      </c>
      <c r="G907" t="s">
        <v>5111</v>
      </c>
      <c r="H907" t="s">
        <v>5112</v>
      </c>
    </row>
    <row r="908" spans="1:8" x14ac:dyDescent="0.25">
      <c r="A908">
        <v>1383191</v>
      </c>
      <c r="B908" t="s">
        <v>5053</v>
      </c>
      <c r="C908" t="s">
        <v>32</v>
      </c>
      <c r="D908" t="s">
        <v>92</v>
      </c>
      <c r="E908" t="s">
        <v>266</v>
      </c>
      <c r="F908" t="s">
        <v>5113</v>
      </c>
      <c r="G908" t="s">
        <v>5114</v>
      </c>
      <c r="H908" t="s">
        <v>5115</v>
      </c>
    </row>
    <row r="909" spans="1:8" x14ac:dyDescent="0.25">
      <c r="A909">
        <v>1383192</v>
      </c>
      <c r="B909" t="s">
        <v>5053</v>
      </c>
      <c r="C909" t="s">
        <v>32</v>
      </c>
      <c r="D909" t="s">
        <v>92</v>
      </c>
      <c r="E909" t="s">
        <v>266</v>
      </c>
      <c r="F909" t="s">
        <v>5116</v>
      </c>
      <c r="G909" t="s">
        <v>5117</v>
      </c>
      <c r="H909" t="s">
        <v>5118</v>
      </c>
    </row>
    <row r="910" spans="1:8" x14ac:dyDescent="0.25">
      <c r="A910">
        <v>1383193</v>
      </c>
      <c r="B910" t="s">
        <v>5053</v>
      </c>
      <c r="C910" t="s">
        <v>32</v>
      </c>
      <c r="D910" t="s">
        <v>92</v>
      </c>
      <c r="E910" t="s">
        <v>266</v>
      </c>
      <c r="F910" t="s">
        <v>5119</v>
      </c>
      <c r="G910" t="s">
        <v>5120</v>
      </c>
      <c r="H910" t="s">
        <v>5121</v>
      </c>
    </row>
    <row r="911" spans="1:8" x14ac:dyDescent="0.25">
      <c r="A911">
        <v>1383369</v>
      </c>
      <c r="B911" t="s">
        <v>5053</v>
      </c>
      <c r="C911" t="s">
        <v>32</v>
      </c>
      <c r="D911" t="s">
        <v>92</v>
      </c>
      <c r="E911" t="s">
        <v>2834</v>
      </c>
      <c r="F911" t="s">
        <v>5122</v>
      </c>
      <c r="G911" t="s">
        <v>5123</v>
      </c>
      <c r="H911" t="s">
        <v>5124</v>
      </c>
    </row>
    <row r="912" spans="1:8" x14ac:dyDescent="0.25">
      <c r="A912">
        <v>1383370</v>
      </c>
      <c r="B912" t="s">
        <v>5053</v>
      </c>
      <c r="C912" t="s">
        <v>32</v>
      </c>
      <c r="D912" t="s">
        <v>92</v>
      </c>
      <c r="E912" t="s">
        <v>2834</v>
      </c>
      <c r="F912" t="s">
        <v>5125</v>
      </c>
      <c r="G912" t="s">
        <v>5126</v>
      </c>
      <c r="H912" t="s">
        <v>5127</v>
      </c>
    </row>
    <row r="913" spans="1:8" x14ac:dyDescent="0.25">
      <c r="A913">
        <v>1383371</v>
      </c>
      <c r="B913" t="s">
        <v>5053</v>
      </c>
      <c r="C913" t="s">
        <v>32</v>
      </c>
      <c r="D913" t="s">
        <v>92</v>
      </c>
      <c r="E913" t="s">
        <v>2834</v>
      </c>
      <c r="F913" t="s">
        <v>5128</v>
      </c>
      <c r="G913" t="s">
        <v>5129</v>
      </c>
      <c r="H913" t="s">
        <v>5130</v>
      </c>
    </row>
    <row r="914" spans="1:8" x14ac:dyDescent="0.25">
      <c r="A914">
        <v>1383372</v>
      </c>
      <c r="B914" t="s">
        <v>5053</v>
      </c>
      <c r="C914" t="s">
        <v>32</v>
      </c>
      <c r="D914" t="s">
        <v>92</v>
      </c>
      <c r="E914" t="s">
        <v>2834</v>
      </c>
      <c r="F914" t="s">
        <v>5131</v>
      </c>
      <c r="G914" t="s">
        <v>5132</v>
      </c>
      <c r="H914" t="s">
        <v>5133</v>
      </c>
    </row>
    <row r="915" spans="1:8" x14ac:dyDescent="0.25">
      <c r="A915">
        <v>1383373</v>
      </c>
      <c r="B915" t="s">
        <v>5053</v>
      </c>
      <c r="C915" t="s">
        <v>32</v>
      </c>
      <c r="D915" t="s">
        <v>92</v>
      </c>
      <c r="E915" t="s">
        <v>2834</v>
      </c>
      <c r="F915" t="s">
        <v>5134</v>
      </c>
      <c r="G915" t="s">
        <v>5135</v>
      </c>
      <c r="H915" t="s">
        <v>5136</v>
      </c>
    </row>
    <row r="916" spans="1:8" x14ac:dyDescent="0.25">
      <c r="A916">
        <v>1385107</v>
      </c>
      <c r="B916" t="s">
        <v>5053</v>
      </c>
      <c r="C916" t="s">
        <v>32</v>
      </c>
      <c r="D916" t="s">
        <v>63</v>
      </c>
      <c r="E916" t="s">
        <v>265</v>
      </c>
      <c r="F916" t="s">
        <v>1828</v>
      </c>
      <c r="G916" t="s">
        <v>1357</v>
      </c>
      <c r="H916" t="s">
        <v>5137</v>
      </c>
    </row>
    <row r="917" spans="1:8" x14ac:dyDescent="0.25">
      <c r="A917">
        <v>1385325</v>
      </c>
      <c r="B917" t="s">
        <v>5053</v>
      </c>
      <c r="C917" t="s">
        <v>32</v>
      </c>
      <c r="D917" t="s">
        <v>5138</v>
      </c>
      <c r="E917" t="s">
        <v>5083</v>
      </c>
      <c r="F917" t="s">
        <v>5139</v>
      </c>
      <c r="G917" t="s">
        <v>5140</v>
      </c>
      <c r="H917" t="s">
        <v>5141</v>
      </c>
    </row>
    <row r="918" spans="1:8" x14ac:dyDescent="0.25">
      <c r="A918">
        <v>1385327</v>
      </c>
      <c r="B918" t="s">
        <v>5053</v>
      </c>
      <c r="C918" t="s">
        <v>32</v>
      </c>
      <c r="D918" t="s">
        <v>5138</v>
      </c>
      <c r="E918" t="s">
        <v>5083</v>
      </c>
      <c r="F918" t="s">
        <v>5142</v>
      </c>
      <c r="G918" t="s">
        <v>5143</v>
      </c>
      <c r="H918" t="s">
        <v>5144</v>
      </c>
    </row>
    <row r="919" spans="1:8" x14ac:dyDescent="0.25">
      <c r="A919">
        <v>1385328</v>
      </c>
      <c r="B919" t="s">
        <v>5053</v>
      </c>
      <c r="C919" t="s">
        <v>32</v>
      </c>
      <c r="D919" t="s">
        <v>5138</v>
      </c>
      <c r="E919" t="s">
        <v>5083</v>
      </c>
      <c r="F919" t="s">
        <v>5145</v>
      </c>
      <c r="G919" t="s">
        <v>5146</v>
      </c>
      <c r="H919" t="s">
        <v>5147</v>
      </c>
    </row>
    <row r="920" spans="1:8" x14ac:dyDescent="0.25">
      <c r="A920">
        <v>1385521</v>
      </c>
      <c r="B920" t="s">
        <v>5053</v>
      </c>
      <c r="C920" t="s">
        <v>32</v>
      </c>
      <c r="D920" t="s">
        <v>5138</v>
      </c>
      <c r="E920" t="s">
        <v>70</v>
      </c>
      <c r="F920" t="s">
        <v>5148</v>
      </c>
      <c r="G920" t="s">
        <v>5149</v>
      </c>
      <c r="H920" t="s">
        <v>5150</v>
      </c>
    </row>
    <row r="921" spans="1:8" x14ac:dyDescent="0.25">
      <c r="A921">
        <v>1385522</v>
      </c>
      <c r="B921" t="s">
        <v>5053</v>
      </c>
      <c r="C921" t="s">
        <v>32</v>
      </c>
      <c r="D921" t="s">
        <v>5138</v>
      </c>
      <c r="E921" t="s">
        <v>70</v>
      </c>
      <c r="F921" t="s">
        <v>5151</v>
      </c>
      <c r="G921" t="s">
        <v>5152</v>
      </c>
      <c r="H921" t="s">
        <v>5153</v>
      </c>
    </row>
    <row r="922" spans="1:8" x14ac:dyDescent="0.25">
      <c r="A922">
        <v>1385523</v>
      </c>
      <c r="B922" t="s">
        <v>5053</v>
      </c>
      <c r="C922" t="s">
        <v>32</v>
      </c>
      <c r="D922" t="s">
        <v>5138</v>
      </c>
      <c r="E922" t="s">
        <v>70</v>
      </c>
      <c r="F922" t="s">
        <v>5154</v>
      </c>
      <c r="G922" t="s">
        <v>5155</v>
      </c>
      <c r="H922" t="s">
        <v>5156</v>
      </c>
    </row>
    <row r="923" spans="1:8" x14ac:dyDescent="0.25">
      <c r="A923">
        <v>1385525</v>
      </c>
      <c r="B923" t="s">
        <v>5053</v>
      </c>
      <c r="C923" t="s">
        <v>32</v>
      </c>
      <c r="D923" t="s">
        <v>5138</v>
      </c>
      <c r="E923" t="s">
        <v>70</v>
      </c>
      <c r="F923" t="s">
        <v>5157</v>
      </c>
      <c r="G923" t="s">
        <v>5158</v>
      </c>
      <c r="H923" t="s">
        <v>5159</v>
      </c>
    </row>
    <row r="924" spans="1:8" x14ac:dyDescent="0.25">
      <c r="A924">
        <v>1385526</v>
      </c>
      <c r="B924" t="s">
        <v>5053</v>
      </c>
      <c r="C924" t="s">
        <v>32</v>
      </c>
      <c r="D924" t="s">
        <v>5138</v>
      </c>
      <c r="E924" t="s">
        <v>70</v>
      </c>
      <c r="F924" t="s">
        <v>5160</v>
      </c>
      <c r="G924" t="s">
        <v>5161</v>
      </c>
      <c r="H924" t="s">
        <v>5162</v>
      </c>
    </row>
    <row r="925" spans="1:8" x14ac:dyDescent="0.25">
      <c r="A925">
        <v>1386452</v>
      </c>
      <c r="B925" t="s">
        <v>5053</v>
      </c>
      <c r="C925" t="s">
        <v>32</v>
      </c>
      <c r="D925" t="s">
        <v>65</v>
      </c>
      <c r="E925" t="s">
        <v>2834</v>
      </c>
      <c r="F925" t="s">
        <v>5163</v>
      </c>
      <c r="G925" t="s">
        <v>5164</v>
      </c>
      <c r="H925" t="s">
        <v>5165</v>
      </c>
    </row>
    <row r="926" spans="1:8" x14ac:dyDescent="0.25">
      <c r="A926">
        <v>1386453</v>
      </c>
      <c r="B926" t="s">
        <v>5053</v>
      </c>
      <c r="C926" t="s">
        <v>32</v>
      </c>
      <c r="D926" t="s">
        <v>65</v>
      </c>
      <c r="E926" t="s">
        <v>2834</v>
      </c>
      <c r="F926" t="s">
        <v>5166</v>
      </c>
      <c r="G926" t="s">
        <v>5167</v>
      </c>
      <c r="H926" t="s">
        <v>5168</v>
      </c>
    </row>
    <row r="927" spans="1:8" x14ac:dyDescent="0.25">
      <c r="A927">
        <v>1386455</v>
      </c>
      <c r="B927" t="s">
        <v>5053</v>
      </c>
      <c r="C927" t="s">
        <v>32</v>
      </c>
      <c r="D927" t="s">
        <v>65</v>
      </c>
      <c r="E927" t="s">
        <v>2834</v>
      </c>
      <c r="F927" t="s">
        <v>5169</v>
      </c>
      <c r="G927" t="s">
        <v>5170</v>
      </c>
      <c r="H927" t="s">
        <v>5171</v>
      </c>
    </row>
    <row r="928" spans="1:8" x14ac:dyDescent="0.25">
      <c r="A928">
        <v>1386456</v>
      </c>
      <c r="B928" t="s">
        <v>5053</v>
      </c>
      <c r="C928" t="s">
        <v>32</v>
      </c>
      <c r="D928" t="s">
        <v>65</v>
      </c>
      <c r="E928" t="s">
        <v>2834</v>
      </c>
      <c r="F928" t="s">
        <v>5172</v>
      </c>
      <c r="G928" t="s">
        <v>5173</v>
      </c>
      <c r="H928" t="s">
        <v>5174</v>
      </c>
    </row>
    <row r="929" spans="1:8" x14ac:dyDescent="0.25">
      <c r="A929">
        <v>1386457</v>
      </c>
      <c r="B929" t="s">
        <v>5053</v>
      </c>
      <c r="C929" t="s">
        <v>32</v>
      </c>
      <c r="D929" t="s">
        <v>65</v>
      </c>
      <c r="E929" t="s">
        <v>2834</v>
      </c>
      <c r="F929" t="s">
        <v>5175</v>
      </c>
      <c r="G929" t="s">
        <v>5176</v>
      </c>
      <c r="H929" t="s">
        <v>5177</v>
      </c>
    </row>
    <row r="930" spans="1:8" x14ac:dyDescent="0.25">
      <c r="A930">
        <v>1386459</v>
      </c>
      <c r="B930" t="s">
        <v>5053</v>
      </c>
      <c r="C930" t="s">
        <v>32</v>
      </c>
      <c r="D930" t="s">
        <v>65</v>
      </c>
      <c r="E930" t="s">
        <v>2834</v>
      </c>
      <c r="F930" t="s">
        <v>5178</v>
      </c>
      <c r="G930" t="s">
        <v>5179</v>
      </c>
      <c r="H930" t="s">
        <v>5180</v>
      </c>
    </row>
    <row r="931" spans="1:8" x14ac:dyDescent="0.25">
      <c r="A931">
        <v>1386460</v>
      </c>
      <c r="B931" t="s">
        <v>5053</v>
      </c>
      <c r="C931" t="s">
        <v>32</v>
      </c>
      <c r="D931" t="s">
        <v>65</v>
      </c>
      <c r="E931" t="s">
        <v>2834</v>
      </c>
      <c r="F931" t="s">
        <v>5181</v>
      </c>
      <c r="G931" t="s">
        <v>5182</v>
      </c>
      <c r="H931" t="s">
        <v>5183</v>
      </c>
    </row>
    <row r="932" spans="1:8" x14ac:dyDescent="0.25">
      <c r="A932">
        <v>1386461</v>
      </c>
      <c r="B932" t="s">
        <v>5053</v>
      </c>
      <c r="C932" t="s">
        <v>32</v>
      </c>
      <c r="D932" t="s">
        <v>65</v>
      </c>
      <c r="E932" t="s">
        <v>2834</v>
      </c>
      <c r="F932" t="s">
        <v>5184</v>
      </c>
      <c r="G932" t="s">
        <v>5185</v>
      </c>
      <c r="H932" t="s">
        <v>5186</v>
      </c>
    </row>
    <row r="933" spans="1:8" x14ac:dyDescent="0.25">
      <c r="A933">
        <v>1386462</v>
      </c>
      <c r="B933" t="s">
        <v>5053</v>
      </c>
      <c r="C933" t="s">
        <v>32</v>
      </c>
      <c r="D933" t="s">
        <v>65</v>
      </c>
      <c r="E933" t="s">
        <v>2834</v>
      </c>
      <c r="F933" t="s">
        <v>5187</v>
      </c>
      <c r="G933" t="s">
        <v>5188</v>
      </c>
      <c r="H933" t="s">
        <v>5189</v>
      </c>
    </row>
    <row r="934" spans="1:8" x14ac:dyDescent="0.25">
      <c r="A934">
        <v>1386463</v>
      </c>
      <c r="B934" t="s">
        <v>5053</v>
      </c>
      <c r="C934" t="s">
        <v>32</v>
      </c>
      <c r="D934" t="s">
        <v>65</v>
      </c>
      <c r="E934" t="s">
        <v>2834</v>
      </c>
      <c r="F934" t="s">
        <v>5190</v>
      </c>
      <c r="G934" t="s">
        <v>5191</v>
      </c>
      <c r="H934" t="s">
        <v>5192</v>
      </c>
    </row>
    <row r="935" spans="1:8" x14ac:dyDescent="0.25">
      <c r="A935">
        <v>1387007</v>
      </c>
      <c r="B935" t="s">
        <v>5053</v>
      </c>
      <c r="C935" t="s">
        <v>32</v>
      </c>
      <c r="D935" t="s">
        <v>65</v>
      </c>
      <c r="E935" t="s">
        <v>70</v>
      </c>
      <c r="F935" t="s">
        <v>5193</v>
      </c>
      <c r="G935" t="s">
        <v>2194</v>
      </c>
      <c r="H935" t="s">
        <v>5194</v>
      </c>
    </row>
    <row r="936" spans="1:8" x14ac:dyDescent="0.25">
      <c r="A936">
        <v>1387009</v>
      </c>
      <c r="B936" t="s">
        <v>5053</v>
      </c>
      <c r="C936" t="s">
        <v>32</v>
      </c>
      <c r="D936" t="s">
        <v>65</v>
      </c>
      <c r="E936" t="s">
        <v>70</v>
      </c>
      <c r="F936" t="s">
        <v>1282</v>
      </c>
      <c r="G936" t="s">
        <v>5195</v>
      </c>
      <c r="H936" t="s">
        <v>5196</v>
      </c>
    </row>
    <row r="937" spans="1:8" x14ac:dyDescent="0.25">
      <c r="A937">
        <v>1387011</v>
      </c>
      <c r="B937" t="s">
        <v>5053</v>
      </c>
      <c r="C937" t="s">
        <v>32</v>
      </c>
      <c r="D937" t="s">
        <v>65</v>
      </c>
      <c r="E937" t="s">
        <v>70</v>
      </c>
      <c r="F937" t="s">
        <v>5197</v>
      </c>
      <c r="G937" t="s">
        <v>5198</v>
      </c>
      <c r="H937" t="s">
        <v>5199</v>
      </c>
    </row>
    <row r="938" spans="1:8" x14ac:dyDescent="0.25">
      <c r="A938">
        <v>1387013</v>
      </c>
      <c r="B938" t="s">
        <v>5053</v>
      </c>
      <c r="C938" t="s">
        <v>32</v>
      </c>
      <c r="D938" t="s">
        <v>65</v>
      </c>
      <c r="E938" t="s">
        <v>70</v>
      </c>
      <c r="F938" t="s">
        <v>5200</v>
      </c>
      <c r="G938" t="s">
        <v>5201</v>
      </c>
      <c r="H938" t="s">
        <v>5202</v>
      </c>
    </row>
    <row r="939" spans="1:8" x14ac:dyDescent="0.25">
      <c r="A939">
        <v>1387015</v>
      </c>
      <c r="B939" t="s">
        <v>5053</v>
      </c>
      <c r="C939" t="s">
        <v>32</v>
      </c>
      <c r="D939" t="s">
        <v>65</v>
      </c>
      <c r="E939" t="s">
        <v>70</v>
      </c>
      <c r="F939" t="s">
        <v>2173</v>
      </c>
      <c r="G939" t="s">
        <v>598</v>
      </c>
      <c r="H939" t="s">
        <v>5203</v>
      </c>
    </row>
    <row r="940" spans="1:8" x14ac:dyDescent="0.25">
      <c r="A940">
        <v>1387016</v>
      </c>
      <c r="B940" t="s">
        <v>5053</v>
      </c>
      <c r="C940" t="s">
        <v>32</v>
      </c>
      <c r="D940" t="s">
        <v>65</v>
      </c>
      <c r="E940" t="s">
        <v>70</v>
      </c>
      <c r="F940" t="s">
        <v>5204</v>
      </c>
      <c r="G940" t="s">
        <v>5205</v>
      </c>
      <c r="H940" t="s">
        <v>5206</v>
      </c>
    </row>
    <row r="941" spans="1:8" x14ac:dyDescent="0.25">
      <c r="A941">
        <v>1387018</v>
      </c>
      <c r="B941" t="s">
        <v>5053</v>
      </c>
      <c r="C941" t="s">
        <v>32</v>
      </c>
      <c r="D941" t="s">
        <v>65</v>
      </c>
      <c r="E941" t="s">
        <v>70</v>
      </c>
      <c r="F941" t="s">
        <v>5207</v>
      </c>
      <c r="G941" t="s">
        <v>5208</v>
      </c>
      <c r="H941" t="s">
        <v>5209</v>
      </c>
    </row>
    <row r="942" spans="1:8" x14ac:dyDescent="0.25">
      <c r="A942">
        <v>1387559</v>
      </c>
      <c r="B942" t="s">
        <v>5053</v>
      </c>
      <c r="C942" t="s">
        <v>32</v>
      </c>
      <c r="D942" t="s">
        <v>65</v>
      </c>
      <c r="E942" t="s">
        <v>266</v>
      </c>
      <c r="F942" t="s">
        <v>1224</v>
      </c>
      <c r="G942" t="s">
        <v>642</v>
      </c>
      <c r="H942" t="s">
        <v>5210</v>
      </c>
    </row>
    <row r="943" spans="1:8" x14ac:dyDescent="0.25">
      <c r="A943">
        <v>1387560</v>
      </c>
      <c r="B943" t="s">
        <v>5053</v>
      </c>
      <c r="C943" t="s">
        <v>32</v>
      </c>
      <c r="D943" t="s">
        <v>65</v>
      </c>
      <c r="E943" t="s">
        <v>266</v>
      </c>
      <c r="F943" t="s">
        <v>5211</v>
      </c>
      <c r="G943" t="s">
        <v>5212</v>
      </c>
      <c r="H943" t="s">
        <v>5213</v>
      </c>
    </row>
    <row r="944" spans="1:8" x14ac:dyDescent="0.25">
      <c r="A944">
        <v>1387561</v>
      </c>
      <c r="B944" t="s">
        <v>5053</v>
      </c>
      <c r="C944" t="s">
        <v>32</v>
      </c>
      <c r="D944" t="s">
        <v>65</v>
      </c>
      <c r="E944" t="s">
        <v>266</v>
      </c>
      <c r="F944" t="s">
        <v>5214</v>
      </c>
      <c r="G944" t="s">
        <v>641</v>
      </c>
      <c r="H944" t="s">
        <v>5215</v>
      </c>
    </row>
    <row r="945" spans="1:8" x14ac:dyDescent="0.25">
      <c r="A945">
        <v>1387562</v>
      </c>
      <c r="B945" t="s">
        <v>5053</v>
      </c>
      <c r="C945" t="s">
        <v>32</v>
      </c>
      <c r="D945" t="s">
        <v>65</v>
      </c>
      <c r="E945" t="s">
        <v>266</v>
      </c>
      <c r="F945" t="s">
        <v>5216</v>
      </c>
      <c r="G945" t="s">
        <v>521</v>
      </c>
      <c r="H945" t="s">
        <v>5217</v>
      </c>
    </row>
    <row r="946" spans="1:8" x14ac:dyDescent="0.25">
      <c r="A946">
        <v>1387563</v>
      </c>
      <c r="B946" t="s">
        <v>5053</v>
      </c>
      <c r="C946" t="s">
        <v>32</v>
      </c>
      <c r="D946" t="s">
        <v>65</v>
      </c>
      <c r="E946" t="s">
        <v>266</v>
      </c>
      <c r="F946" t="s">
        <v>599</v>
      </c>
      <c r="G946" t="s">
        <v>5218</v>
      </c>
      <c r="H946" t="s">
        <v>5219</v>
      </c>
    </row>
    <row r="947" spans="1:8" x14ac:dyDescent="0.25">
      <c r="A947">
        <v>1387565</v>
      </c>
      <c r="B947" t="s">
        <v>5053</v>
      </c>
      <c r="C947" t="s">
        <v>32</v>
      </c>
      <c r="D947" t="s">
        <v>65</v>
      </c>
      <c r="E947" t="s">
        <v>266</v>
      </c>
      <c r="F947" t="s">
        <v>520</v>
      </c>
      <c r="G947" t="s">
        <v>1225</v>
      </c>
      <c r="H947" t="s">
        <v>5220</v>
      </c>
    </row>
    <row r="948" spans="1:8" x14ac:dyDescent="0.25">
      <c r="A948">
        <v>1387566</v>
      </c>
      <c r="B948" t="s">
        <v>5053</v>
      </c>
      <c r="C948" t="s">
        <v>32</v>
      </c>
      <c r="D948" t="s">
        <v>65</v>
      </c>
      <c r="E948" t="s">
        <v>266</v>
      </c>
      <c r="F948" t="s">
        <v>5221</v>
      </c>
      <c r="G948" t="s">
        <v>5222</v>
      </c>
      <c r="H948" t="s">
        <v>5223</v>
      </c>
    </row>
    <row r="949" spans="1:8" x14ac:dyDescent="0.25">
      <c r="A949">
        <v>1387567</v>
      </c>
      <c r="B949" t="s">
        <v>5053</v>
      </c>
      <c r="C949" t="s">
        <v>32</v>
      </c>
      <c r="D949" t="s">
        <v>65</v>
      </c>
      <c r="E949" t="s">
        <v>266</v>
      </c>
      <c r="F949" t="s">
        <v>523</v>
      </c>
      <c r="G949" t="s">
        <v>640</v>
      </c>
      <c r="H949" t="s">
        <v>5224</v>
      </c>
    </row>
    <row r="950" spans="1:8" x14ac:dyDescent="0.25">
      <c r="A950">
        <v>1387568</v>
      </c>
      <c r="B950" t="s">
        <v>5053</v>
      </c>
      <c r="C950" t="s">
        <v>32</v>
      </c>
      <c r="D950" t="s">
        <v>65</v>
      </c>
      <c r="E950" t="s">
        <v>266</v>
      </c>
      <c r="F950" t="s">
        <v>5225</v>
      </c>
      <c r="G950" t="s">
        <v>5226</v>
      </c>
      <c r="H950" t="s">
        <v>5227</v>
      </c>
    </row>
    <row r="951" spans="1:8" x14ac:dyDescent="0.25">
      <c r="A951">
        <v>1387569</v>
      </c>
      <c r="B951" t="s">
        <v>5053</v>
      </c>
      <c r="C951" t="s">
        <v>32</v>
      </c>
      <c r="D951" t="s">
        <v>65</v>
      </c>
      <c r="E951" t="s">
        <v>266</v>
      </c>
      <c r="F951" t="s">
        <v>5228</v>
      </c>
      <c r="G951" t="s">
        <v>519</v>
      </c>
      <c r="H951" t="s">
        <v>5229</v>
      </c>
    </row>
    <row r="952" spans="1:8" x14ac:dyDescent="0.25">
      <c r="A952">
        <v>1389063</v>
      </c>
      <c r="B952" t="s">
        <v>5053</v>
      </c>
      <c r="C952" t="s">
        <v>32</v>
      </c>
      <c r="D952" t="s">
        <v>64</v>
      </c>
      <c r="E952" t="s">
        <v>269</v>
      </c>
      <c r="F952" t="s">
        <v>5230</v>
      </c>
      <c r="G952" t="s">
        <v>5231</v>
      </c>
      <c r="H952" t="s">
        <v>5232</v>
      </c>
    </row>
    <row r="953" spans="1:8" x14ac:dyDescent="0.25">
      <c r="A953">
        <v>1389549</v>
      </c>
      <c r="B953" t="s">
        <v>5053</v>
      </c>
      <c r="C953" t="s">
        <v>32</v>
      </c>
      <c r="D953" t="s">
        <v>5138</v>
      </c>
      <c r="E953" t="s">
        <v>5233</v>
      </c>
      <c r="F953" t="s">
        <v>5234</v>
      </c>
      <c r="G953" t="s">
        <v>5235</v>
      </c>
      <c r="H953" t="s">
        <v>5236</v>
      </c>
    </row>
    <row r="954" spans="1:8" x14ac:dyDescent="0.25">
      <c r="A954">
        <v>1389550</v>
      </c>
      <c r="B954" t="s">
        <v>5053</v>
      </c>
      <c r="C954" t="s">
        <v>32</v>
      </c>
      <c r="D954" t="s">
        <v>5138</v>
      </c>
      <c r="E954" t="s">
        <v>5233</v>
      </c>
      <c r="F954" t="s">
        <v>5237</v>
      </c>
      <c r="G954" t="s">
        <v>5238</v>
      </c>
      <c r="H954" t="s">
        <v>5239</v>
      </c>
    </row>
    <row r="955" spans="1:8" x14ac:dyDescent="0.25">
      <c r="A955">
        <v>1389551</v>
      </c>
      <c r="B955" t="s">
        <v>5053</v>
      </c>
      <c r="C955" t="s">
        <v>32</v>
      </c>
      <c r="D955" t="s">
        <v>5138</v>
      </c>
      <c r="E955" t="s">
        <v>5233</v>
      </c>
      <c r="F955" t="s">
        <v>5240</v>
      </c>
      <c r="G955" t="s">
        <v>5241</v>
      </c>
      <c r="H955" t="s">
        <v>5242</v>
      </c>
    </row>
    <row r="956" spans="1:8" x14ac:dyDescent="0.25">
      <c r="A956">
        <v>1389552</v>
      </c>
      <c r="B956" t="s">
        <v>5053</v>
      </c>
      <c r="C956" t="s">
        <v>32</v>
      </c>
      <c r="D956" t="s">
        <v>5138</v>
      </c>
      <c r="E956" t="s">
        <v>5233</v>
      </c>
      <c r="F956" t="s">
        <v>5243</v>
      </c>
      <c r="G956" t="s">
        <v>5244</v>
      </c>
      <c r="H956" t="s">
        <v>5245</v>
      </c>
    </row>
    <row r="957" spans="1:8" x14ac:dyDescent="0.25">
      <c r="A957">
        <v>1389553</v>
      </c>
      <c r="B957" t="s">
        <v>5053</v>
      </c>
      <c r="C957" t="s">
        <v>32</v>
      </c>
      <c r="D957" t="s">
        <v>5138</v>
      </c>
      <c r="E957" t="s">
        <v>5233</v>
      </c>
      <c r="F957" t="s">
        <v>5246</v>
      </c>
      <c r="G957" t="s">
        <v>5247</v>
      </c>
      <c r="H957" t="s">
        <v>5248</v>
      </c>
    </row>
    <row r="958" spans="1:8" x14ac:dyDescent="0.25">
      <c r="A958">
        <v>1389554</v>
      </c>
      <c r="B958" t="s">
        <v>5053</v>
      </c>
      <c r="C958" t="s">
        <v>32</v>
      </c>
      <c r="D958" t="s">
        <v>5138</v>
      </c>
      <c r="E958" t="s">
        <v>5233</v>
      </c>
      <c r="F958" t="s">
        <v>5249</v>
      </c>
      <c r="G958" t="s">
        <v>5250</v>
      </c>
      <c r="H958" t="s">
        <v>5251</v>
      </c>
    </row>
    <row r="959" spans="1:8" x14ac:dyDescent="0.25">
      <c r="A959">
        <v>1389555</v>
      </c>
      <c r="B959" t="s">
        <v>5053</v>
      </c>
      <c r="C959" t="s">
        <v>32</v>
      </c>
      <c r="D959" t="s">
        <v>5138</v>
      </c>
      <c r="E959" t="s">
        <v>5233</v>
      </c>
      <c r="F959" t="s">
        <v>5252</v>
      </c>
      <c r="G959" t="s">
        <v>5253</v>
      </c>
      <c r="H959" t="s">
        <v>5254</v>
      </c>
    </row>
    <row r="960" spans="1:8" x14ac:dyDescent="0.25">
      <c r="A960">
        <v>1392789</v>
      </c>
      <c r="B960" t="s">
        <v>5053</v>
      </c>
      <c r="C960" t="s">
        <v>32</v>
      </c>
      <c r="D960" t="s">
        <v>71</v>
      </c>
      <c r="E960" t="s">
        <v>344</v>
      </c>
      <c r="F960" t="s">
        <v>5255</v>
      </c>
      <c r="G960" t="s">
        <v>5256</v>
      </c>
      <c r="H960" t="s">
        <v>5257</v>
      </c>
    </row>
    <row r="961" spans="1:8" x14ac:dyDescent="0.25">
      <c r="A961">
        <v>1392793</v>
      </c>
      <c r="B961" t="s">
        <v>5053</v>
      </c>
      <c r="C961" t="s">
        <v>32</v>
      </c>
      <c r="D961" t="s">
        <v>71</v>
      </c>
      <c r="E961" t="s">
        <v>344</v>
      </c>
      <c r="F961" t="s">
        <v>1831</v>
      </c>
      <c r="G961" t="s">
        <v>5258</v>
      </c>
      <c r="H961" t="s">
        <v>5259</v>
      </c>
    </row>
    <row r="962" spans="1:8" x14ac:dyDescent="0.25">
      <c r="A962">
        <v>1399854</v>
      </c>
      <c r="B962" t="s">
        <v>5053</v>
      </c>
      <c r="C962" t="s">
        <v>32</v>
      </c>
      <c r="D962" t="s">
        <v>65</v>
      </c>
      <c r="E962" t="s">
        <v>104</v>
      </c>
      <c r="F962" t="s">
        <v>5260</v>
      </c>
      <c r="G962" t="s">
        <v>5261</v>
      </c>
      <c r="H962" t="s">
        <v>5262</v>
      </c>
    </row>
    <row r="963" spans="1:8" x14ac:dyDescent="0.25">
      <c r="A963">
        <v>1399855</v>
      </c>
      <c r="B963" t="s">
        <v>5053</v>
      </c>
      <c r="C963" t="s">
        <v>32</v>
      </c>
      <c r="D963" t="s">
        <v>65</v>
      </c>
      <c r="E963" t="s">
        <v>104</v>
      </c>
      <c r="F963" t="s">
        <v>5263</v>
      </c>
      <c r="G963" t="s">
        <v>5264</v>
      </c>
      <c r="H963" t="s">
        <v>5265</v>
      </c>
    </row>
    <row r="964" spans="1:8" x14ac:dyDescent="0.25">
      <c r="A964">
        <v>1399856</v>
      </c>
      <c r="B964" t="s">
        <v>5053</v>
      </c>
      <c r="C964" t="s">
        <v>32</v>
      </c>
      <c r="D964" t="s">
        <v>65</v>
      </c>
      <c r="E964" t="s">
        <v>104</v>
      </c>
      <c r="F964" t="s">
        <v>5266</v>
      </c>
      <c r="G964" t="s">
        <v>5267</v>
      </c>
      <c r="H964" t="s">
        <v>5268</v>
      </c>
    </row>
    <row r="965" spans="1:8" x14ac:dyDescent="0.25">
      <c r="A965">
        <v>1399857</v>
      </c>
      <c r="B965" t="s">
        <v>5053</v>
      </c>
      <c r="C965" t="s">
        <v>32</v>
      </c>
      <c r="D965" t="s">
        <v>65</v>
      </c>
      <c r="E965" t="s">
        <v>104</v>
      </c>
      <c r="F965" t="s">
        <v>5269</v>
      </c>
      <c r="G965" t="s">
        <v>5270</v>
      </c>
      <c r="H965" t="s">
        <v>5271</v>
      </c>
    </row>
    <row r="966" spans="1:8" x14ac:dyDescent="0.25">
      <c r="A966">
        <v>1399858</v>
      </c>
      <c r="B966" t="s">
        <v>5053</v>
      </c>
      <c r="C966" t="s">
        <v>32</v>
      </c>
      <c r="D966" t="s">
        <v>65</v>
      </c>
      <c r="E966" t="s">
        <v>104</v>
      </c>
      <c r="F966" t="s">
        <v>5272</v>
      </c>
      <c r="G966" t="s">
        <v>5273</v>
      </c>
      <c r="H966" t="s">
        <v>5274</v>
      </c>
    </row>
    <row r="967" spans="1:8" x14ac:dyDescent="0.25">
      <c r="A967">
        <v>1399859</v>
      </c>
      <c r="B967" t="s">
        <v>5053</v>
      </c>
      <c r="C967" t="s">
        <v>32</v>
      </c>
      <c r="D967" t="s">
        <v>65</v>
      </c>
      <c r="E967" t="s">
        <v>104</v>
      </c>
      <c r="F967" t="s">
        <v>5275</v>
      </c>
      <c r="G967" t="s">
        <v>5276</v>
      </c>
      <c r="H967" t="s">
        <v>5277</v>
      </c>
    </row>
    <row r="968" spans="1:8" x14ac:dyDescent="0.25">
      <c r="A968">
        <v>1399860</v>
      </c>
      <c r="B968" t="s">
        <v>5053</v>
      </c>
      <c r="C968" t="s">
        <v>32</v>
      </c>
      <c r="D968" t="s">
        <v>65</v>
      </c>
      <c r="E968" t="s">
        <v>104</v>
      </c>
      <c r="F968" t="s">
        <v>5278</v>
      </c>
      <c r="G968" t="s">
        <v>5279</v>
      </c>
      <c r="H968" t="s">
        <v>5280</v>
      </c>
    </row>
    <row r="969" spans="1:8" x14ac:dyDescent="0.25">
      <c r="A969">
        <v>1399862</v>
      </c>
      <c r="B969" t="s">
        <v>5053</v>
      </c>
      <c r="C969" t="s">
        <v>32</v>
      </c>
      <c r="D969" t="s">
        <v>65</v>
      </c>
      <c r="E969" t="s">
        <v>104</v>
      </c>
      <c r="F969" t="s">
        <v>5281</v>
      </c>
      <c r="G969" t="s">
        <v>5282</v>
      </c>
      <c r="H969" t="s">
        <v>5283</v>
      </c>
    </row>
    <row r="970" spans="1:8" x14ac:dyDescent="0.25">
      <c r="A970">
        <v>1399864</v>
      </c>
      <c r="B970" t="s">
        <v>5053</v>
      </c>
      <c r="C970" t="s">
        <v>32</v>
      </c>
      <c r="D970" t="s">
        <v>65</v>
      </c>
      <c r="E970" t="s">
        <v>104</v>
      </c>
      <c r="F970" t="s">
        <v>5284</v>
      </c>
      <c r="G970" t="s">
        <v>5285</v>
      </c>
      <c r="H970" t="s">
        <v>5286</v>
      </c>
    </row>
    <row r="971" spans="1:8" x14ac:dyDescent="0.25">
      <c r="A971">
        <v>1399865</v>
      </c>
      <c r="B971" t="s">
        <v>5053</v>
      </c>
      <c r="C971" t="s">
        <v>32</v>
      </c>
      <c r="D971" t="s">
        <v>65</v>
      </c>
      <c r="E971" t="s">
        <v>104</v>
      </c>
      <c r="F971" t="s">
        <v>5287</v>
      </c>
      <c r="G971" t="s">
        <v>5288</v>
      </c>
      <c r="H971" t="s">
        <v>5289</v>
      </c>
    </row>
    <row r="972" spans="1:8" x14ac:dyDescent="0.25">
      <c r="A972">
        <v>1401959</v>
      </c>
      <c r="B972" t="s">
        <v>5053</v>
      </c>
      <c r="C972" t="s">
        <v>32</v>
      </c>
      <c r="D972" t="s">
        <v>65</v>
      </c>
      <c r="E972" t="s">
        <v>5290</v>
      </c>
      <c r="F972" t="s">
        <v>5291</v>
      </c>
      <c r="G972" t="s">
        <v>5292</v>
      </c>
      <c r="H972" t="s">
        <v>5293</v>
      </c>
    </row>
    <row r="973" spans="1:8" x14ac:dyDescent="0.25">
      <c r="A973">
        <v>1401960</v>
      </c>
      <c r="B973" t="s">
        <v>5053</v>
      </c>
      <c r="C973" t="s">
        <v>32</v>
      </c>
      <c r="D973" t="s">
        <v>65</v>
      </c>
      <c r="E973" t="s">
        <v>5290</v>
      </c>
      <c r="F973" t="s">
        <v>5294</v>
      </c>
      <c r="G973" t="s">
        <v>5295</v>
      </c>
      <c r="H973" t="s">
        <v>5296</v>
      </c>
    </row>
    <row r="974" spans="1:8" x14ac:dyDescent="0.25">
      <c r="A974">
        <v>1401961</v>
      </c>
      <c r="B974" t="s">
        <v>5053</v>
      </c>
      <c r="C974" t="s">
        <v>32</v>
      </c>
      <c r="D974" t="s">
        <v>65</v>
      </c>
      <c r="E974" t="s">
        <v>5290</v>
      </c>
      <c r="F974" t="s">
        <v>5297</v>
      </c>
      <c r="G974" t="s">
        <v>5298</v>
      </c>
      <c r="H974" t="s">
        <v>5299</v>
      </c>
    </row>
    <row r="975" spans="1:8" x14ac:dyDescent="0.25">
      <c r="A975">
        <v>1401962</v>
      </c>
      <c r="B975" t="s">
        <v>5053</v>
      </c>
      <c r="C975" t="s">
        <v>32</v>
      </c>
      <c r="D975" t="s">
        <v>65</v>
      </c>
      <c r="E975" t="s">
        <v>5290</v>
      </c>
      <c r="F975" t="s">
        <v>5300</v>
      </c>
      <c r="G975" t="s">
        <v>5301</v>
      </c>
      <c r="H975" t="s">
        <v>5302</v>
      </c>
    </row>
    <row r="976" spans="1:8" x14ac:dyDescent="0.25">
      <c r="A976">
        <v>1401963</v>
      </c>
      <c r="B976" t="s">
        <v>5053</v>
      </c>
      <c r="C976" t="s">
        <v>32</v>
      </c>
      <c r="D976" t="s">
        <v>65</v>
      </c>
      <c r="E976" t="s">
        <v>5290</v>
      </c>
      <c r="F976" t="s">
        <v>5303</v>
      </c>
      <c r="G976" t="s">
        <v>5304</v>
      </c>
      <c r="H976" t="s">
        <v>5305</v>
      </c>
    </row>
    <row r="977" spans="1:8" x14ac:dyDescent="0.25">
      <c r="A977">
        <v>1401964</v>
      </c>
      <c r="B977" t="s">
        <v>5053</v>
      </c>
      <c r="C977" t="s">
        <v>32</v>
      </c>
      <c r="D977" t="s">
        <v>65</v>
      </c>
      <c r="E977" t="s">
        <v>5290</v>
      </c>
      <c r="F977" t="s">
        <v>5306</v>
      </c>
      <c r="G977" t="s">
        <v>5307</v>
      </c>
      <c r="H977" t="s">
        <v>5308</v>
      </c>
    </row>
    <row r="978" spans="1:8" x14ac:dyDescent="0.25">
      <c r="A978">
        <v>1401965</v>
      </c>
      <c r="B978" t="s">
        <v>5053</v>
      </c>
      <c r="C978" t="s">
        <v>32</v>
      </c>
      <c r="D978" t="s">
        <v>65</v>
      </c>
      <c r="E978" t="s">
        <v>5290</v>
      </c>
      <c r="F978" t="s">
        <v>5309</v>
      </c>
      <c r="G978" t="s">
        <v>5310</v>
      </c>
      <c r="H978" t="s">
        <v>5311</v>
      </c>
    </row>
    <row r="979" spans="1:8" x14ac:dyDescent="0.25">
      <c r="A979">
        <v>1401966</v>
      </c>
      <c r="B979" t="s">
        <v>5053</v>
      </c>
      <c r="C979" t="s">
        <v>32</v>
      </c>
      <c r="D979" t="s">
        <v>65</v>
      </c>
      <c r="E979" t="s">
        <v>5290</v>
      </c>
      <c r="F979" t="s">
        <v>5312</v>
      </c>
      <c r="G979" t="s">
        <v>5313</v>
      </c>
      <c r="H979" t="s">
        <v>5314</v>
      </c>
    </row>
    <row r="980" spans="1:8" x14ac:dyDescent="0.25">
      <c r="A980">
        <v>1401967</v>
      </c>
      <c r="B980" t="s">
        <v>5053</v>
      </c>
      <c r="C980" t="s">
        <v>32</v>
      </c>
      <c r="D980" t="s">
        <v>65</v>
      </c>
      <c r="E980" t="s">
        <v>5290</v>
      </c>
      <c r="F980" t="s">
        <v>5315</v>
      </c>
      <c r="G980" t="s">
        <v>5316</v>
      </c>
      <c r="H980" t="s">
        <v>5317</v>
      </c>
    </row>
    <row r="981" spans="1:8" x14ac:dyDescent="0.25">
      <c r="A981">
        <v>1401968</v>
      </c>
      <c r="B981" t="s">
        <v>5053</v>
      </c>
      <c r="C981" t="s">
        <v>32</v>
      </c>
      <c r="D981" t="s">
        <v>65</v>
      </c>
      <c r="E981" t="s">
        <v>5290</v>
      </c>
      <c r="F981" t="s">
        <v>5318</v>
      </c>
      <c r="G981" t="s">
        <v>5319</v>
      </c>
      <c r="H981" t="s">
        <v>5320</v>
      </c>
    </row>
    <row r="982" spans="1:8" x14ac:dyDescent="0.25">
      <c r="A982">
        <v>1401969</v>
      </c>
      <c r="B982" t="s">
        <v>5053</v>
      </c>
      <c r="C982" t="s">
        <v>32</v>
      </c>
      <c r="D982" t="s">
        <v>65</v>
      </c>
      <c r="E982" t="s">
        <v>5290</v>
      </c>
      <c r="F982" t="s">
        <v>5321</v>
      </c>
      <c r="G982" t="s">
        <v>5322</v>
      </c>
      <c r="H982" t="s">
        <v>5323</v>
      </c>
    </row>
    <row r="983" spans="1:8" x14ac:dyDescent="0.25">
      <c r="A983">
        <v>1401970</v>
      </c>
      <c r="B983" t="s">
        <v>5053</v>
      </c>
      <c r="C983" t="s">
        <v>32</v>
      </c>
      <c r="D983" t="s">
        <v>65</v>
      </c>
      <c r="E983" t="s">
        <v>5290</v>
      </c>
      <c r="F983" t="s">
        <v>5324</v>
      </c>
      <c r="G983" t="s">
        <v>5325</v>
      </c>
      <c r="H983" t="s">
        <v>5326</v>
      </c>
    </row>
    <row r="984" spans="1:8" x14ac:dyDescent="0.25">
      <c r="A984">
        <v>1402511</v>
      </c>
      <c r="B984" t="s">
        <v>5053</v>
      </c>
      <c r="C984" t="s">
        <v>32</v>
      </c>
      <c r="D984" t="s">
        <v>65</v>
      </c>
      <c r="E984" t="s">
        <v>5327</v>
      </c>
      <c r="F984" t="s">
        <v>5328</v>
      </c>
      <c r="G984" t="s">
        <v>5329</v>
      </c>
      <c r="H984" t="s">
        <v>5330</v>
      </c>
    </row>
    <row r="985" spans="1:8" x14ac:dyDescent="0.25">
      <c r="A985">
        <v>1402512</v>
      </c>
      <c r="B985" t="s">
        <v>5053</v>
      </c>
      <c r="C985" t="s">
        <v>32</v>
      </c>
      <c r="D985" t="s">
        <v>65</v>
      </c>
      <c r="E985" t="s">
        <v>5327</v>
      </c>
      <c r="F985" t="s">
        <v>5331</v>
      </c>
      <c r="G985" t="s">
        <v>5332</v>
      </c>
      <c r="H985" t="s">
        <v>5333</v>
      </c>
    </row>
    <row r="986" spans="1:8" x14ac:dyDescent="0.25">
      <c r="A986">
        <v>1402513</v>
      </c>
      <c r="B986" t="s">
        <v>5053</v>
      </c>
      <c r="C986" t="s">
        <v>32</v>
      </c>
      <c r="D986" t="s">
        <v>65</v>
      </c>
      <c r="E986" t="s">
        <v>5327</v>
      </c>
      <c r="F986" t="s">
        <v>5334</v>
      </c>
      <c r="G986" t="s">
        <v>5335</v>
      </c>
      <c r="H986" t="s">
        <v>5336</v>
      </c>
    </row>
    <row r="987" spans="1:8" x14ac:dyDescent="0.25">
      <c r="A987">
        <v>1402514</v>
      </c>
      <c r="B987" t="s">
        <v>5053</v>
      </c>
      <c r="C987" t="s">
        <v>32</v>
      </c>
      <c r="D987" t="s">
        <v>65</v>
      </c>
      <c r="E987" t="s">
        <v>5327</v>
      </c>
      <c r="F987" t="s">
        <v>5337</v>
      </c>
      <c r="G987" t="s">
        <v>5338</v>
      </c>
      <c r="H987" t="s">
        <v>5339</v>
      </c>
    </row>
    <row r="988" spans="1:8" x14ac:dyDescent="0.25">
      <c r="A988">
        <v>1402515</v>
      </c>
      <c r="B988" t="s">
        <v>5053</v>
      </c>
      <c r="C988" t="s">
        <v>32</v>
      </c>
      <c r="D988" t="s">
        <v>65</v>
      </c>
      <c r="E988" t="s">
        <v>5327</v>
      </c>
      <c r="F988" t="s">
        <v>5340</v>
      </c>
      <c r="G988" t="s">
        <v>5341</v>
      </c>
      <c r="H988" t="s">
        <v>5342</v>
      </c>
    </row>
    <row r="989" spans="1:8" x14ac:dyDescent="0.25">
      <c r="A989">
        <v>1402516</v>
      </c>
      <c r="B989" t="s">
        <v>5053</v>
      </c>
      <c r="C989" t="s">
        <v>32</v>
      </c>
      <c r="D989" t="s">
        <v>65</v>
      </c>
      <c r="E989" t="s">
        <v>5327</v>
      </c>
      <c r="F989" t="s">
        <v>5343</v>
      </c>
      <c r="G989" t="s">
        <v>5344</v>
      </c>
      <c r="H989" t="s">
        <v>5345</v>
      </c>
    </row>
    <row r="990" spans="1:8" x14ac:dyDescent="0.25">
      <c r="A990">
        <v>1402517</v>
      </c>
      <c r="B990" t="s">
        <v>5053</v>
      </c>
      <c r="C990" t="s">
        <v>32</v>
      </c>
      <c r="D990" t="s">
        <v>65</v>
      </c>
      <c r="E990" t="s">
        <v>5327</v>
      </c>
      <c r="F990" t="s">
        <v>5346</v>
      </c>
      <c r="G990" t="s">
        <v>5347</v>
      </c>
      <c r="H990" t="s">
        <v>5348</v>
      </c>
    </row>
    <row r="991" spans="1:8" x14ac:dyDescent="0.25">
      <c r="A991">
        <v>1402518</v>
      </c>
      <c r="B991" t="s">
        <v>5053</v>
      </c>
      <c r="C991" t="s">
        <v>32</v>
      </c>
      <c r="D991" t="s">
        <v>65</v>
      </c>
      <c r="E991" t="s">
        <v>5327</v>
      </c>
      <c r="F991" t="s">
        <v>5349</v>
      </c>
      <c r="G991" t="s">
        <v>5350</v>
      </c>
      <c r="H991" t="s">
        <v>5351</v>
      </c>
    </row>
    <row r="992" spans="1:8" x14ac:dyDescent="0.25">
      <c r="A992">
        <v>1402519</v>
      </c>
      <c r="B992" t="s">
        <v>5053</v>
      </c>
      <c r="C992" t="s">
        <v>32</v>
      </c>
      <c r="D992" t="s">
        <v>65</v>
      </c>
      <c r="E992" t="s">
        <v>5327</v>
      </c>
      <c r="F992" t="s">
        <v>5352</v>
      </c>
      <c r="G992" t="s">
        <v>5353</v>
      </c>
      <c r="H992" t="s">
        <v>5354</v>
      </c>
    </row>
    <row r="993" spans="1:8" x14ac:dyDescent="0.25">
      <c r="A993">
        <v>1402520</v>
      </c>
      <c r="B993" t="s">
        <v>5053</v>
      </c>
      <c r="C993" t="s">
        <v>32</v>
      </c>
      <c r="D993" t="s">
        <v>65</v>
      </c>
      <c r="E993" t="s">
        <v>5327</v>
      </c>
      <c r="F993" t="s">
        <v>5355</v>
      </c>
      <c r="G993" t="s">
        <v>5356</v>
      </c>
      <c r="H993" t="s">
        <v>5357</v>
      </c>
    </row>
    <row r="994" spans="1:8" x14ac:dyDescent="0.25">
      <c r="A994">
        <v>1402521</v>
      </c>
      <c r="B994" t="s">
        <v>5053</v>
      </c>
      <c r="C994" t="s">
        <v>32</v>
      </c>
      <c r="D994" t="s">
        <v>65</v>
      </c>
      <c r="E994" t="s">
        <v>5327</v>
      </c>
      <c r="F994" t="s">
        <v>5358</v>
      </c>
      <c r="G994" t="s">
        <v>5359</v>
      </c>
      <c r="H994" t="s">
        <v>5360</v>
      </c>
    </row>
    <row r="995" spans="1:8" x14ac:dyDescent="0.25">
      <c r="A995">
        <v>1402522</v>
      </c>
      <c r="B995" t="s">
        <v>5053</v>
      </c>
      <c r="C995" t="s">
        <v>32</v>
      </c>
      <c r="D995" t="s">
        <v>65</v>
      </c>
      <c r="E995" t="s">
        <v>5327</v>
      </c>
      <c r="F995" t="s">
        <v>5361</v>
      </c>
      <c r="G995" t="s">
        <v>5362</v>
      </c>
      <c r="H995" t="s">
        <v>5363</v>
      </c>
    </row>
    <row r="996" spans="1:8" x14ac:dyDescent="0.25">
      <c r="A996">
        <v>1405291</v>
      </c>
      <c r="B996" t="s">
        <v>5053</v>
      </c>
      <c r="C996" t="s">
        <v>32</v>
      </c>
      <c r="D996" t="s">
        <v>92</v>
      </c>
      <c r="E996" t="s">
        <v>5364</v>
      </c>
      <c r="F996" t="s">
        <v>5365</v>
      </c>
      <c r="G996" t="s">
        <v>5366</v>
      </c>
      <c r="H996" t="s">
        <v>5367</v>
      </c>
    </row>
    <row r="997" spans="1:8" x14ac:dyDescent="0.25">
      <c r="A997">
        <v>1405292</v>
      </c>
      <c r="B997" t="s">
        <v>5053</v>
      </c>
      <c r="C997" t="s">
        <v>32</v>
      </c>
      <c r="D997" t="s">
        <v>92</v>
      </c>
      <c r="E997" t="s">
        <v>5364</v>
      </c>
      <c r="F997" t="s">
        <v>5368</v>
      </c>
      <c r="G997" t="s">
        <v>5369</v>
      </c>
      <c r="H997" t="s">
        <v>5370</v>
      </c>
    </row>
    <row r="998" spans="1:8" x14ac:dyDescent="0.25">
      <c r="A998">
        <v>1405293</v>
      </c>
      <c r="B998" t="s">
        <v>5053</v>
      </c>
      <c r="C998" t="s">
        <v>32</v>
      </c>
      <c r="D998" t="s">
        <v>92</v>
      </c>
      <c r="E998" t="s">
        <v>5364</v>
      </c>
      <c r="F998" t="s">
        <v>5371</v>
      </c>
      <c r="G998" t="s">
        <v>5372</v>
      </c>
      <c r="H998" t="s">
        <v>5373</v>
      </c>
    </row>
    <row r="999" spans="1:8" x14ac:dyDescent="0.25">
      <c r="A999">
        <v>1405294</v>
      </c>
      <c r="B999" t="s">
        <v>5053</v>
      </c>
      <c r="C999" t="s">
        <v>32</v>
      </c>
      <c r="D999" t="s">
        <v>92</v>
      </c>
      <c r="E999" t="s">
        <v>5364</v>
      </c>
      <c r="F999" t="s">
        <v>5374</v>
      </c>
      <c r="G999" t="s">
        <v>5375</v>
      </c>
      <c r="H999" t="s">
        <v>5376</v>
      </c>
    </row>
    <row r="1000" spans="1:8" x14ac:dyDescent="0.25">
      <c r="A1000">
        <v>1405295</v>
      </c>
      <c r="B1000" t="s">
        <v>5053</v>
      </c>
      <c r="C1000" t="s">
        <v>32</v>
      </c>
      <c r="D1000" t="s">
        <v>92</v>
      </c>
      <c r="E1000" t="s">
        <v>5364</v>
      </c>
      <c r="F1000" t="s">
        <v>5377</v>
      </c>
      <c r="G1000" t="s">
        <v>5378</v>
      </c>
      <c r="H1000" t="s">
        <v>5379</v>
      </c>
    </row>
    <row r="1001" spans="1:8" x14ac:dyDescent="0.25">
      <c r="A1001">
        <v>1405297</v>
      </c>
      <c r="B1001" t="s">
        <v>5053</v>
      </c>
      <c r="C1001" t="s">
        <v>32</v>
      </c>
      <c r="D1001" t="s">
        <v>92</v>
      </c>
      <c r="E1001" t="s">
        <v>5364</v>
      </c>
      <c r="F1001" t="s">
        <v>5380</v>
      </c>
      <c r="G1001" t="s">
        <v>5381</v>
      </c>
      <c r="H1001" t="s">
        <v>5382</v>
      </c>
    </row>
    <row r="1002" spans="1:8" x14ac:dyDescent="0.25">
      <c r="A1002">
        <v>1405987</v>
      </c>
      <c r="B1002" t="s">
        <v>5053</v>
      </c>
      <c r="C1002" t="s">
        <v>32</v>
      </c>
      <c r="D1002" t="s">
        <v>43</v>
      </c>
      <c r="E1002" t="s">
        <v>425</v>
      </c>
      <c r="F1002" t="s">
        <v>1642</v>
      </c>
      <c r="G1002" t="s">
        <v>1641</v>
      </c>
      <c r="H1002" t="s">
        <v>5383</v>
      </c>
    </row>
    <row r="1003" spans="1:8" x14ac:dyDescent="0.25">
      <c r="A1003">
        <v>1412651</v>
      </c>
      <c r="B1003" t="s">
        <v>5053</v>
      </c>
      <c r="C1003" t="s">
        <v>32</v>
      </c>
      <c r="D1003" t="s">
        <v>319</v>
      </c>
      <c r="E1003" t="s">
        <v>3037</v>
      </c>
      <c r="F1003" t="s">
        <v>5384</v>
      </c>
      <c r="G1003" t="s">
        <v>5385</v>
      </c>
      <c r="H1003" t="s">
        <v>5386</v>
      </c>
    </row>
    <row r="1004" spans="1:8" x14ac:dyDescent="0.25">
      <c r="A1004">
        <v>1412931</v>
      </c>
      <c r="B1004" t="s">
        <v>5053</v>
      </c>
      <c r="C1004" t="s">
        <v>32</v>
      </c>
      <c r="D1004" t="s">
        <v>43</v>
      </c>
      <c r="E1004" t="s">
        <v>606</v>
      </c>
      <c r="F1004" t="s">
        <v>5387</v>
      </c>
      <c r="G1004" t="s">
        <v>1667</v>
      </c>
      <c r="H1004" t="s">
        <v>5388</v>
      </c>
    </row>
    <row r="1005" spans="1:8" x14ac:dyDescent="0.25">
      <c r="A1005">
        <v>1413932</v>
      </c>
      <c r="B1005" t="s">
        <v>5053</v>
      </c>
      <c r="C1005" t="s">
        <v>32</v>
      </c>
      <c r="D1005" t="s">
        <v>53</v>
      </c>
      <c r="E1005" t="s">
        <v>643</v>
      </c>
      <c r="F1005" t="s">
        <v>1887</v>
      </c>
      <c r="G1005" t="s">
        <v>1884</v>
      </c>
      <c r="H1005" t="s">
        <v>5389</v>
      </c>
    </row>
    <row r="1006" spans="1:8" x14ac:dyDescent="0.25">
      <c r="A1006">
        <v>1413937</v>
      </c>
      <c r="B1006" t="s">
        <v>5053</v>
      </c>
      <c r="C1006" t="s">
        <v>32</v>
      </c>
      <c r="D1006" t="s">
        <v>53</v>
      </c>
      <c r="E1006" t="s">
        <v>643</v>
      </c>
      <c r="F1006" t="s">
        <v>1028</v>
      </c>
      <c r="G1006" t="s">
        <v>1888</v>
      </c>
      <c r="H1006" t="s">
        <v>5390</v>
      </c>
    </row>
    <row r="1007" spans="1:8" x14ac:dyDescent="0.25">
      <c r="A1007">
        <v>1418647</v>
      </c>
      <c r="B1007" t="s">
        <v>5053</v>
      </c>
      <c r="C1007" t="s">
        <v>32</v>
      </c>
      <c r="D1007" t="s">
        <v>80</v>
      </c>
      <c r="E1007" t="s">
        <v>626</v>
      </c>
      <c r="F1007" t="s">
        <v>1694</v>
      </c>
      <c r="G1007" t="s">
        <v>5391</v>
      </c>
      <c r="H1007" t="s">
        <v>5392</v>
      </c>
    </row>
    <row r="1008" spans="1:8" x14ac:dyDescent="0.25">
      <c r="A1008">
        <v>1420063</v>
      </c>
      <c r="B1008" t="s">
        <v>5053</v>
      </c>
      <c r="C1008" t="s">
        <v>32</v>
      </c>
      <c r="D1008" t="s">
        <v>80</v>
      </c>
      <c r="E1008" t="s">
        <v>5393</v>
      </c>
      <c r="F1008" t="s">
        <v>5394</v>
      </c>
      <c r="G1008" t="s">
        <v>5395</v>
      </c>
      <c r="H1008" t="s">
        <v>5396</v>
      </c>
    </row>
    <row r="1009" spans="1:8" x14ac:dyDescent="0.25">
      <c r="A1009">
        <v>1424787</v>
      </c>
      <c r="B1009" t="s">
        <v>5053</v>
      </c>
      <c r="C1009" t="s">
        <v>32</v>
      </c>
      <c r="D1009" t="s">
        <v>65</v>
      </c>
      <c r="E1009" t="s">
        <v>5397</v>
      </c>
      <c r="F1009" t="s">
        <v>5398</v>
      </c>
      <c r="G1009" t="s">
        <v>5399</v>
      </c>
      <c r="H1009" t="s">
        <v>5400</v>
      </c>
    </row>
    <row r="1010" spans="1:8" x14ac:dyDescent="0.25">
      <c r="A1010">
        <v>1424788</v>
      </c>
      <c r="B1010" t="s">
        <v>5053</v>
      </c>
      <c r="C1010" t="s">
        <v>32</v>
      </c>
      <c r="D1010" t="s">
        <v>65</v>
      </c>
      <c r="E1010" t="s">
        <v>5397</v>
      </c>
      <c r="F1010" t="s">
        <v>5401</v>
      </c>
      <c r="G1010" t="s">
        <v>5402</v>
      </c>
      <c r="H1010" t="s">
        <v>5403</v>
      </c>
    </row>
    <row r="1011" spans="1:8" x14ac:dyDescent="0.25">
      <c r="A1011">
        <v>1424789</v>
      </c>
      <c r="B1011" t="s">
        <v>5053</v>
      </c>
      <c r="C1011" t="s">
        <v>32</v>
      </c>
      <c r="D1011" t="s">
        <v>65</v>
      </c>
      <c r="E1011" t="s">
        <v>5397</v>
      </c>
      <c r="F1011" t="s">
        <v>5404</v>
      </c>
      <c r="G1011" t="s">
        <v>5405</v>
      </c>
      <c r="H1011" t="s">
        <v>5406</v>
      </c>
    </row>
    <row r="1012" spans="1:8" x14ac:dyDescent="0.25">
      <c r="A1012">
        <v>1424790</v>
      </c>
      <c r="B1012" t="s">
        <v>5053</v>
      </c>
      <c r="C1012" t="s">
        <v>32</v>
      </c>
      <c r="D1012" t="s">
        <v>65</v>
      </c>
      <c r="E1012" t="s">
        <v>5397</v>
      </c>
      <c r="F1012" t="s">
        <v>5407</v>
      </c>
      <c r="G1012" t="s">
        <v>5408</v>
      </c>
      <c r="H1012" t="s">
        <v>5409</v>
      </c>
    </row>
    <row r="1013" spans="1:8" x14ac:dyDescent="0.25">
      <c r="A1013">
        <v>1424791</v>
      </c>
      <c r="B1013" t="s">
        <v>5053</v>
      </c>
      <c r="C1013" t="s">
        <v>32</v>
      </c>
      <c r="D1013" t="s">
        <v>65</v>
      </c>
      <c r="E1013" t="s">
        <v>5397</v>
      </c>
      <c r="F1013" t="s">
        <v>5410</v>
      </c>
      <c r="G1013" t="s">
        <v>5411</v>
      </c>
      <c r="H1013" t="s">
        <v>5412</v>
      </c>
    </row>
    <row r="1014" spans="1:8" x14ac:dyDescent="0.25">
      <c r="A1014">
        <v>1424792</v>
      </c>
      <c r="B1014" t="s">
        <v>5053</v>
      </c>
      <c r="C1014" t="s">
        <v>32</v>
      </c>
      <c r="D1014" t="s">
        <v>65</v>
      </c>
      <c r="E1014" t="s">
        <v>5397</v>
      </c>
      <c r="F1014" t="s">
        <v>5413</v>
      </c>
      <c r="G1014" t="s">
        <v>5414</v>
      </c>
      <c r="H1014" t="s">
        <v>5415</v>
      </c>
    </row>
    <row r="1015" spans="1:8" x14ac:dyDescent="0.25">
      <c r="A1015">
        <v>1424793</v>
      </c>
      <c r="B1015" t="s">
        <v>5053</v>
      </c>
      <c r="C1015" t="s">
        <v>32</v>
      </c>
      <c r="D1015" t="s">
        <v>65</v>
      </c>
      <c r="E1015" t="s">
        <v>5397</v>
      </c>
      <c r="F1015" t="s">
        <v>5416</v>
      </c>
      <c r="G1015" t="s">
        <v>5417</v>
      </c>
      <c r="H1015" t="s">
        <v>5418</v>
      </c>
    </row>
    <row r="1016" spans="1:8" x14ac:dyDescent="0.25">
      <c r="A1016">
        <v>1424794</v>
      </c>
      <c r="B1016" t="s">
        <v>5053</v>
      </c>
      <c r="C1016" t="s">
        <v>32</v>
      </c>
      <c r="D1016" t="s">
        <v>65</v>
      </c>
      <c r="E1016" t="s">
        <v>5397</v>
      </c>
      <c r="F1016" t="s">
        <v>5419</v>
      </c>
      <c r="G1016" t="s">
        <v>5420</v>
      </c>
      <c r="H1016" t="s">
        <v>5421</v>
      </c>
    </row>
    <row r="1017" spans="1:8" x14ac:dyDescent="0.25">
      <c r="A1017">
        <v>1424795</v>
      </c>
      <c r="B1017" t="s">
        <v>5053</v>
      </c>
      <c r="C1017" t="s">
        <v>32</v>
      </c>
      <c r="D1017" t="s">
        <v>65</v>
      </c>
      <c r="E1017" t="s">
        <v>5397</v>
      </c>
      <c r="F1017" t="s">
        <v>5422</v>
      </c>
      <c r="G1017" t="s">
        <v>5423</v>
      </c>
      <c r="H1017" t="s">
        <v>5424</v>
      </c>
    </row>
    <row r="1018" spans="1:8" x14ac:dyDescent="0.25">
      <c r="A1018">
        <v>1424796</v>
      </c>
      <c r="B1018" t="s">
        <v>5053</v>
      </c>
      <c r="C1018" t="s">
        <v>32</v>
      </c>
      <c r="D1018" t="s">
        <v>65</v>
      </c>
      <c r="E1018" t="s">
        <v>5397</v>
      </c>
      <c r="F1018" t="s">
        <v>5425</v>
      </c>
      <c r="G1018" t="s">
        <v>5426</v>
      </c>
      <c r="H1018" t="s">
        <v>5427</v>
      </c>
    </row>
    <row r="1019" spans="1:8" x14ac:dyDescent="0.25">
      <c r="A1019">
        <v>1424797</v>
      </c>
      <c r="B1019" t="s">
        <v>5053</v>
      </c>
      <c r="C1019" t="s">
        <v>32</v>
      </c>
      <c r="D1019" t="s">
        <v>65</v>
      </c>
      <c r="E1019" t="s">
        <v>5397</v>
      </c>
      <c r="F1019" t="s">
        <v>5428</v>
      </c>
      <c r="G1019" t="s">
        <v>5429</v>
      </c>
      <c r="H1019" t="s">
        <v>5430</v>
      </c>
    </row>
    <row r="1020" spans="1:8" x14ac:dyDescent="0.25">
      <c r="A1020">
        <v>1425569</v>
      </c>
      <c r="B1020" t="s">
        <v>5053</v>
      </c>
      <c r="C1020" t="s">
        <v>32</v>
      </c>
      <c r="D1020" t="s">
        <v>89</v>
      </c>
      <c r="E1020" t="s">
        <v>552</v>
      </c>
      <c r="F1020" t="s">
        <v>5431</v>
      </c>
      <c r="G1020" t="s">
        <v>5432</v>
      </c>
      <c r="H1020" t="s">
        <v>5433</v>
      </c>
    </row>
    <row r="1021" spans="1:8" x14ac:dyDescent="0.25">
      <c r="A1021">
        <v>1426683</v>
      </c>
      <c r="B1021" t="s">
        <v>5053</v>
      </c>
      <c r="C1021" t="s">
        <v>32</v>
      </c>
      <c r="D1021" t="s">
        <v>89</v>
      </c>
      <c r="E1021" t="s">
        <v>644</v>
      </c>
      <c r="F1021" t="s">
        <v>5434</v>
      </c>
      <c r="G1021" t="s">
        <v>1712</v>
      </c>
      <c r="H1021" t="s">
        <v>5435</v>
      </c>
    </row>
    <row r="1022" spans="1:8" x14ac:dyDescent="0.25">
      <c r="A1022">
        <v>1428080</v>
      </c>
      <c r="B1022" t="s">
        <v>5053</v>
      </c>
      <c r="C1022" t="s">
        <v>32</v>
      </c>
      <c r="D1022" t="s">
        <v>65</v>
      </c>
      <c r="E1022" t="s">
        <v>5436</v>
      </c>
      <c r="F1022" t="s">
        <v>5437</v>
      </c>
      <c r="G1022" t="s">
        <v>5438</v>
      </c>
      <c r="H1022" t="s">
        <v>5439</v>
      </c>
    </row>
    <row r="1023" spans="1:8" x14ac:dyDescent="0.25">
      <c r="A1023">
        <v>1428081</v>
      </c>
      <c r="B1023" t="s">
        <v>5053</v>
      </c>
      <c r="C1023" t="s">
        <v>32</v>
      </c>
      <c r="D1023" t="s">
        <v>65</v>
      </c>
      <c r="E1023" t="s">
        <v>5436</v>
      </c>
      <c r="F1023" t="s">
        <v>5440</v>
      </c>
      <c r="G1023" t="s">
        <v>5441</v>
      </c>
      <c r="H1023" t="s">
        <v>5442</v>
      </c>
    </row>
    <row r="1024" spans="1:8" x14ac:dyDescent="0.25">
      <c r="A1024">
        <v>1428082</v>
      </c>
      <c r="B1024" t="s">
        <v>5053</v>
      </c>
      <c r="C1024" t="s">
        <v>32</v>
      </c>
      <c r="D1024" t="s">
        <v>65</v>
      </c>
      <c r="E1024" t="s">
        <v>5436</v>
      </c>
      <c r="F1024" t="s">
        <v>5443</v>
      </c>
      <c r="G1024" t="s">
        <v>5444</v>
      </c>
      <c r="H1024" t="s">
        <v>5445</v>
      </c>
    </row>
    <row r="1025" spans="1:8" x14ac:dyDescent="0.25">
      <c r="A1025">
        <v>1428083</v>
      </c>
      <c r="B1025" t="s">
        <v>5053</v>
      </c>
      <c r="C1025" t="s">
        <v>32</v>
      </c>
      <c r="D1025" t="s">
        <v>65</v>
      </c>
      <c r="E1025" t="s">
        <v>5436</v>
      </c>
      <c r="F1025" t="s">
        <v>5446</v>
      </c>
      <c r="G1025" t="s">
        <v>5447</v>
      </c>
      <c r="H1025" t="s">
        <v>5448</v>
      </c>
    </row>
    <row r="1026" spans="1:8" x14ac:dyDescent="0.25">
      <c r="A1026">
        <v>1428084</v>
      </c>
      <c r="B1026" t="s">
        <v>5053</v>
      </c>
      <c r="C1026" t="s">
        <v>32</v>
      </c>
      <c r="D1026" t="s">
        <v>65</v>
      </c>
      <c r="E1026" t="s">
        <v>5436</v>
      </c>
      <c r="F1026" t="s">
        <v>5449</v>
      </c>
      <c r="G1026" t="s">
        <v>5450</v>
      </c>
      <c r="H1026" t="s">
        <v>5451</v>
      </c>
    </row>
    <row r="1027" spans="1:8" x14ac:dyDescent="0.25">
      <c r="A1027">
        <v>1428085</v>
      </c>
      <c r="B1027" t="s">
        <v>5053</v>
      </c>
      <c r="C1027" t="s">
        <v>32</v>
      </c>
      <c r="D1027" t="s">
        <v>65</v>
      </c>
      <c r="E1027" t="s">
        <v>5436</v>
      </c>
      <c r="F1027" t="s">
        <v>5452</v>
      </c>
      <c r="G1027" t="s">
        <v>5453</v>
      </c>
      <c r="H1027" t="s">
        <v>5454</v>
      </c>
    </row>
    <row r="1028" spans="1:8" x14ac:dyDescent="0.25">
      <c r="A1028">
        <v>1428086</v>
      </c>
      <c r="B1028" t="s">
        <v>5053</v>
      </c>
      <c r="C1028" t="s">
        <v>32</v>
      </c>
      <c r="D1028" t="s">
        <v>65</v>
      </c>
      <c r="E1028" t="s">
        <v>5436</v>
      </c>
      <c r="F1028" t="s">
        <v>5455</v>
      </c>
      <c r="G1028" t="s">
        <v>5456</v>
      </c>
      <c r="H1028" t="s">
        <v>5457</v>
      </c>
    </row>
    <row r="1029" spans="1:8" x14ac:dyDescent="0.25">
      <c r="A1029">
        <v>1428087</v>
      </c>
      <c r="B1029" t="s">
        <v>5053</v>
      </c>
      <c r="C1029" t="s">
        <v>32</v>
      </c>
      <c r="D1029" t="s">
        <v>65</v>
      </c>
      <c r="E1029" t="s">
        <v>5436</v>
      </c>
      <c r="F1029" t="s">
        <v>5458</v>
      </c>
      <c r="G1029" t="s">
        <v>5459</v>
      </c>
      <c r="H1029" t="s">
        <v>5460</v>
      </c>
    </row>
    <row r="1030" spans="1:8" x14ac:dyDescent="0.25">
      <c r="A1030">
        <v>1428088</v>
      </c>
      <c r="B1030" t="s">
        <v>5053</v>
      </c>
      <c r="C1030" t="s">
        <v>32</v>
      </c>
      <c r="D1030" t="s">
        <v>65</v>
      </c>
      <c r="E1030" t="s">
        <v>5436</v>
      </c>
      <c r="F1030" t="s">
        <v>5461</v>
      </c>
      <c r="G1030" t="s">
        <v>5462</v>
      </c>
      <c r="H1030" t="s">
        <v>5463</v>
      </c>
    </row>
    <row r="1031" spans="1:8" x14ac:dyDescent="0.25">
      <c r="A1031">
        <v>1428089</v>
      </c>
      <c r="B1031" t="s">
        <v>5053</v>
      </c>
      <c r="C1031" t="s">
        <v>32</v>
      </c>
      <c r="D1031" t="s">
        <v>65</v>
      </c>
      <c r="E1031" t="s">
        <v>5436</v>
      </c>
      <c r="F1031" t="s">
        <v>5464</v>
      </c>
      <c r="G1031" t="s">
        <v>5465</v>
      </c>
      <c r="H1031" t="s">
        <v>5466</v>
      </c>
    </row>
    <row r="1032" spans="1:8" x14ac:dyDescent="0.25">
      <c r="A1032">
        <v>1428090</v>
      </c>
      <c r="B1032" t="s">
        <v>5053</v>
      </c>
      <c r="C1032" t="s">
        <v>32</v>
      </c>
      <c r="D1032" t="s">
        <v>65</v>
      </c>
      <c r="E1032" t="s">
        <v>5436</v>
      </c>
      <c r="F1032" t="s">
        <v>5467</v>
      </c>
      <c r="G1032" t="s">
        <v>5468</v>
      </c>
      <c r="H1032" t="s">
        <v>5469</v>
      </c>
    </row>
    <row r="1033" spans="1:8" x14ac:dyDescent="0.25">
      <c r="A1033">
        <v>1428542</v>
      </c>
      <c r="B1033" t="s">
        <v>5053</v>
      </c>
      <c r="C1033" t="s">
        <v>32</v>
      </c>
      <c r="D1033" t="s">
        <v>65</v>
      </c>
      <c r="E1033" t="s">
        <v>5470</v>
      </c>
      <c r="F1033" t="s">
        <v>5471</v>
      </c>
      <c r="G1033" t="s">
        <v>5472</v>
      </c>
      <c r="H1033" t="s">
        <v>5473</v>
      </c>
    </row>
    <row r="1034" spans="1:8" x14ac:dyDescent="0.25">
      <c r="A1034">
        <v>1428543</v>
      </c>
      <c r="B1034" t="s">
        <v>5053</v>
      </c>
      <c r="C1034" t="s">
        <v>32</v>
      </c>
      <c r="D1034" t="s">
        <v>65</v>
      </c>
      <c r="E1034" t="s">
        <v>5470</v>
      </c>
      <c r="F1034" t="s">
        <v>5474</v>
      </c>
      <c r="G1034" t="s">
        <v>5475</v>
      </c>
      <c r="H1034" t="s">
        <v>5476</v>
      </c>
    </row>
    <row r="1035" spans="1:8" x14ac:dyDescent="0.25">
      <c r="A1035">
        <v>1428544</v>
      </c>
      <c r="B1035" t="s">
        <v>5053</v>
      </c>
      <c r="C1035" t="s">
        <v>32</v>
      </c>
      <c r="D1035" t="s">
        <v>65</v>
      </c>
      <c r="E1035" t="s">
        <v>5470</v>
      </c>
      <c r="F1035" t="s">
        <v>5477</v>
      </c>
      <c r="G1035" t="s">
        <v>5478</v>
      </c>
      <c r="H1035" t="s">
        <v>5479</v>
      </c>
    </row>
    <row r="1036" spans="1:8" x14ac:dyDescent="0.25">
      <c r="A1036">
        <v>1428545</v>
      </c>
      <c r="B1036" t="s">
        <v>5053</v>
      </c>
      <c r="C1036" t="s">
        <v>32</v>
      </c>
      <c r="D1036" t="s">
        <v>65</v>
      </c>
      <c r="E1036" t="s">
        <v>5470</v>
      </c>
      <c r="F1036" t="s">
        <v>5480</v>
      </c>
      <c r="G1036" t="s">
        <v>5481</v>
      </c>
      <c r="H1036" t="s">
        <v>5482</v>
      </c>
    </row>
    <row r="1037" spans="1:8" x14ac:dyDescent="0.25">
      <c r="A1037">
        <v>1428546</v>
      </c>
      <c r="B1037" t="s">
        <v>5053</v>
      </c>
      <c r="C1037" t="s">
        <v>32</v>
      </c>
      <c r="D1037" t="s">
        <v>65</v>
      </c>
      <c r="E1037" t="s">
        <v>5470</v>
      </c>
      <c r="F1037" t="s">
        <v>5483</v>
      </c>
      <c r="G1037" t="s">
        <v>5484</v>
      </c>
      <c r="H1037" t="s">
        <v>5485</v>
      </c>
    </row>
    <row r="1038" spans="1:8" x14ac:dyDescent="0.25">
      <c r="A1038">
        <v>1428547</v>
      </c>
      <c r="B1038" t="s">
        <v>5053</v>
      </c>
      <c r="C1038" t="s">
        <v>32</v>
      </c>
      <c r="D1038" t="s">
        <v>65</v>
      </c>
      <c r="E1038" t="s">
        <v>5470</v>
      </c>
      <c r="F1038" t="s">
        <v>5486</v>
      </c>
      <c r="G1038" t="s">
        <v>5487</v>
      </c>
      <c r="H1038" t="s">
        <v>5488</v>
      </c>
    </row>
    <row r="1039" spans="1:8" x14ac:dyDescent="0.25">
      <c r="A1039">
        <v>1428548</v>
      </c>
      <c r="B1039" t="s">
        <v>5053</v>
      </c>
      <c r="C1039" t="s">
        <v>32</v>
      </c>
      <c r="D1039" t="s">
        <v>65</v>
      </c>
      <c r="E1039" t="s">
        <v>5470</v>
      </c>
      <c r="F1039" t="s">
        <v>5489</v>
      </c>
      <c r="G1039" t="s">
        <v>5490</v>
      </c>
      <c r="H1039" t="s">
        <v>5491</v>
      </c>
    </row>
    <row r="1040" spans="1:8" x14ac:dyDescent="0.25">
      <c r="A1040">
        <v>1428549</v>
      </c>
      <c r="B1040" t="s">
        <v>5053</v>
      </c>
      <c r="C1040" t="s">
        <v>32</v>
      </c>
      <c r="D1040" t="s">
        <v>65</v>
      </c>
      <c r="E1040" t="s">
        <v>5470</v>
      </c>
      <c r="F1040" t="s">
        <v>5492</v>
      </c>
      <c r="G1040" t="s">
        <v>5493</v>
      </c>
      <c r="H1040" t="s">
        <v>5494</v>
      </c>
    </row>
    <row r="1041" spans="1:8" x14ac:dyDescent="0.25">
      <c r="A1041">
        <v>1428550</v>
      </c>
      <c r="B1041" t="s">
        <v>5053</v>
      </c>
      <c r="C1041" t="s">
        <v>32</v>
      </c>
      <c r="D1041" t="s">
        <v>65</v>
      </c>
      <c r="E1041" t="s">
        <v>5470</v>
      </c>
      <c r="F1041" t="s">
        <v>5495</v>
      </c>
      <c r="G1041" t="s">
        <v>5496</v>
      </c>
      <c r="H1041" t="s">
        <v>5497</v>
      </c>
    </row>
    <row r="1042" spans="1:8" x14ac:dyDescent="0.25">
      <c r="A1042">
        <v>1428551</v>
      </c>
      <c r="B1042" t="s">
        <v>5053</v>
      </c>
      <c r="C1042" t="s">
        <v>32</v>
      </c>
      <c r="D1042" t="s">
        <v>65</v>
      </c>
      <c r="E1042" t="s">
        <v>5470</v>
      </c>
      <c r="F1042" t="s">
        <v>5498</v>
      </c>
      <c r="G1042" t="s">
        <v>5499</v>
      </c>
      <c r="H1042" t="s">
        <v>5500</v>
      </c>
    </row>
    <row r="1043" spans="1:8" x14ac:dyDescent="0.25">
      <c r="A1043">
        <v>1428552</v>
      </c>
      <c r="B1043" t="s">
        <v>5053</v>
      </c>
      <c r="C1043" t="s">
        <v>32</v>
      </c>
      <c r="D1043" t="s">
        <v>65</v>
      </c>
      <c r="E1043" t="s">
        <v>5470</v>
      </c>
      <c r="F1043" t="s">
        <v>5501</v>
      </c>
      <c r="G1043" t="s">
        <v>5502</v>
      </c>
      <c r="H1043" t="s">
        <v>5503</v>
      </c>
    </row>
    <row r="1044" spans="1:8" x14ac:dyDescent="0.25">
      <c r="A1044">
        <v>1428969</v>
      </c>
      <c r="B1044" t="s">
        <v>5053</v>
      </c>
      <c r="C1044" t="s">
        <v>32</v>
      </c>
      <c r="D1044" t="s">
        <v>65</v>
      </c>
      <c r="E1044" t="s">
        <v>5504</v>
      </c>
      <c r="F1044" t="s">
        <v>5505</v>
      </c>
      <c r="G1044" t="s">
        <v>5506</v>
      </c>
      <c r="H1044" t="s">
        <v>5507</v>
      </c>
    </row>
    <row r="1045" spans="1:8" x14ac:dyDescent="0.25">
      <c r="A1045">
        <v>1428970</v>
      </c>
      <c r="B1045" t="s">
        <v>5053</v>
      </c>
      <c r="C1045" t="s">
        <v>32</v>
      </c>
      <c r="D1045" t="s">
        <v>65</v>
      </c>
      <c r="E1045" t="s">
        <v>5504</v>
      </c>
      <c r="F1045" t="s">
        <v>5508</v>
      </c>
      <c r="G1045" t="s">
        <v>5509</v>
      </c>
      <c r="H1045" t="s">
        <v>5510</v>
      </c>
    </row>
    <row r="1046" spans="1:8" x14ac:dyDescent="0.25">
      <c r="A1046">
        <v>1428971</v>
      </c>
      <c r="B1046" t="s">
        <v>5053</v>
      </c>
      <c r="C1046" t="s">
        <v>32</v>
      </c>
      <c r="D1046" t="s">
        <v>65</v>
      </c>
      <c r="E1046" t="s">
        <v>5504</v>
      </c>
      <c r="F1046" t="s">
        <v>5511</v>
      </c>
      <c r="G1046" t="s">
        <v>5512</v>
      </c>
      <c r="H1046" t="s">
        <v>5513</v>
      </c>
    </row>
    <row r="1047" spans="1:8" x14ac:dyDescent="0.25">
      <c r="A1047">
        <v>1428972</v>
      </c>
      <c r="B1047" t="s">
        <v>5053</v>
      </c>
      <c r="C1047" t="s">
        <v>32</v>
      </c>
      <c r="D1047" t="s">
        <v>65</v>
      </c>
      <c r="E1047" t="s">
        <v>5504</v>
      </c>
      <c r="F1047" t="s">
        <v>5514</v>
      </c>
      <c r="G1047" t="s">
        <v>5515</v>
      </c>
      <c r="H1047" t="s">
        <v>5516</v>
      </c>
    </row>
    <row r="1048" spans="1:8" x14ac:dyDescent="0.25">
      <c r="A1048">
        <v>1428973</v>
      </c>
      <c r="B1048" t="s">
        <v>5053</v>
      </c>
      <c r="C1048" t="s">
        <v>32</v>
      </c>
      <c r="D1048" t="s">
        <v>65</v>
      </c>
      <c r="E1048" t="s">
        <v>5504</v>
      </c>
      <c r="F1048" t="s">
        <v>5517</v>
      </c>
      <c r="G1048" t="s">
        <v>5518</v>
      </c>
      <c r="H1048" t="s">
        <v>5519</v>
      </c>
    </row>
    <row r="1049" spans="1:8" x14ac:dyDescent="0.25">
      <c r="A1049">
        <v>1428974</v>
      </c>
      <c r="B1049" t="s">
        <v>5053</v>
      </c>
      <c r="C1049" t="s">
        <v>32</v>
      </c>
      <c r="D1049" t="s">
        <v>65</v>
      </c>
      <c r="E1049" t="s">
        <v>5504</v>
      </c>
      <c r="F1049" t="s">
        <v>5520</v>
      </c>
      <c r="G1049" t="s">
        <v>5521</v>
      </c>
      <c r="H1049" t="s">
        <v>5522</v>
      </c>
    </row>
    <row r="1050" spans="1:8" x14ac:dyDescent="0.25">
      <c r="A1050">
        <v>1428975</v>
      </c>
      <c r="B1050" t="s">
        <v>5053</v>
      </c>
      <c r="C1050" t="s">
        <v>32</v>
      </c>
      <c r="D1050" t="s">
        <v>65</v>
      </c>
      <c r="E1050" t="s">
        <v>5504</v>
      </c>
      <c r="F1050" t="s">
        <v>5523</v>
      </c>
      <c r="G1050" t="s">
        <v>5524</v>
      </c>
      <c r="H1050" t="s">
        <v>5525</v>
      </c>
    </row>
    <row r="1051" spans="1:8" x14ac:dyDescent="0.25">
      <c r="A1051">
        <v>1428976</v>
      </c>
      <c r="B1051" t="s">
        <v>5053</v>
      </c>
      <c r="C1051" t="s">
        <v>32</v>
      </c>
      <c r="D1051" t="s">
        <v>65</v>
      </c>
      <c r="E1051" t="s">
        <v>5504</v>
      </c>
      <c r="F1051" t="s">
        <v>5526</v>
      </c>
      <c r="G1051" t="s">
        <v>5527</v>
      </c>
      <c r="H1051" t="s">
        <v>5528</v>
      </c>
    </row>
    <row r="1052" spans="1:8" x14ac:dyDescent="0.25">
      <c r="A1052">
        <v>1428977</v>
      </c>
      <c r="B1052" t="s">
        <v>5053</v>
      </c>
      <c r="C1052" t="s">
        <v>32</v>
      </c>
      <c r="D1052" t="s">
        <v>65</v>
      </c>
      <c r="E1052" t="s">
        <v>5504</v>
      </c>
      <c r="F1052" t="s">
        <v>5529</v>
      </c>
      <c r="G1052" t="s">
        <v>5530</v>
      </c>
      <c r="H1052" t="s">
        <v>5531</v>
      </c>
    </row>
    <row r="1053" spans="1:8" x14ac:dyDescent="0.25">
      <c r="A1053">
        <v>1428978</v>
      </c>
      <c r="B1053" t="s">
        <v>5053</v>
      </c>
      <c r="C1053" t="s">
        <v>32</v>
      </c>
      <c r="D1053" t="s">
        <v>65</v>
      </c>
      <c r="E1053" t="s">
        <v>5504</v>
      </c>
      <c r="F1053" t="s">
        <v>5532</v>
      </c>
      <c r="G1053" t="s">
        <v>5533</v>
      </c>
      <c r="H1053" t="s">
        <v>5534</v>
      </c>
    </row>
    <row r="1054" spans="1:8" x14ac:dyDescent="0.25">
      <c r="A1054">
        <v>1430122</v>
      </c>
      <c r="B1054" t="s">
        <v>5053</v>
      </c>
      <c r="C1054" t="s">
        <v>32</v>
      </c>
      <c r="D1054" t="s">
        <v>80</v>
      </c>
      <c r="E1054" t="s">
        <v>607</v>
      </c>
      <c r="F1054" t="s">
        <v>5535</v>
      </c>
      <c r="G1054" t="s">
        <v>5536</v>
      </c>
      <c r="H1054" t="s">
        <v>5537</v>
      </c>
    </row>
    <row r="1055" spans="1:8" x14ac:dyDescent="0.25">
      <c r="A1055">
        <v>1430126</v>
      </c>
      <c r="B1055" t="s">
        <v>5053</v>
      </c>
      <c r="C1055" t="s">
        <v>32</v>
      </c>
      <c r="D1055" t="s">
        <v>80</v>
      </c>
      <c r="E1055" t="s">
        <v>607</v>
      </c>
      <c r="F1055" t="s">
        <v>5538</v>
      </c>
      <c r="G1055" t="s">
        <v>5539</v>
      </c>
      <c r="H1055" t="s">
        <v>5540</v>
      </c>
    </row>
    <row r="1056" spans="1:8" x14ac:dyDescent="0.25">
      <c r="A1056">
        <v>1430127</v>
      </c>
      <c r="B1056" t="s">
        <v>5053</v>
      </c>
      <c r="C1056" t="s">
        <v>32</v>
      </c>
      <c r="D1056" t="s">
        <v>80</v>
      </c>
      <c r="E1056" t="s">
        <v>607</v>
      </c>
      <c r="F1056" t="s">
        <v>5541</v>
      </c>
      <c r="G1056" t="s">
        <v>5542</v>
      </c>
      <c r="H1056" t="s">
        <v>5543</v>
      </c>
    </row>
    <row r="1057" spans="1:8" x14ac:dyDescent="0.25">
      <c r="A1057">
        <v>1430339</v>
      </c>
      <c r="B1057" t="s">
        <v>5053</v>
      </c>
      <c r="C1057" t="s">
        <v>32</v>
      </c>
      <c r="D1057" t="s">
        <v>80</v>
      </c>
      <c r="E1057" t="s">
        <v>628</v>
      </c>
      <c r="F1057" t="s">
        <v>5544</v>
      </c>
      <c r="G1057" t="s">
        <v>1543</v>
      </c>
      <c r="H1057" t="s">
        <v>5545</v>
      </c>
    </row>
    <row r="1058" spans="1:8" x14ac:dyDescent="0.25">
      <c r="A1058">
        <v>1430547</v>
      </c>
      <c r="B1058" t="s">
        <v>5053</v>
      </c>
      <c r="C1058" t="s">
        <v>32</v>
      </c>
      <c r="D1058" t="s">
        <v>80</v>
      </c>
      <c r="E1058" t="s">
        <v>629</v>
      </c>
      <c r="F1058" t="s">
        <v>5546</v>
      </c>
      <c r="G1058" t="s">
        <v>5547</v>
      </c>
      <c r="H1058" t="s">
        <v>5548</v>
      </c>
    </row>
    <row r="1059" spans="1:8" x14ac:dyDescent="0.25">
      <c r="A1059">
        <v>1430548</v>
      </c>
      <c r="B1059" t="s">
        <v>5053</v>
      </c>
      <c r="C1059" t="s">
        <v>32</v>
      </c>
      <c r="D1059" t="s">
        <v>80</v>
      </c>
      <c r="E1059" t="s">
        <v>629</v>
      </c>
      <c r="F1059" t="s">
        <v>5549</v>
      </c>
      <c r="G1059" t="s">
        <v>1450</v>
      </c>
      <c r="H1059" t="s">
        <v>5550</v>
      </c>
    </row>
    <row r="1060" spans="1:8" x14ac:dyDescent="0.25">
      <c r="A1060">
        <v>1435087</v>
      </c>
      <c r="B1060" t="s">
        <v>5053</v>
      </c>
      <c r="C1060" t="s">
        <v>32</v>
      </c>
      <c r="D1060" t="s">
        <v>65</v>
      </c>
      <c r="E1060" t="s">
        <v>4922</v>
      </c>
      <c r="F1060" t="s">
        <v>5551</v>
      </c>
      <c r="G1060" t="s">
        <v>5552</v>
      </c>
      <c r="H1060" t="s">
        <v>5553</v>
      </c>
    </row>
    <row r="1061" spans="1:8" x14ac:dyDescent="0.25">
      <c r="A1061">
        <v>1442943</v>
      </c>
      <c r="B1061" t="s">
        <v>5053</v>
      </c>
      <c r="C1061" t="s">
        <v>32</v>
      </c>
      <c r="D1061" t="s">
        <v>65</v>
      </c>
      <c r="E1061" t="s">
        <v>5554</v>
      </c>
      <c r="F1061" t="s">
        <v>5555</v>
      </c>
      <c r="G1061" t="s">
        <v>5556</v>
      </c>
      <c r="H1061" t="s">
        <v>5557</v>
      </c>
    </row>
    <row r="1062" spans="1:8" x14ac:dyDescent="0.25">
      <c r="A1062">
        <v>1442944</v>
      </c>
      <c r="B1062" t="s">
        <v>5053</v>
      </c>
      <c r="C1062" t="s">
        <v>32</v>
      </c>
      <c r="D1062" t="s">
        <v>65</v>
      </c>
      <c r="E1062" t="s">
        <v>5554</v>
      </c>
      <c r="F1062" t="s">
        <v>5558</v>
      </c>
      <c r="G1062" t="s">
        <v>5559</v>
      </c>
      <c r="H1062" t="s">
        <v>5560</v>
      </c>
    </row>
    <row r="1063" spans="1:8" x14ac:dyDescent="0.25">
      <c r="A1063">
        <v>1442945</v>
      </c>
      <c r="B1063" t="s">
        <v>5053</v>
      </c>
      <c r="C1063" t="s">
        <v>32</v>
      </c>
      <c r="D1063" t="s">
        <v>65</v>
      </c>
      <c r="E1063" t="s">
        <v>5554</v>
      </c>
      <c r="F1063" t="s">
        <v>5561</v>
      </c>
      <c r="G1063" t="s">
        <v>5562</v>
      </c>
      <c r="H1063" t="s">
        <v>5563</v>
      </c>
    </row>
    <row r="1064" spans="1:8" x14ac:dyDescent="0.25">
      <c r="A1064">
        <v>1442946</v>
      </c>
      <c r="B1064" t="s">
        <v>5053</v>
      </c>
      <c r="C1064" t="s">
        <v>32</v>
      </c>
      <c r="D1064" t="s">
        <v>65</v>
      </c>
      <c r="E1064" t="s">
        <v>5554</v>
      </c>
      <c r="F1064" t="s">
        <v>5564</v>
      </c>
      <c r="G1064" t="s">
        <v>5565</v>
      </c>
      <c r="H1064" t="s">
        <v>5566</v>
      </c>
    </row>
    <row r="1065" spans="1:8" x14ac:dyDescent="0.25">
      <c r="A1065">
        <v>1442947</v>
      </c>
      <c r="B1065" t="s">
        <v>5053</v>
      </c>
      <c r="C1065" t="s">
        <v>32</v>
      </c>
      <c r="D1065" t="s">
        <v>65</v>
      </c>
      <c r="E1065" t="s">
        <v>5554</v>
      </c>
      <c r="F1065" t="s">
        <v>5567</v>
      </c>
      <c r="G1065" t="s">
        <v>5568</v>
      </c>
      <c r="H1065" t="s">
        <v>5569</v>
      </c>
    </row>
    <row r="1066" spans="1:8" x14ac:dyDescent="0.25">
      <c r="A1066">
        <v>1442948</v>
      </c>
      <c r="B1066" t="s">
        <v>5053</v>
      </c>
      <c r="C1066" t="s">
        <v>32</v>
      </c>
      <c r="D1066" t="s">
        <v>65</v>
      </c>
      <c r="E1066" t="s">
        <v>5554</v>
      </c>
      <c r="F1066" t="s">
        <v>5570</v>
      </c>
      <c r="G1066" t="s">
        <v>5571</v>
      </c>
      <c r="H1066" t="s">
        <v>5572</v>
      </c>
    </row>
    <row r="1067" spans="1:8" x14ac:dyDescent="0.25">
      <c r="A1067">
        <v>1442949</v>
      </c>
      <c r="B1067" t="s">
        <v>5053</v>
      </c>
      <c r="C1067" t="s">
        <v>32</v>
      </c>
      <c r="D1067" t="s">
        <v>65</v>
      </c>
      <c r="E1067" t="s">
        <v>5554</v>
      </c>
      <c r="F1067" t="s">
        <v>5573</v>
      </c>
      <c r="G1067" t="s">
        <v>5574</v>
      </c>
      <c r="H1067" t="s">
        <v>5575</v>
      </c>
    </row>
    <row r="1068" spans="1:8" x14ac:dyDescent="0.25">
      <c r="A1068">
        <v>1442950</v>
      </c>
      <c r="B1068" t="s">
        <v>5053</v>
      </c>
      <c r="C1068" t="s">
        <v>32</v>
      </c>
      <c r="D1068" t="s">
        <v>65</v>
      </c>
      <c r="E1068" t="s">
        <v>5554</v>
      </c>
      <c r="F1068" t="s">
        <v>5576</v>
      </c>
      <c r="G1068" t="s">
        <v>5577</v>
      </c>
      <c r="H1068" t="s">
        <v>5578</v>
      </c>
    </row>
    <row r="1069" spans="1:8" x14ac:dyDescent="0.25">
      <c r="A1069">
        <v>1442951</v>
      </c>
      <c r="B1069" t="s">
        <v>5053</v>
      </c>
      <c r="C1069" t="s">
        <v>32</v>
      </c>
      <c r="D1069" t="s">
        <v>65</v>
      </c>
      <c r="E1069" t="s">
        <v>5554</v>
      </c>
      <c r="F1069" t="s">
        <v>5579</v>
      </c>
      <c r="G1069" t="s">
        <v>5580</v>
      </c>
      <c r="H1069" t="s">
        <v>5581</v>
      </c>
    </row>
    <row r="1070" spans="1:8" x14ac:dyDescent="0.25">
      <c r="A1070">
        <v>1442952</v>
      </c>
      <c r="B1070" t="s">
        <v>5053</v>
      </c>
      <c r="C1070" t="s">
        <v>32</v>
      </c>
      <c r="D1070" t="s">
        <v>65</v>
      </c>
      <c r="E1070" t="s">
        <v>5554</v>
      </c>
      <c r="F1070" t="s">
        <v>5582</v>
      </c>
      <c r="G1070" t="s">
        <v>5583</v>
      </c>
      <c r="H1070" t="s">
        <v>5584</v>
      </c>
    </row>
    <row r="1071" spans="1:8" x14ac:dyDescent="0.25">
      <c r="A1071">
        <v>1442953</v>
      </c>
      <c r="B1071" t="s">
        <v>5053</v>
      </c>
      <c r="C1071" t="s">
        <v>32</v>
      </c>
      <c r="D1071" t="s">
        <v>65</v>
      </c>
      <c r="E1071" t="s">
        <v>5554</v>
      </c>
      <c r="F1071" t="s">
        <v>5585</v>
      </c>
      <c r="G1071" t="s">
        <v>5586</v>
      </c>
      <c r="H1071" t="s">
        <v>5587</v>
      </c>
    </row>
    <row r="1072" spans="1:8" x14ac:dyDescent="0.25">
      <c r="A1072">
        <v>1443405</v>
      </c>
      <c r="B1072" t="s">
        <v>5053</v>
      </c>
      <c r="C1072" t="s">
        <v>32</v>
      </c>
      <c r="D1072" t="s">
        <v>65</v>
      </c>
      <c r="E1072" t="s">
        <v>5588</v>
      </c>
      <c r="F1072" t="s">
        <v>5589</v>
      </c>
      <c r="G1072" t="s">
        <v>5590</v>
      </c>
      <c r="H1072" t="s">
        <v>5591</v>
      </c>
    </row>
    <row r="1073" spans="1:8" x14ac:dyDescent="0.25">
      <c r="A1073">
        <v>1443406</v>
      </c>
      <c r="B1073" t="s">
        <v>5053</v>
      </c>
      <c r="C1073" t="s">
        <v>32</v>
      </c>
      <c r="D1073" t="s">
        <v>65</v>
      </c>
      <c r="E1073" t="s">
        <v>5588</v>
      </c>
      <c r="F1073" t="s">
        <v>5592</v>
      </c>
      <c r="G1073" t="s">
        <v>5593</v>
      </c>
      <c r="H1073" t="s">
        <v>5594</v>
      </c>
    </row>
    <row r="1074" spans="1:8" x14ac:dyDescent="0.25">
      <c r="A1074">
        <v>1443407</v>
      </c>
      <c r="B1074" t="s">
        <v>5053</v>
      </c>
      <c r="C1074" t="s">
        <v>32</v>
      </c>
      <c r="D1074" t="s">
        <v>65</v>
      </c>
      <c r="E1074" t="s">
        <v>5588</v>
      </c>
      <c r="F1074" t="s">
        <v>5595</v>
      </c>
      <c r="G1074" t="s">
        <v>5596</v>
      </c>
      <c r="H1074" t="s">
        <v>5597</v>
      </c>
    </row>
    <row r="1075" spans="1:8" x14ac:dyDescent="0.25">
      <c r="A1075">
        <v>1443408</v>
      </c>
      <c r="B1075" t="s">
        <v>5053</v>
      </c>
      <c r="C1075" t="s">
        <v>32</v>
      </c>
      <c r="D1075" t="s">
        <v>65</v>
      </c>
      <c r="E1075" t="s">
        <v>5588</v>
      </c>
      <c r="F1075" t="s">
        <v>5598</v>
      </c>
      <c r="G1075" t="s">
        <v>5599</v>
      </c>
      <c r="H1075" t="s">
        <v>5600</v>
      </c>
    </row>
    <row r="1076" spans="1:8" x14ac:dyDescent="0.25">
      <c r="A1076">
        <v>1443409</v>
      </c>
      <c r="B1076" t="s">
        <v>5053</v>
      </c>
      <c r="C1076" t="s">
        <v>32</v>
      </c>
      <c r="D1076" t="s">
        <v>65</v>
      </c>
      <c r="E1076" t="s">
        <v>5588</v>
      </c>
      <c r="F1076" t="s">
        <v>5601</v>
      </c>
      <c r="G1076" t="s">
        <v>5602</v>
      </c>
      <c r="H1076" t="s">
        <v>5603</v>
      </c>
    </row>
    <row r="1077" spans="1:8" x14ac:dyDescent="0.25">
      <c r="A1077">
        <v>1443410</v>
      </c>
      <c r="B1077" t="s">
        <v>5053</v>
      </c>
      <c r="C1077" t="s">
        <v>32</v>
      </c>
      <c r="D1077" t="s">
        <v>65</v>
      </c>
      <c r="E1077" t="s">
        <v>5588</v>
      </c>
      <c r="F1077" t="s">
        <v>5604</v>
      </c>
      <c r="G1077" t="s">
        <v>5605</v>
      </c>
      <c r="H1077" t="s">
        <v>5606</v>
      </c>
    </row>
    <row r="1078" spans="1:8" x14ac:dyDescent="0.25">
      <c r="A1078">
        <v>1443411</v>
      </c>
      <c r="B1078" t="s">
        <v>5053</v>
      </c>
      <c r="C1078" t="s">
        <v>32</v>
      </c>
      <c r="D1078" t="s">
        <v>65</v>
      </c>
      <c r="E1078" t="s">
        <v>5588</v>
      </c>
      <c r="F1078" t="s">
        <v>5607</v>
      </c>
      <c r="G1078" t="s">
        <v>5608</v>
      </c>
      <c r="H1078" t="s">
        <v>5609</v>
      </c>
    </row>
    <row r="1079" spans="1:8" x14ac:dyDescent="0.25">
      <c r="A1079">
        <v>1443412</v>
      </c>
      <c r="B1079" t="s">
        <v>5053</v>
      </c>
      <c r="C1079" t="s">
        <v>32</v>
      </c>
      <c r="D1079" t="s">
        <v>65</v>
      </c>
      <c r="E1079" t="s">
        <v>5588</v>
      </c>
      <c r="F1079" t="s">
        <v>5610</v>
      </c>
      <c r="G1079" t="s">
        <v>5611</v>
      </c>
      <c r="H1079" t="s">
        <v>5612</v>
      </c>
    </row>
    <row r="1080" spans="1:8" x14ac:dyDescent="0.25">
      <c r="A1080">
        <v>1443413</v>
      </c>
      <c r="B1080" t="s">
        <v>5053</v>
      </c>
      <c r="C1080" t="s">
        <v>32</v>
      </c>
      <c r="D1080" t="s">
        <v>65</v>
      </c>
      <c r="E1080" t="s">
        <v>5588</v>
      </c>
      <c r="F1080" t="s">
        <v>5613</v>
      </c>
      <c r="G1080" t="s">
        <v>5614</v>
      </c>
      <c r="H1080" t="s">
        <v>5615</v>
      </c>
    </row>
    <row r="1081" spans="1:8" x14ac:dyDescent="0.25">
      <c r="A1081">
        <v>1443414</v>
      </c>
      <c r="B1081" t="s">
        <v>5053</v>
      </c>
      <c r="C1081" t="s">
        <v>32</v>
      </c>
      <c r="D1081" t="s">
        <v>65</v>
      </c>
      <c r="E1081" t="s">
        <v>5588</v>
      </c>
      <c r="F1081" t="s">
        <v>5616</v>
      </c>
      <c r="G1081" t="s">
        <v>5617</v>
      </c>
      <c r="H1081" t="s">
        <v>5618</v>
      </c>
    </row>
    <row r="1082" spans="1:8" x14ac:dyDescent="0.25">
      <c r="A1082">
        <v>1443415</v>
      </c>
      <c r="B1082" t="s">
        <v>5053</v>
      </c>
      <c r="C1082" t="s">
        <v>32</v>
      </c>
      <c r="D1082" t="s">
        <v>65</v>
      </c>
      <c r="E1082" t="s">
        <v>5588</v>
      </c>
      <c r="F1082" t="s">
        <v>5619</v>
      </c>
      <c r="G1082" t="s">
        <v>5620</v>
      </c>
      <c r="H1082" t="s">
        <v>5621</v>
      </c>
    </row>
    <row r="1083" spans="1:8" x14ac:dyDescent="0.25">
      <c r="A1083">
        <v>1443899</v>
      </c>
      <c r="B1083" t="s">
        <v>5053</v>
      </c>
      <c r="C1083" t="s">
        <v>32</v>
      </c>
      <c r="D1083" t="s">
        <v>65</v>
      </c>
      <c r="E1083" t="s">
        <v>5622</v>
      </c>
      <c r="F1083" t="s">
        <v>5623</v>
      </c>
      <c r="G1083" t="s">
        <v>5624</v>
      </c>
      <c r="H1083" t="s">
        <v>5625</v>
      </c>
    </row>
    <row r="1084" spans="1:8" x14ac:dyDescent="0.25">
      <c r="A1084">
        <v>1443900</v>
      </c>
      <c r="B1084" t="s">
        <v>5053</v>
      </c>
      <c r="C1084" t="s">
        <v>32</v>
      </c>
      <c r="D1084" t="s">
        <v>65</v>
      </c>
      <c r="E1084" t="s">
        <v>5622</v>
      </c>
      <c r="F1084" t="s">
        <v>5626</v>
      </c>
      <c r="G1084" t="s">
        <v>5627</v>
      </c>
      <c r="H1084" t="s">
        <v>5628</v>
      </c>
    </row>
    <row r="1085" spans="1:8" x14ac:dyDescent="0.25">
      <c r="A1085">
        <v>1443901</v>
      </c>
      <c r="B1085" t="s">
        <v>5053</v>
      </c>
      <c r="C1085" t="s">
        <v>32</v>
      </c>
      <c r="D1085" t="s">
        <v>65</v>
      </c>
      <c r="E1085" t="s">
        <v>5622</v>
      </c>
      <c r="F1085" t="s">
        <v>5629</v>
      </c>
      <c r="G1085" t="s">
        <v>5630</v>
      </c>
      <c r="H1085" t="s">
        <v>5631</v>
      </c>
    </row>
    <row r="1086" spans="1:8" x14ac:dyDescent="0.25">
      <c r="A1086">
        <v>1443902</v>
      </c>
      <c r="B1086" t="s">
        <v>5053</v>
      </c>
      <c r="C1086" t="s">
        <v>32</v>
      </c>
      <c r="D1086" t="s">
        <v>65</v>
      </c>
      <c r="E1086" t="s">
        <v>5622</v>
      </c>
      <c r="F1086" t="s">
        <v>5632</v>
      </c>
      <c r="G1086" t="s">
        <v>5633</v>
      </c>
      <c r="H1086" t="s">
        <v>5634</v>
      </c>
    </row>
    <row r="1087" spans="1:8" x14ac:dyDescent="0.25">
      <c r="A1087">
        <v>1443903</v>
      </c>
      <c r="B1087" t="s">
        <v>5053</v>
      </c>
      <c r="C1087" t="s">
        <v>32</v>
      </c>
      <c r="D1087" t="s">
        <v>65</v>
      </c>
      <c r="E1087" t="s">
        <v>5622</v>
      </c>
      <c r="F1087" t="s">
        <v>5635</v>
      </c>
      <c r="G1087" t="s">
        <v>5636</v>
      </c>
      <c r="H1087" t="s">
        <v>5637</v>
      </c>
    </row>
    <row r="1088" spans="1:8" x14ac:dyDescent="0.25">
      <c r="A1088">
        <v>1443904</v>
      </c>
      <c r="B1088" t="s">
        <v>5053</v>
      </c>
      <c r="C1088" t="s">
        <v>32</v>
      </c>
      <c r="D1088" t="s">
        <v>65</v>
      </c>
      <c r="E1088" t="s">
        <v>5622</v>
      </c>
      <c r="F1088" t="s">
        <v>5638</v>
      </c>
      <c r="G1088" t="s">
        <v>5639</v>
      </c>
      <c r="H1088" t="s">
        <v>5640</v>
      </c>
    </row>
    <row r="1089" spans="1:8" x14ac:dyDescent="0.25">
      <c r="A1089">
        <v>1443905</v>
      </c>
      <c r="B1089" t="s">
        <v>5053</v>
      </c>
      <c r="C1089" t="s">
        <v>32</v>
      </c>
      <c r="D1089" t="s">
        <v>65</v>
      </c>
      <c r="E1089" t="s">
        <v>5622</v>
      </c>
      <c r="F1089" t="s">
        <v>5641</v>
      </c>
      <c r="G1089" t="s">
        <v>5642</v>
      </c>
      <c r="H1089" t="s">
        <v>5643</v>
      </c>
    </row>
    <row r="1090" spans="1:8" x14ac:dyDescent="0.25">
      <c r="A1090">
        <v>1443906</v>
      </c>
      <c r="B1090" t="s">
        <v>5053</v>
      </c>
      <c r="C1090" t="s">
        <v>32</v>
      </c>
      <c r="D1090" t="s">
        <v>65</v>
      </c>
      <c r="E1090" t="s">
        <v>5622</v>
      </c>
      <c r="F1090" t="s">
        <v>5644</v>
      </c>
      <c r="G1090" t="s">
        <v>5645</v>
      </c>
      <c r="H1090" t="s">
        <v>5646</v>
      </c>
    </row>
    <row r="1091" spans="1:8" x14ac:dyDescent="0.25">
      <c r="A1091">
        <v>1443907</v>
      </c>
      <c r="B1091" t="s">
        <v>5053</v>
      </c>
      <c r="C1091" t="s">
        <v>32</v>
      </c>
      <c r="D1091" t="s">
        <v>65</v>
      </c>
      <c r="E1091" t="s">
        <v>5622</v>
      </c>
      <c r="F1091" t="s">
        <v>5647</v>
      </c>
      <c r="G1091" t="s">
        <v>5648</v>
      </c>
      <c r="H1091" t="s">
        <v>5649</v>
      </c>
    </row>
    <row r="1092" spans="1:8" x14ac:dyDescent="0.25">
      <c r="A1092">
        <v>1443908</v>
      </c>
      <c r="B1092" t="s">
        <v>5053</v>
      </c>
      <c r="C1092" t="s">
        <v>32</v>
      </c>
      <c r="D1092" t="s">
        <v>65</v>
      </c>
      <c r="E1092" t="s">
        <v>5622</v>
      </c>
      <c r="F1092" t="s">
        <v>5650</v>
      </c>
      <c r="G1092" t="s">
        <v>5651</v>
      </c>
      <c r="H1092" t="s">
        <v>5652</v>
      </c>
    </row>
    <row r="1093" spans="1:8" x14ac:dyDescent="0.25">
      <c r="A1093">
        <v>1444330</v>
      </c>
      <c r="B1093" t="s">
        <v>5053</v>
      </c>
      <c r="C1093" t="s">
        <v>32</v>
      </c>
      <c r="D1093" t="s">
        <v>65</v>
      </c>
      <c r="E1093" t="s">
        <v>5653</v>
      </c>
      <c r="F1093" t="s">
        <v>5654</v>
      </c>
      <c r="G1093" t="s">
        <v>5655</v>
      </c>
      <c r="H1093" t="s">
        <v>5656</v>
      </c>
    </row>
    <row r="1094" spans="1:8" x14ac:dyDescent="0.25">
      <c r="A1094">
        <v>1444331</v>
      </c>
      <c r="B1094" t="s">
        <v>5053</v>
      </c>
      <c r="C1094" t="s">
        <v>32</v>
      </c>
      <c r="D1094" t="s">
        <v>65</v>
      </c>
      <c r="E1094" t="s">
        <v>5653</v>
      </c>
      <c r="F1094" t="s">
        <v>5657</v>
      </c>
      <c r="G1094" t="s">
        <v>5658</v>
      </c>
      <c r="H1094" t="s">
        <v>5659</v>
      </c>
    </row>
    <row r="1095" spans="1:8" x14ac:dyDescent="0.25">
      <c r="A1095">
        <v>1444332</v>
      </c>
      <c r="B1095" t="s">
        <v>5053</v>
      </c>
      <c r="C1095" t="s">
        <v>32</v>
      </c>
      <c r="D1095" t="s">
        <v>65</v>
      </c>
      <c r="E1095" t="s">
        <v>5653</v>
      </c>
      <c r="F1095" t="s">
        <v>5660</v>
      </c>
      <c r="G1095" t="s">
        <v>5661</v>
      </c>
      <c r="H1095" t="s">
        <v>5662</v>
      </c>
    </row>
    <row r="1096" spans="1:8" x14ac:dyDescent="0.25">
      <c r="A1096">
        <v>1444333</v>
      </c>
      <c r="B1096" t="s">
        <v>5053</v>
      </c>
      <c r="C1096" t="s">
        <v>32</v>
      </c>
      <c r="D1096" t="s">
        <v>65</v>
      </c>
      <c r="E1096" t="s">
        <v>5653</v>
      </c>
      <c r="F1096" t="s">
        <v>5663</v>
      </c>
      <c r="G1096" t="s">
        <v>5664</v>
      </c>
      <c r="H1096" t="s">
        <v>5665</v>
      </c>
    </row>
    <row r="1097" spans="1:8" x14ac:dyDescent="0.25">
      <c r="A1097">
        <v>1444334</v>
      </c>
      <c r="B1097" t="s">
        <v>5053</v>
      </c>
      <c r="C1097" t="s">
        <v>32</v>
      </c>
      <c r="D1097" t="s">
        <v>65</v>
      </c>
      <c r="E1097" t="s">
        <v>5653</v>
      </c>
      <c r="F1097" t="s">
        <v>5666</v>
      </c>
      <c r="G1097" t="s">
        <v>5667</v>
      </c>
      <c r="H1097" t="s">
        <v>5668</v>
      </c>
    </row>
    <row r="1098" spans="1:8" x14ac:dyDescent="0.25">
      <c r="A1098">
        <v>1444335</v>
      </c>
      <c r="B1098" t="s">
        <v>5053</v>
      </c>
      <c r="C1098" t="s">
        <v>32</v>
      </c>
      <c r="D1098" t="s">
        <v>65</v>
      </c>
      <c r="E1098" t="s">
        <v>5653</v>
      </c>
      <c r="F1098" t="s">
        <v>5669</v>
      </c>
      <c r="G1098" t="s">
        <v>5670</v>
      </c>
      <c r="H1098" t="s">
        <v>5671</v>
      </c>
    </row>
    <row r="1099" spans="1:8" x14ac:dyDescent="0.25">
      <c r="A1099">
        <v>1444336</v>
      </c>
      <c r="B1099" t="s">
        <v>5053</v>
      </c>
      <c r="C1099" t="s">
        <v>32</v>
      </c>
      <c r="D1099" t="s">
        <v>65</v>
      </c>
      <c r="E1099" t="s">
        <v>5653</v>
      </c>
      <c r="F1099" t="s">
        <v>5672</v>
      </c>
      <c r="G1099" t="s">
        <v>5673</v>
      </c>
      <c r="H1099" t="s">
        <v>5674</v>
      </c>
    </row>
    <row r="1100" spans="1:8" x14ac:dyDescent="0.25">
      <c r="A1100">
        <v>1444337</v>
      </c>
      <c r="B1100" t="s">
        <v>5053</v>
      </c>
      <c r="C1100" t="s">
        <v>32</v>
      </c>
      <c r="D1100" t="s">
        <v>65</v>
      </c>
      <c r="E1100" t="s">
        <v>5653</v>
      </c>
      <c r="F1100" t="s">
        <v>5675</v>
      </c>
      <c r="G1100" t="s">
        <v>5676</v>
      </c>
      <c r="H1100" t="s">
        <v>5677</v>
      </c>
    </row>
    <row r="1101" spans="1:8" x14ac:dyDescent="0.25">
      <c r="A1101">
        <v>1444338</v>
      </c>
      <c r="B1101" t="s">
        <v>5053</v>
      </c>
      <c r="C1101" t="s">
        <v>32</v>
      </c>
      <c r="D1101" t="s">
        <v>65</v>
      </c>
      <c r="E1101" t="s">
        <v>5653</v>
      </c>
      <c r="F1101" t="s">
        <v>5678</v>
      </c>
      <c r="G1101" t="s">
        <v>5679</v>
      </c>
      <c r="H1101" t="s">
        <v>5680</v>
      </c>
    </row>
    <row r="1102" spans="1:8" x14ac:dyDescent="0.25">
      <c r="A1102">
        <v>1444339</v>
      </c>
      <c r="B1102" t="s">
        <v>5053</v>
      </c>
      <c r="C1102" t="s">
        <v>32</v>
      </c>
      <c r="D1102" t="s">
        <v>65</v>
      </c>
      <c r="E1102" t="s">
        <v>5653</v>
      </c>
      <c r="F1102" t="s">
        <v>5681</v>
      </c>
      <c r="G1102" t="s">
        <v>5682</v>
      </c>
      <c r="H1102" t="s">
        <v>5683</v>
      </c>
    </row>
    <row r="1103" spans="1:8" x14ac:dyDescent="0.25">
      <c r="A1103">
        <v>1444435</v>
      </c>
      <c r="B1103" t="s">
        <v>5053</v>
      </c>
      <c r="C1103" t="s">
        <v>32</v>
      </c>
      <c r="D1103" t="s">
        <v>65</v>
      </c>
      <c r="E1103" t="s">
        <v>5653</v>
      </c>
      <c r="F1103" t="s">
        <v>5684</v>
      </c>
      <c r="G1103" t="s">
        <v>5685</v>
      </c>
      <c r="H1103" t="s">
        <v>5686</v>
      </c>
    </row>
    <row r="1104" spans="1:8" x14ac:dyDescent="0.25">
      <c r="A1104">
        <v>1460342</v>
      </c>
      <c r="B1104" t="s">
        <v>5053</v>
      </c>
      <c r="C1104" t="s">
        <v>32</v>
      </c>
      <c r="D1104" t="s">
        <v>40</v>
      </c>
      <c r="E1104" t="s">
        <v>647</v>
      </c>
      <c r="F1104" t="s">
        <v>5687</v>
      </c>
      <c r="G1104" t="s">
        <v>2117</v>
      </c>
      <c r="H1104" t="s">
        <v>5688</v>
      </c>
    </row>
    <row r="1105" spans="1:8" x14ac:dyDescent="0.25">
      <c r="A1105">
        <v>1460343</v>
      </c>
      <c r="B1105" t="s">
        <v>5053</v>
      </c>
      <c r="C1105" t="s">
        <v>32</v>
      </c>
      <c r="D1105" t="s">
        <v>40</v>
      </c>
      <c r="E1105" t="s">
        <v>647</v>
      </c>
      <c r="F1105" t="s">
        <v>5689</v>
      </c>
      <c r="G1105" t="s">
        <v>5690</v>
      </c>
      <c r="H1105" t="s">
        <v>5691</v>
      </c>
    </row>
    <row r="1106" spans="1:8" x14ac:dyDescent="0.25">
      <c r="A1106">
        <v>1461256</v>
      </c>
      <c r="B1106" t="s">
        <v>5053</v>
      </c>
      <c r="C1106" t="s">
        <v>32</v>
      </c>
      <c r="D1106" t="s">
        <v>40</v>
      </c>
      <c r="E1106" t="s">
        <v>648</v>
      </c>
      <c r="F1106" t="s">
        <v>5692</v>
      </c>
      <c r="G1106" t="s">
        <v>1119</v>
      </c>
      <c r="H1106" t="s">
        <v>5693</v>
      </c>
    </row>
    <row r="1107" spans="1:8" x14ac:dyDescent="0.25">
      <c r="A1107">
        <v>1461260</v>
      </c>
      <c r="B1107" t="s">
        <v>5053</v>
      </c>
      <c r="C1107" t="s">
        <v>32</v>
      </c>
      <c r="D1107" t="s">
        <v>40</v>
      </c>
      <c r="E1107" t="s">
        <v>648</v>
      </c>
      <c r="F1107" t="s">
        <v>1117</v>
      </c>
      <c r="G1107" t="s">
        <v>1190</v>
      </c>
      <c r="H1107" t="s">
        <v>5694</v>
      </c>
    </row>
    <row r="1108" spans="1:8" x14ac:dyDescent="0.25">
      <c r="A1108">
        <v>1462479</v>
      </c>
      <c r="B1108" t="s">
        <v>5053</v>
      </c>
      <c r="C1108" t="s">
        <v>32</v>
      </c>
      <c r="D1108" t="s">
        <v>40</v>
      </c>
      <c r="E1108" t="s">
        <v>650</v>
      </c>
      <c r="F1108" t="s">
        <v>5695</v>
      </c>
      <c r="G1108" t="s">
        <v>2049</v>
      </c>
      <c r="H1108" t="s">
        <v>5696</v>
      </c>
    </row>
    <row r="1109" spans="1:8" x14ac:dyDescent="0.25">
      <c r="A1109">
        <v>1462483</v>
      </c>
      <c r="B1109" t="s">
        <v>5053</v>
      </c>
      <c r="C1109" t="s">
        <v>32</v>
      </c>
      <c r="D1109" t="s">
        <v>40</v>
      </c>
      <c r="E1109" t="s">
        <v>650</v>
      </c>
      <c r="F1109" t="s">
        <v>2256</v>
      </c>
      <c r="G1109" t="s">
        <v>5697</v>
      </c>
      <c r="H1109" t="s">
        <v>5698</v>
      </c>
    </row>
    <row r="1110" spans="1:8" x14ac:dyDescent="0.25">
      <c r="A1110">
        <v>1463390</v>
      </c>
      <c r="B1110" t="s">
        <v>5053</v>
      </c>
      <c r="C1110" t="s">
        <v>32</v>
      </c>
      <c r="D1110" t="s">
        <v>40</v>
      </c>
      <c r="E1110" t="s">
        <v>652</v>
      </c>
      <c r="F1110" t="s">
        <v>5699</v>
      </c>
      <c r="G1110" t="s">
        <v>5700</v>
      </c>
      <c r="H1110" t="s">
        <v>5701</v>
      </c>
    </row>
    <row r="1111" spans="1:8" x14ac:dyDescent="0.25">
      <c r="A1111">
        <v>1464567</v>
      </c>
      <c r="B1111" t="s">
        <v>5053</v>
      </c>
      <c r="C1111" t="s">
        <v>32</v>
      </c>
      <c r="D1111" t="s">
        <v>332</v>
      </c>
      <c r="E1111" t="s">
        <v>5702</v>
      </c>
      <c r="F1111" t="s">
        <v>5703</v>
      </c>
      <c r="G1111" t="s">
        <v>5704</v>
      </c>
      <c r="H1111" t="s">
        <v>5705</v>
      </c>
    </row>
    <row r="1112" spans="1:8" x14ac:dyDescent="0.25">
      <c r="A1112">
        <v>1464568</v>
      </c>
      <c r="B1112" t="s">
        <v>5053</v>
      </c>
      <c r="C1112" t="s">
        <v>32</v>
      </c>
      <c r="D1112" t="s">
        <v>332</v>
      </c>
      <c r="E1112" t="s">
        <v>5702</v>
      </c>
      <c r="F1112" t="s">
        <v>5706</v>
      </c>
      <c r="G1112" t="s">
        <v>5707</v>
      </c>
      <c r="H1112" t="s">
        <v>5708</v>
      </c>
    </row>
    <row r="1113" spans="1:8" x14ac:dyDescent="0.25">
      <c r="A1113">
        <v>1464569</v>
      </c>
      <c r="B1113" t="s">
        <v>5053</v>
      </c>
      <c r="C1113" t="s">
        <v>32</v>
      </c>
      <c r="D1113" t="s">
        <v>332</v>
      </c>
      <c r="E1113" t="s">
        <v>5702</v>
      </c>
      <c r="F1113" t="s">
        <v>5709</v>
      </c>
      <c r="G1113" t="s">
        <v>5710</v>
      </c>
      <c r="H1113" t="s">
        <v>5711</v>
      </c>
    </row>
    <row r="1114" spans="1:8" x14ac:dyDescent="0.25">
      <c r="A1114">
        <v>1464570</v>
      </c>
      <c r="B1114" t="s">
        <v>5053</v>
      </c>
      <c r="C1114" t="s">
        <v>32</v>
      </c>
      <c r="D1114" t="s">
        <v>332</v>
      </c>
      <c r="E1114" t="s">
        <v>5702</v>
      </c>
      <c r="F1114" t="s">
        <v>5712</v>
      </c>
      <c r="G1114" t="s">
        <v>5713</v>
      </c>
      <c r="H1114" t="s">
        <v>5714</v>
      </c>
    </row>
    <row r="1115" spans="1:8" x14ac:dyDescent="0.25">
      <c r="A1115">
        <v>1464571</v>
      </c>
      <c r="B1115" t="s">
        <v>5053</v>
      </c>
      <c r="C1115" t="s">
        <v>32</v>
      </c>
      <c r="D1115" t="s">
        <v>332</v>
      </c>
      <c r="E1115" t="s">
        <v>5702</v>
      </c>
      <c r="F1115" t="s">
        <v>5715</v>
      </c>
      <c r="G1115" t="s">
        <v>5716</v>
      </c>
      <c r="H1115" t="s">
        <v>5717</v>
      </c>
    </row>
    <row r="1116" spans="1:8" x14ac:dyDescent="0.25">
      <c r="A1116">
        <v>1464572</v>
      </c>
      <c r="B1116" t="s">
        <v>5053</v>
      </c>
      <c r="C1116" t="s">
        <v>32</v>
      </c>
      <c r="D1116" t="s">
        <v>332</v>
      </c>
      <c r="E1116" t="s">
        <v>5702</v>
      </c>
      <c r="F1116" t="s">
        <v>5718</v>
      </c>
      <c r="G1116" t="s">
        <v>5719</v>
      </c>
      <c r="H1116" t="s">
        <v>5720</v>
      </c>
    </row>
    <row r="1117" spans="1:8" x14ac:dyDescent="0.25">
      <c r="A1117">
        <v>1464573</v>
      </c>
      <c r="B1117" t="s">
        <v>5053</v>
      </c>
      <c r="C1117" t="s">
        <v>32</v>
      </c>
      <c r="D1117" t="s">
        <v>332</v>
      </c>
      <c r="E1117" t="s">
        <v>5702</v>
      </c>
      <c r="F1117" t="s">
        <v>5721</v>
      </c>
      <c r="G1117" t="s">
        <v>5722</v>
      </c>
      <c r="H1117" t="s">
        <v>5723</v>
      </c>
    </row>
    <row r="1118" spans="1:8" x14ac:dyDescent="0.25">
      <c r="A1118">
        <v>1464574</v>
      </c>
      <c r="B1118" t="s">
        <v>5053</v>
      </c>
      <c r="C1118" t="s">
        <v>32</v>
      </c>
      <c r="D1118" t="s">
        <v>332</v>
      </c>
      <c r="E1118" t="s">
        <v>5702</v>
      </c>
      <c r="F1118" t="s">
        <v>5724</v>
      </c>
      <c r="G1118" t="s">
        <v>5725</v>
      </c>
      <c r="H1118" t="s">
        <v>5726</v>
      </c>
    </row>
    <row r="1119" spans="1:8" x14ac:dyDescent="0.25">
      <c r="A1119">
        <v>1465242</v>
      </c>
      <c r="B1119" t="s">
        <v>5053</v>
      </c>
      <c r="C1119" t="s">
        <v>32</v>
      </c>
      <c r="D1119" t="s">
        <v>332</v>
      </c>
      <c r="E1119" t="s">
        <v>5727</v>
      </c>
      <c r="F1119" t="s">
        <v>5728</v>
      </c>
      <c r="G1119" t="s">
        <v>5729</v>
      </c>
      <c r="H1119" t="s">
        <v>5730</v>
      </c>
    </row>
    <row r="1120" spans="1:8" x14ac:dyDescent="0.25">
      <c r="A1120">
        <v>1465243</v>
      </c>
      <c r="B1120" t="s">
        <v>5053</v>
      </c>
      <c r="C1120" t="s">
        <v>32</v>
      </c>
      <c r="D1120" t="s">
        <v>332</v>
      </c>
      <c r="E1120" t="s">
        <v>5727</v>
      </c>
      <c r="F1120" t="s">
        <v>5731</v>
      </c>
      <c r="G1120" t="s">
        <v>5732</v>
      </c>
      <c r="H1120" t="s">
        <v>5733</v>
      </c>
    </row>
    <row r="1121" spans="1:8" x14ac:dyDescent="0.25">
      <c r="A1121">
        <v>1465244</v>
      </c>
      <c r="B1121" t="s">
        <v>5053</v>
      </c>
      <c r="C1121" t="s">
        <v>32</v>
      </c>
      <c r="D1121" t="s">
        <v>332</v>
      </c>
      <c r="E1121" t="s">
        <v>5727</v>
      </c>
      <c r="F1121" t="s">
        <v>5734</v>
      </c>
      <c r="G1121" t="s">
        <v>5735</v>
      </c>
      <c r="H1121" t="s">
        <v>5736</v>
      </c>
    </row>
    <row r="1122" spans="1:8" x14ac:dyDescent="0.25">
      <c r="A1122">
        <v>1465245</v>
      </c>
      <c r="B1122" t="s">
        <v>5053</v>
      </c>
      <c r="C1122" t="s">
        <v>32</v>
      </c>
      <c r="D1122" t="s">
        <v>332</v>
      </c>
      <c r="E1122" t="s">
        <v>5727</v>
      </c>
      <c r="F1122" t="s">
        <v>5737</v>
      </c>
      <c r="G1122" t="s">
        <v>5738</v>
      </c>
      <c r="H1122" t="s">
        <v>5739</v>
      </c>
    </row>
    <row r="1123" spans="1:8" x14ac:dyDescent="0.25">
      <c r="A1123">
        <v>1465246</v>
      </c>
      <c r="B1123" t="s">
        <v>5053</v>
      </c>
      <c r="C1123" t="s">
        <v>32</v>
      </c>
      <c r="D1123" t="s">
        <v>332</v>
      </c>
      <c r="E1123" t="s">
        <v>5727</v>
      </c>
      <c r="F1123" t="s">
        <v>5740</v>
      </c>
      <c r="G1123" t="s">
        <v>5741</v>
      </c>
      <c r="H1123" t="s">
        <v>5742</v>
      </c>
    </row>
    <row r="1124" spans="1:8" x14ac:dyDescent="0.25">
      <c r="A1124">
        <v>1465247</v>
      </c>
      <c r="B1124" t="s">
        <v>5053</v>
      </c>
      <c r="C1124" t="s">
        <v>32</v>
      </c>
      <c r="D1124" t="s">
        <v>332</v>
      </c>
      <c r="E1124" t="s">
        <v>5727</v>
      </c>
      <c r="F1124" t="s">
        <v>5743</v>
      </c>
      <c r="G1124" t="s">
        <v>5744</v>
      </c>
      <c r="H1124" t="s">
        <v>5745</v>
      </c>
    </row>
    <row r="1125" spans="1:8" x14ac:dyDescent="0.25">
      <c r="A1125">
        <v>1465248</v>
      </c>
      <c r="B1125" t="s">
        <v>5053</v>
      </c>
      <c r="C1125" t="s">
        <v>32</v>
      </c>
      <c r="D1125" t="s">
        <v>332</v>
      </c>
      <c r="E1125" t="s">
        <v>5727</v>
      </c>
      <c r="F1125" t="s">
        <v>5746</v>
      </c>
      <c r="G1125" t="s">
        <v>5747</v>
      </c>
      <c r="H1125" t="s">
        <v>5748</v>
      </c>
    </row>
    <row r="1126" spans="1:8" x14ac:dyDescent="0.25">
      <c r="A1126">
        <v>1468839</v>
      </c>
      <c r="B1126" t="s">
        <v>5053</v>
      </c>
      <c r="C1126" t="s">
        <v>32</v>
      </c>
      <c r="D1126" t="s">
        <v>41</v>
      </c>
      <c r="E1126" t="s">
        <v>382</v>
      </c>
      <c r="F1126" t="s">
        <v>5749</v>
      </c>
      <c r="G1126" t="s">
        <v>5750</v>
      </c>
      <c r="H1126" t="s">
        <v>5751</v>
      </c>
    </row>
    <row r="1127" spans="1:8" x14ac:dyDescent="0.25">
      <c r="A1127">
        <v>1471708</v>
      </c>
      <c r="B1127" t="s">
        <v>5053</v>
      </c>
      <c r="C1127" t="s">
        <v>32</v>
      </c>
      <c r="D1127" t="s">
        <v>329</v>
      </c>
      <c r="E1127" t="s">
        <v>330</v>
      </c>
      <c r="F1127" t="s">
        <v>5752</v>
      </c>
      <c r="G1127" t="s">
        <v>1754</v>
      </c>
      <c r="H1127" t="s">
        <v>5753</v>
      </c>
    </row>
    <row r="1128" spans="1:8" x14ac:dyDescent="0.25">
      <c r="A1128">
        <v>1471712</v>
      </c>
      <c r="B1128" t="s">
        <v>5053</v>
      </c>
      <c r="C1128" t="s">
        <v>32</v>
      </c>
      <c r="D1128" t="s">
        <v>329</v>
      </c>
      <c r="E1128" t="s">
        <v>330</v>
      </c>
      <c r="F1128" t="s">
        <v>637</v>
      </c>
      <c r="G1128" t="s">
        <v>5754</v>
      </c>
      <c r="H1128" t="s">
        <v>5755</v>
      </c>
    </row>
    <row r="1129" spans="1:8" x14ac:dyDescent="0.25">
      <c r="A1129">
        <v>1471713</v>
      </c>
      <c r="B1129" t="s">
        <v>5053</v>
      </c>
      <c r="C1129" t="s">
        <v>32</v>
      </c>
      <c r="D1129" t="s">
        <v>329</v>
      </c>
      <c r="E1129" t="s">
        <v>330</v>
      </c>
      <c r="F1129" t="s">
        <v>630</v>
      </c>
      <c r="G1129" t="s">
        <v>4996</v>
      </c>
      <c r="H1129" t="s">
        <v>5756</v>
      </c>
    </row>
    <row r="1130" spans="1:8" x14ac:dyDescent="0.25">
      <c r="A1130">
        <v>1471728</v>
      </c>
      <c r="B1130" t="s">
        <v>5053</v>
      </c>
      <c r="C1130" t="s">
        <v>34</v>
      </c>
      <c r="D1130" t="s">
        <v>329</v>
      </c>
      <c r="E1130" t="s">
        <v>330</v>
      </c>
      <c r="F1130" t="s">
        <v>5752</v>
      </c>
      <c r="G1130" t="s">
        <v>5754</v>
      </c>
      <c r="H1130" t="s">
        <v>5757</v>
      </c>
    </row>
    <row r="1131" spans="1:8" x14ac:dyDescent="0.25">
      <c r="A1131">
        <v>1471730</v>
      </c>
      <c r="B1131" t="s">
        <v>5053</v>
      </c>
      <c r="C1131" t="s">
        <v>34</v>
      </c>
      <c r="D1131" t="s">
        <v>329</v>
      </c>
      <c r="E1131" t="s">
        <v>330</v>
      </c>
      <c r="F1131" t="s">
        <v>1969</v>
      </c>
      <c r="G1131" t="s">
        <v>636</v>
      </c>
      <c r="H1131" t="s">
        <v>5758</v>
      </c>
    </row>
    <row r="1132" spans="1:8" x14ac:dyDescent="0.25">
      <c r="A1132">
        <v>1473328</v>
      </c>
      <c r="B1132" t="s">
        <v>5053</v>
      </c>
      <c r="C1132" t="s">
        <v>32</v>
      </c>
      <c r="D1132" t="s">
        <v>65</v>
      </c>
      <c r="E1132" t="s">
        <v>5759</v>
      </c>
      <c r="F1132" t="s">
        <v>5760</v>
      </c>
      <c r="G1132" t="s">
        <v>5761</v>
      </c>
      <c r="H1132" t="s">
        <v>5762</v>
      </c>
    </row>
    <row r="1133" spans="1:8" x14ac:dyDescent="0.25">
      <c r="A1133">
        <v>1473329</v>
      </c>
      <c r="B1133" t="s">
        <v>5053</v>
      </c>
      <c r="C1133" t="s">
        <v>32</v>
      </c>
      <c r="D1133" t="s">
        <v>65</v>
      </c>
      <c r="E1133" t="s">
        <v>5759</v>
      </c>
      <c r="F1133" t="s">
        <v>5763</v>
      </c>
      <c r="G1133" t="s">
        <v>5764</v>
      </c>
      <c r="H1133" t="s">
        <v>5765</v>
      </c>
    </row>
    <row r="1134" spans="1:8" x14ac:dyDescent="0.25">
      <c r="A1134">
        <v>1473330</v>
      </c>
      <c r="B1134" t="s">
        <v>5053</v>
      </c>
      <c r="C1134" t="s">
        <v>32</v>
      </c>
      <c r="D1134" t="s">
        <v>65</v>
      </c>
      <c r="E1134" t="s">
        <v>5759</v>
      </c>
      <c r="F1134" t="s">
        <v>5766</v>
      </c>
      <c r="G1134" t="s">
        <v>5767</v>
      </c>
      <c r="H1134" t="s">
        <v>5768</v>
      </c>
    </row>
    <row r="1135" spans="1:8" x14ac:dyDescent="0.25">
      <c r="A1135">
        <v>1473331</v>
      </c>
      <c r="B1135" t="s">
        <v>5053</v>
      </c>
      <c r="C1135" t="s">
        <v>32</v>
      </c>
      <c r="D1135" t="s">
        <v>65</v>
      </c>
      <c r="E1135" t="s">
        <v>5759</v>
      </c>
      <c r="F1135" t="s">
        <v>5769</v>
      </c>
      <c r="G1135" t="s">
        <v>5770</v>
      </c>
      <c r="H1135" t="s">
        <v>5771</v>
      </c>
    </row>
    <row r="1136" spans="1:8" x14ac:dyDescent="0.25">
      <c r="A1136">
        <v>1473332</v>
      </c>
      <c r="B1136" t="s">
        <v>5053</v>
      </c>
      <c r="C1136" t="s">
        <v>32</v>
      </c>
      <c r="D1136" t="s">
        <v>65</v>
      </c>
      <c r="E1136" t="s">
        <v>5759</v>
      </c>
      <c r="F1136" t="s">
        <v>5772</v>
      </c>
      <c r="G1136" t="s">
        <v>5773</v>
      </c>
      <c r="H1136" t="s">
        <v>5774</v>
      </c>
    </row>
    <row r="1137" spans="1:8" x14ac:dyDescent="0.25">
      <c r="A1137">
        <v>1473333</v>
      </c>
      <c r="B1137" t="s">
        <v>5053</v>
      </c>
      <c r="C1137" t="s">
        <v>32</v>
      </c>
      <c r="D1137" t="s">
        <v>65</v>
      </c>
      <c r="E1137" t="s">
        <v>5759</v>
      </c>
      <c r="F1137" t="s">
        <v>5775</v>
      </c>
      <c r="G1137" t="s">
        <v>5776</v>
      </c>
      <c r="H1137" t="s">
        <v>5777</v>
      </c>
    </row>
    <row r="1138" spans="1:8" x14ac:dyDescent="0.25">
      <c r="A1138">
        <v>1473334</v>
      </c>
      <c r="B1138" t="s">
        <v>5053</v>
      </c>
      <c r="C1138" t="s">
        <v>32</v>
      </c>
      <c r="D1138" t="s">
        <v>65</v>
      </c>
      <c r="E1138" t="s">
        <v>5759</v>
      </c>
      <c r="F1138" t="s">
        <v>5778</v>
      </c>
      <c r="G1138" t="s">
        <v>5779</v>
      </c>
      <c r="H1138" t="s">
        <v>5780</v>
      </c>
    </row>
    <row r="1139" spans="1:8" x14ac:dyDescent="0.25">
      <c r="A1139">
        <v>1473335</v>
      </c>
      <c r="B1139" t="s">
        <v>5053</v>
      </c>
      <c r="C1139" t="s">
        <v>32</v>
      </c>
      <c r="D1139" t="s">
        <v>65</v>
      </c>
      <c r="E1139" t="s">
        <v>5759</v>
      </c>
      <c r="F1139" t="s">
        <v>5781</v>
      </c>
      <c r="G1139" t="s">
        <v>5782</v>
      </c>
      <c r="H1139" t="s">
        <v>5783</v>
      </c>
    </row>
    <row r="1140" spans="1:8" x14ac:dyDescent="0.25">
      <c r="A1140">
        <v>1473336</v>
      </c>
      <c r="B1140" t="s">
        <v>5053</v>
      </c>
      <c r="C1140" t="s">
        <v>32</v>
      </c>
      <c r="D1140" t="s">
        <v>65</v>
      </c>
      <c r="E1140" t="s">
        <v>5759</v>
      </c>
      <c r="F1140" t="s">
        <v>5784</v>
      </c>
      <c r="G1140" t="s">
        <v>5785</v>
      </c>
      <c r="H1140" t="s">
        <v>5786</v>
      </c>
    </row>
    <row r="1141" spans="1:8" x14ac:dyDescent="0.25">
      <c r="A1141">
        <v>1473337</v>
      </c>
      <c r="B1141" t="s">
        <v>5053</v>
      </c>
      <c r="C1141" t="s">
        <v>32</v>
      </c>
      <c r="D1141" t="s">
        <v>65</v>
      </c>
      <c r="E1141" t="s">
        <v>5759</v>
      </c>
      <c r="F1141" t="s">
        <v>5787</v>
      </c>
      <c r="G1141" t="s">
        <v>5788</v>
      </c>
      <c r="H1141" t="s">
        <v>5789</v>
      </c>
    </row>
    <row r="1142" spans="1:8" x14ac:dyDescent="0.25">
      <c r="A1142">
        <v>1473338</v>
      </c>
      <c r="B1142" t="s">
        <v>5053</v>
      </c>
      <c r="C1142" t="s">
        <v>32</v>
      </c>
      <c r="D1142" t="s">
        <v>65</v>
      </c>
      <c r="E1142" t="s">
        <v>5759</v>
      </c>
      <c r="F1142" t="s">
        <v>5790</v>
      </c>
      <c r="G1142" t="s">
        <v>5791</v>
      </c>
      <c r="H1142" t="s">
        <v>5792</v>
      </c>
    </row>
    <row r="1143" spans="1:8" x14ac:dyDescent="0.25">
      <c r="A1143">
        <v>1474656</v>
      </c>
      <c r="B1143" t="s">
        <v>5053</v>
      </c>
      <c r="C1143" t="s">
        <v>32</v>
      </c>
      <c r="D1143" t="s">
        <v>267</v>
      </c>
      <c r="E1143" t="s">
        <v>4696</v>
      </c>
      <c r="F1143" t="s">
        <v>5793</v>
      </c>
      <c r="G1143" t="s">
        <v>5794</v>
      </c>
      <c r="H1143" t="s">
        <v>5795</v>
      </c>
    </row>
    <row r="1144" spans="1:8" x14ac:dyDescent="0.25">
      <c r="A1144">
        <v>1474841</v>
      </c>
      <c r="B1144" t="s">
        <v>5053</v>
      </c>
      <c r="C1144" t="s">
        <v>2909</v>
      </c>
      <c r="D1144" t="s">
        <v>267</v>
      </c>
      <c r="E1144" t="s">
        <v>632</v>
      </c>
      <c r="F1144" t="s">
        <v>5796</v>
      </c>
      <c r="G1144" t="s">
        <v>5797</v>
      </c>
      <c r="H1144" t="s">
        <v>5798</v>
      </c>
    </row>
    <row r="1145" spans="1:8" x14ac:dyDescent="0.25">
      <c r="A1145">
        <v>1476336</v>
      </c>
      <c r="B1145" t="s">
        <v>5053</v>
      </c>
      <c r="C1145" t="s">
        <v>32</v>
      </c>
      <c r="D1145" t="s">
        <v>65</v>
      </c>
      <c r="E1145" t="s">
        <v>5799</v>
      </c>
      <c r="F1145" t="s">
        <v>5800</v>
      </c>
      <c r="G1145" t="s">
        <v>5801</v>
      </c>
      <c r="H1145" t="s">
        <v>5802</v>
      </c>
    </row>
    <row r="1146" spans="1:8" x14ac:dyDescent="0.25">
      <c r="A1146">
        <v>1476337</v>
      </c>
      <c r="B1146" t="s">
        <v>5053</v>
      </c>
      <c r="C1146" t="s">
        <v>32</v>
      </c>
      <c r="D1146" t="s">
        <v>65</v>
      </c>
      <c r="E1146" t="s">
        <v>5799</v>
      </c>
      <c r="F1146" t="s">
        <v>5803</v>
      </c>
      <c r="G1146" t="s">
        <v>5804</v>
      </c>
      <c r="H1146" t="s">
        <v>5805</v>
      </c>
    </row>
    <row r="1147" spans="1:8" x14ac:dyDescent="0.25">
      <c r="A1147">
        <v>1476338</v>
      </c>
      <c r="B1147" t="s">
        <v>5053</v>
      </c>
      <c r="C1147" t="s">
        <v>32</v>
      </c>
      <c r="D1147" t="s">
        <v>65</v>
      </c>
      <c r="E1147" t="s">
        <v>5799</v>
      </c>
      <c r="F1147" t="s">
        <v>5806</v>
      </c>
      <c r="G1147" t="s">
        <v>5807</v>
      </c>
      <c r="H1147" t="s">
        <v>5808</v>
      </c>
    </row>
    <row r="1148" spans="1:8" x14ac:dyDescent="0.25">
      <c r="A1148">
        <v>1476339</v>
      </c>
      <c r="B1148" t="s">
        <v>5053</v>
      </c>
      <c r="C1148" t="s">
        <v>32</v>
      </c>
      <c r="D1148" t="s">
        <v>65</v>
      </c>
      <c r="E1148" t="s">
        <v>5799</v>
      </c>
      <c r="F1148" t="s">
        <v>5809</v>
      </c>
      <c r="G1148" t="s">
        <v>5810</v>
      </c>
      <c r="H1148" t="s">
        <v>5811</v>
      </c>
    </row>
    <row r="1149" spans="1:8" x14ac:dyDescent="0.25">
      <c r="A1149">
        <v>1476340</v>
      </c>
      <c r="B1149" t="s">
        <v>5053</v>
      </c>
      <c r="C1149" t="s">
        <v>32</v>
      </c>
      <c r="D1149" t="s">
        <v>65</v>
      </c>
      <c r="E1149" t="s">
        <v>5799</v>
      </c>
      <c r="F1149" t="s">
        <v>5812</v>
      </c>
      <c r="G1149" t="s">
        <v>5813</v>
      </c>
      <c r="H1149" t="s">
        <v>5814</v>
      </c>
    </row>
    <row r="1150" spans="1:8" x14ac:dyDescent="0.25">
      <c r="A1150">
        <v>1476341</v>
      </c>
      <c r="B1150" t="s">
        <v>5053</v>
      </c>
      <c r="C1150" t="s">
        <v>32</v>
      </c>
      <c r="D1150" t="s">
        <v>65</v>
      </c>
      <c r="E1150" t="s">
        <v>5799</v>
      </c>
      <c r="F1150" t="s">
        <v>5815</v>
      </c>
      <c r="G1150" t="s">
        <v>5816</v>
      </c>
      <c r="H1150" t="s">
        <v>5817</v>
      </c>
    </row>
    <row r="1151" spans="1:8" x14ac:dyDescent="0.25">
      <c r="A1151">
        <v>1476342</v>
      </c>
      <c r="B1151" t="s">
        <v>5053</v>
      </c>
      <c r="C1151" t="s">
        <v>32</v>
      </c>
      <c r="D1151" t="s">
        <v>65</v>
      </c>
      <c r="E1151" t="s">
        <v>5799</v>
      </c>
      <c r="F1151" t="s">
        <v>5818</v>
      </c>
      <c r="G1151" t="s">
        <v>5819</v>
      </c>
      <c r="H1151" t="s">
        <v>5820</v>
      </c>
    </row>
    <row r="1152" spans="1:8" x14ac:dyDescent="0.25">
      <c r="A1152">
        <v>1476343</v>
      </c>
      <c r="B1152" t="s">
        <v>5053</v>
      </c>
      <c r="C1152" t="s">
        <v>32</v>
      </c>
      <c r="D1152" t="s">
        <v>65</v>
      </c>
      <c r="E1152" t="s">
        <v>5799</v>
      </c>
      <c r="F1152" t="s">
        <v>5821</v>
      </c>
      <c r="G1152" t="s">
        <v>5822</v>
      </c>
      <c r="H1152" t="s">
        <v>5823</v>
      </c>
    </row>
    <row r="1153" spans="1:8" x14ac:dyDescent="0.25">
      <c r="A1153">
        <v>1476344</v>
      </c>
      <c r="B1153" t="s">
        <v>5053</v>
      </c>
      <c r="C1153" t="s">
        <v>32</v>
      </c>
      <c r="D1153" t="s">
        <v>65</v>
      </c>
      <c r="E1153" t="s">
        <v>5799</v>
      </c>
      <c r="F1153" t="s">
        <v>5824</v>
      </c>
      <c r="G1153" t="s">
        <v>5825</v>
      </c>
      <c r="H1153" t="s">
        <v>5826</v>
      </c>
    </row>
    <row r="1154" spans="1:8" x14ac:dyDescent="0.25">
      <c r="A1154">
        <v>1476345</v>
      </c>
      <c r="B1154" t="s">
        <v>5053</v>
      </c>
      <c r="C1154" t="s">
        <v>32</v>
      </c>
      <c r="D1154" t="s">
        <v>65</v>
      </c>
      <c r="E1154" t="s">
        <v>5799</v>
      </c>
      <c r="F1154" t="s">
        <v>5827</v>
      </c>
      <c r="G1154" t="s">
        <v>5828</v>
      </c>
      <c r="H1154" t="s">
        <v>5829</v>
      </c>
    </row>
    <row r="1155" spans="1:8" x14ac:dyDescent="0.25">
      <c r="A1155">
        <v>1476346</v>
      </c>
      <c r="B1155" t="s">
        <v>5053</v>
      </c>
      <c r="C1155" t="s">
        <v>32</v>
      </c>
      <c r="D1155" t="s">
        <v>65</v>
      </c>
      <c r="E1155" t="s">
        <v>5799</v>
      </c>
      <c r="F1155" t="s">
        <v>5830</v>
      </c>
      <c r="G1155" t="s">
        <v>5831</v>
      </c>
      <c r="H1155" t="s">
        <v>5832</v>
      </c>
    </row>
    <row r="1156" spans="1:8" x14ac:dyDescent="0.25">
      <c r="A1156">
        <v>1477368</v>
      </c>
      <c r="B1156" t="s">
        <v>5053</v>
      </c>
      <c r="C1156" t="s">
        <v>32</v>
      </c>
      <c r="D1156" t="s">
        <v>381</v>
      </c>
      <c r="E1156" t="s">
        <v>397</v>
      </c>
      <c r="F1156" t="s">
        <v>5833</v>
      </c>
      <c r="G1156" t="s">
        <v>5834</v>
      </c>
      <c r="H1156" t="s">
        <v>5835</v>
      </c>
    </row>
    <row r="1157" spans="1:8" x14ac:dyDescent="0.25">
      <c r="A1157">
        <v>1478310</v>
      </c>
      <c r="B1157" t="s">
        <v>5053</v>
      </c>
      <c r="C1157" t="s">
        <v>32</v>
      </c>
      <c r="D1157" t="s">
        <v>53</v>
      </c>
      <c r="E1157" t="s">
        <v>5836</v>
      </c>
      <c r="F1157" t="s">
        <v>5837</v>
      </c>
      <c r="G1157" t="s">
        <v>5838</v>
      </c>
      <c r="H1157" t="s">
        <v>5839</v>
      </c>
    </row>
    <row r="1158" spans="1:8" x14ac:dyDescent="0.25">
      <c r="A1158">
        <v>1479051</v>
      </c>
      <c r="B1158" t="s">
        <v>5053</v>
      </c>
      <c r="C1158" t="s">
        <v>32</v>
      </c>
      <c r="D1158" t="s">
        <v>98</v>
      </c>
      <c r="E1158" t="s">
        <v>237</v>
      </c>
      <c r="F1158" t="s">
        <v>5840</v>
      </c>
      <c r="G1158" t="s">
        <v>5841</v>
      </c>
      <c r="H1158" t="s">
        <v>5842</v>
      </c>
    </row>
    <row r="1159" spans="1:8" x14ac:dyDescent="0.25">
      <c r="A1159">
        <v>1479052</v>
      </c>
      <c r="B1159" t="s">
        <v>5053</v>
      </c>
      <c r="C1159" t="s">
        <v>32</v>
      </c>
      <c r="D1159" t="s">
        <v>98</v>
      </c>
      <c r="E1159" t="s">
        <v>237</v>
      </c>
      <c r="F1159" t="s">
        <v>1985</v>
      </c>
      <c r="G1159" t="s">
        <v>1976</v>
      </c>
      <c r="H1159" t="s">
        <v>5843</v>
      </c>
    </row>
    <row r="1160" spans="1:8" x14ac:dyDescent="0.25">
      <c r="A1160">
        <v>1479054</v>
      </c>
      <c r="B1160" t="s">
        <v>5053</v>
      </c>
      <c r="C1160" t="s">
        <v>32</v>
      </c>
      <c r="D1160" t="s">
        <v>98</v>
      </c>
      <c r="E1160" t="s">
        <v>237</v>
      </c>
      <c r="F1160" t="s">
        <v>1973</v>
      </c>
      <c r="G1160" t="s">
        <v>460</v>
      </c>
      <c r="H1160" t="s">
        <v>5844</v>
      </c>
    </row>
    <row r="1161" spans="1:8" x14ac:dyDescent="0.25">
      <c r="A1161">
        <v>1479056</v>
      </c>
      <c r="B1161" t="s">
        <v>5053</v>
      </c>
      <c r="C1161" t="s">
        <v>32</v>
      </c>
      <c r="D1161" t="s">
        <v>98</v>
      </c>
      <c r="E1161" t="s">
        <v>237</v>
      </c>
      <c r="F1161" t="s">
        <v>5845</v>
      </c>
      <c r="G1161" t="s">
        <v>1996</v>
      </c>
      <c r="H1161" t="s">
        <v>5846</v>
      </c>
    </row>
    <row r="1162" spans="1:8" x14ac:dyDescent="0.25">
      <c r="A1162">
        <v>1479062</v>
      </c>
      <c r="B1162" t="s">
        <v>5053</v>
      </c>
      <c r="C1162" t="s">
        <v>32</v>
      </c>
      <c r="D1162" t="s">
        <v>98</v>
      </c>
      <c r="E1162" t="s">
        <v>237</v>
      </c>
      <c r="F1162" t="s">
        <v>1988</v>
      </c>
      <c r="G1162" t="s">
        <v>5847</v>
      </c>
      <c r="H1162" t="s">
        <v>5848</v>
      </c>
    </row>
    <row r="1163" spans="1:8" x14ac:dyDescent="0.25">
      <c r="A1163">
        <v>1479064</v>
      </c>
      <c r="B1163" t="s">
        <v>5053</v>
      </c>
      <c r="C1163" t="s">
        <v>32</v>
      </c>
      <c r="D1163" t="s">
        <v>98</v>
      </c>
      <c r="E1163" t="s">
        <v>237</v>
      </c>
      <c r="F1163" t="s">
        <v>459</v>
      </c>
      <c r="G1163" t="s">
        <v>1989</v>
      </c>
      <c r="H1163" t="s">
        <v>5849</v>
      </c>
    </row>
    <row r="1164" spans="1:8" x14ac:dyDescent="0.25">
      <c r="A1164">
        <v>1479066</v>
      </c>
      <c r="B1164" t="s">
        <v>5053</v>
      </c>
      <c r="C1164" t="s">
        <v>32</v>
      </c>
      <c r="D1164" t="s">
        <v>98</v>
      </c>
      <c r="E1164" t="s">
        <v>237</v>
      </c>
      <c r="F1164" t="s">
        <v>1975</v>
      </c>
      <c r="G1164" t="s">
        <v>5850</v>
      </c>
      <c r="H1164" t="s">
        <v>5851</v>
      </c>
    </row>
    <row r="1165" spans="1:8" x14ac:dyDescent="0.25">
      <c r="A1165">
        <v>1479069</v>
      </c>
      <c r="B1165" t="s">
        <v>5053</v>
      </c>
      <c r="C1165" t="s">
        <v>32</v>
      </c>
      <c r="D1165" t="s">
        <v>98</v>
      </c>
      <c r="E1165" t="s">
        <v>237</v>
      </c>
      <c r="F1165" t="s">
        <v>1995</v>
      </c>
      <c r="G1165" t="s">
        <v>1974</v>
      </c>
      <c r="H1165" t="s">
        <v>5852</v>
      </c>
    </row>
    <row r="1166" spans="1:8" x14ac:dyDescent="0.25">
      <c r="A1166">
        <v>1494604</v>
      </c>
      <c r="B1166" t="s">
        <v>5053</v>
      </c>
      <c r="C1166" t="s">
        <v>32</v>
      </c>
      <c r="D1166" t="s">
        <v>85</v>
      </c>
      <c r="E1166" t="s">
        <v>5853</v>
      </c>
      <c r="F1166" t="s">
        <v>2002</v>
      </c>
      <c r="G1166" t="s">
        <v>2521</v>
      </c>
      <c r="H1166" t="s">
        <v>5854</v>
      </c>
    </row>
    <row r="1167" spans="1:8" x14ac:dyDescent="0.25">
      <c r="A1167">
        <v>1497988</v>
      </c>
      <c r="B1167" t="s">
        <v>5053</v>
      </c>
      <c r="C1167" t="s">
        <v>32</v>
      </c>
      <c r="D1167" t="s">
        <v>53</v>
      </c>
      <c r="E1167" t="s">
        <v>54</v>
      </c>
      <c r="F1167" t="s">
        <v>5855</v>
      </c>
      <c r="G1167" t="s">
        <v>5856</v>
      </c>
      <c r="H1167" t="s">
        <v>5857</v>
      </c>
    </row>
    <row r="1168" spans="1:8" x14ac:dyDescent="0.25">
      <c r="A1168">
        <v>1498207</v>
      </c>
      <c r="B1168" t="s">
        <v>5053</v>
      </c>
      <c r="C1168" t="s">
        <v>32</v>
      </c>
      <c r="D1168" t="s">
        <v>18</v>
      </c>
      <c r="E1168" t="s">
        <v>500</v>
      </c>
      <c r="F1168" t="s">
        <v>5858</v>
      </c>
      <c r="G1168" t="s">
        <v>2000</v>
      </c>
      <c r="H1168" t="s">
        <v>5859</v>
      </c>
    </row>
    <row r="1169" spans="1:8" x14ac:dyDescent="0.25">
      <c r="A1169">
        <v>1498208</v>
      </c>
      <c r="B1169" t="s">
        <v>5053</v>
      </c>
      <c r="C1169" t="s">
        <v>32</v>
      </c>
      <c r="D1169" t="s">
        <v>18</v>
      </c>
      <c r="E1169" t="s">
        <v>500</v>
      </c>
      <c r="F1169" t="s">
        <v>5860</v>
      </c>
      <c r="G1169" t="s">
        <v>5861</v>
      </c>
      <c r="H1169" t="s">
        <v>5862</v>
      </c>
    </row>
    <row r="1170" spans="1:8" x14ac:dyDescent="0.25">
      <c r="A1170">
        <v>1498209</v>
      </c>
      <c r="B1170" t="s">
        <v>5053</v>
      </c>
      <c r="C1170" t="s">
        <v>32</v>
      </c>
      <c r="D1170" t="s">
        <v>18</v>
      </c>
      <c r="E1170" t="s">
        <v>500</v>
      </c>
      <c r="F1170" t="s">
        <v>5863</v>
      </c>
      <c r="G1170" t="s">
        <v>5864</v>
      </c>
      <c r="H1170" t="s">
        <v>5865</v>
      </c>
    </row>
    <row r="1171" spans="1:8" x14ac:dyDescent="0.25">
      <c r="A1171">
        <v>1498210</v>
      </c>
      <c r="B1171" t="s">
        <v>5053</v>
      </c>
      <c r="C1171" t="s">
        <v>32</v>
      </c>
      <c r="D1171" t="s">
        <v>18</v>
      </c>
      <c r="E1171" t="s">
        <v>500</v>
      </c>
      <c r="F1171" t="s">
        <v>5866</v>
      </c>
      <c r="G1171" t="s">
        <v>2001</v>
      </c>
      <c r="H1171" t="s">
        <v>5867</v>
      </c>
    </row>
    <row r="1172" spans="1:8" x14ac:dyDescent="0.25">
      <c r="A1172">
        <v>1505927</v>
      </c>
      <c r="B1172" t="s">
        <v>5053</v>
      </c>
      <c r="C1172" t="s">
        <v>32</v>
      </c>
      <c r="D1172" t="s">
        <v>21</v>
      </c>
      <c r="E1172" t="s">
        <v>22</v>
      </c>
      <c r="F1172" t="s">
        <v>1780</v>
      </c>
      <c r="G1172" t="s">
        <v>5868</v>
      </c>
      <c r="H1172" t="s">
        <v>5869</v>
      </c>
    </row>
    <row r="1173" spans="1:8" x14ac:dyDescent="0.25">
      <c r="A1173">
        <v>1506569</v>
      </c>
      <c r="B1173" t="s">
        <v>5053</v>
      </c>
      <c r="C1173" t="s">
        <v>32</v>
      </c>
      <c r="D1173" t="s">
        <v>610</v>
      </c>
      <c r="E1173" t="s">
        <v>611</v>
      </c>
      <c r="F1173" t="s">
        <v>2258</v>
      </c>
      <c r="G1173" t="s">
        <v>5870</v>
      </c>
      <c r="H1173" t="s">
        <v>5871</v>
      </c>
    </row>
    <row r="1174" spans="1:8" x14ac:dyDescent="0.25">
      <c r="A1174">
        <v>1506758</v>
      </c>
      <c r="B1174" t="s">
        <v>5053</v>
      </c>
      <c r="C1174" t="s">
        <v>32</v>
      </c>
      <c r="D1174" t="s">
        <v>53</v>
      </c>
      <c r="E1174" t="s">
        <v>5872</v>
      </c>
      <c r="F1174" t="s">
        <v>5873</v>
      </c>
      <c r="G1174" t="s">
        <v>5874</v>
      </c>
      <c r="H1174" t="s">
        <v>5875</v>
      </c>
    </row>
    <row r="1175" spans="1:8" x14ac:dyDescent="0.25">
      <c r="A1175">
        <v>1506760</v>
      </c>
      <c r="B1175" t="s">
        <v>5053</v>
      </c>
      <c r="C1175" t="s">
        <v>32</v>
      </c>
      <c r="D1175" t="s">
        <v>53</v>
      </c>
      <c r="E1175" t="s">
        <v>5872</v>
      </c>
      <c r="F1175" t="s">
        <v>5876</v>
      </c>
      <c r="G1175" t="s">
        <v>5877</v>
      </c>
      <c r="H1175" t="s">
        <v>5878</v>
      </c>
    </row>
    <row r="1176" spans="1:8" x14ac:dyDescent="0.25">
      <c r="A1176">
        <v>1509897</v>
      </c>
      <c r="B1176" t="s">
        <v>5053</v>
      </c>
      <c r="C1176" t="s">
        <v>32</v>
      </c>
      <c r="D1176" t="s">
        <v>21</v>
      </c>
      <c r="E1176" t="s">
        <v>22</v>
      </c>
      <c r="F1176" t="s">
        <v>5879</v>
      </c>
      <c r="G1176" t="s">
        <v>4059</v>
      </c>
      <c r="H1176" t="s">
        <v>5880</v>
      </c>
    </row>
    <row r="1177" spans="1:8" x14ac:dyDescent="0.25">
      <c r="A1177">
        <v>1515093</v>
      </c>
      <c r="B1177" t="s">
        <v>5053</v>
      </c>
      <c r="C1177" t="s">
        <v>32</v>
      </c>
      <c r="D1177" t="s">
        <v>53</v>
      </c>
      <c r="E1177" t="s">
        <v>654</v>
      </c>
      <c r="F1177" t="s">
        <v>2017</v>
      </c>
      <c r="G1177" t="s">
        <v>2016</v>
      </c>
      <c r="H1177" t="s">
        <v>5881</v>
      </c>
    </row>
    <row r="1178" spans="1:8" x14ac:dyDescent="0.25">
      <c r="A1178">
        <v>1515095</v>
      </c>
      <c r="B1178" t="s">
        <v>5053</v>
      </c>
      <c r="C1178" t="s">
        <v>32</v>
      </c>
      <c r="D1178" t="s">
        <v>53</v>
      </c>
      <c r="E1178" t="s">
        <v>654</v>
      </c>
      <c r="F1178" t="s">
        <v>2019</v>
      </c>
      <c r="G1178" t="s">
        <v>2018</v>
      </c>
      <c r="H1178" t="s">
        <v>5882</v>
      </c>
    </row>
    <row r="1179" spans="1:8" x14ac:dyDescent="0.25">
      <c r="A1179">
        <v>1519514</v>
      </c>
      <c r="B1179" t="s">
        <v>5053</v>
      </c>
      <c r="C1179" t="s">
        <v>32</v>
      </c>
      <c r="D1179" t="s">
        <v>546</v>
      </c>
      <c r="E1179" t="s">
        <v>547</v>
      </c>
      <c r="F1179" t="s">
        <v>5883</v>
      </c>
      <c r="G1179" t="s">
        <v>2023</v>
      </c>
      <c r="H1179" t="s">
        <v>5884</v>
      </c>
    </row>
    <row r="1180" spans="1:8" x14ac:dyDescent="0.25">
      <c r="A1180">
        <v>1521559</v>
      </c>
      <c r="B1180" t="s">
        <v>5053</v>
      </c>
      <c r="C1180" t="s">
        <v>32</v>
      </c>
      <c r="D1180" t="s">
        <v>546</v>
      </c>
      <c r="E1180" t="s">
        <v>638</v>
      </c>
      <c r="F1180" t="s">
        <v>5885</v>
      </c>
      <c r="G1180" t="s">
        <v>5886</v>
      </c>
      <c r="H1180" t="s">
        <v>5887</v>
      </c>
    </row>
    <row r="1181" spans="1:8" x14ac:dyDescent="0.25">
      <c r="A1181">
        <v>1521560</v>
      </c>
      <c r="B1181" t="s">
        <v>5053</v>
      </c>
      <c r="C1181" t="s">
        <v>32</v>
      </c>
      <c r="D1181" t="s">
        <v>546</v>
      </c>
      <c r="E1181" t="s">
        <v>638</v>
      </c>
      <c r="F1181" t="s">
        <v>2025</v>
      </c>
      <c r="G1181" t="s">
        <v>5888</v>
      </c>
      <c r="H1181" t="s">
        <v>5889</v>
      </c>
    </row>
    <row r="1182" spans="1:8" x14ac:dyDescent="0.25">
      <c r="A1182">
        <v>1522880</v>
      </c>
      <c r="B1182" t="s">
        <v>5053</v>
      </c>
      <c r="C1182" t="s">
        <v>32</v>
      </c>
      <c r="D1182" t="s">
        <v>656</v>
      </c>
      <c r="E1182" t="s">
        <v>657</v>
      </c>
      <c r="F1182" t="s">
        <v>2030</v>
      </c>
      <c r="G1182" t="s">
        <v>5890</v>
      </c>
      <c r="H1182" t="s">
        <v>5891</v>
      </c>
    </row>
    <row r="1183" spans="1:8" x14ac:dyDescent="0.25">
      <c r="A1183">
        <v>1522881</v>
      </c>
      <c r="B1183" t="s">
        <v>5053</v>
      </c>
      <c r="C1183" t="s">
        <v>32</v>
      </c>
      <c r="D1183" t="s">
        <v>656</v>
      </c>
      <c r="E1183" t="s">
        <v>657</v>
      </c>
      <c r="F1183" t="s">
        <v>5892</v>
      </c>
      <c r="G1183" t="s">
        <v>5893</v>
      </c>
      <c r="H1183" t="s">
        <v>5894</v>
      </c>
    </row>
    <row r="1184" spans="1:8" x14ac:dyDescent="0.25">
      <c r="A1184">
        <v>1522882</v>
      </c>
      <c r="B1184" t="s">
        <v>5053</v>
      </c>
      <c r="C1184" t="s">
        <v>32</v>
      </c>
      <c r="D1184" t="s">
        <v>656</v>
      </c>
      <c r="E1184" t="s">
        <v>657</v>
      </c>
      <c r="F1184" t="s">
        <v>2026</v>
      </c>
      <c r="G1184" t="s">
        <v>5895</v>
      </c>
      <c r="H1184" t="s">
        <v>5896</v>
      </c>
    </row>
    <row r="1185" spans="1:8" x14ac:dyDescent="0.25">
      <c r="A1185">
        <v>1522883</v>
      </c>
      <c r="B1185" t="s">
        <v>5053</v>
      </c>
      <c r="C1185" t="s">
        <v>32</v>
      </c>
      <c r="D1185" t="s">
        <v>656</v>
      </c>
      <c r="E1185" t="s">
        <v>657</v>
      </c>
      <c r="F1185" t="s">
        <v>2028</v>
      </c>
      <c r="G1185" t="s">
        <v>5897</v>
      </c>
      <c r="H1185" t="s">
        <v>5898</v>
      </c>
    </row>
    <row r="1186" spans="1:8" x14ac:dyDescent="0.25">
      <c r="A1186">
        <v>1522884</v>
      </c>
      <c r="B1186" t="s">
        <v>5053</v>
      </c>
      <c r="C1186" t="s">
        <v>32</v>
      </c>
      <c r="D1186" t="s">
        <v>656</v>
      </c>
      <c r="E1186" t="s">
        <v>657</v>
      </c>
      <c r="F1186" t="s">
        <v>2027</v>
      </c>
      <c r="G1186" t="s">
        <v>2029</v>
      </c>
      <c r="H1186" t="s">
        <v>5899</v>
      </c>
    </row>
    <row r="1187" spans="1:8" x14ac:dyDescent="0.25">
      <c r="A1187">
        <v>1525814</v>
      </c>
      <c r="B1187" t="s">
        <v>5053</v>
      </c>
      <c r="C1187" t="s">
        <v>32</v>
      </c>
      <c r="D1187" t="s">
        <v>389</v>
      </c>
      <c r="E1187" t="s">
        <v>49</v>
      </c>
      <c r="F1187" t="s">
        <v>5900</v>
      </c>
      <c r="G1187" t="s">
        <v>1162</v>
      </c>
      <c r="H1187" t="s">
        <v>5901</v>
      </c>
    </row>
    <row r="1188" spans="1:8" x14ac:dyDescent="0.25">
      <c r="A1188">
        <v>1527546</v>
      </c>
      <c r="B1188" t="s">
        <v>5053</v>
      </c>
      <c r="C1188" t="s">
        <v>34</v>
      </c>
      <c r="D1188" t="s">
        <v>422</v>
      </c>
      <c r="E1188" t="s">
        <v>49</v>
      </c>
      <c r="F1188" t="s">
        <v>5902</v>
      </c>
      <c r="G1188" t="s">
        <v>1785</v>
      </c>
      <c r="H1188" t="s">
        <v>5903</v>
      </c>
    </row>
    <row r="1189" spans="1:8" x14ac:dyDescent="0.25">
      <c r="A1189">
        <v>1527547</v>
      </c>
      <c r="B1189" t="s">
        <v>5053</v>
      </c>
      <c r="C1189" t="s">
        <v>32</v>
      </c>
      <c r="D1189" t="s">
        <v>422</v>
      </c>
      <c r="E1189" t="s">
        <v>49</v>
      </c>
      <c r="F1189" t="s">
        <v>5904</v>
      </c>
      <c r="G1189" t="s">
        <v>5905</v>
      </c>
      <c r="H1189" t="s">
        <v>5906</v>
      </c>
    </row>
    <row r="1190" spans="1:8" x14ac:dyDescent="0.25">
      <c r="A1190">
        <v>1527548</v>
      </c>
      <c r="B1190" t="s">
        <v>5053</v>
      </c>
      <c r="C1190" t="s">
        <v>34</v>
      </c>
      <c r="D1190" t="s">
        <v>422</v>
      </c>
      <c r="E1190" t="s">
        <v>49</v>
      </c>
      <c r="F1190" t="s">
        <v>5907</v>
      </c>
      <c r="G1190" t="s">
        <v>874</v>
      </c>
      <c r="H1190" t="s">
        <v>5908</v>
      </c>
    </row>
    <row r="1191" spans="1:8" x14ac:dyDescent="0.25">
      <c r="A1191">
        <v>1528858</v>
      </c>
      <c r="B1191" t="s">
        <v>5053</v>
      </c>
      <c r="C1191" t="s">
        <v>32</v>
      </c>
      <c r="D1191" t="s">
        <v>452</v>
      </c>
      <c r="E1191" t="s">
        <v>49</v>
      </c>
      <c r="F1191" t="s">
        <v>5909</v>
      </c>
      <c r="G1191" t="s">
        <v>5910</v>
      </c>
      <c r="H1191" t="s">
        <v>5911</v>
      </c>
    </row>
    <row r="1192" spans="1:8" x14ac:dyDescent="0.25">
      <c r="A1192">
        <v>1529152</v>
      </c>
      <c r="B1192" t="s">
        <v>5053</v>
      </c>
      <c r="C1192" t="s">
        <v>32</v>
      </c>
      <c r="D1192" t="s">
        <v>585</v>
      </c>
      <c r="E1192" t="s">
        <v>3517</v>
      </c>
      <c r="F1192" t="s">
        <v>5912</v>
      </c>
      <c r="G1192" t="s">
        <v>5913</v>
      </c>
      <c r="H1192" t="s">
        <v>5914</v>
      </c>
    </row>
    <row r="1193" spans="1:8" x14ac:dyDescent="0.25">
      <c r="A1193">
        <v>1533327</v>
      </c>
      <c r="B1193" t="s">
        <v>5053</v>
      </c>
      <c r="C1193" t="s">
        <v>32</v>
      </c>
      <c r="D1193" t="s">
        <v>21</v>
      </c>
      <c r="E1193" t="s">
        <v>22</v>
      </c>
      <c r="F1193" t="s">
        <v>5915</v>
      </c>
      <c r="G1193" t="s">
        <v>5916</v>
      </c>
      <c r="H1193" t="s">
        <v>5917</v>
      </c>
    </row>
    <row r="1194" spans="1:8" x14ac:dyDescent="0.25">
      <c r="A1194">
        <v>1533328</v>
      </c>
      <c r="B1194" t="s">
        <v>5053</v>
      </c>
      <c r="C1194" t="s">
        <v>32</v>
      </c>
      <c r="D1194" t="s">
        <v>21</v>
      </c>
      <c r="E1194" t="s">
        <v>22</v>
      </c>
      <c r="F1194" t="s">
        <v>5918</v>
      </c>
      <c r="G1194" t="s">
        <v>5919</v>
      </c>
      <c r="H1194" t="s">
        <v>5920</v>
      </c>
    </row>
    <row r="1195" spans="1:8" x14ac:dyDescent="0.25">
      <c r="A1195">
        <v>1533573</v>
      </c>
      <c r="B1195" t="s">
        <v>5053</v>
      </c>
      <c r="C1195" t="s">
        <v>32</v>
      </c>
      <c r="D1195" t="s">
        <v>219</v>
      </c>
      <c r="E1195" t="s">
        <v>49</v>
      </c>
      <c r="F1195" t="s">
        <v>5921</v>
      </c>
      <c r="G1195" t="s">
        <v>5922</v>
      </c>
      <c r="H1195" t="s">
        <v>5923</v>
      </c>
    </row>
    <row r="1196" spans="1:8" x14ac:dyDescent="0.25">
      <c r="A1196">
        <v>1533882</v>
      </c>
      <c r="B1196" t="s">
        <v>5053</v>
      </c>
      <c r="C1196" t="s">
        <v>32</v>
      </c>
      <c r="D1196" t="s">
        <v>5924</v>
      </c>
      <c r="E1196" t="s">
        <v>91</v>
      </c>
      <c r="F1196" t="s">
        <v>5925</v>
      </c>
      <c r="G1196" t="s">
        <v>3278</v>
      </c>
      <c r="H1196" t="s">
        <v>5926</v>
      </c>
    </row>
    <row r="1197" spans="1:8" x14ac:dyDescent="0.25">
      <c r="A1197">
        <v>1534224</v>
      </c>
      <c r="B1197" t="s">
        <v>5053</v>
      </c>
      <c r="C1197" t="s">
        <v>32</v>
      </c>
      <c r="D1197" t="s">
        <v>334</v>
      </c>
      <c r="E1197" t="s">
        <v>335</v>
      </c>
      <c r="F1197" t="s">
        <v>1910</v>
      </c>
      <c r="G1197" t="s">
        <v>5927</v>
      </c>
      <c r="H1197" t="s">
        <v>5928</v>
      </c>
    </row>
    <row r="1198" spans="1:8" x14ac:dyDescent="0.25">
      <c r="A1198">
        <v>1534225</v>
      </c>
      <c r="B1198" t="s">
        <v>5053</v>
      </c>
      <c r="C1198" t="s">
        <v>32</v>
      </c>
      <c r="D1198" t="s">
        <v>334</v>
      </c>
      <c r="E1198" t="s">
        <v>335</v>
      </c>
      <c r="F1198" t="s">
        <v>1674</v>
      </c>
      <c r="G1198" t="s">
        <v>5929</v>
      </c>
      <c r="H1198" t="s">
        <v>5930</v>
      </c>
    </row>
    <row r="1199" spans="1:8" x14ac:dyDescent="0.25">
      <c r="A1199">
        <v>1534600</v>
      </c>
      <c r="B1199" t="s">
        <v>5053</v>
      </c>
      <c r="C1199" t="s">
        <v>32</v>
      </c>
      <c r="D1199" t="s">
        <v>78</v>
      </c>
      <c r="E1199" t="s">
        <v>4171</v>
      </c>
      <c r="F1199" t="s">
        <v>5931</v>
      </c>
      <c r="G1199" t="s">
        <v>5932</v>
      </c>
      <c r="H1199" t="s">
        <v>5933</v>
      </c>
    </row>
    <row r="1200" spans="1:8" x14ac:dyDescent="0.25">
      <c r="A1200">
        <v>1535563</v>
      </c>
      <c r="B1200" t="s">
        <v>5053</v>
      </c>
      <c r="C1200" t="s">
        <v>32</v>
      </c>
      <c r="D1200" t="s">
        <v>354</v>
      </c>
      <c r="E1200" t="s">
        <v>5934</v>
      </c>
      <c r="F1200" t="s">
        <v>5935</v>
      </c>
      <c r="G1200" t="s">
        <v>5936</v>
      </c>
      <c r="H1200" t="s">
        <v>5937</v>
      </c>
    </row>
    <row r="1201" spans="1:8" x14ac:dyDescent="0.25">
      <c r="A1201">
        <v>1535674</v>
      </c>
      <c r="B1201" t="s">
        <v>5053</v>
      </c>
      <c r="C1201" t="s">
        <v>32</v>
      </c>
      <c r="D1201" t="s">
        <v>85</v>
      </c>
      <c r="E1201" t="s">
        <v>3544</v>
      </c>
      <c r="F1201" t="s">
        <v>5938</v>
      </c>
      <c r="G1201" t="s">
        <v>5939</v>
      </c>
      <c r="H1201" t="s">
        <v>5940</v>
      </c>
    </row>
    <row r="1202" spans="1:8" x14ac:dyDescent="0.25">
      <c r="A1202">
        <v>1444475</v>
      </c>
      <c r="B1202" t="s">
        <v>5053</v>
      </c>
      <c r="C1202" t="s">
        <v>32</v>
      </c>
      <c r="D1202" t="s">
        <v>65</v>
      </c>
      <c r="E1202" t="s">
        <v>4922</v>
      </c>
      <c r="F1202" t="s">
        <v>5941</v>
      </c>
      <c r="G1202" t="s">
        <v>5942</v>
      </c>
      <c r="H1202" t="s">
        <v>5943</v>
      </c>
    </row>
    <row r="1203" spans="1:8" x14ac:dyDescent="0.25">
      <c r="A1203">
        <v>1435088</v>
      </c>
      <c r="B1203" t="s">
        <v>5053</v>
      </c>
      <c r="C1203" t="s">
        <v>32</v>
      </c>
      <c r="D1203" t="s">
        <v>65</v>
      </c>
      <c r="E1203" t="s">
        <v>4922</v>
      </c>
      <c r="F1203" t="s">
        <v>5944</v>
      </c>
      <c r="G1203" t="s">
        <v>5945</v>
      </c>
      <c r="H1203" t="s">
        <v>5946</v>
      </c>
    </row>
    <row r="1204" spans="1:8" x14ac:dyDescent="0.25">
      <c r="A1204">
        <v>1435453</v>
      </c>
      <c r="B1204" t="s">
        <v>5053</v>
      </c>
      <c r="C1204" t="s">
        <v>32</v>
      </c>
      <c r="D1204" t="s">
        <v>65</v>
      </c>
      <c r="E1204" t="s">
        <v>5947</v>
      </c>
      <c r="F1204" t="s">
        <v>5948</v>
      </c>
      <c r="G1204" t="s">
        <v>5949</v>
      </c>
      <c r="H1204" t="s">
        <v>5950</v>
      </c>
    </row>
    <row r="1205" spans="1:8" x14ac:dyDescent="0.25">
      <c r="A1205">
        <v>1435454</v>
      </c>
      <c r="B1205" t="s">
        <v>5053</v>
      </c>
      <c r="C1205" t="s">
        <v>32</v>
      </c>
      <c r="D1205" t="s">
        <v>65</v>
      </c>
      <c r="E1205" t="s">
        <v>5947</v>
      </c>
      <c r="F1205" t="s">
        <v>5951</v>
      </c>
      <c r="G1205" t="s">
        <v>5952</v>
      </c>
      <c r="H1205" t="s">
        <v>5953</v>
      </c>
    </row>
    <row r="1206" spans="1:8" x14ac:dyDescent="0.25">
      <c r="A1206">
        <v>1435455</v>
      </c>
      <c r="B1206" t="s">
        <v>5053</v>
      </c>
      <c r="C1206" t="s">
        <v>32</v>
      </c>
      <c r="D1206" t="s">
        <v>65</v>
      </c>
      <c r="E1206" t="s">
        <v>5947</v>
      </c>
      <c r="F1206" t="s">
        <v>5954</v>
      </c>
      <c r="G1206" t="s">
        <v>5955</v>
      </c>
      <c r="H1206" t="s">
        <v>5956</v>
      </c>
    </row>
    <row r="1207" spans="1:8" x14ac:dyDescent="0.25">
      <c r="A1207">
        <v>1435456</v>
      </c>
      <c r="B1207" t="s">
        <v>5053</v>
      </c>
      <c r="C1207" t="s">
        <v>32</v>
      </c>
      <c r="D1207" t="s">
        <v>65</v>
      </c>
      <c r="E1207" t="s">
        <v>5947</v>
      </c>
      <c r="F1207" t="s">
        <v>5957</v>
      </c>
      <c r="G1207" t="s">
        <v>5958</v>
      </c>
      <c r="H1207" t="s">
        <v>5959</v>
      </c>
    </row>
    <row r="1208" spans="1:8" x14ac:dyDescent="0.25">
      <c r="A1208">
        <v>1435457</v>
      </c>
      <c r="B1208" t="s">
        <v>5053</v>
      </c>
      <c r="C1208" t="s">
        <v>32</v>
      </c>
      <c r="D1208" t="s">
        <v>65</v>
      </c>
      <c r="E1208" t="s">
        <v>5947</v>
      </c>
      <c r="F1208" t="s">
        <v>5960</v>
      </c>
      <c r="G1208" t="s">
        <v>5961</v>
      </c>
      <c r="H1208" t="s">
        <v>5962</v>
      </c>
    </row>
    <row r="1209" spans="1:8" x14ac:dyDescent="0.25">
      <c r="A1209">
        <v>1435458</v>
      </c>
      <c r="B1209" t="s">
        <v>5053</v>
      </c>
      <c r="C1209" t="s">
        <v>32</v>
      </c>
      <c r="D1209" t="s">
        <v>65</v>
      </c>
      <c r="E1209" t="s">
        <v>5947</v>
      </c>
      <c r="F1209" t="s">
        <v>5963</v>
      </c>
      <c r="G1209" t="s">
        <v>5964</v>
      </c>
      <c r="H1209" t="s">
        <v>5965</v>
      </c>
    </row>
    <row r="1210" spans="1:8" x14ac:dyDescent="0.25">
      <c r="A1210">
        <v>1435459</v>
      </c>
      <c r="B1210" t="s">
        <v>5053</v>
      </c>
      <c r="C1210" t="s">
        <v>32</v>
      </c>
      <c r="D1210" t="s">
        <v>65</v>
      </c>
      <c r="E1210" t="s">
        <v>5947</v>
      </c>
      <c r="F1210" t="s">
        <v>5966</v>
      </c>
      <c r="G1210" t="s">
        <v>5967</v>
      </c>
      <c r="H1210" t="s">
        <v>5968</v>
      </c>
    </row>
    <row r="1211" spans="1:8" x14ac:dyDescent="0.25">
      <c r="A1211">
        <v>1435460</v>
      </c>
      <c r="B1211" t="s">
        <v>5053</v>
      </c>
      <c r="C1211" t="s">
        <v>32</v>
      </c>
      <c r="D1211" t="s">
        <v>65</v>
      </c>
      <c r="E1211" t="s">
        <v>5947</v>
      </c>
      <c r="F1211" t="s">
        <v>5969</v>
      </c>
      <c r="G1211" t="s">
        <v>5970</v>
      </c>
      <c r="H1211" t="s">
        <v>5971</v>
      </c>
    </row>
    <row r="1212" spans="1:8" x14ac:dyDescent="0.25">
      <c r="A1212">
        <v>1435461</v>
      </c>
      <c r="B1212" t="s">
        <v>5053</v>
      </c>
      <c r="C1212" t="s">
        <v>32</v>
      </c>
      <c r="D1212" t="s">
        <v>65</v>
      </c>
      <c r="E1212" t="s">
        <v>5947</v>
      </c>
      <c r="F1212" t="s">
        <v>5972</v>
      </c>
      <c r="G1212" t="s">
        <v>5973</v>
      </c>
      <c r="H1212" t="s">
        <v>5974</v>
      </c>
    </row>
    <row r="1213" spans="1:8" x14ac:dyDescent="0.25">
      <c r="A1213">
        <v>1435538</v>
      </c>
      <c r="B1213" t="s">
        <v>5053</v>
      </c>
      <c r="C1213" t="s">
        <v>32</v>
      </c>
      <c r="D1213" t="s">
        <v>65</v>
      </c>
      <c r="E1213" t="s">
        <v>5947</v>
      </c>
      <c r="F1213" t="s">
        <v>5975</v>
      </c>
      <c r="G1213" t="s">
        <v>5976</v>
      </c>
      <c r="H1213" t="s">
        <v>5977</v>
      </c>
    </row>
    <row r="1214" spans="1:8" x14ac:dyDescent="0.25">
      <c r="A1214">
        <v>1444518</v>
      </c>
      <c r="B1214" t="s">
        <v>5053</v>
      </c>
      <c r="C1214" t="s">
        <v>32</v>
      </c>
      <c r="D1214" t="s">
        <v>65</v>
      </c>
      <c r="E1214" t="s">
        <v>5947</v>
      </c>
      <c r="F1214" t="s">
        <v>5978</v>
      </c>
      <c r="G1214" t="s">
        <v>5979</v>
      </c>
      <c r="H1214" t="s">
        <v>5980</v>
      </c>
    </row>
    <row r="1215" spans="1:8" x14ac:dyDescent="0.25">
      <c r="A1215">
        <v>1435089</v>
      </c>
      <c r="B1215" t="s">
        <v>5053</v>
      </c>
      <c r="C1215" t="s">
        <v>32</v>
      </c>
      <c r="D1215" t="s">
        <v>65</v>
      </c>
      <c r="E1215" t="s">
        <v>4922</v>
      </c>
      <c r="F1215" t="s">
        <v>5981</v>
      </c>
      <c r="G1215" t="s">
        <v>5982</v>
      </c>
      <c r="H1215" t="s">
        <v>5983</v>
      </c>
    </row>
    <row r="1216" spans="1:8" x14ac:dyDescent="0.25">
      <c r="A1216">
        <v>1435090</v>
      </c>
      <c r="B1216" t="s">
        <v>5053</v>
      </c>
      <c r="C1216" t="s">
        <v>32</v>
      </c>
      <c r="D1216" t="s">
        <v>65</v>
      </c>
      <c r="E1216" t="s">
        <v>4922</v>
      </c>
      <c r="F1216" t="s">
        <v>5984</v>
      </c>
      <c r="G1216" t="s">
        <v>5985</v>
      </c>
      <c r="H1216" t="s">
        <v>5986</v>
      </c>
    </row>
    <row r="1217" spans="1:8" x14ac:dyDescent="0.25">
      <c r="A1217">
        <v>1435091</v>
      </c>
      <c r="B1217" t="s">
        <v>5053</v>
      </c>
      <c r="C1217" t="s">
        <v>32</v>
      </c>
      <c r="D1217" t="s">
        <v>65</v>
      </c>
      <c r="E1217" t="s">
        <v>4922</v>
      </c>
      <c r="F1217" t="s">
        <v>5987</v>
      </c>
      <c r="G1217" t="s">
        <v>5988</v>
      </c>
      <c r="H1217" t="s">
        <v>5989</v>
      </c>
    </row>
    <row r="1218" spans="1:8" x14ac:dyDescent="0.25">
      <c r="A1218">
        <v>1435092</v>
      </c>
      <c r="B1218" t="s">
        <v>5053</v>
      </c>
      <c r="C1218" t="s">
        <v>32</v>
      </c>
      <c r="D1218" t="s">
        <v>65</v>
      </c>
      <c r="E1218" t="s">
        <v>4922</v>
      </c>
      <c r="F1218" t="s">
        <v>5990</v>
      </c>
      <c r="G1218" t="s">
        <v>5991</v>
      </c>
      <c r="H1218" t="s">
        <v>5992</v>
      </c>
    </row>
    <row r="1219" spans="1:8" x14ac:dyDescent="0.25">
      <c r="A1219">
        <v>1435093</v>
      </c>
      <c r="B1219" t="s">
        <v>5053</v>
      </c>
      <c r="C1219" t="s">
        <v>32</v>
      </c>
      <c r="D1219" t="s">
        <v>65</v>
      </c>
      <c r="E1219" t="s">
        <v>4922</v>
      </c>
      <c r="F1219" t="s">
        <v>5993</v>
      </c>
      <c r="G1219" t="s">
        <v>5994</v>
      </c>
      <c r="H1219" t="s">
        <v>5995</v>
      </c>
    </row>
    <row r="1220" spans="1:8" x14ac:dyDescent="0.25">
      <c r="A1220">
        <v>1435094</v>
      </c>
      <c r="B1220" t="s">
        <v>5053</v>
      </c>
      <c r="C1220" t="s">
        <v>32</v>
      </c>
      <c r="D1220" t="s">
        <v>65</v>
      </c>
      <c r="E1220" t="s">
        <v>4922</v>
      </c>
      <c r="F1220" t="s">
        <v>5996</v>
      </c>
      <c r="G1220" t="s">
        <v>5997</v>
      </c>
      <c r="H1220" t="s">
        <v>5998</v>
      </c>
    </row>
    <row r="1221" spans="1:8" x14ac:dyDescent="0.25">
      <c r="A1221">
        <v>1476475</v>
      </c>
      <c r="B1221" t="s">
        <v>5053</v>
      </c>
      <c r="C1221" t="s">
        <v>32</v>
      </c>
      <c r="D1221" t="s">
        <v>65</v>
      </c>
      <c r="E1221" t="s">
        <v>5622</v>
      </c>
      <c r="F1221" t="s">
        <v>5999</v>
      </c>
      <c r="G1221" t="s">
        <v>6000</v>
      </c>
      <c r="H1221" t="s">
        <v>6001</v>
      </c>
    </row>
    <row r="1222" spans="1:8" x14ac:dyDescent="0.25">
      <c r="A1222">
        <v>1391103</v>
      </c>
      <c r="B1222" t="s">
        <v>6002</v>
      </c>
      <c r="C1222" t="s">
        <v>32</v>
      </c>
      <c r="D1222" t="s">
        <v>40</v>
      </c>
      <c r="E1222" t="s">
        <v>74</v>
      </c>
      <c r="F1222" t="s">
        <v>2550</v>
      </c>
      <c r="G1222" t="s">
        <v>475</v>
      </c>
      <c r="H1222" t="s">
        <v>6003</v>
      </c>
    </row>
    <row r="1223" spans="1:8" x14ac:dyDescent="0.25">
      <c r="A1223">
        <v>1392103</v>
      </c>
      <c r="B1223" t="s">
        <v>6002</v>
      </c>
      <c r="C1223" t="s">
        <v>32</v>
      </c>
      <c r="D1223" t="s">
        <v>40</v>
      </c>
      <c r="E1223" t="s">
        <v>75</v>
      </c>
      <c r="F1223" t="s">
        <v>2246</v>
      </c>
      <c r="G1223" t="s">
        <v>6004</v>
      </c>
      <c r="H1223" t="s">
        <v>6005</v>
      </c>
    </row>
    <row r="1224" spans="1:8" x14ac:dyDescent="0.25">
      <c r="A1224">
        <v>1396979</v>
      </c>
      <c r="B1224" t="s">
        <v>6002</v>
      </c>
      <c r="C1224" t="s">
        <v>32</v>
      </c>
      <c r="D1224" t="s">
        <v>40</v>
      </c>
      <c r="E1224" t="s">
        <v>75</v>
      </c>
      <c r="F1224" t="s">
        <v>472</v>
      </c>
      <c r="G1224" t="s">
        <v>2247</v>
      </c>
      <c r="H1224" t="s">
        <v>6006</v>
      </c>
    </row>
    <row r="1225" spans="1:8" x14ac:dyDescent="0.25">
      <c r="A1225">
        <v>1400203</v>
      </c>
      <c r="B1225" t="s">
        <v>6002</v>
      </c>
      <c r="C1225" t="s">
        <v>32</v>
      </c>
      <c r="D1225" t="s">
        <v>377</v>
      </c>
      <c r="E1225" t="s">
        <v>49</v>
      </c>
      <c r="F1225" t="s">
        <v>1629</v>
      </c>
      <c r="G1225" t="s">
        <v>6007</v>
      </c>
      <c r="H1225" t="s">
        <v>6008</v>
      </c>
    </row>
    <row r="1226" spans="1:8" x14ac:dyDescent="0.25">
      <c r="A1226">
        <v>1431417</v>
      </c>
      <c r="B1226" t="s">
        <v>6002</v>
      </c>
      <c r="C1226" t="s">
        <v>32</v>
      </c>
      <c r="D1226" t="s">
        <v>40</v>
      </c>
      <c r="E1226" t="s">
        <v>349</v>
      </c>
      <c r="F1226" t="s">
        <v>6009</v>
      </c>
      <c r="G1226" t="s">
        <v>6010</v>
      </c>
      <c r="H1226" t="s">
        <v>6011</v>
      </c>
    </row>
    <row r="1227" spans="1:8" x14ac:dyDescent="0.25">
      <c r="A1227">
        <v>1431794</v>
      </c>
      <c r="B1227" t="s">
        <v>6002</v>
      </c>
      <c r="C1227" t="s">
        <v>32</v>
      </c>
      <c r="D1227" t="s">
        <v>40</v>
      </c>
      <c r="E1227" t="s">
        <v>340</v>
      </c>
      <c r="F1227" t="s">
        <v>1918</v>
      </c>
      <c r="G1227" t="s">
        <v>2249</v>
      </c>
      <c r="H1227" t="s">
        <v>6012</v>
      </c>
    </row>
    <row r="1228" spans="1:8" x14ac:dyDescent="0.25">
      <c r="A1228">
        <v>1479750</v>
      </c>
      <c r="B1228" t="s">
        <v>6002</v>
      </c>
      <c r="C1228" t="s">
        <v>32</v>
      </c>
      <c r="D1228" t="s">
        <v>41</v>
      </c>
      <c r="E1228" t="s">
        <v>3292</v>
      </c>
      <c r="F1228" t="s">
        <v>6013</v>
      </c>
      <c r="G1228" t="s">
        <v>6014</v>
      </c>
      <c r="H1228" t="s">
        <v>6015</v>
      </c>
    </row>
    <row r="1229" spans="1:8" x14ac:dyDescent="0.25">
      <c r="A1229">
        <v>1380335</v>
      </c>
      <c r="B1229" t="s">
        <v>6016</v>
      </c>
      <c r="C1229" t="s">
        <v>32</v>
      </c>
      <c r="D1229" t="s">
        <v>390</v>
      </c>
      <c r="E1229" t="s">
        <v>400</v>
      </c>
      <c r="F1229" t="s">
        <v>6017</v>
      </c>
      <c r="G1229" t="s">
        <v>6018</v>
      </c>
      <c r="H1229" t="s">
        <v>6019</v>
      </c>
    </row>
    <row r="1230" spans="1:8" x14ac:dyDescent="0.25">
      <c r="A1230">
        <v>1381114</v>
      </c>
      <c r="B1230" t="s">
        <v>6016</v>
      </c>
      <c r="C1230" t="s">
        <v>32</v>
      </c>
      <c r="D1230" t="s">
        <v>58</v>
      </c>
      <c r="E1230" t="s">
        <v>59</v>
      </c>
      <c r="F1230" t="s">
        <v>1522</v>
      </c>
      <c r="G1230" t="s">
        <v>1521</v>
      </c>
      <c r="H1230" t="s">
        <v>6020</v>
      </c>
    </row>
    <row r="1231" spans="1:8" x14ac:dyDescent="0.25">
      <c r="A1231">
        <v>1394350</v>
      </c>
      <c r="B1231" t="s">
        <v>6016</v>
      </c>
      <c r="C1231" t="s">
        <v>32</v>
      </c>
      <c r="D1231" t="s">
        <v>43</v>
      </c>
      <c r="E1231" t="s">
        <v>339</v>
      </c>
      <c r="F1231" t="s">
        <v>510</v>
      </c>
      <c r="G1231" t="s">
        <v>2037</v>
      </c>
      <c r="H1231" t="s">
        <v>6021</v>
      </c>
    </row>
    <row r="1232" spans="1:8" x14ac:dyDescent="0.25">
      <c r="A1232">
        <v>1396476</v>
      </c>
      <c r="B1232" t="s">
        <v>6016</v>
      </c>
      <c r="C1232" t="s">
        <v>32</v>
      </c>
      <c r="D1232" t="s">
        <v>53</v>
      </c>
      <c r="E1232" t="s">
        <v>99</v>
      </c>
      <c r="F1232" t="s">
        <v>6022</v>
      </c>
      <c r="G1232" t="s">
        <v>6023</v>
      </c>
      <c r="H1232" t="s">
        <v>6024</v>
      </c>
    </row>
    <row r="1233" spans="1:8" x14ac:dyDescent="0.25">
      <c r="A1233">
        <v>1396477</v>
      </c>
      <c r="B1233" t="s">
        <v>6016</v>
      </c>
      <c r="C1233" t="s">
        <v>32</v>
      </c>
      <c r="D1233" t="s">
        <v>53</v>
      </c>
      <c r="E1233" t="s">
        <v>99</v>
      </c>
      <c r="F1233" t="s">
        <v>6025</v>
      </c>
      <c r="G1233" t="s">
        <v>6026</v>
      </c>
      <c r="H1233" t="s">
        <v>6027</v>
      </c>
    </row>
    <row r="1234" spans="1:8" x14ac:dyDescent="0.25">
      <c r="A1234">
        <v>1398209</v>
      </c>
      <c r="B1234" t="s">
        <v>6016</v>
      </c>
      <c r="C1234" t="s">
        <v>32</v>
      </c>
      <c r="D1234" t="s">
        <v>53</v>
      </c>
      <c r="E1234" t="s">
        <v>264</v>
      </c>
      <c r="F1234" t="s">
        <v>2038</v>
      </c>
      <c r="G1234" t="s">
        <v>6028</v>
      </c>
      <c r="H1234" t="s">
        <v>6029</v>
      </c>
    </row>
    <row r="1235" spans="1:8" x14ac:dyDescent="0.25">
      <c r="A1235">
        <v>1433050</v>
      </c>
      <c r="B1235" t="s">
        <v>6016</v>
      </c>
      <c r="C1235" t="s">
        <v>32</v>
      </c>
      <c r="D1235" t="s">
        <v>40</v>
      </c>
      <c r="E1235" t="s">
        <v>1046</v>
      </c>
      <c r="F1235" t="s">
        <v>1110</v>
      </c>
      <c r="G1235" t="s">
        <v>1054</v>
      </c>
      <c r="H1235" t="s">
        <v>6030</v>
      </c>
    </row>
    <row r="1236" spans="1:8" x14ac:dyDescent="0.25">
      <c r="A1236">
        <v>1436419</v>
      </c>
      <c r="B1236" t="s">
        <v>6016</v>
      </c>
      <c r="C1236" t="s">
        <v>32</v>
      </c>
      <c r="D1236" t="s">
        <v>268</v>
      </c>
      <c r="E1236" t="s">
        <v>6031</v>
      </c>
      <c r="F1236" t="s">
        <v>6032</v>
      </c>
      <c r="G1236" t="s">
        <v>6033</v>
      </c>
      <c r="H1236" t="s">
        <v>6034</v>
      </c>
    </row>
    <row r="1237" spans="1:8" x14ac:dyDescent="0.25">
      <c r="A1237">
        <v>1451599</v>
      </c>
      <c r="B1237" t="s">
        <v>6016</v>
      </c>
      <c r="C1237" t="s">
        <v>32</v>
      </c>
      <c r="D1237" t="s">
        <v>44</v>
      </c>
      <c r="E1237" t="s">
        <v>45</v>
      </c>
      <c r="F1237" t="s">
        <v>2489</v>
      </c>
      <c r="G1237" t="s">
        <v>6035</v>
      </c>
      <c r="H1237" t="s">
        <v>6036</v>
      </c>
    </row>
    <row r="1238" spans="1:8" x14ac:dyDescent="0.25">
      <c r="A1238">
        <v>1453213</v>
      </c>
      <c r="B1238" t="s">
        <v>6016</v>
      </c>
      <c r="C1238" t="s">
        <v>32</v>
      </c>
      <c r="D1238" t="s">
        <v>58</v>
      </c>
      <c r="E1238" t="s">
        <v>6037</v>
      </c>
      <c r="F1238" t="s">
        <v>6038</v>
      </c>
      <c r="G1238" t="s">
        <v>6039</v>
      </c>
      <c r="H1238" t="s">
        <v>6040</v>
      </c>
    </row>
    <row r="1239" spans="1:8" x14ac:dyDescent="0.25">
      <c r="A1239">
        <v>1458747</v>
      </c>
      <c r="B1239" t="s">
        <v>6016</v>
      </c>
      <c r="C1239" t="s">
        <v>32</v>
      </c>
      <c r="D1239" t="s">
        <v>40</v>
      </c>
      <c r="E1239" t="s">
        <v>658</v>
      </c>
      <c r="F1239" t="s">
        <v>6041</v>
      </c>
      <c r="G1239" t="s">
        <v>2107</v>
      </c>
      <c r="H1239" t="s">
        <v>6042</v>
      </c>
    </row>
    <row r="1240" spans="1:8" x14ac:dyDescent="0.25">
      <c r="A1240">
        <v>1461258</v>
      </c>
      <c r="B1240" t="s">
        <v>6016</v>
      </c>
      <c r="C1240" t="s">
        <v>32</v>
      </c>
      <c r="D1240" t="s">
        <v>40</v>
      </c>
      <c r="E1240" t="s">
        <v>648</v>
      </c>
      <c r="F1240" t="s">
        <v>1019</v>
      </c>
      <c r="G1240" t="s">
        <v>6043</v>
      </c>
      <c r="H1240" t="s">
        <v>6044</v>
      </c>
    </row>
    <row r="1241" spans="1:8" x14ac:dyDescent="0.25">
      <c r="A1241">
        <v>1461867</v>
      </c>
      <c r="B1241" t="s">
        <v>6016</v>
      </c>
      <c r="C1241" t="s">
        <v>32</v>
      </c>
      <c r="D1241" t="s">
        <v>40</v>
      </c>
      <c r="E1241" t="s">
        <v>649</v>
      </c>
      <c r="F1241" t="s">
        <v>6045</v>
      </c>
      <c r="G1241" t="s">
        <v>1125</v>
      </c>
      <c r="H1241" t="s">
        <v>6046</v>
      </c>
    </row>
    <row r="1242" spans="1:8" x14ac:dyDescent="0.25">
      <c r="A1242">
        <v>1462485</v>
      </c>
      <c r="B1242" t="s">
        <v>6016</v>
      </c>
      <c r="C1242" t="s">
        <v>32</v>
      </c>
      <c r="D1242" t="s">
        <v>40</v>
      </c>
      <c r="E1242" t="s">
        <v>650</v>
      </c>
      <c r="F1242" t="s">
        <v>6047</v>
      </c>
      <c r="G1242" t="s">
        <v>6048</v>
      </c>
      <c r="H1242" t="s">
        <v>6049</v>
      </c>
    </row>
    <row r="1243" spans="1:8" x14ac:dyDescent="0.25">
      <c r="A1243">
        <v>1531507</v>
      </c>
      <c r="B1243" t="s">
        <v>6016</v>
      </c>
      <c r="C1243" t="s">
        <v>32</v>
      </c>
      <c r="D1243" t="s">
        <v>95</v>
      </c>
      <c r="E1243" t="s">
        <v>96</v>
      </c>
      <c r="F1243" t="s">
        <v>6050</v>
      </c>
      <c r="G1243" t="s">
        <v>6051</v>
      </c>
      <c r="H1243" t="s">
        <v>6052</v>
      </c>
    </row>
    <row r="1244" spans="1:8" x14ac:dyDescent="0.25">
      <c r="A1244">
        <v>1534657</v>
      </c>
      <c r="B1244" t="s">
        <v>6016</v>
      </c>
      <c r="C1244" t="s">
        <v>32</v>
      </c>
      <c r="D1244" t="s">
        <v>407</v>
      </c>
      <c r="E1244" t="s">
        <v>47</v>
      </c>
      <c r="F1244" t="s">
        <v>2500</v>
      </c>
      <c r="G1244" t="s">
        <v>6053</v>
      </c>
      <c r="H1244" t="s">
        <v>6054</v>
      </c>
    </row>
    <row r="1245" spans="1:8" x14ac:dyDescent="0.25">
      <c r="A1245">
        <v>1526457</v>
      </c>
      <c r="B1245" t="s">
        <v>6055</v>
      </c>
      <c r="C1245" t="s">
        <v>32</v>
      </c>
      <c r="D1245" t="s">
        <v>553</v>
      </c>
      <c r="E1245" t="s">
        <v>49</v>
      </c>
      <c r="F1245" t="s">
        <v>6056</v>
      </c>
      <c r="G1245" t="s">
        <v>6057</v>
      </c>
      <c r="H1245" t="s">
        <v>6058</v>
      </c>
    </row>
    <row r="1246" spans="1:8" x14ac:dyDescent="0.25">
      <c r="A1246">
        <v>1384363</v>
      </c>
      <c r="B1246" t="s">
        <v>6059</v>
      </c>
      <c r="C1246" t="s">
        <v>2909</v>
      </c>
      <c r="D1246" t="s">
        <v>267</v>
      </c>
      <c r="E1246" t="s">
        <v>659</v>
      </c>
      <c r="F1246" t="s">
        <v>6060</v>
      </c>
      <c r="G1246" t="s">
        <v>2172</v>
      </c>
      <c r="H1246" t="s">
        <v>6061</v>
      </c>
    </row>
    <row r="1247" spans="1:8" x14ac:dyDescent="0.25">
      <c r="A1247">
        <v>1385114</v>
      </c>
      <c r="B1247" t="s">
        <v>6059</v>
      </c>
      <c r="C1247" t="s">
        <v>32</v>
      </c>
      <c r="D1247" t="s">
        <v>63</v>
      </c>
      <c r="E1247" t="s">
        <v>265</v>
      </c>
      <c r="F1247" t="s">
        <v>2209</v>
      </c>
      <c r="G1247" t="s">
        <v>1829</v>
      </c>
      <c r="H1247" t="s">
        <v>6062</v>
      </c>
    </row>
    <row r="1248" spans="1:8" x14ac:dyDescent="0.25">
      <c r="A1248">
        <v>1387940</v>
      </c>
      <c r="B1248" t="s">
        <v>6059</v>
      </c>
      <c r="C1248" t="s">
        <v>32</v>
      </c>
      <c r="D1248" t="s">
        <v>89</v>
      </c>
      <c r="E1248" t="s">
        <v>47</v>
      </c>
      <c r="F1248" t="s">
        <v>6063</v>
      </c>
      <c r="G1248" t="s">
        <v>2162</v>
      </c>
      <c r="H1248" t="s">
        <v>6064</v>
      </c>
    </row>
    <row r="1249" spans="1:8" x14ac:dyDescent="0.25">
      <c r="A1249">
        <v>1391577</v>
      </c>
      <c r="B1249" t="s">
        <v>6059</v>
      </c>
      <c r="C1249" t="s">
        <v>34</v>
      </c>
      <c r="D1249" t="s">
        <v>319</v>
      </c>
      <c r="E1249" t="s">
        <v>49</v>
      </c>
      <c r="F1249" t="s">
        <v>1022</v>
      </c>
      <c r="G1249" t="s">
        <v>6065</v>
      </c>
      <c r="H1249" t="s">
        <v>6066</v>
      </c>
    </row>
    <row r="1250" spans="1:8" x14ac:dyDescent="0.25">
      <c r="A1250">
        <v>1396627</v>
      </c>
      <c r="B1250" t="s">
        <v>6059</v>
      </c>
      <c r="C1250" t="s">
        <v>32</v>
      </c>
      <c r="D1250" t="s">
        <v>332</v>
      </c>
      <c r="E1250" t="s">
        <v>6067</v>
      </c>
      <c r="F1250" t="s">
        <v>6068</v>
      </c>
      <c r="G1250" t="s">
        <v>6069</v>
      </c>
      <c r="H1250" t="s">
        <v>6070</v>
      </c>
    </row>
    <row r="1251" spans="1:8" x14ac:dyDescent="0.25">
      <c r="A1251">
        <v>1398633</v>
      </c>
      <c r="B1251" t="s">
        <v>6059</v>
      </c>
      <c r="C1251" t="s">
        <v>32</v>
      </c>
      <c r="D1251" t="s">
        <v>42</v>
      </c>
      <c r="E1251" t="s">
        <v>50</v>
      </c>
      <c r="F1251" t="s">
        <v>6071</v>
      </c>
      <c r="G1251" t="s">
        <v>6072</v>
      </c>
      <c r="H1251" t="s">
        <v>6073</v>
      </c>
    </row>
    <row r="1252" spans="1:8" x14ac:dyDescent="0.25">
      <c r="A1252">
        <v>1412866</v>
      </c>
      <c r="B1252" t="s">
        <v>6059</v>
      </c>
      <c r="C1252" t="s">
        <v>32</v>
      </c>
      <c r="D1252" t="s">
        <v>43</v>
      </c>
      <c r="E1252" t="s">
        <v>606</v>
      </c>
      <c r="F1252" t="s">
        <v>6074</v>
      </c>
      <c r="G1252" t="s">
        <v>1665</v>
      </c>
      <c r="H1252" t="s">
        <v>6075</v>
      </c>
    </row>
    <row r="1253" spans="1:8" x14ac:dyDescent="0.25">
      <c r="A1253">
        <v>1418052</v>
      </c>
      <c r="B1253" t="s">
        <v>6059</v>
      </c>
      <c r="C1253" t="s">
        <v>32</v>
      </c>
      <c r="D1253" t="s">
        <v>332</v>
      </c>
      <c r="E1253" t="s">
        <v>4222</v>
      </c>
      <c r="F1253" t="s">
        <v>6076</v>
      </c>
      <c r="G1253" t="s">
        <v>6077</v>
      </c>
      <c r="H1253" t="s">
        <v>6078</v>
      </c>
    </row>
    <row r="1254" spans="1:8" x14ac:dyDescent="0.25">
      <c r="A1254">
        <v>1418653</v>
      </c>
      <c r="B1254" t="s">
        <v>6059</v>
      </c>
      <c r="C1254" t="s">
        <v>32</v>
      </c>
      <c r="D1254" t="s">
        <v>80</v>
      </c>
      <c r="E1254" t="s">
        <v>626</v>
      </c>
      <c r="F1254" t="s">
        <v>6079</v>
      </c>
      <c r="G1254" t="s">
        <v>6080</v>
      </c>
      <c r="H1254" t="s">
        <v>6081</v>
      </c>
    </row>
    <row r="1255" spans="1:8" x14ac:dyDescent="0.25">
      <c r="A1255">
        <v>1427571</v>
      </c>
      <c r="B1255" t="s">
        <v>6059</v>
      </c>
      <c r="C1255" t="s">
        <v>32</v>
      </c>
      <c r="D1255" t="s">
        <v>80</v>
      </c>
      <c r="E1255" t="s">
        <v>607</v>
      </c>
      <c r="F1255" t="s">
        <v>6082</v>
      </c>
      <c r="G1255" t="s">
        <v>6083</v>
      </c>
      <c r="H1255" t="s">
        <v>6084</v>
      </c>
    </row>
    <row r="1256" spans="1:8" x14ac:dyDescent="0.25">
      <c r="A1256">
        <v>1429644</v>
      </c>
      <c r="B1256" t="s">
        <v>6059</v>
      </c>
      <c r="C1256" t="s">
        <v>32</v>
      </c>
      <c r="D1256" t="s">
        <v>37</v>
      </c>
      <c r="E1256" t="s">
        <v>238</v>
      </c>
      <c r="F1256" t="s">
        <v>6085</v>
      </c>
      <c r="G1256" t="s">
        <v>6086</v>
      </c>
      <c r="H1256" t="s">
        <v>6087</v>
      </c>
    </row>
    <row r="1257" spans="1:8" x14ac:dyDescent="0.25">
      <c r="A1257">
        <v>1430337</v>
      </c>
      <c r="B1257" t="s">
        <v>6059</v>
      </c>
      <c r="C1257" t="s">
        <v>32</v>
      </c>
      <c r="D1257" t="s">
        <v>80</v>
      </c>
      <c r="E1257" t="s">
        <v>628</v>
      </c>
      <c r="F1257" t="s">
        <v>6088</v>
      </c>
      <c r="G1257" t="s">
        <v>6089</v>
      </c>
      <c r="H1257" t="s">
        <v>6090</v>
      </c>
    </row>
    <row r="1258" spans="1:8" x14ac:dyDescent="0.25">
      <c r="A1258">
        <v>1430342</v>
      </c>
      <c r="B1258" t="s">
        <v>6059</v>
      </c>
      <c r="C1258" t="s">
        <v>32</v>
      </c>
      <c r="D1258" t="s">
        <v>80</v>
      </c>
      <c r="E1258" t="s">
        <v>628</v>
      </c>
      <c r="F1258" t="s">
        <v>6091</v>
      </c>
      <c r="G1258" t="s">
        <v>1545</v>
      </c>
      <c r="H1258" t="s">
        <v>6092</v>
      </c>
    </row>
    <row r="1259" spans="1:8" x14ac:dyDescent="0.25">
      <c r="A1259">
        <v>1430546</v>
      </c>
      <c r="B1259" t="s">
        <v>6059</v>
      </c>
      <c r="C1259" t="s">
        <v>32</v>
      </c>
      <c r="D1259" t="s">
        <v>80</v>
      </c>
      <c r="E1259" t="s">
        <v>629</v>
      </c>
      <c r="F1259" t="s">
        <v>6093</v>
      </c>
      <c r="G1259" t="s">
        <v>6094</v>
      </c>
      <c r="H1259" t="s">
        <v>6095</v>
      </c>
    </row>
    <row r="1260" spans="1:8" x14ac:dyDescent="0.25">
      <c r="A1260">
        <v>1432132</v>
      </c>
      <c r="B1260" t="s">
        <v>6059</v>
      </c>
      <c r="C1260" t="s">
        <v>32</v>
      </c>
      <c r="D1260" t="s">
        <v>40</v>
      </c>
      <c r="E1260" t="s">
        <v>660</v>
      </c>
      <c r="F1260" t="s">
        <v>6096</v>
      </c>
      <c r="G1260" t="s">
        <v>1921</v>
      </c>
      <c r="H1260" t="s">
        <v>6097</v>
      </c>
    </row>
    <row r="1261" spans="1:8" x14ac:dyDescent="0.25">
      <c r="A1261">
        <v>1433363</v>
      </c>
      <c r="B1261" t="s">
        <v>6059</v>
      </c>
      <c r="C1261" t="s">
        <v>32</v>
      </c>
      <c r="D1261" t="s">
        <v>40</v>
      </c>
      <c r="E1261" t="s">
        <v>661</v>
      </c>
      <c r="F1261" t="s">
        <v>6098</v>
      </c>
      <c r="G1261" t="s">
        <v>1058</v>
      </c>
      <c r="H1261" t="s">
        <v>6099</v>
      </c>
    </row>
    <row r="1262" spans="1:8" x14ac:dyDescent="0.25">
      <c r="A1262">
        <v>1445579</v>
      </c>
      <c r="B1262" t="s">
        <v>6059</v>
      </c>
      <c r="C1262" t="s">
        <v>32</v>
      </c>
      <c r="D1262" t="s">
        <v>18</v>
      </c>
      <c r="E1262" t="s">
        <v>19</v>
      </c>
      <c r="F1262" t="s">
        <v>6100</v>
      </c>
      <c r="G1262" t="s">
        <v>701</v>
      </c>
      <c r="H1262" t="s">
        <v>6101</v>
      </c>
    </row>
    <row r="1263" spans="1:8" x14ac:dyDescent="0.25">
      <c r="A1263">
        <v>1452749</v>
      </c>
      <c r="B1263" t="s">
        <v>6059</v>
      </c>
      <c r="C1263" t="s">
        <v>32</v>
      </c>
      <c r="D1263" t="s">
        <v>40</v>
      </c>
      <c r="E1263" t="s">
        <v>997</v>
      </c>
      <c r="F1263" t="s">
        <v>1070</v>
      </c>
      <c r="G1263" t="s">
        <v>2100</v>
      </c>
      <c r="H1263" t="s">
        <v>6102</v>
      </c>
    </row>
    <row r="1264" spans="1:8" x14ac:dyDescent="0.25">
      <c r="A1264">
        <v>1457042</v>
      </c>
      <c r="B1264" t="s">
        <v>6059</v>
      </c>
      <c r="C1264" t="s">
        <v>32</v>
      </c>
      <c r="D1264" t="s">
        <v>18</v>
      </c>
      <c r="E1264" t="s">
        <v>19</v>
      </c>
      <c r="F1264" t="s">
        <v>6103</v>
      </c>
      <c r="G1264" t="s">
        <v>6104</v>
      </c>
      <c r="H1264" t="s">
        <v>6105</v>
      </c>
    </row>
    <row r="1265" spans="1:8" x14ac:dyDescent="0.25">
      <c r="A1265">
        <v>1457191</v>
      </c>
      <c r="B1265" t="s">
        <v>6059</v>
      </c>
      <c r="C1265" t="s">
        <v>32</v>
      </c>
      <c r="D1265" t="s">
        <v>18</v>
      </c>
      <c r="E1265" t="s">
        <v>19</v>
      </c>
      <c r="F1265" t="s">
        <v>6106</v>
      </c>
      <c r="G1265" t="s">
        <v>6107</v>
      </c>
      <c r="H1265" t="s">
        <v>6108</v>
      </c>
    </row>
    <row r="1266" spans="1:8" x14ac:dyDescent="0.25">
      <c r="A1266">
        <v>1458751</v>
      </c>
      <c r="B1266" t="s">
        <v>6059</v>
      </c>
      <c r="C1266" t="s">
        <v>32</v>
      </c>
      <c r="D1266" t="s">
        <v>40</v>
      </c>
      <c r="E1266" t="s">
        <v>658</v>
      </c>
      <c r="F1266" t="s">
        <v>6109</v>
      </c>
      <c r="G1266" t="s">
        <v>2106</v>
      </c>
      <c r="H1266" t="s">
        <v>6110</v>
      </c>
    </row>
    <row r="1267" spans="1:8" x14ac:dyDescent="0.25">
      <c r="A1267">
        <v>1459053</v>
      </c>
      <c r="B1267" t="s">
        <v>6059</v>
      </c>
      <c r="C1267" t="s">
        <v>32</v>
      </c>
      <c r="D1267" t="s">
        <v>40</v>
      </c>
      <c r="E1267" t="s">
        <v>639</v>
      </c>
      <c r="F1267" t="s">
        <v>6111</v>
      </c>
      <c r="G1267" t="s">
        <v>6112</v>
      </c>
      <c r="H1267" t="s">
        <v>6113</v>
      </c>
    </row>
    <row r="1268" spans="1:8" x14ac:dyDescent="0.25">
      <c r="A1268">
        <v>1460341</v>
      </c>
      <c r="B1268" t="s">
        <v>6059</v>
      </c>
      <c r="C1268" t="s">
        <v>32</v>
      </c>
      <c r="D1268" t="s">
        <v>40</v>
      </c>
      <c r="E1268" t="s">
        <v>647</v>
      </c>
      <c r="F1268" t="s">
        <v>1253</v>
      </c>
      <c r="G1268" t="s">
        <v>6114</v>
      </c>
      <c r="H1268" t="s">
        <v>6115</v>
      </c>
    </row>
    <row r="1269" spans="1:8" x14ac:dyDescent="0.25">
      <c r="A1269">
        <v>1460344</v>
      </c>
      <c r="B1269" t="s">
        <v>6059</v>
      </c>
      <c r="C1269" t="s">
        <v>32</v>
      </c>
      <c r="D1269" t="s">
        <v>40</v>
      </c>
      <c r="E1269" t="s">
        <v>647</v>
      </c>
      <c r="F1269" t="s">
        <v>6116</v>
      </c>
      <c r="G1269" t="s">
        <v>1254</v>
      </c>
      <c r="H1269" t="s">
        <v>6117</v>
      </c>
    </row>
    <row r="1270" spans="1:8" x14ac:dyDescent="0.25">
      <c r="A1270">
        <v>1460346</v>
      </c>
      <c r="B1270" t="s">
        <v>6059</v>
      </c>
      <c r="C1270" t="s">
        <v>32</v>
      </c>
      <c r="D1270" t="s">
        <v>40</v>
      </c>
      <c r="E1270" t="s">
        <v>647</v>
      </c>
      <c r="F1270" t="s">
        <v>2116</v>
      </c>
      <c r="G1270" t="s">
        <v>6118</v>
      </c>
      <c r="H1270" t="s">
        <v>6119</v>
      </c>
    </row>
    <row r="1271" spans="1:8" x14ac:dyDescent="0.25">
      <c r="A1271">
        <v>1460348</v>
      </c>
      <c r="B1271" t="s">
        <v>6059</v>
      </c>
      <c r="C1271" t="s">
        <v>32</v>
      </c>
      <c r="D1271" t="s">
        <v>40</v>
      </c>
      <c r="E1271" t="s">
        <v>647</v>
      </c>
      <c r="F1271" t="s">
        <v>6120</v>
      </c>
      <c r="G1271" t="s">
        <v>1103</v>
      </c>
      <c r="H1271" t="s">
        <v>6121</v>
      </c>
    </row>
    <row r="1272" spans="1:8" x14ac:dyDescent="0.25">
      <c r="A1272">
        <v>1461264</v>
      </c>
      <c r="B1272" t="s">
        <v>6059</v>
      </c>
      <c r="C1272" t="s">
        <v>32</v>
      </c>
      <c r="D1272" t="s">
        <v>40</v>
      </c>
      <c r="E1272" t="s">
        <v>648</v>
      </c>
      <c r="F1272" t="s">
        <v>1018</v>
      </c>
      <c r="G1272" t="s">
        <v>1118</v>
      </c>
      <c r="H1272" t="s">
        <v>6122</v>
      </c>
    </row>
    <row r="1273" spans="1:8" x14ac:dyDescent="0.25">
      <c r="A1273">
        <v>1462481</v>
      </c>
      <c r="B1273" t="s">
        <v>6059</v>
      </c>
      <c r="C1273" t="s">
        <v>32</v>
      </c>
      <c r="D1273" t="s">
        <v>40</v>
      </c>
      <c r="E1273" t="s">
        <v>650</v>
      </c>
      <c r="F1273" t="s">
        <v>6123</v>
      </c>
      <c r="G1273" t="s">
        <v>2050</v>
      </c>
      <c r="H1273" t="s">
        <v>6124</v>
      </c>
    </row>
    <row r="1274" spans="1:8" x14ac:dyDescent="0.25">
      <c r="A1274">
        <v>1462789</v>
      </c>
      <c r="B1274" t="s">
        <v>6059</v>
      </c>
      <c r="C1274" t="s">
        <v>32</v>
      </c>
      <c r="D1274" t="s">
        <v>40</v>
      </c>
      <c r="E1274" t="s">
        <v>667</v>
      </c>
      <c r="F1274" t="s">
        <v>1137</v>
      </c>
      <c r="G1274" t="s">
        <v>2129</v>
      </c>
      <c r="H1274" t="s">
        <v>6125</v>
      </c>
    </row>
    <row r="1275" spans="1:8" x14ac:dyDescent="0.25">
      <c r="A1275">
        <v>1463084</v>
      </c>
      <c r="B1275" t="s">
        <v>6059</v>
      </c>
      <c r="C1275" t="s">
        <v>32</v>
      </c>
      <c r="D1275" t="s">
        <v>40</v>
      </c>
      <c r="E1275" t="s">
        <v>651</v>
      </c>
      <c r="F1275" t="s">
        <v>2136</v>
      </c>
      <c r="G1275" t="s">
        <v>2052</v>
      </c>
      <c r="H1275" t="s">
        <v>6126</v>
      </c>
    </row>
    <row r="1276" spans="1:8" x14ac:dyDescent="0.25">
      <c r="A1276">
        <v>1463392</v>
      </c>
      <c r="B1276" t="s">
        <v>6059</v>
      </c>
      <c r="C1276" t="s">
        <v>32</v>
      </c>
      <c r="D1276" t="s">
        <v>40</v>
      </c>
      <c r="E1276" t="s">
        <v>652</v>
      </c>
      <c r="F1276" t="s">
        <v>6127</v>
      </c>
      <c r="G1276" t="s">
        <v>1141</v>
      </c>
      <c r="H1276" t="s">
        <v>6128</v>
      </c>
    </row>
    <row r="1277" spans="1:8" x14ac:dyDescent="0.25">
      <c r="A1277">
        <v>1465054</v>
      </c>
      <c r="B1277" t="s">
        <v>6059</v>
      </c>
      <c r="C1277" t="s">
        <v>32</v>
      </c>
      <c r="D1277" t="s">
        <v>332</v>
      </c>
      <c r="E1277" t="s">
        <v>4685</v>
      </c>
      <c r="F1277" t="s">
        <v>6129</v>
      </c>
      <c r="G1277" t="s">
        <v>6130</v>
      </c>
      <c r="H1277" t="s">
        <v>6131</v>
      </c>
    </row>
    <row r="1278" spans="1:8" x14ac:dyDescent="0.25">
      <c r="A1278">
        <v>1469476</v>
      </c>
      <c r="B1278" t="s">
        <v>6059</v>
      </c>
      <c r="C1278" t="s">
        <v>32</v>
      </c>
      <c r="D1278" t="s">
        <v>2141</v>
      </c>
      <c r="E1278" t="s">
        <v>47</v>
      </c>
      <c r="F1278" t="s">
        <v>2495</v>
      </c>
      <c r="G1278" t="s">
        <v>2497</v>
      </c>
      <c r="H1278" t="s">
        <v>6132</v>
      </c>
    </row>
    <row r="1279" spans="1:8" x14ac:dyDescent="0.25">
      <c r="A1279">
        <v>1469477</v>
      </c>
      <c r="B1279" t="s">
        <v>6059</v>
      </c>
      <c r="C1279" t="s">
        <v>32</v>
      </c>
      <c r="D1279" t="s">
        <v>2141</v>
      </c>
      <c r="E1279" t="s">
        <v>47</v>
      </c>
      <c r="F1279" t="s">
        <v>2490</v>
      </c>
      <c r="G1279" t="s">
        <v>2492</v>
      </c>
      <c r="H1279" t="s">
        <v>6133</v>
      </c>
    </row>
    <row r="1280" spans="1:8" x14ac:dyDescent="0.25">
      <c r="A1280">
        <v>1469478</v>
      </c>
      <c r="B1280" t="s">
        <v>6059</v>
      </c>
      <c r="C1280" t="s">
        <v>32</v>
      </c>
      <c r="D1280" t="s">
        <v>2141</v>
      </c>
      <c r="E1280" t="s">
        <v>47</v>
      </c>
      <c r="F1280" t="s">
        <v>6134</v>
      </c>
      <c r="G1280" t="s">
        <v>2498</v>
      </c>
      <c r="H1280" t="s">
        <v>6135</v>
      </c>
    </row>
    <row r="1281" spans="1:8" x14ac:dyDescent="0.25">
      <c r="A1281">
        <v>1469922</v>
      </c>
      <c r="B1281" t="s">
        <v>6059</v>
      </c>
      <c r="C1281" t="s">
        <v>32</v>
      </c>
      <c r="D1281" t="s">
        <v>2141</v>
      </c>
      <c r="E1281" t="s">
        <v>47</v>
      </c>
      <c r="F1281" t="s">
        <v>6136</v>
      </c>
      <c r="G1281" t="s">
        <v>1185</v>
      </c>
      <c r="H1281" t="s">
        <v>6137</v>
      </c>
    </row>
    <row r="1282" spans="1:8" x14ac:dyDescent="0.25">
      <c r="A1282">
        <v>1469923</v>
      </c>
      <c r="B1282" t="s">
        <v>6059</v>
      </c>
      <c r="C1282" t="s">
        <v>32</v>
      </c>
      <c r="D1282" t="s">
        <v>2141</v>
      </c>
      <c r="E1282" t="s">
        <v>47</v>
      </c>
      <c r="F1282" t="s">
        <v>2142</v>
      </c>
      <c r="G1282" t="s">
        <v>2491</v>
      </c>
      <c r="H1282" t="s">
        <v>6138</v>
      </c>
    </row>
    <row r="1283" spans="1:8" x14ac:dyDescent="0.25">
      <c r="A1283">
        <v>1490012</v>
      </c>
      <c r="B1283" t="s">
        <v>6059</v>
      </c>
      <c r="C1283" t="s">
        <v>32</v>
      </c>
      <c r="D1283" t="s">
        <v>381</v>
      </c>
      <c r="E1283" t="s">
        <v>575</v>
      </c>
      <c r="F1283" t="s">
        <v>6139</v>
      </c>
      <c r="G1283" t="s">
        <v>6140</v>
      </c>
      <c r="H1283" t="s">
        <v>6141</v>
      </c>
    </row>
    <row r="1284" spans="1:8" x14ac:dyDescent="0.25">
      <c r="A1284">
        <v>1494609</v>
      </c>
      <c r="B1284" t="s">
        <v>6059</v>
      </c>
      <c r="C1284" t="s">
        <v>34</v>
      </c>
      <c r="D1284" t="s">
        <v>85</v>
      </c>
      <c r="E1284" t="s">
        <v>5853</v>
      </c>
      <c r="F1284" t="s">
        <v>6142</v>
      </c>
      <c r="G1284" t="s">
        <v>6143</v>
      </c>
      <c r="H1284" t="s">
        <v>6144</v>
      </c>
    </row>
    <row r="1285" spans="1:8" x14ac:dyDescent="0.25">
      <c r="A1285">
        <v>1494611</v>
      </c>
      <c r="B1285" t="s">
        <v>6059</v>
      </c>
      <c r="C1285" t="s">
        <v>34</v>
      </c>
      <c r="D1285" t="s">
        <v>85</v>
      </c>
      <c r="E1285" t="s">
        <v>5853</v>
      </c>
      <c r="F1285" t="s">
        <v>6145</v>
      </c>
      <c r="G1285" t="s">
        <v>6146</v>
      </c>
      <c r="H1285" t="s">
        <v>6147</v>
      </c>
    </row>
    <row r="1286" spans="1:8" x14ac:dyDescent="0.25">
      <c r="A1286">
        <v>1497766</v>
      </c>
      <c r="B1286" t="s">
        <v>6059</v>
      </c>
      <c r="C1286" t="s">
        <v>32</v>
      </c>
      <c r="D1286" t="s">
        <v>493</v>
      </c>
      <c r="E1286" t="s">
        <v>265</v>
      </c>
      <c r="F1286" t="s">
        <v>1459</v>
      </c>
      <c r="G1286" t="s">
        <v>6148</v>
      </c>
      <c r="H1286" t="s">
        <v>6149</v>
      </c>
    </row>
    <row r="1287" spans="1:8" x14ac:dyDescent="0.25">
      <c r="A1287">
        <v>1506832</v>
      </c>
      <c r="B1287" t="s">
        <v>6059</v>
      </c>
      <c r="C1287" t="s">
        <v>32</v>
      </c>
      <c r="D1287" t="s">
        <v>53</v>
      </c>
      <c r="E1287" t="s">
        <v>5872</v>
      </c>
      <c r="F1287" t="s">
        <v>6150</v>
      </c>
      <c r="G1287" t="s">
        <v>6151</v>
      </c>
      <c r="H1287" t="s">
        <v>6152</v>
      </c>
    </row>
    <row r="1288" spans="1:8" x14ac:dyDescent="0.25">
      <c r="A1288">
        <v>1512550</v>
      </c>
      <c r="B1288" t="s">
        <v>6059</v>
      </c>
      <c r="C1288" t="s">
        <v>32</v>
      </c>
      <c r="D1288" t="s">
        <v>370</v>
      </c>
      <c r="E1288" t="s">
        <v>27</v>
      </c>
      <c r="F1288" t="s">
        <v>6153</v>
      </c>
      <c r="G1288" t="s">
        <v>711</v>
      </c>
      <c r="H1288" t="s">
        <v>6154</v>
      </c>
    </row>
    <row r="1289" spans="1:8" x14ac:dyDescent="0.25">
      <c r="A1289">
        <v>1515787</v>
      </c>
      <c r="B1289" t="s">
        <v>6059</v>
      </c>
      <c r="C1289" t="s">
        <v>32</v>
      </c>
      <c r="D1289" t="s">
        <v>544</v>
      </c>
      <c r="E1289" t="s">
        <v>545</v>
      </c>
      <c r="F1289" t="s">
        <v>1271</v>
      </c>
      <c r="G1289" t="s">
        <v>6155</v>
      </c>
      <c r="H1289" t="s">
        <v>6156</v>
      </c>
    </row>
    <row r="1290" spans="1:8" x14ac:dyDescent="0.25">
      <c r="A1290">
        <v>1524413</v>
      </c>
      <c r="B1290" t="s">
        <v>6059</v>
      </c>
      <c r="C1290" t="s">
        <v>32</v>
      </c>
      <c r="D1290" t="s">
        <v>21</v>
      </c>
      <c r="E1290" t="s">
        <v>6157</v>
      </c>
      <c r="F1290" t="s">
        <v>2536</v>
      </c>
      <c r="G1290" t="s">
        <v>6158</v>
      </c>
      <c r="H1290" t="s">
        <v>6159</v>
      </c>
    </row>
    <row r="1291" spans="1:8" x14ac:dyDescent="0.25">
      <c r="A1291">
        <v>1529151</v>
      </c>
      <c r="B1291" t="s">
        <v>6059</v>
      </c>
      <c r="C1291" t="s">
        <v>32</v>
      </c>
      <c r="D1291" t="s">
        <v>585</v>
      </c>
      <c r="E1291" t="s">
        <v>3517</v>
      </c>
      <c r="F1291" t="s">
        <v>6160</v>
      </c>
      <c r="G1291" t="s">
        <v>6161</v>
      </c>
      <c r="H1291" t="s">
        <v>6162</v>
      </c>
    </row>
    <row r="1292" spans="1:8" x14ac:dyDescent="0.25">
      <c r="A1292">
        <v>1529487</v>
      </c>
      <c r="B1292" t="s">
        <v>6059</v>
      </c>
      <c r="C1292" t="s">
        <v>32</v>
      </c>
      <c r="D1292" t="s">
        <v>544</v>
      </c>
      <c r="E1292" t="s">
        <v>4863</v>
      </c>
      <c r="F1292" t="s">
        <v>6163</v>
      </c>
      <c r="G1292" t="s">
        <v>6164</v>
      </c>
      <c r="H1292" t="s">
        <v>6165</v>
      </c>
    </row>
    <row r="1293" spans="1:8" x14ac:dyDescent="0.25">
      <c r="A1293">
        <v>1531260</v>
      </c>
      <c r="B1293" t="s">
        <v>6059</v>
      </c>
      <c r="C1293" t="s">
        <v>32</v>
      </c>
      <c r="D1293" t="s">
        <v>332</v>
      </c>
      <c r="E1293" t="s">
        <v>347</v>
      </c>
      <c r="F1293" t="s">
        <v>2071</v>
      </c>
      <c r="G1293" t="s">
        <v>2074</v>
      </c>
      <c r="H1293" t="s">
        <v>6166</v>
      </c>
    </row>
    <row r="1294" spans="1:8" x14ac:dyDescent="0.25">
      <c r="A1294">
        <v>1531261</v>
      </c>
      <c r="B1294" t="s">
        <v>6059</v>
      </c>
      <c r="C1294" t="s">
        <v>32</v>
      </c>
      <c r="D1294" t="s">
        <v>332</v>
      </c>
      <c r="E1294" t="s">
        <v>347</v>
      </c>
      <c r="F1294" t="s">
        <v>2072</v>
      </c>
      <c r="G1294" t="s">
        <v>2073</v>
      </c>
      <c r="H1294" t="s">
        <v>6167</v>
      </c>
    </row>
    <row r="1295" spans="1:8" x14ac:dyDescent="0.25">
      <c r="A1295">
        <v>1531262</v>
      </c>
      <c r="B1295" t="s">
        <v>6059</v>
      </c>
      <c r="C1295" t="s">
        <v>32</v>
      </c>
      <c r="D1295" t="s">
        <v>332</v>
      </c>
      <c r="E1295" t="s">
        <v>347</v>
      </c>
      <c r="F1295" t="s">
        <v>2068</v>
      </c>
      <c r="G1295" t="s">
        <v>2077</v>
      </c>
      <c r="H1295" t="s">
        <v>6168</v>
      </c>
    </row>
    <row r="1296" spans="1:8" x14ac:dyDescent="0.25">
      <c r="A1296">
        <v>1531604</v>
      </c>
      <c r="B1296" t="s">
        <v>6059</v>
      </c>
      <c r="C1296" t="s">
        <v>32</v>
      </c>
      <c r="D1296" t="s">
        <v>90</v>
      </c>
      <c r="E1296" t="s">
        <v>55</v>
      </c>
      <c r="F1296" t="s">
        <v>6169</v>
      </c>
      <c r="G1296" t="s">
        <v>6170</v>
      </c>
      <c r="H1296" t="s">
        <v>6171</v>
      </c>
    </row>
    <row r="1297" spans="1:8" x14ac:dyDescent="0.25">
      <c r="A1297">
        <v>1531921</v>
      </c>
      <c r="B1297" t="s">
        <v>6059</v>
      </c>
      <c r="C1297" t="s">
        <v>32</v>
      </c>
      <c r="D1297" t="s">
        <v>72</v>
      </c>
      <c r="E1297" t="s">
        <v>73</v>
      </c>
      <c r="F1297" t="s">
        <v>528</v>
      </c>
      <c r="G1297" t="s">
        <v>2425</v>
      </c>
      <c r="H1297" t="s">
        <v>6172</v>
      </c>
    </row>
    <row r="1298" spans="1:8" x14ac:dyDescent="0.25">
      <c r="A1298">
        <v>1534658</v>
      </c>
      <c r="B1298" t="s">
        <v>6059</v>
      </c>
      <c r="C1298" t="s">
        <v>32</v>
      </c>
      <c r="D1298" t="s">
        <v>407</v>
      </c>
      <c r="E1298" t="s">
        <v>47</v>
      </c>
      <c r="F1298" t="s">
        <v>6173</v>
      </c>
      <c r="G1298" t="s">
        <v>2499</v>
      </c>
      <c r="H1298" t="s">
        <v>6174</v>
      </c>
    </row>
    <row r="1299" spans="1:8" x14ac:dyDescent="0.25">
      <c r="A1299">
        <v>1535817</v>
      </c>
      <c r="B1299" t="s">
        <v>6059</v>
      </c>
      <c r="C1299" t="s">
        <v>32</v>
      </c>
      <c r="D1299" t="s">
        <v>6175</v>
      </c>
      <c r="E1299" t="s">
        <v>6176</v>
      </c>
      <c r="F1299" t="s">
        <v>6177</v>
      </c>
      <c r="G1299" t="s">
        <v>6178</v>
      </c>
      <c r="H1299" t="s">
        <v>6179</v>
      </c>
    </row>
    <row r="1300" spans="1:8" x14ac:dyDescent="0.25">
      <c r="A1300">
        <v>1535818</v>
      </c>
      <c r="B1300" t="s">
        <v>6059</v>
      </c>
      <c r="C1300" t="s">
        <v>32</v>
      </c>
      <c r="D1300" t="s">
        <v>6175</v>
      </c>
      <c r="E1300" t="s">
        <v>6176</v>
      </c>
      <c r="F1300" t="s">
        <v>6180</v>
      </c>
      <c r="G1300" t="s">
        <v>6181</v>
      </c>
      <c r="H1300" t="s">
        <v>6182</v>
      </c>
    </row>
    <row r="1301" spans="1:8" x14ac:dyDescent="0.25">
      <c r="A1301">
        <v>1535819</v>
      </c>
      <c r="B1301" t="s">
        <v>6059</v>
      </c>
      <c r="C1301" t="s">
        <v>32</v>
      </c>
      <c r="D1301" t="s">
        <v>6175</v>
      </c>
      <c r="E1301" t="s">
        <v>6176</v>
      </c>
      <c r="F1301" t="s">
        <v>6183</v>
      </c>
      <c r="G1301" t="s">
        <v>6184</v>
      </c>
      <c r="H1301" t="s">
        <v>6185</v>
      </c>
    </row>
    <row r="1302" spans="1:8" x14ac:dyDescent="0.25">
      <c r="A1302">
        <v>1384051</v>
      </c>
      <c r="B1302" t="s">
        <v>6186</v>
      </c>
      <c r="C1302" t="s">
        <v>32</v>
      </c>
      <c r="D1302" t="s">
        <v>326</v>
      </c>
      <c r="E1302" t="s">
        <v>331</v>
      </c>
      <c r="F1302" t="s">
        <v>6187</v>
      </c>
      <c r="G1302" t="s">
        <v>1614</v>
      </c>
      <c r="H1302" t="s">
        <v>6188</v>
      </c>
    </row>
    <row r="1303" spans="1:8" x14ac:dyDescent="0.25">
      <c r="A1303">
        <v>1419907</v>
      </c>
      <c r="B1303" t="s">
        <v>6186</v>
      </c>
      <c r="C1303" t="s">
        <v>32</v>
      </c>
      <c r="D1303" t="s">
        <v>41</v>
      </c>
      <c r="E1303" t="s">
        <v>348</v>
      </c>
      <c r="F1303" t="s">
        <v>6189</v>
      </c>
      <c r="G1303" t="s">
        <v>6190</v>
      </c>
      <c r="H1303" t="s">
        <v>6191</v>
      </c>
    </row>
    <row r="1304" spans="1:8" x14ac:dyDescent="0.25">
      <c r="A1304">
        <v>1432133</v>
      </c>
      <c r="B1304" t="s">
        <v>6186</v>
      </c>
      <c r="C1304" t="s">
        <v>32</v>
      </c>
      <c r="D1304" t="s">
        <v>40</v>
      </c>
      <c r="E1304" t="s">
        <v>660</v>
      </c>
      <c r="F1304" t="s">
        <v>2090</v>
      </c>
      <c r="G1304" t="s">
        <v>6192</v>
      </c>
      <c r="H1304" t="s">
        <v>6193</v>
      </c>
    </row>
    <row r="1305" spans="1:8" x14ac:dyDescent="0.25">
      <c r="A1305">
        <v>1380611</v>
      </c>
      <c r="B1305" t="s">
        <v>6194</v>
      </c>
      <c r="C1305" t="s">
        <v>32</v>
      </c>
      <c r="D1305" t="s">
        <v>51</v>
      </c>
      <c r="E1305" t="s">
        <v>57</v>
      </c>
      <c r="F1305" t="s">
        <v>6195</v>
      </c>
      <c r="G1305" t="s">
        <v>2170</v>
      </c>
      <c r="H1305" t="s">
        <v>6196</v>
      </c>
    </row>
    <row r="1306" spans="1:8" x14ac:dyDescent="0.25">
      <c r="A1306">
        <v>1384364</v>
      </c>
      <c r="B1306" t="s">
        <v>6194</v>
      </c>
      <c r="C1306" t="s">
        <v>32</v>
      </c>
      <c r="D1306" t="s">
        <v>267</v>
      </c>
      <c r="E1306" t="s">
        <v>659</v>
      </c>
      <c r="F1306" t="s">
        <v>6197</v>
      </c>
      <c r="G1306" t="s">
        <v>2501</v>
      </c>
      <c r="H1306" t="s">
        <v>6198</v>
      </c>
    </row>
    <row r="1307" spans="1:8" x14ac:dyDescent="0.25">
      <c r="A1307">
        <v>1418648</v>
      </c>
      <c r="B1307" t="s">
        <v>6194</v>
      </c>
      <c r="C1307" t="s">
        <v>32</v>
      </c>
      <c r="D1307" t="s">
        <v>80</v>
      </c>
      <c r="E1307" t="s">
        <v>626</v>
      </c>
      <c r="F1307" t="s">
        <v>6199</v>
      </c>
      <c r="G1307" t="s">
        <v>6200</v>
      </c>
      <c r="H1307" t="s">
        <v>6201</v>
      </c>
    </row>
    <row r="1308" spans="1:8" x14ac:dyDescent="0.25">
      <c r="A1308">
        <v>1418650</v>
      </c>
      <c r="B1308" t="s">
        <v>6194</v>
      </c>
      <c r="C1308" t="s">
        <v>32</v>
      </c>
      <c r="D1308" t="s">
        <v>80</v>
      </c>
      <c r="E1308" t="s">
        <v>626</v>
      </c>
      <c r="F1308" t="s">
        <v>6202</v>
      </c>
      <c r="G1308" t="s">
        <v>6203</v>
      </c>
      <c r="H1308" t="s">
        <v>6204</v>
      </c>
    </row>
    <row r="1309" spans="1:8" x14ac:dyDescent="0.25">
      <c r="A1309">
        <v>1439298</v>
      </c>
      <c r="B1309" t="s">
        <v>6194</v>
      </c>
      <c r="C1309" t="s">
        <v>32</v>
      </c>
      <c r="D1309" t="s">
        <v>41</v>
      </c>
      <c r="E1309" t="s">
        <v>4255</v>
      </c>
      <c r="F1309" t="s">
        <v>6205</v>
      </c>
      <c r="G1309" t="s">
        <v>6206</v>
      </c>
      <c r="H1309" t="s">
        <v>6207</v>
      </c>
    </row>
    <row r="1310" spans="1:8" x14ac:dyDescent="0.25">
      <c r="A1310">
        <v>1439303</v>
      </c>
      <c r="B1310" t="s">
        <v>6194</v>
      </c>
      <c r="C1310" t="s">
        <v>32</v>
      </c>
      <c r="D1310" t="s">
        <v>41</v>
      </c>
      <c r="E1310" t="s">
        <v>4255</v>
      </c>
      <c r="F1310" t="s">
        <v>6208</v>
      </c>
      <c r="G1310" t="s">
        <v>6209</v>
      </c>
      <c r="H1310" t="s">
        <v>6210</v>
      </c>
    </row>
    <row r="1311" spans="1:8" x14ac:dyDescent="0.25">
      <c r="A1311">
        <v>1439679</v>
      </c>
      <c r="B1311" t="s">
        <v>6194</v>
      </c>
      <c r="C1311" t="s">
        <v>32</v>
      </c>
      <c r="D1311" t="s">
        <v>41</v>
      </c>
      <c r="E1311" t="s">
        <v>1198</v>
      </c>
      <c r="F1311" t="s">
        <v>2537</v>
      </c>
      <c r="G1311" t="s">
        <v>1201</v>
      </c>
      <c r="H1311" t="s">
        <v>6211</v>
      </c>
    </row>
    <row r="1312" spans="1:8" x14ac:dyDescent="0.25">
      <c r="A1312">
        <v>1439681</v>
      </c>
      <c r="B1312" t="s">
        <v>6194</v>
      </c>
      <c r="C1312" t="s">
        <v>32</v>
      </c>
      <c r="D1312" t="s">
        <v>41</v>
      </c>
      <c r="E1312" t="s">
        <v>1198</v>
      </c>
      <c r="F1312" t="s">
        <v>1552</v>
      </c>
      <c r="G1312" t="s">
        <v>1551</v>
      </c>
      <c r="H1312" t="s">
        <v>6212</v>
      </c>
    </row>
    <row r="1313" spans="1:8" x14ac:dyDescent="0.25">
      <c r="A1313">
        <v>1439683</v>
      </c>
      <c r="B1313" t="s">
        <v>6194</v>
      </c>
      <c r="C1313" t="s">
        <v>32</v>
      </c>
      <c r="D1313" t="s">
        <v>41</v>
      </c>
      <c r="E1313" t="s">
        <v>1198</v>
      </c>
      <c r="F1313" t="s">
        <v>2542</v>
      </c>
      <c r="G1313" t="s">
        <v>1202</v>
      </c>
      <c r="H1313" t="s">
        <v>6213</v>
      </c>
    </row>
    <row r="1314" spans="1:8" x14ac:dyDescent="0.25">
      <c r="A1314">
        <v>1459052</v>
      </c>
      <c r="B1314" t="s">
        <v>6194</v>
      </c>
      <c r="C1314" t="s">
        <v>32</v>
      </c>
      <c r="D1314" t="s">
        <v>40</v>
      </c>
      <c r="E1314" t="s">
        <v>639</v>
      </c>
      <c r="F1314" t="s">
        <v>6214</v>
      </c>
      <c r="G1314" t="s">
        <v>6215</v>
      </c>
      <c r="H1314" t="s">
        <v>6216</v>
      </c>
    </row>
    <row r="1315" spans="1:8" x14ac:dyDescent="0.25">
      <c r="A1315">
        <v>1460649</v>
      </c>
      <c r="B1315" t="s">
        <v>6194</v>
      </c>
      <c r="C1315" t="s">
        <v>32</v>
      </c>
      <c r="D1315" t="s">
        <v>40</v>
      </c>
      <c r="E1315" t="s">
        <v>678</v>
      </c>
      <c r="F1315" t="s">
        <v>2224</v>
      </c>
      <c r="G1315" t="s">
        <v>1210</v>
      </c>
      <c r="H1315" t="s">
        <v>6217</v>
      </c>
    </row>
    <row r="1316" spans="1:8" x14ac:dyDescent="0.25">
      <c r="A1316">
        <v>1462787</v>
      </c>
      <c r="B1316" t="s">
        <v>6194</v>
      </c>
      <c r="C1316" t="s">
        <v>32</v>
      </c>
      <c r="D1316" t="s">
        <v>40</v>
      </c>
      <c r="E1316" t="s">
        <v>667</v>
      </c>
      <c r="F1316" t="s">
        <v>6218</v>
      </c>
      <c r="G1316" t="s">
        <v>1134</v>
      </c>
      <c r="H1316" t="s">
        <v>6219</v>
      </c>
    </row>
    <row r="1317" spans="1:8" x14ac:dyDescent="0.25">
      <c r="A1317">
        <v>1463389</v>
      </c>
      <c r="B1317" t="s">
        <v>6194</v>
      </c>
      <c r="C1317" t="s">
        <v>32</v>
      </c>
      <c r="D1317" t="s">
        <v>40</v>
      </c>
      <c r="E1317" t="s">
        <v>652</v>
      </c>
      <c r="F1317" t="s">
        <v>6220</v>
      </c>
      <c r="G1317" t="s">
        <v>1142</v>
      </c>
      <c r="H1317" t="s">
        <v>6221</v>
      </c>
    </row>
    <row r="1318" spans="1:8" x14ac:dyDescent="0.25">
      <c r="A1318">
        <v>1518006</v>
      </c>
      <c r="B1318" t="s">
        <v>6194</v>
      </c>
      <c r="C1318" t="s">
        <v>32</v>
      </c>
      <c r="D1318" t="s">
        <v>6222</v>
      </c>
      <c r="E1318" t="s">
        <v>6223</v>
      </c>
      <c r="F1318" t="s">
        <v>6224</v>
      </c>
      <c r="G1318" t="s">
        <v>6225</v>
      </c>
      <c r="H1318" t="s">
        <v>6226</v>
      </c>
    </row>
    <row r="1319" spans="1:8" x14ac:dyDescent="0.25">
      <c r="A1319">
        <v>1518008</v>
      </c>
      <c r="B1319" t="s">
        <v>6194</v>
      </c>
      <c r="C1319" t="s">
        <v>32</v>
      </c>
      <c r="D1319" t="s">
        <v>6222</v>
      </c>
      <c r="E1319" t="s">
        <v>6223</v>
      </c>
      <c r="F1319" t="s">
        <v>6227</v>
      </c>
      <c r="G1319" t="s">
        <v>6228</v>
      </c>
      <c r="H1319" t="s">
        <v>6229</v>
      </c>
    </row>
    <row r="1320" spans="1:8" x14ac:dyDescent="0.25">
      <c r="A1320">
        <v>1526479</v>
      </c>
      <c r="B1320" t="s">
        <v>6194</v>
      </c>
      <c r="C1320" t="s">
        <v>32</v>
      </c>
      <c r="D1320" t="s">
        <v>366</v>
      </c>
      <c r="E1320" t="s">
        <v>2613</v>
      </c>
      <c r="F1320" t="s">
        <v>6230</v>
      </c>
      <c r="G1320" t="s">
        <v>751</v>
      </c>
      <c r="H1320" t="s">
        <v>6231</v>
      </c>
    </row>
    <row r="1321" spans="1:8" x14ac:dyDescent="0.25">
      <c r="A1321">
        <v>1531547</v>
      </c>
      <c r="B1321" t="s">
        <v>6194</v>
      </c>
      <c r="C1321" t="s">
        <v>32</v>
      </c>
      <c r="D1321" t="s">
        <v>352</v>
      </c>
      <c r="E1321" t="s">
        <v>25</v>
      </c>
      <c r="F1321" t="s">
        <v>6232</v>
      </c>
      <c r="G1321" t="s">
        <v>6233</v>
      </c>
      <c r="H1321" t="s">
        <v>6234</v>
      </c>
    </row>
    <row r="1322" spans="1:8" x14ac:dyDescent="0.25">
      <c r="A1322">
        <v>1378161</v>
      </c>
      <c r="B1322" t="s">
        <v>6235</v>
      </c>
      <c r="C1322" t="s">
        <v>32</v>
      </c>
      <c r="D1322" t="s">
        <v>41</v>
      </c>
      <c r="E1322" t="s">
        <v>60</v>
      </c>
      <c r="F1322" t="s">
        <v>2336</v>
      </c>
      <c r="G1322" t="s">
        <v>6236</v>
      </c>
      <c r="H1322" t="s">
        <v>6237</v>
      </c>
    </row>
    <row r="1323" spans="1:8" x14ac:dyDescent="0.25">
      <c r="A1323">
        <v>1384563</v>
      </c>
      <c r="B1323" t="s">
        <v>6235</v>
      </c>
      <c r="C1323" t="s">
        <v>32</v>
      </c>
      <c r="D1323" t="s">
        <v>381</v>
      </c>
      <c r="E1323" t="s">
        <v>397</v>
      </c>
      <c r="F1323" t="s">
        <v>6238</v>
      </c>
      <c r="G1323" t="s">
        <v>902</v>
      </c>
      <c r="H1323" t="s">
        <v>6239</v>
      </c>
    </row>
    <row r="1324" spans="1:8" x14ac:dyDescent="0.25">
      <c r="A1324">
        <v>1388226</v>
      </c>
      <c r="B1324" t="s">
        <v>6235</v>
      </c>
      <c r="C1324" t="s">
        <v>32</v>
      </c>
      <c r="D1324" t="s">
        <v>267</v>
      </c>
      <c r="E1324" t="s">
        <v>402</v>
      </c>
      <c r="F1324" t="s">
        <v>669</v>
      </c>
      <c r="G1324" t="s">
        <v>1227</v>
      </c>
      <c r="H1324" t="s">
        <v>6240</v>
      </c>
    </row>
    <row r="1325" spans="1:8" x14ac:dyDescent="0.25">
      <c r="A1325">
        <v>1393181</v>
      </c>
      <c r="B1325" t="s">
        <v>6235</v>
      </c>
      <c r="C1325" t="s">
        <v>32</v>
      </c>
      <c r="D1325" t="s">
        <v>78</v>
      </c>
      <c r="E1325" t="s">
        <v>549</v>
      </c>
      <c r="F1325" t="s">
        <v>6241</v>
      </c>
      <c r="G1325" t="s">
        <v>6242</v>
      </c>
      <c r="H1325" t="s">
        <v>6243</v>
      </c>
    </row>
    <row r="1326" spans="1:8" x14ac:dyDescent="0.25">
      <c r="A1326">
        <v>1395272</v>
      </c>
      <c r="B1326" t="s">
        <v>6235</v>
      </c>
      <c r="C1326" t="s">
        <v>32</v>
      </c>
      <c r="D1326" t="s">
        <v>63</v>
      </c>
      <c r="E1326" t="s">
        <v>604</v>
      </c>
      <c r="F1326" t="s">
        <v>2488</v>
      </c>
      <c r="G1326" t="s">
        <v>2466</v>
      </c>
      <c r="H1326" t="s">
        <v>6244</v>
      </c>
    </row>
    <row r="1327" spans="1:8" x14ac:dyDescent="0.25">
      <c r="A1327">
        <v>1396022</v>
      </c>
      <c r="B1327" t="s">
        <v>6235</v>
      </c>
      <c r="C1327" t="s">
        <v>32</v>
      </c>
      <c r="D1327" t="s">
        <v>51</v>
      </c>
      <c r="E1327" t="s">
        <v>385</v>
      </c>
      <c r="F1327" t="s">
        <v>6245</v>
      </c>
      <c r="G1327" t="s">
        <v>6246</v>
      </c>
      <c r="H1327" t="s">
        <v>6247</v>
      </c>
    </row>
    <row r="1328" spans="1:8" x14ac:dyDescent="0.25">
      <c r="A1328">
        <v>1399208</v>
      </c>
      <c r="B1328" t="s">
        <v>6235</v>
      </c>
      <c r="C1328" t="s">
        <v>32</v>
      </c>
      <c r="D1328" t="s">
        <v>58</v>
      </c>
      <c r="E1328" t="s">
        <v>4200</v>
      </c>
      <c r="F1328" t="s">
        <v>6248</v>
      </c>
      <c r="G1328" t="s">
        <v>6249</v>
      </c>
      <c r="H1328" t="s">
        <v>6250</v>
      </c>
    </row>
    <row r="1329" spans="1:8" x14ac:dyDescent="0.25">
      <c r="A1329">
        <v>1410966</v>
      </c>
      <c r="B1329" t="s">
        <v>6235</v>
      </c>
      <c r="C1329" t="s">
        <v>4124</v>
      </c>
      <c r="D1329" t="s">
        <v>51</v>
      </c>
      <c r="E1329" t="s">
        <v>539</v>
      </c>
      <c r="F1329" t="s">
        <v>6251</v>
      </c>
      <c r="G1329" t="s">
        <v>6252</v>
      </c>
      <c r="H1329" t="s">
        <v>6253</v>
      </c>
    </row>
    <row r="1330" spans="1:8" x14ac:dyDescent="0.25">
      <c r="A1330">
        <v>1411268</v>
      </c>
      <c r="B1330" t="s">
        <v>6235</v>
      </c>
      <c r="C1330" t="s">
        <v>32</v>
      </c>
      <c r="D1330" t="s">
        <v>51</v>
      </c>
      <c r="E1330" t="s">
        <v>581</v>
      </c>
      <c r="F1330" t="s">
        <v>6254</v>
      </c>
      <c r="G1330" t="s">
        <v>1350</v>
      </c>
      <c r="H1330" t="s">
        <v>6255</v>
      </c>
    </row>
    <row r="1331" spans="1:8" x14ac:dyDescent="0.25">
      <c r="A1331">
        <v>1415541</v>
      </c>
      <c r="B1331" t="s">
        <v>6235</v>
      </c>
      <c r="C1331" t="s">
        <v>32</v>
      </c>
      <c r="D1331" t="s">
        <v>616</v>
      </c>
      <c r="E1331" t="s">
        <v>69</v>
      </c>
      <c r="F1331" t="s">
        <v>2517</v>
      </c>
      <c r="G1331" t="s">
        <v>2519</v>
      </c>
      <c r="H1331" t="s">
        <v>6256</v>
      </c>
    </row>
    <row r="1332" spans="1:8" x14ac:dyDescent="0.25">
      <c r="A1332">
        <v>1415544</v>
      </c>
      <c r="B1332" t="s">
        <v>6235</v>
      </c>
      <c r="C1332" t="s">
        <v>32</v>
      </c>
      <c r="D1332" t="s">
        <v>616</v>
      </c>
      <c r="E1332" t="s">
        <v>69</v>
      </c>
      <c r="F1332" t="s">
        <v>2214</v>
      </c>
      <c r="G1332" t="s">
        <v>2518</v>
      </c>
      <c r="H1332" t="s">
        <v>6257</v>
      </c>
    </row>
    <row r="1333" spans="1:8" x14ac:dyDescent="0.25">
      <c r="A1333">
        <v>1418649</v>
      </c>
      <c r="B1333" t="s">
        <v>6235</v>
      </c>
      <c r="C1333" t="s">
        <v>32</v>
      </c>
      <c r="D1333" t="s">
        <v>80</v>
      </c>
      <c r="E1333" t="s">
        <v>626</v>
      </c>
      <c r="F1333" t="s">
        <v>6258</v>
      </c>
      <c r="G1333" t="s">
        <v>1693</v>
      </c>
      <c r="H1333" t="s">
        <v>6259</v>
      </c>
    </row>
    <row r="1334" spans="1:8" x14ac:dyDescent="0.25">
      <c r="A1334">
        <v>1418652</v>
      </c>
      <c r="B1334" t="s">
        <v>6235</v>
      </c>
      <c r="C1334" t="s">
        <v>32</v>
      </c>
      <c r="D1334" t="s">
        <v>80</v>
      </c>
      <c r="E1334" t="s">
        <v>626</v>
      </c>
      <c r="F1334" t="s">
        <v>6260</v>
      </c>
      <c r="G1334" t="s">
        <v>6261</v>
      </c>
      <c r="H1334" t="s">
        <v>6262</v>
      </c>
    </row>
    <row r="1335" spans="1:8" x14ac:dyDescent="0.25">
      <c r="A1335">
        <v>1420064</v>
      </c>
      <c r="B1335" t="s">
        <v>6235</v>
      </c>
      <c r="C1335" t="s">
        <v>32</v>
      </c>
      <c r="D1335" t="s">
        <v>80</v>
      </c>
      <c r="E1335" t="s">
        <v>5393</v>
      </c>
      <c r="F1335" t="s">
        <v>6263</v>
      </c>
      <c r="G1335" t="s">
        <v>6264</v>
      </c>
      <c r="H1335" t="s">
        <v>6265</v>
      </c>
    </row>
    <row r="1336" spans="1:8" x14ac:dyDescent="0.25">
      <c r="A1336">
        <v>1423029</v>
      </c>
      <c r="B1336" t="s">
        <v>6235</v>
      </c>
      <c r="C1336" t="s">
        <v>32</v>
      </c>
      <c r="D1336" t="s">
        <v>89</v>
      </c>
      <c r="E1336" t="s">
        <v>6266</v>
      </c>
      <c r="F1336" t="s">
        <v>6267</v>
      </c>
      <c r="G1336" t="s">
        <v>6268</v>
      </c>
      <c r="H1336" t="s">
        <v>6269</v>
      </c>
    </row>
    <row r="1337" spans="1:8" x14ac:dyDescent="0.25">
      <c r="A1337">
        <v>1425323</v>
      </c>
      <c r="B1337" t="s">
        <v>6235</v>
      </c>
      <c r="C1337" t="s">
        <v>32</v>
      </c>
      <c r="D1337" t="s">
        <v>89</v>
      </c>
      <c r="E1337" t="s">
        <v>6270</v>
      </c>
      <c r="F1337" t="s">
        <v>6271</v>
      </c>
      <c r="G1337" t="s">
        <v>6272</v>
      </c>
      <c r="H1337" t="s">
        <v>6273</v>
      </c>
    </row>
    <row r="1338" spans="1:8" x14ac:dyDescent="0.25">
      <c r="A1338">
        <v>1425324</v>
      </c>
      <c r="B1338" t="s">
        <v>6235</v>
      </c>
      <c r="C1338" t="s">
        <v>32</v>
      </c>
      <c r="D1338" t="s">
        <v>89</v>
      </c>
      <c r="E1338" t="s">
        <v>6270</v>
      </c>
      <c r="F1338" t="s">
        <v>6274</v>
      </c>
      <c r="G1338" t="s">
        <v>6275</v>
      </c>
      <c r="H1338" t="s">
        <v>6276</v>
      </c>
    </row>
    <row r="1339" spans="1:8" x14ac:dyDescent="0.25">
      <c r="A1339">
        <v>1425325</v>
      </c>
      <c r="B1339" t="s">
        <v>6235</v>
      </c>
      <c r="C1339" t="s">
        <v>32</v>
      </c>
      <c r="D1339" t="s">
        <v>89</v>
      </c>
      <c r="E1339" t="s">
        <v>6270</v>
      </c>
      <c r="F1339" t="s">
        <v>6277</v>
      </c>
      <c r="G1339" t="s">
        <v>6278</v>
      </c>
      <c r="H1339" t="s">
        <v>6279</v>
      </c>
    </row>
    <row r="1340" spans="1:8" x14ac:dyDescent="0.25">
      <c r="A1340">
        <v>1425327</v>
      </c>
      <c r="B1340" t="s">
        <v>6235</v>
      </c>
      <c r="C1340" t="s">
        <v>32</v>
      </c>
      <c r="D1340" t="s">
        <v>89</v>
      </c>
      <c r="E1340" t="s">
        <v>6270</v>
      </c>
      <c r="F1340" t="s">
        <v>6280</v>
      </c>
      <c r="G1340" t="s">
        <v>6281</v>
      </c>
      <c r="H1340" t="s">
        <v>6282</v>
      </c>
    </row>
    <row r="1341" spans="1:8" x14ac:dyDescent="0.25">
      <c r="A1341">
        <v>1425328</v>
      </c>
      <c r="B1341" t="s">
        <v>6235</v>
      </c>
      <c r="C1341" t="s">
        <v>32</v>
      </c>
      <c r="D1341" t="s">
        <v>89</v>
      </c>
      <c r="E1341" t="s">
        <v>6270</v>
      </c>
      <c r="F1341" t="s">
        <v>6283</v>
      </c>
      <c r="G1341" t="s">
        <v>6284</v>
      </c>
      <c r="H1341" t="s">
        <v>6285</v>
      </c>
    </row>
    <row r="1342" spans="1:8" x14ac:dyDescent="0.25">
      <c r="A1342">
        <v>1425329</v>
      </c>
      <c r="B1342" t="s">
        <v>6235</v>
      </c>
      <c r="C1342" t="s">
        <v>32</v>
      </c>
      <c r="D1342" t="s">
        <v>89</v>
      </c>
      <c r="E1342" t="s">
        <v>6270</v>
      </c>
      <c r="F1342" t="s">
        <v>6286</v>
      </c>
      <c r="G1342" t="s">
        <v>6287</v>
      </c>
      <c r="H1342" t="s">
        <v>6288</v>
      </c>
    </row>
    <row r="1343" spans="1:8" x14ac:dyDescent="0.25">
      <c r="A1343">
        <v>1425330</v>
      </c>
      <c r="B1343" t="s">
        <v>6235</v>
      </c>
      <c r="C1343" t="s">
        <v>32</v>
      </c>
      <c r="D1343" t="s">
        <v>89</v>
      </c>
      <c r="E1343" t="s">
        <v>6270</v>
      </c>
      <c r="F1343" t="s">
        <v>6289</v>
      </c>
      <c r="G1343" t="s">
        <v>6290</v>
      </c>
      <c r="H1343" t="s">
        <v>6291</v>
      </c>
    </row>
    <row r="1344" spans="1:8" x14ac:dyDescent="0.25">
      <c r="A1344">
        <v>1425562</v>
      </c>
      <c r="B1344" t="s">
        <v>6235</v>
      </c>
      <c r="C1344" t="s">
        <v>32</v>
      </c>
      <c r="D1344" t="s">
        <v>89</v>
      </c>
      <c r="E1344" t="s">
        <v>552</v>
      </c>
      <c r="F1344" t="s">
        <v>6292</v>
      </c>
      <c r="G1344" t="s">
        <v>6293</v>
      </c>
      <c r="H1344" t="s">
        <v>6294</v>
      </c>
    </row>
    <row r="1345" spans="1:8" x14ac:dyDescent="0.25">
      <c r="A1345">
        <v>1425563</v>
      </c>
      <c r="B1345" t="s">
        <v>6235</v>
      </c>
      <c r="C1345" t="s">
        <v>32</v>
      </c>
      <c r="D1345" t="s">
        <v>89</v>
      </c>
      <c r="E1345" t="s">
        <v>552</v>
      </c>
      <c r="F1345" t="s">
        <v>6295</v>
      </c>
      <c r="G1345" t="s">
        <v>6296</v>
      </c>
      <c r="H1345" t="s">
        <v>6297</v>
      </c>
    </row>
    <row r="1346" spans="1:8" x14ac:dyDescent="0.25">
      <c r="A1346">
        <v>1425565</v>
      </c>
      <c r="B1346" t="s">
        <v>6235</v>
      </c>
      <c r="C1346" t="s">
        <v>32</v>
      </c>
      <c r="D1346" t="s">
        <v>89</v>
      </c>
      <c r="E1346" t="s">
        <v>552</v>
      </c>
      <c r="F1346" t="s">
        <v>1445</v>
      </c>
      <c r="G1346" t="s">
        <v>6298</v>
      </c>
      <c r="H1346" t="s">
        <v>6299</v>
      </c>
    </row>
    <row r="1347" spans="1:8" x14ac:dyDescent="0.25">
      <c r="A1347">
        <v>1425566</v>
      </c>
      <c r="B1347" t="s">
        <v>6235</v>
      </c>
      <c r="C1347" t="s">
        <v>32</v>
      </c>
      <c r="D1347" t="s">
        <v>89</v>
      </c>
      <c r="E1347" t="s">
        <v>552</v>
      </c>
      <c r="F1347" t="s">
        <v>6300</v>
      </c>
      <c r="G1347" t="s">
        <v>1446</v>
      </c>
      <c r="H1347" t="s">
        <v>6301</v>
      </c>
    </row>
    <row r="1348" spans="1:8" x14ac:dyDescent="0.25">
      <c r="A1348">
        <v>1425567</v>
      </c>
      <c r="B1348" t="s">
        <v>6235</v>
      </c>
      <c r="C1348" t="s">
        <v>32</v>
      </c>
      <c r="D1348" t="s">
        <v>89</v>
      </c>
      <c r="E1348" t="s">
        <v>552</v>
      </c>
      <c r="F1348" t="s">
        <v>6302</v>
      </c>
      <c r="G1348" t="s">
        <v>6303</v>
      </c>
      <c r="H1348" t="s">
        <v>6304</v>
      </c>
    </row>
    <row r="1349" spans="1:8" x14ac:dyDescent="0.25">
      <c r="A1349">
        <v>1425568</v>
      </c>
      <c r="B1349" t="s">
        <v>6235</v>
      </c>
      <c r="C1349" t="s">
        <v>32</v>
      </c>
      <c r="D1349" t="s">
        <v>89</v>
      </c>
      <c r="E1349" t="s">
        <v>552</v>
      </c>
      <c r="F1349" t="s">
        <v>6305</v>
      </c>
      <c r="G1349" t="s">
        <v>6306</v>
      </c>
      <c r="H1349" t="s">
        <v>6307</v>
      </c>
    </row>
    <row r="1350" spans="1:8" x14ac:dyDescent="0.25">
      <c r="A1350">
        <v>1425796</v>
      </c>
      <c r="B1350" t="s">
        <v>6235</v>
      </c>
      <c r="C1350" t="s">
        <v>32</v>
      </c>
      <c r="D1350" t="s">
        <v>89</v>
      </c>
      <c r="E1350" t="s">
        <v>6308</v>
      </c>
      <c r="F1350" t="s">
        <v>6309</v>
      </c>
      <c r="G1350" t="s">
        <v>6310</v>
      </c>
      <c r="H1350" t="s">
        <v>6311</v>
      </c>
    </row>
    <row r="1351" spans="1:8" x14ac:dyDescent="0.25">
      <c r="A1351">
        <v>1425800</v>
      </c>
      <c r="B1351" t="s">
        <v>6235</v>
      </c>
      <c r="C1351" t="s">
        <v>32</v>
      </c>
      <c r="D1351" t="s">
        <v>89</v>
      </c>
      <c r="E1351" t="s">
        <v>6308</v>
      </c>
      <c r="F1351" t="s">
        <v>6312</v>
      </c>
      <c r="G1351" t="s">
        <v>6313</v>
      </c>
      <c r="H1351" t="s">
        <v>6314</v>
      </c>
    </row>
    <row r="1352" spans="1:8" x14ac:dyDescent="0.25">
      <c r="A1352">
        <v>1425802</v>
      </c>
      <c r="B1352" t="s">
        <v>6235</v>
      </c>
      <c r="C1352" t="s">
        <v>32</v>
      </c>
      <c r="D1352" t="s">
        <v>89</v>
      </c>
      <c r="E1352" t="s">
        <v>6308</v>
      </c>
      <c r="F1352" t="s">
        <v>6315</v>
      </c>
      <c r="G1352" t="s">
        <v>6316</v>
      </c>
      <c r="H1352" t="s">
        <v>6317</v>
      </c>
    </row>
    <row r="1353" spans="1:8" x14ac:dyDescent="0.25">
      <c r="A1353">
        <v>1425803</v>
      </c>
      <c r="B1353" t="s">
        <v>6235</v>
      </c>
      <c r="C1353" t="s">
        <v>32</v>
      </c>
      <c r="D1353" t="s">
        <v>89</v>
      </c>
      <c r="E1353" t="s">
        <v>6308</v>
      </c>
      <c r="F1353" t="s">
        <v>6318</v>
      </c>
      <c r="G1353" t="s">
        <v>6319</v>
      </c>
      <c r="H1353" t="s">
        <v>6320</v>
      </c>
    </row>
    <row r="1354" spans="1:8" x14ac:dyDescent="0.25">
      <c r="A1354">
        <v>1425996</v>
      </c>
      <c r="B1354" t="s">
        <v>6235</v>
      </c>
      <c r="C1354" t="s">
        <v>32</v>
      </c>
      <c r="D1354" t="s">
        <v>89</v>
      </c>
      <c r="E1354" t="s">
        <v>670</v>
      </c>
      <c r="F1354" t="s">
        <v>6321</v>
      </c>
      <c r="G1354" t="s">
        <v>6322</v>
      </c>
      <c r="H1354" t="s">
        <v>6323</v>
      </c>
    </row>
    <row r="1355" spans="1:8" x14ac:dyDescent="0.25">
      <c r="A1355">
        <v>1425997</v>
      </c>
      <c r="B1355" t="s">
        <v>6235</v>
      </c>
      <c r="C1355" t="s">
        <v>32</v>
      </c>
      <c r="D1355" t="s">
        <v>89</v>
      </c>
      <c r="E1355" t="s">
        <v>670</v>
      </c>
      <c r="F1355" t="s">
        <v>6324</v>
      </c>
      <c r="G1355" t="s">
        <v>1705</v>
      </c>
      <c r="H1355" t="s">
        <v>6325</v>
      </c>
    </row>
    <row r="1356" spans="1:8" x14ac:dyDescent="0.25">
      <c r="A1356">
        <v>1425998</v>
      </c>
      <c r="B1356" t="s">
        <v>6235</v>
      </c>
      <c r="C1356" t="s">
        <v>32</v>
      </c>
      <c r="D1356" t="s">
        <v>89</v>
      </c>
      <c r="E1356" t="s">
        <v>670</v>
      </c>
      <c r="F1356" t="s">
        <v>6326</v>
      </c>
      <c r="G1356" t="s">
        <v>6327</v>
      </c>
      <c r="H1356" t="s">
        <v>6328</v>
      </c>
    </row>
    <row r="1357" spans="1:8" x14ac:dyDescent="0.25">
      <c r="A1357">
        <v>1426158</v>
      </c>
      <c r="B1357" t="s">
        <v>6235</v>
      </c>
      <c r="C1357" t="s">
        <v>32</v>
      </c>
      <c r="D1357" t="s">
        <v>89</v>
      </c>
      <c r="E1357" t="s">
        <v>671</v>
      </c>
      <c r="F1357" t="s">
        <v>6329</v>
      </c>
      <c r="G1357" t="s">
        <v>1706</v>
      </c>
      <c r="H1357" t="s">
        <v>6330</v>
      </c>
    </row>
    <row r="1358" spans="1:8" x14ac:dyDescent="0.25">
      <c r="A1358">
        <v>1426159</v>
      </c>
      <c r="B1358" t="s">
        <v>6235</v>
      </c>
      <c r="C1358" t="s">
        <v>32</v>
      </c>
      <c r="D1358" t="s">
        <v>89</v>
      </c>
      <c r="E1358" t="s">
        <v>671</v>
      </c>
      <c r="F1358" t="s">
        <v>6331</v>
      </c>
      <c r="G1358" t="s">
        <v>6332</v>
      </c>
      <c r="H1358" t="s">
        <v>6333</v>
      </c>
    </row>
    <row r="1359" spans="1:8" x14ac:dyDescent="0.25">
      <c r="A1359">
        <v>1426160</v>
      </c>
      <c r="B1359" t="s">
        <v>6235</v>
      </c>
      <c r="C1359" t="s">
        <v>32</v>
      </c>
      <c r="D1359" t="s">
        <v>89</v>
      </c>
      <c r="E1359" t="s">
        <v>671</v>
      </c>
      <c r="F1359" t="s">
        <v>6334</v>
      </c>
      <c r="G1359" t="s">
        <v>6335</v>
      </c>
      <c r="H1359" t="s">
        <v>6336</v>
      </c>
    </row>
    <row r="1360" spans="1:8" x14ac:dyDescent="0.25">
      <c r="A1360">
        <v>1426161</v>
      </c>
      <c r="B1360" t="s">
        <v>6235</v>
      </c>
      <c r="C1360" t="s">
        <v>32</v>
      </c>
      <c r="D1360" t="s">
        <v>89</v>
      </c>
      <c r="E1360" t="s">
        <v>671</v>
      </c>
      <c r="F1360" t="s">
        <v>6337</v>
      </c>
      <c r="G1360" t="s">
        <v>6338</v>
      </c>
      <c r="H1360" t="s">
        <v>6339</v>
      </c>
    </row>
    <row r="1361" spans="1:8" x14ac:dyDescent="0.25">
      <c r="A1361">
        <v>1426315</v>
      </c>
      <c r="B1361" t="s">
        <v>6235</v>
      </c>
      <c r="C1361" t="s">
        <v>32</v>
      </c>
      <c r="D1361" t="s">
        <v>89</v>
      </c>
      <c r="E1361" t="s">
        <v>672</v>
      </c>
      <c r="F1361" t="s">
        <v>6340</v>
      </c>
      <c r="G1361" t="s">
        <v>6341</v>
      </c>
      <c r="H1361" t="s">
        <v>6342</v>
      </c>
    </row>
    <row r="1362" spans="1:8" x14ac:dyDescent="0.25">
      <c r="A1362">
        <v>1426316</v>
      </c>
      <c r="B1362" t="s">
        <v>6235</v>
      </c>
      <c r="C1362" t="s">
        <v>32</v>
      </c>
      <c r="D1362" t="s">
        <v>89</v>
      </c>
      <c r="E1362" t="s">
        <v>672</v>
      </c>
      <c r="F1362" t="s">
        <v>6343</v>
      </c>
      <c r="G1362" t="s">
        <v>6344</v>
      </c>
      <c r="H1362" t="s">
        <v>6345</v>
      </c>
    </row>
    <row r="1363" spans="1:8" x14ac:dyDescent="0.25">
      <c r="A1363">
        <v>1426317</v>
      </c>
      <c r="B1363" t="s">
        <v>6235</v>
      </c>
      <c r="C1363" t="s">
        <v>32</v>
      </c>
      <c r="D1363" t="s">
        <v>89</v>
      </c>
      <c r="E1363" t="s">
        <v>672</v>
      </c>
      <c r="F1363" t="s">
        <v>6346</v>
      </c>
      <c r="G1363" t="s">
        <v>6347</v>
      </c>
      <c r="H1363" t="s">
        <v>6348</v>
      </c>
    </row>
    <row r="1364" spans="1:8" x14ac:dyDescent="0.25">
      <c r="A1364">
        <v>1426318</v>
      </c>
      <c r="B1364" t="s">
        <v>6235</v>
      </c>
      <c r="C1364" t="s">
        <v>32</v>
      </c>
      <c r="D1364" t="s">
        <v>89</v>
      </c>
      <c r="E1364" t="s">
        <v>672</v>
      </c>
      <c r="F1364" t="s">
        <v>6349</v>
      </c>
      <c r="G1364" t="s">
        <v>6350</v>
      </c>
      <c r="H1364" t="s">
        <v>6351</v>
      </c>
    </row>
    <row r="1365" spans="1:8" x14ac:dyDescent="0.25">
      <c r="A1365">
        <v>1426375</v>
      </c>
      <c r="B1365" t="s">
        <v>6235</v>
      </c>
      <c r="C1365" t="s">
        <v>32</v>
      </c>
      <c r="D1365" t="s">
        <v>89</v>
      </c>
      <c r="E1365" t="s">
        <v>672</v>
      </c>
      <c r="F1365" t="s">
        <v>6352</v>
      </c>
      <c r="G1365" t="s">
        <v>1709</v>
      </c>
      <c r="H1365" t="s">
        <v>6353</v>
      </c>
    </row>
    <row r="1366" spans="1:8" x14ac:dyDescent="0.25">
      <c r="A1366">
        <v>1426501</v>
      </c>
      <c r="B1366" t="s">
        <v>6235</v>
      </c>
      <c r="C1366" t="s">
        <v>32</v>
      </c>
      <c r="D1366" t="s">
        <v>89</v>
      </c>
      <c r="E1366" t="s">
        <v>6354</v>
      </c>
      <c r="F1366" t="s">
        <v>6355</v>
      </c>
      <c r="G1366" t="s">
        <v>6356</v>
      </c>
      <c r="H1366" t="s">
        <v>6357</v>
      </c>
    </row>
    <row r="1367" spans="1:8" x14ac:dyDescent="0.25">
      <c r="A1367">
        <v>1426502</v>
      </c>
      <c r="B1367" t="s">
        <v>6235</v>
      </c>
      <c r="C1367" t="s">
        <v>32</v>
      </c>
      <c r="D1367" t="s">
        <v>89</v>
      </c>
      <c r="E1367" t="s">
        <v>6354</v>
      </c>
      <c r="F1367" t="s">
        <v>6358</v>
      </c>
      <c r="G1367" t="s">
        <v>6359</v>
      </c>
      <c r="H1367" t="s">
        <v>6360</v>
      </c>
    </row>
    <row r="1368" spans="1:8" x14ac:dyDescent="0.25">
      <c r="A1368">
        <v>1426503</v>
      </c>
      <c r="B1368" t="s">
        <v>6235</v>
      </c>
      <c r="C1368" t="s">
        <v>32</v>
      </c>
      <c r="D1368" t="s">
        <v>89</v>
      </c>
      <c r="E1368" t="s">
        <v>6354</v>
      </c>
      <c r="F1368" t="s">
        <v>6361</v>
      </c>
      <c r="G1368" t="s">
        <v>6362</v>
      </c>
      <c r="H1368" t="s">
        <v>6363</v>
      </c>
    </row>
    <row r="1369" spans="1:8" x14ac:dyDescent="0.25">
      <c r="A1369">
        <v>1426504</v>
      </c>
      <c r="B1369" t="s">
        <v>6235</v>
      </c>
      <c r="C1369" t="s">
        <v>32</v>
      </c>
      <c r="D1369" t="s">
        <v>89</v>
      </c>
      <c r="E1369" t="s">
        <v>6354</v>
      </c>
      <c r="F1369" t="s">
        <v>6364</v>
      </c>
      <c r="G1369" t="s">
        <v>6365</v>
      </c>
      <c r="H1369" t="s">
        <v>6366</v>
      </c>
    </row>
    <row r="1370" spans="1:8" x14ac:dyDescent="0.25">
      <c r="A1370">
        <v>1426505</v>
      </c>
      <c r="B1370" t="s">
        <v>6235</v>
      </c>
      <c r="C1370" t="s">
        <v>32</v>
      </c>
      <c r="D1370" t="s">
        <v>89</v>
      </c>
      <c r="E1370" t="s">
        <v>6354</v>
      </c>
      <c r="F1370" t="s">
        <v>6367</v>
      </c>
      <c r="G1370" t="s">
        <v>6368</v>
      </c>
      <c r="H1370" t="s">
        <v>6369</v>
      </c>
    </row>
    <row r="1371" spans="1:8" x14ac:dyDescent="0.25">
      <c r="A1371">
        <v>1426506</v>
      </c>
      <c r="B1371" t="s">
        <v>6235</v>
      </c>
      <c r="C1371" t="s">
        <v>32</v>
      </c>
      <c r="D1371" t="s">
        <v>89</v>
      </c>
      <c r="E1371" t="s">
        <v>6354</v>
      </c>
      <c r="F1371" t="s">
        <v>6370</v>
      </c>
      <c r="G1371" t="s">
        <v>6371</v>
      </c>
      <c r="H1371" t="s">
        <v>6372</v>
      </c>
    </row>
    <row r="1372" spans="1:8" x14ac:dyDescent="0.25">
      <c r="A1372">
        <v>1426684</v>
      </c>
      <c r="B1372" t="s">
        <v>6235</v>
      </c>
      <c r="C1372" t="s">
        <v>32</v>
      </c>
      <c r="D1372" t="s">
        <v>89</v>
      </c>
      <c r="E1372" t="s">
        <v>644</v>
      </c>
      <c r="F1372" t="s">
        <v>6373</v>
      </c>
      <c r="G1372" t="s">
        <v>6374</v>
      </c>
      <c r="H1372" t="s">
        <v>6375</v>
      </c>
    </row>
    <row r="1373" spans="1:8" x14ac:dyDescent="0.25">
      <c r="A1373">
        <v>1426685</v>
      </c>
      <c r="B1373" t="s">
        <v>6235</v>
      </c>
      <c r="C1373" t="s">
        <v>32</v>
      </c>
      <c r="D1373" t="s">
        <v>89</v>
      </c>
      <c r="E1373" t="s">
        <v>644</v>
      </c>
      <c r="F1373" t="s">
        <v>6376</v>
      </c>
      <c r="G1373" t="s">
        <v>1711</v>
      </c>
      <c r="H1373" t="s">
        <v>6377</v>
      </c>
    </row>
    <row r="1374" spans="1:8" x14ac:dyDescent="0.25">
      <c r="A1374">
        <v>1426686</v>
      </c>
      <c r="B1374" t="s">
        <v>6235</v>
      </c>
      <c r="C1374" t="s">
        <v>32</v>
      </c>
      <c r="D1374" t="s">
        <v>89</v>
      </c>
      <c r="E1374" t="s">
        <v>644</v>
      </c>
      <c r="F1374" t="s">
        <v>6378</v>
      </c>
      <c r="G1374" t="s">
        <v>6379</v>
      </c>
      <c r="H1374" t="s">
        <v>6380</v>
      </c>
    </row>
    <row r="1375" spans="1:8" x14ac:dyDescent="0.25">
      <c r="A1375">
        <v>1426687</v>
      </c>
      <c r="B1375" t="s">
        <v>6235</v>
      </c>
      <c r="C1375" t="s">
        <v>32</v>
      </c>
      <c r="D1375" t="s">
        <v>89</v>
      </c>
      <c r="E1375" t="s">
        <v>644</v>
      </c>
      <c r="F1375" t="s">
        <v>6381</v>
      </c>
      <c r="G1375" t="s">
        <v>1713</v>
      </c>
      <c r="H1375" t="s">
        <v>6382</v>
      </c>
    </row>
    <row r="1376" spans="1:8" x14ac:dyDescent="0.25">
      <c r="A1376">
        <v>1426688</v>
      </c>
      <c r="B1376" t="s">
        <v>6235</v>
      </c>
      <c r="C1376" t="s">
        <v>32</v>
      </c>
      <c r="D1376" t="s">
        <v>89</v>
      </c>
      <c r="E1376" t="s">
        <v>644</v>
      </c>
      <c r="F1376" t="s">
        <v>6383</v>
      </c>
      <c r="G1376" t="s">
        <v>6384</v>
      </c>
      <c r="H1376" t="s">
        <v>6385</v>
      </c>
    </row>
    <row r="1377" spans="1:8" x14ac:dyDescent="0.25">
      <c r="A1377">
        <v>1426858</v>
      </c>
      <c r="B1377" t="s">
        <v>6235</v>
      </c>
      <c r="C1377" t="s">
        <v>32</v>
      </c>
      <c r="D1377" t="s">
        <v>89</v>
      </c>
      <c r="E1377" t="s">
        <v>673</v>
      </c>
      <c r="F1377" t="s">
        <v>6386</v>
      </c>
      <c r="G1377" t="s">
        <v>6387</v>
      </c>
      <c r="H1377" t="s">
        <v>6388</v>
      </c>
    </row>
    <row r="1378" spans="1:8" x14ac:dyDescent="0.25">
      <c r="A1378">
        <v>1426859</v>
      </c>
      <c r="B1378" t="s">
        <v>6235</v>
      </c>
      <c r="C1378" t="s">
        <v>32</v>
      </c>
      <c r="D1378" t="s">
        <v>89</v>
      </c>
      <c r="E1378" t="s">
        <v>673</v>
      </c>
      <c r="F1378" t="s">
        <v>6389</v>
      </c>
      <c r="G1378" t="s">
        <v>1715</v>
      </c>
      <c r="H1378" t="s">
        <v>6390</v>
      </c>
    </row>
    <row r="1379" spans="1:8" x14ac:dyDescent="0.25">
      <c r="A1379">
        <v>1426860</v>
      </c>
      <c r="B1379" t="s">
        <v>6235</v>
      </c>
      <c r="C1379" t="s">
        <v>32</v>
      </c>
      <c r="D1379" t="s">
        <v>89</v>
      </c>
      <c r="E1379" t="s">
        <v>673</v>
      </c>
      <c r="F1379" t="s">
        <v>6391</v>
      </c>
      <c r="G1379" t="s">
        <v>6392</v>
      </c>
      <c r="H1379" t="s">
        <v>6393</v>
      </c>
    </row>
    <row r="1380" spans="1:8" x14ac:dyDescent="0.25">
      <c r="A1380">
        <v>1426861</v>
      </c>
      <c r="B1380" t="s">
        <v>6235</v>
      </c>
      <c r="C1380" t="s">
        <v>32</v>
      </c>
      <c r="D1380" t="s">
        <v>89</v>
      </c>
      <c r="E1380" t="s">
        <v>673</v>
      </c>
      <c r="F1380" t="s">
        <v>6394</v>
      </c>
      <c r="G1380" t="s">
        <v>6395</v>
      </c>
      <c r="H1380" t="s">
        <v>6396</v>
      </c>
    </row>
    <row r="1381" spans="1:8" x14ac:dyDescent="0.25">
      <c r="A1381">
        <v>1426862</v>
      </c>
      <c r="B1381" t="s">
        <v>6235</v>
      </c>
      <c r="C1381" t="s">
        <v>32</v>
      </c>
      <c r="D1381" t="s">
        <v>89</v>
      </c>
      <c r="E1381" t="s">
        <v>673</v>
      </c>
      <c r="F1381" t="s">
        <v>6397</v>
      </c>
      <c r="G1381" t="s">
        <v>6398</v>
      </c>
      <c r="H1381" t="s">
        <v>6399</v>
      </c>
    </row>
    <row r="1382" spans="1:8" x14ac:dyDescent="0.25">
      <c r="A1382">
        <v>1427033</v>
      </c>
      <c r="B1382" t="s">
        <v>6235</v>
      </c>
      <c r="C1382" t="s">
        <v>32</v>
      </c>
      <c r="D1382" t="s">
        <v>89</v>
      </c>
      <c r="E1382" t="s">
        <v>674</v>
      </c>
      <c r="F1382" t="s">
        <v>6400</v>
      </c>
      <c r="G1382" t="s">
        <v>1717</v>
      </c>
      <c r="H1382" t="s">
        <v>6401</v>
      </c>
    </row>
    <row r="1383" spans="1:8" x14ac:dyDescent="0.25">
      <c r="A1383">
        <v>1427034</v>
      </c>
      <c r="B1383" t="s">
        <v>6235</v>
      </c>
      <c r="C1383" t="s">
        <v>32</v>
      </c>
      <c r="D1383" t="s">
        <v>89</v>
      </c>
      <c r="E1383" t="s">
        <v>674</v>
      </c>
      <c r="F1383" t="s">
        <v>6402</v>
      </c>
      <c r="G1383" t="s">
        <v>6403</v>
      </c>
      <c r="H1383" t="s">
        <v>6404</v>
      </c>
    </row>
    <row r="1384" spans="1:8" x14ac:dyDescent="0.25">
      <c r="A1384">
        <v>1427035</v>
      </c>
      <c r="B1384" t="s">
        <v>6235</v>
      </c>
      <c r="C1384" t="s">
        <v>32</v>
      </c>
      <c r="D1384" t="s">
        <v>89</v>
      </c>
      <c r="E1384" t="s">
        <v>674</v>
      </c>
      <c r="F1384" t="s">
        <v>6405</v>
      </c>
      <c r="G1384" t="s">
        <v>6406</v>
      </c>
      <c r="H1384" t="s">
        <v>6407</v>
      </c>
    </row>
    <row r="1385" spans="1:8" x14ac:dyDescent="0.25">
      <c r="A1385">
        <v>1427036</v>
      </c>
      <c r="B1385" t="s">
        <v>6235</v>
      </c>
      <c r="C1385" t="s">
        <v>32</v>
      </c>
      <c r="D1385" t="s">
        <v>89</v>
      </c>
      <c r="E1385" t="s">
        <v>674</v>
      </c>
      <c r="F1385" t="s">
        <v>6408</v>
      </c>
      <c r="G1385" t="s">
        <v>6409</v>
      </c>
      <c r="H1385" t="s">
        <v>6410</v>
      </c>
    </row>
    <row r="1386" spans="1:8" x14ac:dyDescent="0.25">
      <c r="A1386">
        <v>1427037</v>
      </c>
      <c r="B1386" t="s">
        <v>6235</v>
      </c>
      <c r="C1386" t="s">
        <v>32</v>
      </c>
      <c r="D1386" t="s">
        <v>89</v>
      </c>
      <c r="E1386" t="s">
        <v>674</v>
      </c>
      <c r="F1386" t="s">
        <v>6411</v>
      </c>
      <c r="G1386" t="s">
        <v>6412</v>
      </c>
      <c r="H1386" t="s">
        <v>6413</v>
      </c>
    </row>
    <row r="1387" spans="1:8" x14ac:dyDescent="0.25">
      <c r="A1387">
        <v>1427201</v>
      </c>
      <c r="B1387" t="s">
        <v>6235</v>
      </c>
      <c r="C1387" t="s">
        <v>32</v>
      </c>
      <c r="D1387" t="s">
        <v>89</v>
      </c>
      <c r="E1387" t="s">
        <v>675</v>
      </c>
      <c r="F1387" t="s">
        <v>6414</v>
      </c>
      <c r="G1387" t="s">
        <v>6415</v>
      </c>
      <c r="H1387" t="s">
        <v>6416</v>
      </c>
    </row>
    <row r="1388" spans="1:8" x14ac:dyDescent="0.25">
      <c r="A1388">
        <v>1427202</v>
      </c>
      <c r="B1388" t="s">
        <v>6235</v>
      </c>
      <c r="C1388" t="s">
        <v>32</v>
      </c>
      <c r="D1388" t="s">
        <v>89</v>
      </c>
      <c r="E1388" t="s">
        <v>675</v>
      </c>
      <c r="F1388" t="s">
        <v>6417</v>
      </c>
      <c r="G1388" t="s">
        <v>6418</v>
      </c>
      <c r="H1388" t="s">
        <v>6419</v>
      </c>
    </row>
    <row r="1389" spans="1:8" x14ac:dyDescent="0.25">
      <c r="A1389">
        <v>1427203</v>
      </c>
      <c r="B1389" t="s">
        <v>6235</v>
      </c>
      <c r="C1389" t="s">
        <v>32</v>
      </c>
      <c r="D1389" t="s">
        <v>89</v>
      </c>
      <c r="E1389" t="s">
        <v>675</v>
      </c>
      <c r="F1389" t="s">
        <v>6420</v>
      </c>
      <c r="G1389" t="s">
        <v>6421</v>
      </c>
      <c r="H1389" t="s">
        <v>6422</v>
      </c>
    </row>
    <row r="1390" spans="1:8" x14ac:dyDescent="0.25">
      <c r="A1390">
        <v>1432136</v>
      </c>
      <c r="B1390" t="s">
        <v>6235</v>
      </c>
      <c r="C1390" t="s">
        <v>32</v>
      </c>
      <c r="D1390" t="s">
        <v>40</v>
      </c>
      <c r="E1390" t="s">
        <v>660</v>
      </c>
      <c r="F1390" t="s">
        <v>6423</v>
      </c>
      <c r="G1390" t="s">
        <v>6424</v>
      </c>
      <c r="H1390" t="s">
        <v>6425</v>
      </c>
    </row>
    <row r="1391" spans="1:8" x14ac:dyDescent="0.25">
      <c r="A1391">
        <v>1432138</v>
      </c>
      <c r="B1391" t="s">
        <v>6235</v>
      </c>
      <c r="C1391" t="s">
        <v>32</v>
      </c>
      <c r="D1391" t="s">
        <v>40</v>
      </c>
      <c r="E1391" t="s">
        <v>660</v>
      </c>
      <c r="F1391" t="s">
        <v>6426</v>
      </c>
      <c r="G1391" t="s">
        <v>2085</v>
      </c>
      <c r="H1391" t="s">
        <v>6427</v>
      </c>
    </row>
    <row r="1392" spans="1:8" x14ac:dyDescent="0.25">
      <c r="A1392">
        <v>1432440</v>
      </c>
      <c r="B1392" t="s">
        <v>6235</v>
      </c>
      <c r="C1392" t="s">
        <v>32</v>
      </c>
      <c r="D1392" t="s">
        <v>40</v>
      </c>
      <c r="E1392" t="s">
        <v>645</v>
      </c>
      <c r="F1392" t="s">
        <v>6428</v>
      </c>
      <c r="G1392" t="s">
        <v>2095</v>
      </c>
      <c r="H1392" t="s">
        <v>6429</v>
      </c>
    </row>
    <row r="1393" spans="1:8" x14ac:dyDescent="0.25">
      <c r="A1393">
        <v>1432442</v>
      </c>
      <c r="B1393" t="s">
        <v>6235</v>
      </c>
      <c r="C1393" t="s">
        <v>32</v>
      </c>
      <c r="D1393" t="s">
        <v>40</v>
      </c>
      <c r="E1393" t="s">
        <v>645</v>
      </c>
      <c r="F1393" t="s">
        <v>2094</v>
      </c>
      <c r="G1393" t="s">
        <v>2099</v>
      </c>
      <c r="H1393" t="s">
        <v>6430</v>
      </c>
    </row>
    <row r="1394" spans="1:8" x14ac:dyDescent="0.25">
      <c r="A1394">
        <v>1438085</v>
      </c>
      <c r="B1394" t="s">
        <v>6235</v>
      </c>
      <c r="C1394" t="s">
        <v>32</v>
      </c>
      <c r="D1394" t="s">
        <v>58</v>
      </c>
      <c r="E1394" t="s">
        <v>621</v>
      </c>
      <c r="F1394" t="s">
        <v>1452</v>
      </c>
      <c r="G1394" t="s">
        <v>6431</v>
      </c>
      <c r="H1394" t="s">
        <v>6432</v>
      </c>
    </row>
    <row r="1395" spans="1:8" x14ac:dyDescent="0.25">
      <c r="A1395">
        <v>1438391</v>
      </c>
      <c r="B1395" t="s">
        <v>6235</v>
      </c>
      <c r="C1395" t="s">
        <v>32</v>
      </c>
      <c r="D1395" t="s">
        <v>58</v>
      </c>
      <c r="E1395" t="s">
        <v>622</v>
      </c>
      <c r="F1395" t="s">
        <v>1548</v>
      </c>
      <c r="G1395" t="s">
        <v>6433</v>
      </c>
      <c r="H1395" t="s">
        <v>6434</v>
      </c>
    </row>
    <row r="1396" spans="1:8" x14ac:dyDescent="0.25">
      <c r="A1396">
        <v>1459058</v>
      </c>
      <c r="B1396" t="s">
        <v>6235</v>
      </c>
      <c r="C1396" t="s">
        <v>32</v>
      </c>
      <c r="D1396" t="s">
        <v>40</v>
      </c>
      <c r="E1396" t="s">
        <v>639</v>
      </c>
      <c r="F1396" t="s">
        <v>2222</v>
      </c>
      <c r="G1396" t="s">
        <v>6435</v>
      </c>
      <c r="H1396" t="s">
        <v>6436</v>
      </c>
    </row>
    <row r="1397" spans="1:8" x14ac:dyDescent="0.25">
      <c r="A1397">
        <v>1459730</v>
      </c>
      <c r="B1397" t="s">
        <v>6235</v>
      </c>
      <c r="C1397" t="s">
        <v>32</v>
      </c>
      <c r="D1397" t="s">
        <v>40</v>
      </c>
      <c r="E1397" t="s">
        <v>646</v>
      </c>
      <c r="F1397" t="s">
        <v>2110</v>
      </c>
      <c r="G1397" t="s">
        <v>554</v>
      </c>
      <c r="H1397" t="s">
        <v>6437</v>
      </c>
    </row>
    <row r="1398" spans="1:8" x14ac:dyDescent="0.25">
      <c r="A1398">
        <v>1460347</v>
      </c>
      <c r="B1398" t="s">
        <v>6235</v>
      </c>
      <c r="C1398" t="s">
        <v>32</v>
      </c>
      <c r="D1398" t="s">
        <v>40</v>
      </c>
      <c r="E1398" t="s">
        <v>647</v>
      </c>
      <c r="F1398" t="s">
        <v>1102</v>
      </c>
      <c r="G1398" t="s">
        <v>6438</v>
      </c>
      <c r="H1398" t="s">
        <v>6439</v>
      </c>
    </row>
    <row r="1399" spans="1:8" x14ac:dyDescent="0.25">
      <c r="A1399">
        <v>1461262</v>
      </c>
      <c r="B1399" t="s">
        <v>6235</v>
      </c>
      <c r="C1399" t="s">
        <v>32</v>
      </c>
      <c r="D1399" t="s">
        <v>40</v>
      </c>
      <c r="E1399" t="s">
        <v>648</v>
      </c>
      <c r="F1399" t="s">
        <v>6440</v>
      </c>
      <c r="G1399" t="s">
        <v>6441</v>
      </c>
      <c r="H1399" t="s">
        <v>6442</v>
      </c>
    </row>
    <row r="1400" spans="1:8" x14ac:dyDescent="0.25">
      <c r="A1400">
        <v>1461561</v>
      </c>
      <c r="B1400" t="s">
        <v>6235</v>
      </c>
      <c r="C1400" t="s">
        <v>32</v>
      </c>
      <c r="D1400" t="s">
        <v>40</v>
      </c>
      <c r="E1400" t="s">
        <v>584</v>
      </c>
      <c r="F1400" t="s">
        <v>6443</v>
      </c>
      <c r="G1400" t="s">
        <v>1262</v>
      </c>
      <c r="H1400" t="s">
        <v>6444</v>
      </c>
    </row>
    <row r="1401" spans="1:8" x14ac:dyDescent="0.25">
      <c r="A1401">
        <v>1461562</v>
      </c>
      <c r="B1401" t="s">
        <v>6235</v>
      </c>
      <c r="C1401" t="s">
        <v>34</v>
      </c>
      <c r="D1401" t="s">
        <v>40</v>
      </c>
      <c r="E1401" t="s">
        <v>584</v>
      </c>
      <c r="F1401" t="s">
        <v>6445</v>
      </c>
      <c r="G1401" t="s">
        <v>1257</v>
      </c>
      <c r="H1401" t="s">
        <v>6446</v>
      </c>
    </row>
    <row r="1402" spans="1:8" x14ac:dyDescent="0.25">
      <c r="A1402">
        <v>1461563</v>
      </c>
      <c r="B1402" t="s">
        <v>6235</v>
      </c>
      <c r="C1402" t="s">
        <v>34</v>
      </c>
      <c r="D1402" t="s">
        <v>40</v>
      </c>
      <c r="E1402" t="s">
        <v>584</v>
      </c>
      <c r="F1402" t="s">
        <v>6447</v>
      </c>
      <c r="G1402" t="s">
        <v>1258</v>
      </c>
      <c r="H1402" t="s">
        <v>6448</v>
      </c>
    </row>
    <row r="1403" spans="1:8" x14ac:dyDescent="0.25">
      <c r="A1403">
        <v>1462173</v>
      </c>
      <c r="B1403" t="s">
        <v>6235</v>
      </c>
      <c r="C1403" t="s">
        <v>32</v>
      </c>
      <c r="D1403" t="s">
        <v>40</v>
      </c>
      <c r="E1403" t="s">
        <v>1126</v>
      </c>
      <c r="F1403" t="s">
        <v>2254</v>
      </c>
      <c r="G1403" t="s">
        <v>2193</v>
      </c>
      <c r="H1403" t="s">
        <v>6449</v>
      </c>
    </row>
    <row r="1404" spans="1:8" x14ac:dyDescent="0.25">
      <c r="A1404">
        <v>1463393</v>
      </c>
      <c r="B1404" t="s">
        <v>6235</v>
      </c>
      <c r="C1404" t="s">
        <v>32</v>
      </c>
      <c r="D1404" t="s">
        <v>40</v>
      </c>
      <c r="E1404" t="s">
        <v>652</v>
      </c>
      <c r="F1404" t="s">
        <v>6450</v>
      </c>
      <c r="G1404" t="s">
        <v>6451</v>
      </c>
      <c r="H1404" t="s">
        <v>6452</v>
      </c>
    </row>
    <row r="1405" spans="1:8" x14ac:dyDescent="0.25">
      <c r="A1405">
        <v>1474840</v>
      </c>
      <c r="B1405" t="s">
        <v>6235</v>
      </c>
      <c r="C1405" t="s">
        <v>32</v>
      </c>
      <c r="D1405" t="s">
        <v>267</v>
      </c>
      <c r="E1405" t="s">
        <v>632</v>
      </c>
      <c r="F1405" t="s">
        <v>6453</v>
      </c>
      <c r="G1405" t="s">
        <v>6454</v>
      </c>
      <c r="H1405" t="s">
        <v>6455</v>
      </c>
    </row>
    <row r="1406" spans="1:8" x14ac:dyDescent="0.25">
      <c r="A1406">
        <v>1479751</v>
      </c>
      <c r="B1406" t="s">
        <v>6235</v>
      </c>
      <c r="C1406" t="s">
        <v>32</v>
      </c>
      <c r="D1406" t="s">
        <v>41</v>
      </c>
      <c r="E1406" t="s">
        <v>3292</v>
      </c>
      <c r="F1406" t="s">
        <v>6456</v>
      </c>
      <c r="G1406" t="s">
        <v>6457</v>
      </c>
      <c r="H1406" t="s">
        <v>6458</v>
      </c>
    </row>
    <row r="1407" spans="1:8" x14ac:dyDescent="0.25">
      <c r="A1407">
        <v>1490165</v>
      </c>
      <c r="B1407" t="s">
        <v>6235</v>
      </c>
      <c r="C1407" t="s">
        <v>32</v>
      </c>
      <c r="D1407" t="s">
        <v>362</v>
      </c>
      <c r="E1407" t="s">
        <v>413</v>
      </c>
      <c r="F1407" t="s">
        <v>2414</v>
      </c>
      <c r="G1407" t="s">
        <v>715</v>
      </c>
      <c r="H1407" t="s">
        <v>6459</v>
      </c>
    </row>
    <row r="1408" spans="1:8" x14ac:dyDescent="0.25">
      <c r="A1408">
        <v>1491402</v>
      </c>
      <c r="B1408" t="s">
        <v>6235</v>
      </c>
      <c r="C1408" t="s">
        <v>32</v>
      </c>
      <c r="D1408" t="s">
        <v>80</v>
      </c>
      <c r="E1408" t="s">
        <v>342</v>
      </c>
      <c r="F1408" t="s">
        <v>6460</v>
      </c>
      <c r="G1408" t="s">
        <v>6461</v>
      </c>
      <c r="H1408" t="s">
        <v>6462</v>
      </c>
    </row>
    <row r="1409" spans="1:8" x14ac:dyDescent="0.25">
      <c r="A1409">
        <v>1494578</v>
      </c>
      <c r="B1409" t="s">
        <v>6235</v>
      </c>
      <c r="C1409" t="s">
        <v>32</v>
      </c>
      <c r="D1409" t="s">
        <v>80</v>
      </c>
      <c r="E1409" t="s">
        <v>81</v>
      </c>
      <c r="F1409" t="s">
        <v>6463</v>
      </c>
      <c r="G1409" t="s">
        <v>2057</v>
      </c>
      <c r="H1409" t="s">
        <v>6464</v>
      </c>
    </row>
    <row r="1410" spans="1:8" x14ac:dyDescent="0.25">
      <c r="A1410">
        <v>1494579</v>
      </c>
      <c r="B1410" t="s">
        <v>6235</v>
      </c>
      <c r="C1410" t="s">
        <v>32</v>
      </c>
      <c r="D1410" t="s">
        <v>80</v>
      </c>
      <c r="E1410" t="s">
        <v>81</v>
      </c>
      <c r="F1410" t="s">
        <v>6465</v>
      </c>
      <c r="G1410" t="s">
        <v>2060</v>
      </c>
      <c r="H1410" t="s">
        <v>6466</v>
      </c>
    </row>
    <row r="1411" spans="1:8" x14ac:dyDescent="0.25">
      <c r="A1411">
        <v>1494605</v>
      </c>
      <c r="B1411" t="s">
        <v>6235</v>
      </c>
      <c r="C1411" t="s">
        <v>32</v>
      </c>
      <c r="D1411" t="s">
        <v>85</v>
      </c>
      <c r="E1411" t="s">
        <v>5853</v>
      </c>
      <c r="F1411" t="s">
        <v>6467</v>
      </c>
      <c r="G1411" t="s">
        <v>6468</v>
      </c>
      <c r="H1411" t="s">
        <v>6469</v>
      </c>
    </row>
    <row r="1412" spans="1:8" x14ac:dyDescent="0.25">
      <c r="A1412">
        <v>1498380</v>
      </c>
      <c r="B1412" t="s">
        <v>6235</v>
      </c>
      <c r="C1412" t="s">
        <v>32</v>
      </c>
      <c r="D1412" t="s">
        <v>28</v>
      </c>
      <c r="E1412" t="s">
        <v>242</v>
      </c>
      <c r="F1412" t="s">
        <v>6470</v>
      </c>
      <c r="G1412" t="s">
        <v>6471</v>
      </c>
      <c r="H1412" t="s">
        <v>6472</v>
      </c>
    </row>
    <row r="1413" spans="1:8" x14ac:dyDescent="0.25">
      <c r="A1413">
        <v>1499321</v>
      </c>
      <c r="B1413" t="s">
        <v>6235</v>
      </c>
      <c r="C1413" t="s">
        <v>32</v>
      </c>
      <c r="D1413" t="s">
        <v>28</v>
      </c>
      <c r="E1413" t="s">
        <v>6473</v>
      </c>
      <c r="F1413" t="s">
        <v>6474</v>
      </c>
      <c r="G1413" t="s">
        <v>6475</v>
      </c>
      <c r="H1413" t="s">
        <v>6476</v>
      </c>
    </row>
    <row r="1414" spans="1:8" x14ac:dyDescent="0.25">
      <c r="A1414">
        <v>1499323</v>
      </c>
      <c r="B1414" t="s">
        <v>6235</v>
      </c>
      <c r="C1414" t="s">
        <v>32</v>
      </c>
      <c r="D1414" t="s">
        <v>28</v>
      </c>
      <c r="E1414" t="s">
        <v>6473</v>
      </c>
      <c r="F1414" t="s">
        <v>6477</v>
      </c>
      <c r="G1414" t="s">
        <v>6478</v>
      </c>
      <c r="H1414" t="s">
        <v>6479</v>
      </c>
    </row>
    <row r="1415" spans="1:8" x14ac:dyDescent="0.25">
      <c r="A1415">
        <v>1499328</v>
      </c>
      <c r="B1415" t="s">
        <v>6235</v>
      </c>
      <c r="C1415" t="s">
        <v>32</v>
      </c>
      <c r="D1415" t="s">
        <v>28</v>
      </c>
      <c r="E1415" t="s">
        <v>6473</v>
      </c>
      <c r="F1415" t="s">
        <v>6480</v>
      </c>
      <c r="G1415" t="s">
        <v>6481</v>
      </c>
      <c r="H1415" t="s">
        <v>6482</v>
      </c>
    </row>
    <row r="1416" spans="1:8" x14ac:dyDescent="0.25">
      <c r="A1416">
        <v>1506435</v>
      </c>
      <c r="B1416" t="s">
        <v>6235</v>
      </c>
      <c r="C1416" t="s">
        <v>32</v>
      </c>
      <c r="D1416" t="s">
        <v>610</v>
      </c>
      <c r="E1416" t="s">
        <v>668</v>
      </c>
      <c r="F1416" t="s">
        <v>2005</v>
      </c>
      <c r="G1416" t="s">
        <v>6483</v>
      </c>
      <c r="H1416" t="s">
        <v>6484</v>
      </c>
    </row>
    <row r="1417" spans="1:8" x14ac:dyDescent="0.25">
      <c r="A1417">
        <v>1509729</v>
      </c>
      <c r="B1417" t="s">
        <v>6235</v>
      </c>
      <c r="C1417" t="s">
        <v>32</v>
      </c>
      <c r="D1417" t="s">
        <v>58</v>
      </c>
      <c r="E1417" t="s">
        <v>3303</v>
      </c>
      <c r="F1417" t="s">
        <v>6485</v>
      </c>
      <c r="G1417" t="s">
        <v>6486</v>
      </c>
      <c r="H1417" t="s">
        <v>6487</v>
      </c>
    </row>
    <row r="1418" spans="1:8" x14ac:dyDescent="0.25">
      <c r="A1418">
        <v>1515032</v>
      </c>
      <c r="B1418" t="s">
        <v>6235</v>
      </c>
      <c r="C1418" t="s">
        <v>32</v>
      </c>
      <c r="D1418" t="s">
        <v>53</v>
      </c>
      <c r="E1418" t="s">
        <v>654</v>
      </c>
      <c r="F1418" t="s">
        <v>6488</v>
      </c>
      <c r="G1418" t="s">
        <v>2354</v>
      </c>
      <c r="H1418" t="s">
        <v>6489</v>
      </c>
    </row>
    <row r="1419" spans="1:8" x14ac:dyDescent="0.25">
      <c r="A1419">
        <v>1515091</v>
      </c>
      <c r="B1419" t="s">
        <v>6235</v>
      </c>
      <c r="C1419" t="s">
        <v>32</v>
      </c>
      <c r="D1419" t="s">
        <v>53</v>
      </c>
      <c r="E1419" t="s">
        <v>654</v>
      </c>
      <c r="F1419" t="s">
        <v>6490</v>
      </c>
      <c r="G1419" t="s">
        <v>6491</v>
      </c>
      <c r="H1419" t="s">
        <v>6492</v>
      </c>
    </row>
    <row r="1420" spans="1:8" x14ac:dyDescent="0.25">
      <c r="A1420">
        <v>1528482</v>
      </c>
      <c r="B1420" t="s">
        <v>6235</v>
      </c>
      <c r="C1420" t="s">
        <v>32</v>
      </c>
      <c r="D1420" t="s">
        <v>268</v>
      </c>
      <c r="E1420" t="s">
        <v>265</v>
      </c>
      <c r="F1420" t="s">
        <v>6493</v>
      </c>
      <c r="G1420" t="s">
        <v>6494</v>
      </c>
      <c r="H1420" t="s">
        <v>6495</v>
      </c>
    </row>
    <row r="1421" spans="1:8" x14ac:dyDescent="0.25">
      <c r="A1421">
        <v>1534226</v>
      </c>
      <c r="B1421" t="s">
        <v>6235</v>
      </c>
      <c r="C1421" t="s">
        <v>32</v>
      </c>
      <c r="D1421" t="s">
        <v>334</v>
      </c>
      <c r="E1421" t="s">
        <v>335</v>
      </c>
      <c r="F1421" t="s">
        <v>6496</v>
      </c>
      <c r="G1421" t="s">
        <v>6497</v>
      </c>
      <c r="H1421" t="s">
        <v>6498</v>
      </c>
    </row>
    <row r="1422" spans="1:8" x14ac:dyDescent="0.25">
      <c r="A1422">
        <v>1387008</v>
      </c>
      <c r="B1422" t="s">
        <v>6499</v>
      </c>
      <c r="C1422" t="s">
        <v>32</v>
      </c>
      <c r="D1422" t="s">
        <v>65</v>
      </c>
      <c r="E1422" t="s">
        <v>70</v>
      </c>
      <c r="F1422" t="s">
        <v>6500</v>
      </c>
      <c r="G1422" t="s">
        <v>6501</v>
      </c>
      <c r="H1422" t="s">
        <v>6502</v>
      </c>
    </row>
    <row r="1423" spans="1:8" x14ac:dyDescent="0.25">
      <c r="A1423">
        <v>1417573</v>
      </c>
      <c r="B1423" t="s">
        <v>6499</v>
      </c>
      <c r="C1423" t="s">
        <v>32</v>
      </c>
      <c r="D1423" t="s">
        <v>403</v>
      </c>
      <c r="E1423" t="s">
        <v>404</v>
      </c>
      <c r="F1423" t="s">
        <v>6503</v>
      </c>
      <c r="G1423" t="s">
        <v>6504</v>
      </c>
      <c r="H1423" t="s">
        <v>6505</v>
      </c>
    </row>
    <row r="1424" spans="1:8" x14ac:dyDescent="0.25">
      <c r="A1424">
        <v>1509006</v>
      </c>
      <c r="B1424" t="s">
        <v>6499</v>
      </c>
      <c r="C1424" t="s">
        <v>32</v>
      </c>
      <c r="D1424" t="s">
        <v>240</v>
      </c>
      <c r="E1424" t="s">
        <v>49</v>
      </c>
      <c r="F1424" t="s">
        <v>6506</v>
      </c>
      <c r="G1424" t="s">
        <v>6507</v>
      </c>
      <c r="H1424" t="s">
        <v>6508</v>
      </c>
    </row>
    <row r="1425" spans="1:8" x14ac:dyDescent="0.25">
      <c r="A1425">
        <v>1379272</v>
      </c>
      <c r="B1425" t="s">
        <v>6509</v>
      </c>
      <c r="C1425" t="s">
        <v>32</v>
      </c>
      <c r="D1425" t="s">
        <v>65</v>
      </c>
      <c r="E1425" t="s">
        <v>49</v>
      </c>
      <c r="F1425" t="s">
        <v>6510</v>
      </c>
      <c r="G1425" t="s">
        <v>677</v>
      </c>
      <c r="H1425" t="s">
        <v>6511</v>
      </c>
    </row>
    <row r="1426" spans="1:8" x14ac:dyDescent="0.25">
      <c r="A1426">
        <v>1385110</v>
      </c>
      <c r="B1426" t="s">
        <v>6509</v>
      </c>
      <c r="C1426" t="s">
        <v>32</v>
      </c>
      <c r="D1426" t="s">
        <v>63</v>
      </c>
      <c r="E1426" t="s">
        <v>265</v>
      </c>
      <c r="F1426" t="s">
        <v>2506</v>
      </c>
      <c r="G1426" t="s">
        <v>2210</v>
      </c>
      <c r="H1426" t="s">
        <v>6512</v>
      </c>
    </row>
    <row r="1427" spans="1:8" x14ac:dyDescent="0.25">
      <c r="A1427">
        <v>1388544</v>
      </c>
      <c r="B1427" t="s">
        <v>6509</v>
      </c>
      <c r="C1427" t="s">
        <v>32</v>
      </c>
      <c r="D1427" t="s">
        <v>43</v>
      </c>
      <c r="E1427" t="s">
        <v>347</v>
      </c>
      <c r="F1427" t="s">
        <v>6513</v>
      </c>
      <c r="G1427" t="s">
        <v>6514</v>
      </c>
      <c r="H1427" t="s">
        <v>6515</v>
      </c>
    </row>
    <row r="1428" spans="1:8" x14ac:dyDescent="0.25">
      <c r="A1428">
        <v>1389060</v>
      </c>
      <c r="B1428" t="s">
        <v>6509</v>
      </c>
      <c r="C1428" t="s">
        <v>32</v>
      </c>
      <c r="D1428" t="s">
        <v>64</v>
      </c>
      <c r="E1428" t="s">
        <v>269</v>
      </c>
      <c r="F1428" t="s">
        <v>6516</v>
      </c>
      <c r="G1428" t="s">
        <v>2260</v>
      </c>
      <c r="H1428" t="s">
        <v>6517</v>
      </c>
    </row>
    <row r="1429" spans="1:8" x14ac:dyDescent="0.25">
      <c r="A1429">
        <v>1391104</v>
      </c>
      <c r="B1429" t="s">
        <v>6509</v>
      </c>
      <c r="C1429" t="s">
        <v>32</v>
      </c>
      <c r="D1429" t="s">
        <v>40</v>
      </c>
      <c r="E1429" t="s">
        <v>74</v>
      </c>
      <c r="F1429" t="s">
        <v>6518</v>
      </c>
      <c r="G1429" t="s">
        <v>2551</v>
      </c>
      <c r="H1429" t="s">
        <v>6519</v>
      </c>
    </row>
    <row r="1430" spans="1:8" x14ac:dyDescent="0.25">
      <c r="A1430">
        <v>1391105</v>
      </c>
      <c r="B1430" t="s">
        <v>6509</v>
      </c>
      <c r="C1430" t="s">
        <v>32</v>
      </c>
      <c r="D1430" t="s">
        <v>40</v>
      </c>
      <c r="E1430" t="s">
        <v>74</v>
      </c>
      <c r="F1430" t="s">
        <v>6520</v>
      </c>
      <c r="G1430" t="s">
        <v>6521</v>
      </c>
      <c r="H1430" t="s">
        <v>6522</v>
      </c>
    </row>
    <row r="1431" spans="1:8" x14ac:dyDescent="0.25">
      <c r="A1431">
        <v>1392101</v>
      </c>
      <c r="B1431" t="s">
        <v>6509</v>
      </c>
      <c r="C1431" t="s">
        <v>32</v>
      </c>
      <c r="D1431" t="s">
        <v>40</v>
      </c>
      <c r="E1431" t="s">
        <v>75</v>
      </c>
      <c r="F1431" t="s">
        <v>6523</v>
      </c>
      <c r="G1431" t="s">
        <v>6524</v>
      </c>
      <c r="H1431" t="s">
        <v>6525</v>
      </c>
    </row>
    <row r="1432" spans="1:8" x14ac:dyDescent="0.25">
      <c r="A1432">
        <v>1399861</v>
      </c>
      <c r="B1432" t="s">
        <v>6509</v>
      </c>
      <c r="C1432" t="s">
        <v>32</v>
      </c>
      <c r="D1432" t="s">
        <v>65</v>
      </c>
      <c r="E1432" t="s">
        <v>104</v>
      </c>
      <c r="F1432" t="s">
        <v>6526</v>
      </c>
      <c r="G1432" t="s">
        <v>6527</v>
      </c>
      <c r="H1432" t="s">
        <v>6528</v>
      </c>
    </row>
    <row r="1433" spans="1:8" x14ac:dyDescent="0.25">
      <c r="A1433">
        <v>1400200</v>
      </c>
      <c r="B1433" t="s">
        <v>6509</v>
      </c>
      <c r="C1433" t="s">
        <v>32</v>
      </c>
      <c r="D1433" t="s">
        <v>377</v>
      </c>
      <c r="E1433" t="s">
        <v>49</v>
      </c>
      <c r="F1433" t="s">
        <v>6529</v>
      </c>
      <c r="G1433" t="s">
        <v>6530</v>
      </c>
      <c r="H1433" t="s">
        <v>6531</v>
      </c>
    </row>
    <row r="1434" spans="1:8" x14ac:dyDescent="0.25">
      <c r="A1434">
        <v>1423028</v>
      </c>
      <c r="B1434" t="s">
        <v>6509</v>
      </c>
      <c r="C1434" t="s">
        <v>32</v>
      </c>
      <c r="D1434" t="s">
        <v>89</v>
      </c>
      <c r="E1434" t="s">
        <v>6266</v>
      </c>
      <c r="F1434" t="s">
        <v>6532</v>
      </c>
      <c r="G1434" t="s">
        <v>6533</v>
      </c>
      <c r="H1434" t="s">
        <v>6534</v>
      </c>
    </row>
    <row r="1435" spans="1:8" x14ac:dyDescent="0.25">
      <c r="A1435">
        <v>1425999</v>
      </c>
      <c r="B1435" t="s">
        <v>6509</v>
      </c>
      <c r="C1435" t="s">
        <v>32</v>
      </c>
      <c r="D1435" t="s">
        <v>89</v>
      </c>
      <c r="E1435" t="s">
        <v>670</v>
      </c>
      <c r="F1435" t="s">
        <v>6535</v>
      </c>
      <c r="G1435" t="s">
        <v>6536</v>
      </c>
      <c r="H1435" t="s">
        <v>6537</v>
      </c>
    </row>
    <row r="1436" spans="1:8" x14ac:dyDescent="0.25">
      <c r="A1436">
        <v>1426000</v>
      </c>
      <c r="B1436" t="s">
        <v>6509</v>
      </c>
      <c r="C1436" t="s">
        <v>32</v>
      </c>
      <c r="D1436" t="s">
        <v>89</v>
      </c>
      <c r="E1436" t="s">
        <v>670</v>
      </c>
      <c r="F1436" t="s">
        <v>6538</v>
      </c>
      <c r="G1436" t="s">
        <v>6539</v>
      </c>
      <c r="H1436" t="s">
        <v>6540</v>
      </c>
    </row>
    <row r="1437" spans="1:8" x14ac:dyDescent="0.25">
      <c r="A1437">
        <v>1426162</v>
      </c>
      <c r="B1437" t="s">
        <v>6509</v>
      </c>
      <c r="C1437" t="s">
        <v>32</v>
      </c>
      <c r="D1437" t="s">
        <v>89</v>
      </c>
      <c r="E1437" t="s">
        <v>671</v>
      </c>
      <c r="F1437" t="s">
        <v>6541</v>
      </c>
      <c r="G1437" t="s">
        <v>6542</v>
      </c>
      <c r="H1437" t="s">
        <v>6543</v>
      </c>
    </row>
    <row r="1438" spans="1:8" x14ac:dyDescent="0.25">
      <c r="A1438">
        <v>1426863</v>
      </c>
      <c r="B1438" t="s">
        <v>6509</v>
      </c>
      <c r="C1438" t="s">
        <v>32</v>
      </c>
      <c r="D1438" t="s">
        <v>89</v>
      </c>
      <c r="E1438" t="s">
        <v>673</v>
      </c>
      <c r="F1438" t="s">
        <v>6544</v>
      </c>
      <c r="G1438" t="s">
        <v>6545</v>
      </c>
      <c r="H1438" t="s">
        <v>6546</v>
      </c>
    </row>
    <row r="1439" spans="1:8" x14ac:dyDescent="0.25">
      <c r="A1439">
        <v>1427204</v>
      </c>
      <c r="B1439" t="s">
        <v>6509</v>
      </c>
      <c r="C1439" t="s">
        <v>32</v>
      </c>
      <c r="D1439" t="s">
        <v>89</v>
      </c>
      <c r="E1439" t="s">
        <v>675</v>
      </c>
      <c r="F1439" t="s">
        <v>6547</v>
      </c>
      <c r="G1439" t="s">
        <v>1721</v>
      </c>
      <c r="H1439" t="s">
        <v>6548</v>
      </c>
    </row>
    <row r="1440" spans="1:8" x14ac:dyDescent="0.25">
      <c r="A1440">
        <v>1427205</v>
      </c>
      <c r="B1440" t="s">
        <v>6509</v>
      </c>
      <c r="C1440" t="s">
        <v>32</v>
      </c>
      <c r="D1440" t="s">
        <v>89</v>
      </c>
      <c r="E1440" t="s">
        <v>675</v>
      </c>
      <c r="F1440" t="s">
        <v>6549</v>
      </c>
      <c r="G1440" t="s">
        <v>6550</v>
      </c>
      <c r="H1440" t="s">
        <v>6551</v>
      </c>
    </row>
    <row r="1441" spans="1:8" x14ac:dyDescent="0.25">
      <c r="A1441">
        <v>1431410</v>
      </c>
      <c r="B1441" t="s">
        <v>6509</v>
      </c>
      <c r="C1441" t="s">
        <v>32</v>
      </c>
      <c r="D1441" t="s">
        <v>40</v>
      </c>
      <c r="E1441" t="s">
        <v>349</v>
      </c>
      <c r="F1441" t="s">
        <v>6552</v>
      </c>
      <c r="G1441" t="s">
        <v>1033</v>
      </c>
      <c r="H1441" t="s">
        <v>6553</v>
      </c>
    </row>
    <row r="1442" spans="1:8" x14ac:dyDescent="0.25">
      <c r="A1442">
        <v>1431411</v>
      </c>
      <c r="B1442" t="s">
        <v>6509</v>
      </c>
      <c r="C1442" t="s">
        <v>32</v>
      </c>
      <c r="D1442" t="s">
        <v>40</v>
      </c>
      <c r="E1442" t="s">
        <v>349</v>
      </c>
      <c r="F1442" t="s">
        <v>2238</v>
      </c>
      <c r="G1442" t="s">
        <v>1914</v>
      </c>
      <c r="H1442" t="s">
        <v>6554</v>
      </c>
    </row>
    <row r="1443" spans="1:8" x14ac:dyDescent="0.25">
      <c r="A1443">
        <v>1431416</v>
      </c>
      <c r="B1443" t="s">
        <v>6509</v>
      </c>
      <c r="C1443" t="s">
        <v>32</v>
      </c>
      <c r="D1443" t="s">
        <v>40</v>
      </c>
      <c r="E1443" t="s">
        <v>349</v>
      </c>
      <c r="F1443" t="s">
        <v>1034</v>
      </c>
      <c r="G1443" t="s">
        <v>6555</v>
      </c>
      <c r="H1443" t="s">
        <v>6556</v>
      </c>
    </row>
    <row r="1444" spans="1:8" x14ac:dyDescent="0.25">
      <c r="A1444">
        <v>1431418</v>
      </c>
      <c r="B1444" t="s">
        <v>6509</v>
      </c>
      <c r="C1444" t="s">
        <v>32</v>
      </c>
      <c r="D1444" t="s">
        <v>40</v>
      </c>
      <c r="E1444" t="s">
        <v>349</v>
      </c>
      <c r="F1444" t="s">
        <v>1032</v>
      </c>
      <c r="G1444" t="s">
        <v>1035</v>
      </c>
      <c r="H1444" t="s">
        <v>6557</v>
      </c>
    </row>
    <row r="1445" spans="1:8" x14ac:dyDescent="0.25">
      <c r="A1445">
        <v>1432441</v>
      </c>
      <c r="B1445" t="s">
        <v>6509</v>
      </c>
      <c r="C1445" t="s">
        <v>32</v>
      </c>
      <c r="D1445" t="s">
        <v>40</v>
      </c>
      <c r="E1445" t="s">
        <v>645</v>
      </c>
      <c r="F1445" t="s">
        <v>1042</v>
      </c>
      <c r="G1445" t="s">
        <v>1041</v>
      </c>
      <c r="H1445" t="s">
        <v>6558</v>
      </c>
    </row>
    <row r="1446" spans="1:8" x14ac:dyDescent="0.25">
      <c r="A1446">
        <v>1450770</v>
      </c>
      <c r="B1446" t="s">
        <v>6509</v>
      </c>
      <c r="C1446" t="s">
        <v>32</v>
      </c>
      <c r="D1446" t="s">
        <v>71</v>
      </c>
      <c r="E1446" t="s">
        <v>676</v>
      </c>
      <c r="F1446" t="s">
        <v>6559</v>
      </c>
      <c r="G1446" t="s">
        <v>6560</v>
      </c>
      <c r="H1446" t="s">
        <v>6561</v>
      </c>
    </row>
    <row r="1447" spans="1:8" x14ac:dyDescent="0.25">
      <c r="A1447">
        <v>1458749</v>
      </c>
      <c r="B1447" t="s">
        <v>6509</v>
      </c>
      <c r="C1447" t="s">
        <v>32</v>
      </c>
      <c r="D1447" t="s">
        <v>40</v>
      </c>
      <c r="E1447" t="s">
        <v>658</v>
      </c>
      <c r="F1447" t="s">
        <v>6562</v>
      </c>
      <c r="G1447" t="s">
        <v>6563</v>
      </c>
      <c r="H1447" t="s">
        <v>6564</v>
      </c>
    </row>
    <row r="1448" spans="1:8" x14ac:dyDescent="0.25">
      <c r="A1448">
        <v>1458752</v>
      </c>
      <c r="B1448" t="s">
        <v>6509</v>
      </c>
      <c r="C1448" t="s">
        <v>32</v>
      </c>
      <c r="D1448" t="s">
        <v>40</v>
      </c>
      <c r="E1448" t="s">
        <v>658</v>
      </c>
      <c r="F1448" t="s">
        <v>6565</v>
      </c>
      <c r="G1448" t="s">
        <v>6566</v>
      </c>
      <c r="H1448" t="s">
        <v>6567</v>
      </c>
    </row>
    <row r="1449" spans="1:8" x14ac:dyDescent="0.25">
      <c r="A1449">
        <v>1459729</v>
      </c>
      <c r="B1449" t="s">
        <v>6509</v>
      </c>
      <c r="C1449" t="s">
        <v>32</v>
      </c>
      <c r="D1449" t="s">
        <v>40</v>
      </c>
      <c r="E1449" t="s">
        <v>646</v>
      </c>
      <c r="F1449" t="s">
        <v>6568</v>
      </c>
      <c r="G1449" t="s">
        <v>2113</v>
      </c>
      <c r="H1449" t="s">
        <v>6569</v>
      </c>
    </row>
    <row r="1450" spans="1:8" x14ac:dyDescent="0.25">
      <c r="A1450">
        <v>1461567</v>
      </c>
      <c r="B1450" t="s">
        <v>6509</v>
      </c>
      <c r="C1450" t="s">
        <v>34</v>
      </c>
      <c r="D1450" t="s">
        <v>40</v>
      </c>
      <c r="E1450" t="s">
        <v>584</v>
      </c>
      <c r="F1450" t="s">
        <v>1122</v>
      </c>
      <c r="G1450" t="s">
        <v>1260</v>
      </c>
      <c r="H1450" t="s">
        <v>6570</v>
      </c>
    </row>
    <row r="1451" spans="1:8" x14ac:dyDescent="0.25">
      <c r="A1451">
        <v>1381115</v>
      </c>
      <c r="B1451" t="s">
        <v>6571</v>
      </c>
      <c r="C1451" t="s">
        <v>32</v>
      </c>
      <c r="D1451" t="s">
        <v>58</v>
      </c>
      <c r="E1451" t="s">
        <v>59</v>
      </c>
      <c r="F1451" t="s">
        <v>1182</v>
      </c>
      <c r="G1451" t="s">
        <v>2296</v>
      </c>
      <c r="H1451" t="s">
        <v>6572</v>
      </c>
    </row>
    <row r="1452" spans="1:8" x14ac:dyDescent="0.25">
      <c r="A1452">
        <v>1382851</v>
      </c>
      <c r="B1452" t="s">
        <v>6571</v>
      </c>
      <c r="C1452" t="s">
        <v>32</v>
      </c>
      <c r="D1452" t="s">
        <v>92</v>
      </c>
      <c r="E1452" t="s">
        <v>5083</v>
      </c>
      <c r="F1452" t="s">
        <v>1505</v>
      </c>
      <c r="G1452" t="s">
        <v>6573</v>
      </c>
      <c r="H1452" t="s">
        <v>6574</v>
      </c>
    </row>
    <row r="1453" spans="1:8" x14ac:dyDescent="0.25">
      <c r="A1453">
        <v>1463092</v>
      </c>
      <c r="B1453" t="s">
        <v>6571</v>
      </c>
      <c r="C1453" t="s">
        <v>32</v>
      </c>
      <c r="D1453" t="s">
        <v>40</v>
      </c>
      <c r="E1453" t="s">
        <v>651</v>
      </c>
      <c r="F1453" t="s">
        <v>2138</v>
      </c>
      <c r="G1453" t="s">
        <v>2054</v>
      </c>
      <c r="H1453" t="s">
        <v>6575</v>
      </c>
    </row>
    <row r="1454" spans="1:8" x14ac:dyDescent="0.25">
      <c r="A1454">
        <v>1387932</v>
      </c>
      <c r="B1454" t="s">
        <v>6576</v>
      </c>
      <c r="C1454" t="s">
        <v>32</v>
      </c>
      <c r="D1454" t="s">
        <v>89</v>
      </c>
      <c r="E1454" t="s">
        <v>47</v>
      </c>
      <c r="F1454" t="s">
        <v>6577</v>
      </c>
      <c r="G1454" t="s">
        <v>2159</v>
      </c>
      <c r="H1454" t="s">
        <v>6578</v>
      </c>
    </row>
    <row r="1455" spans="1:8" x14ac:dyDescent="0.25">
      <c r="A1455">
        <v>1396472</v>
      </c>
      <c r="B1455" t="s">
        <v>6576</v>
      </c>
      <c r="C1455" t="s">
        <v>32</v>
      </c>
      <c r="D1455" t="s">
        <v>53</v>
      </c>
      <c r="E1455" t="s">
        <v>99</v>
      </c>
      <c r="F1455" t="s">
        <v>416</v>
      </c>
      <c r="G1455" t="s">
        <v>558</v>
      </c>
      <c r="H1455" t="s">
        <v>6579</v>
      </c>
    </row>
    <row r="1456" spans="1:8" x14ac:dyDescent="0.25">
      <c r="A1456">
        <v>1396478</v>
      </c>
      <c r="B1456" t="s">
        <v>6576</v>
      </c>
      <c r="C1456" t="s">
        <v>32</v>
      </c>
      <c r="D1456" t="s">
        <v>53</v>
      </c>
      <c r="E1456" t="s">
        <v>99</v>
      </c>
      <c r="F1456" t="s">
        <v>418</v>
      </c>
      <c r="G1456" t="s">
        <v>417</v>
      </c>
      <c r="H1456" t="s">
        <v>6580</v>
      </c>
    </row>
    <row r="1457" spans="1:8" x14ac:dyDescent="0.25">
      <c r="A1457">
        <v>1397233</v>
      </c>
      <c r="B1457" t="s">
        <v>6576</v>
      </c>
      <c r="C1457" t="s">
        <v>32</v>
      </c>
      <c r="D1457" t="s">
        <v>40</v>
      </c>
      <c r="E1457" t="s">
        <v>3127</v>
      </c>
      <c r="F1457" t="s">
        <v>6581</v>
      </c>
      <c r="G1457" t="s">
        <v>6582</v>
      </c>
      <c r="H1457" t="s">
        <v>6583</v>
      </c>
    </row>
    <row r="1458" spans="1:8" x14ac:dyDescent="0.25">
      <c r="A1458">
        <v>1398211</v>
      </c>
      <c r="B1458" t="s">
        <v>6576</v>
      </c>
      <c r="C1458" t="s">
        <v>32</v>
      </c>
      <c r="D1458" t="s">
        <v>53</v>
      </c>
      <c r="E1458" t="s">
        <v>264</v>
      </c>
      <c r="F1458" t="s">
        <v>6584</v>
      </c>
      <c r="G1458" t="s">
        <v>2039</v>
      </c>
      <c r="H1458" t="s">
        <v>6585</v>
      </c>
    </row>
    <row r="1459" spans="1:8" x14ac:dyDescent="0.25">
      <c r="A1459">
        <v>1426001</v>
      </c>
      <c r="B1459" t="s">
        <v>6576</v>
      </c>
      <c r="C1459" t="s">
        <v>32</v>
      </c>
      <c r="D1459" t="s">
        <v>89</v>
      </c>
      <c r="E1459" t="s">
        <v>670</v>
      </c>
      <c r="F1459" t="s">
        <v>6586</v>
      </c>
      <c r="G1459" t="s">
        <v>6587</v>
      </c>
      <c r="H1459" t="s">
        <v>6588</v>
      </c>
    </row>
    <row r="1460" spans="1:8" x14ac:dyDescent="0.25">
      <c r="A1460">
        <v>1426163</v>
      </c>
      <c r="B1460" t="s">
        <v>6576</v>
      </c>
      <c r="C1460" t="s">
        <v>32</v>
      </c>
      <c r="D1460" t="s">
        <v>89</v>
      </c>
      <c r="E1460" t="s">
        <v>671</v>
      </c>
      <c r="F1460" t="s">
        <v>6589</v>
      </c>
      <c r="G1460" t="s">
        <v>1707</v>
      </c>
      <c r="H1460" t="s">
        <v>6590</v>
      </c>
    </row>
    <row r="1461" spans="1:8" x14ac:dyDescent="0.25">
      <c r="A1461">
        <v>1426164</v>
      </c>
      <c r="B1461" t="s">
        <v>6576</v>
      </c>
      <c r="C1461" t="s">
        <v>32</v>
      </c>
      <c r="D1461" t="s">
        <v>89</v>
      </c>
      <c r="E1461" t="s">
        <v>671</v>
      </c>
      <c r="F1461" t="s">
        <v>6591</v>
      </c>
      <c r="G1461" t="s">
        <v>6592</v>
      </c>
      <c r="H1461" t="s">
        <v>6593</v>
      </c>
    </row>
    <row r="1462" spans="1:8" x14ac:dyDescent="0.25">
      <c r="A1462">
        <v>1426507</v>
      </c>
      <c r="B1462" t="s">
        <v>6576</v>
      </c>
      <c r="C1462" t="s">
        <v>32</v>
      </c>
      <c r="D1462" t="s">
        <v>89</v>
      </c>
      <c r="E1462" t="s">
        <v>6354</v>
      </c>
      <c r="F1462" t="s">
        <v>6594</v>
      </c>
      <c r="G1462" t="s">
        <v>6595</v>
      </c>
      <c r="H1462" t="s">
        <v>6596</v>
      </c>
    </row>
    <row r="1463" spans="1:8" x14ac:dyDescent="0.25">
      <c r="A1463">
        <v>1430341</v>
      </c>
      <c r="B1463" t="s">
        <v>6576</v>
      </c>
      <c r="C1463" t="s">
        <v>32</v>
      </c>
      <c r="D1463" t="s">
        <v>80</v>
      </c>
      <c r="E1463" t="s">
        <v>628</v>
      </c>
      <c r="F1463" t="s">
        <v>6597</v>
      </c>
      <c r="G1463" t="s">
        <v>1448</v>
      </c>
      <c r="H1463" t="s">
        <v>6598</v>
      </c>
    </row>
    <row r="1464" spans="1:8" x14ac:dyDescent="0.25">
      <c r="A1464">
        <v>1432443</v>
      </c>
      <c r="B1464" t="s">
        <v>6576</v>
      </c>
      <c r="C1464" t="s">
        <v>32</v>
      </c>
      <c r="D1464" t="s">
        <v>40</v>
      </c>
      <c r="E1464" t="s">
        <v>645</v>
      </c>
      <c r="F1464" t="s">
        <v>2096</v>
      </c>
      <c r="G1464" t="s">
        <v>1039</v>
      </c>
      <c r="H1464" t="s">
        <v>6599</v>
      </c>
    </row>
    <row r="1465" spans="1:8" x14ac:dyDescent="0.25">
      <c r="A1465">
        <v>1433053</v>
      </c>
      <c r="B1465" t="s">
        <v>6576</v>
      </c>
      <c r="C1465" t="s">
        <v>32</v>
      </c>
      <c r="D1465" t="s">
        <v>40</v>
      </c>
      <c r="E1465" t="s">
        <v>1046</v>
      </c>
      <c r="F1465" t="s">
        <v>1049</v>
      </c>
      <c r="G1465" t="s">
        <v>1048</v>
      </c>
      <c r="H1465" t="s">
        <v>6600</v>
      </c>
    </row>
    <row r="1466" spans="1:8" x14ac:dyDescent="0.25">
      <c r="A1466">
        <v>1433057</v>
      </c>
      <c r="B1466" t="s">
        <v>6576</v>
      </c>
      <c r="C1466" t="s">
        <v>32</v>
      </c>
      <c r="D1466" t="s">
        <v>40</v>
      </c>
      <c r="E1466" t="s">
        <v>1046</v>
      </c>
      <c r="F1466" t="s">
        <v>2217</v>
      </c>
      <c r="G1466" t="s">
        <v>1050</v>
      </c>
      <c r="H1466" t="s">
        <v>6601</v>
      </c>
    </row>
    <row r="1467" spans="1:8" x14ac:dyDescent="0.25">
      <c r="A1467">
        <v>1463391</v>
      </c>
      <c r="B1467" t="s">
        <v>6576</v>
      </c>
      <c r="C1467" t="s">
        <v>32</v>
      </c>
      <c r="D1467" t="s">
        <v>40</v>
      </c>
      <c r="E1467" t="s">
        <v>652</v>
      </c>
      <c r="F1467" t="s">
        <v>6602</v>
      </c>
      <c r="G1467" t="s">
        <v>6603</v>
      </c>
      <c r="H1467" t="s">
        <v>6604</v>
      </c>
    </row>
    <row r="1468" spans="1:8" x14ac:dyDescent="0.25">
      <c r="A1468">
        <v>1499325</v>
      </c>
      <c r="B1468" t="s">
        <v>6576</v>
      </c>
      <c r="C1468" t="s">
        <v>32</v>
      </c>
      <c r="D1468" t="s">
        <v>28</v>
      </c>
      <c r="E1468" t="s">
        <v>6473</v>
      </c>
      <c r="F1468" t="s">
        <v>6605</v>
      </c>
      <c r="G1468" t="s">
        <v>6606</v>
      </c>
      <c r="H1468" t="s">
        <v>6607</v>
      </c>
    </row>
    <row r="1469" spans="1:8" x14ac:dyDescent="0.25">
      <c r="A1469">
        <v>1502727</v>
      </c>
      <c r="B1469" t="s">
        <v>6576</v>
      </c>
      <c r="C1469" t="s">
        <v>32</v>
      </c>
      <c r="D1469" t="s">
        <v>20</v>
      </c>
      <c r="E1469" t="s">
        <v>609</v>
      </c>
      <c r="F1469" t="s">
        <v>6608</v>
      </c>
      <c r="G1469" t="s">
        <v>6609</v>
      </c>
      <c r="H1469" t="s">
        <v>6610</v>
      </c>
    </row>
    <row r="1470" spans="1:8" x14ac:dyDescent="0.25">
      <c r="A1470">
        <v>1502728</v>
      </c>
      <c r="B1470" t="s">
        <v>6576</v>
      </c>
      <c r="C1470" t="s">
        <v>32</v>
      </c>
      <c r="D1470" t="s">
        <v>20</v>
      </c>
      <c r="E1470" t="s">
        <v>609</v>
      </c>
      <c r="F1470" t="s">
        <v>6611</v>
      </c>
      <c r="G1470" t="s">
        <v>6612</v>
      </c>
      <c r="H1470" t="s">
        <v>6613</v>
      </c>
    </row>
    <row r="1471" spans="1:8" x14ac:dyDescent="0.25">
      <c r="A1471">
        <v>1502729</v>
      </c>
      <c r="B1471" t="s">
        <v>6576</v>
      </c>
      <c r="C1471" t="s">
        <v>32</v>
      </c>
      <c r="D1471" t="s">
        <v>20</v>
      </c>
      <c r="E1471" t="s">
        <v>609</v>
      </c>
      <c r="F1471" t="s">
        <v>1479</v>
      </c>
      <c r="G1471" t="s">
        <v>6614</v>
      </c>
      <c r="H1471" t="s">
        <v>6615</v>
      </c>
    </row>
    <row r="1472" spans="1:8" x14ac:dyDescent="0.25">
      <c r="A1472">
        <v>1502730</v>
      </c>
      <c r="B1472" t="s">
        <v>6576</v>
      </c>
      <c r="C1472" t="s">
        <v>32</v>
      </c>
      <c r="D1472" t="s">
        <v>20</v>
      </c>
      <c r="E1472" t="s">
        <v>609</v>
      </c>
      <c r="F1472" t="s">
        <v>6616</v>
      </c>
      <c r="G1472" t="s">
        <v>1482</v>
      </c>
      <c r="H1472" t="s">
        <v>6617</v>
      </c>
    </row>
    <row r="1473" spans="1:8" x14ac:dyDescent="0.25">
      <c r="A1473">
        <v>1502731</v>
      </c>
      <c r="B1473" t="s">
        <v>6576</v>
      </c>
      <c r="C1473" t="s">
        <v>32</v>
      </c>
      <c r="D1473" t="s">
        <v>20</v>
      </c>
      <c r="E1473" t="s">
        <v>609</v>
      </c>
      <c r="F1473" t="s">
        <v>1481</v>
      </c>
      <c r="G1473" t="s">
        <v>6618</v>
      </c>
      <c r="H1473" t="s">
        <v>6619</v>
      </c>
    </row>
    <row r="1474" spans="1:8" x14ac:dyDescent="0.25">
      <c r="A1474">
        <v>1502732</v>
      </c>
      <c r="B1474" t="s">
        <v>6576</v>
      </c>
      <c r="C1474" t="s">
        <v>32</v>
      </c>
      <c r="D1474" t="s">
        <v>20</v>
      </c>
      <c r="E1474" t="s">
        <v>609</v>
      </c>
      <c r="F1474" t="s">
        <v>6620</v>
      </c>
      <c r="G1474" t="s">
        <v>1484</v>
      </c>
      <c r="H1474" t="s">
        <v>6621</v>
      </c>
    </row>
    <row r="1475" spans="1:8" x14ac:dyDescent="0.25">
      <c r="A1475">
        <v>1502733</v>
      </c>
      <c r="B1475" t="s">
        <v>6576</v>
      </c>
      <c r="C1475" t="s">
        <v>32</v>
      </c>
      <c r="D1475" t="s">
        <v>20</v>
      </c>
      <c r="E1475" t="s">
        <v>609</v>
      </c>
      <c r="F1475" t="s">
        <v>1483</v>
      </c>
      <c r="G1475" t="s">
        <v>6622</v>
      </c>
      <c r="H1475" t="s">
        <v>6623</v>
      </c>
    </row>
    <row r="1476" spans="1:8" x14ac:dyDescent="0.25">
      <c r="A1476">
        <v>1502734</v>
      </c>
      <c r="B1476" t="s">
        <v>6576</v>
      </c>
      <c r="C1476" t="s">
        <v>32</v>
      </c>
      <c r="D1476" t="s">
        <v>20</v>
      </c>
      <c r="E1476" t="s">
        <v>609</v>
      </c>
      <c r="F1476" t="s">
        <v>6624</v>
      </c>
      <c r="G1476" t="s">
        <v>1480</v>
      </c>
      <c r="H1476" t="s">
        <v>6625</v>
      </c>
    </row>
    <row r="1477" spans="1:8" x14ac:dyDescent="0.25">
      <c r="A1477">
        <v>1502823</v>
      </c>
      <c r="B1477" t="s">
        <v>6576</v>
      </c>
      <c r="C1477" t="s">
        <v>32</v>
      </c>
      <c r="D1477" t="s">
        <v>20</v>
      </c>
      <c r="E1477" t="s">
        <v>681</v>
      </c>
      <c r="F1477" t="s">
        <v>6626</v>
      </c>
      <c r="G1477" t="s">
        <v>6627</v>
      </c>
      <c r="H1477" t="s">
        <v>6628</v>
      </c>
    </row>
    <row r="1478" spans="1:8" x14ac:dyDescent="0.25">
      <c r="A1478">
        <v>1502824</v>
      </c>
      <c r="B1478" t="s">
        <v>6576</v>
      </c>
      <c r="C1478" t="s">
        <v>32</v>
      </c>
      <c r="D1478" t="s">
        <v>20</v>
      </c>
      <c r="E1478" t="s">
        <v>681</v>
      </c>
      <c r="F1478" t="s">
        <v>2271</v>
      </c>
      <c r="G1478" t="s">
        <v>6629</v>
      </c>
      <c r="H1478" t="s">
        <v>6630</v>
      </c>
    </row>
    <row r="1479" spans="1:8" x14ac:dyDescent="0.25">
      <c r="A1479">
        <v>1502826</v>
      </c>
      <c r="B1479" t="s">
        <v>6576</v>
      </c>
      <c r="C1479" t="s">
        <v>32</v>
      </c>
      <c r="D1479" t="s">
        <v>20</v>
      </c>
      <c r="E1479" t="s">
        <v>681</v>
      </c>
      <c r="F1479" t="s">
        <v>2272</v>
      </c>
      <c r="G1479" t="s">
        <v>6631</v>
      </c>
      <c r="H1479" t="s">
        <v>6632</v>
      </c>
    </row>
    <row r="1480" spans="1:8" x14ac:dyDescent="0.25">
      <c r="A1480">
        <v>1502827</v>
      </c>
      <c r="B1480" t="s">
        <v>6576</v>
      </c>
      <c r="C1480" t="s">
        <v>32</v>
      </c>
      <c r="D1480" t="s">
        <v>20</v>
      </c>
      <c r="E1480" t="s">
        <v>681</v>
      </c>
      <c r="F1480" t="s">
        <v>6633</v>
      </c>
      <c r="G1480" t="s">
        <v>6634</v>
      </c>
      <c r="H1480" t="s">
        <v>6635</v>
      </c>
    </row>
    <row r="1481" spans="1:8" x14ac:dyDescent="0.25">
      <c r="A1481">
        <v>1502828</v>
      </c>
      <c r="B1481" t="s">
        <v>6576</v>
      </c>
      <c r="C1481" t="s">
        <v>32</v>
      </c>
      <c r="D1481" t="s">
        <v>20</v>
      </c>
      <c r="E1481" t="s">
        <v>681</v>
      </c>
      <c r="F1481" t="s">
        <v>6636</v>
      </c>
      <c r="G1481" t="s">
        <v>6637</v>
      </c>
      <c r="H1481" t="s">
        <v>6638</v>
      </c>
    </row>
    <row r="1482" spans="1:8" x14ac:dyDescent="0.25">
      <c r="A1482">
        <v>1505928</v>
      </c>
      <c r="B1482" t="s">
        <v>6576</v>
      </c>
      <c r="C1482" t="s">
        <v>32</v>
      </c>
      <c r="D1482" t="s">
        <v>21</v>
      </c>
      <c r="E1482" t="s">
        <v>22</v>
      </c>
      <c r="F1482" t="s">
        <v>6639</v>
      </c>
      <c r="G1482" t="s">
        <v>6640</v>
      </c>
      <c r="H1482" t="s">
        <v>6641</v>
      </c>
    </row>
    <row r="1483" spans="1:8" x14ac:dyDescent="0.25">
      <c r="A1483">
        <v>1506434</v>
      </c>
      <c r="B1483" t="s">
        <v>6576</v>
      </c>
      <c r="C1483" t="s">
        <v>32</v>
      </c>
      <c r="D1483" t="s">
        <v>610</v>
      </c>
      <c r="E1483" t="s">
        <v>668</v>
      </c>
      <c r="F1483" t="s">
        <v>2003</v>
      </c>
      <c r="G1483" t="s">
        <v>2239</v>
      </c>
      <c r="H1483" t="s">
        <v>6642</v>
      </c>
    </row>
    <row r="1484" spans="1:8" x14ac:dyDescent="0.25">
      <c r="A1484">
        <v>1522353</v>
      </c>
      <c r="B1484" t="s">
        <v>6576</v>
      </c>
      <c r="C1484" t="s">
        <v>32</v>
      </c>
      <c r="D1484" t="s">
        <v>20</v>
      </c>
      <c r="E1484" t="s">
        <v>2609</v>
      </c>
      <c r="F1484" t="s">
        <v>6643</v>
      </c>
      <c r="G1484" t="s">
        <v>6644</v>
      </c>
      <c r="H1484" t="s">
        <v>6645</v>
      </c>
    </row>
    <row r="1485" spans="1:8" x14ac:dyDescent="0.25">
      <c r="A1485">
        <v>1530694</v>
      </c>
      <c r="B1485" t="s">
        <v>6576</v>
      </c>
      <c r="C1485" t="s">
        <v>32</v>
      </c>
      <c r="D1485" t="s">
        <v>20</v>
      </c>
      <c r="E1485" t="s">
        <v>618</v>
      </c>
      <c r="F1485" t="s">
        <v>2525</v>
      </c>
      <c r="G1485" t="s">
        <v>6646</v>
      </c>
      <c r="H1485" t="s">
        <v>6647</v>
      </c>
    </row>
    <row r="1486" spans="1:8" x14ac:dyDescent="0.25">
      <c r="A1486">
        <v>1530696</v>
      </c>
      <c r="B1486" t="s">
        <v>6576</v>
      </c>
      <c r="C1486" t="s">
        <v>32</v>
      </c>
      <c r="D1486" t="s">
        <v>20</v>
      </c>
      <c r="E1486" t="s">
        <v>618</v>
      </c>
      <c r="F1486" t="s">
        <v>6648</v>
      </c>
      <c r="G1486" t="s">
        <v>6649</v>
      </c>
      <c r="H1486" t="s">
        <v>6650</v>
      </c>
    </row>
    <row r="1487" spans="1:8" x14ac:dyDescent="0.25">
      <c r="A1487">
        <v>1530699</v>
      </c>
      <c r="B1487" t="s">
        <v>6576</v>
      </c>
      <c r="C1487" t="s">
        <v>32</v>
      </c>
      <c r="D1487" t="s">
        <v>20</v>
      </c>
      <c r="E1487" t="s">
        <v>618</v>
      </c>
      <c r="F1487" t="s">
        <v>6651</v>
      </c>
      <c r="G1487" t="s">
        <v>6652</v>
      </c>
      <c r="H1487" t="s">
        <v>6653</v>
      </c>
    </row>
    <row r="1488" spans="1:8" x14ac:dyDescent="0.25">
      <c r="A1488">
        <v>1530701</v>
      </c>
      <c r="B1488" t="s">
        <v>6576</v>
      </c>
      <c r="C1488" t="s">
        <v>32</v>
      </c>
      <c r="D1488" t="s">
        <v>20</v>
      </c>
      <c r="E1488" t="s">
        <v>618</v>
      </c>
      <c r="F1488" t="s">
        <v>6654</v>
      </c>
      <c r="G1488" t="s">
        <v>6655</v>
      </c>
      <c r="H1488" t="s">
        <v>6656</v>
      </c>
    </row>
    <row r="1489" spans="1:8" x14ac:dyDescent="0.25">
      <c r="A1489">
        <v>1530756</v>
      </c>
      <c r="B1489" t="s">
        <v>6576</v>
      </c>
      <c r="C1489" t="s">
        <v>32</v>
      </c>
      <c r="D1489" t="s">
        <v>20</v>
      </c>
      <c r="E1489" t="s">
        <v>3524</v>
      </c>
      <c r="F1489" t="s">
        <v>6657</v>
      </c>
      <c r="G1489" t="s">
        <v>6658</v>
      </c>
      <c r="H1489" t="s">
        <v>6659</v>
      </c>
    </row>
    <row r="1490" spans="1:8" x14ac:dyDescent="0.25">
      <c r="A1490">
        <v>1530757</v>
      </c>
      <c r="B1490" t="s">
        <v>6576</v>
      </c>
      <c r="C1490" t="s">
        <v>32</v>
      </c>
      <c r="D1490" t="s">
        <v>20</v>
      </c>
      <c r="E1490" t="s">
        <v>3524</v>
      </c>
      <c r="F1490" t="s">
        <v>6660</v>
      </c>
      <c r="G1490" t="s">
        <v>6661</v>
      </c>
      <c r="H1490" t="s">
        <v>6662</v>
      </c>
    </row>
    <row r="1491" spans="1:8" x14ac:dyDescent="0.25">
      <c r="A1491">
        <v>1530758</v>
      </c>
      <c r="B1491" t="s">
        <v>6576</v>
      </c>
      <c r="C1491" t="s">
        <v>32</v>
      </c>
      <c r="D1491" t="s">
        <v>20</v>
      </c>
      <c r="E1491" t="s">
        <v>3524</v>
      </c>
      <c r="F1491" t="s">
        <v>6663</v>
      </c>
      <c r="G1491" t="s">
        <v>6664</v>
      </c>
      <c r="H1491" t="s">
        <v>6665</v>
      </c>
    </row>
    <row r="1492" spans="1:8" x14ac:dyDescent="0.25">
      <c r="A1492">
        <v>1530759</v>
      </c>
      <c r="B1492" t="s">
        <v>6576</v>
      </c>
      <c r="C1492" t="s">
        <v>32</v>
      </c>
      <c r="D1492" t="s">
        <v>20</v>
      </c>
      <c r="E1492" t="s">
        <v>3524</v>
      </c>
      <c r="F1492" t="s">
        <v>6666</v>
      </c>
      <c r="G1492" t="s">
        <v>6667</v>
      </c>
      <c r="H1492" t="s">
        <v>6668</v>
      </c>
    </row>
    <row r="1493" spans="1:8" x14ac:dyDescent="0.25">
      <c r="A1493">
        <v>1530861</v>
      </c>
      <c r="B1493" t="s">
        <v>6576</v>
      </c>
      <c r="C1493" t="s">
        <v>32</v>
      </c>
      <c r="D1493" t="s">
        <v>20</v>
      </c>
      <c r="E1493" t="s">
        <v>3524</v>
      </c>
      <c r="F1493" t="s">
        <v>6669</v>
      </c>
      <c r="G1493" t="s">
        <v>6670</v>
      </c>
      <c r="H1493" t="s">
        <v>6671</v>
      </c>
    </row>
    <row r="1494" spans="1:8" x14ac:dyDescent="0.25">
      <c r="A1494">
        <v>1530862</v>
      </c>
      <c r="B1494" t="s">
        <v>6576</v>
      </c>
      <c r="C1494" t="s">
        <v>32</v>
      </c>
      <c r="D1494" t="s">
        <v>20</v>
      </c>
      <c r="E1494" t="s">
        <v>3524</v>
      </c>
      <c r="F1494" t="s">
        <v>6672</v>
      </c>
      <c r="G1494" t="s">
        <v>6673</v>
      </c>
      <c r="H1494" t="s">
        <v>6674</v>
      </c>
    </row>
    <row r="1495" spans="1:8" x14ac:dyDescent="0.25">
      <c r="A1495">
        <v>1530863</v>
      </c>
      <c r="B1495" t="s">
        <v>6576</v>
      </c>
      <c r="C1495" t="s">
        <v>32</v>
      </c>
      <c r="D1495" t="s">
        <v>20</v>
      </c>
      <c r="E1495" t="s">
        <v>3524</v>
      </c>
      <c r="F1495" t="s">
        <v>6675</v>
      </c>
      <c r="G1495" t="s">
        <v>6676</v>
      </c>
      <c r="H1495" t="s">
        <v>6677</v>
      </c>
    </row>
    <row r="1496" spans="1:8" x14ac:dyDescent="0.25">
      <c r="A1496">
        <v>1533234</v>
      </c>
      <c r="B1496" t="s">
        <v>6576</v>
      </c>
      <c r="C1496" t="s">
        <v>32</v>
      </c>
      <c r="D1496" t="s">
        <v>20</v>
      </c>
      <c r="E1496" t="s">
        <v>6678</v>
      </c>
      <c r="F1496" t="s">
        <v>6679</v>
      </c>
      <c r="G1496" t="s">
        <v>6680</v>
      </c>
      <c r="H1496" t="s">
        <v>6681</v>
      </c>
    </row>
    <row r="1497" spans="1:8" x14ac:dyDescent="0.25">
      <c r="A1497">
        <v>1533575</v>
      </c>
      <c r="B1497" t="s">
        <v>6576</v>
      </c>
      <c r="C1497" t="s">
        <v>32</v>
      </c>
      <c r="D1497" t="s">
        <v>219</v>
      </c>
      <c r="E1497" t="s">
        <v>49</v>
      </c>
      <c r="F1497" t="s">
        <v>6682</v>
      </c>
      <c r="G1497" t="s">
        <v>2535</v>
      </c>
      <c r="H1497" t="s">
        <v>6683</v>
      </c>
    </row>
    <row r="1498" spans="1:8" x14ac:dyDescent="0.25">
      <c r="A1498">
        <v>1535059</v>
      </c>
      <c r="B1498" t="s">
        <v>6576</v>
      </c>
      <c r="C1498" t="s">
        <v>32</v>
      </c>
      <c r="D1498" t="s">
        <v>20</v>
      </c>
      <c r="E1498" t="s">
        <v>430</v>
      </c>
      <c r="F1498" t="s">
        <v>6684</v>
      </c>
      <c r="G1498" t="s">
        <v>6685</v>
      </c>
      <c r="H1498" t="s">
        <v>6686</v>
      </c>
    </row>
    <row r="1499" spans="1:8" x14ac:dyDescent="0.25">
      <c r="A1499">
        <v>1535742</v>
      </c>
      <c r="B1499" t="s">
        <v>6576</v>
      </c>
      <c r="C1499" t="s">
        <v>32</v>
      </c>
      <c r="D1499" t="s">
        <v>20</v>
      </c>
      <c r="E1499" t="s">
        <v>4438</v>
      </c>
      <c r="F1499" t="s">
        <v>6687</v>
      </c>
      <c r="G1499" t="s">
        <v>6688</v>
      </c>
      <c r="H1499" t="s">
        <v>6689</v>
      </c>
    </row>
    <row r="1500" spans="1:8" x14ac:dyDescent="0.25">
      <c r="A1500">
        <v>1512547</v>
      </c>
      <c r="B1500" t="s">
        <v>6690</v>
      </c>
      <c r="C1500" t="s">
        <v>32</v>
      </c>
      <c r="D1500" t="s">
        <v>370</v>
      </c>
      <c r="E1500" t="s">
        <v>27</v>
      </c>
      <c r="F1500" t="s">
        <v>6691</v>
      </c>
      <c r="G1500" t="s">
        <v>2371</v>
      </c>
      <c r="H1500" t="s">
        <v>6692</v>
      </c>
    </row>
    <row r="1501" spans="1:8" x14ac:dyDescent="0.25">
      <c r="A1501">
        <v>1535750</v>
      </c>
      <c r="B1501" t="s">
        <v>6690</v>
      </c>
      <c r="C1501" t="s">
        <v>32</v>
      </c>
      <c r="D1501" t="s">
        <v>279</v>
      </c>
      <c r="E1501" t="s">
        <v>25</v>
      </c>
      <c r="F1501" t="s">
        <v>6693</v>
      </c>
      <c r="G1501" t="s">
        <v>6694</v>
      </c>
      <c r="H1501" t="s">
        <v>6695</v>
      </c>
    </row>
    <row r="1502" spans="1:8" x14ac:dyDescent="0.25">
      <c r="A1502">
        <v>1410359</v>
      </c>
      <c r="B1502" t="s">
        <v>6696</v>
      </c>
      <c r="C1502" t="s">
        <v>32</v>
      </c>
      <c r="D1502" t="s">
        <v>51</v>
      </c>
      <c r="E1502" t="s">
        <v>3147</v>
      </c>
      <c r="F1502" t="s">
        <v>6697</v>
      </c>
      <c r="G1502" t="s">
        <v>6698</v>
      </c>
      <c r="H1502" t="s">
        <v>6699</v>
      </c>
    </row>
    <row r="1503" spans="1:8" x14ac:dyDescent="0.25">
      <c r="A1503">
        <v>1381747</v>
      </c>
      <c r="B1503" t="s">
        <v>6700</v>
      </c>
      <c r="C1503" t="s">
        <v>32</v>
      </c>
      <c r="D1503" t="s">
        <v>51</v>
      </c>
      <c r="E1503" t="s">
        <v>52</v>
      </c>
      <c r="F1503" t="s">
        <v>1524</v>
      </c>
      <c r="G1503" t="s">
        <v>6701</v>
      </c>
      <c r="H1503" t="s">
        <v>6702</v>
      </c>
    </row>
    <row r="1504" spans="1:8" x14ac:dyDescent="0.25">
      <c r="A1504">
        <v>1381748</v>
      </c>
      <c r="B1504" t="s">
        <v>6700</v>
      </c>
      <c r="C1504" t="s">
        <v>32</v>
      </c>
      <c r="D1504" t="s">
        <v>51</v>
      </c>
      <c r="E1504" t="s">
        <v>52</v>
      </c>
      <c r="F1504" t="s">
        <v>463</v>
      </c>
      <c r="G1504" t="s">
        <v>6703</v>
      </c>
      <c r="H1504" t="s">
        <v>6704</v>
      </c>
    </row>
    <row r="1505" spans="1:8" x14ac:dyDescent="0.25">
      <c r="A1505">
        <v>1381750</v>
      </c>
      <c r="B1505" t="s">
        <v>6700</v>
      </c>
      <c r="C1505" t="s">
        <v>32</v>
      </c>
      <c r="D1505" t="s">
        <v>51</v>
      </c>
      <c r="E1505" t="s">
        <v>52</v>
      </c>
      <c r="F1505" t="s">
        <v>6705</v>
      </c>
      <c r="G1505" t="s">
        <v>6706</v>
      </c>
      <c r="H1505" t="s">
        <v>6707</v>
      </c>
    </row>
    <row r="1506" spans="1:8" x14ac:dyDescent="0.25">
      <c r="A1506">
        <v>1396742</v>
      </c>
      <c r="B1506" t="s">
        <v>6700</v>
      </c>
      <c r="C1506" t="s">
        <v>32</v>
      </c>
      <c r="D1506" t="s">
        <v>682</v>
      </c>
      <c r="E1506" t="s">
        <v>683</v>
      </c>
      <c r="F1506" t="s">
        <v>6708</v>
      </c>
      <c r="G1506" t="s">
        <v>1307</v>
      </c>
      <c r="H1506" t="s">
        <v>6709</v>
      </c>
    </row>
    <row r="1507" spans="1:8" x14ac:dyDescent="0.25">
      <c r="A1507">
        <v>1416928</v>
      </c>
      <c r="B1507" t="s">
        <v>6700</v>
      </c>
      <c r="C1507" t="s">
        <v>32</v>
      </c>
      <c r="D1507" t="s">
        <v>71</v>
      </c>
      <c r="E1507" t="s">
        <v>346</v>
      </c>
      <c r="F1507" t="s">
        <v>6710</v>
      </c>
      <c r="G1507" t="s">
        <v>1676</v>
      </c>
      <c r="H1507" t="s">
        <v>6711</v>
      </c>
    </row>
    <row r="1508" spans="1:8" x14ac:dyDescent="0.25">
      <c r="A1508">
        <v>1416929</v>
      </c>
      <c r="B1508" t="s">
        <v>6700</v>
      </c>
      <c r="C1508" t="s">
        <v>32</v>
      </c>
      <c r="D1508" t="s">
        <v>71</v>
      </c>
      <c r="E1508" t="s">
        <v>346</v>
      </c>
      <c r="F1508" t="s">
        <v>6712</v>
      </c>
      <c r="G1508" t="s">
        <v>1684</v>
      </c>
      <c r="H1508" t="s">
        <v>6713</v>
      </c>
    </row>
    <row r="1509" spans="1:8" x14ac:dyDescent="0.25">
      <c r="A1509">
        <v>1416932</v>
      </c>
      <c r="B1509" t="s">
        <v>6700</v>
      </c>
      <c r="C1509" t="s">
        <v>32</v>
      </c>
      <c r="D1509" t="s">
        <v>71</v>
      </c>
      <c r="E1509" t="s">
        <v>346</v>
      </c>
      <c r="F1509" t="s">
        <v>1682</v>
      </c>
      <c r="G1509" t="s">
        <v>6714</v>
      </c>
      <c r="H1509" t="s">
        <v>6715</v>
      </c>
    </row>
    <row r="1510" spans="1:8" x14ac:dyDescent="0.25">
      <c r="A1510">
        <v>1419902</v>
      </c>
      <c r="B1510" t="s">
        <v>6700</v>
      </c>
      <c r="C1510" t="s">
        <v>32</v>
      </c>
      <c r="D1510" t="s">
        <v>41</v>
      </c>
      <c r="E1510" t="s">
        <v>348</v>
      </c>
      <c r="F1510" t="s">
        <v>6716</v>
      </c>
      <c r="G1510" t="s">
        <v>1698</v>
      </c>
      <c r="H1510" t="s">
        <v>6717</v>
      </c>
    </row>
    <row r="1511" spans="1:8" x14ac:dyDescent="0.25">
      <c r="A1511">
        <v>1425564</v>
      </c>
      <c r="B1511" t="s">
        <v>6700</v>
      </c>
      <c r="C1511" t="s">
        <v>32</v>
      </c>
      <c r="D1511" t="s">
        <v>89</v>
      </c>
      <c r="E1511" t="s">
        <v>552</v>
      </c>
      <c r="F1511" t="s">
        <v>6718</v>
      </c>
      <c r="G1511" t="s">
        <v>6719</v>
      </c>
      <c r="H1511" t="s">
        <v>6720</v>
      </c>
    </row>
    <row r="1512" spans="1:8" x14ac:dyDescent="0.25">
      <c r="A1512">
        <v>1450288</v>
      </c>
      <c r="B1512" t="s">
        <v>6700</v>
      </c>
      <c r="C1512" t="s">
        <v>32</v>
      </c>
      <c r="D1512" t="s">
        <v>71</v>
      </c>
      <c r="E1512" t="s">
        <v>684</v>
      </c>
      <c r="F1512" t="s">
        <v>1730</v>
      </c>
      <c r="G1512" t="s">
        <v>6721</v>
      </c>
      <c r="H1512" t="s">
        <v>6722</v>
      </c>
    </row>
    <row r="1513" spans="1:8" x14ac:dyDescent="0.25">
      <c r="A1513">
        <v>1450289</v>
      </c>
      <c r="B1513" t="s">
        <v>6700</v>
      </c>
      <c r="C1513" t="s">
        <v>32</v>
      </c>
      <c r="D1513" t="s">
        <v>71</v>
      </c>
      <c r="E1513" t="s">
        <v>684</v>
      </c>
      <c r="F1513" t="s">
        <v>6723</v>
      </c>
      <c r="G1513" t="s">
        <v>6724</v>
      </c>
      <c r="H1513" t="s">
        <v>6725</v>
      </c>
    </row>
    <row r="1514" spans="1:8" x14ac:dyDescent="0.25">
      <c r="A1514">
        <v>1450290</v>
      </c>
      <c r="B1514" t="s">
        <v>6700</v>
      </c>
      <c r="C1514" t="s">
        <v>32</v>
      </c>
      <c r="D1514" t="s">
        <v>71</v>
      </c>
      <c r="E1514" t="s">
        <v>684</v>
      </c>
      <c r="F1514" t="s">
        <v>6726</v>
      </c>
      <c r="G1514" t="s">
        <v>1728</v>
      </c>
      <c r="H1514" t="s">
        <v>6727</v>
      </c>
    </row>
    <row r="1515" spans="1:8" x14ac:dyDescent="0.25">
      <c r="A1515">
        <v>1450535</v>
      </c>
      <c r="B1515" t="s">
        <v>6700</v>
      </c>
      <c r="C1515" t="s">
        <v>32</v>
      </c>
      <c r="D1515" t="s">
        <v>71</v>
      </c>
      <c r="E1515" t="s">
        <v>410</v>
      </c>
      <c r="F1515" t="s">
        <v>6728</v>
      </c>
      <c r="G1515" t="s">
        <v>1733</v>
      </c>
      <c r="H1515" t="s">
        <v>6729</v>
      </c>
    </row>
    <row r="1516" spans="1:8" x14ac:dyDescent="0.25">
      <c r="A1516">
        <v>1450771</v>
      </c>
      <c r="B1516" t="s">
        <v>6700</v>
      </c>
      <c r="C1516" t="s">
        <v>32</v>
      </c>
      <c r="D1516" t="s">
        <v>71</v>
      </c>
      <c r="E1516" t="s">
        <v>676</v>
      </c>
      <c r="F1516" t="s">
        <v>6730</v>
      </c>
      <c r="G1516" t="s">
        <v>6731</v>
      </c>
      <c r="H1516" t="s">
        <v>6732</v>
      </c>
    </row>
    <row r="1517" spans="1:8" x14ac:dyDescent="0.25">
      <c r="A1517">
        <v>1450772</v>
      </c>
      <c r="B1517" t="s">
        <v>6700</v>
      </c>
      <c r="C1517" t="s">
        <v>32</v>
      </c>
      <c r="D1517" t="s">
        <v>71</v>
      </c>
      <c r="E1517" t="s">
        <v>676</v>
      </c>
      <c r="F1517" t="s">
        <v>6733</v>
      </c>
      <c r="G1517" t="s">
        <v>1568</v>
      </c>
      <c r="H1517" t="s">
        <v>6734</v>
      </c>
    </row>
    <row r="1518" spans="1:8" x14ac:dyDescent="0.25">
      <c r="A1518">
        <v>1454846</v>
      </c>
      <c r="B1518" t="s">
        <v>6700</v>
      </c>
      <c r="C1518" t="s">
        <v>32</v>
      </c>
      <c r="D1518" t="s">
        <v>41</v>
      </c>
      <c r="E1518" t="s">
        <v>4656</v>
      </c>
      <c r="F1518" t="s">
        <v>6735</v>
      </c>
      <c r="G1518" t="s">
        <v>6736</v>
      </c>
      <c r="H1518" t="s">
        <v>6737</v>
      </c>
    </row>
    <row r="1519" spans="1:8" x14ac:dyDescent="0.25">
      <c r="A1519">
        <v>1462786</v>
      </c>
      <c r="B1519" t="s">
        <v>6700</v>
      </c>
      <c r="C1519" t="s">
        <v>32</v>
      </c>
      <c r="D1519" t="s">
        <v>40</v>
      </c>
      <c r="E1519" t="s">
        <v>667</v>
      </c>
      <c r="F1519" t="s">
        <v>2128</v>
      </c>
      <c r="G1519" t="s">
        <v>2229</v>
      </c>
      <c r="H1519" t="s">
        <v>6738</v>
      </c>
    </row>
    <row r="1520" spans="1:8" x14ac:dyDescent="0.25">
      <c r="A1520">
        <v>1491997</v>
      </c>
      <c r="B1520" t="s">
        <v>6700</v>
      </c>
      <c r="C1520" t="s">
        <v>32</v>
      </c>
      <c r="D1520" t="s">
        <v>28</v>
      </c>
      <c r="E1520" t="s">
        <v>2588</v>
      </c>
      <c r="F1520" t="s">
        <v>6739</v>
      </c>
      <c r="G1520" t="s">
        <v>6740</v>
      </c>
      <c r="H1520" t="s">
        <v>6741</v>
      </c>
    </row>
    <row r="1521" spans="1:8" x14ac:dyDescent="0.25">
      <c r="A1521">
        <v>1499785</v>
      </c>
      <c r="B1521" t="s">
        <v>6700</v>
      </c>
      <c r="C1521" t="s">
        <v>32</v>
      </c>
      <c r="D1521" t="s">
        <v>28</v>
      </c>
      <c r="E1521" t="s">
        <v>414</v>
      </c>
      <c r="F1521" t="s">
        <v>6742</v>
      </c>
      <c r="G1521" t="s">
        <v>6743</v>
      </c>
      <c r="H1521" t="s">
        <v>6744</v>
      </c>
    </row>
    <row r="1522" spans="1:8" x14ac:dyDescent="0.25">
      <c r="A1522">
        <v>1499786</v>
      </c>
      <c r="B1522" t="s">
        <v>6700</v>
      </c>
      <c r="C1522" t="s">
        <v>32</v>
      </c>
      <c r="D1522" t="s">
        <v>28</v>
      </c>
      <c r="E1522" t="s">
        <v>414</v>
      </c>
      <c r="F1522" t="s">
        <v>6745</v>
      </c>
      <c r="G1522" t="s">
        <v>6746</v>
      </c>
      <c r="H1522" t="s">
        <v>6747</v>
      </c>
    </row>
    <row r="1523" spans="1:8" x14ac:dyDescent="0.25">
      <c r="A1523">
        <v>1499790</v>
      </c>
      <c r="B1523" t="s">
        <v>6700</v>
      </c>
      <c r="C1523" t="s">
        <v>32</v>
      </c>
      <c r="D1523" t="s">
        <v>28</v>
      </c>
      <c r="E1523" t="s">
        <v>414</v>
      </c>
      <c r="F1523" t="s">
        <v>698</v>
      </c>
      <c r="G1523" t="s">
        <v>6748</v>
      </c>
      <c r="H1523" t="s">
        <v>6749</v>
      </c>
    </row>
    <row r="1524" spans="1:8" x14ac:dyDescent="0.25">
      <c r="A1524">
        <v>1499792</v>
      </c>
      <c r="B1524" t="s">
        <v>6700</v>
      </c>
      <c r="C1524" t="s">
        <v>32</v>
      </c>
      <c r="D1524" t="s">
        <v>28</v>
      </c>
      <c r="E1524" t="s">
        <v>414</v>
      </c>
      <c r="F1524" t="s">
        <v>6750</v>
      </c>
      <c r="G1524" t="s">
        <v>6751</v>
      </c>
      <c r="H1524" t="s">
        <v>6752</v>
      </c>
    </row>
    <row r="1525" spans="1:8" x14ac:dyDescent="0.25">
      <c r="A1525">
        <v>1499793</v>
      </c>
      <c r="B1525" t="s">
        <v>6700</v>
      </c>
      <c r="C1525" t="s">
        <v>32</v>
      </c>
      <c r="D1525" t="s">
        <v>28</v>
      </c>
      <c r="E1525" t="s">
        <v>414</v>
      </c>
      <c r="F1525" t="s">
        <v>6753</v>
      </c>
      <c r="G1525" t="s">
        <v>6754</v>
      </c>
      <c r="H1525" t="s">
        <v>6755</v>
      </c>
    </row>
    <row r="1526" spans="1:8" x14ac:dyDescent="0.25">
      <c r="A1526">
        <v>1500165</v>
      </c>
      <c r="B1526" t="s">
        <v>6700</v>
      </c>
      <c r="C1526" t="s">
        <v>32</v>
      </c>
      <c r="D1526" t="s">
        <v>28</v>
      </c>
      <c r="E1526" t="s">
        <v>414</v>
      </c>
      <c r="F1526" t="s">
        <v>476</v>
      </c>
      <c r="G1526" t="s">
        <v>6756</v>
      </c>
      <c r="H1526" t="s">
        <v>6757</v>
      </c>
    </row>
    <row r="1527" spans="1:8" x14ac:dyDescent="0.25">
      <c r="A1527">
        <v>1506436</v>
      </c>
      <c r="B1527" t="s">
        <v>6700</v>
      </c>
      <c r="C1527" t="s">
        <v>32</v>
      </c>
      <c r="D1527" t="s">
        <v>610</v>
      </c>
      <c r="E1527" t="s">
        <v>668</v>
      </c>
      <c r="F1527" t="s">
        <v>2007</v>
      </c>
      <c r="G1527" t="s">
        <v>6758</v>
      </c>
      <c r="H1527" t="s">
        <v>6759</v>
      </c>
    </row>
    <row r="1528" spans="1:8" x14ac:dyDescent="0.25">
      <c r="A1528">
        <v>1525559</v>
      </c>
      <c r="B1528" t="s">
        <v>6700</v>
      </c>
      <c r="C1528" t="s">
        <v>32</v>
      </c>
      <c r="D1528" t="s">
        <v>71</v>
      </c>
      <c r="E1528" t="s">
        <v>346</v>
      </c>
      <c r="F1528" t="s">
        <v>6760</v>
      </c>
      <c r="G1528" t="s">
        <v>1782</v>
      </c>
      <c r="H1528" t="s">
        <v>6761</v>
      </c>
    </row>
    <row r="1529" spans="1:8" x14ac:dyDescent="0.25">
      <c r="A1529">
        <v>1527415</v>
      </c>
      <c r="B1529" t="s">
        <v>6700</v>
      </c>
      <c r="C1529" t="s">
        <v>32</v>
      </c>
      <c r="D1529" t="s">
        <v>20</v>
      </c>
      <c r="E1529" t="s">
        <v>685</v>
      </c>
      <c r="F1529" t="s">
        <v>2291</v>
      </c>
      <c r="G1529" t="s">
        <v>2293</v>
      </c>
      <c r="H1529" t="s">
        <v>6762</v>
      </c>
    </row>
    <row r="1530" spans="1:8" x14ac:dyDescent="0.25">
      <c r="A1530">
        <v>1527419</v>
      </c>
      <c r="B1530" t="s">
        <v>6700</v>
      </c>
      <c r="C1530" t="s">
        <v>32</v>
      </c>
      <c r="D1530" t="s">
        <v>20</v>
      </c>
      <c r="E1530" t="s">
        <v>685</v>
      </c>
      <c r="F1530" t="s">
        <v>6763</v>
      </c>
      <c r="G1530" t="s">
        <v>6764</v>
      </c>
      <c r="H1530" t="s">
        <v>6765</v>
      </c>
    </row>
    <row r="1531" spans="1:8" x14ac:dyDescent="0.25">
      <c r="A1531">
        <v>1528184</v>
      </c>
      <c r="B1531" t="s">
        <v>6700</v>
      </c>
      <c r="C1531" t="s">
        <v>32</v>
      </c>
      <c r="D1531" t="s">
        <v>20</v>
      </c>
      <c r="E1531" t="s">
        <v>411</v>
      </c>
      <c r="F1531" t="s">
        <v>6766</v>
      </c>
      <c r="G1531" t="s">
        <v>6767</v>
      </c>
      <c r="H1531" t="s">
        <v>6768</v>
      </c>
    </row>
    <row r="1532" spans="1:8" x14ac:dyDescent="0.25">
      <c r="A1532">
        <v>1528186</v>
      </c>
      <c r="B1532" t="s">
        <v>6700</v>
      </c>
      <c r="C1532" t="s">
        <v>32</v>
      </c>
      <c r="D1532" t="s">
        <v>20</v>
      </c>
      <c r="E1532" t="s">
        <v>411</v>
      </c>
      <c r="F1532" t="s">
        <v>2470</v>
      </c>
      <c r="G1532" t="s">
        <v>6769</v>
      </c>
      <c r="H1532" t="s">
        <v>6770</v>
      </c>
    </row>
    <row r="1533" spans="1:8" x14ac:dyDescent="0.25">
      <c r="A1533">
        <v>1528187</v>
      </c>
      <c r="B1533" t="s">
        <v>6700</v>
      </c>
      <c r="C1533" t="s">
        <v>32</v>
      </c>
      <c r="D1533" t="s">
        <v>20</v>
      </c>
      <c r="E1533" t="s">
        <v>411</v>
      </c>
      <c r="F1533" t="s">
        <v>2471</v>
      </c>
      <c r="G1533" t="s">
        <v>6771</v>
      </c>
      <c r="H1533" t="s">
        <v>6772</v>
      </c>
    </row>
    <row r="1534" spans="1:8" x14ac:dyDescent="0.25">
      <c r="A1534">
        <v>1528189</v>
      </c>
      <c r="B1534" t="s">
        <v>6700</v>
      </c>
      <c r="C1534" t="s">
        <v>32</v>
      </c>
      <c r="D1534" t="s">
        <v>20</v>
      </c>
      <c r="E1534" t="s">
        <v>411</v>
      </c>
      <c r="F1534" t="s">
        <v>6773</v>
      </c>
      <c r="G1534" t="s">
        <v>6774</v>
      </c>
      <c r="H1534" t="s">
        <v>6775</v>
      </c>
    </row>
    <row r="1535" spans="1:8" x14ac:dyDescent="0.25">
      <c r="A1535">
        <v>1530617</v>
      </c>
      <c r="B1535" t="s">
        <v>6700</v>
      </c>
      <c r="C1535" t="s">
        <v>32</v>
      </c>
      <c r="D1535" t="s">
        <v>20</v>
      </c>
      <c r="E1535" t="s">
        <v>602</v>
      </c>
      <c r="F1535" t="s">
        <v>1354</v>
      </c>
      <c r="G1535" t="s">
        <v>2295</v>
      </c>
      <c r="H1535" t="s">
        <v>6776</v>
      </c>
    </row>
    <row r="1536" spans="1:8" x14ac:dyDescent="0.25">
      <c r="A1536">
        <v>1530621</v>
      </c>
      <c r="B1536" t="s">
        <v>6700</v>
      </c>
      <c r="C1536" t="s">
        <v>32</v>
      </c>
      <c r="D1536" t="s">
        <v>20</v>
      </c>
      <c r="E1536" t="s">
        <v>602</v>
      </c>
      <c r="F1536" t="s">
        <v>2294</v>
      </c>
      <c r="G1536" t="s">
        <v>6777</v>
      </c>
      <c r="H1536" t="s">
        <v>6778</v>
      </c>
    </row>
    <row r="1537" spans="1:8" x14ac:dyDescent="0.25">
      <c r="A1537">
        <v>1530695</v>
      </c>
      <c r="B1537" t="s">
        <v>6700</v>
      </c>
      <c r="C1537" t="s">
        <v>32</v>
      </c>
      <c r="D1537" t="s">
        <v>20</v>
      </c>
      <c r="E1537" t="s">
        <v>618</v>
      </c>
      <c r="F1537" t="s">
        <v>6779</v>
      </c>
      <c r="G1537" t="s">
        <v>6780</v>
      </c>
      <c r="H1537" t="s">
        <v>6781</v>
      </c>
    </row>
    <row r="1538" spans="1:8" x14ac:dyDescent="0.25">
      <c r="A1538">
        <v>1531625</v>
      </c>
      <c r="B1538" t="s">
        <v>6700</v>
      </c>
      <c r="C1538" t="s">
        <v>32</v>
      </c>
      <c r="D1538" t="s">
        <v>95</v>
      </c>
      <c r="E1538" t="s">
        <v>96</v>
      </c>
      <c r="F1538" t="s">
        <v>1830</v>
      </c>
      <c r="G1538" t="s">
        <v>6782</v>
      </c>
      <c r="H1538" t="s">
        <v>6783</v>
      </c>
    </row>
    <row r="1539" spans="1:8" x14ac:dyDescent="0.25">
      <c r="A1539">
        <v>1382239</v>
      </c>
      <c r="B1539" t="s">
        <v>6784</v>
      </c>
      <c r="C1539" t="s">
        <v>32</v>
      </c>
      <c r="D1539" t="s">
        <v>58</v>
      </c>
      <c r="E1539" t="s">
        <v>88</v>
      </c>
      <c r="F1539" t="s">
        <v>6785</v>
      </c>
      <c r="G1539" t="s">
        <v>1527</v>
      </c>
      <c r="H1539" t="s">
        <v>6786</v>
      </c>
    </row>
    <row r="1540" spans="1:8" x14ac:dyDescent="0.25">
      <c r="A1540">
        <v>1389353</v>
      </c>
      <c r="B1540" t="s">
        <v>6784</v>
      </c>
      <c r="C1540" t="s">
        <v>32</v>
      </c>
      <c r="D1540" t="s">
        <v>89</v>
      </c>
      <c r="E1540" t="s">
        <v>236</v>
      </c>
      <c r="F1540" t="s">
        <v>6787</v>
      </c>
      <c r="G1540" t="s">
        <v>6788</v>
      </c>
      <c r="H1540" t="s">
        <v>6789</v>
      </c>
    </row>
    <row r="1541" spans="1:8" x14ac:dyDescent="0.25">
      <c r="A1541">
        <v>1392787</v>
      </c>
      <c r="B1541" t="s">
        <v>6784</v>
      </c>
      <c r="C1541" t="s">
        <v>32</v>
      </c>
      <c r="D1541" t="s">
        <v>71</v>
      </c>
      <c r="E1541" t="s">
        <v>344</v>
      </c>
      <c r="F1541" t="s">
        <v>1322</v>
      </c>
      <c r="G1541" t="s">
        <v>6790</v>
      </c>
      <c r="H1541" t="s">
        <v>6791</v>
      </c>
    </row>
    <row r="1542" spans="1:8" x14ac:dyDescent="0.25">
      <c r="A1542">
        <v>1392788</v>
      </c>
      <c r="B1542" t="s">
        <v>6784</v>
      </c>
      <c r="C1542" t="s">
        <v>32</v>
      </c>
      <c r="D1542" t="s">
        <v>71</v>
      </c>
      <c r="E1542" t="s">
        <v>344</v>
      </c>
      <c r="F1542" t="s">
        <v>6792</v>
      </c>
      <c r="G1542" t="s">
        <v>6793</v>
      </c>
      <c r="H1542" t="s">
        <v>6794</v>
      </c>
    </row>
    <row r="1543" spans="1:8" x14ac:dyDescent="0.25">
      <c r="A1543">
        <v>1392792</v>
      </c>
      <c r="B1543" t="s">
        <v>6784</v>
      </c>
      <c r="C1543" t="s">
        <v>32</v>
      </c>
      <c r="D1543" t="s">
        <v>71</v>
      </c>
      <c r="E1543" t="s">
        <v>344</v>
      </c>
      <c r="F1543" t="s">
        <v>1323</v>
      </c>
      <c r="G1543" t="s">
        <v>6795</v>
      </c>
      <c r="H1543" t="s">
        <v>6796</v>
      </c>
    </row>
    <row r="1544" spans="1:8" x14ac:dyDescent="0.25">
      <c r="A1544">
        <v>1416930</v>
      </c>
      <c r="B1544" t="s">
        <v>6784</v>
      </c>
      <c r="C1544" t="s">
        <v>32</v>
      </c>
      <c r="D1544" t="s">
        <v>71</v>
      </c>
      <c r="E1544" t="s">
        <v>346</v>
      </c>
      <c r="F1544" t="s">
        <v>1678</v>
      </c>
      <c r="G1544" t="s">
        <v>1680</v>
      </c>
      <c r="H1544" t="s">
        <v>6797</v>
      </c>
    </row>
    <row r="1545" spans="1:8" x14ac:dyDescent="0.25">
      <c r="A1545">
        <v>1450291</v>
      </c>
      <c r="B1545" t="s">
        <v>6784</v>
      </c>
      <c r="C1545" t="s">
        <v>32</v>
      </c>
      <c r="D1545" t="s">
        <v>71</v>
      </c>
      <c r="E1545" t="s">
        <v>684</v>
      </c>
      <c r="F1545" t="s">
        <v>6798</v>
      </c>
      <c r="G1545" t="s">
        <v>1726</v>
      </c>
      <c r="H1545" t="s">
        <v>6799</v>
      </c>
    </row>
    <row r="1546" spans="1:8" x14ac:dyDescent="0.25">
      <c r="A1546">
        <v>1450536</v>
      </c>
      <c r="B1546" t="s">
        <v>6784</v>
      </c>
      <c r="C1546" t="s">
        <v>32</v>
      </c>
      <c r="D1546" t="s">
        <v>71</v>
      </c>
      <c r="E1546" t="s">
        <v>410</v>
      </c>
      <c r="F1546" t="s">
        <v>6800</v>
      </c>
      <c r="G1546" t="s">
        <v>6801</v>
      </c>
      <c r="H1546" t="s">
        <v>6802</v>
      </c>
    </row>
    <row r="1547" spans="1:8" x14ac:dyDescent="0.25">
      <c r="A1547">
        <v>1450537</v>
      </c>
      <c r="B1547" t="s">
        <v>6784</v>
      </c>
      <c r="C1547" t="s">
        <v>32</v>
      </c>
      <c r="D1547" t="s">
        <v>71</v>
      </c>
      <c r="E1547" t="s">
        <v>410</v>
      </c>
      <c r="F1547" t="s">
        <v>6803</v>
      </c>
      <c r="G1547" t="s">
        <v>6804</v>
      </c>
      <c r="H1547" t="s">
        <v>6805</v>
      </c>
    </row>
    <row r="1548" spans="1:8" x14ac:dyDescent="0.25">
      <c r="A1548">
        <v>1450539</v>
      </c>
      <c r="B1548" t="s">
        <v>6784</v>
      </c>
      <c r="C1548" t="s">
        <v>32</v>
      </c>
      <c r="D1548" t="s">
        <v>71</v>
      </c>
      <c r="E1548" t="s">
        <v>410</v>
      </c>
      <c r="F1548" t="s">
        <v>6806</v>
      </c>
      <c r="G1548" t="s">
        <v>1734</v>
      </c>
      <c r="H1548" t="s">
        <v>6807</v>
      </c>
    </row>
    <row r="1549" spans="1:8" x14ac:dyDescent="0.25">
      <c r="A1549">
        <v>1450774</v>
      </c>
      <c r="B1549" t="s">
        <v>6784</v>
      </c>
      <c r="C1549" t="s">
        <v>32</v>
      </c>
      <c r="D1549" t="s">
        <v>71</v>
      </c>
      <c r="E1549" t="s">
        <v>676</v>
      </c>
      <c r="F1549" t="s">
        <v>6808</v>
      </c>
      <c r="G1549" t="s">
        <v>6809</v>
      </c>
      <c r="H1549" t="s">
        <v>6810</v>
      </c>
    </row>
    <row r="1550" spans="1:8" x14ac:dyDescent="0.25">
      <c r="A1550">
        <v>1476909</v>
      </c>
      <c r="B1550" t="s">
        <v>6784</v>
      </c>
      <c r="C1550" t="s">
        <v>32</v>
      </c>
      <c r="D1550" t="s">
        <v>31</v>
      </c>
      <c r="E1550" t="s">
        <v>412</v>
      </c>
      <c r="F1550" t="s">
        <v>6811</v>
      </c>
      <c r="G1550" t="s">
        <v>2322</v>
      </c>
      <c r="H1550" t="s">
        <v>6812</v>
      </c>
    </row>
    <row r="1551" spans="1:8" x14ac:dyDescent="0.25">
      <c r="A1551">
        <v>1491565</v>
      </c>
      <c r="B1551" t="s">
        <v>6784</v>
      </c>
      <c r="C1551" t="s">
        <v>32</v>
      </c>
      <c r="D1551" t="s">
        <v>362</v>
      </c>
      <c r="E1551" t="s">
        <v>560</v>
      </c>
      <c r="F1551" t="s">
        <v>6813</v>
      </c>
      <c r="G1551" t="s">
        <v>6814</v>
      </c>
      <c r="H1551" t="s">
        <v>6815</v>
      </c>
    </row>
    <row r="1552" spans="1:8" x14ac:dyDescent="0.25">
      <c r="A1552">
        <v>1492181</v>
      </c>
      <c r="B1552" t="s">
        <v>6784</v>
      </c>
      <c r="C1552" t="s">
        <v>32</v>
      </c>
      <c r="D1552" t="s">
        <v>20</v>
      </c>
      <c r="E1552" t="s">
        <v>60</v>
      </c>
      <c r="F1552" t="s">
        <v>6816</v>
      </c>
      <c r="G1552" t="s">
        <v>6817</v>
      </c>
      <c r="H1552" t="s">
        <v>6818</v>
      </c>
    </row>
    <row r="1553" spans="1:8" x14ac:dyDescent="0.25">
      <c r="A1553">
        <v>1493775</v>
      </c>
      <c r="B1553" t="s">
        <v>6784</v>
      </c>
      <c r="C1553" t="s">
        <v>32</v>
      </c>
      <c r="D1553" t="s">
        <v>362</v>
      </c>
      <c r="E1553" t="s">
        <v>704</v>
      </c>
      <c r="F1553" t="s">
        <v>2300</v>
      </c>
      <c r="G1553" t="s">
        <v>6819</v>
      </c>
      <c r="H1553" t="s">
        <v>6820</v>
      </c>
    </row>
    <row r="1554" spans="1:8" x14ac:dyDescent="0.25">
      <c r="A1554">
        <v>1498379</v>
      </c>
      <c r="B1554" t="s">
        <v>6784</v>
      </c>
      <c r="C1554" t="s">
        <v>32</v>
      </c>
      <c r="D1554" t="s">
        <v>28</v>
      </c>
      <c r="E1554" t="s">
        <v>242</v>
      </c>
      <c r="F1554" t="s">
        <v>6821</v>
      </c>
      <c r="G1554" t="s">
        <v>2407</v>
      </c>
      <c r="H1554" t="s">
        <v>6822</v>
      </c>
    </row>
    <row r="1555" spans="1:8" x14ac:dyDescent="0.25">
      <c r="A1555">
        <v>1498386</v>
      </c>
      <c r="B1555" t="s">
        <v>6784</v>
      </c>
      <c r="C1555" t="s">
        <v>32</v>
      </c>
      <c r="D1555" t="s">
        <v>28</v>
      </c>
      <c r="E1555" t="s">
        <v>242</v>
      </c>
      <c r="F1555" t="s">
        <v>6823</v>
      </c>
      <c r="G1555" t="s">
        <v>2343</v>
      </c>
      <c r="H1555" t="s">
        <v>6824</v>
      </c>
    </row>
    <row r="1556" spans="1:8" x14ac:dyDescent="0.25">
      <c r="A1556">
        <v>1498393</v>
      </c>
      <c r="B1556" t="s">
        <v>6784</v>
      </c>
      <c r="C1556" t="s">
        <v>32</v>
      </c>
      <c r="D1556" t="s">
        <v>28</v>
      </c>
      <c r="E1556" t="s">
        <v>242</v>
      </c>
      <c r="F1556" t="s">
        <v>6443</v>
      </c>
      <c r="G1556" t="s">
        <v>2353</v>
      </c>
      <c r="H1556" t="s">
        <v>6825</v>
      </c>
    </row>
    <row r="1557" spans="1:8" x14ac:dyDescent="0.25">
      <c r="A1557">
        <v>1502825</v>
      </c>
      <c r="B1557" t="s">
        <v>6784</v>
      </c>
      <c r="C1557" t="s">
        <v>32</v>
      </c>
      <c r="D1557" t="s">
        <v>20</v>
      </c>
      <c r="E1557" t="s">
        <v>681</v>
      </c>
      <c r="F1557" t="s">
        <v>6826</v>
      </c>
      <c r="G1557" t="s">
        <v>6827</v>
      </c>
      <c r="H1557" t="s">
        <v>6828</v>
      </c>
    </row>
    <row r="1558" spans="1:8" x14ac:dyDescent="0.25">
      <c r="A1558">
        <v>1511914</v>
      </c>
      <c r="B1558" t="s">
        <v>6784</v>
      </c>
      <c r="C1558" t="s">
        <v>32</v>
      </c>
      <c r="D1558" t="s">
        <v>29</v>
      </c>
      <c r="E1558" t="s">
        <v>102</v>
      </c>
      <c r="F1558" t="s">
        <v>557</v>
      </c>
      <c r="G1558" t="s">
        <v>6829</v>
      </c>
      <c r="H1558" t="s">
        <v>6830</v>
      </c>
    </row>
    <row r="1559" spans="1:8" x14ac:dyDescent="0.25">
      <c r="A1559">
        <v>1513004</v>
      </c>
      <c r="B1559" t="s">
        <v>6784</v>
      </c>
      <c r="C1559" t="s">
        <v>32</v>
      </c>
      <c r="D1559" t="s">
        <v>362</v>
      </c>
      <c r="E1559" t="s">
        <v>363</v>
      </c>
      <c r="F1559" t="s">
        <v>2305</v>
      </c>
      <c r="G1559" t="s">
        <v>2307</v>
      </c>
      <c r="H1559" t="s">
        <v>6831</v>
      </c>
    </row>
    <row r="1560" spans="1:8" x14ac:dyDescent="0.25">
      <c r="A1560">
        <v>1519298</v>
      </c>
      <c r="B1560" t="s">
        <v>6784</v>
      </c>
      <c r="C1560" t="s">
        <v>32</v>
      </c>
      <c r="D1560" t="s">
        <v>366</v>
      </c>
      <c r="E1560" t="s">
        <v>367</v>
      </c>
      <c r="F1560" t="s">
        <v>6832</v>
      </c>
      <c r="G1560" t="s">
        <v>712</v>
      </c>
      <c r="H1560" t="s">
        <v>6833</v>
      </c>
    </row>
    <row r="1561" spans="1:8" x14ac:dyDescent="0.25">
      <c r="A1561">
        <v>1522351</v>
      </c>
      <c r="B1561" t="s">
        <v>6784</v>
      </c>
      <c r="C1561" t="s">
        <v>32</v>
      </c>
      <c r="D1561" t="s">
        <v>20</v>
      </c>
      <c r="E1561" t="s">
        <v>2609</v>
      </c>
      <c r="F1561" t="s">
        <v>6834</v>
      </c>
      <c r="G1561" t="s">
        <v>6835</v>
      </c>
      <c r="H1561" t="s">
        <v>6836</v>
      </c>
    </row>
    <row r="1562" spans="1:8" x14ac:dyDescent="0.25">
      <c r="A1562">
        <v>1524411</v>
      </c>
      <c r="B1562" t="s">
        <v>6784</v>
      </c>
      <c r="C1562" t="s">
        <v>32</v>
      </c>
      <c r="D1562" t="s">
        <v>21</v>
      </c>
      <c r="E1562" t="s">
        <v>6157</v>
      </c>
      <c r="F1562" t="s">
        <v>2534</v>
      </c>
      <c r="G1562" t="s">
        <v>4157</v>
      </c>
      <c r="H1562" t="s">
        <v>6837</v>
      </c>
    </row>
    <row r="1563" spans="1:8" x14ac:dyDescent="0.25">
      <c r="A1563">
        <v>1524419</v>
      </c>
      <c r="B1563" t="s">
        <v>6784</v>
      </c>
      <c r="C1563" t="s">
        <v>32</v>
      </c>
      <c r="D1563" t="s">
        <v>21</v>
      </c>
      <c r="E1563" t="s">
        <v>6838</v>
      </c>
      <c r="F1563" t="s">
        <v>6839</v>
      </c>
      <c r="G1563" t="s">
        <v>6840</v>
      </c>
      <c r="H1563" t="s">
        <v>6841</v>
      </c>
    </row>
    <row r="1564" spans="1:8" x14ac:dyDescent="0.25">
      <c r="A1564">
        <v>1525589</v>
      </c>
      <c r="B1564" t="s">
        <v>6784</v>
      </c>
      <c r="C1564" t="s">
        <v>32</v>
      </c>
      <c r="D1564" t="s">
        <v>71</v>
      </c>
      <c r="E1564" t="s">
        <v>346</v>
      </c>
      <c r="F1564" t="s">
        <v>6842</v>
      </c>
      <c r="G1564" t="s">
        <v>6843</v>
      </c>
      <c r="H1564" t="s">
        <v>6844</v>
      </c>
    </row>
    <row r="1565" spans="1:8" x14ac:dyDescent="0.25">
      <c r="A1565">
        <v>1525590</v>
      </c>
      <c r="B1565" t="s">
        <v>6784</v>
      </c>
      <c r="C1565" t="s">
        <v>32</v>
      </c>
      <c r="D1565" t="s">
        <v>71</v>
      </c>
      <c r="E1565" t="s">
        <v>346</v>
      </c>
      <c r="F1565" t="s">
        <v>6845</v>
      </c>
      <c r="G1565" t="s">
        <v>6846</v>
      </c>
      <c r="H1565" t="s">
        <v>6847</v>
      </c>
    </row>
    <row r="1566" spans="1:8" x14ac:dyDescent="0.25">
      <c r="A1566">
        <v>1525591</v>
      </c>
      <c r="B1566" t="s">
        <v>6784</v>
      </c>
      <c r="C1566" t="s">
        <v>32</v>
      </c>
      <c r="D1566" t="s">
        <v>71</v>
      </c>
      <c r="E1566" t="s">
        <v>346</v>
      </c>
      <c r="F1566" t="s">
        <v>6848</v>
      </c>
      <c r="G1566" t="s">
        <v>6849</v>
      </c>
      <c r="H1566" t="s">
        <v>6850</v>
      </c>
    </row>
    <row r="1567" spans="1:8" x14ac:dyDescent="0.25">
      <c r="A1567">
        <v>1528458</v>
      </c>
      <c r="B1567" t="s">
        <v>6784</v>
      </c>
      <c r="C1567" t="s">
        <v>32</v>
      </c>
      <c r="D1567" t="s">
        <v>72</v>
      </c>
      <c r="E1567" t="s">
        <v>75</v>
      </c>
      <c r="F1567" t="s">
        <v>6851</v>
      </c>
      <c r="G1567" t="s">
        <v>2619</v>
      </c>
      <c r="H1567" t="s">
        <v>6852</v>
      </c>
    </row>
    <row r="1568" spans="1:8" x14ac:dyDescent="0.25">
      <c r="A1568">
        <v>1530925</v>
      </c>
      <c r="B1568" t="s">
        <v>6784</v>
      </c>
      <c r="C1568" t="s">
        <v>32</v>
      </c>
      <c r="D1568" t="s">
        <v>20</v>
      </c>
      <c r="E1568" t="s">
        <v>6853</v>
      </c>
      <c r="F1568" t="s">
        <v>6854</v>
      </c>
      <c r="G1568" t="s">
        <v>6855</v>
      </c>
      <c r="H1568" t="s">
        <v>6856</v>
      </c>
    </row>
    <row r="1569" spans="1:8" x14ac:dyDescent="0.25">
      <c r="A1569">
        <v>1530926</v>
      </c>
      <c r="B1569" t="s">
        <v>6784</v>
      </c>
      <c r="C1569" t="s">
        <v>32</v>
      </c>
      <c r="D1569" t="s">
        <v>20</v>
      </c>
      <c r="E1569" t="s">
        <v>6853</v>
      </c>
      <c r="F1569" t="s">
        <v>6857</v>
      </c>
      <c r="G1569" t="s">
        <v>6858</v>
      </c>
      <c r="H1569" t="s">
        <v>6859</v>
      </c>
    </row>
    <row r="1570" spans="1:8" x14ac:dyDescent="0.25">
      <c r="A1570">
        <v>1531922</v>
      </c>
      <c r="B1570" t="s">
        <v>6784</v>
      </c>
      <c r="C1570" t="s">
        <v>32</v>
      </c>
      <c r="D1570" t="s">
        <v>72</v>
      </c>
      <c r="E1570" t="s">
        <v>73</v>
      </c>
      <c r="F1570" t="s">
        <v>6860</v>
      </c>
      <c r="G1570" t="s">
        <v>6861</v>
      </c>
      <c r="H1570" t="s">
        <v>6862</v>
      </c>
    </row>
    <row r="1571" spans="1:8" x14ac:dyDescent="0.25">
      <c r="A1571">
        <v>1533900</v>
      </c>
      <c r="B1571" t="s">
        <v>6784</v>
      </c>
      <c r="C1571" t="s">
        <v>32</v>
      </c>
      <c r="D1571" t="s">
        <v>20</v>
      </c>
      <c r="E1571" t="s">
        <v>688</v>
      </c>
      <c r="F1571" t="s">
        <v>2312</v>
      </c>
      <c r="G1571" t="s">
        <v>6863</v>
      </c>
      <c r="H1571" t="s">
        <v>6864</v>
      </c>
    </row>
    <row r="1572" spans="1:8" x14ac:dyDescent="0.25">
      <c r="A1572">
        <v>1533903</v>
      </c>
      <c r="B1572" t="s">
        <v>6784</v>
      </c>
      <c r="C1572" t="s">
        <v>32</v>
      </c>
      <c r="D1572" t="s">
        <v>20</v>
      </c>
      <c r="E1572" t="s">
        <v>689</v>
      </c>
      <c r="F1572" t="s">
        <v>2315</v>
      </c>
      <c r="G1572" t="s">
        <v>6865</v>
      </c>
      <c r="H1572" t="s">
        <v>6866</v>
      </c>
    </row>
    <row r="1573" spans="1:8" x14ac:dyDescent="0.25">
      <c r="A1573">
        <v>1534560</v>
      </c>
      <c r="B1573" t="s">
        <v>6784</v>
      </c>
      <c r="C1573" t="s">
        <v>32</v>
      </c>
      <c r="D1573" t="s">
        <v>20</v>
      </c>
      <c r="E1573" t="s">
        <v>690</v>
      </c>
      <c r="F1573" t="s">
        <v>2319</v>
      </c>
      <c r="G1573" t="s">
        <v>6867</v>
      </c>
      <c r="H1573" t="s">
        <v>6868</v>
      </c>
    </row>
    <row r="1574" spans="1:8" x14ac:dyDescent="0.25">
      <c r="A1574">
        <v>1534902</v>
      </c>
      <c r="B1574" t="s">
        <v>6784</v>
      </c>
      <c r="C1574" t="s">
        <v>32</v>
      </c>
      <c r="D1574" t="s">
        <v>20</v>
      </c>
      <c r="E1574" t="s">
        <v>220</v>
      </c>
      <c r="F1574" t="s">
        <v>1264</v>
      </c>
      <c r="G1574" t="s">
        <v>6869</v>
      </c>
      <c r="H1574" t="s">
        <v>6870</v>
      </c>
    </row>
    <row r="1575" spans="1:8" x14ac:dyDescent="0.25">
      <c r="A1575">
        <v>1535829</v>
      </c>
      <c r="B1575" t="s">
        <v>6784</v>
      </c>
      <c r="C1575" t="s">
        <v>32</v>
      </c>
      <c r="D1575" t="s">
        <v>90</v>
      </c>
      <c r="E1575" t="s">
        <v>55</v>
      </c>
      <c r="F1575" t="s">
        <v>6871</v>
      </c>
      <c r="G1575" t="s">
        <v>6872</v>
      </c>
      <c r="H1575" t="s">
        <v>6873</v>
      </c>
    </row>
    <row r="1576" spans="1:8" x14ac:dyDescent="0.25">
      <c r="A1576">
        <v>1380617</v>
      </c>
      <c r="B1576" t="s">
        <v>6874</v>
      </c>
      <c r="C1576" t="s">
        <v>32</v>
      </c>
      <c r="D1576" t="s">
        <v>51</v>
      </c>
      <c r="E1576" t="s">
        <v>57</v>
      </c>
      <c r="F1576" t="s">
        <v>6875</v>
      </c>
      <c r="G1576" t="s">
        <v>466</v>
      </c>
      <c r="H1576" t="s">
        <v>6876</v>
      </c>
    </row>
    <row r="1577" spans="1:8" x14ac:dyDescent="0.25">
      <c r="A1577">
        <v>1384365</v>
      </c>
      <c r="B1577" t="s">
        <v>6874</v>
      </c>
      <c r="C1577" t="s">
        <v>32</v>
      </c>
      <c r="D1577" t="s">
        <v>267</v>
      </c>
      <c r="E1577" t="s">
        <v>659</v>
      </c>
      <c r="F1577" t="s">
        <v>1615</v>
      </c>
      <c r="G1577" t="s">
        <v>2502</v>
      </c>
      <c r="H1577" t="s">
        <v>6877</v>
      </c>
    </row>
    <row r="1578" spans="1:8" x14ac:dyDescent="0.25">
      <c r="A1578">
        <v>1450775</v>
      </c>
      <c r="B1578" t="s">
        <v>6874</v>
      </c>
      <c r="C1578" t="s">
        <v>32</v>
      </c>
      <c r="D1578" t="s">
        <v>71</v>
      </c>
      <c r="E1578" t="s">
        <v>676</v>
      </c>
      <c r="F1578" t="s">
        <v>6878</v>
      </c>
      <c r="G1578" t="s">
        <v>6879</v>
      </c>
      <c r="H1578" t="s">
        <v>6880</v>
      </c>
    </row>
    <row r="1579" spans="1:8" x14ac:dyDescent="0.25">
      <c r="A1579">
        <v>1388849</v>
      </c>
      <c r="B1579" t="s">
        <v>6881</v>
      </c>
      <c r="C1579" t="s">
        <v>32</v>
      </c>
      <c r="D1579" t="s">
        <v>43</v>
      </c>
      <c r="E1579" t="s">
        <v>337</v>
      </c>
      <c r="F1579" t="s">
        <v>6882</v>
      </c>
      <c r="G1579" t="s">
        <v>6883</v>
      </c>
      <c r="H1579" t="s">
        <v>6884</v>
      </c>
    </row>
    <row r="1580" spans="1:8" x14ac:dyDescent="0.25">
      <c r="A1580">
        <v>1420065</v>
      </c>
      <c r="B1580" t="s">
        <v>6881</v>
      </c>
      <c r="C1580" t="s">
        <v>32</v>
      </c>
      <c r="D1580" t="s">
        <v>80</v>
      </c>
      <c r="E1580" t="s">
        <v>5393</v>
      </c>
      <c r="F1580" t="s">
        <v>6885</v>
      </c>
      <c r="G1580" t="s">
        <v>6886</v>
      </c>
      <c r="H1580" t="s">
        <v>6887</v>
      </c>
    </row>
    <row r="1581" spans="1:8" x14ac:dyDescent="0.25">
      <c r="A1581">
        <v>1492849</v>
      </c>
      <c r="B1581" t="s">
        <v>6881</v>
      </c>
      <c r="C1581" t="s">
        <v>32</v>
      </c>
      <c r="D1581" t="s">
        <v>351</v>
      </c>
      <c r="E1581" t="s">
        <v>6888</v>
      </c>
      <c r="F1581" t="s">
        <v>6889</v>
      </c>
      <c r="G1581" t="s">
        <v>6890</v>
      </c>
      <c r="H1581" t="s">
        <v>6891</v>
      </c>
    </row>
    <row r="1582" spans="1:8" x14ac:dyDescent="0.25">
      <c r="A1582">
        <v>1494580</v>
      </c>
      <c r="B1582" t="s">
        <v>6881</v>
      </c>
      <c r="C1582" t="s">
        <v>32</v>
      </c>
      <c r="D1582" t="s">
        <v>80</v>
      </c>
      <c r="E1582" t="s">
        <v>81</v>
      </c>
      <c r="F1582" t="s">
        <v>6892</v>
      </c>
      <c r="G1582" t="s">
        <v>1461</v>
      </c>
      <c r="H1582" t="s">
        <v>6893</v>
      </c>
    </row>
    <row r="1583" spans="1:8" x14ac:dyDescent="0.25">
      <c r="A1583">
        <v>1531760</v>
      </c>
      <c r="B1583" t="s">
        <v>6881</v>
      </c>
      <c r="C1583" t="s">
        <v>32</v>
      </c>
      <c r="D1583" t="s">
        <v>415</v>
      </c>
      <c r="E1583" t="s">
        <v>75</v>
      </c>
      <c r="F1583" t="s">
        <v>6894</v>
      </c>
      <c r="G1583" t="s">
        <v>6895</v>
      </c>
      <c r="H1583" t="s">
        <v>6896</v>
      </c>
    </row>
    <row r="1584" spans="1:8" x14ac:dyDescent="0.25">
      <c r="A1584">
        <v>1531761</v>
      </c>
      <c r="B1584" t="s">
        <v>6881</v>
      </c>
      <c r="C1584" t="s">
        <v>32</v>
      </c>
      <c r="D1584" t="s">
        <v>415</v>
      </c>
      <c r="E1584" t="s">
        <v>75</v>
      </c>
      <c r="F1584" t="s">
        <v>2334</v>
      </c>
      <c r="G1584" t="s">
        <v>6897</v>
      </c>
      <c r="H1584" t="s">
        <v>6898</v>
      </c>
    </row>
    <row r="1585" spans="1:8" x14ac:dyDescent="0.25">
      <c r="A1585">
        <v>1533902</v>
      </c>
      <c r="B1585" t="s">
        <v>6881</v>
      </c>
      <c r="C1585" t="s">
        <v>32</v>
      </c>
      <c r="D1585" t="s">
        <v>20</v>
      </c>
      <c r="E1585" t="s">
        <v>310</v>
      </c>
      <c r="F1585" t="s">
        <v>311</v>
      </c>
      <c r="G1585" t="s">
        <v>6899</v>
      </c>
      <c r="H1585" t="s">
        <v>6900</v>
      </c>
    </row>
    <row r="1586" spans="1:8" x14ac:dyDescent="0.25">
      <c r="A1586">
        <v>1534914</v>
      </c>
      <c r="B1586" t="s">
        <v>6881</v>
      </c>
      <c r="C1586" t="s">
        <v>32</v>
      </c>
      <c r="D1586" t="s">
        <v>20</v>
      </c>
      <c r="E1586" t="s">
        <v>691</v>
      </c>
      <c r="F1586" t="s">
        <v>691</v>
      </c>
      <c r="G1586" t="s">
        <v>101</v>
      </c>
      <c r="H1586" t="s">
        <v>6901</v>
      </c>
    </row>
    <row r="1587" spans="1:8" x14ac:dyDescent="0.25">
      <c r="A1587">
        <v>1535754</v>
      </c>
      <c r="B1587" t="s">
        <v>6881</v>
      </c>
      <c r="C1587" t="s">
        <v>32</v>
      </c>
      <c r="D1587" t="s">
        <v>20</v>
      </c>
      <c r="E1587" t="s">
        <v>2316</v>
      </c>
      <c r="F1587" t="s">
        <v>2317</v>
      </c>
      <c r="G1587" t="s">
        <v>6902</v>
      </c>
      <c r="H1587" t="s">
        <v>6903</v>
      </c>
    </row>
    <row r="1588" spans="1:8" x14ac:dyDescent="0.25">
      <c r="A1588">
        <v>1378160</v>
      </c>
      <c r="B1588" t="s">
        <v>6904</v>
      </c>
      <c r="C1588" t="s">
        <v>32</v>
      </c>
      <c r="D1588" t="s">
        <v>41</v>
      </c>
      <c r="E1588" t="s">
        <v>60</v>
      </c>
      <c r="F1588" t="s">
        <v>6905</v>
      </c>
      <c r="G1588" t="s">
        <v>2548</v>
      </c>
      <c r="H1588" t="s">
        <v>6906</v>
      </c>
    </row>
    <row r="1589" spans="1:8" x14ac:dyDescent="0.25">
      <c r="A1589">
        <v>1492655</v>
      </c>
      <c r="B1589" t="s">
        <v>6904</v>
      </c>
      <c r="C1589" t="s">
        <v>32</v>
      </c>
      <c r="D1589" t="s">
        <v>351</v>
      </c>
      <c r="E1589" t="s">
        <v>25</v>
      </c>
      <c r="F1589" t="s">
        <v>6907</v>
      </c>
      <c r="G1589" t="s">
        <v>556</v>
      </c>
      <c r="H1589" t="s">
        <v>6908</v>
      </c>
    </row>
    <row r="1590" spans="1:8" x14ac:dyDescent="0.25">
      <c r="A1590">
        <v>1530928</v>
      </c>
      <c r="B1590" t="s">
        <v>6904</v>
      </c>
      <c r="C1590" t="s">
        <v>32</v>
      </c>
      <c r="D1590" t="s">
        <v>20</v>
      </c>
      <c r="E1590" t="s">
        <v>692</v>
      </c>
      <c r="F1590" t="s">
        <v>6909</v>
      </c>
      <c r="G1590" t="s">
        <v>535</v>
      </c>
      <c r="H1590" t="s">
        <v>6910</v>
      </c>
    </row>
    <row r="1591" spans="1:8" x14ac:dyDescent="0.25">
      <c r="A1591">
        <v>1379274</v>
      </c>
      <c r="B1591" t="s">
        <v>6911</v>
      </c>
      <c r="C1591" t="s">
        <v>32</v>
      </c>
      <c r="D1591" t="s">
        <v>65</v>
      </c>
      <c r="E1591" t="s">
        <v>49</v>
      </c>
      <c r="F1591" t="s">
        <v>516</v>
      </c>
      <c r="G1591" t="s">
        <v>515</v>
      </c>
      <c r="H1591" t="s">
        <v>6912</v>
      </c>
    </row>
    <row r="1592" spans="1:8" x14ac:dyDescent="0.25">
      <c r="A1592">
        <v>1381118</v>
      </c>
      <c r="B1592" t="s">
        <v>6911</v>
      </c>
      <c r="C1592" t="s">
        <v>32</v>
      </c>
      <c r="D1592" t="s">
        <v>58</v>
      </c>
      <c r="E1592" t="s">
        <v>59</v>
      </c>
      <c r="F1592" t="s">
        <v>1183</v>
      </c>
      <c r="G1592" t="s">
        <v>2065</v>
      </c>
      <c r="H1592" t="s">
        <v>6913</v>
      </c>
    </row>
    <row r="1593" spans="1:8" x14ac:dyDescent="0.25">
      <c r="A1593">
        <v>1385324</v>
      </c>
      <c r="B1593" t="s">
        <v>6911</v>
      </c>
      <c r="C1593" t="s">
        <v>32</v>
      </c>
      <c r="D1593" t="s">
        <v>5138</v>
      </c>
      <c r="E1593" t="s">
        <v>5083</v>
      </c>
      <c r="F1593" t="s">
        <v>6914</v>
      </c>
      <c r="G1593" t="s">
        <v>6915</v>
      </c>
      <c r="H1593" t="s">
        <v>6916</v>
      </c>
    </row>
    <row r="1594" spans="1:8" x14ac:dyDescent="0.25">
      <c r="A1594">
        <v>1391107</v>
      </c>
      <c r="B1594" t="s">
        <v>6911</v>
      </c>
      <c r="C1594" t="s">
        <v>32</v>
      </c>
      <c r="D1594" t="s">
        <v>40</v>
      </c>
      <c r="E1594" t="s">
        <v>74</v>
      </c>
      <c r="F1594" t="s">
        <v>2244</v>
      </c>
      <c r="G1594" t="s">
        <v>2338</v>
      </c>
      <c r="H1594" t="s">
        <v>6917</v>
      </c>
    </row>
    <row r="1595" spans="1:8" x14ac:dyDescent="0.25">
      <c r="A1595">
        <v>1392104</v>
      </c>
      <c r="B1595" t="s">
        <v>6911</v>
      </c>
      <c r="C1595" t="s">
        <v>32</v>
      </c>
      <c r="D1595" t="s">
        <v>40</v>
      </c>
      <c r="E1595" t="s">
        <v>75</v>
      </c>
      <c r="F1595" t="s">
        <v>2340</v>
      </c>
      <c r="G1595" t="s">
        <v>6918</v>
      </c>
      <c r="H1595" t="s">
        <v>6919</v>
      </c>
    </row>
    <row r="1596" spans="1:8" x14ac:dyDescent="0.25">
      <c r="A1596">
        <v>1421632</v>
      </c>
      <c r="B1596" t="s">
        <v>6911</v>
      </c>
      <c r="C1596" t="s">
        <v>32</v>
      </c>
      <c r="D1596" t="s">
        <v>89</v>
      </c>
      <c r="E1596" t="s">
        <v>4589</v>
      </c>
      <c r="F1596" t="s">
        <v>6920</v>
      </c>
      <c r="G1596" t="s">
        <v>6921</v>
      </c>
      <c r="H1596" t="s">
        <v>6922</v>
      </c>
    </row>
    <row r="1597" spans="1:8" x14ac:dyDescent="0.25">
      <c r="A1597">
        <v>1431793</v>
      </c>
      <c r="B1597" t="s">
        <v>6911</v>
      </c>
      <c r="C1597" t="s">
        <v>32</v>
      </c>
      <c r="D1597" t="s">
        <v>40</v>
      </c>
      <c r="E1597" t="s">
        <v>340</v>
      </c>
      <c r="F1597" t="s">
        <v>6923</v>
      </c>
      <c r="G1597" t="s">
        <v>1919</v>
      </c>
      <c r="H1597" t="s">
        <v>6924</v>
      </c>
    </row>
    <row r="1598" spans="1:8" x14ac:dyDescent="0.25">
      <c r="A1598">
        <v>1493427</v>
      </c>
      <c r="B1598" t="s">
        <v>6911</v>
      </c>
      <c r="C1598" t="s">
        <v>32</v>
      </c>
      <c r="D1598" t="s">
        <v>362</v>
      </c>
      <c r="E1598" t="s">
        <v>560</v>
      </c>
      <c r="F1598" t="s">
        <v>6925</v>
      </c>
      <c r="G1598" t="s">
        <v>6926</v>
      </c>
      <c r="H1598" t="s">
        <v>6927</v>
      </c>
    </row>
    <row r="1599" spans="1:8" x14ac:dyDescent="0.25">
      <c r="A1599">
        <v>1498384</v>
      </c>
      <c r="B1599" t="s">
        <v>6911</v>
      </c>
      <c r="C1599" t="s">
        <v>32</v>
      </c>
      <c r="D1599" t="s">
        <v>28</v>
      </c>
      <c r="E1599" t="s">
        <v>242</v>
      </c>
      <c r="F1599" t="s">
        <v>2346</v>
      </c>
      <c r="G1599" t="s">
        <v>2342</v>
      </c>
      <c r="H1599" t="s">
        <v>6928</v>
      </c>
    </row>
    <row r="1600" spans="1:8" x14ac:dyDescent="0.25">
      <c r="A1600">
        <v>1499205</v>
      </c>
      <c r="B1600" t="s">
        <v>6911</v>
      </c>
      <c r="C1600" t="s">
        <v>32</v>
      </c>
      <c r="D1600" t="s">
        <v>272</v>
      </c>
      <c r="E1600" t="s">
        <v>26</v>
      </c>
      <c r="F1600" t="s">
        <v>2438</v>
      </c>
      <c r="G1600" t="s">
        <v>6929</v>
      </c>
      <c r="H1600" t="s">
        <v>6930</v>
      </c>
    </row>
    <row r="1601" spans="1:8" x14ac:dyDescent="0.25">
      <c r="A1601">
        <v>1508367</v>
      </c>
      <c r="B1601" t="s">
        <v>6911</v>
      </c>
      <c r="C1601" t="s">
        <v>32</v>
      </c>
      <c r="D1601" t="s">
        <v>362</v>
      </c>
      <c r="E1601" t="s">
        <v>2599</v>
      </c>
      <c r="F1601" t="s">
        <v>6931</v>
      </c>
      <c r="G1601" t="s">
        <v>6932</v>
      </c>
      <c r="H1601" t="s">
        <v>6933</v>
      </c>
    </row>
    <row r="1602" spans="1:8" x14ac:dyDescent="0.25">
      <c r="A1602">
        <v>1511915</v>
      </c>
      <c r="B1602" t="s">
        <v>6911</v>
      </c>
      <c r="C1602" t="s">
        <v>32</v>
      </c>
      <c r="D1602" t="s">
        <v>29</v>
      </c>
      <c r="E1602" t="s">
        <v>102</v>
      </c>
      <c r="F1602" t="s">
        <v>6934</v>
      </c>
      <c r="G1602" t="s">
        <v>6935</v>
      </c>
      <c r="H1602" t="s">
        <v>6936</v>
      </c>
    </row>
    <row r="1603" spans="1:8" x14ac:dyDescent="0.25">
      <c r="A1603">
        <v>1520609</v>
      </c>
      <c r="B1603" t="s">
        <v>6911</v>
      </c>
      <c r="C1603" t="s">
        <v>32</v>
      </c>
      <c r="D1603" t="s">
        <v>20</v>
      </c>
      <c r="E1603" t="s">
        <v>348</v>
      </c>
      <c r="F1603" t="s">
        <v>6937</v>
      </c>
      <c r="G1603" t="s">
        <v>6938</v>
      </c>
      <c r="H1603" t="s">
        <v>6939</v>
      </c>
    </row>
    <row r="1604" spans="1:8" x14ac:dyDescent="0.25">
      <c r="A1604">
        <v>1531756</v>
      </c>
      <c r="B1604" t="s">
        <v>6911</v>
      </c>
      <c r="C1604" t="s">
        <v>32</v>
      </c>
      <c r="D1604" t="s">
        <v>415</v>
      </c>
      <c r="E1604" t="s">
        <v>75</v>
      </c>
      <c r="F1604" t="s">
        <v>6940</v>
      </c>
      <c r="G1604" t="s">
        <v>6941</v>
      </c>
      <c r="H1604" t="s">
        <v>6942</v>
      </c>
    </row>
    <row r="1605" spans="1:8" x14ac:dyDescent="0.25">
      <c r="A1605">
        <v>1531851</v>
      </c>
      <c r="B1605" t="s">
        <v>6911</v>
      </c>
      <c r="C1605" t="s">
        <v>32</v>
      </c>
      <c r="D1605" t="s">
        <v>694</v>
      </c>
      <c r="E1605" t="s">
        <v>695</v>
      </c>
      <c r="F1605" t="s">
        <v>6943</v>
      </c>
      <c r="G1605" t="s">
        <v>6944</v>
      </c>
      <c r="H1605" t="s">
        <v>6945</v>
      </c>
    </row>
    <row r="1606" spans="1:8" x14ac:dyDescent="0.25">
      <c r="A1606">
        <v>1533235</v>
      </c>
      <c r="B1606" t="s">
        <v>6911</v>
      </c>
      <c r="C1606" t="s">
        <v>32</v>
      </c>
      <c r="D1606" t="s">
        <v>20</v>
      </c>
      <c r="E1606" t="s">
        <v>6678</v>
      </c>
      <c r="F1606" t="s">
        <v>6946</v>
      </c>
      <c r="G1606" t="s">
        <v>6947</v>
      </c>
      <c r="H1606" t="s">
        <v>6948</v>
      </c>
    </row>
    <row r="1607" spans="1:8" x14ac:dyDescent="0.25">
      <c r="A1607">
        <v>1533879</v>
      </c>
      <c r="B1607" t="s">
        <v>6911</v>
      </c>
      <c r="C1607" t="s">
        <v>32</v>
      </c>
      <c r="D1607" t="s">
        <v>20</v>
      </c>
      <c r="E1607" t="s">
        <v>301</v>
      </c>
      <c r="F1607" t="s">
        <v>6949</v>
      </c>
      <c r="G1607" t="s">
        <v>2561</v>
      </c>
      <c r="H1607" t="s">
        <v>6950</v>
      </c>
    </row>
    <row r="1608" spans="1:8" x14ac:dyDescent="0.25">
      <c r="A1608">
        <v>1535060</v>
      </c>
      <c r="B1608" t="s">
        <v>6911</v>
      </c>
      <c r="C1608" t="s">
        <v>32</v>
      </c>
      <c r="D1608" t="s">
        <v>20</v>
      </c>
      <c r="E1608" t="s">
        <v>430</v>
      </c>
      <c r="F1608" t="s">
        <v>6951</v>
      </c>
      <c r="G1608" t="s">
        <v>6938</v>
      </c>
      <c r="H1608" t="s">
        <v>6952</v>
      </c>
    </row>
    <row r="1609" spans="1:8" x14ac:dyDescent="0.25">
      <c r="A1609">
        <v>1387937</v>
      </c>
      <c r="B1609" t="s">
        <v>6953</v>
      </c>
      <c r="C1609" t="s">
        <v>32</v>
      </c>
      <c r="D1609" t="s">
        <v>89</v>
      </c>
      <c r="E1609" t="s">
        <v>47</v>
      </c>
      <c r="F1609" t="s">
        <v>2163</v>
      </c>
      <c r="G1609" t="s">
        <v>6954</v>
      </c>
      <c r="H1609" t="s">
        <v>6955</v>
      </c>
    </row>
    <row r="1610" spans="1:8" x14ac:dyDescent="0.25">
      <c r="A1610">
        <v>1535751</v>
      </c>
      <c r="B1610" t="s">
        <v>6956</v>
      </c>
      <c r="C1610" t="s">
        <v>32</v>
      </c>
      <c r="D1610" t="s">
        <v>279</v>
      </c>
      <c r="E1610" t="s">
        <v>25</v>
      </c>
      <c r="F1610" t="s">
        <v>6957</v>
      </c>
      <c r="G1610" t="s">
        <v>6958</v>
      </c>
      <c r="H1610" t="s">
        <v>6959</v>
      </c>
    </row>
    <row r="1611" spans="1:8" x14ac:dyDescent="0.25">
      <c r="A1611">
        <v>1396479</v>
      </c>
      <c r="B1611" t="s">
        <v>6960</v>
      </c>
      <c r="C1611" t="s">
        <v>32</v>
      </c>
      <c r="D1611" t="s">
        <v>53</v>
      </c>
      <c r="E1611" t="s">
        <v>99</v>
      </c>
      <c r="F1611" t="s">
        <v>353</v>
      </c>
      <c r="G1611" t="s">
        <v>6961</v>
      </c>
      <c r="H1611" t="s">
        <v>6962</v>
      </c>
    </row>
    <row r="1612" spans="1:8" x14ac:dyDescent="0.25">
      <c r="A1612">
        <v>1490166</v>
      </c>
      <c r="B1612" t="s">
        <v>6960</v>
      </c>
      <c r="C1612" t="s">
        <v>32</v>
      </c>
      <c r="D1612" t="s">
        <v>362</v>
      </c>
      <c r="E1612" t="s">
        <v>413</v>
      </c>
      <c r="F1612" t="s">
        <v>717</v>
      </c>
      <c r="G1612" t="s">
        <v>716</v>
      </c>
      <c r="H1612" t="s">
        <v>6963</v>
      </c>
    </row>
    <row r="1613" spans="1:8" x14ac:dyDescent="0.25">
      <c r="A1613">
        <v>1512549</v>
      </c>
      <c r="B1613" t="s">
        <v>6960</v>
      </c>
      <c r="C1613" t="s">
        <v>32</v>
      </c>
      <c r="D1613" t="s">
        <v>370</v>
      </c>
      <c r="E1613" t="s">
        <v>27</v>
      </c>
      <c r="F1613" t="s">
        <v>2370</v>
      </c>
      <c r="G1613" t="s">
        <v>6964</v>
      </c>
      <c r="H1613" t="s">
        <v>6965</v>
      </c>
    </row>
    <row r="1614" spans="1:8" x14ac:dyDescent="0.25">
      <c r="A1614">
        <v>1526475</v>
      </c>
      <c r="B1614" t="s">
        <v>6960</v>
      </c>
      <c r="C1614" t="s">
        <v>32</v>
      </c>
      <c r="D1614" t="s">
        <v>366</v>
      </c>
      <c r="E1614" t="s">
        <v>2613</v>
      </c>
      <c r="F1614" t="s">
        <v>6966</v>
      </c>
      <c r="G1614" t="s">
        <v>6967</v>
      </c>
      <c r="H1614" t="s">
        <v>6968</v>
      </c>
    </row>
    <row r="1615" spans="1:8" x14ac:dyDescent="0.25">
      <c r="A1615">
        <v>1526478</v>
      </c>
      <c r="B1615" t="s">
        <v>6960</v>
      </c>
      <c r="C1615" t="s">
        <v>32</v>
      </c>
      <c r="D1615" t="s">
        <v>366</v>
      </c>
      <c r="E1615" t="s">
        <v>2613</v>
      </c>
      <c r="F1615" t="s">
        <v>6969</v>
      </c>
      <c r="G1615" t="s">
        <v>6970</v>
      </c>
      <c r="H1615" t="s">
        <v>6971</v>
      </c>
    </row>
    <row r="1616" spans="1:8" x14ac:dyDescent="0.25">
      <c r="A1616">
        <v>1531812</v>
      </c>
      <c r="B1616" t="s">
        <v>6960</v>
      </c>
      <c r="C1616" t="s">
        <v>32</v>
      </c>
      <c r="D1616" t="s">
        <v>696</v>
      </c>
      <c r="E1616" t="s">
        <v>88</v>
      </c>
      <c r="F1616" t="s">
        <v>6972</v>
      </c>
      <c r="G1616" t="s">
        <v>2427</v>
      </c>
      <c r="H1616" t="s">
        <v>6973</v>
      </c>
    </row>
    <row r="1617" spans="1:8" x14ac:dyDescent="0.25">
      <c r="A1617">
        <v>1491988</v>
      </c>
      <c r="B1617" t="s">
        <v>6974</v>
      </c>
      <c r="C1617" t="s">
        <v>32</v>
      </c>
      <c r="D1617" t="s">
        <v>28</v>
      </c>
      <c r="E1617" t="s">
        <v>2588</v>
      </c>
      <c r="F1617" t="s">
        <v>6975</v>
      </c>
      <c r="G1617" t="s">
        <v>6976</v>
      </c>
      <c r="H1617" t="s">
        <v>6977</v>
      </c>
    </row>
    <row r="1618" spans="1:8" x14ac:dyDescent="0.25">
      <c r="A1618">
        <v>1491995</v>
      </c>
      <c r="B1618" t="s">
        <v>6974</v>
      </c>
      <c r="C1618" t="s">
        <v>32</v>
      </c>
      <c r="D1618" t="s">
        <v>28</v>
      </c>
      <c r="E1618" t="s">
        <v>2588</v>
      </c>
      <c r="F1618" t="s">
        <v>6978</v>
      </c>
      <c r="G1618" t="s">
        <v>6979</v>
      </c>
      <c r="H1618" t="s">
        <v>6980</v>
      </c>
    </row>
    <row r="1619" spans="1:8" x14ac:dyDescent="0.25">
      <c r="A1619">
        <v>1446200</v>
      </c>
      <c r="B1619" t="s">
        <v>6981</v>
      </c>
      <c r="C1619" t="s">
        <v>32</v>
      </c>
      <c r="D1619" t="s">
        <v>362</v>
      </c>
      <c r="E1619" t="s">
        <v>687</v>
      </c>
      <c r="F1619" t="s">
        <v>2218</v>
      </c>
      <c r="G1619" t="s">
        <v>6982</v>
      </c>
      <c r="H1619" t="s">
        <v>6983</v>
      </c>
    </row>
    <row r="1620" spans="1:8" x14ac:dyDescent="0.25">
      <c r="A1620">
        <v>1476912</v>
      </c>
      <c r="B1620" t="s">
        <v>6981</v>
      </c>
      <c r="C1620" t="s">
        <v>32</v>
      </c>
      <c r="D1620" t="s">
        <v>31</v>
      </c>
      <c r="E1620" t="s">
        <v>412</v>
      </c>
      <c r="F1620" t="s">
        <v>6984</v>
      </c>
      <c r="G1620" t="s">
        <v>731</v>
      </c>
      <c r="H1620" t="s">
        <v>6985</v>
      </c>
    </row>
    <row r="1621" spans="1:8" x14ac:dyDescent="0.25">
      <c r="A1621">
        <v>1499324</v>
      </c>
      <c r="B1621" t="s">
        <v>6981</v>
      </c>
      <c r="C1621" t="s">
        <v>32</v>
      </c>
      <c r="D1621" t="s">
        <v>28</v>
      </c>
      <c r="E1621" t="s">
        <v>6473</v>
      </c>
      <c r="F1621" t="s">
        <v>6986</v>
      </c>
      <c r="G1621" t="s">
        <v>6987</v>
      </c>
      <c r="H1621" t="s">
        <v>6988</v>
      </c>
    </row>
    <row r="1622" spans="1:8" x14ac:dyDescent="0.25">
      <c r="A1622">
        <v>1504907</v>
      </c>
      <c r="B1622" t="s">
        <v>6981</v>
      </c>
      <c r="C1622" t="s">
        <v>32</v>
      </c>
      <c r="D1622" t="s">
        <v>708</v>
      </c>
      <c r="E1622" t="s">
        <v>24</v>
      </c>
      <c r="F1622" t="s">
        <v>2378</v>
      </c>
      <c r="G1622" t="s">
        <v>271</v>
      </c>
      <c r="H1622" t="s">
        <v>6989</v>
      </c>
    </row>
    <row r="1623" spans="1:8" x14ac:dyDescent="0.25">
      <c r="A1623">
        <v>1511525</v>
      </c>
      <c r="B1623" t="s">
        <v>6981</v>
      </c>
      <c r="C1623" t="s">
        <v>32</v>
      </c>
      <c r="D1623" t="s">
        <v>354</v>
      </c>
      <c r="E1623" t="s">
        <v>102</v>
      </c>
      <c r="F1623" t="s">
        <v>2434</v>
      </c>
      <c r="G1623" t="s">
        <v>2381</v>
      </c>
      <c r="H1623" t="s">
        <v>6990</v>
      </c>
    </row>
    <row r="1624" spans="1:8" x14ac:dyDescent="0.25">
      <c r="A1624">
        <v>1511916</v>
      </c>
      <c r="B1624" t="s">
        <v>6981</v>
      </c>
      <c r="C1624" t="s">
        <v>32</v>
      </c>
      <c r="D1624" t="s">
        <v>29</v>
      </c>
      <c r="E1624" t="s">
        <v>102</v>
      </c>
      <c r="F1624" t="s">
        <v>6991</v>
      </c>
      <c r="G1624" t="s">
        <v>6992</v>
      </c>
      <c r="H1624" t="s">
        <v>6993</v>
      </c>
    </row>
    <row r="1625" spans="1:8" x14ac:dyDescent="0.25">
      <c r="A1625">
        <v>1520603</v>
      </c>
      <c r="B1625" t="s">
        <v>6981</v>
      </c>
      <c r="C1625" t="s">
        <v>32</v>
      </c>
      <c r="D1625" t="s">
        <v>20</v>
      </c>
      <c r="E1625" t="s">
        <v>348</v>
      </c>
      <c r="F1625" t="s">
        <v>2388</v>
      </c>
      <c r="G1625" t="s">
        <v>6994</v>
      </c>
      <c r="H1625" t="s">
        <v>6995</v>
      </c>
    </row>
    <row r="1626" spans="1:8" x14ac:dyDescent="0.25">
      <c r="A1626">
        <v>1522352</v>
      </c>
      <c r="B1626" t="s">
        <v>6981</v>
      </c>
      <c r="C1626" t="s">
        <v>32</v>
      </c>
      <c r="D1626" t="s">
        <v>20</v>
      </c>
      <c r="E1626" t="s">
        <v>2609</v>
      </c>
      <c r="F1626" t="s">
        <v>6996</v>
      </c>
      <c r="G1626" t="s">
        <v>6997</v>
      </c>
      <c r="H1626" t="s">
        <v>6998</v>
      </c>
    </row>
    <row r="1627" spans="1:8" x14ac:dyDescent="0.25">
      <c r="A1627">
        <v>1522452</v>
      </c>
      <c r="B1627" t="s">
        <v>6981</v>
      </c>
      <c r="C1627" t="s">
        <v>32</v>
      </c>
      <c r="D1627" t="s">
        <v>20</v>
      </c>
      <c r="E1627" t="s">
        <v>2609</v>
      </c>
      <c r="F1627" t="s">
        <v>2397</v>
      </c>
      <c r="G1627" t="s">
        <v>6999</v>
      </c>
      <c r="H1627" t="s">
        <v>7000</v>
      </c>
    </row>
    <row r="1628" spans="1:8" x14ac:dyDescent="0.25">
      <c r="A1628">
        <v>1529061</v>
      </c>
      <c r="B1628" t="s">
        <v>6981</v>
      </c>
      <c r="C1628" t="s">
        <v>32</v>
      </c>
      <c r="D1628" t="s">
        <v>354</v>
      </c>
      <c r="E1628" t="s">
        <v>75</v>
      </c>
      <c r="F1628" t="s">
        <v>7001</v>
      </c>
      <c r="G1628" t="s">
        <v>7002</v>
      </c>
      <c r="H1628" t="s">
        <v>7003</v>
      </c>
    </row>
    <row r="1629" spans="1:8" x14ac:dyDescent="0.25">
      <c r="A1629">
        <v>1529062</v>
      </c>
      <c r="B1629" t="s">
        <v>6981</v>
      </c>
      <c r="C1629" t="s">
        <v>32</v>
      </c>
      <c r="D1629" t="s">
        <v>354</v>
      </c>
      <c r="E1629" t="s">
        <v>75</v>
      </c>
      <c r="F1629" t="s">
        <v>7004</v>
      </c>
      <c r="G1629" t="s">
        <v>7005</v>
      </c>
      <c r="H1629" t="s">
        <v>7006</v>
      </c>
    </row>
    <row r="1630" spans="1:8" x14ac:dyDescent="0.25">
      <c r="A1630">
        <v>1535564</v>
      </c>
      <c r="B1630" t="s">
        <v>6981</v>
      </c>
      <c r="C1630" t="s">
        <v>32</v>
      </c>
      <c r="D1630" t="s">
        <v>354</v>
      </c>
      <c r="E1630" t="s">
        <v>5934</v>
      </c>
      <c r="F1630" t="s">
        <v>7007</v>
      </c>
      <c r="G1630" t="s">
        <v>7008</v>
      </c>
      <c r="H1630" t="s">
        <v>7009</v>
      </c>
    </row>
    <row r="1631" spans="1:8" x14ac:dyDescent="0.25">
      <c r="A1631">
        <v>1520608</v>
      </c>
      <c r="B1631" t="s">
        <v>7010</v>
      </c>
      <c r="C1631" t="s">
        <v>32</v>
      </c>
      <c r="D1631" t="s">
        <v>20</v>
      </c>
      <c r="E1631" t="s">
        <v>348</v>
      </c>
      <c r="F1631" t="s">
        <v>7011</v>
      </c>
      <c r="G1631" t="s">
        <v>7012</v>
      </c>
      <c r="H1631" t="s">
        <v>7013</v>
      </c>
    </row>
    <row r="1632" spans="1:8" x14ac:dyDescent="0.25">
      <c r="A1632">
        <v>1457045</v>
      </c>
      <c r="B1632" t="s">
        <v>7014</v>
      </c>
      <c r="C1632" t="s">
        <v>32</v>
      </c>
      <c r="D1632" t="s">
        <v>18</v>
      </c>
      <c r="E1632" t="s">
        <v>19</v>
      </c>
      <c r="F1632" t="s">
        <v>7015</v>
      </c>
      <c r="G1632" t="s">
        <v>730</v>
      </c>
      <c r="H1632" t="s">
        <v>7016</v>
      </c>
    </row>
    <row r="1633" spans="1:8" x14ac:dyDescent="0.25">
      <c r="A1633">
        <v>1457047</v>
      </c>
      <c r="B1633" t="s">
        <v>7014</v>
      </c>
      <c r="C1633" t="s">
        <v>32</v>
      </c>
      <c r="D1633" t="s">
        <v>18</v>
      </c>
      <c r="E1633" t="s">
        <v>19</v>
      </c>
      <c r="F1633" t="s">
        <v>7017</v>
      </c>
      <c r="G1633" t="s">
        <v>7018</v>
      </c>
      <c r="H1633" t="s">
        <v>7019</v>
      </c>
    </row>
    <row r="1634" spans="1:8" x14ac:dyDescent="0.25">
      <c r="A1634">
        <v>1457188</v>
      </c>
      <c r="B1634" t="s">
        <v>7014</v>
      </c>
      <c r="C1634" t="s">
        <v>32</v>
      </c>
      <c r="D1634" t="s">
        <v>18</v>
      </c>
      <c r="E1634" t="s">
        <v>19</v>
      </c>
      <c r="F1634" t="s">
        <v>7020</v>
      </c>
      <c r="G1634" t="s">
        <v>7021</v>
      </c>
      <c r="H1634" t="s">
        <v>7022</v>
      </c>
    </row>
    <row r="1635" spans="1:8" x14ac:dyDescent="0.25">
      <c r="A1635">
        <v>1492184</v>
      </c>
      <c r="B1635" t="s">
        <v>7014</v>
      </c>
      <c r="C1635" t="s">
        <v>32</v>
      </c>
      <c r="D1635" t="s">
        <v>20</v>
      </c>
      <c r="E1635" t="s">
        <v>60</v>
      </c>
      <c r="F1635" t="s">
        <v>2400</v>
      </c>
      <c r="G1635" t="s">
        <v>2399</v>
      </c>
      <c r="H1635" t="s">
        <v>7023</v>
      </c>
    </row>
    <row r="1636" spans="1:8" x14ac:dyDescent="0.25">
      <c r="A1636">
        <v>1505025</v>
      </c>
      <c r="B1636" t="s">
        <v>7014</v>
      </c>
      <c r="C1636" t="s">
        <v>32</v>
      </c>
      <c r="D1636" t="s">
        <v>355</v>
      </c>
      <c r="E1636" t="s">
        <v>356</v>
      </c>
      <c r="F1636" t="s">
        <v>7024</v>
      </c>
      <c r="G1636" t="s">
        <v>2401</v>
      </c>
      <c r="H1636" t="s">
        <v>7025</v>
      </c>
    </row>
    <row r="1637" spans="1:8" x14ac:dyDescent="0.25">
      <c r="A1637">
        <v>1519299</v>
      </c>
      <c r="B1637" t="s">
        <v>7014</v>
      </c>
      <c r="C1637" t="s">
        <v>32</v>
      </c>
      <c r="D1637" t="s">
        <v>366</v>
      </c>
      <c r="E1637" t="s">
        <v>367</v>
      </c>
      <c r="F1637" t="s">
        <v>2148</v>
      </c>
      <c r="G1637" t="s">
        <v>429</v>
      </c>
      <c r="H1637" t="s">
        <v>7026</v>
      </c>
    </row>
    <row r="1638" spans="1:8" x14ac:dyDescent="0.25">
      <c r="A1638">
        <v>1527418</v>
      </c>
      <c r="B1638" t="s">
        <v>7014</v>
      </c>
      <c r="C1638" t="s">
        <v>32</v>
      </c>
      <c r="D1638" t="s">
        <v>20</v>
      </c>
      <c r="E1638" t="s">
        <v>685</v>
      </c>
      <c r="F1638" t="s">
        <v>2292</v>
      </c>
      <c r="G1638" t="s">
        <v>557</v>
      </c>
      <c r="H1638" t="s">
        <v>7027</v>
      </c>
    </row>
    <row r="1639" spans="1:8" x14ac:dyDescent="0.25">
      <c r="A1639">
        <v>1531762</v>
      </c>
      <c r="B1639" t="s">
        <v>7014</v>
      </c>
      <c r="C1639" t="s">
        <v>32</v>
      </c>
      <c r="D1639" t="s">
        <v>415</v>
      </c>
      <c r="E1639" t="s">
        <v>75</v>
      </c>
      <c r="F1639" t="s">
        <v>7028</v>
      </c>
      <c r="G1639" t="s">
        <v>2333</v>
      </c>
      <c r="H1639" t="s">
        <v>7029</v>
      </c>
    </row>
    <row r="1640" spans="1:8" x14ac:dyDescent="0.25">
      <c r="A1640">
        <v>1534906</v>
      </c>
      <c r="B1640" t="s">
        <v>7014</v>
      </c>
      <c r="C1640" t="s">
        <v>32</v>
      </c>
      <c r="D1640" t="s">
        <v>20</v>
      </c>
      <c r="E1640" t="s">
        <v>109</v>
      </c>
      <c r="F1640" t="s">
        <v>7030</v>
      </c>
      <c r="G1640" t="s">
        <v>7031</v>
      </c>
      <c r="H1640" t="s">
        <v>7032</v>
      </c>
    </row>
    <row r="1641" spans="1:8" x14ac:dyDescent="0.25">
      <c r="A1641">
        <v>1493371</v>
      </c>
      <c r="B1641" t="s">
        <v>7033</v>
      </c>
      <c r="C1641" t="s">
        <v>32</v>
      </c>
      <c r="D1641" t="s">
        <v>18</v>
      </c>
      <c r="E1641" t="s">
        <v>2595</v>
      </c>
      <c r="F1641" t="s">
        <v>7034</v>
      </c>
      <c r="G1641" t="s">
        <v>7035</v>
      </c>
      <c r="H1641" t="s">
        <v>7036</v>
      </c>
    </row>
    <row r="1642" spans="1:8" x14ac:dyDescent="0.25">
      <c r="A1642">
        <v>1445581</v>
      </c>
      <c r="B1642" t="s">
        <v>7037</v>
      </c>
      <c r="C1642" t="s">
        <v>32</v>
      </c>
      <c r="D1642" t="s">
        <v>18</v>
      </c>
      <c r="E1642" t="s">
        <v>19</v>
      </c>
      <c r="F1642" t="s">
        <v>7038</v>
      </c>
      <c r="G1642" t="s">
        <v>765</v>
      </c>
      <c r="H1642" t="s">
        <v>7039</v>
      </c>
    </row>
    <row r="1643" spans="1:8" x14ac:dyDescent="0.25">
      <c r="A1643">
        <v>1457046</v>
      </c>
      <c r="B1643" t="s">
        <v>7037</v>
      </c>
      <c r="C1643" t="s">
        <v>32</v>
      </c>
      <c r="D1643" t="s">
        <v>18</v>
      </c>
      <c r="E1643" t="s">
        <v>19</v>
      </c>
      <c r="F1643" t="s">
        <v>7040</v>
      </c>
      <c r="G1643" t="s">
        <v>7041</v>
      </c>
      <c r="H1643" t="s">
        <v>7042</v>
      </c>
    </row>
    <row r="1644" spans="1:8" x14ac:dyDescent="0.25">
      <c r="A1644">
        <v>1483597</v>
      </c>
      <c r="B1644" t="s">
        <v>7037</v>
      </c>
      <c r="C1644" t="s">
        <v>32</v>
      </c>
      <c r="D1644" t="s">
        <v>358</v>
      </c>
      <c r="E1644" t="s">
        <v>338</v>
      </c>
      <c r="F1644" t="s">
        <v>7043</v>
      </c>
      <c r="G1644" t="s">
        <v>7044</v>
      </c>
      <c r="H1644" t="s">
        <v>7045</v>
      </c>
    </row>
    <row r="1645" spans="1:8" x14ac:dyDescent="0.25">
      <c r="A1645">
        <v>1491513</v>
      </c>
      <c r="B1645" t="s">
        <v>7037</v>
      </c>
      <c r="C1645" t="s">
        <v>32</v>
      </c>
      <c r="D1645" t="s">
        <v>362</v>
      </c>
      <c r="E1645" t="s">
        <v>704</v>
      </c>
      <c r="F1645" t="s">
        <v>783</v>
      </c>
      <c r="G1645" t="s">
        <v>705</v>
      </c>
      <c r="H1645" t="s">
        <v>7046</v>
      </c>
    </row>
    <row r="1646" spans="1:8" x14ac:dyDescent="0.25">
      <c r="A1646">
        <v>1498387</v>
      </c>
      <c r="B1646" t="s">
        <v>7037</v>
      </c>
      <c r="C1646" t="s">
        <v>32</v>
      </c>
      <c r="D1646" t="s">
        <v>28</v>
      </c>
      <c r="E1646" t="s">
        <v>242</v>
      </c>
      <c r="F1646" t="s">
        <v>2350</v>
      </c>
      <c r="G1646" t="s">
        <v>2347</v>
      </c>
      <c r="H1646" t="s">
        <v>7047</v>
      </c>
    </row>
    <row r="1647" spans="1:8" x14ac:dyDescent="0.25">
      <c r="A1647">
        <v>1498389</v>
      </c>
      <c r="B1647" t="s">
        <v>7037</v>
      </c>
      <c r="C1647" t="s">
        <v>32</v>
      </c>
      <c r="D1647" t="s">
        <v>28</v>
      </c>
      <c r="E1647" t="s">
        <v>242</v>
      </c>
      <c r="F1647" t="s">
        <v>2406</v>
      </c>
      <c r="G1647" t="s">
        <v>2351</v>
      </c>
      <c r="H1647" t="s">
        <v>7048</v>
      </c>
    </row>
    <row r="1648" spans="1:8" x14ac:dyDescent="0.25">
      <c r="A1648">
        <v>1498396</v>
      </c>
      <c r="B1648" t="s">
        <v>7037</v>
      </c>
      <c r="C1648" t="s">
        <v>32</v>
      </c>
      <c r="D1648" t="s">
        <v>28</v>
      </c>
      <c r="E1648" t="s">
        <v>242</v>
      </c>
      <c r="F1648" t="s">
        <v>2345</v>
      </c>
      <c r="G1648" t="s">
        <v>2349</v>
      </c>
      <c r="H1648" t="s">
        <v>7049</v>
      </c>
    </row>
    <row r="1649" spans="1:8" x14ac:dyDescent="0.25">
      <c r="A1649">
        <v>1499207</v>
      </c>
      <c r="B1649" t="s">
        <v>7037</v>
      </c>
      <c r="C1649" t="s">
        <v>32</v>
      </c>
      <c r="D1649" t="s">
        <v>272</v>
      </c>
      <c r="E1649" t="s">
        <v>26</v>
      </c>
      <c r="F1649" t="s">
        <v>2447</v>
      </c>
      <c r="G1649" t="s">
        <v>309</v>
      </c>
      <c r="H1649" t="s">
        <v>7050</v>
      </c>
    </row>
    <row r="1650" spans="1:8" x14ac:dyDescent="0.25">
      <c r="A1650">
        <v>1502829</v>
      </c>
      <c r="B1650" t="s">
        <v>7037</v>
      </c>
      <c r="C1650" t="s">
        <v>32</v>
      </c>
      <c r="D1650" t="s">
        <v>20</v>
      </c>
      <c r="E1650" t="s">
        <v>681</v>
      </c>
      <c r="F1650" t="s">
        <v>7051</v>
      </c>
      <c r="G1650" t="s">
        <v>7052</v>
      </c>
      <c r="H1650" t="s">
        <v>7053</v>
      </c>
    </row>
    <row r="1651" spans="1:8" x14ac:dyDescent="0.25">
      <c r="A1651">
        <v>1506158</v>
      </c>
      <c r="B1651" t="s">
        <v>7037</v>
      </c>
      <c r="C1651" t="s">
        <v>32</v>
      </c>
      <c r="D1651" t="s">
        <v>415</v>
      </c>
      <c r="E1651" t="s">
        <v>27</v>
      </c>
      <c r="F1651" t="s">
        <v>2328</v>
      </c>
      <c r="G1651" t="s">
        <v>7054</v>
      </c>
      <c r="H1651" t="s">
        <v>7055</v>
      </c>
    </row>
    <row r="1652" spans="1:8" x14ac:dyDescent="0.25">
      <c r="A1652">
        <v>1511917</v>
      </c>
      <c r="B1652" t="s">
        <v>7037</v>
      </c>
      <c r="C1652" t="s">
        <v>32</v>
      </c>
      <c r="D1652" t="s">
        <v>29</v>
      </c>
      <c r="E1652" t="s">
        <v>102</v>
      </c>
      <c r="F1652" t="s">
        <v>7056</v>
      </c>
      <c r="G1652" t="s">
        <v>7057</v>
      </c>
      <c r="H1652" t="s">
        <v>7058</v>
      </c>
    </row>
    <row r="1653" spans="1:8" x14ac:dyDescent="0.25">
      <c r="A1653">
        <v>1513005</v>
      </c>
      <c r="B1653" t="s">
        <v>7037</v>
      </c>
      <c r="C1653" t="s">
        <v>32</v>
      </c>
      <c r="D1653" t="s">
        <v>362</v>
      </c>
      <c r="E1653" t="s">
        <v>363</v>
      </c>
      <c r="F1653" t="s">
        <v>437</v>
      </c>
      <c r="G1653" t="s">
        <v>754</v>
      </c>
      <c r="H1653" t="s">
        <v>7059</v>
      </c>
    </row>
    <row r="1654" spans="1:8" x14ac:dyDescent="0.25">
      <c r="A1654">
        <v>1524367</v>
      </c>
      <c r="B1654" t="s">
        <v>7037</v>
      </c>
      <c r="C1654" t="s">
        <v>32</v>
      </c>
      <c r="D1654" t="s">
        <v>29</v>
      </c>
      <c r="E1654" t="s">
        <v>2552</v>
      </c>
      <c r="F1654" t="s">
        <v>7060</v>
      </c>
      <c r="G1654" t="s">
        <v>2555</v>
      </c>
      <c r="H1654" t="s">
        <v>7061</v>
      </c>
    </row>
    <row r="1655" spans="1:8" x14ac:dyDescent="0.25">
      <c r="A1655">
        <v>1531850</v>
      </c>
      <c r="B1655" t="s">
        <v>7037</v>
      </c>
      <c r="C1655" t="s">
        <v>32</v>
      </c>
      <c r="D1655" t="s">
        <v>694</v>
      </c>
      <c r="E1655" t="s">
        <v>695</v>
      </c>
      <c r="F1655" t="s">
        <v>2362</v>
      </c>
      <c r="G1655" t="s">
        <v>7062</v>
      </c>
      <c r="H1655" t="s">
        <v>7063</v>
      </c>
    </row>
    <row r="1656" spans="1:8" x14ac:dyDescent="0.25">
      <c r="A1656">
        <v>1490167</v>
      </c>
      <c r="B1656" t="s">
        <v>7064</v>
      </c>
      <c r="C1656" t="s">
        <v>32</v>
      </c>
      <c r="D1656" t="s">
        <v>362</v>
      </c>
      <c r="E1656" t="s">
        <v>413</v>
      </c>
      <c r="F1656" t="s">
        <v>748</v>
      </c>
      <c r="G1656" t="s">
        <v>7065</v>
      </c>
      <c r="H1656" t="s">
        <v>7066</v>
      </c>
    </row>
    <row r="1657" spans="1:8" x14ac:dyDescent="0.25">
      <c r="A1657">
        <v>1520602</v>
      </c>
      <c r="B1657" t="s">
        <v>7064</v>
      </c>
      <c r="C1657" t="s">
        <v>32</v>
      </c>
      <c r="D1657" t="s">
        <v>20</v>
      </c>
      <c r="E1657" t="s">
        <v>348</v>
      </c>
      <c r="F1657" t="s">
        <v>7067</v>
      </c>
      <c r="G1657" t="s">
        <v>2389</v>
      </c>
      <c r="H1657" t="s">
        <v>7068</v>
      </c>
    </row>
    <row r="1658" spans="1:8" x14ac:dyDescent="0.25">
      <c r="A1658">
        <v>1457189</v>
      </c>
      <c r="B1658" t="s">
        <v>7069</v>
      </c>
      <c r="C1658" t="s">
        <v>32</v>
      </c>
      <c r="D1658" t="s">
        <v>18</v>
      </c>
      <c r="E1658" t="s">
        <v>19</v>
      </c>
      <c r="F1658" t="s">
        <v>7070</v>
      </c>
      <c r="G1658" t="s">
        <v>7071</v>
      </c>
      <c r="H1658" t="s">
        <v>7072</v>
      </c>
    </row>
    <row r="1659" spans="1:8" x14ac:dyDescent="0.25">
      <c r="A1659">
        <v>1493776</v>
      </c>
      <c r="B1659" t="s">
        <v>7069</v>
      </c>
      <c r="C1659" t="s">
        <v>2909</v>
      </c>
      <c r="D1659" t="s">
        <v>362</v>
      </c>
      <c r="E1659" t="s">
        <v>704</v>
      </c>
      <c r="F1659" t="s">
        <v>2299</v>
      </c>
      <c r="G1659" t="s">
        <v>722</v>
      </c>
      <c r="H1659" t="s">
        <v>7073</v>
      </c>
    </row>
    <row r="1660" spans="1:8" x14ac:dyDescent="0.25">
      <c r="A1660">
        <v>1502830</v>
      </c>
      <c r="B1660" t="s">
        <v>7069</v>
      </c>
      <c r="C1660" t="s">
        <v>32</v>
      </c>
      <c r="D1660" t="s">
        <v>20</v>
      </c>
      <c r="E1660" t="s">
        <v>681</v>
      </c>
      <c r="F1660" t="s">
        <v>7074</v>
      </c>
      <c r="G1660" t="s">
        <v>7075</v>
      </c>
      <c r="H1660" t="s">
        <v>7076</v>
      </c>
    </row>
    <row r="1661" spans="1:8" x14ac:dyDescent="0.25">
      <c r="A1661">
        <v>1508368</v>
      </c>
      <c r="B1661" t="s">
        <v>7069</v>
      </c>
      <c r="C1661" t="s">
        <v>32</v>
      </c>
      <c r="D1661" t="s">
        <v>362</v>
      </c>
      <c r="E1661" t="s">
        <v>2599</v>
      </c>
      <c r="F1661" t="s">
        <v>7077</v>
      </c>
      <c r="G1661" t="s">
        <v>7078</v>
      </c>
      <c r="H1661" t="s">
        <v>7079</v>
      </c>
    </row>
    <row r="1662" spans="1:8" x14ac:dyDescent="0.25">
      <c r="A1662">
        <v>1530498</v>
      </c>
      <c r="B1662" t="s">
        <v>7069</v>
      </c>
      <c r="C1662" t="s">
        <v>32</v>
      </c>
      <c r="D1662" t="s">
        <v>364</v>
      </c>
      <c r="E1662" t="s">
        <v>365</v>
      </c>
      <c r="F1662" t="s">
        <v>2444</v>
      </c>
      <c r="G1662" t="s">
        <v>434</v>
      </c>
      <c r="H1662" t="s">
        <v>7080</v>
      </c>
    </row>
    <row r="1663" spans="1:8" x14ac:dyDescent="0.25">
      <c r="A1663">
        <v>1531923</v>
      </c>
      <c r="B1663" t="s">
        <v>7069</v>
      </c>
      <c r="C1663" t="s">
        <v>32</v>
      </c>
      <c r="D1663" t="s">
        <v>72</v>
      </c>
      <c r="E1663" t="s">
        <v>73</v>
      </c>
      <c r="F1663" t="s">
        <v>7081</v>
      </c>
      <c r="G1663" t="s">
        <v>1356</v>
      </c>
      <c r="H1663" t="s">
        <v>7082</v>
      </c>
    </row>
    <row r="1664" spans="1:8" x14ac:dyDescent="0.25">
      <c r="A1664">
        <v>1535061</v>
      </c>
      <c r="B1664" t="s">
        <v>7083</v>
      </c>
      <c r="C1664" t="s">
        <v>32</v>
      </c>
      <c r="D1664" t="s">
        <v>20</v>
      </c>
      <c r="E1664" t="s">
        <v>7084</v>
      </c>
      <c r="F1664" t="s">
        <v>7085</v>
      </c>
      <c r="G1664" t="s">
        <v>7086</v>
      </c>
      <c r="H1664" t="s">
        <v>7087</v>
      </c>
    </row>
    <row r="1665" spans="1:8" x14ac:dyDescent="0.25">
      <c r="A1665">
        <v>1457190</v>
      </c>
      <c r="B1665" t="s">
        <v>7088</v>
      </c>
      <c r="C1665" t="s">
        <v>32</v>
      </c>
      <c r="D1665" t="s">
        <v>18</v>
      </c>
      <c r="E1665" t="s">
        <v>19</v>
      </c>
      <c r="F1665" t="s">
        <v>7089</v>
      </c>
      <c r="G1665" t="s">
        <v>2405</v>
      </c>
      <c r="H1665" t="s">
        <v>7090</v>
      </c>
    </row>
    <row r="1666" spans="1:8" x14ac:dyDescent="0.25">
      <c r="A1666">
        <v>1491564</v>
      </c>
      <c r="B1666" t="s">
        <v>7088</v>
      </c>
      <c r="C1666" t="s">
        <v>32</v>
      </c>
      <c r="D1666" t="s">
        <v>362</v>
      </c>
      <c r="E1666" t="s">
        <v>560</v>
      </c>
      <c r="F1666" t="s">
        <v>2302</v>
      </c>
      <c r="G1666" t="s">
        <v>7091</v>
      </c>
      <c r="H1666" t="s">
        <v>7092</v>
      </c>
    </row>
    <row r="1667" spans="1:8" x14ac:dyDescent="0.25">
      <c r="A1667">
        <v>1491993</v>
      </c>
      <c r="B1667" t="s">
        <v>7088</v>
      </c>
      <c r="C1667" t="s">
        <v>32</v>
      </c>
      <c r="D1667" t="s">
        <v>28</v>
      </c>
      <c r="E1667" t="s">
        <v>2588</v>
      </c>
      <c r="F1667" t="s">
        <v>7093</v>
      </c>
      <c r="G1667" t="s">
        <v>7094</v>
      </c>
      <c r="H1667" t="s">
        <v>7095</v>
      </c>
    </row>
    <row r="1668" spans="1:8" x14ac:dyDescent="0.25">
      <c r="A1668">
        <v>1492564</v>
      </c>
      <c r="B1668" t="s">
        <v>7088</v>
      </c>
      <c r="C1668" t="s">
        <v>32</v>
      </c>
      <c r="D1668" t="s">
        <v>18</v>
      </c>
      <c r="E1668" t="s">
        <v>368</v>
      </c>
      <c r="F1668" t="s">
        <v>744</v>
      </c>
      <c r="G1668" t="s">
        <v>7096</v>
      </c>
      <c r="H1668" t="s">
        <v>7097</v>
      </c>
    </row>
    <row r="1669" spans="1:8" x14ac:dyDescent="0.25">
      <c r="A1669">
        <v>1493372</v>
      </c>
      <c r="B1669" t="s">
        <v>7088</v>
      </c>
      <c r="C1669" t="s">
        <v>32</v>
      </c>
      <c r="D1669" t="s">
        <v>18</v>
      </c>
      <c r="E1669" t="s">
        <v>2595</v>
      </c>
      <c r="F1669" t="s">
        <v>7098</v>
      </c>
      <c r="G1669" t="s">
        <v>7099</v>
      </c>
      <c r="H1669" t="s">
        <v>7100</v>
      </c>
    </row>
    <row r="1670" spans="1:8" x14ac:dyDescent="0.25">
      <c r="A1670">
        <v>1493424</v>
      </c>
      <c r="B1670" t="s">
        <v>7088</v>
      </c>
      <c r="C1670" t="s">
        <v>32</v>
      </c>
      <c r="D1670" t="s">
        <v>362</v>
      </c>
      <c r="E1670" t="s">
        <v>560</v>
      </c>
      <c r="F1670" t="s">
        <v>2301</v>
      </c>
      <c r="G1670" t="s">
        <v>725</v>
      </c>
      <c r="H1670" t="s">
        <v>7101</v>
      </c>
    </row>
    <row r="1671" spans="1:8" x14ac:dyDescent="0.25">
      <c r="A1671">
        <v>1493425</v>
      </c>
      <c r="B1671" t="s">
        <v>7088</v>
      </c>
      <c r="C1671" t="s">
        <v>32</v>
      </c>
      <c r="D1671" t="s">
        <v>362</v>
      </c>
      <c r="E1671" t="s">
        <v>560</v>
      </c>
      <c r="F1671" t="s">
        <v>7102</v>
      </c>
      <c r="G1671" t="s">
        <v>733</v>
      </c>
      <c r="H1671" t="s">
        <v>7103</v>
      </c>
    </row>
    <row r="1672" spans="1:8" x14ac:dyDescent="0.25">
      <c r="A1672">
        <v>1494471</v>
      </c>
      <c r="B1672" t="s">
        <v>7088</v>
      </c>
      <c r="C1672" t="s">
        <v>32</v>
      </c>
      <c r="D1672" t="s">
        <v>18</v>
      </c>
      <c r="E1672" t="s">
        <v>369</v>
      </c>
      <c r="F1672" t="s">
        <v>7104</v>
      </c>
      <c r="G1672" t="s">
        <v>2417</v>
      </c>
      <c r="H1672" t="s">
        <v>7105</v>
      </c>
    </row>
    <row r="1673" spans="1:8" x14ac:dyDescent="0.25">
      <c r="A1673">
        <v>1494472</v>
      </c>
      <c r="B1673" t="s">
        <v>7088</v>
      </c>
      <c r="C1673" t="s">
        <v>32</v>
      </c>
      <c r="D1673" t="s">
        <v>18</v>
      </c>
      <c r="E1673" t="s">
        <v>369</v>
      </c>
      <c r="F1673" t="s">
        <v>735</v>
      </c>
      <c r="G1673" t="s">
        <v>7106</v>
      </c>
      <c r="H1673" t="s">
        <v>7107</v>
      </c>
    </row>
    <row r="1674" spans="1:8" x14ac:dyDescent="0.25">
      <c r="A1674">
        <v>1530182</v>
      </c>
      <c r="B1674" t="s">
        <v>7088</v>
      </c>
      <c r="C1674" t="s">
        <v>32</v>
      </c>
      <c r="D1674" t="s">
        <v>28</v>
      </c>
      <c r="E1674" t="s">
        <v>2618</v>
      </c>
      <c r="F1674" t="s">
        <v>7108</v>
      </c>
      <c r="G1674" t="s">
        <v>7109</v>
      </c>
      <c r="H1674" t="s">
        <v>7110</v>
      </c>
    </row>
    <row r="1675" spans="1:8" x14ac:dyDescent="0.25">
      <c r="A1675">
        <v>1531813</v>
      </c>
      <c r="B1675" t="s">
        <v>7088</v>
      </c>
      <c r="C1675" t="s">
        <v>32</v>
      </c>
      <c r="D1675" t="s">
        <v>696</v>
      </c>
      <c r="E1675" t="s">
        <v>88</v>
      </c>
      <c r="F1675" t="s">
        <v>7111</v>
      </c>
      <c r="G1675" t="s">
        <v>7112</v>
      </c>
      <c r="H1675" t="s">
        <v>7113</v>
      </c>
    </row>
    <row r="1676" spans="1:8" x14ac:dyDescent="0.25">
      <c r="A1676">
        <v>1510099</v>
      </c>
      <c r="B1676" t="s">
        <v>7114</v>
      </c>
      <c r="C1676" t="s">
        <v>32</v>
      </c>
      <c r="D1676" t="s">
        <v>371</v>
      </c>
      <c r="E1676" t="s">
        <v>372</v>
      </c>
      <c r="F1676" t="s">
        <v>2429</v>
      </c>
      <c r="G1676" t="s">
        <v>753</v>
      </c>
      <c r="H1676" t="s">
        <v>7115</v>
      </c>
    </row>
    <row r="1677" spans="1:8" x14ac:dyDescent="0.25">
      <c r="A1677">
        <v>1506047</v>
      </c>
      <c r="B1677" t="s">
        <v>7116</v>
      </c>
      <c r="C1677" t="s">
        <v>32</v>
      </c>
      <c r="D1677" t="s">
        <v>29</v>
      </c>
      <c r="E1677" t="s">
        <v>30</v>
      </c>
      <c r="F1677" t="s">
        <v>7117</v>
      </c>
      <c r="G1677" t="s">
        <v>2565</v>
      </c>
      <c r="H1677" t="s">
        <v>7118</v>
      </c>
    </row>
    <row r="1678" spans="1:8" x14ac:dyDescent="0.25">
      <c r="A1678">
        <v>1490169</v>
      </c>
      <c r="B1678" t="s">
        <v>7119</v>
      </c>
      <c r="C1678" t="s">
        <v>32</v>
      </c>
      <c r="D1678" t="s">
        <v>362</v>
      </c>
      <c r="E1678" t="s">
        <v>413</v>
      </c>
      <c r="F1678" t="s">
        <v>719</v>
      </c>
      <c r="G1678" t="s">
        <v>7120</v>
      </c>
      <c r="H1678" t="s">
        <v>7121</v>
      </c>
    </row>
    <row r="1679" spans="1:8" x14ac:dyDescent="0.25">
      <c r="A1679">
        <v>1490170</v>
      </c>
      <c r="B1679" t="s">
        <v>7119</v>
      </c>
      <c r="C1679" t="s">
        <v>32</v>
      </c>
      <c r="D1679" t="s">
        <v>362</v>
      </c>
      <c r="E1679" t="s">
        <v>413</v>
      </c>
      <c r="F1679" t="s">
        <v>720</v>
      </c>
      <c r="G1679" t="s">
        <v>2365</v>
      </c>
      <c r="H1679" t="s">
        <v>7122</v>
      </c>
    </row>
    <row r="1680" spans="1:8" x14ac:dyDescent="0.25">
      <c r="A1680">
        <v>1491567</v>
      </c>
      <c r="B1680" t="s">
        <v>7119</v>
      </c>
      <c r="C1680" t="s">
        <v>32</v>
      </c>
      <c r="D1680" t="s">
        <v>362</v>
      </c>
      <c r="E1680" t="s">
        <v>560</v>
      </c>
      <c r="F1680" t="s">
        <v>734</v>
      </c>
      <c r="G1680" t="s">
        <v>7123</v>
      </c>
      <c r="H1680" t="s">
        <v>7124</v>
      </c>
    </row>
    <row r="1681" spans="1:8" x14ac:dyDescent="0.25">
      <c r="A1681">
        <v>1505026</v>
      </c>
      <c r="B1681" t="s">
        <v>7119</v>
      </c>
      <c r="C1681" t="s">
        <v>32</v>
      </c>
      <c r="D1681" t="s">
        <v>355</v>
      </c>
      <c r="E1681" t="s">
        <v>356</v>
      </c>
      <c r="F1681" t="s">
        <v>7125</v>
      </c>
      <c r="G1681" t="s">
        <v>7126</v>
      </c>
      <c r="H1681" t="s">
        <v>7127</v>
      </c>
    </row>
    <row r="1682" spans="1:8" x14ac:dyDescent="0.25">
      <c r="A1682">
        <v>1511521</v>
      </c>
      <c r="B1682" t="s">
        <v>7119</v>
      </c>
      <c r="C1682" t="s">
        <v>32</v>
      </c>
      <c r="D1682" t="s">
        <v>354</v>
      </c>
      <c r="E1682" t="s">
        <v>102</v>
      </c>
      <c r="F1682" t="s">
        <v>2558</v>
      </c>
      <c r="G1682" t="s">
        <v>7128</v>
      </c>
      <c r="H1682" t="s">
        <v>7129</v>
      </c>
    </row>
    <row r="1683" spans="1:8" x14ac:dyDescent="0.25">
      <c r="A1683">
        <v>1512544</v>
      </c>
      <c r="B1683" t="s">
        <v>7119</v>
      </c>
      <c r="C1683" t="s">
        <v>32</v>
      </c>
      <c r="D1683" t="s">
        <v>370</v>
      </c>
      <c r="E1683" t="s">
        <v>27</v>
      </c>
      <c r="F1683" t="s">
        <v>7130</v>
      </c>
      <c r="G1683" t="s">
        <v>2280</v>
      </c>
      <c r="H1683" t="s">
        <v>7131</v>
      </c>
    </row>
    <row r="1684" spans="1:8" x14ac:dyDescent="0.25">
      <c r="A1684">
        <v>1520604</v>
      </c>
      <c r="B1684" t="s">
        <v>7119</v>
      </c>
      <c r="C1684" t="s">
        <v>32</v>
      </c>
      <c r="D1684" t="s">
        <v>20</v>
      </c>
      <c r="E1684" t="s">
        <v>348</v>
      </c>
      <c r="F1684" t="s">
        <v>7132</v>
      </c>
      <c r="G1684" t="s">
        <v>2391</v>
      </c>
      <c r="H1684" t="s">
        <v>7133</v>
      </c>
    </row>
    <row r="1685" spans="1:8" x14ac:dyDescent="0.25">
      <c r="A1685">
        <v>1535565</v>
      </c>
      <c r="B1685" t="s">
        <v>7119</v>
      </c>
      <c r="C1685" t="s">
        <v>32</v>
      </c>
      <c r="D1685" t="s">
        <v>354</v>
      </c>
      <c r="E1685" t="s">
        <v>5934</v>
      </c>
      <c r="F1685" t="s">
        <v>2431</v>
      </c>
      <c r="G1685" t="s">
        <v>7134</v>
      </c>
      <c r="H1685" t="s">
        <v>7135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0617-D648-420A-9DD1-7823FBFBACC2}">
  <sheetPr codeName="Sheet4"/>
  <dimension ref="A1:H1700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41.5703125" bestFit="1" customWidth="1"/>
    <col min="6" max="6" width="26.7109375" bestFit="1" customWidth="1"/>
    <col min="7" max="7" width="27.28515625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1483031</v>
      </c>
      <c r="B2" s="121" t="s">
        <v>7143</v>
      </c>
      <c r="C2" t="s">
        <v>32</v>
      </c>
      <c r="D2" t="s">
        <v>21</v>
      </c>
      <c r="E2" t="s">
        <v>7144</v>
      </c>
      <c r="F2" t="s">
        <v>7145</v>
      </c>
      <c r="G2" t="s">
        <v>7146</v>
      </c>
      <c r="H2" s="121" t="s">
        <v>7147</v>
      </c>
    </row>
    <row r="3" spans="1:8" x14ac:dyDescent="0.25">
      <c r="A3">
        <v>1499356</v>
      </c>
      <c r="B3" s="121" t="s">
        <v>7143</v>
      </c>
      <c r="C3" t="s">
        <v>32</v>
      </c>
      <c r="D3" t="s">
        <v>28</v>
      </c>
      <c r="E3" t="s">
        <v>6473</v>
      </c>
      <c r="F3" t="s">
        <v>6606</v>
      </c>
      <c r="G3" t="s">
        <v>7148</v>
      </c>
      <c r="H3" s="121" t="s">
        <v>7149</v>
      </c>
    </row>
    <row r="4" spans="1:8" x14ac:dyDescent="0.25">
      <c r="A4">
        <v>1513022</v>
      </c>
      <c r="B4" s="121" t="s">
        <v>7143</v>
      </c>
      <c r="C4" t="s">
        <v>32</v>
      </c>
      <c r="D4" t="s">
        <v>362</v>
      </c>
      <c r="E4" t="s">
        <v>363</v>
      </c>
      <c r="F4" t="s">
        <v>2440</v>
      </c>
      <c r="G4" t="s">
        <v>441</v>
      </c>
      <c r="H4" s="121" t="s">
        <v>7150</v>
      </c>
    </row>
    <row r="5" spans="1:8" x14ac:dyDescent="0.25">
      <c r="A5">
        <v>1527430</v>
      </c>
      <c r="B5" s="121" t="s">
        <v>7143</v>
      </c>
      <c r="C5" t="s">
        <v>32</v>
      </c>
      <c r="D5" t="s">
        <v>20</v>
      </c>
      <c r="E5" t="s">
        <v>685</v>
      </c>
      <c r="F5" t="s">
        <v>2293</v>
      </c>
      <c r="G5" t="s">
        <v>686</v>
      </c>
      <c r="H5" s="121" t="s">
        <v>7151</v>
      </c>
    </row>
    <row r="6" spans="1:8" x14ac:dyDescent="0.25">
      <c r="A6">
        <v>1537240</v>
      </c>
      <c r="B6" s="121" t="s">
        <v>7143</v>
      </c>
      <c r="C6" t="s">
        <v>32</v>
      </c>
      <c r="D6" t="s">
        <v>72</v>
      </c>
      <c r="E6" t="s">
        <v>73</v>
      </c>
      <c r="F6" t="s">
        <v>2560</v>
      </c>
      <c r="G6" t="s">
        <v>1356</v>
      </c>
      <c r="H6" s="121" t="s">
        <v>7152</v>
      </c>
    </row>
    <row r="7" spans="1:8" x14ac:dyDescent="0.25">
      <c r="A7">
        <v>1539575</v>
      </c>
      <c r="B7" s="121" t="s">
        <v>7143</v>
      </c>
      <c r="C7" t="s">
        <v>32</v>
      </c>
      <c r="D7" t="s">
        <v>21</v>
      </c>
      <c r="E7" t="s">
        <v>7153</v>
      </c>
      <c r="F7" t="s">
        <v>7154</v>
      </c>
      <c r="G7" t="s">
        <v>7155</v>
      </c>
      <c r="H7" s="121" t="s">
        <v>7156</v>
      </c>
    </row>
    <row r="8" spans="1:8" x14ac:dyDescent="0.25">
      <c r="A8">
        <v>1539741</v>
      </c>
      <c r="B8" s="121" t="s">
        <v>7143</v>
      </c>
      <c r="C8" t="s">
        <v>32</v>
      </c>
      <c r="D8" t="s">
        <v>20</v>
      </c>
      <c r="E8" t="s">
        <v>681</v>
      </c>
      <c r="F8" t="s">
        <v>6637</v>
      </c>
      <c r="G8" t="s">
        <v>7051</v>
      </c>
      <c r="H8" s="121" t="s">
        <v>7157</v>
      </c>
    </row>
    <row r="9" spans="1:8" x14ac:dyDescent="0.25">
      <c r="A9">
        <v>1505053</v>
      </c>
      <c r="B9" s="121" t="s">
        <v>7158</v>
      </c>
      <c r="C9" t="s">
        <v>32</v>
      </c>
      <c r="D9" t="s">
        <v>355</v>
      </c>
      <c r="E9" t="s">
        <v>356</v>
      </c>
      <c r="F9" t="s">
        <v>480</v>
      </c>
      <c r="G9" t="s">
        <v>7024</v>
      </c>
      <c r="H9" s="121" t="s">
        <v>7159</v>
      </c>
    </row>
    <row r="10" spans="1:8" x14ac:dyDescent="0.25">
      <c r="A10">
        <v>1520634</v>
      </c>
      <c r="B10" s="121" t="s">
        <v>7158</v>
      </c>
      <c r="C10" t="s">
        <v>32</v>
      </c>
      <c r="D10" t="s">
        <v>20</v>
      </c>
      <c r="E10" t="s">
        <v>348</v>
      </c>
      <c r="F10" t="s">
        <v>7160</v>
      </c>
      <c r="G10" t="s">
        <v>7067</v>
      </c>
      <c r="H10" s="121" t="s">
        <v>7161</v>
      </c>
    </row>
    <row r="11" spans="1:8" x14ac:dyDescent="0.25">
      <c r="A11">
        <v>1483029</v>
      </c>
      <c r="B11" s="121" t="s">
        <v>7162</v>
      </c>
      <c r="C11" t="s">
        <v>32</v>
      </c>
      <c r="D11" t="s">
        <v>21</v>
      </c>
      <c r="E11" t="s">
        <v>7144</v>
      </c>
      <c r="F11" t="s">
        <v>7163</v>
      </c>
      <c r="G11" t="s">
        <v>7164</v>
      </c>
      <c r="H11" s="121" t="s">
        <v>7165</v>
      </c>
    </row>
    <row r="12" spans="1:8" x14ac:dyDescent="0.25">
      <c r="A12">
        <v>1488306</v>
      </c>
      <c r="B12" s="121" t="s">
        <v>7162</v>
      </c>
      <c r="C12" t="s">
        <v>32</v>
      </c>
      <c r="D12" t="s">
        <v>21</v>
      </c>
      <c r="E12" t="s">
        <v>361</v>
      </c>
      <c r="F12" t="s">
        <v>7166</v>
      </c>
      <c r="G12" t="s">
        <v>7167</v>
      </c>
      <c r="H12" s="121" t="s">
        <v>7168</v>
      </c>
    </row>
    <row r="13" spans="1:8" x14ac:dyDescent="0.25">
      <c r="A13">
        <v>1488307</v>
      </c>
      <c r="B13" s="121" t="s">
        <v>7162</v>
      </c>
      <c r="C13" t="s">
        <v>32</v>
      </c>
      <c r="D13" t="s">
        <v>21</v>
      </c>
      <c r="E13" t="s">
        <v>361</v>
      </c>
      <c r="F13" t="s">
        <v>7169</v>
      </c>
      <c r="G13" t="s">
        <v>7170</v>
      </c>
      <c r="H13" s="121" t="s">
        <v>7171</v>
      </c>
    </row>
    <row r="14" spans="1:8" x14ac:dyDescent="0.25">
      <c r="A14">
        <v>1492014</v>
      </c>
      <c r="B14" s="121" t="s">
        <v>7162</v>
      </c>
      <c r="C14" t="s">
        <v>32</v>
      </c>
      <c r="D14" t="s">
        <v>28</v>
      </c>
      <c r="E14" t="s">
        <v>2588</v>
      </c>
      <c r="F14" t="s">
        <v>7172</v>
      </c>
      <c r="G14" t="s">
        <v>7173</v>
      </c>
      <c r="H14" s="121" t="s">
        <v>7174</v>
      </c>
    </row>
    <row r="15" spans="1:8" x14ac:dyDescent="0.25">
      <c r="A15">
        <v>1505415</v>
      </c>
      <c r="B15" s="121" t="s">
        <v>7162</v>
      </c>
      <c r="C15" t="s">
        <v>32</v>
      </c>
      <c r="D15" t="s">
        <v>354</v>
      </c>
      <c r="E15" t="s">
        <v>27</v>
      </c>
      <c r="F15" t="s">
        <v>7175</v>
      </c>
      <c r="G15" t="s">
        <v>5935</v>
      </c>
      <c r="H15" s="121" t="s">
        <v>7176</v>
      </c>
    </row>
    <row r="16" spans="1:8" x14ac:dyDescent="0.25">
      <c r="A16">
        <v>1511544</v>
      </c>
      <c r="B16" s="121" t="s">
        <v>7162</v>
      </c>
      <c r="C16" t="s">
        <v>32</v>
      </c>
      <c r="D16" t="s">
        <v>354</v>
      </c>
      <c r="E16" t="s">
        <v>102</v>
      </c>
      <c r="F16" t="s">
        <v>7177</v>
      </c>
      <c r="G16" t="s">
        <v>7178</v>
      </c>
      <c r="H16" s="121" t="s">
        <v>7179</v>
      </c>
    </row>
    <row r="17" spans="1:8" x14ac:dyDescent="0.25">
      <c r="A17">
        <v>1513023</v>
      </c>
      <c r="B17" s="121" t="s">
        <v>7162</v>
      </c>
      <c r="C17" t="s">
        <v>32</v>
      </c>
      <c r="D17" t="s">
        <v>362</v>
      </c>
      <c r="E17" t="s">
        <v>363</v>
      </c>
      <c r="F17" t="s">
        <v>2383</v>
      </c>
      <c r="G17" t="s">
        <v>438</v>
      </c>
      <c r="H17" s="121" t="s">
        <v>7180</v>
      </c>
    </row>
    <row r="18" spans="1:8" x14ac:dyDescent="0.25">
      <c r="A18">
        <v>1519313</v>
      </c>
      <c r="B18" s="121" t="s">
        <v>7162</v>
      </c>
      <c r="C18" t="s">
        <v>32</v>
      </c>
      <c r="D18" t="s">
        <v>366</v>
      </c>
      <c r="E18" t="s">
        <v>367</v>
      </c>
      <c r="F18" t="s">
        <v>7181</v>
      </c>
      <c r="G18" t="s">
        <v>2386</v>
      </c>
      <c r="H18" s="121" t="s">
        <v>7182</v>
      </c>
    </row>
    <row r="19" spans="1:8" x14ac:dyDescent="0.25">
      <c r="A19">
        <v>1519314</v>
      </c>
      <c r="B19" s="121" t="s">
        <v>7162</v>
      </c>
      <c r="C19" t="s">
        <v>32</v>
      </c>
      <c r="D19" t="s">
        <v>366</v>
      </c>
      <c r="E19" t="s">
        <v>367</v>
      </c>
      <c r="F19" t="s">
        <v>6832</v>
      </c>
      <c r="G19" t="s">
        <v>713</v>
      </c>
      <c r="H19" s="121" t="s">
        <v>7183</v>
      </c>
    </row>
    <row r="20" spans="1:8" x14ac:dyDescent="0.25">
      <c r="A20">
        <v>1538333</v>
      </c>
      <c r="B20" s="121" t="s">
        <v>7162</v>
      </c>
      <c r="C20" t="s">
        <v>32</v>
      </c>
      <c r="D20" t="s">
        <v>302</v>
      </c>
      <c r="E20" t="s">
        <v>27</v>
      </c>
      <c r="F20" t="s">
        <v>7184</v>
      </c>
      <c r="G20" t="s">
        <v>7185</v>
      </c>
      <c r="H20" s="121" t="s">
        <v>7186</v>
      </c>
    </row>
    <row r="21" spans="1:8" x14ac:dyDescent="0.25">
      <c r="A21">
        <v>1513024</v>
      </c>
      <c r="B21" s="121" t="s">
        <v>7187</v>
      </c>
      <c r="C21" t="s">
        <v>32</v>
      </c>
      <c r="D21" t="s">
        <v>362</v>
      </c>
      <c r="E21" t="s">
        <v>363</v>
      </c>
      <c r="F21" t="s">
        <v>754</v>
      </c>
      <c r="G21" t="s">
        <v>2441</v>
      </c>
      <c r="H21" s="121" t="s">
        <v>7188</v>
      </c>
    </row>
    <row r="22" spans="1:8" x14ac:dyDescent="0.25">
      <c r="A22">
        <v>1530500</v>
      </c>
      <c r="B22" s="121" t="s">
        <v>7187</v>
      </c>
      <c r="C22" t="s">
        <v>32</v>
      </c>
      <c r="D22" t="s">
        <v>364</v>
      </c>
      <c r="E22" t="s">
        <v>365</v>
      </c>
      <c r="F22" t="s">
        <v>434</v>
      </c>
      <c r="G22" t="s">
        <v>2411</v>
      </c>
      <c r="H22" s="121" t="s">
        <v>7189</v>
      </c>
    </row>
    <row r="23" spans="1:8" x14ac:dyDescent="0.25">
      <c r="A23">
        <v>1447005</v>
      </c>
      <c r="B23" s="121" t="s">
        <v>7190</v>
      </c>
      <c r="C23" t="s">
        <v>32</v>
      </c>
      <c r="D23" t="s">
        <v>18</v>
      </c>
      <c r="E23" t="s">
        <v>19</v>
      </c>
      <c r="F23" t="s">
        <v>728</v>
      </c>
      <c r="G23" t="s">
        <v>7191</v>
      </c>
      <c r="H23" s="121" t="s">
        <v>7192</v>
      </c>
    </row>
    <row r="24" spans="1:8" x14ac:dyDescent="0.25">
      <c r="A24">
        <v>1457061</v>
      </c>
      <c r="B24" s="121" t="s">
        <v>7190</v>
      </c>
      <c r="C24" t="s">
        <v>32</v>
      </c>
      <c r="D24" t="s">
        <v>18</v>
      </c>
      <c r="E24" t="s">
        <v>19</v>
      </c>
      <c r="F24" t="s">
        <v>7193</v>
      </c>
      <c r="G24" t="s">
        <v>7040</v>
      </c>
      <c r="H24" s="121" t="s">
        <v>7194</v>
      </c>
    </row>
    <row r="25" spans="1:8" x14ac:dyDescent="0.25">
      <c r="A25">
        <v>1483030</v>
      </c>
      <c r="B25" s="121" t="s">
        <v>7190</v>
      </c>
      <c r="C25" t="s">
        <v>32</v>
      </c>
      <c r="D25" t="s">
        <v>21</v>
      </c>
      <c r="E25" t="s">
        <v>7144</v>
      </c>
      <c r="F25" t="s">
        <v>7195</v>
      </c>
      <c r="G25" t="s">
        <v>7196</v>
      </c>
      <c r="H25" s="121" t="s">
        <v>7197</v>
      </c>
    </row>
    <row r="26" spans="1:8" x14ac:dyDescent="0.25">
      <c r="A26">
        <v>1488308</v>
      </c>
      <c r="B26" s="121" t="s">
        <v>7190</v>
      </c>
      <c r="C26" t="s">
        <v>32</v>
      </c>
      <c r="D26" t="s">
        <v>21</v>
      </c>
      <c r="E26" t="s">
        <v>361</v>
      </c>
      <c r="F26" t="s">
        <v>7198</v>
      </c>
      <c r="G26" t="s">
        <v>7199</v>
      </c>
      <c r="H26" s="121" t="s">
        <v>7200</v>
      </c>
    </row>
    <row r="27" spans="1:8" x14ac:dyDescent="0.25">
      <c r="A27">
        <v>1492580</v>
      </c>
      <c r="B27" s="121" t="s">
        <v>7190</v>
      </c>
      <c r="C27" t="s">
        <v>32</v>
      </c>
      <c r="D27" t="s">
        <v>18</v>
      </c>
      <c r="E27" t="s">
        <v>368</v>
      </c>
      <c r="F27" t="s">
        <v>747</v>
      </c>
      <c r="G27" t="s">
        <v>7201</v>
      </c>
      <c r="H27" s="121" t="s">
        <v>7202</v>
      </c>
    </row>
    <row r="28" spans="1:8" x14ac:dyDescent="0.25">
      <c r="A28">
        <v>1494490</v>
      </c>
      <c r="B28" s="121" t="s">
        <v>7190</v>
      </c>
      <c r="C28" t="s">
        <v>32</v>
      </c>
      <c r="D28" t="s">
        <v>18</v>
      </c>
      <c r="E28" t="s">
        <v>369</v>
      </c>
      <c r="F28" t="s">
        <v>736</v>
      </c>
      <c r="G28" t="s">
        <v>2416</v>
      </c>
      <c r="H28" s="121" t="s">
        <v>7203</v>
      </c>
    </row>
    <row r="29" spans="1:8" x14ac:dyDescent="0.25">
      <c r="A29">
        <v>1506080</v>
      </c>
      <c r="B29" s="121" t="s">
        <v>7204</v>
      </c>
      <c r="C29" t="s">
        <v>32</v>
      </c>
      <c r="D29" t="s">
        <v>29</v>
      </c>
      <c r="E29" t="s">
        <v>30</v>
      </c>
      <c r="F29" t="s">
        <v>7205</v>
      </c>
      <c r="G29" t="s">
        <v>7206</v>
      </c>
      <c r="H29" s="121" t="s">
        <v>7207</v>
      </c>
    </row>
    <row r="30" spans="1:8" x14ac:dyDescent="0.25">
      <c r="A30">
        <v>1510116</v>
      </c>
      <c r="B30" s="121" t="s">
        <v>7208</v>
      </c>
      <c r="C30" t="s">
        <v>32</v>
      </c>
      <c r="D30" t="s">
        <v>371</v>
      </c>
      <c r="E30" t="s">
        <v>372</v>
      </c>
      <c r="F30" t="s">
        <v>2649</v>
      </c>
      <c r="G30" t="s">
        <v>7209</v>
      </c>
      <c r="H30" s="121" t="s">
        <v>7210</v>
      </c>
    </row>
    <row r="31" spans="1:8" x14ac:dyDescent="0.25">
      <c r="A31">
        <v>1532996</v>
      </c>
      <c r="B31" s="121" t="s">
        <v>7211</v>
      </c>
      <c r="C31" t="s">
        <v>32</v>
      </c>
      <c r="D31" t="s">
        <v>35</v>
      </c>
      <c r="E31" t="s">
        <v>2677</v>
      </c>
      <c r="F31" t="s">
        <v>7212</v>
      </c>
      <c r="G31" t="s">
        <v>7213</v>
      </c>
      <c r="H31" s="121" t="s">
        <v>7214</v>
      </c>
    </row>
    <row r="32" spans="1:8" x14ac:dyDescent="0.25">
      <c r="A32">
        <v>1446999</v>
      </c>
      <c r="B32" s="121" t="s">
        <v>7215</v>
      </c>
      <c r="C32" t="s">
        <v>32</v>
      </c>
      <c r="D32" t="s">
        <v>18</v>
      </c>
      <c r="E32" t="s">
        <v>19</v>
      </c>
      <c r="F32" t="s">
        <v>561</v>
      </c>
      <c r="G32" t="s">
        <v>765</v>
      </c>
      <c r="H32" s="121" t="s">
        <v>7216</v>
      </c>
    </row>
    <row r="33" spans="1:8" x14ac:dyDescent="0.25">
      <c r="A33">
        <v>1489164</v>
      </c>
      <c r="B33" s="121" t="s">
        <v>7215</v>
      </c>
      <c r="C33" t="s">
        <v>32</v>
      </c>
      <c r="D33" t="s">
        <v>31</v>
      </c>
      <c r="E33" t="s">
        <v>27</v>
      </c>
      <c r="F33" t="s">
        <v>440</v>
      </c>
      <c r="G33" t="s">
        <v>2412</v>
      </c>
      <c r="H33" s="121" t="s">
        <v>7217</v>
      </c>
    </row>
    <row r="34" spans="1:8" x14ac:dyDescent="0.25">
      <c r="A34">
        <v>1499230</v>
      </c>
      <c r="B34" s="121" t="s">
        <v>7215</v>
      </c>
      <c r="C34" t="s">
        <v>32</v>
      </c>
      <c r="D34" t="s">
        <v>272</v>
      </c>
      <c r="E34" t="s">
        <v>26</v>
      </c>
      <c r="F34" t="s">
        <v>697</v>
      </c>
      <c r="G34" t="s">
        <v>239</v>
      </c>
      <c r="H34" s="121" t="s">
        <v>7218</v>
      </c>
    </row>
    <row r="35" spans="1:8" x14ac:dyDescent="0.25">
      <c r="A35">
        <v>1533081</v>
      </c>
      <c r="B35" s="121" t="s">
        <v>7219</v>
      </c>
      <c r="C35" t="s">
        <v>32</v>
      </c>
      <c r="D35" t="s">
        <v>35</v>
      </c>
      <c r="E35" t="s">
        <v>2684</v>
      </c>
      <c r="F35" t="s">
        <v>2686</v>
      </c>
      <c r="G35" t="s">
        <v>2688</v>
      </c>
      <c r="H35" s="121" t="s">
        <v>7220</v>
      </c>
    </row>
    <row r="36" spans="1:8" x14ac:dyDescent="0.25">
      <c r="A36">
        <v>1494492</v>
      </c>
      <c r="B36" s="121" t="s">
        <v>7221</v>
      </c>
      <c r="C36" t="s">
        <v>32</v>
      </c>
      <c r="D36" t="s">
        <v>18</v>
      </c>
      <c r="E36" t="s">
        <v>369</v>
      </c>
      <c r="F36" t="s">
        <v>774</v>
      </c>
      <c r="G36" t="s">
        <v>2418</v>
      </c>
      <c r="H36" s="121" t="s">
        <v>7222</v>
      </c>
    </row>
    <row r="37" spans="1:8" x14ac:dyDescent="0.25">
      <c r="A37">
        <v>1508902</v>
      </c>
      <c r="B37" s="121" t="s">
        <v>7221</v>
      </c>
      <c r="C37" t="s">
        <v>32</v>
      </c>
      <c r="D37" t="s">
        <v>21</v>
      </c>
      <c r="E37" t="s">
        <v>7223</v>
      </c>
      <c r="F37" t="s">
        <v>7224</v>
      </c>
      <c r="G37" t="s">
        <v>7225</v>
      </c>
      <c r="H37" s="121" t="s">
        <v>7226</v>
      </c>
    </row>
    <row r="38" spans="1:8" x14ac:dyDescent="0.25">
      <c r="A38">
        <v>1521904</v>
      </c>
      <c r="B38" s="121" t="s">
        <v>7221</v>
      </c>
      <c r="C38" t="s">
        <v>32</v>
      </c>
      <c r="D38" t="s">
        <v>35</v>
      </c>
      <c r="E38" t="s">
        <v>314</v>
      </c>
      <c r="F38" t="s">
        <v>793</v>
      </c>
      <c r="G38" t="s">
        <v>7227</v>
      </c>
      <c r="H38" s="121" t="s">
        <v>7228</v>
      </c>
    </row>
    <row r="39" spans="1:8" x14ac:dyDescent="0.25">
      <c r="A39">
        <v>1526700</v>
      </c>
      <c r="B39" s="121" t="s">
        <v>7221</v>
      </c>
      <c r="C39" t="s">
        <v>32</v>
      </c>
      <c r="D39" t="s">
        <v>377</v>
      </c>
      <c r="E39" t="s">
        <v>2949</v>
      </c>
      <c r="F39" t="s">
        <v>3271</v>
      </c>
      <c r="G39" t="s">
        <v>3624</v>
      </c>
      <c r="H39" s="121" t="s">
        <v>7229</v>
      </c>
    </row>
    <row r="40" spans="1:8" x14ac:dyDescent="0.25">
      <c r="A40">
        <v>1492581</v>
      </c>
      <c r="B40" s="121" t="s">
        <v>7230</v>
      </c>
      <c r="C40" t="s">
        <v>32</v>
      </c>
      <c r="D40" t="s">
        <v>18</v>
      </c>
      <c r="E40" t="s">
        <v>368</v>
      </c>
      <c r="F40" t="s">
        <v>2415</v>
      </c>
      <c r="G40" t="s">
        <v>2448</v>
      </c>
      <c r="H40" s="121" t="s">
        <v>7231</v>
      </c>
    </row>
    <row r="41" spans="1:8" x14ac:dyDescent="0.25">
      <c r="A41">
        <v>1504739</v>
      </c>
      <c r="B41" s="121" t="s">
        <v>7232</v>
      </c>
      <c r="C41" t="s">
        <v>32</v>
      </c>
      <c r="D41" t="s">
        <v>33</v>
      </c>
      <c r="E41" t="s">
        <v>373</v>
      </c>
      <c r="F41" t="s">
        <v>7233</v>
      </c>
      <c r="G41" t="s">
        <v>7234</v>
      </c>
      <c r="H41" s="121" t="s">
        <v>7235</v>
      </c>
    </row>
    <row r="42" spans="1:8" x14ac:dyDescent="0.25">
      <c r="A42">
        <v>1523714</v>
      </c>
      <c r="B42" s="121" t="s">
        <v>7232</v>
      </c>
      <c r="C42" t="s">
        <v>32</v>
      </c>
      <c r="D42" t="s">
        <v>35</v>
      </c>
      <c r="E42" t="s">
        <v>317</v>
      </c>
      <c r="F42" t="s">
        <v>836</v>
      </c>
      <c r="G42" t="s">
        <v>2783</v>
      </c>
      <c r="H42" s="121" t="s">
        <v>7236</v>
      </c>
    </row>
    <row r="43" spans="1:8" x14ac:dyDescent="0.25">
      <c r="A43">
        <v>1523715</v>
      </c>
      <c r="B43" s="121" t="s">
        <v>7232</v>
      </c>
      <c r="C43" t="s">
        <v>32</v>
      </c>
      <c r="D43" t="s">
        <v>35</v>
      </c>
      <c r="E43" t="s">
        <v>317</v>
      </c>
      <c r="F43" t="s">
        <v>7237</v>
      </c>
      <c r="G43" t="s">
        <v>2786</v>
      </c>
      <c r="H43" s="121" t="s">
        <v>7238</v>
      </c>
    </row>
    <row r="44" spans="1:8" x14ac:dyDescent="0.25">
      <c r="A44">
        <v>1532543</v>
      </c>
      <c r="B44" s="121" t="s">
        <v>7232</v>
      </c>
      <c r="C44" t="s">
        <v>32</v>
      </c>
      <c r="D44" t="s">
        <v>35</v>
      </c>
      <c r="E44" t="s">
        <v>2705</v>
      </c>
      <c r="F44" t="s">
        <v>7239</v>
      </c>
      <c r="G44" t="s">
        <v>7240</v>
      </c>
      <c r="H44" s="121" t="s">
        <v>7241</v>
      </c>
    </row>
    <row r="45" spans="1:8" x14ac:dyDescent="0.25">
      <c r="A45">
        <v>1536534</v>
      </c>
      <c r="B45" s="121" t="s">
        <v>7232</v>
      </c>
      <c r="C45" t="s">
        <v>32</v>
      </c>
      <c r="D45" t="s">
        <v>377</v>
      </c>
      <c r="E45" t="s">
        <v>7242</v>
      </c>
      <c r="F45" t="s">
        <v>7243</v>
      </c>
      <c r="G45" t="s">
        <v>7244</v>
      </c>
      <c r="H45" s="121" t="s">
        <v>7245</v>
      </c>
    </row>
    <row r="46" spans="1:8" x14ac:dyDescent="0.25">
      <c r="A46">
        <v>1529220</v>
      </c>
      <c r="B46" s="121" t="s">
        <v>7246</v>
      </c>
      <c r="C46" t="s">
        <v>32</v>
      </c>
      <c r="D46" t="s">
        <v>35</v>
      </c>
      <c r="E46" t="s">
        <v>562</v>
      </c>
      <c r="F46" t="s">
        <v>777</v>
      </c>
      <c r="G46" t="s">
        <v>2767</v>
      </c>
      <c r="H46" s="121" t="s">
        <v>7247</v>
      </c>
    </row>
    <row r="47" spans="1:8" x14ac:dyDescent="0.25">
      <c r="A47">
        <v>1529221</v>
      </c>
      <c r="B47" s="121" t="s">
        <v>7246</v>
      </c>
      <c r="C47" t="s">
        <v>32</v>
      </c>
      <c r="D47" t="s">
        <v>35</v>
      </c>
      <c r="E47" t="s">
        <v>562</v>
      </c>
      <c r="F47" t="s">
        <v>2666</v>
      </c>
      <c r="G47" t="s">
        <v>2685</v>
      </c>
      <c r="H47" s="121" t="s">
        <v>7248</v>
      </c>
    </row>
    <row r="48" spans="1:8" x14ac:dyDescent="0.25">
      <c r="A48">
        <v>1532995</v>
      </c>
      <c r="B48" s="121" t="s">
        <v>7246</v>
      </c>
      <c r="C48" t="s">
        <v>32</v>
      </c>
      <c r="D48" t="s">
        <v>35</v>
      </c>
      <c r="E48" t="s">
        <v>2677</v>
      </c>
      <c r="F48" t="s">
        <v>2679</v>
      </c>
      <c r="G48" t="s">
        <v>2682</v>
      </c>
      <c r="H48" s="121" t="s">
        <v>7249</v>
      </c>
    </row>
    <row r="49" spans="1:8" x14ac:dyDescent="0.25">
      <c r="A49">
        <v>1532997</v>
      </c>
      <c r="B49" s="121" t="s">
        <v>7246</v>
      </c>
      <c r="C49" t="s">
        <v>32</v>
      </c>
      <c r="D49" t="s">
        <v>35</v>
      </c>
      <c r="E49" t="s">
        <v>2677</v>
      </c>
      <c r="F49" t="s">
        <v>7250</v>
      </c>
      <c r="G49" t="s">
        <v>2681</v>
      </c>
      <c r="H49" s="121" t="s">
        <v>7251</v>
      </c>
    </row>
    <row r="50" spans="1:8" x14ac:dyDescent="0.25">
      <c r="A50">
        <v>1533082</v>
      </c>
      <c r="B50" s="121" t="s">
        <v>7246</v>
      </c>
      <c r="C50" t="s">
        <v>32</v>
      </c>
      <c r="D50" t="s">
        <v>35</v>
      </c>
      <c r="E50" t="s">
        <v>2684</v>
      </c>
      <c r="F50" t="s">
        <v>2691</v>
      </c>
      <c r="G50" t="s">
        <v>7252</v>
      </c>
      <c r="H50" s="121" t="s">
        <v>7253</v>
      </c>
    </row>
    <row r="51" spans="1:8" x14ac:dyDescent="0.25">
      <c r="A51">
        <v>1537418</v>
      </c>
      <c r="B51" s="121" t="s">
        <v>7246</v>
      </c>
      <c r="C51" t="s">
        <v>32</v>
      </c>
      <c r="D51" t="s">
        <v>35</v>
      </c>
      <c r="E51" t="s">
        <v>7254</v>
      </c>
      <c r="F51" t="s">
        <v>7255</v>
      </c>
      <c r="G51" t="s">
        <v>7256</v>
      </c>
      <c r="H51" s="121" t="s">
        <v>7257</v>
      </c>
    </row>
    <row r="52" spans="1:8" x14ac:dyDescent="0.25">
      <c r="A52">
        <v>1469695</v>
      </c>
      <c r="B52" s="121" t="s">
        <v>7258</v>
      </c>
      <c r="C52" t="s">
        <v>32</v>
      </c>
      <c r="D52" t="s">
        <v>35</v>
      </c>
      <c r="E52" t="s">
        <v>36</v>
      </c>
      <c r="F52" t="s">
        <v>756</v>
      </c>
      <c r="G52" t="s">
        <v>2809</v>
      </c>
      <c r="H52" s="121" t="s">
        <v>7259</v>
      </c>
    </row>
    <row r="53" spans="1:8" x14ac:dyDescent="0.25">
      <c r="A53">
        <v>1504740</v>
      </c>
      <c r="B53" s="121" t="s">
        <v>7258</v>
      </c>
      <c r="C53" t="s">
        <v>32</v>
      </c>
      <c r="D53" t="s">
        <v>33</v>
      </c>
      <c r="E53" t="s">
        <v>373</v>
      </c>
      <c r="F53" t="s">
        <v>2764</v>
      </c>
      <c r="G53" t="s">
        <v>833</v>
      </c>
      <c r="H53" s="121" t="s">
        <v>7260</v>
      </c>
    </row>
    <row r="54" spans="1:8" x14ac:dyDescent="0.25">
      <c r="A54">
        <v>1504741</v>
      </c>
      <c r="B54" s="121" t="s">
        <v>7258</v>
      </c>
      <c r="C54" t="s">
        <v>32</v>
      </c>
      <c r="D54" t="s">
        <v>33</v>
      </c>
      <c r="E54" t="s">
        <v>373</v>
      </c>
      <c r="F54" t="s">
        <v>7261</v>
      </c>
      <c r="G54" t="s">
        <v>7262</v>
      </c>
      <c r="H54" s="121" t="s">
        <v>7263</v>
      </c>
    </row>
    <row r="55" spans="1:8" x14ac:dyDescent="0.25">
      <c r="A55">
        <v>1504742</v>
      </c>
      <c r="B55" s="121" t="s">
        <v>7258</v>
      </c>
      <c r="C55" t="s">
        <v>32</v>
      </c>
      <c r="D55" t="s">
        <v>33</v>
      </c>
      <c r="E55" t="s">
        <v>373</v>
      </c>
      <c r="F55" t="s">
        <v>7264</v>
      </c>
      <c r="G55" t="s">
        <v>7265</v>
      </c>
      <c r="H55" s="121" t="s">
        <v>7266</v>
      </c>
    </row>
    <row r="56" spans="1:8" x14ac:dyDescent="0.25">
      <c r="A56">
        <v>1506932</v>
      </c>
      <c r="B56" s="121" t="s">
        <v>7258</v>
      </c>
      <c r="C56" t="s">
        <v>32</v>
      </c>
      <c r="D56" t="s">
        <v>374</v>
      </c>
      <c r="E56" t="s">
        <v>375</v>
      </c>
      <c r="F56" t="s">
        <v>7267</v>
      </c>
      <c r="G56" t="s">
        <v>846</v>
      </c>
      <c r="H56" s="121" t="s">
        <v>7268</v>
      </c>
    </row>
    <row r="57" spans="1:8" x14ac:dyDescent="0.25">
      <c r="A57">
        <v>1506933</v>
      </c>
      <c r="B57" s="121" t="s">
        <v>7258</v>
      </c>
      <c r="C57" t="s">
        <v>32</v>
      </c>
      <c r="D57" t="s">
        <v>374</v>
      </c>
      <c r="E57" t="s">
        <v>375</v>
      </c>
      <c r="F57" t="s">
        <v>7269</v>
      </c>
      <c r="G57" t="s">
        <v>799</v>
      </c>
      <c r="H57" s="121" t="s">
        <v>7270</v>
      </c>
    </row>
    <row r="58" spans="1:8" x14ac:dyDescent="0.25">
      <c r="A58">
        <v>1510291</v>
      </c>
      <c r="B58" s="121" t="s">
        <v>7258</v>
      </c>
      <c r="C58" t="s">
        <v>32</v>
      </c>
      <c r="D58" t="s">
        <v>374</v>
      </c>
      <c r="E58" t="s">
        <v>376</v>
      </c>
      <c r="F58" t="s">
        <v>448</v>
      </c>
      <c r="G58" t="s">
        <v>7271</v>
      </c>
      <c r="H58" s="121" t="s">
        <v>7272</v>
      </c>
    </row>
    <row r="59" spans="1:8" x14ac:dyDescent="0.25">
      <c r="A59">
        <v>1510292</v>
      </c>
      <c r="B59" s="121" t="s">
        <v>7258</v>
      </c>
      <c r="C59" t="s">
        <v>32</v>
      </c>
      <c r="D59" t="s">
        <v>374</v>
      </c>
      <c r="E59" t="s">
        <v>376</v>
      </c>
      <c r="F59" t="s">
        <v>7273</v>
      </c>
      <c r="G59" t="s">
        <v>7274</v>
      </c>
      <c r="H59" s="121" t="s">
        <v>7275</v>
      </c>
    </row>
    <row r="60" spans="1:8" x14ac:dyDescent="0.25">
      <c r="A60">
        <v>1516690</v>
      </c>
      <c r="B60" s="121" t="s">
        <v>7258</v>
      </c>
      <c r="C60" t="s">
        <v>32</v>
      </c>
      <c r="D60" t="s">
        <v>33</v>
      </c>
      <c r="E60" t="s">
        <v>2738</v>
      </c>
      <c r="F60" t="s">
        <v>809</v>
      </c>
      <c r="G60" t="s">
        <v>2744</v>
      </c>
      <c r="H60" s="121" t="s">
        <v>7276</v>
      </c>
    </row>
    <row r="61" spans="1:8" x14ac:dyDescent="0.25">
      <c r="A61">
        <v>1516691</v>
      </c>
      <c r="B61" s="121" t="s">
        <v>7258</v>
      </c>
      <c r="C61" t="s">
        <v>32</v>
      </c>
      <c r="D61" t="s">
        <v>33</v>
      </c>
      <c r="E61" t="s">
        <v>2738</v>
      </c>
      <c r="F61" t="s">
        <v>808</v>
      </c>
      <c r="G61" t="s">
        <v>2750</v>
      </c>
      <c r="H61" s="121" t="s">
        <v>7277</v>
      </c>
    </row>
    <row r="62" spans="1:8" x14ac:dyDescent="0.25">
      <c r="A62">
        <v>1516692</v>
      </c>
      <c r="B62" s="121" t="s">
        <v>7258</v>
      </c>
      <c r="C62" t="s">
        <v>32</v>
      </c>
      <c r="D62" t="s">
        <v>33</v>
      </c>
      <c r="E62" t="s">
        <v>2738</v>
      </c>
      <c r="F62" t="s">
        <v>7278</v>
      </c>
      <c r="G62" t="s">
        <v>812</v>
      </c>
      <c r="H62" s="121" t="s">
        <v>7279</v>
      </c>
    </row>
    <row r="63" spans="1:8" x14ac:dyDescent="0.25">
      <c r="A63">
        <v>1520441</v>
      </c>
      <c r="B63" s="121" t="s">
        <v>7258</v>
      </c>
      <c r="C63" t="s">
        <v>32</v>
      </c>
      <c r="D63" t="s">
        <v>374</v>
      </c>
      <c r="E63" t="s">
        <v>563</v>
      </c>
      <c r="F63" t="s">
        <v>825</v>
      </c>
      <c r="G63" t="s">
        <v>2755</v>
      </c>
      <c r="H63" s="121" t="s">
        <v>7280</v>
      </c>
    </row>
    <row r="64" spans="1:8" x14ac:dyDescent="0.25">
      <c r="A64">
        <v>1520442</v>
      </c>
      <c r="B64" s="121" t="s">
        <v>7258</v>
      </c>
      <c r="C64" t="s">
        <v>32</v>
      </c>
      <c r="D64" t="s">
        <v>374</v>
      </c>
      <c r="E64" t="s">
        <v>563</v>
      </c>
      <c r="F64" t="s">
        <v>7281</v>
      </c>
      <c r="G64" t="s">
        <v>830</v>
      </c>
      <c r="H64" s="121" t="s">
        <v>7282</v>
      </c>
    </row>
    <row r="65" spans="1:8" x14ac:dyDescent="0.25">
      <c r="A65">
        <v>1520443</v>
      </c>
      <c r="B65" s="121" t="s">
        <v>7258</v>
      </c>
      <c r="C65" t="s">
        <v>32</v>
      </c>
      <c r="D65" t="s">
        <v>374</v>
      </c>
      <c r="E65" t="s">
        <v>563</v>
      </c>
      <c r="F65" t="s">
        <v>829</v>
      </c>
      <c r="G65" t="s">
        <v>7283</v>
      </c>
      <c r="H65" s="121" t="s">
        <v>7284</v>
      </c>
    </row>
    <row r="66" spans="1:8" x14ac:dyDescent="0.25">
      <c r="A66">
        <v>1520444</v>
      </c>
      <c r="B66" s="121" t="s">
        <v>7258</v>
      </c>
      <c r="C66" t="s">
        <v>32</v>
      </c>
      <c r="D66" t="s">
        <v>374</v>
      </c>
      <c r="E66" t="s">
        <v>563</v>
      </c>
      <c r="F66" t="s">
        <v>835</v>
      </c>
      <c r="G66" t="s">
        <v>826</v>
      </c>
      <c r="H66" s="121" t="s">
        <v>7285</v>
      </c>
    </row>
    <row r="67" spans="1:8" x14ac:dyDescent="0.25">
      <c r="A67">
        <v>1521905</v>
      </c>
      <c r="B67" s="121" t="s">
        <v>7258</v>
      </c>
      <c r="C67" t="s">
        <v>32</v>
      </c>
      <c r="D67" t="s">
        <v>35</v>
      </c>
      <c r="E67" t="s">
        <v>314</v>
      </c>
      <c r="F67" t="s">
        <v>792</v>
      </c>
      <c r="G67" t="s">
        <v>2896</v>
      </c>
      <c r="H67" s="121" t="s">
        <v>7286</v>
      </c>
    </row>
    <row r="68" spans="1:8" x14ac:dyDescent="0.25">
      <c r="A68">
        <v>1522078</v>
      </c>
      <c r="B68" s="121" t="s">
        <v>7258</v>
      </c>
      <c r="C68" t="s">
        <v>32</v>
      </c>
      <c r="D68" t="s">
        <v>35</v>
      </c>
      <c r="E68" t="s">
        <v>234</v>
      </c>
      <c r="F68" t="s">
        <v>2698</v>
      </c>
      <c r="G68" t="s">
        <v>2864</v>
      </c>
      <c r="H68" s="121" t="s">
        <v>7287</v>
      </c>
    </row>
    <row r="69" spans="1:8" x14ac:dyDescent="0.25">
      <c r="A69">
        <v>1522080</v>
      </c>
      <c r="B69" s="121" t="s">
        <v>7258</v>
      </c>
      <c r="C69" t="s">
        <v>32</v>
      </c>
      <c r="D69" t="s">
        <v>35</v>
      </c>
      <c r="E69" t="s">
        <v>234</v>
      </c>
      <c r="F69" t="s">
        <v>2450</v>
      </c>
      <c r="G69" t="s">
        <v>2699</v>
      </c>
      <c r="H69" s="121" t="s">
        <v>7288</v>
      </c>
    </row>
    <row r="70" spans="1:8" x14ac:dyDescent="0.25">
      <c r="A70">
        <v>1522188</v>
      </c>
      <c r="B70" s="121" t="s">
        <v>7258</v>
      </c>
      <c r="C70" t="s">
        <v>32</v>
      </c>
      <c r="D70" t="s">
        <v>35</v>
      </c>
      <c r="E70" t="s">
        <v>234</v>
      </c>
      <c r="F70" t="s">
        <v>7289</v>
      </c>
      <c r="G70" t="s">
        <v>2711</v>
      </c>
      <c r="H70" s="121" t="s">
        <v>7290</v>
      </c>
    </row>
    <row r="71" spans="1:8" x14ac:dyDescent="0.25">
      <c r="A71">
        <v>1527032</v>
      </c>
      <c r="B71" s="121" t="s">
        <v>7258</v>
      </c>
      <c r="C71" t="s">
        <v>32</v>
      </c>
      <c r="D71" t="s">
        <v>35</v>
      </c>
      <c r="E71" t="s">
        <v>2701</v>
      </c>
      <c r="F71" t="s">
        <v>2702</v>
      </c>
      <c r="G71" t="s">
        <v>7291</v>
      </c>
      <c r="H71" s="121" t="s">
        <v>7292</v>
      </c>
    </row>
    <row r="72" spans="1:8" x14ac:dyDescent="0.25">
      <c r="A72">
        <v>1533692</v>
      </c>
      <c r="B72" s="121" t="s">
        <v>7258</v>
      </c>
      <c r="C72" t="s">
        <v>32</v>
      </c>
      <c r="D72" t="s">
        <v>374</v>
      </c>
      <c r="E72" t="s">
        <v>7293</v>
      </c>
      <c r="F72" t="s">
        <v>7294</v>
      </c>
      <c r="G72" t="s">
        <v>7295</v>
      </c>
      <c r="H72" s="121" t="s">
        <v>7296</v>
      </c>
    </row>
    <row r="73" spans="1:8" x14ac:dyDescent="0.25">
      <c r="A73">
        <v>1537419</v>
      </c>
      <c r="B73" s="121" t="s">
        <v>7258</v>
      </c>
      <c r="C73" t="s">
        <v>32</v>
      </c>
      <c r="D73" t="s">
        <v>35</v>
      </c>
      <c r="E73" t="s">
        <v>7254</v>
      </c>
      <c r="F73" t="s">
        <v>7297</v>
      </c>
      <c r="G73" t="s">
        <v>7298</v>
      </c>
      <c r="H73" s="121" t="s">
        <v>7299</v>
      </c>
    </row>
    <row r="74" spans="1:8" x14ac:dyDescent="0.25">
      <c r="A74">
        <v>1537420</v>
      </c>
      <c r="B74" s="121" t="s">
        <v>7258</v>
      </c>
      <c r="C74" t="s">
        <v>32</v>
      </c>
      <c r="D74" t="s">
        <v>35</v>
      </c>
      <c r="E74" t="s">
        <v>7254</v>
      </c>
      <c r="F74" t="s">
        <v>7300</v>
      </c>
      <c r="G74" t="s">
        <v>7301</v>
      </c>
      <c r="H74" s="121" t="s">
        <v>7302</v>
      </c>
    </row>
    <row r="75" spans="1:8" x14ac:dyDescent="0.25">
      <c r="A75">
        <v>1537421</v>
      </c>
      <c r="B75" s="121" t="s">
        <v>7258</v>
      </c>
      <c r="C75" t="s">
        <v>32</v>
      </c>
      <c r="D75" t="s">
        <v>35</v>
      </c>
      <c r="E75" t="s">
        <v>7254</v>
      </c>
      <c r="F75" t="s">
        <v>7303</v>
      </c>
      <c r="G75" t="s">
        <v>7304</v>
      </c>
      <c r="H75" s="121" t="s">
        <v>7305</v>
      </c>
    </row>
    <row r="76" spans="1:8" x14ac:dyDescent="0.25">
      <c r="A76">
        <v>1522079</v>
      </c>
      <c r="B76" s="121" t="s">
        <v>7306</v>
      </c>
      <c r="C76" t="s">
        <v>32</v>
      </c>
      <c r="D76" t="s">
        <v>35</v>
      </c>
      <c r="E76" t="s">
        <v>234</v>
      </c>
      <c r="F76" t="s">
        <v>2710</v>
      </c>
      <c r="G76" t="s">
        <v>2865</v>
      </c>
      <c r="H76" s="121" t="s">
        <v>7307</v>
      </c>
    </row>
    <row r="77" spans="1:8" x14ac:dyDescent="0.25">
      <c r="A77">
        <v>1527033</v>
      </c>
      <c r="B77" s="121" t="s">
        <v>7308</v>
      </c>
      <c r="C77" t="s">
        <v>32</v>
      </c>
      <c r="D77" t="s">
        <v>35</v>
      </c>
      <c r="E77" t="s">
        <v>2701</v>
      </c>
      <c r="F77" t="s">
        <v>2717</v>
      </c>
      <c r="G77" t="s">
        <v>2919</v>
      </c>
      <c r="H77" s="121" t="s">
        <v>7309</v>
      </c>
    </row>
    <row r="78" spans="1:8" x14ac:dyDescent="0.25">
      <c r="A78">
        <v>1527034</v>
      </c>
      <c r="B78" s="121" t="s">
        <v>7308</v>
      </c>
      <c r="C78" t="s">
        <v>32</v>
      </c>
      <c r="D78" t="s">
        <v>35</v>
      </c>
      <c r="E78" t="s">
        <v>2701</v>
      </c>
      <c r="F78" t="s">
        <v>2714</v>
      </c>
      <c r="G78" t="s">
        <v>7310</v>
      </c>
      <c r="H78" s="121" t="s">
        <v>7311</v>
      </c>
    </row>
    <row r="79" spans="1:8" x14ac:dyDescent="0.25">
      <c r="A79">
        <v>1527035</v>
      </c>
      <c r="B79" s="121" t="s">
        <v>7308</v>
      </c>
      <c r="C79" t="s">
        <v>32</v>
      </c>
      <c r="D79" t="s">
        <v>35</v>
      </c>
      <c r="E79" t="s">
        <v>2701</v>
      </c>
      <c r="F79" t="s">
        <v>2715</v>
      </c>
      <c r="G79" t="s">
        <v>2718</v>
      </c>
      <c r="H79" s="121" t="s">
        <v>7312</v>
      </c>
    </row>
    <row r="80" spans="1:8" x14ac:dyDescent="0.25">
      <c r="A80">
        <v>1527285</v>
      </c>
      <c r="B80" s="121" t="s">
        <v>7308</v>
      </c>
      <c r="C80" t="s">
        <v>32</v>
      </c>
      <c r="D80" t="s">
        <v>35</v>
      </c>
      <c r="E80" t="s">
        <v>2720</v>
      </c>
      <c r="F80" t="s">
        <v>2721</v>
      </c>
      <c r="G80" t="s">
        <v>7313</v>
      </c>
      <c r="H80" s="121" t="s">
        <v>7314</v>
      </c>
    </row>
    <row r="81" spans="1:8" x14ac:dyDescent="0.25">
      <c r="A81">
        <v>1527286</v>
      </c>
      <c r="B81" s="121" t="s">
        <v>7308</v>
      </c>
      <c r="C81" t="s">
        <v>32</v>
      </c>
      <c r="D81" t="s">
        <v>35</v>
      </c>
      <c r="E81" t="s">
        <v>2720</v>
      </c>
      <c r="F81" t="s">
        <v>2724</v>
      </c>
      <c r="G81" t="s">
        <v>2817</v>
      </c>
      <c r="H81" s="121" t="s">
        <v>7315</v>
      </c>
    </row>
    <row r="82" spans="1:8" x14ac:dyDescent="0.25">
      <c r="A82">
        <v>1527287</v>
      </c>
      <c r="B82" s="121" t="s">
        <v>7308</v>
      </c>
      <c r="C82" t="s">
        <v>32</v>
      </c>
      <c r="D82" t="s">
        <v>35</v>
      </c>
      <c r="E82" t="s">
        <v>2720</v>
      </c>
      <c r="F82" t="s">
        <v>2725</v>
      </c>
      <c r="G82" t="s">
        <v>7316</v>
      </c>
      <c r="H82" s="121" t="s">
        <v>7317</v>
      </c>
    </row>
    <row r="83" spans="1:8" x14ac:dyDescent="0.25">
      <c r="A83">
        <v>1527364</v>
      </c>
      <c r="B83" s="121" t="s">
        <v>7308</v>
      </c>
      <c r="C83" t="s">
        <v>32</v>
      </c>
      <c r="D83" t="s">
        <v>35</v>
      </c>
      <c r="E83" t="s">
        <v>2720</v>
      </c>
      <c r="F83" t="s">
        <v>7318</v>
      </c>
      <c r="G83" t="s">
        <v>7319</v>
      </c>
      <c r="H83" s="121" t="s">
        <v>7320</v>
      </c>
    </row>
    <row r="84" spans="1:8" x14ac:dyDescent="0.25">
      <c r="A84">
        <v>1527365</v>
      </c>
      <c r="B84" s="121" t="s">
        <v>7308</v>
      </c>
      <c r="C84" t="s">
        <v>32</v>
      </c>
      <c r="D84" t="s">
        <v>35</v>
      </c>
      <c r="E84" t="s">
        <v>2720</v>
      </c>
      <c r="F84" t="s">
        <v>7321</v>
      </c>
      <c r="G84" t="s">
        <v>2816</v>
      </c>
      <c r="H84" s="121" t="s">
        <v>7322</v>
      </c>
    </row>
    <row r="85" spans="1:8" x14ac:dyDescent="0.25">
      <c r="A85">
        <v>1504743</v>
      </c>
      <c r="B85" s="121" t="s">
        <v>7323</v>
      </c>
      <c r="C85" t="s">
        <v>32</v>
      </c>
      <c r="D85" t="s">
        <v>33</v>
      </c>
      <c r="E85" t="s">
        <v>373</v>
      </c>
      <c r="F85" t="s">
        <v>7324</v>
      </c>
      <c r="G85" t="s">
        <v>7325</v>
      </c>
      <c r="H85" s="121" t="s">
        <v>7326</v>
      </c>
    </row>
    <row r="86" spans="1:8" x14ac:dyDescent="0.25">
      <c r="A86">
        <v>1504744</v>
      </c>
      <c r="B86" s="121" t="s">
        <v>7323</v>
      </c>
      <c r="C86" t="s">
        <v>32</v>
      </c>
      <c r="D86" t="s">
        <v>33</v>
      </c>
      <c r="E86" t="s">
        <v>373</v>
      </c>
      <c r="F86" t="s">
        <v>7327</v>
      </c>
      <c r="G86" t="s">
        <v>7328</v>
      </c>
      <c r="H86" s="121" t="s">
        <v>7329</v>
      </c>
    </row>
    <row r="87" spans="1:8" x14ac:dyDescent="0.25">
      <c r="A87">
        <v>1517499</v>
      </c>
      <c r="B87" s="121" t="s">
        <v>7323</v>
      </c>
      <c r="C87" t="s">
        <v>32</v>
      </c>
      <c r="D87" t="s">
        <v>35</v>
      </c>
      <c r="E87" t="s">
        <v>313</v>
      </c>
      <c r="F87" t="s">
        <v>2821</v>
      </c>
      <c r="G87" t="s">
        <v>2814</v>
      </c>
      <c r="H87" s="121" t="s">
        <v>7330</v>
      </c>
    </row>
    <row r="88" spans="1:8" x14ac:dyDescent="0.25">
      <c r="A88">
        <v>1520445</v>
      </c>
      <c r="B88" s="121" t="s">
        <v>7323</v>
      </c>
      <c r="C88" t="s">
        <v>32</v>
      </c>
      <c r="D88" t="s">
        <v>374</v>
      </c>
      <c r="E88" t="s">
        <v>563</v>
      </c>
      <c r="F88" t="s">
        <v>827</v>
      </c>
      <c r="G88" t="s">
        <v>834</v>
      </c>
      <c r="H88" s="121" t="s">
        <v>7331</v>
      </c>
    </row>
    <row r="89" spans="1:8" x14ac:dyDescent="0.25">
      <c r="A89">
        <v>1524204</v>
      </c>
      <c r="B89" s="121" t="s">
        <v>7323</v>
      </c>
      <c r="C89" t="s">
        <v>32</v>
      </c>
      <c r="D89" t="s">
        <v>35</v>
      </c>
      <c r="E89" t="s">
        <v>2789</v>
      </c>
      <c r="F89" t="s">
        <v>2793</v>
      </c>
      <c r="G89" t="s">
        <v>7332</v>
      </c>
      <c r="H89" s="121" t="s">
        <v>7333</v>
      </c>
    </row>
    <row r="90" spans="1:8" x14ac:dyDescent="0.25">
      <c r="A90">
        <v>1540116</v>
      </c>
      <c r="B90" s="121" t="s">
        <v>7323</v>
      </c>
      <c r="C90" t="s">
        <v>32</v>
      </c>
      <c r="D90" t="s">
        <v>2803</v>
      </c>
      <c r="E90" t="s">
        <v>2804</v>
      </c>
      <c r="F90" t="s">
        <v>7334</v>
      </c>
      <c r="G90" t="s">
        <v>416</v>
      </c>
      <c r="H90" s="121" t="s">
        <v>7335</v>
      </c>
    </row>
    <row r="91" spans="1:8" x14ac:dyDescent="0.25">
      <c r="A91">
        <v>1524007</v>
      </c>
      <c r="B91" s="121" t="s">
        <v>7336</v>
      </c>
      <c r="C91" t="s">
        <v>32</v>
      </c>
      <c r="D91" t="s">
        <v>35</v>
      </c>
      <c r="E91" t="s">
        <v>318</v>
      </c>
      <c r="F91" t="s">
        <v>2901</v>
      </c>
      <c r="G91" t="s">
        <v>7337</v>
      </c>
      <c r="H91" s="121" t="s">
        <v>7338</v>
      </c>
    </row>
    <row r="92" spans="1:8" x14ac:dyDescent="0.25">
      <c r="A92">
        <v>1521906</v>
      </c>
      <c r="B92" s="121" t="s">
        <v>7339</v>
      </c>
      <c r="C92" t="s">
        <v>32</v>
      </c>
      <c r="D92" t="s">
        <v>35</v>
      </c>
      <c r="E92" t="s">
        <v>314</v>
      </c>
      <c r="F92" t="s">
        <v>795</v>
      </c>
      <c r="G92" t="s">
        <v>7340</v>
      </c>
      <c r="H92" s="121" t="s">
        <v>7341</v>
      </c>
    </row>
    <row r="93" spans="1:8" x14ac:dyDescent="0.25">
      <c r="A93">
        <v>1523716</v>
      </c>
      <c r="B93" s="121" t="s">
        <v>7339</v>
      </c>
      <c r="C93" t="s">
        <v>32</v>
      </c>
      <c r="D93" t="s">
        <v>35</v>
      </c>
      <c r="E93" t="s">
        <v>317</v>
      </c>
      <c r="F93" t="s">
        <v>2784</v>
      </c>
      <c r="G93" t="s">
        <v>7342</v>
      </c>
      <c r="H93" s="121" t="s">
        <v>7343</v>
      </c>
    </row>
    <row r="94" spans="1:8" x14ac:dyDescent="0.25">
      <c r="A94">
        <v>1532544</v>
      </c>
      <c r="B94" s="121" t="s">
        <v>7339</v>
      </c>
      <c r="C94" t="s">
        <v>32</v>
      </c>
      <c r="D94" t="s">
        <v>35</v>
      </c>
      <c r="E94" t="s">
        <v>2705</v>
      </c>
      <c r="F94" t="s">
        <v>2707</v>
      </c>
      <c r="G94" t="s">
        <v>7344</v>
      </c>
      <c r="H94" s="121" t="s">
        <v>7345</v>
      </c>
    </row>
    <row r="95" spans="1:8" x14ac:dyDescent="0.25">
      <c r="A95">
        <v>1529222</v>
      </c>
      <c r="B95" s="121" t="s">
        <v>7346</v>
      </c>
      <c r="C95" t="s">
        <v>32</v>
      </c>
      <c r="D95" t="s">
        <v>35</v>
      </c>
      <c r="E95" t="s">
        <v>562</v>
      </c>
      <c r="F95" t="s">
        <v>7347</v>
      </c>
      <c r="G95" t="s">
        <v>2675</v>
      </c>
      <c r="H95" s="121" t="s">
        <v>7348</v>
      </c>
    </row>
    <row r="96" spans="1:8" x14ac:dyDescent="0.25">
      <c r="A96">
        <v>1532998</v>
      </c>
      <c r="B96" s="121" t="s">
        <v>7346</v>
      </c>
      <c r="C96" t="s">
        <v>32</v>
      </c>
      <c r="D96" t="s">
        <v>35</v>
      </c>
      <c r="E96" t="s">
        <v>2677</v>
      </c>
      <c r="F96" t="s">
        <v>2678</v>
      </c>
      <c r="G96" t="s">
        <v>7349</v>
      </c>
      <c r="H96" s="121" t="s">
        <v>7350</v>
      </c>
    </row>
    <row r="97" spans="1:8" x14ac:dyDescent="0.25">
      <c r="A97">
        <v>1449270</v>
      </c>
      <c r="B97" s="121" t="s">
        <v>7351</v>
      </c>
      <c r="C97" t="s">
        <v>32</v>
      </c>
      <c r="D97" t="s">
        <v>564</v>
      </c>
      <c r="E97" t="s">
        <v>49</v>
      </c>
      <c r="F97" t="s">
        <v>7352</v>
      </c>
      <c r="G97" t="s">
        <v>7353</v>
      </c>
      <c r="H97" s="121" t="s">
        <v>7354</v>
      </c>
    </row>
    <row r="98" spans="1:8" x14ac:dyDescent="0.25">
      <c r="A98">
        <v>1469696</v>
      </c>
      <c r="B98" s="121" t="s">
        <v>7351</v>
      </c>
      <c r="C98" t="s">
        <v>32</v>
      </c>
      <c r="D98" t="s">
        <v>35</v>
      </c>
      <c r="E98" t="s">
        <v>36</v>
      </c>
      <c r="F98" t="s">
        <v>7355</v>
      </c>
      <c r="G98" t="s">
        <v>7356</v>
      </c>
      <c r="H98" s="121" t="s">
        <v>7357</v>
      </c>
    </row>
    <row r="99" spans="1:8" x14ac:dyDescent="0.25">
      <c r="A99">
        <v>1504745</v>
      </c>
      <c r="B99" s="121" t="s">
        <v>7351</v>
      </c>
      <c r="C99" t="s">
        <v>32</v>
      </c>
      <c r="D99" t="s">
        <v>33</v>
      </c>
      <c r="E99" t="s">
        <v>373</v>
      </c>
      <c r="F99" t="s">
        <v>832</v>
      </c>
      <c r="G99" t="s">
        <v>7358</v>
      </c>
      <c r="H99" s="121" t="s">
        <v>7359</v>
      </c>
    </row>
    <row r="100" spans="1:8" x14ac:dyDescent="0.25">
      <c r="A100">
        <v>1504746</v>
      </c>
      <c r="B100" s="121" t="s">
        <v>7351</v>
      </c>
      <c r="C100" t="s">
        <v>32</v>
      </c>
      <c r="D100" t="s">
        <v>33</v>
      </c>
      <c r="E100" t="s">
        <v>373</v>
      </c>
      <c r="F100" t="s">
        <v>785</v>
      </c>
      <c r="G100" t="s">
        <v>784</v>
      </c>
      <c r="H100" s="121" t="s">
        <v>7360</v>
      </c>
    </row>
    <row r="101" spans="1:8" x14ac:dyDescent="0.25">
      <c r="A101">
        <v>1508901</v>
      </c>
      <c r="B101" s="121" t="s">
        <v>7351</v>
      </c>
      <c r="C101" t="s">
        <v>32</v>
      </c>
      <c r="D101" t="s">
        <v>21</v>
      </c>
      <c r="E101" t="s">
        <v>7223</v>
      </c>
      <c r="F101" t="s">
        <v>7361</v>
      </c>
      <c r="G101" t="s">
        <v>7362</v>
      </c>
      <c r="H101" s="121" t="s">
        <v>7363</v>
      </c>
    </row>
    <row r="102" spans="1:8" x14ac:dyDescent="0.25">
      <c r="A102">
        <v>1517500</v>
      </c>
      <c r="B102" s="121" t="s">
        <v>7351</v>
      </c>
      <c r="C102" t="s">
        <v>32</v>
      </c>
      <c r="D102" t="s">
        <v>35</v>
      </c>
      <c r="E102" t="s">
        <v>313</v>
      </c>
      <c r="F102" t="s">
        <v>2774</v>
      </c>
      <c r="G102" t="s">
        <v>2778</v>
      </c>
      <c r="H102" s="121" t="s">
        <v>7364</v>
      </c>
    </row>
    <row r="103" spans="1:8" x14ac:dyDescent="0.25">
      <c r="A103">
        <v>1517731</v>
      </c>
      <c r="B103" s="121" t="s">
        <v>7351</v>
      </c>
      <c r="C103" t="s">
        <v>32</v>
      </c>
      <c r="D103" t="s">
        <v>35</v>
      </c>
      <c r="E103" t="s">
        <v>316</v>
      </c>
      <c r="F103" t="s">
        <v>824</v>
      </c>
      <c r="G103" t="s">
        <v>2780</v>
      </c>
      <c r="H103" s="121" t="s">
        <v>7365</v>
      </c>
    </row>
    <row r="104" spans="1:8" x14ac:dyDescent="0.25">
      <c r="A104">
        <v>1517732</v>
      </c>
      <c r="B104" s="121" t="s">
        <v>7351</v>
      </c>
      <c r="C104" t="s">
        <v>32</v>
      </c>
      <c r="D104" t="s">
        <v>35</v>
      </c>
      <c r="E104" t="s">
        <v>316</v>
      </c>
      <c r="F104" t="s">
        <v>2892</v>
      </c>
      <c r="G104" t="s">
        <v>791</v>
      </c>
      <c r="H104" s="121" t="s">
        <v>7366</v>
      </c>
    </row>
    <row r="105" spans="1:8" x14ac:dyDescent="0.25">
      <c r="A105">
        <v>1517877</v>
      </c>
      <c r="B105" s="121" t="s">
        <v>7351</v>
      </c>
      <c r="C105" t="s">
        <v>32</v>
      </c>
      <c r="D105" t="s">
        <v>35</v>
      </c>
      <c r="E105" t="s">
        <v>316</v>
      </c>
      <c r="F105" t="s">
        <v>2893</v>
      </c>
      <c r="G105" t="s">
        <v>2888</v>
      </c>
      <c r="H105" s="121" t="s">
        <v>7367</v>
      </c>
    </row>
    <row r="106" spans="1:8" x14ac:dyDescent="0.25">
      <c r="A106">
        <v>1524127</v>
      </c>
      <c r="B106" s="121" t="s">
        <v>7351</v>
      </c>
      <c r="C106" t="s">
        <v>32</v>
      </c>
      <c r="D106" t="s">
        <v>35</v>
      </c>
      <c r="E106" t="s">
        <v>2789</v>
      </c>
      <c r="F106" t="s">
        <v>2791</v>
      </c>
      <c r="G106" t="s">
        <v>2794</v>
      </c>
      <c r="H106" s="121" t="s">
        <v>7368</v>
      </c>
    </row>
    <row r="107" spans="1:8" x14ac:dyDescent="0.25">
      <c r="A107">
        <v>1532658</v>
      </c>
      <c r="B107" s="121" t="s">
        <v>7351</v>
      </c>
      <c r="C107" t="s">
        <v>32</v>
      </c>
      <c r="D107" t="s">
        <v>419</v>
      </c>
      <c r="E107" t="s">
        <v>2834</v>
      </c>
      <c r="F107" t="s">
        <v>3325</v>
      </c>
      <c r="G107" t="s">
        <v>7369</v>
      </c>
      <c r="H107" s="121" t="s">
        <v>7370</v>
      </c>
    </row>
    <row r="108" spans="1:8" x14ac:dyDescent="0.25">
      <c r="A108">
        <v>1532659</v>
      </c>
      <c r="B108" s="121" t="s">
        <v>7351</v>
      </c>
      <c r="C108" t="s">
        <v>32</v>
      </c>
      <c r="D108" t="s">
        <v>419</v>
      </c>
      <c r="E108" t="s">
        <v>2834</v>
      </c>
      <c r="F108" t="s">
        <v>2836</v>
      </c>
      <c r="G108" t="s">
        <v>2877</v>
      </c>
      <c r="H108" s="121" t="s">
        <v>7371</v>
      </c>
    </row>
    <row r="109" spans="1:8" x14ac:dyDescent="0.25">
      <c r="A109">
        <v>1517655</v>
      </c>
      <c r="B109" s="121" t="s">
        <v>7372</v>
      </c>
      <c r="C109" t="s">
        <v>32</v>
      </c>
      <c r="D109" t="s">
        <v>35</v>
      </c>
      <c r="E109" t="s">
        <v>313</v>
      </c>
      <c r="F109" t="s">
        <v>7373</v>
      </c>
      <c r="G109" t="s">
        <v>2820</v>
      </c>
      <c r="H109" s="121" t="s">
        <v>7374</v>
      </c>
    </row>
    <row r="110" spans="1:8" x14ac:dyDescent="0.25">
      <c r="A110">
        <v>1521903</v>
      </c>
      <c r="B110" s="121" t="s">
        <v>7372</v>
      </c>
      <c r="C110" t="s">
        <v>32</v>
      </c>
      <c r="D110" t="s">
        <v>35</v>
      </c>
      <c r="E110" t="s">
        <v>314</v>
      </c>
      <c r="F110" t="s">
        <v>7375</v>
      </c>
      <c r="G110" t="s">
        <v>7376</v>
      </c>
      <c r="H110" s="121" t="s">
        <v>7377</v>
      </c>
    </row>
    <row r="111" spans="1:8" x14ac:dyDescent="0.25">
      <c r="A111">
        <v>1506934</v>
      </c>
      <c r="B111" s="121" t="s">
        <v>7378</v>
      </c>
      <c r="C111" t="s">
        <v>32</v>
      </c>
      <c r="D111" t="s">
        <v>374</v>
      </c>
      <c r="E111" t="s">
        <v>375</v>
      </c>
      <c r="F111" t="s">
        <v>7379</v>
      </c>
      <c r="G111" t="s">
        <v>7380</v>
      </c>
      <c r="H111" s="121" t="s">
        <v>7381</v>
      </c>
    </row>
    <row r="112" spans="1:8" x14ac:dyDescent="0.25">
      <c r="A112">
        <v>1506935</v>
      </c>
      <c r="B112" s="121" t="s">
        <v>7378</v>
      </c>
      <c r="C112" t="s">
        <v>32</v>
      </c>
      <c r="D112" t="s">
        <v>374</v>
      </c>
      <c r="E112" t="s">
        <v>375</v>
      </c>
      <c r="F112" t="s">
        <v>7382</v>
      </c>
      <c r="G112" t="s">
        <v>7383</v>
      </c>
      <c r="H112" s="121" t="s">
        <v>7384</v>
      </c>
    </row>
    <row r="113" spans="1:8" x14ac:dyDescent="0.25">
      <c r="A113">
        <v>1510293</v>
      </c>
      <c r="B113" s="121" t="s">
        <v>7378</v>
      </c>
      <c r="C113" t="s">
        <v>32</v>
      </c>
      <c r="D113" t="s">
        <v>374</v>
      </c>
      <c r="E113" t="s">
        <v>376</v>
      </c>
      <c r="F113" t="s">
        <v>849</v>
      </c>
      <c r="G113" t="s">
        <v>2734</v>
      </c>
      <c r="H113" s="121" t="s">
        <v>7385</v>
      </c>
    </row>
    <row r="114" spans="1:8" x14ac:dyDescent="0.25">
      <c r="A114">
        <v>1510294</v>
      </c>
      <c r="B114" s="121" t="s">
        <v>7378</v>
      </c>
      <c r="C114" t="s">
        <v>32</v>
      </c>
      <c r="D114" t="s">
        <v>374</v>
      </c>
      <c r="E114" t="s">
        <v>376</v>
      </c>
      <c r="F114" t="s">
        <v>2733</v>
      </c>
      <c r="G114" t="s">
        <v>2856</v>
      </c>
      <c r="H114" s="121" t="s">
        <v>7386</v>
      </c>
    </row>
    <row r="115" spans="1:8" x14ac:dyDescent="0.25">
      <c r="A115">
        <v>1528574</v>
      </c>
      <c r="B115" s="121" t="s">
        <v>7378</v>
      </c>
      <c r="C115" t="s">
        <v>32</v>
      </c>
      <c r="D115" t="s">
        <v>419</v>
      </c>
      <c r="E115" t="s">
        <v>266</v>
      </c>
      <c r="F115" t="s">
        <v>3320</v>
      </c>
      <c r="G115" t="s">
        <v>7387</v>
      </c>
      <c r="H115" s="121" t="s">
        <v>7388</v>
      </c>
    </row>
    <row r="116" spans="1:8" x14ac:dyDescent="0.25">
      <c r="A116">
        <v>1528766</v>
      </c>
      <c r="B116" s="121" t="s">
        <v>7378</v>
      </c>
      <c r="C116" t="s">
        <v>32</v>
      </c>
      <c r="D116" t="s">
        <v>419</v>
      </c>
      <c r="E116" t="s">
        <v>266</v>
      </c>
      <c r="F116" t="s">
        <v>7389</v>
      </c>
      <c r="G116" t="s">
        <v>7390</v>
      </c>
      <c r="H116" s="121" t="s">
        <v>7391</v>
      </c>
    </row>
    <row r="117" spans="1:8" x14ac:dyDescent="0.25">
      <c r="A117">
        <v>1532660</v>
      </c>
      <c r="B117" s="121" t="s">
        <v>7378</v>
      </c>
      <c r="C117" t="s">
        <v>32</v>
      </c>
      <c r="D117" t="s">
        <v>419</v>
      </c>
      <c r="E117" t="s">
        <v>2834</v>
      </c>
      <c r="F117" t="s">
        <v>7392</v>
      </c>
      <c r="G117" t="s">
        <v>7393</v>
      </c>
      <c r="H117" s="121" t="s">
        <v>7394</v>
      </c>
    </row>
    <row r="118" spans="1:8" x14ac:dyDescent="0.25">
      <c r="A118">
        <v>1421718</v>
      </c>
      <c r="B118" s="121" t="s">
        <v>7395</v>
      </c>
      <c r="C118" t="s">
        <v>32</v>
      </c>
      <c r="D118" t="s">
        <v>319</v>
      </c>
      <c r="E118" t="s">
        <v>320</v>
      </c>
      <c r="F118" t="s">
        <v>7396</v>
      </c>
      <c r="G118" t="s">
        <v>7397</v>
      </c>
      <c r="H118" s="121" t="s">
        <v>7398</v>
      </c>
    </row>
    <row r="119" spans="1:8" x14ac:dyDescent="0.25">
      <c r="A119">
        <v>1453113</v>
      </c>
      <c r="B119" s="121" t="s">
        <v>7395</v>
      </c>
      <c r="C119" t="s">
        <v>32</v>
      </c>
      <c r="D119" t="s">
        <v>37</v>
      </c>
      <c r="E119" t="s">
        <v>565</v>
      </c>
      <c r="F119" t="s">
        <v>2881</v>
      </c>
      <c r="G119" t="s">
        <v>7399</v>
      </c>
      <c r="H119" s="121" t="s">
        <v>7400</v>
      </c>
    </row>
    <row r="120" spans="1:8" x14ac:dyDescent="0.25">
      <c r="A120">
        <v>1453114</v>
      </c>
      <c r="B120" s="121" t="s">
        <v>7395</v>
      </c>
      <c r="C120" t="s">
        <v>32</v>
      </c>
      <c r="D120" t="s">
        <v>37</v>
      </c>
      <c r="E120" t="s">
        <v>565</v>
      </c>
      <c r="F120" t="s">
        <v>854</v>
      </c>
      <c r="G120" t="s">
        <v>856</v>
      </c>
      <c r="H120" s="121" t="s">
        <v>7401</v>
      </c>
    </row>
    <row r="121" spans="1:8" x14ac:dyDescent="0.25">
      <c r="A121">
        <v>1453115</v>
      </c>
      <c r="B121" s="121" t="s">
        <v>7395</v>
      </c>
      <c r="C121" t="s">
        <v>32</v>
      </c>
      <c r="D121" t="s">
        <v>37</v>
      </c>
      <c r="E121" t="s">
        <v>565</v>
      </c>
      <c r="F121" t="s">
        <v>853</v>
      </c>
      <c r="G121" t="s">
        <v>7402</v>
      </c>
      <c r="H121" s="121" t="s">
        <v>7403</v>
      </c>
    </row>
    <row r="122" spans="1:8" x14ac:dyDescent="0.25">
      <c r="A122">
        <v>1453325</v>
      </c>
      <c r="B122" s="121" t="s">
        <v>7395</v>
      </c>
      <c r="C122" t="s">
        <v>32</v>
      </c>
      <c r="D122" t="s">
        <v>37</v>
      </c>
      <c r="E122" t="s">
        <v>565</v>
      </c>
      <c r="F122" t="s">
        <v>7404</v>
      </c>
      <c r="G122" t="s">
        <v>857</v>
      </c>
      <c r="H122" s="121" t="s">
        <v>7405</v>
      </c>
    </row>
    <row r="123" spans="1:8" x14ac:dyDescent="0.25">
      <c r="A123">
        <v>1523717</v>
      </c>
      <c r="B123" s="121" t="s">
        <v>7395</v>
      </c>
      <c r="C123" t="s">
        <v>32</v>
      </c>
      <c r="D123" t="s">
        <v>35</v>
      </c>
      <c r="E123" t="s">
        <v>317</v>
      </c>
      <c r="F123" t="s">
        <v>837</v>
      </c>
      <c r="G123" t="s">
        <v>2898</v>
      </c>
      <c r="H123" s="121" t="s">
        <v>7406</v>
      </c>
    </row>
    <row r="124" spans="1:8" x14ac:dyDescent="0.25">
      <c r="A124">
        <v>1537422</v>
      </c>
      <c r="B124" s="121" t="s">
        <v>7395</v>
      </c>
      <c r="C124" t="s">
        <v>32</v>
      </c>
      <c r="D124" t="s">
        <v>35</v>
      </c>
      <c r="E124" t="s">
        <v>7254</v>
      </c>
      <c r="F124" t="s">
        <v>7407</v>
      </c>
      <c r="G124" t="s">
        <v>7408</v>
      </c>
      <c r="H124" s="121" t="s">
        <v>7409</v>
      </c>
    </row>
    <row r="125" spans="1:8" x14ac:dyDescent="0.25">
      <c r="A125">
        <v>1539992</v>
      </c>
      <c r="B125" s="121" t="s">
        <v>7395</v>
      </c>
      <c r="C125" t="s">
        <v>32</v>
      </c>
      <c r="D125" t="s">
        <v>5924</v>
      </c>
      <c r="E125" t="s">
        <v>7410</v>
      </c>
      <c r="F125" t="s">
        <v>7411</v>
      </c>
      <c r="G125" t="s">
        <v>7412</v>
      </c>
      <c r="H125" s="121" t="s">
        <v>7413</v>
      </c>
    </row>
    <row r="126" spans="1:8" x14ac:dyDescent="0.25">
      <c r="A126">
        <v>1540036</v>
      </c>
      <c r="B126" s="121" t="s">
        <v>7395</v>
      </c>
      <c r="C126" t="s">
        <v>32</v>
      </c>
      <c r="D126" t="s">
        <v>570</v>
      </c>
      <c r="E126" t="s">
        <v>49</v>
      </c>
      <c r="F126" t="s">
        <v>7414</v>
      </c>
      <c r="G126" t="s">
        <v>7415</v>
      </c>
      <c r="H126" s="121" t="s">
        <v>7416</v>
      </c>
    </row>
    <row r="127" spans="1:8" x14ac:dyDescent="0.25">
      <c r="A127">
        <v>1540117</v>
      </c>
      <c r="B127" s="121" t="s">
        <v>7395</v>
      </c>
      <c r="C127" t="s">
        <v>32</v>
      </c>
      <c r="D127" t="s">
        <v>2803</v>
      </c>
      <c r="E127" t="s">
        <v>2804</v>
      </c>
      <c r="F127" t="s">
        <v>2805</v>
      </c>
      <c r="G127" t="s">
        <v>7417</v>
      </c>
      <c r="H127" s="121" t="s">
        <v>7418</v>
      </c>
    </row>
    <row r="128" spans="1:8" x14ac:dyDescent="0.25">
      <c r="A128">
        <v>1487383</v>
      </c>
      <c r="B128" s="121" t="s">
        <v>7419</v>
      </c>
      <c r="C128" t="s">
        <v>32</v>
      </c>
      <c r="D128" t="s">
        <v>381</v>
      </c>
      <c r="E128" t="s">
        <v>548</v>
      </c>
      <c r="F128" t="s">
        <v>7420</v>
      </c>
      <c r="G128" t="s">
        <v>878</v>
      </c>
      <c r="H128" s="121" t="s">
        <v>7421</v>
      </c>
    </row>
    <row r="129" spans="1:8" x14ac:dyDescent="0.25">
      <c r="A129">
        <v>1487388</v>
      </c>
      <c r="B129" s="121" t="s">
        <v>7419</v>
      </c>
      <c r="C129" t="s">
        <v>32</v>
      </c>
      <c r="D129" t="s">
        <v>381</v>
      </c>
      <c r="E129" t="s">
        <v>548</v>
      </c>
      <c r="F129" t="s">
        <v>3011</v>
      </c>
      <c r="G129" t="s">
        <v>7422</v>
      </c>
      <c r="H129" s="121" t="s">
        <v>7423</v>
      </c>
    </row>
    <row r="130" spans="1:8" x14ac:dyDescent="0.25">
      <c r="A130">
        <v>1487540</v>
      </c>
      <c r="B130" s="121" t="s">
        <v>7419</v>
      </c>
      <c r="C130" t="s">
        <v>32</v>
      </c>
      <c r="D130" t="s">
        <v>381</v>
      </c>
      <c r="E130" t="s">
        <v>571</v>
      </c>
      <c r="F130" t="s">
        <v>1577</v>
      </c>
      <c r="G130" t="s">
        <v>1999</v>
      </c>
      <c r="H130" s="121" t="s">
        <v>7424</v>
      </c>
    </row>
    <row r="131" spans="1:8" x14ac:dyDescent="0.25">
      <c r="A131">
        <v>1487542</v>
      </c>
      <c r="B131" s="121" t="s">
        <v>7419</v>
      </c>
      <c r="C131" t="s">
        <v>32</v>
      </c>
      <c r="D131" t="s">
        <v>381</v>
      </c>
      <c r="E131" t="s">
        <v>571</v>
      </c>
      <c r="F131" t="s">
        <v>7425</v>
      </c>
      <c r="G131" t="s">
        <v>905</v>
      </c>
      <c r="H131" s="121" t="s">
        <v>7426</v>
      </c>
    </row>
    <row r="132" spans="1:8" x14ac:dyDescent="0.25">
      <c r="A132">
        <v>1487771</v>
      </c>
      <c r="B132" s="121" t="s">
        <v>7419</v>
      </c>
      <c r="C132" t="s">
        <v>32</v>
      </c>
      <c r="D132" t="s">
        <v>381</v>
      </c>
      <c r="E132" t="s">
        <v>572</v>
      </c>
      <c r="F132" t="s">
        <v>7427</v>
      </c>
      <c r="G132" t="s">
        <v>4757</v>
      </c>
      <c r="H132" s="121" t="s">
        <v>7428</v>
      </c>
    </row>
    <row r="133" spans="1:8" x14ac:dyDescent="0.25">
      <c r="A133">
        <v>1489527</v>
      </c>
      <c r="B133" s="121" t="s">
        <v>7419</v>
      </c>
      <c r="C133" t="s">
        <v>32</v>
      </c>
      <c r="D133" t="s">
        <v>381</v>
      </c>
      <c r="E133" t="s">
        <v>573</v>
      </c>
      <c r="F133" t="s">
        <v>4762</v>
      </c>
      <c r="G133" t="s">
        <v>3995</v>
      </c>
      <c r="H133" s="121" t="s">
        <v>7429</v>
      </c>
    </row>
    <row r="134" spans="1:8" x14ac:dyDescent="0.25">
      <c r="A134">
        <v>1489662</v>
      </c>
      <c r="B134" s="121" t="s">
        <v>7419</v>
      </c>
      <c r="C134" t="s">
        <v>32</v>
      </c>
      <c r="D134" t="s">
        <v>381</v>
      </c>
      <c r="E134" t="s">
        <v>568</v>
      </c>
      <c r="F134" t="s">
        <v>7430</v>
      </c>
      <c r="G134" t="s">
        <v>2997</v>
      </c>
      <c r="H134" s="121" t="s">
        <v>7431</v>
      </c>
    </row>
    <row r="135" spans="1:8" x14ac:dyDescent="0.25">
      <c r="A135">
        <v>1489663</v>
      </c>
      <c r="B135" s="121" t="s">
        <v>7419</v>
      </c>
      <c r="C135" t="s">
        <v>32</v>
      </c>
      <c r="D135" t="s">
        <v>381</v>
      </c>
      <c r="E135" t="s">
        <v>568</v>
      </c>
      <c r="F135" t="s">
        <v>2994</v>
      </c>
      <c r="G135" t="s">
        <v>2996</v>
      </c>
      <c r="H135" s="121" t="s">
        <v>7432</v>
      </c>
    </row>
    <row r="136" spans="1:8" x14ac:dyDescent="0.25">
      <c r="A136">
        <v>1489664</v>
      </c>
      <c r="B136" s="121" t="s">
        <v>7419</v>
      </c>
      <c r="C136" t="s">
        <v>32</v>
      </c>
      <c r="D136" t="s">
        <v>381</v>
      </c>
      <c r="E136" t="s">
        <v>568</v>
      </c>
      <c r="F136" t="s">
        <v>908</v>
      </c>
      <c r="G136" t="s">
        <v>3015</v>
      </c>
      <c r="H136" s="121" t="s">
        <v>7433</v>
      </c>
    </row>
    <row r="137" spans="1:8" x14ac:dyDescent="0.25">
      <c r="A137">
        <v>1489665</v>
      </c>
      <c r="B137" s="121" t="s">
        <v>7419</v>
      </c>
      <c r="C137" t="s">
        <v>32</v>
      </c>
      <c r="D137" t="s">
        <v>381</v>
      </c>
      <c r="E137" t="s">
        <v>568</v>
      </c>
      <c r="F137" t="s">
        <v>3016</v>
      </c>
      <c r="G137" t="s">
        <v>2941</v>
      </c>
      <c r="H137" s="121" t="s">
        <v>7434</v>
      </c>
    </row>
    <row r="138" spans="1:8" x14ac:dyDescent="0.25">
      <c r="A138">
        <v>1489796</v>
      </c>
      <c r="B138" s="121" t="s">
        <v>7419</v>
      </c>
      <c r="C138" t="s">
        <v>32</v>
      </c>
      <c r="D138" t="s">
        <v>381</v>
      </c>
      <c r="E138" t="s">
        <v>550</v>
      </c>
      <c r="F138" t="s">
        <v>7435</v>
      </c>
      <c r="G138" t="s">
        <v>1592</v>
      </c>
      <c r="H138" s="121" t="s">
        <v>7436</v>
      </c>
    </row>
    <row r="139" spans="1:8" x14ac:dyDescent="0.25">
      <c r="A139">
        <v>1489797</v>
      </c>
      <c r="B139" s="121" t="s">
        <v>7419</v>
      </c>
      <c r="C139" t="s">
        <v>32</v>
      </c>
      <c r="D139" t="s">
        <v>381</v>
      </c>
      <c r="E139" t="s">
        <v>550</v>
      </c>
      <c r="F139" t="s">
        <v>910</v>
      </c>
      <c r="G139" t="s">
        <v>3018</v>
      </c>
      <c r="H139" s="121" t="s">
        <v>7437</v>
      </c>
    </row>
    <row r="140" spans="1:8" x14ac:dyDescent="0.25">
      <c r="A140">
        <v>1489802</v>
      </c>
      <c r="B140" s="121" t="s">
        <v>7419</v>
      </c>
      <c r="C140" t="s">
        <v>32</v>
      </c>
      <c r="D140" t="s">
        <v>381</v>
      </c>
      <c r="E140" t="s">
        <v>550</v>
      </c>
      <c r="F140" t="s">
        <v>1764</v>
      </c>
      <c r="G140" t="s">
        <v>4775</v>
      </c>
      <c r="H140" s="121" t="s">
        <v>7438</v>
      </c>
    </row>
    <row r="141" spans="1:8" x14ac:dyDescent="0.25">
      <c r="A141">
        <v>1490038</v>
      </c>
      <c r="B141" s="121" t="s">
        <v>7419</v>
      </c>
      <c r="C141" t="s">
        <v>32</v>
      </c>
      <c r="D141" t="s">
        <v>381</v>
      </c>
      <c r="E141" t="s">
        <v>575</v>
      </c>
      <c r="F141" t="s">
        <v>3008</v>
      </c>
      <c r="G141" t="s">
        <v>3023</v>
      </c>
      <c r="H141" s="121" t="s">
        <v>7439</v>
      </c>
    </row>
    <row r="142" spans="1:8" x14ac:dyDescent="0.25">
      <c r="A142">
        <v>1490041</v>
      </c>
      <c r="B142" s="121" t="s">
        <v>7419</v>
      </c>
      <c r="C142" t="s">
        <v>32</v>
      </c>
      <c r="D142" t="s">
        <v>381</v>
      </c>
      <c r="E142" t="s">
        <v>575</v>
      </c>
      <c r="F142" t="s">
        <v>894</v>
      </c>
      <c r="G142" t="s">
        <v>7440</v>
      </c>
      <c r="H142" s="121" t="s">
        <v>7441</v>
      </c>
    </row>
    <row r="143" spans="1:8" x14ac:dyDescent="0.25">
      <c r="A143">
        <v>1490042</v>
      </c>
      <c r="B143" s="121" t="s">
        <v>7419</v>
      </c>
      <c r="C143" t="s">
        <v>32</v>
      </c>
      <c r="D143" t="s">
        <v>381</v>
      </c>
      <c r="E143" t="s">
        <v>575</v>
      </c>
      <c r="F143" t="s">
        <v>893</v>
      </c>
      <c r="G143" t="s">
        <v>4782</v>
      </c>
      <c r="H143" s="121" t="s">
        <v>7442</v>
      </c>
    </row>
    <row r="144" spans="1:8" x14ac:dyDescent="0.25">
      <c r="A144">
        <v>1403798</v>
      </c>
      <c r="B144" s="121" t="s">
        <v>7443</v>
      </c>
      <c r="C144" t="s">
        <v>32</v>
      </c>
      <c r="D144" t="s">
        <v>38</v>
      </c>
      <c r="E144" t="s">
        <v>39</v>
      </c>
      <c r="F144" t="s">
        <v>7444</v>
      </c>
      <c r="G144" t="s">
        <v>2477</v>
      </c>
      <c r="H144" s="121" t="s">
        <v>7445</v>
      </c>
    </row>
    <row r="145" spans="1:8" x14ac:dyDescent="0.25">
      <c r="A145">
        <v>1403799</v>
      </c>
      <c r="B145" s="121" t="s">
        <v>7443</v>
      </c>
      <c r="C145" t="s">
        <v>32</v>
      </c>
      <c r="D145" t="s">
        <v>38</v>
      </c>
      <c r="E145" t="s">
        <v>39</v>
      </c>
      <c r="F145" t="s">
        <v>7446</v>
      </c>
      <c r="G145" t="s">
        <v>2476</v>
      </c>
      <c r="H145" s="121" t="s">
        <v>7447</v>
      </c>
    </row>
    <row r="146" spans="1:8" x14ac:dyDescent="0.25">
      <c r="A146">
        <v>1487541</v>
      </c>
      <c r="B146" s="121" t="s">
        <v>7443</v>
      </c>
      <c r="C146" t="s">
        <v>32</v>
      </c>
      <c r="D146" t="s">
        <v>381</v>
      </c>
      <c r="E146" t="s">
        <v>571</v>
      </c>
      <c r="F146" t="s">
        <v>2145</v>
      </c>
      <c r="G146" t="s">
        <v>1575</v>
      </c>
      <c r="H146" s="121" t="s">
        <v>7448</v>
      </c>
    </row>
    <row r="147" spans="1:8" x14ac:dyDescent="0.25">
      <c r="A147">
        <v>1489921</v>
      </c>
      <c r="B147" s="121" t="s">
        <v>7443</v>
      </c>
      <c r="C147" t="s">
        <v>32</v>
      </c>
      <c r="D147" t="s">
        <v>381</v>
      </c>
      <c r="E147" t="s">
        <v>574</v>
      </c>
      <c r="F147" t="s">
        <v>4778</v>
      </c>
      <c r="G147" t="s">
        <v>1596</v>
      </c>
      <c r="H147" s="121" t="s">
        <v>7449</v>
      </c>
    </row>
    <row r="148" spans="1:8" x14ac:dyDescent="0.25">
      <c r="A148">
        <v>1490659</v>
      </c>
      <c r="B148" s="121" t="s">
        <v>7443</v>
      </c>
      <c r="C148" t="s">
        <v>32</v>
      </c>
      <c r="D148" t="s">
        <v>381</v>
      </c>
      <c r="E148" t="s">
        <v>7450</v>
      </c>
      <c r="F148" t="s">
        <v>7451</v>
      </c>
      <c r="G148" t="s">
        <v>7452</v>
      </c>
      <c r="H148" s="121" t="s">
        <v>7453</v>
      </c>
    </row>
    <row r="149" spans="1:8" x14ac:dyDescent="0.25">
      <c r="A149">
        <v>1517733</v>
      </c>
      <c r="B149" s="121" t="s">
        <v>7443</v>
      </c>
      <c r="C149" t="s">
        <v>32</v>
      </c>
      <c r="D149" t="s">
        <v>35</v>
      </c>
      <c r="E149" t="s">
        <v>316</v>
      </c>
      <c r="F149" t="s">
        <v>7454</v>
      </c>
      <c r="G149" t="s">
        <v>7455</v>
      </c>
      <c r="H149" s="121" t="s">
        <v>7456</v>
      </c>
    </row>
    <row r="150" spans="1:8" x14ac:dyDescent="0.25">
      <c r="A150">
        <v>1518949</v>
      </c>
      <c r="B150" s="121" t="s">
        <v>7443</v>
      </c>
      <c r="C150" t="s">
        <v>32</v>
      </c>
      <c r="D150" t="s">
        <v>38</v>
      </c>
      <c r="E150" t="s">
        <v>7457</v>
      </c>
      <c r="F150" t="s">
        <v>7458</v>
      </c>
      <c r="G150" t="s">
        <v>7459</v>
      </c>
      <c r="H150" s="121" t="s">
        <v>7460</v>
      </c>
    </row>
    <row r="151" spans="1:8" x14ac:dyDescent="0.25">
      <c r="A151">
        <v>1518950</v>
      </c>
      <c r="B151" s="121" t="s">
        <v>7443</v>
      </c>
      <c r="C151" t="s">
        <v>32</v>
      </c>
      <c r="D151" t="s">
        <v>38</v>
      </c>
      <c r="E151" t="s">
        <v>7457</v>
      </c>
      <c r="F151" t="s">
        <v>7461</v>
      </c>
      <c r="G151" t="s">
        <v>7462</v>
      </c>
      <c r="H151" s="121" t="s">
        <v>7463</v>
      </c>
    </row>
    <row r="152" spans="1:8" x14ac:dyDescent="0.25">
      <c r="A152">
        <v>1522082</v>
      </c>
      <c r="B152" s="121" t="s">
        <v>7443</v>
      </c>
      <c r="C152" t="s">
        <v>32</v>
      </c>
      <c r="D152" t="s">
        <v>35</v>
      </c>
      <c r="E152" t="s">
        <v>234</v>
      </c>
      <c r="F152" t="s">
        <v>315</v>
      </c>
      <c r="G152" t="s">
        <v>7464</v>
      </c>
      <c r="H152" s="121" t="s">
        <v>7465</v>
      </c>
    </row>
    <row r="153" spans="1:8" x14ac:dyDescent="0.25">
      <c r="A153">
        <v>1527036</v>
      </c>
      <c r="B153" s="121" t="s">
        <v>7443</v>
      </c>
      <c r="C153" t="s">
        <v>32</v>
      </c>
      <c r="D153" t="s">
        <v>35</v>
      </c>
      <c r="E153" t="s">
        <v>2701</v>
      </c>
      <c r="F153" t="s">
        <v>2703</v>
      </c>
      <c r="G153" t="s">
        <v>7466</v>
      </c>
      <c r="H153" s="121" t="s">
        <v>7467</v>
      </c>
    </row>
    <row r="154" spans="1:8" x14ac:dyDescent="0.25">
      <c r="A154">
        <v>1539730</v>
      </c>
      <c r="B154" s="121" t="s">
        <v>7443</v>
      </c>
      <c r="C154" t="s">
        <v>32</v>
      </c>
      <c r="D154" t="s">
        <v>21</v>
      </c>
      <c r="E154" t="s">
        <v>7468</v>
      </c>
      <c r="F154" t="s">
        <v>7469</v>
      </c>
      <c r="G154" t="s">
        <v>7470</v>
      </c>
      <c r="H154" s="121" t="s">
        <v>7471</v>
      </c>
    </row>
    <row r="155" spans="1:8" x14ac:dyDescent="0.25">
      <c r="A155">
        <v>1400588</v>
      </c>
      <c r="B155" s="121" t="s">
        <v>7472</v>
      </c>
      <c r="C155" t="s">
        <v>32</v>
      </c>
      <c r="D155" t="s">
        <v>319</v>
      </c>
      <c r="E155" t="s">
        <v>2929</v>
      </c>
      <c r="F155" t="s">
        <v>2930</v>
      </c>
      <c r="G155" t="s">
        <v>7473</v>
      </c>
      <c r="H155" s="121" t="s">
        <v>7474</v>
      </c>
    </row>
    <row r="156" spans="1:8" x14ac:dyDescent="0.25">
      <c r="A156">
        <v>1404607</v>
      </c>
      <c r="B156" s="121" t="s">
        <v>7472</v>
      </c>
      <c r="C156" t="s">
        <v>32</v>
      </c>
      <c r="D156" t="s">
        <v>41</v>
      </c>
      <c r="E156" t="s">
        <v>262</v>
      </c>
      <c r="F156" t="s">
        <v>2451</v>
      </c>
      <c r="G156" t="s">
        <v>3035</v>
      </c>
      <c r="H156" s="121" t="s">
        <v>7475</v>
      </c>
    </row>
    <row r="157" spans="1:8" x14ac:dyDescent="0.25">
      <c r="A157">
        <v>1404609</v>
      </c>
      <c r="B157" s="121" t="s">
        <v>7472</v>
      </c>
      <c r="C157" t="s">
        <v>32</v>
      </c>
      <c r="D157" t="s">
        <v>41</v>
      </c>
      <c r="E157" t="s">
        <v>262</v>
      </c>
      <c r="F157" t="s">
        <v>2480</v>
      </c>
      <c r="G157" t="s">
        <v>1230</v>
      </c>
      <c r="H157" s="121" t="s">
        <v>7476</v>
      </c>
    </row>
    <row r="158" spans="1:8" x14ac:dyDescent="0.25">
      <c r="A158">
        <v>1414700</v>
      </c>
      <c r="B158" s="121" t="s">
        <v>7472</v>
      </c>
      <c r="C158" t="s">
        <v>32</v>
      </c>
      <c r="D158" t="s">
        <v>390</v>
      </c>
      <c r="E158" t="s">
        <v>923</v>
      </c>
      <c r="F158" t="s">
        <v>926</v>
      </c>
      <c r="G158" t="s">
        <v>1411</v>
      </c>
      <c r="H158" s="121" t="s">
        <v>7477</v>
      </c>
    </row>
    <row r="159" spans="1:8" x14ac:dyDescent="0.25">
      <c r="A159">
        <v>1414702</v>
      </c>
      <c r="B159" s="121" t="s">
        <v>7472</v>
      </c>
      <c r="C159" t="s">
        <v>32</v>
      </c>
      <c r="D159" t="s">
        <v>390</v>
      </c>
      <c r="E159" t="s">
        <v>923</v>
      </c>
      <c r="F159" t="s">
        <v>1412</v>
      </c>
      <c r="G159" t="s">
        <v>925</v>
      </c>
      <c r="H159" s="121" t="s">
        <v>7478</v>
      </c>
    </row>
    <row r="160" spans="1:8" x14ac:dyDescent="0.25">
      <c r="A160">
        <v>1414704</v>
      </c>
      <c r="B160" s="121" t="s">
        <v>7472</v>
      </c>
      <c r="C160" t="s">
        <v>32</v>
      </c>
      <c r="D160" t="s">
        <v>390</v>
      </c>
      <c r="E160" t="s">
        <v>923</v>
      </c>
      <c r="F160" t="s">
        <v>1417</v>
      </c>
      <c r="G160" t="s">
        <v>1240</v>
      </c>
      <c r="H160" s="121" t="s">
        <v>7479</v>
      </c>
    </row>
    <row r="161" spans="1:8" x14ac:dyDescent="0.25">
      <c r="A161">
        <v>1414921</v>
      </c>
      <c r="B161" s="121" t="s">
        <v>7472</v>
      </c>
      <c r="C161" t="s">
        <v>32</v>
      </c>
      <c r="D161" t="s">
        <v>390</v>
      </c>
      <c r="E161" t="s">
        <v>928</v>
      </c>
      <c r="F161" t="s">
        <v>2081</v>
      </c>
      <c r="G161" t="s">
        <v>1421</v>
      </c>
      <c r="H161" s="121" t="s">
        <v>7480</v>
      </c>
    </row>
    <row r="162" spans="1:8" x14ac:dyDescent="0.25">
      <c r="A162">
        <v>1415187</v>
      </c>
      <c r="B162" s="121" t="s">
        <v>7472</v>
      </c>
      <c r="C162" t="s">
        <v>32</v>
      </c>
      <c r="D162" t="s">
        <v>390</v>
      </c>
      <c r="E162" t="s">
        <v>1243</v>
      </c>
      <c r="F162" t="s">
        <v>1425</v>
      </c>
      <c r="G162" t="s">
        <v>1436</v>
      </c>
      <c r="H162" s="121" t="s">
        <v>7481</v>
      </c>
    </row>
    <row r="163" spans="1:8" x14ac:dyDescent="0.25">
      <c r="A163">
        <v>1421717</v>
      </c>
      <c r="B163" s="121" t="s">
        <v>7472</v>
      </c>
      <c r="C163" t="s">
        <v>32</v>
      </c>
      <c r="D163" t="s">
        <v>319</v>
      </c>
      <c r="E163" t="s">
        <v>320</v>
      </c>
      <c r="F163" t="s">
        <v>2933</v>
      </c>
      <c r="G163" t="s">
        <v>7482</v>
      </c>
      <c r="H163" s="121" t="s">
        <v>7483</v>
      </c>
    </row>
    <row r="164" spans="1:8" x14ac:dyDescent="0.25">
      <c r="A164">
        <v>1433386</v>
      </c>
      <c r="B164" s="121" t="s">
        <v>7472</v>
      </c>
      <c r="C164" t="s">
        <v>32</v>
      </c>
      <c r="D164" t="s">
        <v>40</v>
      </c>
      <c r="E164" t="s">
        <v>661</v>
      </c>
      <c r="F164" t="s">
        <v>1061</v>
      </c>
      <c r="G164" t="s">
        <v>1063</v>
      </c>
      <c r="H164" s="121" t="s">
        <v>7484</v>
      </c>
    </row>
    <row r="165" spans="1:8" x14ac:dyDescent="0.25">
      <c r="A165">
        <v>1468019</v>
      </c>
      <c r="B165" s="121" t="s">
        <v>7472</v>
      </c>
      <c r="C165" t="s">
        <v>32</v>
      </c>
      <c r="D165" t="s">
        <v>41</v>
      </c>
      <c r="E165" t="s">
        <v>382</v>
      </c>
      <c r="F165" t="s">
        <v>4357</v>
      </c>
      <c r="G165" t="s">
        <v>3091</v>
      </c>
      <c r="H165" s="121" t="s">
        <v>7485</v>
      </c>
    </row>
    <row r="166" spans="1:8" x14ac:dyDescent="0.25">
      <c r="A166">
        <v>1489529</v>
      </c>
      <c r="B166" s="121" t="s">
        <v>7472</v>
      </c>
      <c r="C166" t="s">
        <v>32</v>
      </c>
      <c r="D166" t="s">
        <v>381</v>
      </c>
      <c r="E166" t="s">
        <v>573</v>
      </c>
      <c r="F166" t="s">
        <v>868</v>
      </c>
      <c r="G166" t="s">
        <v>1586</v>
      </c>
      <c r="H166" s="121" t="s">
        <v>7486</v>
      </c>
    </row>
    <row r="167" spans="1:8" x14ac:dyDescent="0.25">
      <c r="A167">
        <v>1490655</v>
      </c>
      <c r="B167" s="121" t="s">
        <v>7472</v>
      </c>
      <c r="C167" t="s">
        <v>32</v>
      </c>
      <c r="D167" t="s">
        <v>381</v>
      </c>
      <c r="E167" t="s">
        <v>7450</v>
      </c>
      <c r="F167" t="s">
        <v>7487</v>
      </c>
      <c r="G167" t="s">
        <v>7488</v>
      </c>
      <c r="H167" s="121" t="s">
        <v>7489</v>
      </c>
    </row>
    <row r="168" spans="1:8" x14ac:dyDescent="0.25">
      <c r="A168">
        <v>1490656</v>
      </c>
      <c r="B168" s="121" t="s">
        <v>7472</v>
      </c>
      <c r="C168" t="s">
        <v>32</v>
      </c>
      <c r="D168" t="s">
        <v>381</v>
      </c>
      <c r="E168" t="s">
        <v>7450</v>
      </c>
      <c r="F168" t="s">
        <v>7490</v>
      </c>
      <c r="G168" t="s">
        <v>7491</v>
      </c>
      <c r="H168" s="121" t="s">
        <v>7492</v>
      </c>
    </row>
    <row r="169" spans="1:8" x14ac:dyDescent="0.25">
      <c r="A169">
        <v>1490662</v>
      </c>
      <c r="B169" s="121" t="s">
        <v>7472</v>
      </c>
      <c r="C169" t="s">
        <v>32</v>
      </c>
      <c r="D169" t="s">
        <v>381</v>
      </c>
      <c r="E169" t="s">
        <v>7450</v>
      </c>
      <c r="F169" t="s">
        <v>7493</v>
      </c>
      <c r="G169" t="s">
        <v>7494</v>
      </c>
      <c r="H169" s="121" t="s">
        <v>7495</v>
      </c>
    </row>
    <row r="170" spans="1:8" x14ac:dyDescent="0.25">
      <c r="A170">
        <v>1517501</v>
      </c>
      <c r="B170" s="121" t="s">
        <v>7472</v>
      </c>
      <c r="C170" t="s">
        <v>32</v>
      </c>
      <c r="D170" t="s">
        <v>35</v>
      </c>
      <c r="E170" t="s">
        <v>313</v>
      </c>
      <c r="F170" t="s">
        <v>2860</v>
      </c>
      <c r="G170" t="s">
        <v>2777</v>
      </c>
      <c r="H170" s="121" t="s">
        <v>7496</v>
      </c>
    </row>
    <row r="171" spans="1:8" x14ac:dyDescent="0.25">
      <c r="A171">
        <v>1517734</v>
      </c>
      <c r="B171" s="121" t="s">
        <v>7472</v>
      </c>
      <c r="C171" t="s">
        <v>32</v>
      </c>
      <c r="D171" t="s">
        <v>35</v>
      </c>
      <c r="E171" t="s">
        <v>316</v>
      </c>
      <c r="F171" t="s">
        <v>2884</v>
      </c>
      <c r="G171" t="s">
        <v>2890</v>
      </c>
      <c r="H171" s="121" t="s">
        <v>7497</v>
      </c>
    </row>
    <row r="172" spans="1:8" x14ac:dyDescent="0.25">
      <c r="A172">
        <v>1517735</v>
      </c>
      <c r="B172" s="121" t="s">
        <v>7472</v>
      </c>
      <c r="C172" t="s">
        <v>32</v>
      </c>
      <c r="D172" t="s">
        <v>35</v>
      </c>
      <c r="E172" t="s">
        <v>316</v>
      </c>
      <c r="F172" t="s">
        <v>2885</v>
      </c>
      <c r="G172" t="s">
        <v>790</v>
      </c>
      <c r="H172" s="121" t="s">
        <v>7498</v>
      </c>
    </row>
    <row r="173" spans="1:8" x14ac:dyDescent="0.25">
      <c r="A173">
        <v>1518124</v>
      </c>
      <c r="B173" s="121" t="s">
        <v>7472</v>
      </c>
      <c r="C173" t="s">
        <v>32</v>
      </c>
      <c r="D173" t="s">
        <v>379</v>
      </c>
      <c r="E173" t="s">
        <v>380</v>
      </c>
      <c r="F173" t="s">
        <v>7499</v>
      </c>
      <c r="G173" t="s">
        <v>7500</v>
      </c>
      <c r="H173" s="121" t="s">
        <v>7501</v>
      </c>
    </row>
    <row r="174" spans="1:8" x14ac:dyDescent="0.25">
      <c r="A174">
        <v>1518372</v>
      </c>
      <c r="B174" s="121" t="s">
        <v>7472</v>
      </c>
      <c r="C174" t="s">
        <v>32</v>
      </c>
      <c r="D174" t="s">
        <v>43</v>
      </c>
      <c r="E174" t="s">
        <v>576</v>
      </c>
      <c r="F174" t="s">
        <v>7502</v>
      </c>
      <c r="G174" t="s">
        <v>1272</v>
      </c>
      <c r="H174" s="121" t="s">
        <v>7503</v>
      </c>
    </row>
    <row r="175" spans="1:8" x14ac:dyDescent="0.25">
      <c r="A175">
        <v>1518374</v>
      </c>
      <c r="B175" s="121" t="s">
        <v>7472</v>
      </c>
      <c r="C175" t="s">
        <v>32</v>
      </c>
      <c r="D175" t="s">
        <v>43</v>
      </c>
      <c r="E175" t="s">
        <v>576</v>
      </c>
      <c r="F175" t="s">
        <v>3058</v>
      </c>
      <c r="G175" t="s">
        <v>7504</v>
      </c>
      <c r="H175" s="121" t="s">
        <v>7505</v>
      </c>
    </row>
    <row r="176" spans="1:8" x14ac:dyDescent="0.25">
      <c r="A176">
        <v>1518381</v>
      </c>
      <c r="B176" s="121" t="s">
        <v>7472</v>
      </c>
      <c r="C176" t="s">
        <v>32</v>
      </c>
      <c r="D176" t="s">
        <v>43</v>
      </c>
      <c r="E176" t="s">
        <v>576</v>
      </c>
      <c r="F176" t="s">
        <v>950</v>
      </c>
      <c r="G176" t="s">
        <v>7506</v>
      </c>
      <c r="H176" s="121" t="s">
        <v>7507</v>
      </c>
    </row>
    <row r="177" spans="1:8" x14ac:dyDescent="0.25">
      <c r="A177">
        <v>1518382</v>
      </c>
      <c r="B177" s="121" t="s">
        <v>7472</v>
      </c>
      <c r="C177" t="s">
        <v>32</v>
      </c>
      <c r="D177" t="s">
        <v>43</v>
      </c>
      <c r="E177" t="s">
        <v>576</v>
      </c>
      <c r="F177" t="s">
        <v>3056</v>
      </c>
      <c r="G177" t="s">
        <v>953</v>
      </c>
      <c r="H177" s="121" t="s">
        <v>7508</v>
      </c>
    </row>
    <row r="178" spans="1:8" x14ac:dyDescent="0.25">
      <c r="A178">
        <v>1518383</v>
      </c>
      <c r="B178" s="121" t="s">
        <v>7472</v>
      </c>
      <c r="C178" t="s">
        <v>32</v>
      </c>
      <c r="D178" t="s">
        <v>43</v>
      </c>
      <c r="E178" t="s">
        <v>576</v>
      </c>
      <c r="F178" t="s">
        <v>7509</v>
      </c>
      <c r="G178" t="s">
        <v>1220</v>
      </c>
      <c r="H178" s="121" t="s">
        <v>7510</v>
      </c>
    </row>
    <row r="179" spans="1:8" x14ac:dyDescent="0.25">
      <c r="A179">
        <v>1518390</v>
      </c>
      <c r="B179" s="121" t="s">
        <v>7472</v>
      </c>
      <c r="C179" t="s">
        <v>32</v>
      </c>
      <c r="D179" t="s">
        <v>43</v>
      </c>
      <c r="E179" t="s">
        <v>576</v>
      </c>
      <c r="F179" t="s">
        <v>7511</v>
      </c>
      <c r="G179" t="s">
        <v>962</v>
      </c>
      <c r="H179" s="121" t="s">
        <v>7512</v>
      </c>
    </row>
    <row r="180" spans="1:8" x14ac:dyDescent="0.25">
      <c r="A180">
        <v>1518396</v>
      </c>
      <c r="B180" s="121" t="s">
        <v>7472</v>
      </c>
      <c r="C180" t="s">
        <v>32</v>
      </c>
      <c r="D180" t="s">
        <v>43</v>
      </c>
      <c r="E180" t="s">
        <v>576</v>
      </c>
      <c r="F180" t="s">
        <v>958</v>
      </c>
      <c r="G180" t="s">
        <v>1501</v>
      </c>
      <c r="H180" s="121" t="s">
        <v>7513</v>
      </c>
    </row>
    <row r="181" spans="1:8" x14ac:dyDescent="0.25">
      <c r="A181">
        <v>1518581</v>
      </c>
      <c r="B181" s="121" t="s">
        <v>7472</v>
      </c>
      <c r="C181" t="s">
        <v>32</v>
      </c>
      <c r="D181" t="s">
        <v>43</v>
      </c>
      <c r="E181" t="s">
        <v>576</v>
      </c>
      <c r="F181" t="s">
        <v>4853</v>
      </c>
      <c r="G181" t="s">
        <v>7514</v>
      </c>
      <c r="H181" s="121" t="s">
        <v>7515</v>
      </c>
    </row>
    <row r="182" spans="1:8" x14ac:dyDescent="0.25">
      <c r="A182">
        <v>1521907</v>
      </c>
      <c r="B182" s="121" t="s">
        <v>7472</v>
      </c>
      <c r="C182" t="s">
        <v>32</v>
      </c>
      <c r="D182" t="s">
        <v>35</v>
      </c>
      <c r="E182" t="s">
        <v>314</v>
      </c>
      <c r="F182" t="s">
        <v>2895</v>
      </c>
      <c r="G182" t="s">
        <v>7516</v>
      </c>
      <c r="H182" s="121" t="s">
        <v>7517</v>
      </c>
    </row>
    <row r="183" spans="1:8" x14ac:dyDescent="0.25">
      <c r="A183">
        <v>1524008</v>
      </c>
      <c r="B183" s="121" t="s">
        <v>7472</v>
      </c>
      <c r="C183" t="s">
        <v>32</v>
      </c>
      <c r="D183" t="s">
        <v>35</v>
      </c>
      <c r="E183" t="s">
        <v>318</v>
      </c>
      <c r="F183" t="s">
        <v>2943</v>
      </c>
      <c r="G183" t="s">
        <v>797</v>
      </c>
      <c r="H183" s="121" t="s">
        <v>7518</v>
      </c>
    </row>
    <row r="184" spans="1:8" x14ac:dyDescent="0.25">
      <c r="A184">
        <v>1524128</v>
      </c>
      <c r="B184" s="121" t="s">
        <v>7472</v>
      </c>
      <c r="C184" t="s">
        <v>32</v>
      </c>
      <c r="D184" t="s">
        <v>35</v>
      </c>
      <c r="E184" t="s">
        <v>2789</v>
      </c>
      <c r="F184" t="s">
        <v>2946</v>
      </c>
      <c r="G184" t="s">
        <v>7519</v>
      </c>
      <c r="H184" s="121" t="s">
        <v>7520</v>
      </c>
    </row>
    <row r="185" spans="1:8" x14ac:dyDescent="0.25">
      <c r="A185">
        <v>1526292</v>
      </c>
      <c r="B185" s="121" t="s">
        <v>7472</v>
      </c>
      <c r="C185" t="s">
        <v>32</v>
      </c>
      <c r="D185" t="s">
        <v>587</v>
      </c>
      <c r="E185" t="s">
        <v>588</v>
      </c>
      <c r="F185" t="s">
        <v>3267</v>
      </c>
      <c r="G185" t="s">
        <v>2925</v>
      </c>
      <c r="H185" s="121" t="s">
        <v>7521</v>
      </c>
    </row>
    <row r="186" spans="1:8" x14ac:dyDescent="0.25">
      <c r="A186">
        <v>1531666</v>
      </c>
      <c r="B186" s="121" t="s">
        <v>7472</v>
      </c>
      <c r="C186" t="s">
        <v>32</v>
      </c>
      <c r="D186" t="s">
        <v>566</v>
      </c>
      <c r="E186" t="s">
        <v>567</v>
      </c>
      <c r="F186" t="s">
        <v>7522</v>
      </c>
      <c r="G186" t="s">
        <v>3029</v>
      </c>
      <c r="H186" s="121" t="s">
        <v>7523</v>
      </c>
    </row>
    <row r="187" spans="1:8" x14ac:dyDescent="0.25">
      <c r="A187">
        <v>1533083</v>
      </c>
      <c r="B187" s="121" t="s">
        <v>7472</v>
      </c>
      <c r="C187" t="s">
        <v>32</v>
      </c>
      <c r="D187" t="s">
        <v>35</v>
      </c>
      <c r="E187" t="s">
        <v>2684</v>
      </c>
      <c r="F187" t="s">
        <v>2689</v>
      </c>
      <c r="G187" t="s">
        <v>7524</v>
      </c>
      <c r="H187" s="121" t="s">
        <v>7525</v>
      </c>
    </row>
    <row r="188" spans="1:8" x14ac:dyDescent="0.25">
      <c r="A188">
        <v>1534010</v>
      </c>
      <c r="B188" s="121" t="s">
        <v>7472</v>
      </c>
      <c r="C188" t="s">
        <v>32</v>
      </c>
      <c r="D188" t="s">
        <v>268</v>
      </c>
      <c r="E188" t="s">
        <v>6031</v>
      </c>
      <c r="F188" t="s">
        <v>7526</v>
      </c>
      <c r="G188" t="s">
        <v>7527</v>
      </c>
      <c r="H188" s="121" t="s">
        <v>7528</v>
      </c>
    </row>
    <row r="189" spans="1:8" x14ac:dyDescent="0.25">
      <c r="A189">
        <v>1540064</v>
      </c>
      <c r="B189" s="121" t="s">
        <v>7472</v>
      </c>
      <c r="C189" t="s">
        <v>32</v>
      </c>
      <c r="D189" t="s">
        <v>21</v>
      </c>
      <c r="E189" t="s">
        <v>7529</v>
      </c>
      <c r="F189" t="s">
        <v>7530</v>
      </c>
      <c r="G189" t="s">
        <v>7531</v>
      </c>
      <c r="H189" s="121" t="s">
        <v>7532</v>
      </c>
    </row>
    <row r="190" spans="1:8" x14ac:dyDescent="0.25">
      <c r="A190">
        <v>1539771</v>
      </c>
      <c r="B190" s="121" t="s">
        <v>7533</v>
      </c>
      <c r="C190" t="s">
        <v>32</v>
      </c>
      <c r="D190" t="s">
        <v>5924</v>
      </c>
      <c r="E190" t="s">
        <v>7410</v>
      </c>
      <c r="F190" t="s">
        <v>7534</v>
      </c>
      <c r="G190" t="s">
        <v>7535</v>
      </c>
      <c r="H190" s="121" t="s">
        <v>7536</v>
      </c>
    </row>
    <row r="191" spans="1:8" x14ac:dyDescent="0.25">
      <c r="A191">
        <v>1404234</v>
      </c>
      <c r="B191" s="121" t="s">
        <v>7537</v>
      </c>
      <c r="C191" t="s">
        <v>32</v>
      </c>
      <c r="D191" t="s">
        <v>56</v>
      </c>
      <c r="E191" t="s">
        <v>81</v>
      </c>
      <c r="F191" t="s">
        <v>7538</v>
      </c>
      <c r="G191" t="s">
        <v>7539</v>
      </c>
      <c r="H191" s="121" t="s">
        <v>7540</v>
      </c>
    </row>
    <row r="192" spans="1:8" x14ac:dyDescent="0.25">
      <c r="A192">
        <v>1468016</v>
      </c>
      <c r="B192" s="121" t="s">
        <v>7537</v>
      </c>
      <c r="C192" t="s">
        <v>32</v>
      </c>
      <c r="D192" t="s">
        <v>41</v>
      </c>
      <c r="E192" t="s">
        <v>382</v>
      </c>
      <c r="F192" t="s">
        <v>3046</v>
      </c>
      <c r="G192" t="s">
        <v>3452</v>
      </c>
      <c r="H192" s="121" t="s">
        <v>7541</v>
      </c>
    </row>
    <row r="193" spans="1:8" x14ac:dyDescent="0.25">
      <c r="A193">
        <v>1468020</v>
      </c>
      <c r="B193" s="121" t="s">
        <v>7537</v>
      </c>
      <c r="C193" t="s">
        <v>32</v>
      </c>
      <c r="D193" t="s">
        <v>41</v>
      </c>
      <c r="E193" t="s">
        <v>382</v>
      </c>
      <c r="F193" t="s">
        <v>3094</v>
      </c>
      <c r="G193" t="s">
        <v>4362</v>
      </c>
      <c r="H193" s="121" t="s">
        <v>7542</v>
      </c>
    </row>
    <row r="194" spans="1:8" x14ac:dyDescent="0.25">
      <c r="A194">
        <v>1518371</v>
      </c>
      <c r="B194" s="121" t="s">
        <v>7537</v>
      </c>
      <c r="C194" t="s">
        <v>32</v>
      </c>
      <c r="D194" t="s">
        <v>43</v>
      </c>
      <c r="E194" t="s">
        <v>576</v>
      </c>
      <c r="F194" t="s">
        <v>1273</v>
      </c>
      <c r="G194" t="s">
        <v>3053</v>
      </c>
      <c r="H194" s="121" t="s">
        <v>7543</v>
      </c>
    </row>
    <row r="195" spans="1:8" x14ac:dyDescent="0.25">
      <c r="A195">
        <v>1519524</v>
      </c>
      <c r="B195" s="121" t="s">
        <v>7537</v>
      </c>
      <c r="C195" t="s">
        <v>32</v>
      </c>
      <c r="D195" t="s">
        <v>546</v>
      </c>
      <c r="E195" t="s">
        <v>547</v>
      </c>
      <c r="F195" t="s">
        <v>2023</v>
      </c>
      <c r="G195" t="s">
        <v>3110</v>
      </c>
      <c r="H195" s="121" t="s">
        <v>7544</v>
      </c>
    </row>
    <row r="196" spans="1:8" x14ac:dyDescent="0.25">
      <c r="A196">
        <v>1519525</v>
      </c>
      <c r="B196" s="121" t="s">
        <v>7537</v>
      </c>
      <c r="C196" t="s">
        <v>32</v>
      </c>
      <c r="D196" t="s">
        <v>546</v>
      </c>
      <c r="E196" t="s">
        <v>547</v>
      </c>
      <c r="F196" t="s">
        <v>7545</v>
      </c>
      <c r="G196" t="s">
        <v>5883</v>
      </c>
      <c r="H196" s="121" t="s">
        <v>7546</v>
      </c>
    </row>
    <row r="197" spans="1:8" x14ac:dyDescent="0.25">
      <c r="A197">
        <v>1521569</v>
      </c>
      <c r="B197" s="121" t="s">
        <v>7537</v>
      </c>
      <c r="C197" t="s">
        <v>32</v>
      </c>
      <c r="D197" t="s">
        <v>546</v>
      </c>
      <c r="E197" t="s">
        <v>638</v>
      </c>
      <c r="F197" t="s">
        <v>5888</v>
      </c>
      <c r="G197" t="s">
        <v>2024</v>
      </c>
      <c r="H197" s="121" t="s">
        <v>7547</v>
      </c>
    </row>
    <row r="198" spans="1:8" x14ac:dyDescent="0.25">
      <c r="A198">
        <v>1528405</v>
      </c>
      <c r="B198" s="121" t="s">
        <v>7537</v>
      </c>
      <c r="C198" t="s">
        <v>32</v>
      </c>
      <c r="D198" t="s">
        <v>7548</v>
      </c>
      <c r="E198" t="s">
        <v>49</v>
      </c>
      <c r="F198" t="s">
        <v>7549</v>
      </c>
      <c r="G198" t="s">
        <v>7550</v>
      </c>
      <c r="H198" s="121" t="s">
        <v>7551</v>
      </c>
    </row>
    <row r="199" spans="1:8" x14ac:dyDescent="0.25">
      <c r="A199">
        <v>1532545</v>
      </c>
      <c r="B199" s="121" t="s">
        <v>7537</v>
      </c>
      <c r="C199" t="s">
        <v>32</v>
      </c>
      <c r="D199" t="s">
        <v>35</v>
      </c>
      <c r="E199" t="s">
        <v>2705</v>
      </c>
      <c r="F199" t="s">
        <v>2801</v>
      </c>
      <c r="G199" t="s">
        <v>7552</v>
      </c>
      <c r="H199" s="121" t="s">
        <v>7553</v>
      </c>
    </row>
    <row r="200" spans="1:8" x14ac:dyDescent="0.25">
      <c r="A200">
        <v>1533983</v>
      </c>
      <c r="B200" s="121" t="s">
        <v>7537</v>
      </c>
      <c r="C200" t="s">
        <v>32</v>
      </c>
      <c r="D200" t="s">
        <v>95</v>
      </c>
      <c r="E200" t="s">
        <v>378</v>
      </c>
      <c r="F200" t="s">
        <v>7554</v>
      </c>
      <c r="G200" t="s">
        <v>3112</v>
      </c>
      <c r="H200" s="121" t="s">
        <v>7555</v>
      </c>
    </row>
    <row r="201" spans="1:8" x14ac:dyDescent="0.25">
      <c r="A201">
        <v>1469697</v>
      </c>
      <c r="B201" s="121" t="s">
        <v>7556</v>
      </c>
      <c r="C201" t="s">
        <v>32</v>
      </c>
      <c r="D201" t="s">
        <v>35</v>
      </c>
      <c r="E201" t="s">
        <v>36</v>
      </c>
      <c r="F201" t="s">
        <v>7557</v>
      </c>
      <c r="G201" t="s">
        <v>7558</v>
      </c>
      <c r="H201" s="121" t="s">
        <v>7559</v>
      </c>
    </row>
    <row r="202" spans="1:8" x14ac:dyDescent="0.25">
      <c r="A202">
        <v>1459756</v>
      </c>
      <c r="B202" s="121" t="s">
        <v>7560</v>
      </c>
      <c r="C202" t="s">
        <v>32</v>
      </c>
      <c r="D202" t="s">
        <v>40</v>
      </c>
      <c r="E202" t="s">
        <v>646</v>
      </c>
      <c r="F202" t="s">
        <v>2288</v>
      </c>
      <c r="G202" t="s">
        <v>1000</v>
      </c>
      <c r="H202" s="121" t="s">
        <v>7561</v>
      </c>
    </row>
    <row r="203" spans="1:8" x14ac:dyDescent="0.25">
      <c r="A203">
        <v>1391592</v>
      </c>
      <c r="B203" s="121" t="s">
        <v>7562</v>
      </c>
      <c r="C203" t="s">
        <v>32</v>
      </c>
      <c r="D203" t="s">
        <v>319</v>
      </c>
      <c r="E203" t="s">
        <v>49</v>
      </c>
      <c r="F203" t="s">
        <v>1528</v>
      </c>
      <c r="G203" t="s">
        <v>7563</v>
      </c>
      <c r="H203" s="121" t="s">
        <v>7564</v>
      </c>
    </row>
    <row r="204" spans="1:8" x14ac:dyDescent="0.25">
      <c r="A204">
        <v>1398228</v>
      </c>
      <c r="B204" s="121" t="s">
        <v>7562</v>
      </c>
      <c r="C204" t="s">
        <v>32</v>
      </c>
      <c r="D204" t="s">
        <v>53</v>
      </c>
      <c r="E204" t="s">
        <v>264</v>
      </c>
      <c r="F204" t="s">
        <v>4493</v>
      </c>
      <c r="G204" t="s">
        <v>3141</v>
      </c>
      <c r="H204" s="121" t="s">
        <v>7565</v>
      </c>
    </row>
    <row r="205" spans="1:8" x14ac:dyDescent="0.25">
      <c r="A205">
        <v>1410989</v>
      </c>
      <c r="B205" s="121" t="s">
        <v>7562</v>
      </c>
      <c r="C205" t="s">
        <v>32</v>
      </c>
      <c r="D205" t="s">
        <v>51</v>
      </c>
      <c r="E205" t="s">
        <v>539</v>
      </c>
      <c r="F205" t="s">
        <v>6252</v>
      </c>
      <c r="G205" t="s">
        <v>3404</v>
      </c>
      <c r="H205" s="121" t="s">
        <v>7566</v>
      </c>
    </row>
    <row r="206" spans="1:8" x14ac:dyDescent="0.25">
      <c r="A206">
        <v>1437630</v>
      </c>
      <c r="B206" s="121" t="s">
        <v>7562</v>
      </c>
      <c r="C206" t="s">
        <v>32</v>
      </c>
      <c r="D206" t="s">
        <v>65</v>
      </c>
      <c r="E206" t="s">
        <v>3178</v>
      </c>
      <c r="F206" t="s">
        <v>4635</v>
      </c>
      <c r="G206" t="s">
        <v>7567</v>
      </c>
      <c r="H206" s="121" t="s">
        <v>7568</v>
      </c>
    </row>
    <row r="207" spans="1:8" x14ac:dyDescent="0.25">
      <c r="A207">
        <v>1437635</v>
      </c>
      <c r="B207" s="121" t="s">
        <v>7562</v>
      </c>
      <c r="C207" t="s">
        <v>32</v>
      </c>
      <c r="D207" t="s">
        <v>65</v>
      </c>
      <c r="E207" t="s">
        <v>3178</v>
      </c>
      <c r="F207" t="s">
        <v>7569</v>
      </c>
      <c r="G207" t="s">
        <v>3185</v>
      </c>
      <c r="H207" s="121" t="s">
        <v>7570</v>
      </c>
    </row>
    <row r="208" spans="1:8" x14ac:dyDescent="0.25">
      <c r="A208">
        <v>1437828</v>
      </c>
      <c r="B208" s="121" t="s">
        <v>7562</v>
      </c>
      <c r="C208" t="s">
        <v>32</v>
      </c>
      <c r="D208" t="s">
        <v>65</v>
      </c>
      <c r="E208" t="s">
        <v>3191</v>
      </c>
      <c r="F208" t="s">
        <v>3196</v>
      </c>
      <c r="G208" t="s">
        <v>3865</v>
      </c>
      <c r="H208" s="121" t="s">
        <v>7571</v>
      </c>
    </row>
    <row r="209" spans="1:8" x14ac:dyDescent="0.25">
      <c r="A209">
        <v>1437829</v>
      </c>
      <c r="B209" s="121" t="s">
        <v>7562</v>
      </c>
      <c r="C209" t="s">
        <v>32</v>
      </c>
      <c r="D209" t="s">
        <v>65</v>
      </c>
      <c r="E209" t="s">
        <v>3191</v>
      </c>
      <c r="F209" t="s">
        <v>3201</v>
      </c>
      <c r="G209" t="s">
        <v>7572</v>
      </c>
      <c r="H209" s="121" t="s">
        <v>7573</v>
      </c>
    </row>
    <row r="210" spans="1:8" x14ac:dyDescent="0.25">
      <c r="A210">
        <v>1437832</v>
      </c>
      <c r="B210" s="121" t="s">
        <v>7562</v>
      </c>
      <c r="C210" t="s">
        <v>32</v>
      </c>
      <c r="D210" t="s">
        <v>65</v>
      </c>
      <c r="E210" t="s">
        <v>3191</v>
      </c>
      <c r="F210" t="s">
        <v>3198</v>
      </c>
      <c r="G210" t="s">
        <v>3202</v>
      </c>
      <c r="H210" s="121" t="s">
        <v>7574</v>
      </c>
    </row>
    <row r="211" spans="1:8" x14ac:dyDescent="0.25">
      <c r="A211">
        <v>1449271</v>
      </c>
      <c r="B211" s="121" t="s">
        <v>7562</v>
      </c>
      <c r="C211" t="s">
        <v>32</v>
      </c>
      <c r="D211" t="s">
        <v>564</v>
      </c>
      <c r="E211" t="s">
        <v>49</v>
      </c>
      <c r="F211" t="s">
        <v>2825</v>
      </c>
      <c r="G211" t="s">
        <v>1014</v>
      </c>
      <c r="H211" s="121" t="s">
        <v>7575</v>
      </c>
    </row>
    <row r="212" spans="1:8" x14ac:dyDescent="0.25">
      <c r="A212">
        <v>1453326</v>
      </c>
      <c r="B212" s="121" t="s">
        <v>7562</v>
      </c>
      <c r="C212" t="s">
        <v>32</v>
      </c>
      <c r="D212" t="s">
        <v>37</v>
      </c>
      <c r="E212" t="s">
        <v>565</v>
      </c>
      <c r="F212" t="s">
        <v>3043</v>
      </c>
      <c r="G212" t="s">
        <v>855</v>
      </c>
      <c r="H212" s="121" t="s">
        <v>7576</v>
      </c>
    </row>
    <row r="213" spans="1:8" x14ac:dyDescent="0.25">
      <c r="A213">
        <v>1462504</v>
      </c>
      <c r="B213" s="121" t="s">
        <v>7562</v>
      </c>
      <c r="C213" t="s">
        <v>32</v>
      </c>
      <c r="D213" t="s">
        <v>40</v>
      </c>
      <c r="E213" t="s">
        <v>650</v>
      </c>
      <c r="F213" t="s">
        <v>5697</v>
      </c>
      <c r="G213" t="s">
        <v>4968</v>
      </c>
      <c r="H213" s="121" t="s">
        <v>7577</v>
      </c>
    </row>
    <row r="214" spans="1:8" x14ac:dyDescent="0.25">
      <c r="A214">
        <v>1479126</v>
      </c>
      <c r="B214" s="121" t="s">
        <v>7562</v>
      </c>
      <c r="C214" t="s">
        <v>32</v>
      </c>
      <c r="D214" t="s">
        <v>98</v>
      </c>
      <c r="E214" t="s">
        <v>237</v>
      </c>
      <c r="F214" t="s">
        <v>1980</v>
      </c>
      <c r="G214" t="s">
        <v>1979</v>
      </c>
      <c r="H214" s="121" t="s">
        <v>7578</v>
      </c>
    </row>
    <row r="215" spans="1:8" x14ac:dyDescent="0.25">
      <c r="A215">
        <v>1479133</v>
      </c>
      <c r="B215" s="121" t="s">
        <v>7562</v>
      </c>
      <c r="C215" t="s">
        <v>32</v>
      </c>
      <c r="D215" t="s">
        <v>98</v>
      </c>
      <c r="E215" t="s">
        <v>237</v>
      </c>
      <c r="F215" t="s">
        <v>7579</v>
      </c>
      <c r="G215" t="s">
        <v>1975</v>
      </c>
      <c r="H215" s="121" t="s">
        <v>7580</v>
      </c>
    </row>
    <row r="216" spans="1:8" x14ac:dyDescent="0.25">
      <c r="A216">
        <v>1481940</v>
      </c>
      <c r="B216" s="121" t="s">
        <v>7562</v>
      </c>
      <c r="C216" t="s">
        <v>32</v>
      </c>
      <c r="D216" t="s">
        <v>51</v>
      </c>
      <c r="E216" t="s">
        <v>383</v>
      </c>
      <c r="F216" t="s">
        <v>3552</v>
      </c>
      <c r="G216" t="s">
        <v>1146</v>
      </c>
      <c r="H216" s="121" t="s">
        <v>7581</v>
      </c>
    </row>
    <row r="217" spans="1:8" x14ac:dyDescent="0.25">
      <c r="A217">
        <v>1481941</v>
      </c>
      <c r="B217" s="121" t="s">
        <v>7562</v>
      </c>
      <c r="C217" t="s">
        <v>32</v>
      </c>
      <c r="D217" t="s">
        <v>51</v>
      </c>
      <c r="E217" t="s">
        <v>383</v>
      </c>
      <c r="F217" t="s">
        <v>3221</v>
      </c>
      <c r="G217" t="s">
        <v>7582</v>
      </c>
      <c r="H217" s="121" t="s">
        <v>7583</v>
      </c>
    </row>
    <row r="218" spans="1:8" x14ac:dyDescent="0.25">
      <c r="A218">
        <v>1481943</v>
      </c>
      <c r="B218" s="121" t="s">
        <v>7562</v>
      </c>
      <c r="C218" t="s">
        <v>32</v>
      </c>
      <c r="D218" t="s">
        <v>51</v>
      </c>
      <c r="E218" t="s">
        <v>383</v>
      </c>
      <c r="F218" t="s">
        <v>1455</v>
      </c>
      <c r="G218" t="s">
        <v>3219</v>
      </c>
      <c r="H218" s="121" t="s">
        <v>7584</v>
      </c>
    </row>
    <row r="219" spans="1:8" x14ac:dyDescent="0.25">
      <c r="A219">
        <v>1490661</v>
      </c>
      <c r="B219" s="121" t="s">
        <v>7562</v>
      </c>
      <c r="C219" t="s">
        <v>32</v>
      </c>
      <c r="D219" t="s">
        <v>381</v>
      </c>
      <c r="E219" t="s">
        <v>7450</v>
      </c>
      <c r="F219" t="s">
        <v>7585</v>
      </c>
      <c r="G219" t="s">
        <v>7586</v>
      </c>
      <c r="H219" s="121" t="s">
        <v>7587</v>
      </c>
    </row>
    <row r="220" spans="1:8" x14ac:dyDescent="0.25">
      <c r="A220">
        <v>1510720</v>
      </c>
      <c r="B220" s="121" t="s">
        <v>7562</v>
      </c>
      <c r="C220" t="s">
        <v>32</v>
      </c>
      <c r="D220" t="s">
        <v>275</v>
      </c>
      <c r="E220" t="s">
        <v>7588</v>
      </c>
      <c r="F220" t="s">
        <v>7589</v>
      </c>
      <c r="G220" t="s">
        <v>7590</v>
      </c>
      <c r="H220" s="121" t="s">
        <v>7591</v>
      </c>
    </row>
    <row r="221" spans="1:8" x14ac:dyDescent="0.25">
      <c r="A221">
        <v>1511083</v>
      </c>
      <c r="B221" s="121" t="s">
        <v>7562</v>
      </c>
      <c r="C221" t="s">
        <v>32</v>
      </c>
      <c r="D221" t="s">
        <v>275</v>
      </c>
      <c r="E221" t="s">
        <v>7592</v>
      </c>
      <c r="F221" t="s">
        <v>7593</v>
      </c>
      <c r="G221" t="s">
        <v>7594</v>
      </c>
      <c r="H221" s="121" t="s">
        <v>7595</v>
      </c>
    </row>
    <row r="222" spans="1:8" x14ac:dyDescent="0.25">
      <c r="A222">
        <v>1514610</v>
      </c>
      <c r="B222" s="121" t="s">
        <v>7562</v>
      </c>
      <c r="C222" t="s">
        <v>32</v>
      </c>
      <c r="D222" t="s">
        <v>67</v>
      </c>
      <c r="E222" t="s">
        <v>81</v>
      </c>
      <c r="F222" t="s">
        <v>3499</v>
      </c>
      <c r="G222" t="s">
        <v>7596</v>
      </c>
      <c r="H222" s="121" t="s">
        <v>7597</v>
      </c>
    </row>
    <row r="223" spans="1:8" x14ac:dyDescent="0.25">
      <c r="A223">
        <v>1514613</v>
      </c>
      <c r="B223" s="121" t="s">
        <v>7562</v>
      </c>
      <c r="C223" t="s">
        <v>32</v>
      </c>
      <c r="D223" t="s">
        <v>67</v>
      </c>
      <c r="E223" t="s">
        <v>81</v>
      </c>
      <c r="F223" t="s">
        <v>945</v>
      </c>
      <c r="G223" t="s">
        <v>3503</v>
      </c>
      <c r="H223" s="121" t="s">
        <v>7598</v>
      </c>
    </row>
    <row r="224" spans="1:8" x14ac:dyDescent="0.25">
      <c r="A224">
        <v>1515040</v>
      </c>
      <c r="B224" s="121" t="s">
        <v>7562</v>
      </c>
      <c r="C224" t="s">
        <v>32</v>
      </c>
      <c r="D224" t="s">
        <v>53</v>
      </c>
      <c r="E224" t="s">
        <v>654</v>
      </c>
      <c r="F224" t="s">
        <v>6488</v>
      </c>
      <c r="G224" t="s">
        <v>1156</v>
      </c>
      <c r="H224" s="121" t="s">
        <v>7599</v>
      </c>
    </row>
    <row r="225" spans="1:8" x14ac:dyDescent="0.25">
      <c r="A225">
        <v>1516693</v>
      </c>
      <c r="B225" s="121" t="s">
        <v>7562</v>
      </c>
      <c r="C225" t="s">
        <v>32</v>
      </c>
      <c r="D225" t="s">
        <v>33</v>
      </c>
      <c r="E225" t="s">
        <v>2738</v>
      </c>
      <c r="F225" t="s">
        <v>818</v>
      </c>
      <c r="G225" t="s">
        <v>7600</v>
      </c>
      <c r="H225" s="121" t="s">
        <v>7601</v>
      </c>
    </row>
    <row r="226" spans="1:8" x14ac:dyDescent="0.25">
      <c r="A226">
        <v>1518377</v>
      </c>
      <c r="B226" s="121" t="s">
        <v>7562</v>
      </c>
      <c r="C226" t="s">
        <v>32</v>
      </c>
      <c r="D226" t="s">
        <v>43</v>
      </c>
      <c r="E226" t="s">
        <v>576</v>
      </c>
      <c r="F226" t="s">
        <v>7602</v>
      </c>
      <c r="G226" t="s">
        <v>7603</v>
      </c>
      <c r="H226" s="121" t="s">
        <v>7604</v>
      </c>
    </row>
    <row r="227" spans="1:8" x14ac:dyDescent="0.25">
      <c r="A227">
        <v>1518379</v>
      </c>
      <c r="B227" s="121" t="s">
        <v>7562</v>
      </c>
      <c r="C227" t="s">
        <v>32</v>
      </c>
      <c r="D227" t="s">
        <v>43</v>
      </c>
      <c r="E227" t="s">
        <v>576</v>
      </c>
      <c r="F227" t="s">
        <v>7605</v>
      </c>
      <c r="G227" t="s">
        <v>948</v>
      </c>
      <c r="H227" s="121" t="s">
        <v>7606</v>
      </c>
    </row>
    <row r="228" spans="1:8" x14ac:dyDescent="0.25">
      <c r="A228">
        <v>1518380</v>
      </c>
      <c r="B228" s="121" t="s">
        <v>7562</v>
      </c>
      <c r="C228" t="s">
        <v>32</v>
      </c>
      <c r="D228" t="s">
        <v>43</v>
      </c>
      <c r="E228" t="s">
        <v>576</v>
      </c>
      <c r="F228" t="s">
        <v>952</v>
      </c>
      <c r="G228" t="s">
        <v>951</v>
      </c>
      <c r="H228" s="121" t="s">
        <v>7607</v>
      </c>
    </row>
    <row r="229" spans="1:8" x14ac:dyDescent="0.25">
      <c r="A229">
        <v>1518385</v>
      </c>
      <c r="B229" s="121" t="s">
        <v>7562</v>
      </c>
      <c r="C229" t="s">
        <v>32</v>
      </c>
      <c r="D229" t="s">
        <v>43</v>
      </c>
      <c r="E229" t="s">
        <v>576</v>
      </c>
      <c r="F229" t="s">
        <v>7608</v>
      </c>
      <c r="G229" t="s">
        <v>954</v>
      </c>
      <c r="H229" s="121" t="s">
        <v>7609</v>
      </c>
    </row>
    <row r="230" spans="1:8" x14ac:dyDescent="0.25">
      <c r="A230">
        <v>1518388</v>
      </c>
      <c r="B230" s="121" t="s">
        <v>7562</v>
      </c>
      <c r="C230" t="s">
        <v>32</v>
      </c>
      <c r="D230" t="s">
        <v>43</v>
      </c>
      <c r="E230" t="s">
        <v>576</v>
      </c>
      <c r="F230" t="s">
        <v>7610</v>
      </c>
      <c r="G230" t="s">
        <v>961</v>
      </c>
      <c r="H230" s="121" t="s">
        <v>7611</v>
      </c>
    </row>
    <row r="231" spans="1:8" x14ac:dyDescent="0.25">
      <c r="A231">
        <v>1518575</v>
      </c>
      <c r="B231" s="121" t="s">
        <v>7562</v>
      </c>
      <c r="C231" t="s">
        <v>32</v>
      </c>
      <c r="D231" t="s">
        <v>43</v>
      </c>
      <c r="E231" t="s">
        <v>576</v>
      </c>
      <c r="F231" t="s">
        <v>1277</v>
      </c>
      <c r="G231" t="s">
        <v>7612</v>
      </c>
      <c r="H231" s="121" t="s">
        <v>7613</v>
      </c>
    </row>
    <row r="232" spans="1:8" x14ac:dyDescent="0.25">
      <c r="A232">
        <v>1518951</v>
      </c>
      <c r="B232" s="121" t="s">
        <v>7562</v>
      </c>
      <c r="C232" t="s">
        <v>32</v>
      </c>
      <c r="D232" t="s">
        <v>38</v>
      </c>
      <c r="E232" t="s">
        <v>7457</v>
      </c>
      <c r="F232" t="s">
        <v>7614</v>
      </c>
      <c r="G232" t="s">
        <v>7615</v>
      </c>
      <c r="H232" s="121" t="s">
        <v>7616</v>
      </c>
    </row>
    <row r="233" spans="1:8" x14ac:dyDescent="0.25">
      <c r="A233">
        <v>1526702</v>
      </c>
      <c r="B233" s="121" t="s">
        <v>7562</v>
      </c>
      <c r="C233" t="s">
        <v>32</v>
      </c>
      <c r="D233" t="s">
        <v>377</v>
      </c>
      <c r="E233" t="s">
        <v>2949</v>
      </c>
      <c r="F233" t="s">
        <v>2950</v>
      </c>
      <c r="G233" t="s">
        <v>3065</v>
      </c>
      <c r="H233" s="121" t="s">
        <v>7617</v>
      </c>
    </row>
    <row r="234" spans="1:8" x14ac:dyDescent="0.25">
      <c r="A234">
        <v>1527926</v>
      </c>
      <c r="B234" s="121" t="s">
        <v>7562</v>
      </c>
      <c r="C234" t="s">
        <v>32</v>
      </c>
      <c r="D234" t="s">
        <v>569</v>
      </c>
      <c r="E234" t="s">
        <v>49</v>
      </c>
      <c r="F234" t="s">
        <v>966</v>
      </c>
      <c r="G234" t="s">
        <v>1175</v>
      </c>
      <c r="H234" s="121" t="s">
        <v>7618</v>
      </c>
    </row>
    <row r="235" spans="1:8" x14ac:dyDescent="0.25">
      <c r="A235">
        <v>1533912</v>
      </c>
      <c r="B235" s="121" t="s">
        <v>7562</v>
      </c>
      <c r="C235" t="s">
        <v>32</v>
      </c>
      <c r="D235" t="s">
        <v>58</v>
      </c>
      <c r="E235" t="s">
        <v>4379</v>
      </c>
      <c r="F235" t="s">
        <v>4832</v>
      </c>
      <c r="G235" t="s">
        <v>4835</v>
      </c>
      <c r="H235" s="121" t="s">
        <v>7619</v>
      </c>
    </row>
    <row r="236" spans="1:8" x14ac:dyDescent="0.25">
      <c r="A236">
        <v>1534265</v>
      </c>
      <c r="B236" s="121" t="s">
        <v>7562</v>
      </c>
      <c r="C236" t="s">
        <v>32</v>
      </c>
      <c r="D236" t="s">
        <v>389</v>
      </c>
      <c r="E236" t="s">
        <v>335</v>
      </c>
      <c r="F236" t="s">
        <v>7620</v>
      </c>
      <c r="G236" t="s">
        <v>7621</v>
      </c>
      <c r="H236" s="121" t="s">
        <v>7622</v>
      </c>
    </row>
    <row r="237" spans="1:8" x14ac:dyDescent="0.25">
      <c r="A237">
        <v>1536528</v>
      </c>
      <c r="B237" s="121" t="s">
        <v>7562</v>
      </c>
      <c r="C237" t="s">
        <v>32</v>
      </c>
      <c r="D237" t="s">
        <v>377</v>
      </c>
      <c r="E237" t="s">
        <v>7242</v>
      </c>
      <c r="F237" t="s">
        <v>7623</v>
      </c>
      <c r="G237" t="s">
        <v>7624</v>
      </c>
      <c r="H237" s="121" t="s">
        <v>7625</v>
      </c>
    </row>
    <row r="238" spans="1:8" x14ac:dyDescent="0.25">
      <c r="A238">
        <v>1396052</v>
      </c>
      <c r="B238" s="121" t="s">
        <v>7626</v>
      </c>
      <c r="C238" t="s">
        <v>32</v>
      </c>
      <c r="D238" t="s">
        <v>51</v>
      </c>
      <c r="E238" t="s">
        <v>385</v>
      </c>
      <c r="F238" t="s">
        <v>2283</v>
      </c>
      <c r="G238" t="s">
        <v>7627</v>
      </c>
      <c r="H238" s="121" t="s">
        <v>7628</v>
      </c>
    </row>
    <row r="239" spans="1:8" x14ac:dyDescent="0.25">
      <c r="A239">
        <v>1508325</v>
      </c>
      <c r="B239" s="121" t="s">
        <v>7626</v>
      </c>
      <c r="C239" t="s">
        <v>32</v>
      </c>
      <c r="D239" t="s">
        <v>58</v>
      </c>
      <c r="E239" t="s">
        <v>4379</v>
      </c>
      <c r="F239" t="s">
        <v>4445</v>
      </c>
      <c r="G239" t="s">
        <v>4831</v>
      </c>
      <c r="H239" s="121" t="s">
        <v>7629</v>
      </c>
    </row>
    <row r="240" spans="1:8" x14ac:dyDescent="0.25">
      <c r="A240">
        <v>1398662</v>
      </c>
      <c r="B240" s="121" t="s">
        <v>7630</v>
      </c>
      <c r="C240" t="s">
        <v>32</v>
      </c>
      <c r="D240" t="s">
        <v>42</v>
      </c>
      <c r="E240" t="s">
        <v>50</v>
      </c>
      <c r="F240" t="s">
        <v>7631</v>
      </c>
      <c r="G240" t="s">
        <v>7632</v>
      </c>
      <c r="H240" s="121" t="s">
        <v>7633</v>
      </c>
    </row>
    <row r="241" spans="1:8" x14ac:dyDescent="0.25">
      <c r="A241">
        <v>1437826</v>
      </c>
      <c r="B241" s="121" t="s">
        <v>7630</v>
      </c>
      <c r="C241" t="s">
        <v>32</v>
      </c>
      <c r="D241" t="s">
        <v>65</v>
      </c>
      <c r="E241" t="s">
        <v>3191</v>
      </c>
      <c r="F241" t="s">
        <v>3199</v>
      </c>
      <c r="G241" t="s">
        <v>3288</v>
      </c>
      <c r="H241" s="121" t="s">
        <v>7634</v>
      </c>
    </row>
    <row r="242" spans="1:8" x14ac:dyDescent="0.25">
      <c r="A242">
        <v>1481944</v>
      </c>
      <c r="B242" s="121" t="s">
        <v>7630</v>
      </c>
      <c r="C242" t="s">
        <v>32</v>
      </c>
      <c r="D242" t="s">
        <v>51</v>
      </c>
      <c r="E242" t="s">
        <v>383</v>
      </c>
      <c r="F242" t="s">
        <v>3224</v>
      </c>
      <c r="G242" t="s">
        <v>1456</v>
      </c>
      <c r="H242" s="121" t="s">
        <v>7635</v>
      </c>
    </row>
    <row r="243" spans="1:8" x14ac:dyDescent="0.25">
      <c r="A243">
        <v>1490657</v>
      </c>
      <c r="B243" s="121" t="s">
        <v>7630</v>
      </c>
      <c r="C243" t="s">
        <v>32</v>
      </c>
      <c r="D243" t="s">
        <v>381</v>
      </c>
      <c r="E243" t="s">
        <v>7450</v>
      </c>
      <c r="F243" t="s">
        <v>7636</v>
      </c>
      <c r="G243" t="s">
        <v>7637</v>
      </c>
      <c r="H243" s="121" t="s">
        <v>7638</v>
      </c>
    </row>
    <row r="244" spans="1:8" x14ac:dyDescent="0.25">
      <c r="A244">
        <v>1508326</v>
      </c>
      <c r="B244" s="121" t="s">
        <v>7630</v>
      </c>
      <c r="C244" t="s">
        <v>32</v>
      </c>
      <c r="D244" t="s">
        <v>58</v>
      </c>
      <c r="E244" t="s">
        <v>4379</v>
      </c>
      <c r="F244" t="s">
        <v>4381</v>
      </c>
      <c r="G244" t="s">
        <v>4444</v>
      </c>
      <c r="H244" s="121" t="s">
        <v>7639</v>
      </c>
    </row>
    <row r="245" spans="1:8" x14ac:dyDescent="0.25">
      <c r="A245">
        <v>1527481</v>
      </c>
      <c r="B245" s="121" t="s">
        <v>7630</v>
      </c>
      <c r="C245" t="s">
        <v>32</v>
      </c>
      <c r="D245" t="s">
        <v>260</v>
      </c>
      <c r="E245" t="s">
        <v>399</v>
      </c>
      <c r="F245" t="s">
        <v>1013</v>
      </c>
      <c r="G245" t="s">
        <v>7640</v>
      </c>
      <c r="H245" s="121" t="s">
        <v>7641</v>
      </c>
    </row>
    <row r="246" spans="1:8" x14ac:dyDescent="0.25">
      <c r="A246">
        <v>1537602</v>
      </c>
      <c r="B246" s="121" t="s">
        <v>7630</v>
      </c>
      <c r="C246" t="s">
        <v>32</v>
      </c>
      <c r="D246" t="s">
        <v>78</v>
      </c>
      <c r="E246" t="s">
        <v>335</v>
      </c>
      <c r="F246" t="s">
        <v>3341</v>
      </c>
      <c r="G246" t="s">
        <v>2510</v>
      </c>
      <c r="H246" s="121" t="s">
        <v>7642</v>
      </c>
    </row>
    <row r="247" spans="1:8" x14ac:dyDescent="0.25">
      <c r="A247">
        <v>1540037</v>
      </c>
      <c r="B247" s="121" t="s">
        <v>7630</v>
      </c>
      <c r="C247" t="s">
        <v>32</v>
      </c>
      <c r="D247" t="s">
        <v>570</v>
      </c>
      <c r="E247" t="s">
        <v>49</v>
      </c>
      <c r="F247" t="s">
        <v>7643</v>
      </c>
      <c r="G247" t="s">
        <v>7644</v>
      </c>
      <c r="H247" s="121" t="s">
        <v>7645</v>
      </c>
    </row>
    <row r="248" spans="1:8" x14ac:dyDescent="0.25">
      <c r="A248">
        <v>1388870</v>
      </c>
      <c r="B248" s="121" t="s">
        <v>7646</v>
      </c>
      <c r="C248" t="s">
        <v>32</v>
      </c>
      <c r="D248" t="s">
        <v>43</v>
      </c>
      <c r="E248" t="s">
        <v>337</v>
      </c>
      <c r="F248" t="s">
        <v>1321</v>
      </c>
      <c r="G248" t="s">
        <v>3358</v>
      </c>
      <c r="H248" s="121" t="s">
        <v>7647</v>
      </c>
    </row>
    <row r="249" spans="1:8" x14ac:dyDescent="0.25">
      <c r="A249">
        <v>1388872</v>
      </c>
      <c r="B249" s="121" t="s">
        <v>7646</v>
      </c>
      <c r="C249" t="s">
        <v>32</v>
      </c>
      <c r="D249" t="s">
        <v>43</v>
      </c>
      <c r="E249" t="s">
        <v>337</v>
      </c>
      <c r="F249" t="s">
        <v>3357</v>
      </c>
      <c r="G249" t="s">
        <v>1319</v>
      </c>
      <c r="H249" s="121" t="s">
        <v>7648</v>
      </c>
    </row>
    <row r="250" spans="1:8" x14ac:dyDescent="0.25">
      <c r="A250">
        <v>1388874</v>
      </c>
      <c r="B250" s="121" t="s">
        <v>7646</v>
      </c>
      <c r="C250" t="s">
        <v>32</v>
      </c>
      <c r="D250" t="s">
        <v>43</v>
      </c>
      <c r="E250" t="s">
        <v>337</v>
      </c>
      <c r="F250" t="s">
        <v>1320</v>
      </c>
      <c r="G250" t="s">
        <v>1318</v>
      </c>
      <c r="H250" s="121" t="s">
        <v>7649</v>
      </c>
    </row>
    <row r="251" spans="1:8" x14ac:dyDescent="0.25">
      <c r="A251">
        <v>1400219</v>
      </c>
      <c r="B251" s="121" t="s">
        <v>7646</v>
      </c>
      <c r="C251" t="s">
        <v>32</v>
      </c>
      <c r="D251" t="s">
        <v>377</v>
      </c>
      <c r="E251" t="s">
        <v>49</v>
      </c>
      <c r="F251" t="s">
        <v>1195</v>
      </c>
      <c r="G251" t="s">
        <v>2475</v>
      </c>
      <c r="H251" s="121" t="s">
        <v>7650</v>
      </c>
    </row>
    <row r="252" spans="1:8" x14ac:dyDescent="0.25">
      <c r="A252">
        <v>1404604</v>
      </c>
      <c r="B252" s="121" t="s">
        <v>7646</v>
      </c>
      <c r="C252" t="s">
        <v>32</v>
      </c>
      <c r="D252" t="s">
        <v>41</v>
      </c>
      <c r="E252" t="s">
        <v>262</v>
      </c>
      <c r="F252" t="s">
        <v>916</v>
      </c>
      <c r="G252" t="s">
        <v>3034</v>
      </c>
      <c r="H252" s="121" t="s">
        <v>7651</v>
      </c>
    </row>
    <row r="253" spans="1:8" x14ac:dyDescent="0.25">
      <c r="A253">
        <v>1408022</v>
      </c>
      <c r="B253" s="121" t="s">
        <v>7646</v>
      </c>
      <c r="C253" t="s">
        <v>32</v>
      </c>
      <c r="D253" t="s">
        <v>43</v>
      </c>
      <c r="E253" t="s">
        <v>341</v>
      </c>
      <c r="F253" t="s">
        <v>3393</v>
      </c>
      <c r="G253" t="s">
        <v>7652</v>
      </c>
      <c r="H253" s="121" t="s">
        <v>7653</v>
      </c>
    </row>
    <row r="254" spans="1:8" x14ac:dyDescent="0.25">
      <c r="A254">
        <v>1414273</v>
      </c>
      <c r="B254" s="121" t="s">
        <v>7646</v>
      </c>
      <c r="C254" t="s">
        <v>32</v>
      </c>
      <c r="D254" t="s">
        <v>43</v>
      </c>
      <c r="E254" t="s">
        <v>592</v>
      </c>
      <c r="F254" t="s">
        <v>3407</v>
      </c>
      <c r="G254" t="s">
        <v>7654</v>
      </c>
      <c r="H254" s="121" t="s">
        <v>7655</v>
      </c>
    </row>
    <row r="255" spans="1:8" x14ac:dyDescent="0.25">
      <c r="A255">
        <v>1437831</v>
      </c>
      <c r="B255" s="121" t="s">
        <v>7646</v>
      </c>
      <c r="C255" t="s">
        <v>32</v>
      </c>
      <c r="D255" t="s">
        <v>65</v>
      </c>
      <c r="E255" t="s">
        <v>3191</v>
      </c>
      <c r="F255" t="s">
        <v>3444</v>
      </c>
      <c r="G255" t="s">
        <v>3193</v>
      </c>
      <c r="H255" s="121" t="s">
        <v>7656</v>
      </c>
    </row>
    <row r="256" spans="1:8" x14ac:dyDescent="0.25">
      <c r="A256">
        <v>1449521</v>
      </c>
      <c r="B256" s="121" t="s">
        <v>7646</v>
      </c>
      <c r="C256" t="s">
        <v>32</v>
      </c>
      <c r="D256" t="s">
        <v>64</v>
      </c>
      <c r="E256" t="s">
        <v>3448</v>
      </c>
      <c r="F256" t="s">
        <v>4310</v>
      </c>
      <c r="G256" t="s">
        <v>4313</v>
      </c>
      <c r="H256" s="121" t="s">
        <v>7657</v>
      </c>
    </row>
    <row r="257" spans="1:8" x14ac:dyDescent="0.25">
      <c r="A257">
        <v>1461586</v>
      </c>
      <c r="B257" s="121" t="s">
        <v>7646</v>
      </c>
      <c r="C257" t="s">
        <v>32</v>
      </c>
      <c r="D257" t="s">
        <v>40</v>
      </c>
      <c r="E257" t="s">
        <v>584</v>
      </c>
      <c r="F257" t="s">
        <v>1257</v>
      </c>
      <c r="G257" t="s">
        <v>3204</v>
      </c>
      <c r="H257" s="121" t="s">
        <v>7658</v>
      </c>
    </row>
    <row r="258" spans="1:8" x14ac:dyDescent="0.25">
      <c r="A258">
        <v>1481942</v>
      </c>
      <c r="B258" s="121" t="s">
        <v>7646</v>
      </c>
      <c r="C258" t="s">
        <v>32</v>
      </c>
      <c r="D258" t="s">
        <v>51</v>
      </c>
      <c r="E258" t="s">
        <v>383</v>
      </c>
      <c r="F258" t="s">
        <v>7659</v>
      </c>
      <c r="G258" t="s">
        <v>3553</v>
      </c>
      <c r="H258" s="121" t="s">
        <v>7660</v>
      </c>
    </row>
    <row r="259" spans="1:8" x14ac:dyDescent="0.25">
      <c r="A259">
        <v>1490658</v>
      </c>
      <c r="B259" s="121" t="s">
        <v>7646</v>
      </c>
      <c r="C259" t="s">
        <v>32</v>
      </c>
      <c r="D259" t="s">
        <v>381</v>
      </c>
      <c r="E259" t="s">
        <v>7450</v>
      </c>
      <c r="F259" t="s">
        <v>7661</v>
      </c>
      <c r="G259" t="s">
        <v>7662</v>
      </c>
      <c r="H259" s="121" t="s">
        <v>7663</v>
      </c>
    </row>
    <row r="260" spans="1:8" x14ac:dyDescent="0.25">
      <c r="A260">
        <v>1490660</v>
      </c>
      <c r="B260" s="121" t="s">
        <v>7646</v>
      </c>
      <c r="C260" t="s">
        <v>32</v>
      </c>
      <c r="D260" t="s">
        <v>381</v>
      </c>
      <c r="E260" t="s">
        <v>7450</v>
      </c>
      <c r="F260" t="s">
        <v>7664</v>
      </c>
      <c r="G260" t="s">
        <v>7665</v>
      </c>
      <c r="H260" s="121" t="s">
        <v>7666</v>
      </c>
    </row>
    <row r="261" spans="1:8" x14ac:dyDescent="0.25">
      <c r="A261">
        <v>1491245</v>
      </c>
      <c r="B261" s="121" t="s">
        <v>7646</v>
      </c>
      <c r="C261" t="s">
        <v>32</v>
      </c>
      <c r="D261" t="s">
        <v>105</v>
      </c>
      <c r="E261" t="s">
        <v>321</v>
      </c>
      <c r="F261" t="s">
        <v>3464</v>
      </c>
      <c r="G261" t="s">
        <v>7667</v>
      </c>
      <c r="H261" s="121" t="s">
        <v>7668</v>
      </c>
    </row>
    <row r="262" spans="1:8" x14ac:dyDescent="0.25">
      <c r="A262">
        <v>1495652</v>
      </c>
      <c r="B262" s="121" t="s">
        <v>7646</v>
      </c>
      <c r="C262" t="s">
        <v>32</v>
      </c>
      <c r="D262" t="s">
        <v>5924</v>
      </c>
      <c r="E262" t="s">
        <v>7669</v>
      </c>
      <c r="F262" t="s">
        <v>3539</v>
      </c>
      <c r="G262" t="s">
        <v>3536</v>
      </c>
      <c r="H262" s="121" t="s">
        <v>7670</v>
      </c>
    </row>
    <row r="263" spans="1:8" x14ac:dyDescent="0.25">
      <c r="A263">
        <v>1496210</v>
      </c>
      <c r="B263" s="121" t="s">
        <v>7646</v>
      </c>
      <c r="C263" t="s">
        <v>32</v>
      </c>
      <c r="D263" t="s">
        <v>85</v>
      </c>
      <c r="E263" t="s">
        <v>7671</v>
      </c>
      <c r="F263" t="s">
        <v>4074</v>
      </c>
      <c r="G263" t="s">
        <v>7672</v>
      </c>
      <c r="H263" s="121" t="s">
        <v>7673</v>
      </c>
    </row>
    <row r="264" spans="1:8" x14ac:dyDescent="0.25">
      <c r="A264">
        <v>1496387</v>
      </c>
      <c r="B264" s="121" t="s">
        <v>7646</v>
      </c>
      <c r="C264" t="s">
        <v>32</v>
      </c>
      <c r="D264" t="s">
        <v>85</v>
      </c>
      <c r="E264" t="s">
        <v>7674</v>
      </c>
      <c r="F264" t="s">
        <v>7675</v>
      </c>
      <c r="G264" t="s">
        <v>7676</v>
      </c>
      <c r="H264" s="121" t="s">
        <v>7677</v>
      </c>
    </row>
    <row r="265" spans="1:8" x14ac:dyDescent="0.25">
      <c r="A265">
        <v>1496391</v>
      </c>
      <c r="B265" s="121" t="s">
        <v>7646</v>
      </c>
      <c r="C265" t="s">
        <v>32</v>
      </c>
      <c r="D265" t="s">
        <v>85</v>
      </c>
      <c r="E265" t="s">
        <v>7674</v>
      </c>
      <c r="F265" t="s">
        <v>7678</v>
      </c>
      <c r="G265" t="s">
        <v>7679</v>
      </c>
      <c r="H265" s="121" t="s">
        <v>7680</v>
      </c>
    </row>
    <row r="266" spans="1:8" x14ac:dyDescent="0.25">
      <c r="A266">
        <v>1496571</v>
      </c>
      <c r="B266" s="121" t="s">
        <v>7646</v>
      </c>
      <c r="C266" t="s">
        <v>32</v>
      </c>
      <c r="D266" t="s">
        <v>85</v>
      </c>
      <c r="E266" t="s">
        <v>7681</v>
      </c>
      <c r="F266" t="s">
        <v>7682</v>
      </c>
      <c r="G266" t="s">
        <v>7683</v>
      </c>
      <c r="H266" s="121" t="s">
        <v>7684</v>
      </c>
    </row>
    <row r="267" spans="1:8" x14ac:dyDescent="0.25">
      <c r="A267">
        <v>1496932</v>
      </c>
      <c r="B267" s="121" t="s">
        <v>7646</v>
      </c>
      <c r="C267" t="s">
        <v>32</v>
      </c>
      <c r="D267" t="s">
        <v>85</v>
      </c>
      <c r="E267" t="s">
        <v>7685</v>
      </c>
      <c r="F267" t="s">
        <v>7686</v>
      </c>
      <c r="G267" t="s">
        <v>7687</v>
      </c>
      <c r="H267" s="121" t="s">
        <v>7688</v>
      </c>
    </row>
    <row r="268" spans="1:8" x14ac:dyDescent="0.25">
      <c r="A268">
        <v>1497523</v>
      </c>
      <c r="B268" s="121" t="s">
        <v>7646</v>
      </c>
      <c r="C268" t="s">
        <v>32</v>
      </c>
      <c r="D268" t="s">
        <v>275</v>
      </c>
      <c r="E268" t="s">
        <v>7689</v>
      </c>
      <c r="F268" t="s">
        <v>7690</v>
      </c>
      <c r="G268" t="s">
        <v>5919</v>
      </c>
      <c r="H268" s="121" t="s">
        <v>7691</v>
      </c>
    </row>
    <row r="269" spans="1:8" x14ac:dyDescent="0.25">
      <c r="A269">
        <v>1497525</v>
      </c>
      <c r="B269" s="121" t="s">
        <v>7646</v>
      </c>
      <c r="C269" t="s">
        <v>32</v>
      </c>
      <c r="D269" t="s">
        <v>275</v>
      </c>
      <c r="E269" t="s">
        <v>7689</v>
      </c>
      <c r="F269" t="s">
        <v>3121</v>
      </c>
      <c r="G269" t="s">
        <v>4797</v>
      </c>
      <c r="H269" s="121" t="s">
        <v>7692</v>
      </c>
    </row>
    <row r="270" spans="1:8" x14ac:dyDescent="0.25">
      <c r="A270">
        <v>1504382</v>
      </c>
      <c r="B270" s="121" t="s">
        <v>7646</v>
      </c>
      <c r="C270" t="s">
        <v>32</v>
      </c>
      <c r="D270" t="s">
        <v>275</v>
      </c>
      <c r="E270" t="s">
        <v>7693</v>
      </c>
      <c r="F270" t="s">
        <v>3470</v>
      </c>
      <c r="G270" t="s">
        <v>3497</v>
      </c>
      <c r="H270" s="121" t="s">
        <v>7694</v>
      </c>
    </row>
    <row r="271" spans="1:8" x14ac:dyDescent="0.25">
      <c r="A271">
        <v>1504385</v>
      </c>
      <c r="B271" s="121" t="s">
        <v>7646</v>
      </c>
      <c r="C271" t="s">
        <v>32</v>
      </c>
      <c r="D271" t="s">
        <v>275</v>
      </c>
      <c r="E271" t="s">
        <v>7693</v>
      </c>
      <c r="F271" t="s">
        <v>1781</v>
      </c>
      <c r="G271" t="s">
        <v>7695</v>
      </c>
      <c r="H271" s="121" t="s">
        <v>7696</v>
      </c>
    </row>
    <row r="272" spans="1:8" x14ac:dyDescent="0.25">
      <c r="A272">
        <v>1504386</v>
      </c>
      <c r="B272" s="121" t="s">
        <v>7646</v>
      </c>
      <c r="C272" t="s">
        <v>32</v>
      </c>
      <c r="D272" t="s">
        <v>275</v>
      </c>
      <c r="E272" t="s">
        <v>7693</v>
      </c>
      <c r="F272" t="s">
        <v>3478</v>
      </c>
      <c r="G272" t="s">
        <v>3491</v>
      </c>
      <c r="H272" s="121" t="s">
        <v>7697</v>
      </c>
    </row>
    <row r="273" spans="1:8" x14ac:dyDescent="0.25">
      <c r="A273">
        <v>1506840</v>
      </c>
      <c r="B273" s="121" t="s">
        <v>7646</v>
      </c>
      <c r="C273" t="s">
        <v>32</v>
      </c>
      <c r="D273" t="s">
        <v>53</v>
      </c>
      <c r="E273" t="s">
        <v>5872</v>
      </c>
      <c r="F273" t="s">
        <v>7698</v>
      </c>
      <c r="G273" t="s">
        <v>7699</v>
      </c>
      <c r="H273" s="121" t="s">
        <v>7700</v>
      </c>
    </row>
    <row r="274" spans="1:8" x14ac:dyDescent="0.25">
      <c r="A274">
        <v>1507094</v>
      </c>
      <c r="B274" s="121" t="s">
        <v>7646</v>
      </c>
      <c r="C274" t="s">
        <v>32</v>
      </c>
      <c r="D274" t="s">
        <v>408</v>
      </c>
      <c r="E274" t="s">
        <v>7701</v>
      </c>
      <c r="F274" t="s">
        <v>7702</v>
      </c>
      <c r="G274" t="s">
        <v>7703</v>
      </c>
      <c r="H274" s="121" t="s">
        <v>7704</v>
      </c>
    </row>
    <row r="275" spans="1:8" x14ac:dyDescent="0.25">
      <c r="A275">
        <v>1507095</v>
      </c>
      <c r="B275" s="121" t="s">
        <v>7646</v>
      </c>
      <c r="C275" t="s">
        <v>32</v>
      </c>
      <c r="D275" t="s">
        <v>408</v>
      </c>
      <c r="E275" t="s">
        <v>7701</v>
      </c>
      <c r="F275" t="s">
        <v>7705</v>
      </c>
      <c r="G275" t="s">
        <v>7706</v>
      </c>
      <c r="H275" s="121" t="s">
        <v>7707</v>
      </c>
    </row>
    <row r="276" spans="1:8" x14ac:dyDescent="0.25">
      <c r="A276">
        <v>1510537</v>
      </c>
      <c r="B276" s="121" t="s">
        <v>7646</v>
      </c>
      <c r="C276" t="s">
        <v>32</v>
      </c>
      <c r="D276" t="s">
        <v>275</v>
      </c>
      <c r="E276" t="s">
        <v>7708</v>
      </c>
      <c r="F276" t="s">
        <v>7709</v>
      </c>
      <c r="G276" t="s">
        <v>7710</v>
      </c>
      <c r="H276" s="121" t="s">
        <v>7711</v>
      </c>
    </row>
    <row r="277" spans="1:8" x14ac:dyDescent="0.25">
      <c r="A277">
        <v>1510543</v>
      </c>
      <c r="B277" s="121" t="s">
        <v>7646</v>
      </c>
      <c r="C277" t="s">
        <v>32</v>
      </c>
      <c r="D277" t="s">
        <v>275</v>
      </c>
      <c r="E277" t="s">
        <v>7708</v>
      </c>
      <c r="F277" t="s">
        <v>7712</v>
      </c>
      <c r="G277" t="s">
        <v>7713</v>
      </c>
      <c r="H277" s="121" t="s">
        <v>7714</v>
      </c>
    </row>
    <row r="278" spans="1:8" x14ac:dyDescent="0.25">
      <c r="A278">
        <v>1510719</v>
      </c>
      <c r="B278" s="121" t="s">
        <v>7646</v>
      </c>
      <c r="C278" t="s">
        <v>32</v>
      </c>
      <c r="D278" t="s">
        <v>275</v>
      </c>
      <c r="E278" t="s">
        <v>7588</v>
      </c>
      <c r="F278" t="s">
        <v>4059</v>
      </c>
      <c r="G278" t="s">
        <v>7715</v>
      </c>
      <c r="H278" s="121" t="s">
        <v>7716</v>
      </c>
    </row>
    <row r="279" spans="1:8" x14ac:dyDescent="0.25">
      <c r="A279">
        <v>1510721</v>
      </c>
      <c r="B279" s="121" t="s">
        <v>7646</v>
      </c>
      <c r="C279" t="s">
        <v>32</v>
      </c>
      <c r="D279" t="s">
        <v>275</v>
      </c>
      <c r="E279" t="s">
        <v>7588</v>
      </c>
      <c r="F279" t="s">
        <v>7717</v>
      </c>
      <c r="G279" t="s">
        <v>7718</v>
      </c>
      <c r="H279" s="121" t="s">
        <v>7719</v>
      </c>
    </row>
    <row r="280" spans="1:8" x14ac:dyDescent="0.25">
      <c r="A280">
        <v>1510901</v>
      </c>
      <c r="B280" s="121" t="s">
        <v>7646</v>
      </c>
      <c r="C280" t="s">
        <v>32</v>
      </c>
      <c r="D280" t="s">
        <v>275</v>
      </c>
      <c r="E280" t="s">
        <v>7720</v>
      </c>
      <c r="F280" t="s">
        <v>7721</v>
      </c>
      <c r="G280" t="s">
        <v>7722</v>
      </c>
      <c r="H280" s="121" t="s">
        <v>7723</v>
      </c>
    </row>
    <row r="281" spans="1:8" x14ac:dyDescent="0.25">
      <c r="A281">
        <v>1510903</v>
      </c>
      <c r="B281" s="121" t="s">
        <v>7646</v>
      </c>
      <c r="C281" t="s">
        <v>32</v>
      </c>
      <c r="D281" t="s">
        <v>275</v>
      </c>
      <c r="E281" t="s">
        <v>7720</v>
      </c>
      <c r="F281" t="s">
        <v>7724</v>
      </c>
      <c r="G281" t="s">
        <v>7725</v>
      </c>
      <c r="H281" s="121" t="s">
        <v>7726</v>
      </c>
    </row>
    <row r="282" spans="1:8" x14ac:dyDescent="0.25">
      <c r="A282">
        <v>1511084</v>
      </c>
      <c r="B282" s="121" t="s">
        <v>7646</v>
      </c>
      <c r="C282" t="s">
        <v>32</v>
      </c>
      <c r="D282" t="s">
        <v>275</v>
      </c>
      <c r="E282" t="s">
        <v>7592</v>
      </c>
      <c r="F282" t="s">
        <v>7727</v>
      </c>
      <c r="G282" t="s">
        <v>7728</v>
      </c>
      <c r="H282" s="121" t="s">
        <v>7729</v>
      </c>
    </row>
    <row r="283" spans="1:8" x14ac:dyDescent="0.25">
      <c r="A283">
        <v>1511085</v>
      </c>
      <c r="B283" s="121" t="s">
        <v>7646</v>
      </c>
      <c r="C283" t="s">
        <v>32</v>
      </c>
      <c r="D283" t="s">
        <v>275</v>
      </c>
      <c r="E283" t="s">
        <v>7592</v>
      </c>
      <c r="F283" t="s">
        <v>7730</v>
      </c>
      <c r="G283" t="s">
        <v>7731</v>
      </c>
      <c r="H283" s="121" t="s">
        <v>7732</v>
      </c>
    </row>
    <row r="284" spans="1:8" x14ac:dyDescent="0.25">
      <c r="A284">
        <v>1511266</v>
      </c>
      <c r="B284" s="121" t="s">
        <v>7646</v>
      </c>
      <c r="C284" t="s">
        <v>32</v>
      </c>
      <c r="D284" t="s">
        <v>275</v>
      </c>
      <c r="E284" t="s">
        <v>7733</v>
      </c>
      <c r="F284" t="s">
        <v>7734</v>
      </c>
      <c r="G284" t="s">
        <v>7735</v>
      </c>
      <c r="H284" s="121" t="s">
        <v>7736</v>
      </c>
    </row>
    <row r="285" spans="1:8" x14ac:dyDescent="0.25">
      <c r="A285">
        <v>1515688</v>
      </c>
      <c r="B285" s="121" t="s">
        <v>7646</v>
      </c>
      <c r="C285" t="s">
        <v>32</v>
      </c>
      <c r="D285" t="s">
        <v>275</v>
      </c>
      <c r="E285" t="s">
        <v>7737</v>
      </c>
      <c r="F285" t="s">
        <v>7738</v>
      </c>
      <c r="G285" t="s">
        <v>7739</v>
      </c>
      <c r="H285" s="121" t="s">
        <v>7740</v>
      </c>
    </row>
    <row r="286" spans="1:8" x14ac:dyDescent="0.25">
      <c r="A286">
        <v>1515693</v>
      </c>
      <c r="B286" s="121" t="s">
        <v>7646</v>
      </c>
      <c r="C286" t="s">
        <v>32</v>
      </c>
      <c r="D286" t="s">
        <v>275</v>
      </c>
      <c r="E286" t="s">
        <v>7737</v>
      </c>
      <c r="F286" t="s">
        <v>7741</v>
      </c>
      <c r="G286" t="s">
        <v>7742</v>
      </c>
      <c r="H286" s="121" t="s">
        <v>7743</v>
      </c>
    </row>
    <row r="287" spans="1:8" x14ac:dyDescent="0.25">
      <c r="A287">
        <v>1517137</v>
      </c>
      <c r="B287" s="121" t="s">
        <v>7646</v>
      </c>
      <c r="C287" t="s">
        <v>32</v>
      </c>
      <c r="D287" t="s">
        <v>5924</v>
      </c>
      <c r="E287" t="s">
        <v>7744</v>
      </c>
      <c r="F287" t="s">
        <v>7745</v>
      </c>
      <c r="G287" t="s">
        <v>7746</v>
      </c>
      <c r="H287" s="121" t="s">
        <v>7747</v>
      </c>
    </row>
    <row r="288" spans="1:8" x14ac:dyDescent="0.25">
      <c r="A288">
        <v>1518048</v>
      </c>
      <c r="B288" s="121" t="s">
        <v>7646</v>
      </c>
      <c r="C288" t="s">
        <v>32</v>
      </c>
      <c r="D288" t="s">
        <v>379</v>
      </c>
      <c r="E288" t="s">
        <v>387</v>
      </c>
      <c r="F288" t="s">
        <v>7748</v>
      </c>
      <c r="G288" t="s">
        <v>7749</v>
      </c>
      <c r="H288" s="121" t="s">
        <v>7750</v>
      </c>
    </row>
    <row r="289" spans="1:8" x14ac:dyDescent="0.25">
      <c r="A289">
        <v>1518049</v>
      </c>
      <c r="B289" s="121" t="s">
        <v>7646</v>
      </c>
      <c r="C289" t="s">
        <v>32</v>
      </c>
      <c r="D289" t="s">
        <v>379</v>
      </c>
      <c r="E289" t="s">
        <v>387</v>
      </c>
      <c r="F289" t="s">
        <v>1161</v>
      </c>
      <c r="G289" t="s">
        <v>7751</v>
      </c>
      <c r="H289" s="121" t="s">
        <v>7752</v>
      </c>
    </row>
    <row r="290" spans="1:8" x14ac:dyDescent="0.25">
      <c r="A290">
        <v>1518050</v>
      </c>
      <c r="B290" s="121" t="s">
        <v>7646</v>
      </c>
      <c r="C290" t="s">
        <v>32</v>
      </c>
      <c r="D290" t="s">
        <v>379</v>
      </c>
      <c r="E290" t="s">
        <v>387</v>
      </c>
      <c r="F290" t="s">
        <v>7753</v>
      </c>
      <c r="G290" t="s">
        <v>7754</v>
      </c>
      <c r="H290" s="121" t="s">
        <v>7755</v>
      </c>
    </row>
    <row r="291" spans="1:8" x14ac:dyDescent="0.25">
      <c r="A291">
        <v>1518125</v>
      </c>
      <c r="B291" s="121" t="s">
        <v>7646</v>
      </c>
      <c r="C291" t="s">
        <v>32</v>
      </c>
      <c r="D291" t="s">
        <v>379</v>
      </c>
      <c r="E291" t="s">
        <v>380</v>
      </c>
      <c r="F291" t="s">
        <v>1143</v>
      </c>
      <c r="G291" t="s">
        <v>941</v>
      </c>
      <c r="H291" s="121" t="s">
        <v>7756</v>
      </c>
    </row>
    <row r="292" spans="1:8" x14ac:dyDescent="0.25">
      <c r="A292">
        <v>1518375</v>
      </c>
      <c r="B292" s="121" t="s">
        <v>7646</v>
      </c>
      <c r="C292" t="s">
        <v>32</v>
      </c>
      <c r="D292" t="s">
        <v>43</v>
      </c>
      <c r="E292" t="s">
        <v>576</v>
      </c>
      <c r="F292" t="s">
        <v>1276</v>
      </c>
      <c r="G292" t="s">
        <v>947</v>
      </c>
      <c r="H292" s="121" t="s">
        <v>7757</v>
      </c>
    </row>
    <row r="293" spans="1:8" x14ac:dyDescent="0.25">
      <c r="A293">
        <v>1518376</v>
      </c>
      <c r="B293" s="121" t="s">
        <v>7646</v>
      </c>
      <c r="C293" t="s">
        <v>32</v>
      </c>
      <c r="D293" t="s">
        <v>43</v>
      </c>
      <c r="E293" t="s">
        <v>576</v>
      </c>
      <c r="F293" t="s">
        <v>7758</v>
      </c>
      <c r="G293" t="s">
        <v>946</v>
      </c>
      <c r="H293" s="121" t="s">
        <v>7759</v>
      </c>
    </row>
    <row r="294" spans="1:8" x14ac:dyDescent="0.25">
      <c r="A294">
        <v>1518386</v>
      </c>
      <c r="B294" s="121" t="s">
        <v>7646</v>
      </c>
      <c r="C294" t="s">
        <v>32</v>
      </c>
      <c r="D294" t="s">
        <v>43</v>
      </c>
      <c r="E294" t="s">
        <v>576</v>
      </c>
      <c r="F294" t="s">
        <v>3265</v>
      </c>
      <c r="G294" t="s">
        <v>3264</v>
      </c>
      <c r="H294" s="121" t="s">
        <v>7760</v>
      </c>
    </row>
    <row r="295" spans="1:8" x14ac:dyDescent="0.25">
      <c r="A295">
        <v>1518392</v>
      </c>
      <c r="B295" s="121" t="s">
        <v>7646</v>
      </c>
      <c r="C295" t="s">
        <v>32</v>
      </c>
      <c r="D295" t="s">
        <v>43</v>
      </c>
      <c r="E295" t="s">
        <v>576</v>
      </c>
      <c r="F295" t="s">
        <v>7761</v>
      </c>
      <c r="G295" t="s">
        <v>7762</v>
      </c>
      <c r="H295" s="121" t="s">
        <v>7763</v>
      </c>
    </row>
    <row r="296" spans="1:8" x14ac:dyDescent="0.25">
      <c r="A296">
        <v>1518394</v>
      </c>
      <c r="B296" s="121" t="s">
        <v>7646</v>
      </c>
      <c r="C296" t="s">
        <v>32</v>
      </c>
      <c r="D296" t="s">
        <v>43</v>
      </c>
      <c r="E296" t="s">
        <v>576</v>
      </c>
      <c r="F296" t="s">
        <v>1503</v>
      </c>
      <c r="G296" t="s">
        <v>7764</v>
      </c>
      <c r="H296" s="121" t="s">
        <v>7765</v>
      </c>
    </row>
    <row r="297" spans="1:8" x14ac:dyDescent="0.25">
      <c r="A297">
        <v>1518399</v>
      </c>
      <c r="B297" s="121" t="s">
        <v>7646</v>
      </c>
      <c r="C297" t="s">
        <v>32</v>
      </c>
      <c r="D297" t="s">
        <v>43</v>
      </c>
      <c r="E297" t="s">
        <v>576</v>
      </c>
      <c r="F297" t="s">
        <v>1274</v>
      </c>
      <c r="G297" t="s">
        <v>3252</v>
      </c>
      <c r="H297" s="121" t="s">
        <v>7766</v>
      </c>
    </row>
    <row r="298" spans="1:8" x14ac:dyDescent="0.25">
      <c r="A298">
        <v>1518576</v>
      </c>
      <c r="B298" s="121" t="s">
        <v>7646</v>
      </c>
      <c r="C298" t="s">
        <v>32</v>
      </c>
      <c r="D298" t="s">
        <v>43</v>
      </c>
      <c r="E298" t="s">
        <v>576</v>
      </c>
      <c r="F298" t="s">
        <v>3508</v>
      </c>
      <c r="G298" t="s">
        <v>3507</v>
      </c>
      <c r="H298" s="121" t="s">
        <v>7767</v>
      </c>
    </row>
    <row r="299" spans="1:8" x14ac:dyDescent="0.25">
      <c r="A299">
        <v>1518580</v>
      </c>
      <c r="B299" s="121" t="s">
        <v>7646</v>
      </c>
      <c r="C299" t="s">
        <v>32</v>
      </c>
      <c r="D299" t="s">
        <v>43</v>
      </c>
      <c r="E299" t="s">
        <v>576</v>
      </c>
      <c r="F299" t="s">
        <v>965</v>
      </c>
      <c r="G299" t="s">
        <v>1502</v>
      </c>
      <c r="H299" s="121" t="s">
        <v>7768</v>
      </c>
    </row>
    <row r="300" spans="1:8" x14ac:dyDescent="0.25">
      <c r="A300">
        <v>1520994</v>
      </c>
      <c r="B300" s="121" t="s">
        <v>7646</v>
      </c>
      <c r="C300" t="s">
        <v>32</v>
      </c>
      <c r="D300" t="s">
        <v>452</v>
      </c>
      <c r="E300" t="s">
        <v>49</v>
      </c>
      <c r="F300" t="s">
        <v>5910</v>
      </c>
      <c r="G300" t="s">
        <v>3322</v>
      </c>
      <c r="H300" s="121" t="s">
        <v>7769</v>
      </c>
    </row>
    <row r="301" spans="1:8" x14ac:dyDescent="0.25">
      <c r="A301">
        <v>1523092</v>
      </c>
      <c r="B301" s="121" t="s">
        <v>7646</v>
      </c>
      <c r="C301" t="s">
        <v>32</v>
      </c>
      <c r="D301" t="s">
        <v>419</v>
      </c>
      <c r="E301" t="s">
        <v>81</v>
      </c>
      <c r="F301" t="s">
        <v>3328</v>
      </c>
      <c r="G301" t="s">
        <v>1163</v>
      </c>
      <c r="H301" s="121" t="s">
        <v>7770</v>
      </c>
    </row>
    <row r="302" spans="1:8" x14ac:dyDescent="0.25">
      <c r="A302">
        <v>1523093</v>
      </c>
      <c r="B302" s="121" t="s">
        <v>7646</v>
      </c>
      <c r="C302" t="s">
        <v>32</v>
      </c>
      <c r="D302" t="s">
        <v>419</v>
      </c>
      <c r="E302" t="s">
        <v>81</v>
      </c>
      <c r="F302" t="s">
        <v>851</v>
      </c>
      <c r="G302" t="s">
        <v>2871</v>
      </c>
      <c r="H302" s="121" t="s">
        <v>7771</v>
      </c>
    </row>
    <row r="303" spans="1:8" x14ac:dyDescent="0.25">
      <c r="A303">
        <v>1525823</v>
      </c>
      <c r="B303" s="121" t="s">
        <v>7646</v>
      </c>
      <c r="C303" t="s">
        <v>32</v>
      </c>
      <c r="D303" t="s">
        <v>389</v>
      </c>
      <c r="E303" t="s">
        <v>49</v>
      </c>
      <c r="F303" t="s">
        <v>7772</v>
      </c>
      <c r="G303" t="s">
        <v>1162</v>
      </c>
      <c r="H303" s="121" t="s">
        <v>7773</v>
      </c>
    </row>
    <row r="304" spans="1:8" x14ac:dyDescent="0.25">
      <c r="A304">
        <v>1526291</v>
      </c>
      <c r="B304" s="121" t="s">
        <v>7646</v>
      </c>
      <c r="C304" t="s">
        <v>32</v>
      </c>
      <c r="D304" t="s">
        <v>587</v>
      </c>
      <c r="E304" t="s">
        <v>588</v>
      </c>
      <c r="F304" t="s">
        <v>3268</v>
      </c>
      <c r="G304" t="s">
        <v>7774</v>
      </c>
      <c r="H304" s="121" t="s">
        <v>7775</v>
      </c>
    </row>
    <row r="305" spans="1:8" x14ac:dyDescent="0.25">
      <c r="A305">
        <v>1526698</v>
      </c>
      <c r="B305" s="121" t="s">
        <v>7646</v>
      </c>
      <c r="C305" t="s">
        <v>32</v>
      </c>
      <c r="D305" t="s">
        <v>377</v>
      </c>
      <c r="E305" t="s">
        <v>2949</v>
      </c>
      <c r="F305" t="s">
        <v>3270</v>
      </c>
      <c r="G305" t="s">
        <v>3066</v>
      </c>
      <c r="H305" s="121" t="s">
        <v>7776</v>
      </c>
    </row>
    <row r="306" spans="1:8" x14ac:dyDescent="0.25">
      <c r="A306">
        <v>1526701</v>
      </c>
      <c r="B306" s="121" t="s">
        <v>7646</v>
      </c>
      <c r="C306" t="s">
        <v>32</v>
      </c>
      <c r="D306" t="s">
        <v>377</v>
      </c>
      <c r="E306" t="s">
        <v>2949</v>
      </c>
      <c r="F306" t="s">
        <v>3062</v>
      </c>
      <c r="G306" t="s">
        <v>3623</v>
      </c>
      <c r="H306" s="121" t="s">
        <v>7777</v>
      </c>
    </row>
    <row r="307" spans="1:8" x14ac:dyDescent="0.25">
      <c r="A307">
        <v>1527931</v>
      </c>
      <c r="B307" s="121" t="s">
        <v>7646</v>
      </c>
      <c r="C307" t="s">
        <v>32</v>
      </c>
      <c r="D307" t="s">
        <v>569</v>
      </c>
      <c r="E307" t="s">
        <v>49</v>
      </c>
      <c r="F307" t="s">
        <v>1514</v>
      </c>
      <c r="G307" t="s">
        <v>3514</v>
      </c>
      <c r="H307" s="121" t="s">
        <v>7778</v>
      </c>
    </row>
    <row r="308" spans="1:8" x14ac:dyDescent="0.25">
      <c r="A308">
        <v>1531025</v>
      </c>
      <c r="B308" s="121" t="s">
        <v>7646</v>
      </c>
      <c r="C308" t="s">
        <v>32</v>
      </c>
      <c r="D308" t="s">
        <v>7779</v>
      </c>
      <c r="E308" t="s">
        <v>7780</v>
      </c>
      <c r="F308" t="s">
        <v>7781</v>
      </c>
      <c r="G308" t="s">
        <v>7782</v>
      </c>
      <c r="H308" s="121" t="s">
        <v>7783</v>
      </c>
    </row>
    <row r="309" spans="1:8" x14ac:dyDescent="0.25">
      <c r="A309">
        <v>1531028</v>
      </c>
      <c r="B309" s="121" t="s">
        <v>7646</v>
      </c>
      <c r="C309" t="s">
        <v>32</v>
      </c>
      <c r="D309" t="s">
        <v>7779</v>
      </c>
      <c r="E309" t="s">
        <v>7780</v>
      </c>
      <c r="F309" t="s">
        <v>7784</v>
      </c>
      <c r="G309" t="s">
        <v>7785</v>
      </c>
      <c r="H309" s="121" t="s">
        <v>7786</v>
      </c>
    </row>
    <row r="310" spans="1:8" x14ac:dyDescent="0.25">
      <c r="A310">
        <v>1534264</v>
      </c>
      <c r="B310" s="121" t="s">
        <v>7646</v>
      </c>
      <c r="C310" t="s">
        <v>32</v>
      </c>
      <c r="D310" t="s">
        <v>389</v>
      </c>
      <c r="E310" t="s">
        <v>335</v>
      </c>
      <c r="F310" t="s">
        <v>7787</v>
      </c>
      <c r="G310" t="s">
        <v>7788</v>
      </c>
      <c r="H310" s="121" t="s">
        <v>7789</v>
      </c>
    </row>
    <row r="311" spans="1:8" x14ac:dyDescent="0.25">
      <c r="A311">
        <v>1535963</v>
      </c>
      <c r="B311" s="121" t="s">
        <v>7646</v>
      </c>
      <c r="C311" t="s">
        <v>32</v>
      </c>
      <c r="D311" t="s">
        <v>377</v>
      </c>
      <c r="E311" t="s">
        <v>7790</v>
      </c>
      <c r="F311" t="s">
        <v>7791</v>
      </c>
      <c r="G311" t="s">
        <v>7792</v>
      </c>
      <c r="H311" s="121" t="s">
        <v>7793</v>
      </c>
    </row>
    <row r="312" spans="1:8" x14ac:dyDescent="0.25">
      <c r="A312">
        <v>1536316</v>
      </c>
      <c r="B312" s="121" t="s">
        <v>7646</v>
      </c>
      <c r="C312" t="s">
        <v>32</v>
      </c>
      <c r="D312" t="s">
        <v>377</v>
      </c>
      <c r="E312" t="s">
        <v>7794</v>
      </c>
      <c r="F312" t="s">
        <v>7795</v>
      </c>
      <c r="G312" t="s">
        <v>7796</v>
      </c>
      <c r="H312" s="121" t="s">
        <v>7797</v>
      </c>
    </row>
    <row r="313" spans="1:8" x14ac:dyDescent="0.25">
      <c r="A313">
        <v>1536530</v>
      </c>
      <c r="B313" s="121" t="s">
        <v>7646</v>
      </c>
      <c r="C313" t="s">
        <v>32</v>
      </c>
      <c r="D313" t="s">
        <v>377</v>
      </c>
      <c r="E313" t="s">
        <v>7242</v>
      </c>
      <c r="F313" t="s">
        <v>7798</v>
      </c>
      <c r="G313" t="s">
        <v>7799</v>
      </c>
      <c r="H313" s="121" t="s">
        <v>7800</v>
      </c>
    </row>
    <row r="314" spans="1:8" x14ac:dyDescent="0.25">
      <c r="A314">
        <v>1536532</v>
      </c>
      <c r="B314" s="121" t="s">
        <v>7646</v>
      </c>
      <c r="C314" t="s">
        <v>32</v>
      </c>
      <c r="D314" t="s">
        <v>377</v>
      </c>
      <c r="E314" t="s">
        <v>7242</v>
      </c>
      <c r="F314" t="s">
        <v>7801</v>
      </c>
      <c r="G314" t="s">
        <v>7802</v>
      </c>
      <c r="H314" s="121" t="s">
        <v>7803</v>
      </c>
    </row>
    <row r="315" spans="1:8" x14ac:dyDescent="0.25">
      <c r="A315">
        <v>1538881</v>
      </c>
      <c r="B315" s="121" t="s">
        <v>7646</v>
      </c>
      <c r="C315" t="s">
        <v>32</v>
      </c>
      <c r="D315" t="s">
        <v>21</v>
      </c>
      <c r="E315" t="s">
        <v>7468</v>
      </c>
      <c r="F315" t="s">
        <v>7804</v>
      </c>
      <c r="G315" t="s">
        <v>873</v>
      </c>
      <c r="H315" s="121" t="s">
        <v>7805</v>
      </c>
    </row>
    <row r="316" spans="1:8" x14ac:dyDescent="0.25">
      <c r="A316">
        <v>1539755</v>
      </c>
      <c r="B316" s="121" t="s">
        <v>7646</v>
      </c>
      <c r="C316" t="s">
        <v>32</v>
      </c>
      <c r="D316" t="s">
        <v>5924</v>
      </c>
      <c r="E316" t="s">
        <v>7410</v>
      </c>
      <c r="F316" t="s">
        <v>7806</v>
      </c>
      <c r="G316" t="s">
        <v>7807</v>
      </c>
      <c r="H316" s="121" t="s">
        <v>7808</v>
      </c>
    </row>
    <row r="317" spans="1:8" x14ac:dyDescent="0.25">
      <c r="A317">
        <v>1539873</v>
      </c>
      <c r="B317" s="121" t="s">
        <v>7646</v>
      </c>
      <c r="C317" t="s">
        <v>32</v>
      </c>
      <c r="D317" t="s">
        <v>65</v>
      </c>
      <c r="E317" t="s">
        <v>3178</v>
      </c>
      <c r="F317" t="s">
        <v>3189</v>
      </c>
      <c r="G317" t="s">
        <v>3179</v>
      </c>
      <c r="H317" s="121" t="s">
        <v>7809</v>
      </c>
    </row>
    <row r="318" spans="1:8" x14ac:dyDescent="0.25">
      <c r="A318">
        <v>1539982</v>
      </c>
      <c r="B318" s="121" t="s">
        <v>7646</v>
      </c>
      <c r="C318" t="s">
        <v>32</v>
      </c>
      <c r="D318" t="s">
        <v>5924</v>
      </c>
      <c r="E318" t="s">
        <v>7410</v>
      </c>
      <c r="F318" t="s">
        <v>7810</v>
      </c>
      <c r="G318" t="s">
        <v>3555</v>
      </c>
      <c r="H318" s="121" t="s">
        <v>7811</v>
      </c>
    </row>
    <row r="319" spans="1:8" x14ac:dyDescent="0.25">
      <c r="A319">
        <v>1522778</v>
      </c>
      <c r="B319" s="121" t="s">
        <v>7812</v>
      </c>
      <c r="C319" t="s">
        <v>32</v>
      </c>
      <c r="D319" t="s">
        <v>585</v>
      </c>
      <c r="E319" t="s">
        <v>586</v>
      </c>
      <c r="F319" t="s">
        <v>3559</v>
      </c>
      <c r="G319" t="s">
        <v>7813</v>
      </c>
      <c r="H319" s="121" t="s">
        <v>7814</v>
      </c>
    </row>
    <row r="320" spans="1:8" x14ac:dyDescent="0.25">
      <c r="A320">
        <v>1379279</v>
      </c>
      <c r="B320" s="121" t="s">
        <v>7815</v>
      </c>
      <c r="C320" t="s">
        <v>32</v>
      </c>
      <c r="D320" t="s">
        <v>65</v>
      </c>
      <c r="E320" t="s">
        <v>49</v>
      </c>
      <c r="F320" t="s">
        <v>597</v>
      </c>
      <c r="G320" t="s">
        <v>7816</v>
      </c>
      <c r="H320" s="121" t="s">
        <v>7817</v>
      </c>
    </row>
    <row r="321" spans="1:8" x14ac:dyDescent="0.25">
      <c r="A321">
        <v>1386502</v>
      </c>
      <c r="B321" s="121" t="s">
        <v>7815</v>
      </c>
      <c r="C321" t="s">
        <v>32</v>
      </c>
      <c r="D321" t="s">
        <v>65</v>
      </c>
      <c r="E321" t="s">
        <v>2834</v>
      </c>
      <c r="F321" t="s">
        <v>5173</v>
      </c>
      <c r="G321" t="s">
        <v>5170</v>
      </c>
      <c r="H321" s="121" t="s">
        <v>7818</v>
      </c>
    </row>
    <row r="322" spans="1:8" x14ac:dyDescent="0.25">
      <c r="A322">
        <v>1386507</v>
      </c>
      <c r="B322" s="121" t="s">
        <v>7815</v>
      </c>
      <c r="C322" t="s">
        <v>32</v>
      </c>
      <c r="D322" t="s">
        <v>65</v>
      </c>
      <c r="E322" t="s">
        <v>2834</v>
      </c>
      <c r="F322" t="s">
        <v>3568</v>
      </c>
      <c r="G322" t="s">
        <v>5166</v>
      </c>
      <c r="H322" s="121" t="s">
        <v>7819</v>
      </c>
    </row>
    <row r="323" spans="1:8" x14ac:dyDescent="0.25">
      <c r="A323">
        <v>1387043</v>
      </c>
      <c r="B323" s="121" t="s">
        <v>7815</v>
      </c>
      <c r="C323" t="s">
        <v>32</v>
      </c>
      <c r="D323" t="s">
        <v>65</v>
      </c>
      <c r="E323" t="s">
        <v>70</v>
      </c>
      <c r="F323" t="s">
        <v>2194</v>
      </c>
      <c r="G323" t="s">
        <v>2790</v>
      </c>
      <c r="H323" s="121" t="s">
        <v>7820</v>
      </c>
    </row>
    <row r="324" spans="1:8" x14ac:dyDescent="0.25">
      <c r="A324">
        <v>1387048</v>
      </c>
      <c r="B324" s="121" t="s">
        <v>7815</v>
      </c>
      <c r="C324" t="s">
        <v>32</v>
      </c>
      <c r="D324" t="s">
        <v>65</v>
      </c>
      <c r="E324" t="s">
        <v>70</v>
      </c>
      <c r="F324" t="s">
        <v>6501</v>
      </c>
      <c r="G324" t="s">
        <v>5201</v>
      </c>
      <c r="H324" s="121" t="s">
        <v>7821</v>
      </c>
    </row>
    <row r="325" spans="1:8" x14ac:dyDescent="0.25">
      <c r="A325">
        <v>1387049</v>
      </c>
      <c r="B325" s="121" t="s">
        <v>7815</v>
      </c>
      <c r="C325" t="s">
        <v>32</v>
      </c>
      <c r="D325" t="s">
        <v>65</v>
      </c>
      <c r="E325" t="s">
        <v>70</v>
      </c>
      <c r="F325" t="s">
        <v>2173</v>
      </c>
      <c r="G325" t="s">
        <v>5207</v>
      </c>
      <c r="H325" s="121" t="s">
        <v>7822</v>
      </c>
    </row>
    <row r="326" spans="1:8" x14ac:dyDescent="0.25">
      <c r="A326">
        <v>1387612</v>
      </c>
      <c r="B326" s="121" t="s">
        <v>7815</v>
      </c>
      <c r="C326" t="s">
        <v>32</v>
      </c>
      <c r="D326" t="s">
        <v>65</v>
      </c>
      <c r="E326" t="s">
        <v>266</v>
      </c>
      <c r="F326" t="s">
        <v>599</v>
      </c>
      <c r="G326" t="s">
        <v>5216</v>
      </c>
      <c r="H326" s="121" t="s">
        <v>7823</v>
      </c>
    </row>
    <row r="327" spans="1:8" x14ac:dyDescent="0.25">
      <c r="A327">
        <v>1387614</v>
      </c>
      <c r="B327" s="121" t="s">
        <v>7815</v>
      </c>
      <c r="C327" t="s">
        <v>32</v>
      </c>
      <c r="D327" t="s">
        <v>65</v>
      </c>
      <c r="E327" t="s">
        <v>266</v>
      </c>
      <c r="F327" t="s">
        <v>5221</v>
      </c>
      <c r="G327" t="s">
        <v>519</v>
      </c>
      <c r="H327" s="121" t="s">
        <v>7824</v>
      </c>
    </row>
    <row r="328" spans="1:8" x14ac:dyDescent="0.25">
      <c r="A328">
        <v>1387618</v>
      </c>
      <c r="B328" s="121" t="s">
        <v>7815</v>
      </c>
      <c r="C328" t="s">
        <v>32</v>
      </c>
      <c r="D328" t="s">
        <v>65</v>
      </c>
      <c r="E328" t="s">
        <v>266</v>
      </c>
      <c r="F328" t="s">
        <v>3580</v>
      </c>
      <c r="G328" t="s">
        <v>640</v>
      </c>
      <c r="H328" s="121" t="s">
        <v>7825</v>
      </c>
    </row>
    <row r="329" spans="1:8" x14ac:dyDescent="0.25">
      <c r="A329">
        <v>1394686</v>
      </c>
      <c r="B329" s="121" t="s">
        <v>7815</v>
      </c>
      <c r="C329" t="s">
        <v>32</v>
      </c>
      <c r="D329" t="s">
        <v>42</v>
      </c>
      <c r="E329" t="s">
        <v>61</v>
      </c>
      <c r="F329" t="s">
        <v>7826</v>
      </c>
      <c r="G329" t="s">
        <v>2508</v>
      </c>
      <c r="H329" s="121" t="s">
        <v>7827</v>
      </c>
    </row>
    <row r="330" spans="1:8" x14ac:dyDescent="0.25">
      <c r="A330">
        <v>1399226</v>
      </c>
      <c r="B330" s="121" t="s">
        <v>7815</v>
      </c>
      <c r="C330" t="s">
        <v>32</v>
      </c>
      <c r="D330" t="s">
        <v>58</v>
      </c>
      <c r="E330" t="s">
        <v>4200</v>
      </c>
      <c r="F330" t="s">
        <v>4949</v>
      </c>
      <c r="G330" t="s">
        <v>4210</v>
      </c>
      <c r="H330" s="121" t="s">
        <v>7828</v>
      </c>
    </row>
    <row r="331" spans="1:8" x14ac:dyDescent="0.25">
      <c r="A331">
        <v>1399916</v>
      </c>
      <c r="B331" s="121" t="s">
        <v>7815</v>
      </c>
      <c r="C331" t="s">
        <v>32</v>
      </c>
      <c r="D331" t="s">
        <v>65</v>
      </c>
      <c r="E331" t="s">
        <v>104</v>
      </c>
      <c r="F331" t="s">
        <v>5263</v>
      </c>
      <c r="G331" t="s">
        <v>5275</v>
      </c>
      <c r="H331" s="121" t="s">
        <v>7829</v>
      </c>
    </row>
    <row r="332" spans="1:8" x14ac:dyDescent="0.25">
      <c r="A332">
        <v>1399923</v>
      </c>
      <c r="B332" s="121" t="s">
        <v>7815</v>
      </c>
      <c r="C332" t="s">
        <v>32</v>
      </c>
      <c r="D332" t="s">
        <v>65</v>
      </c>
      <c r="E332" t="s">
        <v>104</v>
      </c>
      <c r="F332" t="s">
        <v>5279</v>
      </c>
      <c r="G332" t="s">
        <v>5287</v>
      </c>
      <c r="H332" s="121" t="s">
        <v>7830</v>
      </c>
    </row>
    <row r="333" spans="1:8" x14ac:dyDescent="0.25">
      <c r="A333">
        <v>1400587</v>
      </c>
      <c r="B333" s="121" t="s">
        <v>7815</v>
      </c>
      <c r="C333" t="s">
        <v>32</v>
      </c>
      <c r="D333" t="s">
        <v>319</v>
      </c>
      <c r="E333" t="s">
        <v>2929</v>
      </c>
      <c r="F333" t="s">
        <v>3549</v>
      </c>
      <c r="G333" t="s">
        <v>7831</v>
      </c>
      <c r="H333" s="121" t="s">
        <v>7832</v>
      </c>
    </row>
    <row r="334" spans="1:8" x14ac:dyDescent="0.25">
      <c r="A334">
        <v>1408313</v>
      </c>
      <c r="B334" s="121" t="s">
        <v>7815</v>
      </c>
      <c r="C334" t="s">
        <v>32</v>
      </c>
      <c r="D334" t="s">
        <v>43</v>
      </c>
      <c r="E334" t="s">
        <v>591</v>
      </c>
      <c r="F334" t="s">
        <v>3586</v>
      </c>
      <c r="G334" t="s">
        <v>1384</v>
      </c>
      <c r="H334" s="121" t="s">
        <v>7833</v>
      </c>
    </row>
    <row r="335" spans="1:8" x14ac:dyDescent="0.25">
      <c r="A335">
        <v>1421858</v>
      </c>
      <c r="B335" s="121" t="s">
        <v>7815</v>
      </c>
      <c r="C335" t="s">
        <v>32</v>
      </c>
      <c r="D335" t="s">
        <v>323</v>
      </c>
      <c r="E335" t="s">
        <v>49</v>
      </c>
      <c r="F335" t="s">
        <v>1329</v>
      </c>
      <c r="G335" t="s">
        <v>7834</v>
      </c>
      <c r="H335" s="121" t="s">
        <v>7835</v>
      </c>
    </row>
    <row r="336" spans="1:8" x14ac:dyDescent="0.25">
      <c r="A336">
        <v>1437634</v>
      </c>
      <c r="B336" s="121" t="s">
        <v>7815</v>
      </c>
      <c r="C336" t="s">
        <v>32</v>
      </c>
      <c r="D336" t="s">
        <v>65</v>
      </c>
      <c r="E336" t="s">
        <v>3178</v>
      </c>
      <c r="F336" t="s">
        <v>7836</v>
      </c>
      <c r="G336" t="s">
        <v>3182</v>
      </c>
      <c r="H336" s="121" t="s">
        <v>7837</v>
      </c>
    </row>
    <row r="337" spans="1:8" x14ac:dyDescent="0.25">
      <c r="A337">
        <v>1445925</v>
      </c>
      <c r="B337" s="121" t="s">
        <v>7815</v>
      </c>
      <c r="C337" t="s">
        <v>32</v>
      </c>
      <c r="D337" t="s">
        <v>66</v>
      </c>
      <c r="E337" t="s">
        <v>582</v>
      </c>
      <c r="F337" t="s">
        <v>7838</v>
      </c>
      <c r="G337" t="s">
        <v>2032</v>
      </c>
      <c r="H337" s="121" t="s">
        <v>7839</v>
      </c>
    </row>
    <row r="338" spans="1:8" x14ac:dyDescent="0.25">
      <c r="A338">
        <v>1461590</v>
      </c>
      <c r="B338" s="121" t="s">
        <v>7815</v>
      </c>
      <c r="C338" t="s">
        <v>32</v>
      </c>
      <c r="D338" t="s">
        <v>40</v>
      </c>
      <c r="E338" t="s">
        <v>584</v>
      </c>
      <c r="F338" t="s">
        <v>7840</v>
      </c>
      <c r="G338" t="s">
        <v>7841</v>
      </c>
      <c r="H338" s="121" t="s">
        <v>7842</v>
      </c>
    </row>
    <row r="339" spans="1:8" x14ac:dyDescent="0.25">
      <c r="A339">
        <v>1481937</v>
      </c>
      <c r="B339" s="121" t="s">
        <v>7815</v>
      </c>
      <c r="C339" t="s">
        <v>32</v>
      </c>
      <c r="D339" t="s">
        <v>51</v>
      </c>
      <c r="E339" t="s">
        <v>383</v>
      </c>
      <c r="F339" t="s">
        <v>3217</v>
      </c>
      <c r="G339" t="s">
        <v>1147</v>
      </c>
      <c r="H339" s="121" t="s">
        <v>7843</v>
      </c>
    </row>
    <row r="340" spans="1:8" x14ac:dyDescent="0.25">
      <c r="A340">
        <v>1491238</v>
      </c>
      <c r="B340" s="121" t="s">
        <v>7815</v>
      </c>
      <c r="C340" t="s">
        <v>32</v>
      </c>
      <c r="D340" t="s">
        <v>105</v>
      </c>
      <c r="E340" t="s">
        <v>321</v>
      </c>
      <c r="F340" t="s">
        <v>3234</v>
      </c>
      <c r="G340" t="s">
        <v>7844</v>
      </c>
      <c r="H340" s="121" t="s">
        <v>7845</v>
      </c>
    </row>
    <row r="341" spans="1:8" x14ac:dyDescent="0.25">
      <c r="A341">
        <v>1513519</v>
      </c>
      <c r="B341" s="121" t="s">
        <v>7815</v>
      </c>
      <c r="C341" t="s">
        <v>32</v>
      </c>
      <c r="D341" t="s">
        <v>546</v>
      </c>
      <c r="E341" t="s">
        <v>580</v>
      </c>
      <c r="F341" t="s">
        <v>1011</v>
      </c>
      <c r="G341" t="s">
        <v>7846</v>
      </c>
      <c r="H341" s="121" t="s">
        <v>7847</v>
      </c>
    </row>
    <row r="342" spans="1:8" x14ac:dyDescent="0.25">
      <c r="A342">
        <v>1518393</v>
      </c>
      <c r="B342" s="121" t="s">
        <v>7815</v>
      </c>
      <c r="C342" t="s">
        <v>32</v>
      </c>
      <c r="D342" t="s">
        <v>43</v>
      </c>
      <c r="E342" t="s">
        <v>576</v>
      </c>
      <c r="F342" t="s">
        <v>7848</v>
      </c>
      <c r="G342" t="s">
        <v>7849</v>
      </c>
      <c r="H342" s="121" t="s">
        <v>7850</v>
      </c>
    </row>
    <row r="343" spans="1:8" x14ac:dyDescent="0.25">
      <c r="A343">
        <v>1521324</v>
      </c>
      <c r="B343" s="121" t="s">
        <v>7815</v>
      </c>
      <c r="C343" t="s">
        <v>32</v>
      </c>
      <c r="D343" t="s">
        <v>260</v>
      </c>
      <c r="E343" t="s">
        <v>261</v>
      </c>
      <c r="F343" t="s">
        <v>7851</v>
      </c>
      <c r="G343" t="s">
        <v>7852</v>
      </c>
      <c r="H343" s="121" t="s">
        <v>7853</v>
      </c>
    </row>
    <row r="344" spans="1:8" x14ac:dyDescent="0.25">
      <c r="A344">
        <v>1528406</v>
      </c>
      <c r="B344" s="121" t="s">
        <v>7815</v>
      </c>
      <c r="C344" t="s">
        <v>32</v>
      </c>
      <c r="D344" t="s">
        <v>7548</v>
      </c>
      <c r="E344" t="s">
        <v>49</v>
      </c>
      <c r="F344" t="s">
        <v>7854</v>
      </c>
      <c r="G344" t="s">
        <v>7855</v>
      </c>
      <c r="H344" s="121" t="s">
        <v>7856</v>
      </c>
    </row>
    <row r="345" spans="1:8" x14ac:dyDescent="0.25">
      <c r="A345">
        <v>1528575</v>
      </c>
      <c r="B345" s="121" t="s">
        <v>7815</v>
      </c>
      <c r="C345" t="s">
        <v>32</v>
      </c>
      <c r="D345" t="s">
        <v>419</v>
      </c>
      <c r="E345" t="s">
        <v>266</v>
      </c>
      <c r="F345" t="s">
        <v>3311</v>
      </c>
      <c r="G345" t="s">
        <v>7857</v>
      </c>
      <c r="H345" s="121" t="s">
        <v>7858</v>
      </c>
    </row>
    <row r="346" spans="1:8" x14ac:dyDescent="0.25">
      <c r="A346">
        <v>1528576</v>
      </c>
      <c r="B346" s="121" t="s">
        <v>7815</v>
      </c>
      <c r="C346" t="s">
        <v>32</v>
      </c>
      <c r="D346" t="s">
        <v>419</v>
      </c>
      <c r="E346" t="s">
        <v>266</v>
      </c>
      <c r="F346" t="s">
        <v>3313</v>
      </c>
      <c r="G346" t="s">
        <v>7859</v>
      </c>
      <c r="H346" s="121" t="s">
        <v>7860</v>
      </c>
    </row>
    <row r="347" spans="1:8" x14ac:dyDescent="0.25">
      <c r="A347">
        <v>1528577</v>
      </c>
      <c r="B347" s="121" t="s">
        <v>7815</v>
      </c>
      <c r="C347" t="s">
        <v>32</v>
      </c>
      <c r="D347" t="s">
        <v>419</v>
      </c>
      <c r="E347" t="s">
        <v>266</v>
      </c>
      <c r="F347" t="s">
        <v>3308</v>
      </c>
      <c r="G347" t="s">
        <v>3314</v>
      </c>
      <c r="H347" s="121" t="s">
        <v>7861</v>
      </c>
    </row>
    <row r="348" spans="1:8" x14ac:dyDescent="0.25">
      <c r="A348">
        <v>1532661</v>
      </c>
      <c r="B348" s="121" t="s">
        <v>7815</v>
      </c>
      <c r="C348" t="s">
        <v>32</v>
      </c>
      <c r="D348" t="s">
        <v>419</v>
      </c>
      <c r="E348" t="s">
        <v>2834</v>
      </c>
      <c r="F348" t="s">
        <v>7862</v>
      </c>
      <c r="G348" t="s">
        <v>7863</v>
      </c>
      <c r="H348" s="121" t="s">
        <v>7864</v>
      </c>
    </row>
    <row r="349" spans="1:8" x14ac:dyDescent="0.25">
      <c r="A349">
        <v>1523094</v>
      </c>
      <c r="B349" s="121" t="s">
        <v>7865</v>
      </c>
      <c r="C349" t="s">
        <v>32</v>
      </c>
      <c r="D349" t="s">
        <v>419</v>
      </c>
      <c r="E349" t="s">
        <v>81</v>
      </c>
      <c r="F349" t="s">
        <v>3259</v>
      </c>
      <c r="G349" t="s">
        <v>3511</v>
      </c>
      <c r="H349" s="121" t="s">
        <v>7866</v>
      </c>
    </row>
    <row r="350" spans="1:8" x14ac:dyDescent="0.25">
      <c r="A350">
        <v>1523095</v>
      </c>
      <c r="B350" s="121" t="s">
        <v>7865</v>
      </c>
      <c r="C350" t="s">
        <v>32</v>
      </c>
      <c r="D350" t="s">
        <v>419</v>
      </c>
      <c r="E350" t="s">
        <v>81</v>
      </c>
      <c r="F350" t="s">
        <v>2869</v>
      </c>
      <c r="G350" t="s">
        <v>7867</v>
      </c>
      <c r="H350" s="121" t="s">
        <v>7868</v>
      </c>
    </row>
    <row r="351" spans="1:8" x14ac:dyDescent="0.25">
      <c r="A351">
        <v>1532662</v>
      </c>
      <c r="B351" s="121" t="s">
        <v>7865</v>
      </c>
      <c r="C351" t="s">
        <v>32</v>
      </c>
      <c r="D351" t="s">
        <v>419</v>
      </c>
      <c r="E351" t="s">
        <v>2834</v>
      </c>
      <c r="F351" t="s">
        <v>7869</v>
      </c>
      <c r="G351" t="s">
        <v>7870</v>
      </c>
      <c r="H351" s="121" t="s">
        <v>7871</v>
      </c>
    </row>
    <row r="352" spans="1:8" x14ac:dyDescent="0.25">
      <c r="A352">
        <v>1534176</v>
      </c>
      <c r="B352" s="121" t="s">
        <v>7872</v>
      </c>
      <c r="C352" t="s">
        <v>32</v>
      </c>
      <c r="D352" t="s">
        <v>326</v>
      </c>
      <c r="E352" t="s">
        <v>327</v>
      </c>
      <c r="F352" t="s">
        <v>5041</v>
      </c>
      <c r="G352" t="s">
        <v>1186</v>
      </c>
      <c r="H352" s="121" t="s">
        <v>7873</v>
      </c>
    </row>
    <row r="353" spans="1:8" x14ac:dyDescent="0.25">
      <c r="A353">
        <v>1389371</v>
      </c>
      <c r="B353" s="121" t="s">
        <v>7874</v>
      </c>
      <c r="C353" t="s">
        <v>32</v>
      </c>
      <c r="D353" t="s">
        <v>89</v>
      </c>
      <c r="E353" t="s">
        <v>236</v>
      </c>
      <c r="F353" t="s">
        <v>7875</v>
      </c>
      <c r="G353" t="s">
        <v>7876</v>
      </c>
      <c r="H353" s="121" t="s">
        <v>7877</v>
      </c>
    </row>
    <row r="354" spans="1:8" x14ac:dyDescent="0.25">
      <c r="A354">
        <v>1389376</v>
      </c>
      <c r="B354" s="121" t="s">
        <v>7874</v>
      </c>
      <c r="C354" t="s">
        <v>32</v>
      </c>
      <c r="D354" t="s">
        <v>89</v>
      </c>
      <c r="E354" t="s">
        <v>236</v>
      </c>
      <c r="F354" t="s">
        <v>7878</v>
      </c>
      <c r="G354" t="s">
        <v>7879</v>
      </c>
      <c r="H354" s="121" t="s">
        <v>7880</v>
      </c>
    </row>
    <row r="355" spans="1:8" x14ac:dyDescent="0.25">
      <c r="A355">
        <v>1391127</v>
      </c>
      <c r="B355" s="121" t="s">
        <v>7874</v>
      </c>
      <c r="C355" t="s">
        <v>32</v>
      </c>
      <c r="D355" t="s">
        <v>40</v>
      </c>
      <c r="E355" t="s">
        <v>74</v>
      </c>
      <c r="F355" t="s">
        <v>7881</v>
      </c>
      <c r="G355" t="s">
        <v>2339</v>
      </c>
      <c r="H355" s="121" t="s">
        <v>7882</v>
      </c>
    </row>
    <row r="356" spans="1:8" x14ac:dyDescent="0.25">
      <c r="A356">
        <v>1394373</v>
      </c>
      <c r="B356" s="121" t="s">
        <v>7874</v>
      </c>
      <c r="C356" t="s">
        <v>32</v>
      </c>
      <c r="D356" t="s">
        <v>43</v>
      </c>
      <c r="E356" t="s">
        <v>339</v>
      </c>
      <c r="F356" t="s">
        <v>3674</v>
      </c>
      <c r="G356" t="s">
        <v>3681</v>
      </c>
      <c r="H356" s="121" t="s">
        <v>7883</v>
      </c>
    </row>
    <row r="357" spans="1:8" x14ac:dyDescent="0.25">
      <c r="A357">
        <v>1394377</v>
      </c>
      <c r="B357" s="121" t="s">
        <v>7874</v>
      </c>
      <c r="C357" t="s">
        <v>32</v>
      </c>
      <c r="D357" t="s">
        <v>43</v>
      </c>
      <c r="E357" t="s">
        <v>339</v>
      </c>
      <c r="F357" t="s">
        <v>1324</v>
      </c>
      <c r="G357" t="s">
        <v>2036</v>
      </c>
      <c r="H357" s="121" t="s">
        <v>7884</v>
      </c>
    </row>
    <row r="358" spans="1:8" x14ac:dyDescent="0.25">
      <c r="A358">
        <v>1394379</v>
      </c>
      <c r="B358" s="121" t="s">
        <v>7874</v>
      </c>
      <c r="C358" t="s">
        <v>32</v>
      </c>
      <c r="D358" t="s">
        <v>43</v>
      </c>
      <c r="E358" t="s">
        <v>339</v>
      </c>
      <c r="F358" t="s">
        <v>7885</v>
      </c>
      <c r="G358" t="s">
        <v>2281</v>
      </c>
      <c r="H358" s="121" t="s">
        <v>7886</v>
      </c>
    </row>
    <row r="359" spans="1:8" x14ac:dyDescent="0.25">
      <c r="A359">
        <v>1394380</v>
      </c>
      <c r="B359" s="121" t="s">
        <v>7874</v>
      </c>
      <c r="C359" t="s">
        <v>32</v>
      </c>
      <c r="D359" t="s">
        <v>43</v>
      </c>
      <c r="E359" t="s">
        <v>339</v>
      </c>
      <c r="F359" t="s">
        <v>1325</v>
      </c>
      <c r="G359" t="s">
        <v>2037</v>
      </c>
      <c r="H359" s="121" t="s">
        <v>7887</v>
      </c>
    </row>
    <row r="360" spans="1:8" x14ac:dyDescent="0.25">
      <c r="A360">
        <v>1394382</v>
      </c>
      <c r="B360" s="121" t="s">
        <v>7874</v>
      </c>
      <c r="C360" t="s">
        <v>32</v>
      </c>
      <c r="D360" t="s">
        <v>43</v>
      </c>
      <c r="E360" t="s">
        <v>339</v>
      </c>
      <c r="F360" t="s">
        <v>7888</v>
      </c>
      <c r="G360" t="s">
        <v>7889</v>
      </c>
      <c r="H360" s="121" t="s">
        <v>7890</v>
      </c>
    </row>
    <row r="361" spans="1:8" x14ac:dyDescent="0.25">
      <c r="A361">
        <v>1397897</v>
      </c>
      <c r="B361" s="121" t="s">
        <v>7874</v>
      </c>
      <c r="C361" t="s">
        <v>32</v>
      </c>
      <c r="D361" t="s">
        <v>332</v>
      </c>
      <c r="E361" t="s">
        <v>4196</v>
      </c>
      <c r="F361" t="s">
        <v>7891</v>
      </c>
      <c r="G361" t="s">
        <v>7892</v>
      </c>
      <c r="H361" s="121" t="s">
        <v>7893</v>
      </c>
    </row>
    <row r="362" spans="1:8" x14ac:dyDescent="0.25">
      <c r="A362">
        <v>1403800</v>
      </c>
      <c r="B362" s="121" t="s">
        <v>7874</v>
      </c>
      <c r="C362" t="s">
        <v>32</v>
      </c>
      <c r="D362" t="s">
        <v>38</v>
      </c>
      <c r="E362" t="s">
        <v>39</v>
      </c>
      <c r="F362" t="s">
        <v>7894</v>
      </c>
      <c r="G362" t="s">
        <v>7895</v>
      </c>
      <c r="H362" s="121" t="s">
        <v>7896</v>
      </c>
    </row>
    <row r="363" spans="1:8" x14ac:dyDescent="0.25">
      <c r="A363">
        <v>1403801</v>
      </c>
      <c r="B363" s="121" t="s">
        <v>7874</v>
      </c>
      <c r="C363" t="s">
        <v>32</v>
      </c>
      <c r="D363" t="s">
        <v>38</v>
      </c>
      <c r="E363" t="s">
        <v>39</v>
      </c>
      <c r="F363" t="s">
        <v>7897</v>
      </c>
      <c r="G363" t="s">
        <v>7898</v>
      </c>
      <c r="H363" s="121" t="s">
        <v>7899</v>
      </c>
    </row>
    <row r="364" spans="1:8" x14ac:dyDescent="0.25">
      <c r="A364">
        <v>1406308</v>
      </c>
      <c r="B364" s="121" t="s">
        <v>7874</v>
      </c>
      <c r="C364" t="s">
        <v>32</v>
      </c>
      <c r="D364" t="s">
        <v>43</v>
      </c>
      <c r="E364" t="s">
        <v>393</v>
      </c>
      <c r="F364" t="s">
        <v>3708</v>
      </c>
      <c r="G364" t="s">
        <v>4527</v>
      </c>
      <c r="H364" s="121" t="s">
        <v>7900</v>
      </c>
    </row>
    <row r="365" spans="1:8" x14ac:dyDescent="0.25">
      <c r="A365">
        <v>1406309</v>
      </c>
      <c r="B365" s="121" t="s">
        <v>7874</v>
      </c>
      <c r="C365" t="s">
        <v>32</v>
      </c>
      <c r="D365" t="s">
        <v>43</v>
      </c>
      <c r="E365" t="s">
        <v>393</v>
      </c>
      <c r="F365" t="s">
        <v>4220</v>
      </c>
      <c r="G365" t="s">
        <v>4522</v>
      </c>
      <c r="H365" s="121" t="s">
        <v>7901</v>
      </c>
    </row>
    <row r="366" spans="1:8" x14ac:dyDescent="0.25">
      <c r="A366">
        <v>1406311</v>
      </c>
      <c r="B366" s="121" t="s">
        <v>7874</v>
      </c>
      <c r="C366" t="s">
        <v>32</v>
      </c>
      <c r="D366" t="s">
        <v>43</v>
      </c>
      <c r="E366" t="s">
        <v>393</v>
      </c>
      <c r="F366" t="s">
        <v>3711</v>
      </c>
      <c r="G366" t="s">
        <v>4216</v>
      </c>
      <c r="H366" s="121" t="s">
        <v>7902</v>
      </c>
    </row>
    <row r="367" spans="1:8" x14ac:dyDescent="0.25">
      <c r="A367">
        <v>1406448</v>
      </c>
      <c r="B367" s="121" t="s">
        <v>7874</v>
      </c>
      <c r="C367" t="s">
        <v>32</v>
      </c>
      <c r="D367" t="s">
        <v>43</v>
      </c>
      <c r="E367" t="s">
        <v>551</v>
      </c>
      <c r="F367" t="s">
        <v>4955</v>
      </c>
      <c r="G367" t="s">
        <v>7903</v>
      </c>
      <c r="H367" s="121" t="s">
        <v>7904</v>
      </c>
    </row>
    <row r="368" spans="1:8" x14ac:dyDescent="0.25">
      <c r="A368">
        <v>1406580</v>
      </c>
      <c r="B368" s="121" t="s">
        <v>7874</v>
      </c>
      <c r="C368" t="s">
        <v>32</v>
      </c>
      <c r="D368" t="s">
        <v>43</v>
      </c>
      <c r="E368" t="s">
        <v>551</v>
      </c>
      <c r="F368" t="s">
        <v>4958</v>
      </c>
      <c r="G368" t="s">
        <v>4960</v>
      </c>
      <c r="H368" s="121" t="s">
        <v>7905</v>
      </c>
    </row>
    <row r="369" spans="1:8" x14ac:dyDescent="0.25">
      <c r="A369">
        <v>1406584</v>
      </c>
      <c r="B369" s="121" t="s">
        <v>7874</v>
      </c>
      <c r="C369" t="s">
        <v>32</v>
      </c>
      <c r="D369" t="s">
        <v>43</v>
      </c>
      <c r="E369" t="s">
        <v>551</v>
      </c>
      <c r="F369" t="s">
        <v>4534</v>
      </c>
      <c r="G369" t="s">
        <v>7906</v>
      </c>
      <c r="H369" s="121" t="s">
        <v>7907</v>
      </c>
    </row>
    <row r="370" spans="1:8" x14ac:dyDescent="0.25">
      <c r="A370">
        <v>1406585</v>
      </c>
      <c r="B370" s="121" t="s">
        <v>7874</v>
      </c>
      <c r="C370" t="s">
        <v>32</v>
      </c>
      <c r="D370" t="s">
        <v>43</v>
      </c>
      <c r="E370" t="s">
        <v>551</v>
      </c>
      <c r="F370" t="s">
        <v>7908</v>
      </c>
      <c r="G370" t="s">
        <v>4533</v>
      </c>
      <c r="H370" s="121" t="s">
        <v>7909</v>
      </c>
    </row>
    <row r="371" spans="1:8" x14ac:dyDescent="0.25">
      <c r="A371">
        <v>1406870</v>
      </c>
      <c r="B371" s="121" t="s">
        <v>7874</v>
      </c>
      <c r="C371" t="s">
        <v>32</v>
      </c>
      <c r="D371" t="s">
        <v>43</v>
      </c>
      <c r="E371" t="s">
        <v>345</v>
      </c>
      <c r="F371" t="s">
        <v>1236</v>
      </c>
      <c r="G371" t="s">
        <v>7910</v>
      </c>
      <c r="H371" s="121" t="s">
        <v>7911</v>
      </c>
    </row>
    <row r="372" spans="1:8" x14ac:dyDescent="0.25">
      <c r="A372">
        <v>1406872</v>
      </c>
      <c r="B372" s="121" t="s">
        <v>7874</v>
      </c>
      <c r="C372" t="s">
        <v>32</v>
      </c>
      <c r="D372" t="s">
        <v>43</v>
      </c>
      <c r="E372" t="s">
        <v>345</v>
      </c>
      <c r="F372" t="s">
        <v>3389</v>
      </c>
      <c r="G372" t="s">
        <v>3387</v>
      </c>
      <c r="H372" s="121" t="s">
        <v>7912</v>
      </c>
    </row>
    <row r="373" spans="1:8" x14ac:dyDescent="0.25">
      <c r="A373">
        <v>1406873</v>
      </c>
      <c r="B373" s="121" t="s">
        <v>7874</v>
      </c>
      <c r="C373" t="s">
        <v>32</v>
      </c>
      <c r="D373" t="s">
        <v>43</v>
      </c>
      <c r="E373" t="s">
        <v>345</v>
      </c>
      <c r="F373" t="s">
        <v>3391</v>
      </c>
      <c r="G373" t="s">
        <v>7913</v>
      </c>
      <c r="H373" s="121" t="s">
        <v>7914</v>
      </c>
    </row>
    <row r="374" spans="1:8" x14ac:dyDescent="0.25">
      <c r="A374">
        <v>1407098</v>
      </c>
      <c r="B374" s="121" t="s">
        <v>7874</v>
      </c>
      <c r="C374" t="s">
        <v>32</v>
      </c>
      <c r="D374" t="s">
        <v>43</v>
      </c>
      <c r="E374" t="s">
        <v>605</v>
      </c>
      <c r="F374" t="s">
        <v>3721</v>
      </c>
      <c r="G374" t="s">
        <v>1374</v>
      </c>
      <c r="H374" s="121" t="s">
        <v>7915</v>
      </c>
    </row>
    <row r="375" spans="1:8" x14ac:dyDescent="0.25">
      <c r="A375">
        <v>1407100</v>
      </c>
      <c r="B375" s="121" t="s">
        <v>7874</v>
      </c>
      <c r="C375" t="s">
        <v>32</v>
      </c>
      <c r="D375" t="s">
        <v>43</v>
      </c>
      <c r="E375" t="s">
        <v>605</v>
      </c>
      <c r="F375" t="s">
        <v>3725</v>
      </c>
      <c r="G375" t="s">
        <v>3717</v>
      </c>
      <c r="H375" s="121" t="s">
        <v>7916</v>
      </c>
    </row>
    <row r="376" spans="1:8" x14ac:dyDescent="0.25">
      <c r="A376">
        <v>1407386</v>
      </c>
      <c r="B376" s="121" t="s">
        <v>7874</v>
      </c>
      <c r="C376" t="s">
        <v>32</v>
      </c>
      <c r="D376" t="s">
        <v>43</v>
      </c>
      <c r="E376" t="s">
        <v>394</v>
      </c>
      <c r="F376" t="s">
        <v>1649</v>
      </c>
      <c r="G376" t="s">
        <v>4536</v>
      </c>
      <c r="H376" s="121" t="s">
        <v>7917</v>
      </c>
    </row>
    <row r="377" spans="1:8" x14ac:dyDescent="0.25">
      <c r="A377">
        <v>1407706</v>
      </c>
      <c r="B377" s="121" t="s">
        <v>7874</v>
      </c>
      <c r="C377" t="s">
        <v>32</v>
      </c>
      <c r="D377" t="s">
        <v>43</v>
      </c>
      <c r="E377" t="s">
        <v>76</v>
      </c>
      <c r="F377" t="s">
        <v>7918</v>
      </c>
      <c r="G377" t="s">
        <v>1379</v>
      </c>
      <c r="H377" s="121" t="s">
        <v>7919</v>
      </c>
    </row>
    <row r="378" spans="1:8" x14ac:dyDescent="0.25">
      <c r="A378">
        <v>1407708</v>
      </c>
      <c r="B378" s="121" t="s">
        <v>7874</v>
      </c>
      <c r="C378" t="s">
        <v>32</v>
      </c>
      <c r="D378" t="s">
        <v>43</v>
      </c>
      <c r="E378" t="s">
        <v>76</v>
      </c>
      <c r="F378" t="s">
        <v>1380</v>
      </c>
      <c r="G378" t="s">
        <v>7920</v>
      </c>
      <c r="H378" s="121" t="s">
        <v>7921</v>
      </c>
    </row>
    <row r="379" spans="1:8" x14ac:dyDescent="0.25">
      <c r="A379">
        <v>1407709</v>
      </c>
      <c r="B379" s="121" t="s">
        <v>7874</v>
      </c>
      <c r="C379" t="s">
        <v>32</v>
      </c>
      <c r="D379" t="s">
        <v>43</v>
      </c>
      <c r="E379" t="s">
        <v>76</v>
      </c>
      <c r="F379" t="s">
        <v>1381</v>
      </c>
      <c r="G379" t="s">
        <v>3731</v>
      </c>
      <c r="H379" s="121" t="s">
        <v>7922</v>
      </c>
    </row>
    <row r="380" spans="1:8" x14ac:dyDescent="0.25">
      <c r="A380">
        <v>1407713</v>
      </c>
      <c r="B380" s="121" t="s">
        <v>7874</v>
      </c>
      <c r="C380" t="s">
        <v>32</v>
      </c>
      <c r="D380" t="s">
        <v>43</v>
      </c>
      <c r="E380" t="s">
        <v>76</v>
      </c>
      <c r="F380" t="s">
        <v>7923</v>
      </c>
      <c r="G380" t="s">
        <v>7924</v>
      </c>
      <c r="H380" s="121" t="s">
        <v>7925</v>
      </c>
    </row>
    <row r="381" spans="1:8" x14ac:dyDescent="0.25">
      <c r="A381">
        <v>1408309</v>
      </c>
      <c r="B381" s="121" t="s">
        <v>7874</v>
      </c>
      <c r="C381" t="s">
        <v>32</v>
      </c>
      <c r="D381" t="s">
        <v>43</v>
      </c>
      <c r="E381" t="s">
        <v>591</v>
      </c>
      <c r="F381" t="s">
        <v>1385</v>
      </c>
      <c r="G381" t="s">
        <v>7926</v>
      </c>
      <c r="H381" s="121" t="s">
        <v>7927</v>
      </c>
    </row>
    <row r="382" spans="1:8" x14ac:dyDescent="0.25">
      <c r="A382">
        <v>1408310</v>
      </c>
      <c r="B382" s="121" t="s">
        <v>7874</v>
      </c>
      <c r="C382" t="s">
        <v>32</v>
      </c>
      <c r="D382" t="s">
        <v>43</v>
      </c>
      <c r="E382" t="s">
        <v>591</v>
      </c>
      <c r="F382" t="s">
        <v>3733</v>
      </c>
      <c r="G382" t="s">
        <v>1655</v>
      </c>
      <c r="H382" s="121" t="s">
        <v>7928</v>
      </c>
    </row>
    <row r="383" spans="1:8" x14ac:dyDescent="0.25">
      <c r="A383">
        <v>1408607</v>
      </c>
      <c r="B383" s="121" t="s">
        <v>7874</v>
      </c>
      <c r="C383" t="s">
        <v>32</v>
      </c>
      <c r="D383" t="s">
        <v>43</v>
      </c>
      <c r="E383" t="s">
        <v>3738</v>
      </c>
      <c r="F383" t="s">
        <v>3755</v>
      </c>
      <c r="G383" t="s">
        <v>7929</v>
      </c>
      <c r="H383" s="121" t="s">
        <v>7930</v>
      </c>
    </row>
    <row r="384" spans="1:8" x14ac:dyDescent="0.25">
      <c r="A384">
        <v>1408608</v>
      </c>
      <c r="B384" s="121" t="s">
        <v>7874</v>
      </c>
      <c r="C384" t="s">
        <v>32</v>
      </c>
      <c r="D384" t="s">
        <v>43</v>
      </c>
      <c r="E384" t="s">
        <v>3738</v>
      </c>
      <c r="F384" t="s">
        <v>3745</v>
      </c>
      <c r="G384" t="s">
        <v>3743</v>
      </c>
      <c r="H384" s="121" t="s">
        <v>7931</v>
      </c>
    </row>
    <row r="385" spans="1:8" x14ac:dyDescent="0.25">
      <c r="A385">
        <v>1408610</v>
      </c>
      <c r="B385" s="121" t="s">
        <v>7874</v>
      </c>
      <c r="C385" t="s">
        <v>32</v>
      </c>
      <c r="D385" t="s">
        <v>43</v>
      </c>
      <c r="E385" t="s">
        <v>3738</v>
      </c>
      <c r="F385" t="s">
        <v>7932</v>
      </c>
      <c r="G385" t="s">
        <v>3740</v>
      </c>
      <c r="H385" s="121" t="s">
        <v>7933</v>
      </c>
    </row>
    <row r="386" spans="1:8" x14ac:dyDescent="0.25">
      <c r="A386">
        <v>1408612</v>
      </c>
      <c r="B386" s="121" t="s">
        <v>7874</v>
      </c>
      <c r="C386" t="s">
        <v>32</v>
      </c>
      <c r="D386" t="s">
        <v>43</v>
      </c>
      <c r="E386" t="s">
        <v>3738</v>
      </c>
      <c r="F386" t="s">
        <v>3754</v>
      </c>
      <c r="G386" t="s">
        <v>7934</v>
      </c>
      <c r="H386" s="121" t="s">
        <v>7935</v>
      </c>
    </row>
    <row r="387" spans="1:8" x14ac:dyDescent="0.25">
      <c r="A387">
        <v>1408613</v>
      </c>
      <c r="B387" s="121" t="s">
        <v>7874</v>
      </c>
      <c r="C387" t="s">
        <v>32</v>
      </c>
      <c r="D387" t="s">
        <v>43</v>
      </c>
      <c r="E387" t="s">
        <v>3738</v>
      </c>
      <c r="F387" t="s">
        <v>3751</v>
      </c>
      <c r="G387" t="s">
        <v>3742</v>
      </c>
      <c r="H387" s="121" t="s">
        <v>7936</v>
      </c>
    </row>
    <row r="388" spans="1:8" x14ac:dyDescent="0.25">
      <c r="A388">
        <v>1408614</v>
      </c>
      <c r="B388" s="121" t="s">
        <v>7874</v>
      </c>
      <c r="C388" t="s">
        <v>32</v>
      </c>
      <c r="D388" t="s">
        <v>43</v>
      </c>
      <c r="E388" t="s">
        <v>3738</v>
      </c>
      <c r="F388" t="s">
        <v>3748</v>
      </c>
      <c r="G388" t="s">
        <v>7937</v>
      </c>
      <c r="H388" s="121" t="s">
        <v>7938</v>
      </c>
    </row>
    <row r="389" spans="1:8" x14ac:dyDescent="0.25">
      <c r="A389">
        <v>1408911</v>
      </c>
      <c r="B389" s="121" t="s">
        <v>7874</v>
      </c>
      <c r="C389" t="s">
        <v>32</v>
      </c>
      <c r="D389" t="s">
        <v>43</v>
      </c>
      <c r="E389" t="s">
        <v>395</v>
      </c>
      <c r="F389" t="s">
        <v>3766</v>
      </c>
      <c r="G389" t="s">
        <v>3774</v>
      </c>
      <c r="H389" s="121" t="s">
        <v>7939</v>
      </c>
    </row>
    <row r="390" spans="1:8" x14ac:dyDescent="0.25">
      <c r="A390">
        <v>1408912</v>
      </c>
      <c r="B390" s="121" t="s">
        <v>7874</v>
      </c>
      <c r="C390" t="s">
        <v>32</v>
      </c>
      <c r="D390" t="s">
        <v>43</v>
      </c>
      <c r="E390" t="s">
        <v>395</v>
      </c>
      <c r="F390" t="s">
        <v>3764</v>
      </c>
      <c r="G390" t="s">
        <v>3767</v>
      </c>
      <c r="H390" s="121" t="s">
        <v>7940</v>
      </c>
    </row>
    <row r="391" spans="1:8" x14ac:dyDescent="0.25">
      <c r="A391">
        <v>1408913</v>
      </c>
      <c r="B391" s="121" t="s">
        <v>7874</v>
      </c>
      <c r="C391" t="s">
        <v>32</v>
      </c>
      <c r="D391" t="s">
        <v>43</v>
      </c>
      <c r="E391" t="s">
        <v>395</v>
      </c>
      <c r="F391" t="s">
        <v>7941</v>
      </c>
      <c r="G391" t="s">
        <v>3775</v>
      </c>
      <c r="H391" s="121" t="s">
        <v>7942</v>
      </c>
    </row>
    <row r="392" spans="1:8" x14ac:dyDescent="0.25">
      <c r="A392">
        <v>1408916</v>
      </c>
      <c r="B392" s="121" t="s">
        <v>7874</v>
      </c>
      <c r="C392" t="s">
        <v>32</v>
      </c>
      <c r="D392" t="s">
        <v>43</v>
      </c>
      <c r="E392" t="s">
        <v>395</v>
      </c>
      <c r="F392" t="s">
        <v>1389</v>
      </c>
      <c r="G392" t="s">
        <v>3770</v>
      </c>
      <c r="H392" s="121" t="s">
        <v>7943</v>
      </c>
    </row>
    <row r="393" spans="1:8" x14ac:dyDescent="0.25">
      <c r="A393">
        <v>1408917</v>
      </c>
      <c r="B393" s="121" t="s">
        <v>7874</v>
      </c>
      <c r="C393" t="s">
        <v>32</v>
      </c>
      <c r="D393" t="s">
        <v>43</v>
      </c>
      <c r="E393" t="s">
        <v>395</v>
      </c>
      <c r="F393" t="s">
        <v>1388</v>
      </c>
      <c r="G393" t="s">
        <v>3772</v>
      </c>
      <c r="H393" s="121" t="s">
        <v>7944</v>
      </c>
    </row>
    <row r="394" spans="1:8" x14ac:dyDescent="0.25">
      <c r="A394">
        <v>1409197</v>
      </c>
      <c r="B394" s="121" t="s">
        <v>7874</v>
      </c>
      <c r="C394" t="s">
        <v>32</v>
      </c>
      <c r="D394" t="s">
        <v>43</v>
      </c>
      <c r="E394" t="s">
        <v>3777</v>
      </c>
      <c r="F394" t="s">
        <v>7945</v>
      </c>
      <c r="G394" t="s">
        <v>4962</v>
      </c>
      <c r="H394" s="121" t="s">
        <v>7946</v>
      </c>
    </row>
    <row r="395" spans="1:8" x14ac:dyDescent="0.25">
      <c r="A395">
        <v>1409198</v>
      </c>
      <c r="B395" s="121" t="s">
        <v>7874</v>
      </c>
      <c r="C395" t="s">
        <v>32</v>
      </c>
      <c r="D395" t="s">
        <v>43</v>
      </c>
      <c r="E395" t="s">
        <v>3777</v>
      </c>
      <c r="F395" t="s">
        <v>3784</v>
      </c>
      <c r="G395" t="s">
        <v>7947</v>
      </c>
      <c r="H395" s="121" t="s">
        <v>7948</v>
      </c>
    </row>
    <row r="396" spans="1:8" x14ac:dyDescent="0.25">
      <c r="A396">
        <v>1409199</v>
      </c>
      <c r="B396" s="121" t="s">
        <v>7874</v>
      </c>
      <c r="C396" t="s">
        <v>32</v>
      </c>
      <c r="D396" t="s">
        <v>43</v>
      </c>
      <c r="E396" t="s">
        <v>3777</v>
      </c>
      <c r="F396" t="s">
        <v>3781</v>
      </c>
      <c r="G396" t="s">
        <v>7949</v>
      </c>
      <c r="H396" s="121" t="s">
        <v>7950</v>
      </c>
    </row>
    <row r="397" spans="1:8" x14ac:dyDescent="0.25">
      <c r="A397">
        <v>1409316</v>
      </c>
      <c r="B397" s="121" t="s">
        <v>7874</v>
      </c>
      <c r="C397" t="s">
        <v>32</v>
      </c>
      <c r="D397" t="s">
        <v>43</v>
      </c>
      <c r="E397" t="s">
        <v>600</v>
      </c>
      <c r="F397" t="s">
        <v>7951</v>
      </c>
      <c r="G397" t="s">
        <v>3787</v>
      </c>
      <c r="H397" s="121" t="s">
        <v>7952</v>
      </c>
    </row>
    <row r="398" spans="1:8" x14ac:dyDescent="0.25">
      <c r="A398">
        <v>1409422</v>
      </c>
      <c r="B398" s="121" t="s">
        <v>7874</v>
      </c>
      <c r="C398" t="s">
        <v>32</v>
      </c>
      <c r="D398" t="s">
        <v>43</v>
      </c>
      <c r="E398" t="s">
        <v>600</v>
      </c>
      <c r="F398" t="s">
        <v>3840</v>
      </c>
      <c r="G398" t="s">
        <v>7953</v>
      </c>
      <c r="H398" s="121" t="s">
        <v>7954</v>
      </c>
    </row>
    <row r="399" spans="1:8" x14ac:dyDescent="0.25">
      <c r="A399">
        <v>1409659</v>
      </c>
      <c r="B399" s="121" t="s">
        <v>7874</v>
      </c>
      <c r="C399" t="s">
        <v>32</v>
      </c>
      <c r="D399" t="s">
        <v>43</v>
      </c>
      <c r="E399" t="s">
        <v>3789</v>
      </c>
      <c r="F399" t="s">
        <v>7955</v>
      </c>
      <c r="G399" t="s">
        <v>7956</v>
      </c>
      <c r="H399" s="121" t="s">
        <v>7957</v>
      </c>
    </row>
    <row r="400" spans="1:8" x14ac:dyDescent="0.25">
      <c r="A400">
        <v>1409660</v>
      </c>
      <c r="B400" s="121" t="s">
        <v>7874</v>
      </c>
      <c r="C400" t="s">
        <v>32</v>
      </c>
      <c r="D400" t="s">
        <v>43</v>
      </c>
      <c r="E400" t="s">
        <v>3789</v>
      </c>
      <c r="F400" t="s">
        <v>3790</v>
      </c>
      <c r="G400" t="s">
        <v>4552</v>
      </c>
      <c r="H400" s="121" t="s">
        <v>7958</v>
      </c>
    </row>
    <row r="401" spans="1:8" x14ac:dyDescent="0.25">
      <c r="A401">
        <v>1409946</v>
      </c>
      <c r="B401" s="121" t="s">
        <v>7874</v>
      </c>
      <c r="C401" t="s">
        <v>32</v>
      </c>
      <c r="D401" t="s">
        <v>43</v>
      </c>
      <c r="E401" t="s">
        <v>396</v>
      </c>
      <c r="F401" t="s">
        <v>3808</v>
      </c>
      <c r="G401" t="s">
        <v>7959</v>
      </c>
      <c r="H401" s="121" t="s">
        <v>7960</v>
      </c>
    </row>
    <row r="402" spans="1:8" x14ac:dyDescent="0.25">
      <c r="A402">
        <v>1409948</v>
      </c>
      <c r="B402" s="121" t="s">
        <v>7874</v>
      </c>
      <c r="C402" t="s">
        <v>32</v>
      </c>
      <c r="D402" t="s">
        <v>43</v>
      </c>
      <c r="E402" t="s">
        <v>396</v>
      </c>
      <c r="F402" t="s">
        <v>3805</v>
      </c>
      <c r="G402" t="s">
        <v>3811</v>
      </c>
      <c r="H402" s="121" t="s">
        <v>7961</v>
      </c>
    </row>
    <row r="403" spans="1:8" x14ac:dyDescent="0.25">
      <c r="A403">
        <v>1409949</v>
      </c>
      <c r="B403" s="121" t="s">
        <v>7874</v>
      </c>
      <c r="C403" t="s">
        <v>32</v>
      </c>
      <c r="D403" t="s">
        <v>43</v>
      </c>
      <c r="E403" t="s">
        <v>396</v>
      </c>
      <c r="F403" t="s">
        <v>3796</v>
      </c>
      <c r="G403" t="s">
        <v>3803</v>
      </c>
      <c r="H403" s="121" t="s">
        <v>7962</v>
      </c>
    </row>
    <row r="404" spans="1:8" x14ac:dyDescent="0.25">
      <c r="A404">
        <v>1409954</v>
      </c>
      <c r="B404" s="121" t="s">
        <v>7874</v>
      </c>
      <c r="C404" t="s">
        <v>32</v>
      </c>
      <c r="D404" t="s">
        <v>43</v>
      </c>
      <c r="E404" t="s">
        <v>396</v>
      </c>
      <c r="F404" t="s">
        <v>3799</v>
      </c>
      <c r="G404" t="s">
        <v>1394</v>
      </c>
      <c r="H404" s="121" t="s">
        <v>7963</v>
      </c>
    </row>
    <row r="405" spans="1:8" x14ac:dyDescent="0.25">
      <c r="A405">
        <v>1410388</v>
      </c>
      <c r="B405" s="121" t="s">
        <v>7874</v>
      </c>
      <c r="C405" t="s">
        <v>32</v>
      </c>
      <c r="D405" t="s">
        <v>51</v>
      </c>
      <c r="E405" t="s">
        <v>3147</v>
      </c>
      <c r="F405" t="s">
        <v>4555</v>
      </c>
      <c r="G405" t="s">
        <v>7964</v>
      </c>
      <c r="H405" s="121" t="s">
        <v>7965</v>
      </c>
    </row>
    <row r="406" spans="1:8" x14ac:dyDescent="0.25">
      <c r="A406">
        <v>1410391</v>
      </c>
      <c r="B406" s="121" t="s">
        <v>7874</v>
      </c>
      <c r="C406" t="s">
        <v>32</v>
      </c>
      <c r="D406" t="s">
        <v>51</v>
      </c>
      <c r="E406" t="s">
        <v>3147</v>
      </c>
      <c r="F406" t="s">
        <v>7966</v>
      </c>
      <c r="G406" t="s">
        <v>6697</v>
      </c>
      <c r="H406" s="121" t="s">
        <v>7967</v>
      </c>
    </row>
    <row r="407" spans="1:8" x14ac:dyDescent="0.25">
      <c r="A407">
        <v>1410688</v>
      </c>
      <c r="B407" s="121" t="s">
        <v>7874</v>
      </c>
      <c r="C407" t="s">
        <v>32</v>
      </c>
      <c r="D407" t="s">
        <v>51</v>
      </c>
      <c r="E407" t="s">
        <v>386</v>
      </c>
      <c r="F407" t="s">
        <v>3396</v>
      </c>
      <c r="G407" t="s">
        <v>3828</v>
      </c>
      <c r="H407" s="121" t="s">
        <v>7968</v>
      </c>
    </row>
    <row r="408" spans="1:8" x14ac:dyDescent="0.25">
      <c r="A408">
        <v>1412273</v>
      </c>
      <c r="B408" s="121" t="s">
        <v>7874</v>
      </c>
      <c r="C408" t="s">
        <v>32</v>
      </c>
      <c r="D408" t="s">
        <v>43</v>
      </c>
      <c r="E408" t="s">
        <v>600</v>
      </c>
      <c r="F408" t="s">
        <v>1391</v>
      </c>
      <c r="G408" t="s">
        <v>7969</v>
      </c>
      <c r="H408" s="121" t="s">
        <v>7970</v>
      </c>
    </row>
    <row r="409" spans="1:8" x14ac:dyDescent="0.25">
      <c r="A409">
        <v>1414274</v>
      </c>
      <c r="B409" s="121" t="s">
        <v>7874</v>
      </c>
      <c r="C409" t="s">
        <v>32</v>
      </c>
      <c r="D409" t="s">
        <v>43</v>
      </c>
      <c r="E409" t="s">
        <v>592</v>
      </c>
      <c r="F409" t="s">
        <v>2040</v>
      </c>
      <c r="G409" t="s">
        <v>919</v>
      </c>
      <c r="H409" s="121" t="s">
        <v>7971</v>
      </c>
    </row>
    <row r="410" spans="1:8" x14ac:dyDescent="0.25">
      <c r="A410">
        <v>1414482</v>
      </c>
      <c r="B410" s="121" t="s">
        <v>7874</v>
      </c>
      <c r="C410" t="s">
        <v>32</v>
      </c>
      <c r="D410" t="s">
        <v>390</v>
      </c>
      <c r="E410" t="s">
        <v>920</v>
      </c>
      <c r="F410" t="s">
        <v>1907</v>
      </c>
      <c r="G410" t="s">
        <v>1409</v>
      </c>
      <c r="H410" s="121" t="s">
        <v>7972</v>
      </c>
    </row>
    <row r="411" spans="1:8" x14ac:dyDescent="0.25">
      <c r="A411">
        <v>1415118</v>
      </c>
      <c r="B411" s="121" t="s">
        <v>7874</v>
      </c>
      <c r="C411" t="s">
        <v>32</v>
      </c>
      <c r="D411" t="s">
        <v>390</v>
      </c>
      <c r="E411" t="s">
        <v>1243</v>
      </c>
      <c r="F411" t="s">
        <v>1429</v>
      </c>
      <c r="G411" t="s">
        <v>1430</v>
      </c>
      <c r="H411" s="121" t="s">
        <v>7973</v>
      </c>
    </row>
    <row r="412" spans="1:8" x14ac:dyDescent="0.25">
      <c r="A412">
        <v>1415122</v>
      </c>
      <c r="B412" s="121" t="s">
        <v>7874</v>
      </c>
      <c r="C412" t="s">
        <v>32</v>
      </c>
      <c r="D412" t="s">
        <v>390</v>
      </c>
      <c r="E412" t="s">
        <v>1243</v>
      </c>
      <c r="F412" t="s">
        <v>1424</v>
      </c>
      <c r="G412" t="s">
        <v>1244</v>
      </c>
      <c r="H412" s="121" t="s">
        <v>7974</v>
      </c>
    </row>
    <row r="413" spans="1:8" x14ac:dyDescent="0.25">
      <c r="A413">
        <v>1431445</v>
      </c>
      <c r="B413" s="121" t="s">
        <v>7874</v>
      </c>
      <c r="C413" t="s">
        <v>32</v>
      </c>
      <c r="D413" t="s">
        <v>40</v>
      </c>
      <c r="E413" t="s">
        <v>349</v>
      </c>
      <c r="F413" t="s">
        <v>7975</v>
      </c>
      <c r="G413" t="s">
        <v>6009</v>
      </c>
      <c r="H413" s="121" t="s">
        <v>7976</v>
      </c>
    </row>
    <row r="414" spans="1:8" x14ac:dyDescent="0.25">
      <c r="A414">
        <v>1456640</v>
      </c>
      <c r="B414" s="121" t="s">
        <v>7874</v>
      </c>
      <c r="C414" t="s">
        <v>32</v>
      </c>
      <c r="D414" t="s">
        <v>107</v>
      </c>
      <c r="E414" t="s">
        <v>3868</v>
      </c>
      <c r="F414" t="s">
        <v>3870</v>
      </c>
      <c r="G414" t="s">
        <v>7977</v>
      </c>
      <c r="H414" s="121" t="s">
        <v>7978</v>
      </c>
    </row>
    <row r="415" spans="1:8" x14ac:dyDescent="0.25">
      <c r="A415">
        <v>1456880</v>
      </c>
      <c r="B415" s="121" t="s">
        <v>7874</v>
      </c>
      <c r="C415" t="s">
        <v>32</v>
      </c>
      <c r="D415" t="s">
        <v>107</v>
      </c>
      <c r="E415" t="s">
        <v>3868</v>
      </c>
      <c r="F415" t="s">
        <v>3873</v>
      </c>
      <c r="G415" t="s">
        <v>7979</v>
      </c>
      <c r="H415" s="121" t="s">
        <v>7980</v>
      </c>
    </row>
    <row r="416" spans="1:8" x14ac:dyDescent="0.25">
      <c r="A416">
        <v>1487543</v>
      </c>
      <c r="B416" s="121" t="s">
        <v>7874</v>
      </c>
      <c r="C416" t="s">
        <v>32</v>
      </c>
      <c r="D416" t="s">
        <v>381</v>
      </c>
      <c r="E416" t="s">
        <v>571</v>
      </c>
      <c r="F416" t="s">
        <v>906</v>
      </c>
      <c r="G416" t="s">
        <v>3013</v>
      </c>
      <c r="H416" s="121" t="s">
        <v>7981</v>
      </c>
    </row>
    <row r="417" spans="1:8" x14ac:dyDescent="0.25">
      <c r="A417">
        <v>1494620</v>
      </c>
      <c r="B417" s="121" t="s">
        <v>7874</v>
      </c>
      <c r="C417" t="s">
        <v>32</v>
      </c>
      <c r="D417" t="s">
        <v>85</v>
      </c>
      <c r="E417" t="s">
        <v>5853</v>
      </c>
      <c r="F417" t="s">
        <v>6142</v>
      </c>
      <c r="G417" t="s">
        <v>2002</v>
      </c>
      <c r="H417" s="121" t="s">
        <v>7982</v>
      </c>
    </row>
    <row r="418" spans="1:8" x14ac:dyDescent="0.25">
      <c r="A418">
        <v>1495783</v>
      </c>
      <c r="B418" s="121" t="s">
        <v>7874</v>
      </c>
      <c r="C418" t="s">
        <v>32</v>
      </c>
      <c r="D418" t="s">
        <v>85</v>
      </c>
      <c r="E418" t="s">
        <v>335</v>
      </c>
      <c r="F418" t="s">
        <v>4998</v>
      </c>
      <c r="G418" t="s">
        <v>7983</v>
      </c>
      <c r="H418" s="121" t="s">
        <v>7984</v>
      </c>
    </row>
    <row r="419" spans="1:8" x14ac:dyDescent="0.25">
      <c r="A419">
        <v>1495784</v>
      </c>
      <c r="B419" s="121" t="s">
        <v>7874</v>
      </c>
      <c r="C419" t="s">
        <v>32</v>
      </c>
      <c r="D419" t="s">
        <v>85</v>
      </c>
      <c r="E419" t="s">
        <v>335</v>
      </c>
      <c r="F419" t="s">
        <v>7985</v>
      </c>
      <c r="G419" t="s">
        <v>4793</v>
      </c>
      <c r="H419" s="121" t="s">
        <v>7986</v>
      </c>
    </row>
    <row r="420" spans="1:8" x14ac:dyDescent="0.25">
      <c r="A420">
        <v>1495785</v>
      </c>
      <c r="B420" s="121" t="s">
        <v>7874</v>
      </c>
      <c r="C420" t="s">
        <v>32</v>
      </c>
      <c r="D420" t="s">
        <v>85</v>
      </c>
      <c r="E420" t="s">
        <v>335</v>
      </c>
      <c r="F420" t="s">
        <v>3475</v>
      </c>
      <c r="G420" t="s">
        <v>4053</v>
      </c>
      <c r="H420" s="121" t="s">
        <v>7987</v>
      </c>
    </row>
    <row r="421" spans="1:8" x14ac:dyDescent="0.25">
      <c r="A421">
        <v>1495786</v>
      </c>
      <c r="B421" s="121" t="s">
        <v>7874</v>
      </c>
      <c r="C421" t="s">
        <v>32</v>
      </c>
      <c r="D421" t="s">
        <v>85</v>
      </c>
      <c r="E421" t="s">
        <v>335</v>
      </c>
      <c r="F421" t="s">
        <v>4794</v>
      </c>
      <c r="G421" t="s">
        <v>2520</v>
      </c>
      <c r="H421" s="121" t="s">
        <v>7988</v>
      </c>
    </row>
    <row r="422" spans="1:8" x14ac:dyDescent="0.25">
      <c r="A422">
        <v>1496023</v>
      </c>
      <c r="B422" s="121" t="s">
        <v>7874</v>
      </c>
      <c r="C422" t="s">
        <v>32</v>
      </c>
      <c r="D422" t="s">
        <v>85</v>
      </c>
      <c r="E422" t="s">
        <v>7989</v>
      </c>
      <c r="F422" t="s">
        <v>4807</v>
      </c>
      <c r="G422" t="s">
        <v>7990</v>
      </c>
      <c r="H422" s="121" t="s">
        <v>7991</v>
      </c>
    </row>
    <row r="423" spans="1:8" x14ac:dyDescent="0.25">
      <c r="A423">
        <v>1496028</v>
      </c>
      <c r="B423" s="121" t="s">
        <v>7874</v>
      </c>
      <c r="C423" t="s">
        <v>32</v>
      </c>
      <c r="D423" t="s">
        <v>85</v>
      </c>
      <c r="E423" t="s">
        <v>7989</v>
      </c>
      <c r="F423" t="s">
        <v>4064</v>
      </c>
      <c r="G423" t="s">
        <v>3621</v>
      </c>
      <c r="H423" s="121" t="s">
        <v>7992</v>
      </c>
    </row>
    <row r="424" spans="1:8" x14ac:dyDescent="0.25">
      <c r="A424">
        <v>1496204</v>
      </c>
      <c r="B424" s="121" t="s">
        <v>7874</v>
      </c>
      <c r="C424" t="s">
        <v>32</v>
      </c>
      <c r="D424" t="s">
        <v>85</v>
      </c>
      <c r="E424" t="s">
        <v>7671</v>
      </c>
      <c r="F424" t="s">
        <v>7993</v>
      </c>
      <c r="G424" t="s">
        <v>7994</v>
      </c>
      <c r="H424" s="121" t="s">
        <v>7995</v>
      </c>
    </row>
    <row r="425" spans="1:8" x14ac:dyDescent="0.25">
      <c r="A425">
        <v>1496206</v>
      </c>
      <c r="B425" s="121" t="s">
        <v>7874</v>
      </c>
      <c r="C425" t="s">
        <v>32</v>
      </c>
      <c r="D425" t="s">
        <v>85</v>
      </c>
      <c r="E425" t="s">
        <v>7671</v>
      </c>
      <c r="F425" t="s">
        <v>4073</v>
      </c>
      <c r="G425" t="s">
        <v>4076</v>
      </c>
      <c r="H425" s="121" t="s">
        <v>7996</v>
      </c>
    </row>
    <row r="426" spans="1:8" x14ac:dyDescent="0.25">
      <c r="A426">
        <v>1496386</v>
      </c>
      <c r="B426" s="121" t="s">
        <v>7874</v>
      </c>
      <c r="C426" t="s">
        <v>32</v>
      </c>
      <c r="D426" t="s">
        <v>85</v>
      </c>
      <c r="E426" t="s">
        <v>7674</v>
      </c>
      <c r="F426" t="s">
        <v>7997</v>
      </c>
      <c r="G426" t="s">
        <v>7998</v>
      </c>
      <c r="H426" s="121" t="s">
        <v>7999</v>
      </c>
    </row>
    <row r="427" spans="1:8" x14ac:dyDescent="0.25">
      <c r="A427">
        <v>1496574</v>
      </c>
      <c r="B427" s="121" t="s">
        <v>7874</v>
      </c>
      <c r="C427" t="s">
        <v>32</v>
      </c>
      <c r="D427" t="s">
        <v>85</v>
      </c>
      <c r="E427" t="s">
        <v>7681</v>
      </c>
      <c r="F427" t="s">
        <v>8000</v>
      </c>
      <c r="G427" t="s">
        <v>8001</v>
      </c>
      <c r="H427" s="121" t="s">
        <v>8002</v>
      </c>
    </row>
    <row r="428" spans="1:8" x14ac:dyDescent="0.25">
      <c r="A428">
        <v>1496752</v>
      </c>
      <c r="B428" s="121" t="s">
        <v>7874</v>
      </c>
      <c r="C428" t="s">
        <v>32</v>
      </c>
      <c r="D428" t="s">
        <v>85</v>
      </c>
      <c r="E428" t="s">
        <v>8003</v>
      </c>
      <c r="F428" t="s">
        <v>8004</v>
      </c>
      <c r="G428" t="s">
        <v>8005</v>
      </c>
      <c r="H428" s="121" t="s">
        <v>8006</v>
      </c>
    </row>
    <row r="429" spans="1:8" x14ac:dyDescent="0.25">
      <c r="A429">
        <v>1496754</v>
      </c>
      <c r="B429" s="121" t="s">
        <v>7874</v>
      </c>
      <c r="C429" t="s">
        <v>32</v>
      </c>
      <c r="D429" t="s">
        <v>85</v>
      </c>
      <c r="E429" t="s">
        <v>8003</v>
      </c>
      <c r="F429" t="s">
        <v>8007</v>
      </c>
      <c r="G429" t="s">
        <v>8008</v>
      </c>
      <c r="H429" s="121" t="s">
        <v>8009</v>
      </c>
    </row>
    <row r="430" spans="1:8" x14ac:dyDescent="0.25">
      <c r="A430">
        <v>1496755</v>
      </c>
      <c r="B430" s="121" t="s">
        <v>7874</v>
      </c>
      <c r="C430" t="s">
        <v>32</v>
      </c>
      <c r="D430" t="s">
        <v>85</v>
      </c>
      <c r="E430" t="s">
        <v>8003</v>
      </c>
      <c r="F430" t="s">
        <v>8010</v>
      </c>
      <c r="G430" t="s">
        <v>8011</v>
      </c>
      <c r="H430" s="121" t="s">
        <v>8012</v>
      </c>
    </row>
    <row r="431" spans="1:8" x14ac:dyDescent="0.25">
      <c r="A431">
        <v>1496936</v>
      </c>
      <c r="B431" s="121" t="s">
        <v>7874</v>
      </c>
      <c r="C431" t="s">
        <v>32</v>
      </c>
      <c r="D431" t="s">
        <v>85</v>
      </c>
      <c r="E431" t="s">
        <v>7685</v>
      </c>
      <c r="F431" t="s">
        <v>8013</v>
      </c>
      <c r="G431" t="s">
        <v>8014</v>
      </c>
      <c r="H431" s="121" t="s">
        <v>8015</v>
      </c>
    </row>
    <row r="432" spans="1:8" x14ac:dyDescent="0.25">
      <c r="A432">
        <v>1497296</v>
      </c>
      <c r="B432" s="121" t="s">
        <v>7874</v>
      </c>
      <c r="C432" t="s">
        <v>32</v>
      </c>
      <c r="D432" t="s">
        <v>85</v>
      </c>
      <c r="E432" t="s">
        <v>8016</v>
      </c>
      <c r="F432" t="s">
        <v>8017</v>
      </c>
      <c r="G432" t="s">
        <v>8018</v>
      </c>
      <c r="H432" s="121" t="s">
        <v>8019</v>
      </c>
    </row>
    <row r="433" spans="1:8" x14ac:dyDescent="0.25">
      <c r="A433">
        <v>1497302</v>
      </c>
      <c r="B433" s="121" t="s">
        <v>7874</v>
      </c>
      <c r="C433" t="s">
        <v>32</v>
      </c>
      <c r="D433" t="s">
        <v>85</v>
      </c>
      <c r="E433" t="s">
        <v>8016</v>
      </c>
      <c r="F433" t="s">
        <v>8020</v>
      </c>
      <c r="G433" t="s">
        <v>8021</v>
      </c>
      <c r="H433" s="121" t="s">
        <v>8022</v>
      </c>
    </row>
    <row r="434" spans="1:8" x14ac:dyDescent="0.25">
      <c r="A434">
        <v>1500342</v>
      </c>
      <c r="B434" s="121" t="s">
        <v>7874</v>
      </c>
      <c r="C434" t="s">
        <v>32</v>
      </c>
      <c r="D434" t="s">
        <v>324</v>
      </c>
      <c r="E434" t="s">
        <v>325</v>
      </c>
      <c r="F434" t="s">
        <v>4049</v>
      </c>
      <c r="G434" t="s">
        <v>1477</v>
      </c>
      <c r="H434" s="121" t="s">
        <v>8023</v>
      </c>
    </row>
    <row r="435" spans="1:8" x14ac:dyDescent="0.25">
      <c r="A435">
        <v>1506579</v>
      </c>
      <c r="B435" s="121" t="s">
        <v>7874</v>
      </c>
      <c r="C435" t="s">
        <v>32</v>
      </c>
      <c r="D435" t="s">
        <v>610</v>
      </c>
      <c r="E435" t="s">
        <v>611</v>
      </c>
      <c r="F435" t="s">
        <v>4078</v>
      </c>
      <c r="G435" t="s">
        <v>4081</v>
      </c>
      <c r="H435" s="121" t="s">
        <v>8024</v>
      </c>
    </row>
    <row r="436" spans="1:8" x14ac:dyDescent="0.25">
      <c r="A436">
        <v>1509061</v>
      </c>
      <c r="B436" s="121" t="s">
        <v>7874</v>
      </c>
      <c r="C436" t="s">
        <v>32</v>
      </c>
      <c r="D436" t="s">
        <v>408</v>
      </c>
      <c r="E436" t="s">
        <v>409</v>
      </c>
      <c r="F436" t="s">
        <v>8025</v>
      </c>
      <c r="G436" t="s">
        <v>8026</v>
      </c>
      <c r="H436" s="121" t="s">
        <v>8027</v>
      </c>
    </row>
    <row r="437" spans="1:8" x14ac:dyDescent="0.25">
      <c r="A437">
        <v>1509661</v>
      </c>
      <c r="B437" s="121" t="s">
        <v>7874</v>
      </c>
      <c r="C437" t="s">
        <v>32</v>
      </c>
      <c r="D437" t="s">
        <v>21</v>
      </c>
      <c r="E437" t="s">
        <v>22</v>
      </c>
      <c r="F437" t="s">
        <v>7535</v>
      </c>
      <c r="G437" t="s">
        <v>3556</v>
      </c>
      <c r="H437" s="121" t="s">
        <v>8028</v>
      </c>
    </row>
    <row r="438" spans="1:8" x14ac:dyDescent="0.25">
      <c r="A438">
        <v>1509736</v>
      </c>
      <c r="B438" s="121" t="s">
        <v>7874</v>
      </c>
      <c r="C438" t="s">
        <v>32</v>
      </c>
      <c r="D438" t="s">
        <v>58</v>
      </c>
      <c r="E438" t="s">
        <v>3303</v>
      </c>
      <c r="F438" t="s">
        <v>3305</v>
      </c>
      <c r="G438" t="s">
        <v>4402</v>
      </c>
      <c r="H438" s="121" t="s">
        <v>8029</v>
      </c>
    </row>
    <row r="439" spans="1:8" x14ac:dyDescent="0.25">
      <c r="A439">
        <v>1510900</v>
      </c>
      <c r="B439" s="121" t="s">
        <v>7874</v>
      </c>
      <c r="C439" t="s">
        <v>32</v>
      </c>
      <c r="D439" t="s">
        <v>275</v>
      </c>
      <c r="E439" t="s">
        <v>7720</v>
      </c>
      <c r="F439" t="s">
        <v>8030</v>
      </c>
      <c r="G439" t="s">
        <v>8031</v>
      </c>
      <c r="H439" s="121" t="s">
        <v>8032</v>
      </c>
    </row>
    <row r="440" spans="1:8" x14ac:dyDescent="0.25">
      <c r="A440">
        <v>1510904</v>
      </c>
      <c r="B440" s="121" t="s">
        <v>7874</v>
      </c>
      <c r="C440" t="s">
        <v>32</v>
      </c>
      <c r="D440" t="s">
        <v>275</v>
      </c>
      <c r="E440" t="s">
        <v>7720</v>
      </c>
      <c r="F440" t="s">
        <v>3471</v>
      </c>
      <c r="G440" t="s">
        <v>8033</v>
      </c>
      <c r="H440" s="121" t="s">
        <v>8034</v>
      </c>
    </row>
    <row r="441" spans="1:8" x14ac:dyDescent="0.25">
      <c r="A441">
        <v>1511087</v>
      </c>
      <c r="B441" s="121" t="s">
        <v>7874</v>
      </c>
      <c r="C441" t="s">
        <v>32</v>
      </c>
      <c r="D441" t="s">
        <v>275</v>
      </c>
      <c r="E441" t="s">
        <v>7592</v>
      </c>
      <c r="F441" t="s">
        <v>8035</v>
      </c>
      <c r="G441" t="s">
        <v>8036</v>
      </c>
      <c r="H441" s="121" t="s">
        <v>8037</v>
      </c>
    </row>
    <row r="442" spans="1:8" x14ac:dyDescent="0.25">
      <c r="A442">
        <v>1511267</v>
      </c>
      <c r="B442" s="121" t="s">
        <v>7874</v>
      </c>
      <c r="C442" t="s">
        <v>32</v>
      </c>
      <c r="D442" t="s">
        <v>275</v>
      </c>
      <c r="E442" t="s">
        <v>7733</v>
      </c>
      <c r="F442" t="s">
        <v>8038</v>
      </c>
      <c r="G442" t="s">
        <v>8039</v>
      </c>
      <c r="H442" s="121" t="s">
        <v>8040</v>
      </c>
    </row>
    <row r="443" spans="1:8" x14ac:dyDescent="0.25">
      <c r="A443">
        <v>1514616</v>
      </c>
      <c r="B443" s="121" t="s">
        <v>7874</v>
      </c>
      <c r="C443" t="s">
        <v>32</v>
      </c>
      <c r="D443" t="s">
        <v>67</v>
      </c>
      <c r="E443" t="s">
        <v>81</v>
      </c>
      <c r="F443" t="s">
        <v>3050</v>
      </c>
      <c r="G443" t="s">
        <v>8041</v>
      </c>
      <c r="H443" s="121" t="s">
        <v>8042</v>
      </c>
    </row>
    <row r="444" spans="1:8" x14ac:dyDescent="0.25">
      <c r="A444">
        <v>1515616</v>
      </c>
      <c r="B444" s="121" t="s">
        <v>7874</v>
      </c>
      <c r="C444" t="s">
        <v>32</v>
      </c>
      <c r="D444" t="s">
        <v>86</v>
      </c>
      <c r="E444" t="s">
        <v>655</v>
      </c>
      <c r="F444" t="s">
        <v>1270</v>
      </c>
      <c r="G444" t="s">
        <v>1500</v>
      </c>
      <c r="H444" s="121" t="s">
        <v>8043</v>
      </c>
    </row>
    <row r="445" spans="1:8" x14ac:dyDescent="0.25">
      <c r="A445">
        <v>1517138</v>
      </c>
      <c r="B445" s="121" t="s">
        <v>7874</v>
      </c>
      <c r="C445" t="s">
        <v>32</v>
      </c>
      <c r="D445" t="s">
        <v>5924</v>
      </c>
      <c r="E445" t="s">
        <v>7744</v>
      </c>
      <c r="F445" t="s">
        <v>8044</v>
      </c>
      <c r="G445" t="s">
        <v>8045</v>
      </c>
      <c r="H445" s="121" t="s">
        <v>8046</v>
      </c>
    </row>
    <row r="446" spans="1:8" x14ac:dyDescent="0.25">
      <c r="A446">
        <v>1518577</v>
      </c>
      <c r="B446" s="121" t="s">
        <v>7874</v>
      </c>
      <c r="C446" t="s">
        <v>32</v>
      </c>
      <c r="D446" t="s">
        <v>43</v>
      </c>
      <c r="E446" t="s">
        <v>576</v>
      </c>
      <c r="F446" t="s">
        <v>3257</v>
      </c>
      <c r="G446" t="s">
        <v>8047</v>
      </c>
      <c r="H446" s="121" t="s">
        <v>8048</v>
      </c>
    </row>
    <row r="447" spans="1:8" x14ac:dyDescent="0.25">
      <c r="A447">
        <v>1518579</v>
      </c>
      <c r="B447" s="121" t="s">
        <v>7874</v>
      </c>
      <c r="C447" t="s">
        <v>32</v>
      </c>
      <c r="D447" t="s">
        <v>43</v>
      </c>
      <c r="E447" t="s">
        <v>576</v>
      </c>
      <c r="F447" t="s">
        <v>963</v>
      </c>
      <c r="G447" t="s">
        <v>8049</v>
      </c>
      <c r="H447" s="121" t="s">
        <v>8050</v>
      </c>
    </row>
    <row r="448" spans="1:8" x14ac:dyDescent="0.25">
      <c r="A448">
        <v>1518952</v>
      </c>
      <c r="B448" s="121" t="s">
        <v>7874</v>
      </c>
      <c r="C448" t="s">
        <v>32</v>
      </c>
      <c r="D448" t="s">
        <v>38</v>
      </c>
      <c r="E448" t="s">
        <v>7457</v>
      </c>
      <c r="F448" t="s">
        <v>8051</v>
      </c>
      <c r="G448" t="s">
        <v>8052</v>
      </c>
      <c r="H448" s="121" t="s">
        <v>8053</v>
      </c>
    </row>
    <row r="449" spans="1:8" x14ac:dyDescent="0.25">
      <c r="A449">
        <v>1521570</v>
      </c>
      <c r="B449" s="121" t="s">
        <v>7874</v>
      </c>
      <c r="C449" t="s">
        <v>32</v>
      </c>
      <c r="D449" t="s">
        <v>546</v>
      </c>
      <c r="E449" t="s">
        <v>638</v>
      </c>
      <c r="F449" t="s">
        <v>8054</v>
      </c>
      <c r="G449" t="s">
        <v>5886</v>
      </c>
      <c r="H449" s="121" t="s">
        <v>8055</v>
      </c>
    </row>
    <row r="450" spans="1:8" x14ac:dyDescent="0.25">
      <c r="A450">
        <v>1524295</v>
      </c>
      <c r="B450" s="121" t="s">
        <v>7874</v>
      </c>
      <c r="C450" t="s">
        <v>32</v>
      </c>
      <c r="D450" t="s">
        <v>48</v>
      </c>
      <c r="E450" t="s">
        <v>342</v>
      </c>
      <c r="F450" t="s">
        <v>1509</v>
      </c>
      <c r="G450" t="s">
        <v>8056</v>
      </c>
      <c r="H450" s="121" t="s">
        <v>8057</v>
      </c>
    </row>
    <row r="451" spans="1:8" x14ac:dyDescent="0.25">
      <c r="A451">
        <v>1527660</v>
      </c>
      <c r="B451" s="121" t="s">
        <v>7874</v>
      </c>
      <c r="C451" t="s">
        <v>32</v>
      </c>
      <c r="D451" t="s">
        <v>537</v>
      </c>
      <c r="E451" t="s">
        <v>538</v>
      </c>
      <c r="F451" t="s">
        <v>8058</v>
      </c>
      <c r="G451" t="s">
        <v>8059</v>
      </c>
      <c r="H451" s="121" t="s">
        <v>8060</v>
      </c>
    </row>
    <row r="452" spans="1:8" x14ac:dyDescent="0.25">
      <c r="A452">
        <v>1527661</v>
      </c>
      <c r="B452" s="121" t="s">
        <v>7874</v>
      </c>
      <c r="C452" t="s">
        <v>32</v>
      </c>
      <c r="D452" t="s">
        <v>537</v>
      </c>
      <c r="E452" t="s">
        <v>538</v>
      </c>
      <c r="F452" t="s">
        <v>8061</v>
      </c>
      <c r="G452" t="s">
        <v>8062</v>
      </c>
      <c r="H452" s="121" t="s">
        <v>8063</v>
      </c>
    </row>
    <row r="453" spans="1:8" x14ac:dyDescent="0.25">
      <c r="A453">
        <v>1534009</v>
      </c>
      <c r="B453" s="121" t="s">
        <v>7874</v>
      </c>
      <c r="C453" t="s">
        <v>32</v>
      </c>
      <c r="D453" t="s">
        <v>268</v>
      </c>
      <c r="E453" t="s">
        <v>6031</v>
      </c>
      <c r="F453" t="s">
        <v>8064</v>
      </c>
      <c r="G453" t="s">
        <v>8065</v>
      </c>
      <c r="H453" s="121" t="s">
        <v>8066</v>
      </c>
    </row>
    <row r="454" spans="1:8" x14ac:dyDescent="0.25">
      <c r="A454">
        <v>1534261</v>
      </c>
      <c r="B454" s="121" t="s">
        <v>7874</v>
      </c>
      <c r="C454" t="s">
        <v>32</v>
      </c>
      <c r="D454" t="s">
        <v>389</v>
      </c>
      <c r="E454" t="s">
        <v>335</v>
      </c>
      <c r="F454" t="s">
        <v>8067</v>
      </c>
      <c r="G454" t="s">
        <v>8068</v>
      </c>
      <c r="H454" s="121" t="s">
        <v>8069</v>
      </c>
    </row>
    <row r="455" spans="1:8" x14ac:dyDescent="0.25">
      <c r="A455">
        <v>1534262</v>
      </c>
      <c r="B455" s="121" t="s">
        <v>7874</v>
      </c>
      <c r="C455" t="s">
        <v>32</v>
      </c>
      <c r="D455" t="s">
        <v>389</v>
      </c>
      <c r="E455" t="s">
        <v>335</v>
      </c>
      <c r="F455" t="s">
        <v>8070</v>
      </c>
      <c r="G455" t="s">
        <v>8071</v>
      </c>
      <c r="H455" s="121" t="s">
        <v>8072</v>
      </c>
    </row>
    <row r="456" spans="1:8" x14ac:dyDescent="0.25">
      <c r="A456">
        <v>1534684</v>
      </c>
      <c r="B456" s="121" t="s">
        <v>7874</v>
      </c>
      <c r="C456" t="s">
        <v>32</v>
      </c>
      <c r="D456" t="s">
        <v>268</v>
      </c>
      <c r="E456" t="s">
        <v>6031</v>
      </c>
      <c r="F456" t="s">
        <v>8073</v>
      </c>
      <c r="G456" t="s">
        <v>6033</v>
      </c>
      <c r="H456" s="121" t="s">
        <v>8074</v>
      </c>
    </row>
    <row r="457" spans="1:8" x14ac:dyDescent="0.25">
      <c r="A457">
        <v>1534685</v>
      </c>
      <c r="B457" s="121" t="s">
        <v>7874</v>
      </c>
      <c r="C457" t="s">
        <v>32</v>
      </c>
      <c r="D457" t="s">
        <v>268</v>
      </c>
      <c r="E457" t="s">
        <v>6031</v>
      </c>
      <c r="F457" t="s">
        <v>8075</v>
      </c>
      <c r="G457" t="s">
        <v>8076</v>
      </c>
      <c r="H457" s="121" t="s">
        <v>8077</v>
      </c>
    </row>
    <row r="458" spans="1:8" x14ac:dyDescent="0.25">
      <c r="A458">
        <v>1535808</v>
      </c>
      <c r="B458" s="121" t="s">
        <v>7874</v>
      </c>
      <c r="C458" t="s">
        <v>32</v>
      </c>
      <c r="D458" t="s">
        <v>377</v>
      </c>
      <c r="E458" t="s">
        <v>45</v>
      </c>
      <c r="F458" t="s">
        <v>3118</v>
      </c>
      <c r="G458" t="s">
        <v>858</v>
      </c>
      <c r="H458" s="121" t="s">
        <v>8078</v>
      </c>
    </row>
    <row r="459" spans="1:8" x14ac:dyDescent="0.25">
      <c r="A459">
        <v>1535939</v>
      </c>
      <c r="B459" s="121" t="s">
        <v>7874</v>
      </c>
      <c r="C459" t="s">
        <v>32</v>
      </c>
      <c r="D459" t="s">
        <v>5138</v>
      </c>
      <c r="E459" t="s">
        <v>5083</v>
      </c>
      <c r="F459" t="s">
        <v>8079</v>
      </c>
      <c r="G459" t="s">
        <v>8080</v>
      </c>
      <c r="H459" s="121" t="s">
        <v>8081</v>
      </c>
    </row>
    <row r="460" spans="1:8" x14ac:dyDescent="0.25">
      <c r="A460">
        <v>1535961</v>
      </c>
      <c r="B460" s="121" t="s">
        <v>7874</v>
      </c>
      <c r="C460" t="s">
        <v>32</v>
      </c>
      <c r="D460" t="s">
        <v>377</v>
      </c>
      <c r="E460" t="s">
        <v>7790</v>
      </c>
      <c r="F460" t="s">
        <v>8082</v>
      </c>
      <c r="G460" t="s">
        <v>8083</v>
      </c>
      <c r="H460" s="121" t="s">
        <v>8084</v>
      </c>
    </row>
    <row r="461" spans="1:8" x14ac:dyDescent="0.25">
      <c r="A461">
        <v>1535962</v>
      </c>
      <c r="B461" s="121" t="s">
        <v>7874</v>
      </c>
      <c r="C461" t="s">
        <v>32</v>
      </c>
      <c r="D461" t="s">
        <v>377</v>
      </c>
      <c r="E461" t="s">
        <v>7790</v>
      </c>
      <c r="F461" t="s">
        <v>8085</v>
      </c>
      <c r="G461" t="s">
        <v>8086</v>
      </c>
      <c r="H461" s="121" t="s">
        <v>8087</v>
      </c>
    </row>
    <row r="462" spans="1:8" x14ac:dyDescent="0.25">
      <c r="A462">
        <v>1536182</v>
      </c>
      <c r="B462" s="121" t="s">
        <v>7874</v>
      </c>
      <c r="C462" t="s">
        <v>32</v>
      </c>
      <c r="D462" t="s">
        <v>377</v>
      </c>
      <c r="E462" t="s">
        <v>7790</v>
      </c>
      <c r="F462" t="s">
        <v>8088</v>
      </c>
      <c r="G462" t="s">
        <v>8089</v>
      </c>
      <c r="H462" s="121" t="s">
        <v>8090</v>
      </c>
    </row>
    <row r="463" spans="1:8" x14ac:dyDescent="0.25">
      <c r="A463">
        <v>1536183</v>
      </c>
      <c r="B463" s="121" t="s">
        <v>7874</v>
      </c>
      <c r="C463" t="s">
        <v>32</v>
      </c>
      <c r="D463" t="s">
        <v>377</v>
      </c>
      <c r="E463" t="s">
        <v>7790</v>
      </c>
      <c r="F463" t="s">
        <v>8091</v>
      </c>
      <c r="G463" t="s">
        <v>8092</v>
      </c>
      <c r="H463" s="121" t="s">
        <v>8093</v>
      </c>
    </row>
    <row r="464" spans="1:8" x14ac:dyDescent="0.25">
      <c r="A464">
        <v>1536184</v>
      </c>
      <c r="B464" s="121" t="s">
        <v>7874</v>
      </c>
      <c r="C464" t="s">
        <v>32</v>
      </c>
      <c r="D464" t="s">
        <v>377</v>
      </c>
      <c r="E464" t="s">
        <v>7790</v>
      </c>
      <c r="F464" t="s">
        <v>8094</v>
      </c>
      <c r="G464" t="s">
        <v>8095</v>
      </c>
      <c r="H464" s="121" t="s">
        <v>8096</v>
      </c>
    </row>
    <row r="465" spans="1:8" x14ac:dyDescent="0.25">
      <c r="A465">
        <v>1537611</v>
      </c>
      <c r="B465" s="121" t="s">
        <v>7874</v>
      </c>
      <c r="C465" t="s">
        <v>32</v>
      </c>
      <c r="D465" t="s">
        <v>78</v>
      </c>
      <c r="E465" t="s">
        <v>335</v>
      </c>
      <c r="F465" t="s">
        <v>3342</v>
      </c>
      <c r="G465" t="s">
        <v>3349</v>
      </c>
      <c r="H465" s="121" t="s">
        <v>8097</v>
      </c>
    </row>
    <row r="466" spans="1:8" x14ac:dyDescent="0.25">
      <c r="A466">
        <v>1539386</v>
      </c>
      <c r="B466" s="121" t="s">
        <v>7874</v>
      </c>
      <c r="C466" t="s">
        <v>2909</v>
      </c>
      <c r="D466" t="s">
        <v>21</v>
      </c>
      <c r="E466" t="s">
        <v>7468</v>
      </c>
      <c r="F466" t="s">
        <v>8098</v>
      </c>
      <c r="G466" t="s">
        <v>8099</v>
      </c>
      <c r="H466" s="121" t="s">
        <v>8100</v>
      </c>
    </row>
    <row r="467" spans="1:8" x14ac:dyDescent="0.25">
      <c r="A467">
        <v>1539756</v>
      </c>
      <c r="B467" s="121" t="s">
        <v>7874</v>
      </c>
      <c r="C467" t="s">
        <v>32</v>
      </c>
      <c r="D467" t="s">
        <v>5924</v>
      </c>
      <c r="E467" t="s">
        <v>7410</v>
      </c>
      <c r="F467" t="s">
        <v>8101</v>
      </c>
      <c r="G467" t="s">
        <v>8102</v>
      </c>
      <c r="H467" s="121" t="s">
        <v>8103</v>
      </c>
    </row>
    <row r="468" spans="1:8" x14ac:dyDescent="0.25">
      <c r="A468">
        <v>1539757</v>
      </c>
      <c r="B468" s="121" t="s">
        <v>7874</v>
      </c>
      <c r="C468" t="s">
        <v>32</v>
      </c>
      <c r="D468" t="s">
        <v>5924</v>
      </c>
      <c r="E468" t="s">
        <v>7410</v>
      </c>
      <c r="F468" t="s">
        <v>8104</v>
      </c>
      <c r="G468" t="s">
        <v>8105</v>
      </c>
      <c r="H468" s="121" t="s">
        <v>8106</v>
      </c>
    </row>
    <row r="469" spans="1:8" x14ac:dyDescent="0.25">
      <c r="A469">
        <v>1539983</v>
      </c>
      <c r="B469" s="121" t="s">
        <v>7874</v>
      </c>
      <c r="C469" t="s">
        <v>32</v>
      </c>
      <c r="D469" t="s">
        <v>5924</v>
      </c>
      <c r="E469" t="s">
        <v>7410</v>
      </c>
      <c r="F469" t="s">
        <v>8107</v>
      </c>
      <c r="G469" t="s">
        <v>8108</v>
      </c>
      <c r="H469" s="121" t="s">
        <v>8109</v>
      </c>
    </row>
    <row r="470" spans="1:8" x14ac:dyDescent="0.25">
      <c r="A470">
        <v>1540124</v>
      </c>
      <c r="B470" s="121" t="s">
        <v>7874</v>
      </c>
      <c r="C470" t="s">
        <v>32</v>
      </c>
      <c r="D470" t="s">
        <v>78</v>
      </c>
      <c r="E470" t="s">
        <v>549</v>
      </c>
      <c r="F470" t="s">
        <v>8110</v>
      </c>
      <c r="G470" t="s">
        <v>8111</v>
      </c>
      <c r="H470" s="121" t="s">
        <v>8112</v>
      </c>
    </row>
    <row r="471" spans="1:8" x14ac:dyDescent="0.25">
      <c r="A471">
        <v>1540125</v>
      </c>
      <c r="B471" s="121" t="s">
        <v>7874</v>
      </c>
      <c r="C471" t="s">
        <v>32</v>
      </c>
      <c r="D471" t="s">
        <v>78</v>
      </c>
      <c r="E471" t="s">
        <v>549</v>
      </c>
      <c r="F471" t="s">
        <v>8113</v>
      </c>
      <c r="G471" t="s">
        <v>3663</v>
      </c>
      <c r="H471" s="121" t="s">
        <v>8114</v>
      </c>
    </row>
    <row r="472" spans="1:8" x14ac:dyDescent="0.25">
      <c r="A472">
        <v>1540126</v>
      </c>
      <c r="B472" s="121" t="s">
        <v>7874</v>
      </c>
      <c r="C472" t="s">
        <v>32</v>
      </c>
      <c r="D472" t="s">
        <v>78</v>
      </c>
      <c r="E472" t="s">
        <v>549</v>
      </c>
      <c r="F472" t="s">
        <v>6242</v>
      </c>
      <c r="G472" t="s">
        <v>3659</v>
      </c>
      <c r="H472" s="121" t="s">
        <v>8115</v>
      </c>
    </row>
    <row r="473" spans="1:8" x14ac:dyDescent="0.25">
      <c r="A473">
        <v>1540127</v>
      </c>
      <c r="B473" s="121" t="s">
        <v>7874</v>
      </c>
      <c r="C473" t="s">
        <v>32</v>
      </c>
      <c r="D473" t="s">
        <v>78</v>
      </c>
      <c r="E473" t="s">
        <v>549</v>
      </c>
      <c r="F473" t="s">
        <v>3662</v>
      </c>
      <c r="G473" t="s">
        <v>3660</v>
      </c>
      <c r="H473" s="121" t="s">
        <v>8116</v>
      </c>
    </row>
    <row r="474" spans="1:8" x14ac:dyDescent="0.25">
      <c r="A474">
        <v>1540129</v>
      </c>
      <c r="B474" s="121" t="s">
        <v>7874</v>
      </c>
      <c r="C474" t="s">
        <v>32</v>
      </c>
      <c r="D474" t="s">
        <v>78</v>
      </c>
      <c r="E474" t="s">
        <v>3362</v>
      </c>
      <c r="F474" t="s">
        <v>3657</v>
      </c>
      <c r="G474" t="s">
        <v>3373</v>
      </c>
      <c r="H474" s="121" t="s">
        <v>8117</v>
      </c>
    </row>
    <row r="475" spans="1:8" x14ac:dyDescent="0.25">
      <c r="A475">
        <v>1540130</v>
      </c>
      <c r="B475" s="121" t="s">
        <v>7874</v>
      </c>
      <c r="C475" t="s">
        <v>32</v>
      </c>
      <c r="D475" t="s">
        <v>78</v>
      </c>
      <c r="E475" t="s">
        <v>3362</v>
      </c>
      <c r="F475" t="s">
        <v>3366</v>
      </c>
      <c r="G475" t="s">
        <v>3370</v>
      </c>
      <c r="H475" s="121" t="s">
        <v>8118</v>
      </c>
    </row>
    <row r="476" spans="1:8" x14ac:dyDescent="0.25">
      <c r="A476">
        <v>1540131</v>
      </c>
      <c r="B476" s="121" t="s">
        <v>7874</v>
      </c>
      <c r="C476" t="s">
        <v>32</v>
      </c>
      <c r="D476" t="s">
        <v>78</v>
      </c>
      <c r="E476" t="s">
        <v>3362</v>
      </c>
      <c r="F476" t="s">
        <v>3654</v>
      </c>
      <c r="G476" t="s">
        <v>3656</v>
      </c>
      <c r="H476" s="121" t="s">
        <v>8119</v>
      </c>
    </row>
    <row r="477" spans="1:8" x14ac:dyDescent="0.25">
      <c r="A477">
        <v>1540132</v>
      </c>
      <c r="B477" s="121" t="s">
        <v>7874</v>
      </c>
      <c r="C477" t="s">
        <v>32</v>
      </c>
      <c r="D477" t="s">
        <v>78</v>
      </c>
      <c r="E477" t="s">
        <v>3362</v>
      </c>
      <c r="F477" t="s">
        <v>3367</v>
      </c>
      <c r="G477" t="s">
        <v>3653</v>
      </c>
      <c r="H477" s="121" t="s">
        <v>8120</v>
      </c>
    </row>
    <row r="478" spans="1:8" x14ac:dyDescent="0.25">
      <c r="A478">
        <v>1540133</v>
      </c>
      <c r="B478" s="121" t="s">
        <v>7874</v>
      </c>
      <c r="C478" t="s">
        <v>32</v>
      </c>
      <c r="D478" t="s">
        <v>78</v>
      </c>
      <c r="E478" t="s">
        <v>3362</v>
      </c>
      <c r="F478" t="s">
        <v>3369</v>
      </c>
      <c r="G478" t="s">
        <v>3363</v>
      </c>
      <c r="H478" s="121" t="s">
        <v>8121</v>
      </c>
    </row>
    <row r="479" spans="1:8" x14ac:dyDescent="0.25">
      <c r="A479">
        <v>1540134</v>
      </c>
      <c r="B479" s="121" t="s">
        <v>7874</v>
      </c>
      <c r="C479" t="s">
        <v>32</v>
      </c>
      <c r="D479" t="s">
        <v>78</v>
      </c>
      <c r="E479" t="s">
        <v>3362</v>
      </c>
      <c r="F479" t="s">
        <v>3364</v>
      </c>
      <c r="G479" t="s">
        <v>3372</v>
      </c>
      <c r="H479" s="121" t="s">
        <v>8122</v>
      </c>
    </row>
    <row r="480" spans="1:8" x14ac:dyDescent="0.25">
      <c r="A480">
        <v>1540174</v>
      </c>
      <c r="B480" s="121" t="s">
        <v>7874</v>
      </c>
      <c r="C480" t="s">
        <v>32</v>
      </c>
      <c r="D480" t="s">
        <v>20</v>
      </c>
      <c r="E480" t="s">
        <v>8123</v>
      </c>
      <c r="F480" t="s">
        <v>8124</v>
      </c>
      <c r="G480" t="s">
        <v>8125</v>
      </c>
      <c r="H480" s="121" t="s">
        <v>8126</v>
      </c>
    </row>
    <row r="481" spans="1:8" x14ac:dyDescent="0.25">
      <c r="A481">
        <v>1391594</v>
      </c>
      <c r="B481" s="121" t="s">
        <v>8127</v>
      </c>
      <c r="C481" t="s">
        <v>32</v>
      </c>
      <c r="D481" t="s">
        <v>319</v>
      </c>
      <c r="E481" t="s">
        <v>49</v>
      </c>
      <c r="F481" t="s">
        <v>2473</v>
      </c>
      <c r="G481" t="s">
        <v>502</v>
      </c>
      <c r="H481" s="121" t="s">
        <v>8128</v>
      </c>
    </row>
    <row r="482" spans="1:8" x14ac:dyDescent="0.25">
      <c r="A482">
        <v>1391818</v>
      </c>
      <c r="B482" s="121" t="s">
        <v>8127</v>
      </c>
      <c r="C482" t="s">
        <v>32</v>
      </c>
      <c r="D482" t="s">
        <v>332</v>
      </c>
      <c r="E482" t="s">
        <v>333</v>
      </c>
      <c r="F482" t="s">
        <v>8129</v>
      </c>
      <c r="G482" t="s">
        <v>895</v>
      </c>
      <c r="H482" s="121" t="s">
        <v>8130</v>
      </c>
    </row>
    <row r="483" spans="1:8" x14ac:dyDescent="0.25">
      <c r="A483">
        <v>1391821</v>
      </c>
      <c r="B483" s="121" t="s">
        <v>8127</v>
      </c>
      <c r="C483" t="s">
        <v>32</v>
      </c>
      <c r="D483" t="s">
        <v>332</v>
      </c>
      <c r="E483" t="s">
        <v>333</v>
      </c>
      <c r="F483" t="s">
        <v>8131</v>
      </c>
      <c r="G483" t="s">
        <v>8132</v>
      </c>
      <c r="H483" s="121" t="s">
        <v>8133</v>
      </c>
    </row>
    <row r="484" spans="1:8" x14ac:dyDescent="0.25">
      <c r="A484">
        <v>1399219</v>
      </c>
      <c r="B484" s="121" t="s">
        <v>8127</v>
      </c>
      <c r="C484" t="s">
        <v>32</v>
      </c>
      <c r="D484" t="s">
        <v>58</v>
      </c>
      <c r="E484" t="s">
        <v>4200</v>
      </c>
      <c r="F484" t="s">
        <v>4201</v>
      </c>
      <c r="G484" t="s">
        <v>4205</v>
      </c>
      <c r="H484" s="121" t="s">
        <v>8134</v>
      </c>
    </row>
    <row r="485" spans="1:8" x14ac:dyDescent="0.25">
      <c r="A485">
        <v>1399220</v>
      </c>
      <c r="B485" s="121" t="s">
        <v>8127</v>
      </c>
      <c r="C485" t="s">
        <v>32</v>
      </c>
      <c r="D485" t="s">
        <v>58</v>
      </c>
      <c r="E485" t="s">
        <v>4200</v>
      </c>
      <c r="F485" t="s">
        <v>4202</v>
      </c>
      <c r="G485" t="s">
        <v>4208</v>
      </c>
      <c r="H485" s="121" t="s">
        <v>8135</v>
      </c>
    </row>
    <row r="486" spans="1:8" x14ac:dyDescent="0.25">
      <c r="A486">
        <v>1399221</v>
      </c>
      <c r="B486" s="121" t="s">
        <v>8127</v>
      </c>
      <c r="C486" t="s">
        <v>32</v>
      </c>
      <c r="D486" t="s">
        <v>58</v>
      </c>
      <c r="E486" t="s">
        <v>4200</v>
      </c>
      <c r="F486" t="s">
        <v>4213</v>
      </c>
      <c r="G486" t="s">
        <v>6249</v>
      </c>
      <c r="H486" s="121" t="s">
        <v>8136</v>
      </c>
    </row>
    <row r="487" spans="1:8" x14ac:dyDescent="0.25">
      <c r="A487">
        <v>1399222</v>
      </c>
      <c r="B487" s="121" t="s">
        <v>8127</v>
      </c>
      <c r="C487" t="s">
        <v>32</v>
      </c>
      <c r="D487" t="s">
        <v>58</v>
      </c>
      <c r="E487" t="s">
        <v>4200</v>
      </c>
      <c r="F487" t="s">
        <v>4204</v>
      </c>
      <c r="G487" t="s">
        <v>4514</v>
      </c>
      <c r="H487" s="121" t="s">
        <v>8137</v>
      </c>
    </row>
    <row r="488" spans="1:8" x14ac:dyDescent="0.25">
      <c r="A488">
        <v>1399224</v>
      </c>
      <c r="B488" s="121" t="s">
        <v>8127</v>
      </c>
      <c r="C488" t="s">
        <v>32</v>
      </c>
      <c r="D488" t="s">
        <v>58</v>
      </c>
      <c r="E488" t="s">
        <v>4200</v>
      </c>
      <c r="F488" t="s">
        <v>4207</v>
      </c>
      <c r="G488" t="s">
        <v>4511</v>
      </c>
      <c r="H488" s="121" t="s">
        <v>8138</v>
      </c>
    </row>
    <row r="489" spans="1:8" x14ac:dyDescent="0.25">
      <c r="A489">
        <v>1406314</v>
      </c>
      <c r="B489" s="121" t="s">
        <v>8127</v>
      </c>
      <c r="C489" t="s">
        <v>32</v>
      </c>
      <c r="D489" t="s">
        <v>43</v>
      </c>
      <c r="E489" t="s">
        <v>393</v>
      </c>
      <c r="F489" t="s">
        <v>4531</v>
      </c>
      <c r="G489" t="s">
        <v>1232</v>
      </c>
      <c r="H489" s="121" t="s">
        <v>8139</v>
      </c>
    </row>
    <row r="490" spans="1:8" x14ac:dyDescent="0.25">
      <c r="A490">
        <v>1407387</v>
      </c>
      <c r="B490" s="121" t="s">
        <v>8127</v>
      </c>
      <c r="C490" t="s">
        <v>32</v>
      </c>
      <c r="D490" t="s">
        <v>43</v>
      </c>
      <c r="E490" t="s">
        <v>394</v>
      </c>
      <c r="F490" t="s">
        <v>1529</v>
      </c>
      <c r="G490" t="s">
        <v>4538</v>
      </c>
      <c r="H490" s="121" t="s">
        <v>8140</v>
      </c>
    </row>
    <row r="491" spans="1:8" x14ac:dyDescent="0.25">
      <c r="A491">
        <v>1408027</v>
      </c>
      <c r="B491" s="121" t="s">
        <v>8127</v>
      </c>
      <c r="C491" t="s">
        <v>32</v>
      </c>
      <c r="D491" t="s">
        <v>43</v>
      </c>
      <c r="E491" t="s">
        <v>341</v>
      </c>
      <c r="F491" t="s">
        <v>1531</v>
      </c>
      <c r="G491" t="s">
        <v>8141</v>
      </c>
      <c r="H491" s="121" t="s">
        <v>8142</v>
      </c>
    </row>
    <row r="492" spans="1:8" x14ac:dyDescent="0.25">
      <c r="A492">
        <v>1411298</v>
      </c>
      <c r="B492" s="121" t="s">
        <v>8127</v>
      </c>
      <c r="C492" t="s">
        <v>32</v>
      </c>
      <c r="D492" t="s">
        <v>51</v>
      </c>
      <c r="E492" t="s">
        <v>581</v>
      </c>
      <c r="F492" t="s">
        <v>4566</v>
      </c>
      <c r="G492" t="s">
        <v>3837</v>
      </c>
      <c r="H492" s="121" t="s">
        <v>8143</v>
      </c>
    </row>
    <row r="493" spans="1:8" x14ac:dyDescent="0.25">
      <c r="A493">
        <v>1412274</v>
      </c>
      <c r="B493" s="121" t="s">
        <v>8127</v>
      </c>
      <c r="C493" t="s">
        <v>32</v>
      </c>
      <c r="D493" t="s">
        <v>43</v>
      </c>
      <c r="E493" t="s">
        <v>600</v>
      </c>
      <c r="F493" t="s">
        <v>3588</v>
      </c>
      <c r="G493" t="s">
        <v>8144</v>
      </c>
      <c r="H493" s="121" t="s">
        <v>8145</v>
      </c>
    </row>
    <row r="494" spans="1:8" x14ac:dyDescent="0.25">
      <c r="A494">
        <v>1438097</v>
      </c>
      <c r="B494" s="121" t="s">
        <v>8127</v>
      </c>
      <c r="C494" t="s">
        <v>32</v>
      </c>
      <c r="D494" t="s">
        <v>58</v>
      </c>
      <c r="E494" t="s">
        <v>621</v>
      </c>
      <c r="F494" t="s">
        <v>6431</v>
      </c>
      <c r="G494" t="s">
        <v>8146</v>
      </c>
      <c r="H494" s="121" t="s">
        <v>8147</v>
      </c>
    </row>
    <row r="495" spans="1:8" x14ac:dyDescent="0.25">
      <c r="A495">
        <v>1438098</v>
      </c>
      <c r="B495" s="121" t="s">
        <v>8127</v>
      </c>
      <c r="C495" t="s">
        <v>32</v>
      </c>
      <c r="D495" t="s">
        <v>58</v>
      </c>
      <c r="E495" t="s">
        <v>621</v>
      </c>
      <c r="F495" t="s">
        <v>4241</v>
      </c>
      <c r="G495" t="s">
        <v>4236</v>
      </c>
      <c r="H495" s="121" t="s">
        <v>8148</v>
      </c>
    </row>
    <row r="496" spans="1:8" x14ac:dyDescent="0.25">
      <c r="A496">
        <v>1438099</v>
      </c>
      <c r="B496" s="121" t="s">
        <v>8127</v>
      </c>
      <c r="C496" t="s">
        <v>32</v>
      </c>
      <c r="D496" t="s">
        <v>58</v>
      </c>
      <c r="E496" t="s">
        <v>621</v>
      </c>
      <c r="F496" t="s">
        <v>4238</v>
      </c>
      <c r="G496" t="s">
        <v>4638</v>
      </c>
      <c r="H496" s="121" t="s">
        <v>8149</v>
      </c>
    </row>
    <row r="497" spans="1:8" x14ac:dyDescent="0.25">
      <c r="A497">
        <v>1438100</v>
      </c>
      <c r="B497" s="121" t="s">
        <v>8127</v>
      </c>
      <c r="C497" t="s">
        <v>32</v>
      </c>
      <c r="D497" t="s">
        <v>58</v>
      </c>
      <c r="E497" t="s">
        <v>621</v>
      </c>
      <c r="F497" t="s">
        <v>4235</v>
      </c>
      <c r="G497" t="s">
        <v>4641</v>
      </c>
      <c r="H497" s="121" t="s">
        <v>8150</v>
      </c>
    </row>
    <row r="498" spans="1:8" x14ac:dyDescent="0.25">
      <c r="A498">
        <v>1438103</v>
      </c>
      <c r="B498" s="121" t="s">
        <v>8127</v>
      </c>
      <c r="C498" t="s">
        <v>32</v>
      </c>
      <c r="D498" t="s">
        <v>58</v>
      </c>
      <c r="E498" t="s">
        <v>621</v>
      </c>
      <c r="F498" t="s">
        <v>1451</v>
      </c>
      <c r="G498" t="s">
        <v>4239</v>
      </c>
      <c r="H498" s="121" t="s">
        <v>8151</v>
      </c>
    </row>
    <row r="499" spans="1:8" x14ac:dyDescent="0.25">
      <c r="A499">
        <v>1438403</v>
      </c>
      <c r="B499" s="121" t="s">
        <v>8127</v>
      </c>
      <c r="C499" t="s">
        <v>32</v>
      </c>
      <c r="D499" t="s">
        <v>58</v>
      </c>
      <c r="E499" t="s">
        <v>622</v>
      </c>
      <c r="F499" t="s">
        <v>4250</v>
      </c>
      <c r="G499" t="s">
        <v>6433</v>
      </c>
      <c r="H499" s="121" t="s">
        <v>8152</v>
      </c>
    </row>
    <row r="500" spans="1:8" x14ac:dyDescent="0.25">
      <c r="A500">
        <v>1438404</v>
      </c>
      <c r="B500" s="121" t="s">
        <v>8127</v>
      </c>
      <c r="C500" t="s">
        <v>32</v>
      </c>
      <c r="D500" t="s">
        <v>58</v>
      </c>
      <c r="E500" t="s">
        <v>622</v>
      </c>
      <c r="F500" t="s">
        <v>4247</v>
      </c>
      <c r="G500" t="s">
        <v>4644</v>
      </c>
      <c r="H500" s="121" t="s">
        <v>8153</v>
      </c>
    </row>
    <row r="501" spans="1:8" x14ac:dyDescent="0.25">
      <c r="A501">
        <v>1438405</v>
      </c>
      <c r="B501" s="121" t="s">
        <v>8127</v>
      </c>
      <c r="C501" t="s">
        <v>32</v>
      </c>
      <c r="D501" t="s">
        <v>58</v>
      </c>
      <c r="E501" t="s">
        <v>622</v>
      </c>
      <c r="F501" t="s">
        <v>4252</v>
      </c>
      <c r="G501" t="s">
        <v>4244</v>
      </c>
      <c r="H501" s="121" t="s">
        <v>8154</v>
      </c>
    </row>
    <row r="502" spans="1:8" x14ac:dyDescent="0.25">
      <c r="A502">
        <v>1439332</v>
      </c>
      <c r="B502" s="121" t="s">
        <v>8127</v>
      </c>
      <c r="C502" t="s">
        <v>32</v>
      </c>
      <c r="D502" t="s">
        <v>41</v>
      </c>
      <c r="E502" t="s">
        <v>4255</v>
      </c>
      <c r="F502" t="s">
        <v>6206</v>
      </c>
      <c r="G502" t="s">
        <v>4259</v>
      </c>
      <c r="H502" s="121" t="s">
        <v>8155</v>
      </c>
    </row>
    <row r="503" spans="1:8" x14ac:dyDescent="0.25">
      <c r="A503">
        <v>1439334</v>
      </c>
      <c r="B503" s="121" t="s">
        <v>8127</v>
      </c>
      <c r="C503" t="s">
        <v>32</v>
      </c>
      <c r="D503" t="s">
        <v>41</v>
      </c>
      <c r="E503" t="s">
        <v>4255</v>
      </c>
      <c r="F503" t="s">
        <v>8156</v>
      </c>
      <c r="G503" t="s">
        <v>4256</v>
      </c>
      <c r="H503" s="121" t="s">
        <v>8157</v>
      </c>
    </row>
    <row r="504" spans="1:8" x14ac:dyDescent="0.25">
      <c r="A504">
        <v>1439335</v>
      </c>
      <c r="B504" s="121" t="s">
        <v>8127</v>
      </c>
      <c r="C504" t="s">
        <v>32</v>
      </c>
      <c r="D504" t="s">
        <v>41</v>
      </c>
      <c r="E504" t="s">
        <v>4255</v>
      </c>
      <c r="F504" t="s">
        <v>4257</v>
      </c>
      <c r="G504" t="s">
        <v>8158</v>
      </c>
      <c r="H504" s="121" t="s">
        <v>8159</v>
      </c>
    </row>
    <row r="505" spans="1:8" x14ac:dyDescent="0.25">
      <c r="A505">
        <v>1439711</v>
      </c>
      <c r="B505" s="121" t="s">
        <v>8127</v>
      </c>
      <c r="C505" t="s">
        <v>32</v>
      </c>
      <c r="D505" t="s">
        <v>41</v>
      </c>
      <c r="E505" t="s">
        <v>1198</v>
      </c>
      <c r="F505" t="s">
        <v>2537</v>
      </c>
      <c r="G505" t="s">
        <v>8160</v>
      </c>
      <c r="H505" s="121" t="s">
        <v>8161</v>
      </c>
    </row>
    <row r="506" spans="1:8" x14ac:dyDescent="0.25">
      <c r="A506">
        <v>1439712</v>
      </c>
      <c r="B506" s="121" t="s">
        <v>8127</v>
      </c>
      <c r="C506" t="s">
        <v>32</v>
      </c>
      <c r="D506" t="s">
        <v>41</v>
      </c>
      <c r="E506" t="s">
        <v>1198</v>
      </c>
      <c r="F506" t="s">
        <v>2326</v>
      </c>
      <c r="G506" t="s">
        <v>1550</v>
      </c>
      <c r="H506" s="121" t="s">
        <v>8162</v>
      </c>
    </row>
    <row r="507" spans="1:8" x14ac:dyDescent="0.25">
      <c r="A507">
        <v>1439713</v>
      </c>
      <c r="B507" s="121" t="s">
        <v>8127</v>
      </c>
      <c r="C507" t="s">
        <v>32</v>
      </c>
      <c r="D507" t="s">
        <v>41</v>
      </c>
      <c r="E507" t="s">
        <v>1198</v>
      </c>
      <c r="F507" t="s">
        <v>1551</v>
      </c>
      <c r="G507" t="s">
        <v>1553</v>
      </c>
      <c r="H507" s="121" t="s">
        <v>8163</v>
      </c>
    </row>
    <row r="508" spans="1:8" x14ac:dyDescent="0.25">
      <c r="A508">
        <v>1468935</v>
      </c>
      <c r="B508" s="121" t="s">
        <v>8127</v>
      </c>
      <c r="C508" t="s">
        <v>32</v>
      </c>
      <c r="D508" t="s">
        <v>41</v>
      </c>
      <c r="E508" t="s">
        <v>382</v>
      </c>
      <c r="F508" t="s">
        <v>3101</v>
      </c>
      <c r="G508" t="s">
        <v>3881</v>
      </c>
      <c r="H508" s="121" t="s">
        <v>8164</v>
      </c>
    </row>
    <row r="509" spans="1:8" x14ac:dyDescent="0.25">
      <c r="A509">
        <v>1491228</v>
      </c>
      <c r="B509" s="121" t="s">
        <v>8127</v>
      </c>
      <c r="C509" t="s">
        <v>32</v>
      </c>
      <c r="D509" t="s">
        <v>105</v>
      </c>
      <c r="E509" t="s">
        <v>321</v>
      </c>
      <c r="F509" t="s">
        <v>8165</v>
      </c>
      <c r="G509" t="s">
        <v>3298</v>
      </c>
      <c r="H509" s="121" t="s">
        <v>8166</v>
      </c>
    </row>
    <row r="510" spans="1:8" x14ac:dyDescent="0.25">
      <c r="A510">
        <v>1496207</v>
      </c>
      <c r="B510" s="121" t="s">
        <v>8127</v>
      </c>
      <c r="C510" t="s">
        <v>32</v>
      </c>
      <c r="D510" t="s">
        <v>85</v>
      </c>
      <c r="E510" t="s">
        <v>7671</v>
      </c>
      <c r="F510" t="s">
        <v>8167</v>
      </c>
      <c r="G510" t="s">
        <v>4806</v>
      </c>
      <c r="H510" s="121" t="s">
        <v>8168</v>
      </c>
    </row>
    <row r="511" spans="1:8" x14ac:dyDescent="0.25">
      <c r="A511">
        <v>1506578</v>
      </c>
      <c r="B511" s="121" t="s">
        <v>8127</v>
      </c>
      <c r="C511" t="s">
        <v>32</v>
      </c>
      <c r="D511" t="s">
        <v>610</v>
      </c>
      <c r="E511" t="s">
        <v>611</v>
      </c>
      <c r="F511" t="s">
        <v>2258</v>
      </c>
      <c r="G511" t="s">
        <v>4377</v>
      </c>
      <c r="H511" s="121" t="s">
        <v>8169</v>
      </c>
    </row>
    <row r="512" spans="1:8" x14ac:dyDescent="0.25">
      <c r="A512">
        <v>1508069</v>
      </c>
      <c r="B512" s="121" t="s">
        <v>8127</v>
      </c>
      <c r="C512" t="s">
        <v>32</v>
      </c>
      <c r="D512" t="s">
        <v>8170</v>
      </c>
      <c r="E512" t="s">
        <v>49</v>
      </c>
      <c r="F512" t="s">
        <v>8171</v>
      </c>
      <c r="G512" t="s">
        <v>322</v>
      </c>
      <c r="H512" s="121" t="s">
        <v>8172</v>
      </c>
    </row>
    <row r="513" spans="1:8" x14ac:dyDescent="0.25">
      <c r="A513">
        <v>1508327</v>
      </c>
      <c r="B513" s="121" t="s">
        <v>8127</v>
      </c>
      <c r="C513" t="s">
        <v>32</v>
      </c>
      <c r="D513" t="s">
        <v>58</v>
      </c>
      <c r="E513" t="s">
        <v>4379</v>
      </c>
      <c r="F513" t="s">
        <v>4380</v>
      </c>
      <c r="G513" t="s">
        <v>4834</v>
      </c>
      <c r="H513" s="121" t="s">
        <v>8173</v>
      </c>
    </row>
    <row r="514" spans="1:8" x14ac:dyDescent="0.25">
      <c r="A514">
        <v>1515689</v>
      </c>
      <c r="B514" s="121" t="s">
        <v>8127</v>
      </c>
      <c r="C514" t="s">
        <v>32</v>
      </c>
      <c r="D514" t="s">
        <v>275</v>
      </c>
      <c r="E514" t="s">
        <v>7737</v>
      </c>
      <c r="F514" t="s">
        <v>8174</v>
      </c>
      <c r="G514" t="s">
        <v>8175</v>
      </c>
      <c r="H514" s="121" t="s">
        <v>8176</v>
      </c>
    </row>
    <row r="515" spans="1:8" x14ac:dyDescent="0.25">
      <c r="A515">
        <v>1527563</v>
      </c>
      <c r="B515" s="121" t="s">
        <v>8127</v>
      </c>
      <c r="C515" t="s">
        <v>32</v>
      </c>
      <c r="D515" t="s">
        <v>422</v>
      </c>
      <c r="E515" t="s">
        <v>49</v>
      </c>
      <c r="F515" t="s">
        <v>5904</v>
      </c>
      <c r="G515" t="s">
        <v>8177</v>
      </c>
      <c r="H515" s="121" t="s">
        <v>8178</v>
      </c>
    </row>
    <row r="516" spans="1:8" x14ac:dyDescent="0.25">
      <c r="A516">
        <v>1530634</v>
      </c>
      <c r="B516" s="121" t="s">
        <v>8127</v>
      </c>
      <c r="C516" t="s">
        <v>32</v>
      </c>
      <c r="D516" t="s">
        <v>20</v>
      </c>
      <c r="E516" t="s">
        <v>602</v>
      </c>
      <c r="F516" t="s">
        <v>3626</v>
      </c>
      <c r="G516" t="s">
        <v>2295</v>
      </c>
      <c r="H516" s="121" t="s">
        <v>8179</v>
      </c>
    </row>
    <row r="517" spans="1:8" x14ac:dyDescent="0.25">
      <c r="A517">
        <v>1530635</v>
      </c>
      <c r="B517" s="121" t="s">
        <v>8127</v>
      </c>
      <c r="C517" t="s">
        <v>32</v>
      </c>
      <c r="D517" t="s">
        <v>20</v>
      </c>
      <c r="E517" t="s">
        <v>602</v>
      </c>
      <c r="F517" t="s">
        <v>6777</v>
      </c>
      <c r="G517" t="s">
        <v>3633</v>
      </c>
      <c r="H517" s="121" t="s">
        <v>8180</v>
      </c>
    </row>
    <row r="518" spans="1:8" x14ac:dyDescent="0.25">
      <c r="A518">
        <v>1530637</v>
      </c>
      <c r="B518" s="121" t="s">
        <v>8127</v>
      </c>
      <c r="C518" t="s">
        <v>32</v>
      </c>
      <c r="D518" t="s">
        <v>20</v>
      </c>
      <c r="E518" t="s">
        <v>602</v>
      </c>
      <c r="F518" t="s">
        <v>3632</v>
      </c>
      <c r="G518" t="s">
        <v>1354</v>
      </c>
      <c r="H518" s="121" t="s">
        <v>8181</v>
      </c>
    </row>
    <row r="519" spans="1:8" x14ac:dyDescent="0.25">
      <c r="A519">
        <v>1534134</v>
      </c>
      <c r="B519" s="121" t="s">
        <v>8127</v>
      </c>
      <c r="C519" t="s">
        <v>32</v>
      </c>
      <c r="D519" t="s">
        <v>48</v>
      </c>
      <c r="E519" t="s">
        <v>49</v>
      </c>
      <c r="F519" t="s">
        <v>1486</v>
      </c>
      <c r="G519" t="s">
        <v>8182</v>
      </c>
      <c r="H519" s="121" t="s">
        <v>8183</v>
      </c>
    </row>
    <row r="520" spans="1:8" x14ac:dyDescent="0.25">
      <c r="A520">
        <v>1534148</v>
      </c>
      <c r="B520" s="121" t="s">
        <v>8127</v>
      </c>
      <c r="C520" t="s">
        <v>32</v>
      </c>
      <c r="D520" t="s">
        <v>48</v>
      </c>
      <c r="E520" t="s">
        <v>49</v>
      </c>
      <c r="F520" t="s">
        <v>2062</v>
      </c>
      <c r="G520" t="s">
        <v>8184</v>
      </c>
      <c r="H520" s="121" t="s">
        <v>8185</v>
      </c>
    </row>
    <row r="521" spans="1:8" x14ac:dyDescent="0.25">
      <c r="A521">
        <v>1537603</v>
      </c>
      <c r="B521" s="121" t="s">
        <v>8127</v>
      </c>
      <c r="C521" t="s">
        <v>32</v>
      </c>
      <c r="D521" t="s">
        <v>78</v>
      </c>
      <c r="E521" t="s">
        <v>335</v>
      </c>
      <c r="F521" t="s">
        <v>2511</v>
      </c>
      <c r="G521" t="s">
        <v>3348</v>
      </c>
      <c r="H521" s="121" t="s">
        <v>8186</v>
      </c>
    </row>
    <row r="522" spans="1:8" x14ac:dyDescent="0.25">
      <c r="A522">
        <v>1380633</v>
      </c>
      <c r="B522" s="121" t="s">
        <v>8187</v>
      </c>
      <c r="C522" t="s">
        <v>32</v>
      </c>
      <c r="D522" t="s">
        <v>51</v>
      </c>
      <c r="E522" t="s">
        <v>57</v>
      </c>
      <c r="F522" t="s">
        <v>8188</v>
      </c>
      <c r="G522" t="s">
        <v>8189</v>
      </c>
      <c r="H522" s="121" t="s">
        <v>8190</v>
      </c>
    </row>
    <row r="523" spans="1:8" x14ac:dyDescent="0.25">
      <c r="A523">
        <v>1378176</v>
      </c>
      <c r="B523" s="121" t="s">
        <v>8191</v>
      </c>
      <c r="C523" t="s">
        <v>32</v>
      </c>
      <c r="D523" t="s">
        <v>41</v>
      </c>
      <c r="E523" t="s">
        <v>60</v>
      </c>
      <c r="F523" t="s">
        <v>8192</v>
      </c>
      <c r="G523" t="s">
        <v>1194</v>
      </c>
      <c r="H523" s="121" t="s">
        <v>8193</v>
      </c>
    </row>
    <row r="524" spans="1:8" x14ac:dyDescent="0.25">
      <c r="A524">
        <v>1378183</v>
      </c>
      <c r="B524" s="121" t="s">
        <v>8191</v>
      </c>
      <c r="C524" t="s">
        <v>32</v>
      </c>
      <c r="D524" t="s">
        <v>41</v>
      </c>
      <c r="E524" t="s">
        <v>60</v>
      </c>
      <c r="F524" t="s">
        <v>6236</v>
      </c>
      <c r="G524" t="s">
        <v>1611</v>
      </c>
      <c r="H524" s="121" t="s">
        <v>8194</v>
      </c>
    </row>
    <row r="525" spans="1:8" x14ac:dyDescent="0.25">
      <c r="A525">
        <v>1384373</v>
      </c>
      <c r="B525" s="121" t="s">
        <v>8191</v>
      </c>
      <c r="C525" t="s">
        <v>32</v>
      </c>
      <c r="D525" t="s">
        <v>267</v>
      </c>
      <c r="E525" t="s">
        <v>659</v>
      </c>
      <c r="F525" t="s">
        <v>1615</v>
      </c>
      <c r="G525" t="s">
        <v>2171</v>
      </c>
      <c r="H525" s="121" t="s">
        <v>8195</v>
      </c>
    </row>
    <row r="526" spans="1:8" x14ac:dyDescent="0.25">
      <c r="A526">
        <v>1384875</v>
      </c>
      <c r="B526" s="121" t="s">
        <v>8191</v>
      </c>
      <c r="C526" t="s">
        <v>32</v>
      </c>
      <c r="D526" t="s">
        <v>381</v>
      </c>
      <c r="E526" t="s">
        <v>401</v>
      </c>
      <c r="F526" t="s">
        <v>8196</v>
      </c>
      <c r="G526" t="s">
        <v>1223</v>
      </c>
      <c r="H526" s="121" t="s">
        <v>8197</v>
      </c>
    </row>
    <row r="527" spans="1:8" x14ac:dyDescent="0.25">
      <c r="A527">
        <v>1384877</v>
      </c>
      <c r="B527" s="121" t="s">
        <v>8191</v>
      </c>
      <c r="C527" t="s">
        <v>32</v>
      </c>
      <c r="D527" t="s">
        <v>381</v>
      </c>
      <c r="E527" t="s">
        <v>401</v>
      </c>
      <c r="F527" t="s">
        <v>8198</v>
      </c>
      <c r="G527" t="s">
        <v>1222</v>
      </c>
      <c r="H527" s="121" t="s">
        <v>8199</v>
      </c>
    </row>
    <row r="528" spans="1:8" x14ac:dyDescent="0.25">
      <c r="A528">
        <v>1395696</v>
      </c>
      <c r="B528" s="121" t="s">
        <v>8191</v>
      </c>
      <c r="C528" t="s">
        <v>32</v>
      </c>
      <c r="D528" t="s">
        <v>240</v>
      </c>
      <c r="E528" t="s">
        <v>241</v>
      </c>
      <c r="F528" t="s">
        <v>4483</v>
      </c>
      <c r="G528" t="s">
        <v>4486</v>
      </c>
      <c r="H528" s="121" t="s">
        <v>8200</v>
      </c>
    </row>
    <row r="529" spans="1:8" x14ac:dyDescent="0.25">
      <c r="A529">
        <v>1395710</v>
      </c>
      <c r="B529" s="121" t="s">
        <v>8191</v>
      </c>
      <c r="C529" t="s">
        <v>32</v>
      </c>
      <c r="D529" t="s">
        <v>240</v>
      </c>
      <c r="E529" t="s">
        <v>241</v>
      </c>
      <c r="F529" t="s">
        <v>4468</v>
      </c>
      <c r="G529" t="s">
        <v>8201</v>
      </c>
      <c r="H529" s="121" t="s">
        <v>8202</v>
      </c>
    </row>
    <row r="530" spans="1:8" x14ac:dyDescent="0.25">
      <c r="A530">
        <v>1396049</v>
      </c>
      <c r="B530" s="121" t="s">
        <v>8191</v>
      </c>
      <c r="C530" t="s">
        <v>32</v>
      </c>
      <c r="D530" t="s">
        <v>51</v>
      </c>
      <c r="E530" t="s">
        <v>385</v>
      </c>
      <c r="F530" t="s">
        <v>8203</v>
      </c>
      <c r="G530" t="s">
        <v>1228</v>
      </c>
      <c r="H530" s="121" t="s">
        <v>8204</v>
      </c>
    </row>
    <row r="531" spans="1:8" x14ac:dyDescent="0.25">
      <c r="A531">
        <v>1398229</v>
      </c>
      <c r="B531" s="121" t="s">
        <v>8191</v>
      </c>
      <c r="C531" t="s">
        <v>32</v>
      </c>
      <c r="D531" t="s">
        <v>53</v>
      </c>
      <c r="E531" t="s">
        <v>264</v>
      </c>
      <c r="F531" t="s">
        <v>8205</v>
      </c>
      <c r="G531" t="s">
        <v>2264</v>
      </c>
      <c r="H531" s="121" t="s">
        <v>8206</v>
      </c>
    </row>
    <row r="532" spans="1:8" x14ac:dyDescent="0.25">
      <c r="A532">
        <v>1398660</v>
      </c>
      <c r="B532" s="121" t="s">
        <v>8191</v>
      </c>
      <c r="C532" t="s">
        <v>32</v>
      </c>
      <c r="D532" t="s">
        <v>42</v>
      </c>
      <c r="E532" t="s">
        <v>50</v>
      </c>
      <c r="F532" t="s">
        <v>6072</v>
      </c>
      <c r="G532" t="s">
        <v>8207</v>
      </c>
      <c r="H532" s="121" t="s">
        <v>8208</v>
      </c>
    </row>
    <row r="533" spans="1:8" x14ac:dyDescent="0.25">
      <c r="A533">
        <v>1398880</v>
      </c>
      <c r="B533" s="121" t="s">
        <v>8191</v>
      </c>
      <c r="C533" t="s">
        <v>32</v>
      </c>
      <c r="D533" t="s">
        <v>332</v>
      </c>
      <c r="E533" t="s">
        <v>396</v>
      </c>
      <c r="F533" t="s">
        <v>4499</v>
      </c>
      <c r="G533" t="s">
        <v>4507</v>
      </c>
      <c r="H533" s="121" t="s">
        <v>8209</v>
      </c>
    </row>
    <row r="534" spans="1:8" x14ac:dyDescent="0.25">
      <c r="A534">
        <v>1398886</v>
      </c>
      <c r="B534" s="121" t="s">
        <v>8191</v>
      </c>
      <c r="C534" t="s">
        <v>32</v>
      </c>
      <c r="D534" t="s">
        <v>332</v>
      </c>
      <c r="E534" t="s">
        <v>396</v>
      </c>
      <c r="F534" t="s">
        <v>3698</v>
      </c>
      <c r="G534" t="s">
        <v>4501</v>
      </c>
      <c r="H534" s="121" t="s">
        <v>8210</v>
      </c>
    </row>
    <row r="535" spans="1:8" x14ac:dyDescent="0.25">
      <c r="A535">
        <v>1399223</v>
      </c>
      <c r="B535" s="121" t="s">
        <v>8191</v>
      </c>
      <c r="C535" t="s">
        <v>32</v>
      </c>
      <c r="D535" t="s">
        <v>58</v>
      </c>
      <c r="E535" t="s">
        <v>4200</v>
      </c>
      <c r="F535" t="s">
        <v>4510</v>
      </c>
      <c r="G535" t="s">
        <v>4214</v>
      </c>
      <c r="H535" s="121" t="s">
        <v>8211</v>
      </c>
    </row>
    <row r="536" spans="1:8" x14ac:dyDescent="0.25">
      <c r="A536">
        <v>1399225</v>
      </c>
      <c r="B536" s="121" t="s">
        <v>8191</v>
      </c>
      <c r="C536" t="s">
        <v>32</v>
      </c>
      <c r="D536" t="s">
        <v>58</v>
      </c>
      <c r="E536" t="s">
        <v>4200</v>
      </c>
      <c r="F536" t="s">
        <v>4513</v>
      </c>
      <c r="G536" t="s">
        <v>4950</v>
      </c>
      <c r="H536" s="121" t="s">
        <v>8212</v>
      </c>
    </row>
    <row r="537" spans="1:8" x14ac:dyDescent="0.25">
      <c r="A537">
        <v>1404233</v>
      </c>
      <c r="B537" s="121" t="s">
        <v>8191</v>
      </c>
      <c r="C537" t="s">
        <v>32</v>
      </c>
      <c r="D537" t="s">
        <v>56</v>
      </c>
      <c r="E537" t="s">
        <v>81</v>
      </c>
      <c r="F537" t="s">
        <v>1631</v>
      </c>
      <c r="G537" t="s">
        <v>8213</v>
      </c>
      <c r="H537" s="121" t="s">
        <v>8214</v>
      </c>
    </row>
    <row r="538" spans="1:8" x14ac:dyDescent="0.25">
      <c r="A538">
        <v>1404235</v>
      </c>
      <c r="B538" s="121" t="s">
        <v>8191</v>
      </c>
      <c r="C538" t="s">
        <v>32</v>
      </c>
      <c r="D538" t="s">
        <v>56</v>
      </c>
      <c r="E538" t="s">
        <v>81</v>
      </c>
      <c r="F538" t="s">
        <v>1630</v>
      </c>
      <c r="G538" t="s">
        <v>8215</v>
      </c>
      <c r="H538" s="121" t="s">
        <v>8216</v>
      </c>
    </row>
    <row r="539" spans="1:8" x14ac:dyDescent="0.25">
      <c r="A539">
        <v>1404608</v>
      </c>
      <c r="B539" s="121" t="s">
        <v>8191</v>
      </c>
      <c r="C539" t="s">
        <v>32</v>
      </c>
      <c r="D539" t="s">
        <v>41</v>
      </c>
      <c r="E539" t="s">
        <v>262</v>
      </c>
      <c r="F539" t="s">
        <v>492</v>
      </c>
      <c r="G539" t="s">
        <v>3032</v>
      </c>
      <c r="H539" s="121" t="s">
        <v>8217</v>
      </c>
    </row>
    <row r="540" spans="1:8" x14ac:dyDescent="0.25">
      <c r="A540">
        <v>1406677</v>
      </c>
      <c r="B540" s="121" t="s">
        <v>8191</v>
      </c>
      <c r="C540" t="s">
        <v>32</v>
      </c>
      <c r="D540" t="s">
        <v>43</v>
      </c>
      <c r="E540" t="s">
        <v>551</v>
      </c>
      <c r="F540" t="s">
        <v>1645</v>
      </c>
      <c r="G540" t="s">
        <v>1646</v>
      </c>
      <c r="H540" s="121" t="s">
        <v>8218</v>
      </c>
    </row>
    <row r="541" spans="1:8" x14ac:dyDescent="0.25">
      <c r="A541">
        <v>1407389</v>
      </c>
      <c r="B541" s="121" t="s">
        <v>8191</v>
      </c>
      <c r="C541" t="s">
        <v>32</v>
      </c>
      <c r="D541" t="s">
        <v>43</v>
      </c>
      <c r="E541" t="s">
        <v>394</v>
      </c>
      <c r="F541" t="s">
        <v>1648</v>
      </c>
      <c r="G541" t="s">
        <v>1651</v>
      </c>
      <c r="H541" s="121" t="s">
        <v>8219</v>
      </c>
    </row>
    <row r="542" spans="1:8" x14ac:dyDescent="0.25">
      <c r="A542">
        <v>1407390</v>
      </c>
      <c r="B542" s="121" t="s">
        <v>8191</v>
      </c>
      <c r="C542" t="s">
        <v>32</v>
      </c>
      <c r="D542" t="s">
        <v>43</v>
      </c>
      <c r="E542" t="s">
        <v>394</v>
      </c>
      <c r="F542" t="s">
        <v>4541</v>
      </c>
      <c r="G542" t="s">
        <v>8220</v>
      </c>
      <c r="H542" s="121" t="s">
        <v>8221</v>
      </c>
    </row>
    <row r="543" spans="1:8" x14ac:dyDescent="0.25">
      <c r="A543">
        <v>1408023</v>
      </c>
      <c r="B543" s="121" t="s">
        <v>8191</v>
      </c>
      <c r="C543" t="s">
        <v>32</v>
      </c>
      <c r="D543" t="s">
        <v>43</v>
      </c>
      <c r="E543" t="s">
        <v>341</v>
      </c>
      <c r="F543" t="s">
        <v>4546</v>
      </c>
      <c r="G543" t="s">
        <v>8222</v>
      </c>
      <c r="H543" s="121" t="s">
        <v>8223</v>
      </c>
    </row>
    <row r="544" spans="1:8" x14ac:dyDescent="0.25">
      <c r="A544">
        <v>1409200</v>
      </c>
      <c r="B544" s="121" t="s">
        <v>8191</v>
      </c>
      <c r="C544" t="s">
        <v>32</v>
      </c>
      <c r="D544" t="s">
        <v>43</v>
      </c>
      <c r="E544" t="s">
        <v>3777</v>
      </c>
      <c r="F544" t="s">
        <v>4548</v>
      </c>
      <c r="G544" t="s">
        <v>8224</v>
      </c>
      <c r="H544" s="121" t="s">
        <v>8225</v>
      </c>
    </row>
    <row r="545" spans="1:8" x14ac:dyDescent="0.25">
      <c r="A545">
        <v>1409201</v>
      </c>
      <c r="B545" s="121" t="s">
        <v>8191</v>
      </c>
      <c r="C545" t="s">
        <v>32</v>
      </c>
      <c r="D545" t="s">
        <v>43</v>
      </c>
      <c r="E545" t="s">
        <v>3777</v>
      </c>
      <c r="F545" t="s">
        <v>4963</v>
      </c>
      <c r="G545" t="s">
        <v>3779</v>
      </c>
      <c r="H545" s="121" t="s">
        <v>8226</v>
      </c>
    </row>
    <row r="546" spans="1:8" x14ac:dyDescent="0.25">
      <c r="A546">
        <v>1409202</v>
      </c>
      <c r="B546" s="121" t="s">
        <v>8191</v>
      </c>
      <c r="C546" t="s">
        <v>32</v>
      </c>
      <c r="D546" t="s">
        <v>43</v>
      </c>
      <c r="E546" t="s">
        <v>3777</v>
      </c>
      <c r="F546" t="s">
        <v>3785</v>
      </c>
      <c r="G546" t="s">
        <v>3782</v>
      </c>
      <c r="H546" s="121" t="s">
        <v>8227</v>
      </c>
    </row>
    <row r="547" spans="1:8" x14ac:dyDescent="0.25">
      <c r="A547">
        <v>1409661</v>
      </c>
      <c r="B547" s="121" t="s">
        <v>8191</v>
      </c>
      <c r="C547" t="s">
        <v>32</v>
      </c>
      <c r="D547" t="s">
        <v>43</v>
      </c>
      <c r="E547" t="s">
        <v>3789</v>
      </c>
      <c r="F547" t="s">
        <v>3793</v>
      </c>
      <c r="G547" t="s">
        <v>8228</v>
      </c>
      <c r="H547" s="121" t="s">
        <v>8229</v>
      </c>
    </row>
    <row r="548" spans="1:8" x14ac:dyDescent="0.25">
      <c r="A548">
        <v>1409662</v>
      </c>
      <c r="B548" s="121" t="s">
        <v>8191</v>
      </c>
      <c r="C548" t="s">
        <v>32</v>
      </c>
      <c r="D548" t="s">
        <v>43</v>
      </c>
      <c r="E548" t="s">
        <v>3789</v>
      </c>
      <c r="F548" t="s">
        <v>3791</v>
      </c>
      <c r="G548" t="s">
        <v>8230</v>
      </c>
      <c r="H548" s="121" t="s">
        <v>8231</v>
      </c>
    </row>
    <row r="549" spans="1:8" x14ac:dyDescent="0.25">
      <c r="A549">
        <v>1409663</v>
      </c>
      <c r="B549" s="121" t="s">
        <v>8191</v>
      </c>
      <c r="C549" t="s">
        <v>32</v>
      </c>
      <c r="D549" t="s">
        <v>43</v>
      </c>
      <c r="E549" t="s">
        <v>3789</v>
      </c>
      <c r="F549" t="s">
        <v>8232</v>
      </c>
      <c r="G549" t="s">
        <v>3794</v>
      </c>
      <c r="H549" s="121" t="s">
        <v>8233</v>
      </c>
    </row>
    <row r="550" spans="1:8" x14ac:dyDescent="0.25">
      <c r="A550">
        <v>1410385</v>
      </c>
      <c r="B550" s="121" t="s">
        <v>8191</v>
      </c>
      <c r="C550" t="s">
        <v>32</v>
      </c>
      <c r="D550" t="s">
        <v>51</v>
      </c>
      <c r="E550" t="s">
        <v>3147</v>
      </c>
      <c r="F550" t="s">
        <v>8234</v>
      </c>
      <c r="G550" t="s">
        <v>3819</v>
      </c>
      <c r="H550" s="121" t="s">
        <v>8235</v>
      </c>
    </row>
    <row r="551" spans="1:8" x14ac:dyDescent="0.25">
      <c r="A551">
        <v>1410691</v>
      </c>
      <c r="B551" s="121" t="s">
        <v>8191</v>
      </c>
      <c r="C551" t="s">
        <v>32</v>
      </c>
      <c r="D551" t="s">
        <v>51</v>
      </c>
      <c r="E551" t="s">
        <v>386</v>
      </c>
      <c r="F551" t="s">
        <v>8236</v>
      </c>
      <c r="G551" t="s">
        <v>3398</v>
      </c>
      <c r="H551" s="121" t="s">
        <v>8237</v>
      </c>
    </row>
    <row r="552" spans="1:8" x14ac:dyDescent="0.25">
      <c r="A552">
        <v>1410693</v>
      </c>
      <c r="B552" s="121" t="s">
        <v>8191</v>
      </c>
      <c r="C552" t="s">
        <v>32</v>
      </c>
      <c r="D552" t="s">
        <v>51</v>
      </c>
      <c r="E552" t="s">
        <v>386</v>
      </c>
      <c r="F552" t="s">
        <v>3399</v>
      </c>
      <c r="G552" t="s">
        <v>3831</v>
      </c>
      <c r="H552" s="121" t="s">
        <v>8238</v>
      </c>
    </row>
    <row r="553" spans="1:8" x14ac:dyDescent="0.25">
      <c r="A553">
        <v>1412942</v>
      </c>
      <c r="B553" s="121" t="s">
        <v>8191</v>
      </c>
      <c r="C553" t="s">
        <v>32</v>
      </c>
      <c r="D553" t="s">
        <v>43</v>
      </c>
      <c r="E553" t="s">
        <v>606</v>
      </c>
      <c r="F553" t="s">
        <v>1668</v>
      </c>
      <c r="G553" t="s">
        <v>8239</v>
      </c>
      <c r="H553" s="121" t="s">
        <v>8240</v>
      </c>
    </row>
    <row r="554" spans="1:8" x14ac:dyDescent="0.25">
      <c r="A554">
        <v>1416157</v>
      </c>
      <c r="B554" s="121" t="s">
        <v>8191</v>
      </c>
      <c r="C554" t="s">
        <v>32</v>
      </c>
      <c r="D554" t="s">
        <v>593</v>
      </c>
      <c r="E554" t="s">
        <v>81</v>
      </c>
      <c r="F554" t="s">
        <v>1441</v>
      </c>
      <c r="G554" t="s">
        <v>1439</v>
      </c>
      <c r="H554" s="121" t="s">
        <v>8241</v>
      </c>
    </row>
    <row r="555" spans="1:8" x14ac:dyDescent="0.25">
      <c r="A555">
        <v>1416158</v>
      </c>
      <c r="B555" s="121" t="s">
        <v>8191</v>
      </c>
      <c r="C555" t="s">
        <v>32</v>
      </c>
      <c r="D555" t="s">
        <v>593</v>
      </c>
      <c r="E555" t="s">
        <v>81</v>
      </c>
      <c r="F555" t="s">
        <v>1440</v>
      </c>
      <c r="G555" t="s">
        <v>8242</v>
      </c>
      <c r="H555" s="121" t="s">
        <v>8243</v>
      </c>
    </row>
    <row r="556" spans="1:8" x14ac:dyDescent="0.25">
      <c r="A556">
        <v>1416159</v>
      </c>
      <c r="B556" s="121" t="s">
        <v>8191</v>
      </c>
      <c r="C556" t="s">
        <v>32</v>
      </c>
      <c r="D556" t="s">
        <v>593</v>
      </c>
      <c r="E556" t="s">
        <v>81</v>
      </c>
      <c r="F556" t="s">
        <v>1443</v>
      </c>
      <c r="G556" t="s">
        <v>8244</v>
      </c>
      <c r="H556" s="121" t="s">
        <v>8245</v>
      </c>
    </row>
    <row r="557" spans="1:8" x14ac:dyDescent="0.25">
      <c r="A557">
        <v>1416160</v>
      </c>
      <c r="B557" s="121" t="s">
        <v>8191</v>
      </c>
      <c r="C557" t="s">
        <v>32</v>
      </c>
      <c r="D557" t="s">
        <v>593</v>
      </c>
      <c r="E557" t="s">
        <v>81</v>
      </c>
      <c r="F557" t="s">
        <v>8246</v>
      </c>
      <c r="G557" t="s">
        <v>1438</v>
      </c>
      <c r="H557" s="121" t="s">
        <v>8247</v>
      </c>
    </row>
    <row r="558" spans="1:8" x14ac:dyDescent="0.25">
      <c r="A558">
        <v>1417587</v>
      </c>
      <c r="B558" s="121" t="s">
        <v>8191</v>
      </c>
      <c r="C558" t="s">
        <v>32</v>
      </c>
      <c r="D558" t="s">
        <v>403</v>
      </c>
      <c r="E558" t="s">
        <v>404</v>
      </c>
      <c r="F558" t="s">
        <v>1685</v>
      </c>
      <c r="G558" t="s">
        <v>1688</v>
      </c>
      <c r="H558" s="121" t="s">
        <v>8248</v>
      </c>
    </row>
    <row r="559" spans="1:8" x14ac:dyDescent="0.25">
      <c r="A559">
        <v>1417588</v>
      </c>
      <c r="B559" s="121" t="s">
        <v>8191</v>
      </c>
      <c r="C559" t="s">
        <v>32</v>
      </c>
      <c r="D559" t="s">
        <v>403</v>
      </c>
      <c r="E559" t="s">
        <v>404</v>
      </c>
      <c r="F559" t="s">
        <v>4571</v>
      </c>
      <c r="G559" t="s">
        <v>4575</v>
      </c>
      <c r="H559" s="121" t="s">
        <v>8249</v>
      </c>
    </row>
    <row r="560" spans="1:8" x14ac:dyDescent="0.25">
      <c r="A560">
        <v>1417590</v>
      </c>
      <c r="B560" s="121" t="s">
        <v>8191</v>
      </c>
      <c r="C560" t="s">
        <v>32</v>
      </c>
      <c r="D560" t="s">
        <v>403</v>
      </c>
      <c r="E560" t="s">
        <v>404</v>
      </c>
      <c r="F560" t="s">
        <v>4574</v>
      </c>
      <c r="G560" t="s">
        <v>8250</v>
      </c>
      <c r="H560" s="121" t="s">
        <v>8251</v>
      </c>
    </row>
    <row r="561" spans="1:8" x14ac:dyDescent="0.25">
      <c r="A561">
        <v>1417592</v>
      </c>
      <c r="B561" s="121" t="s">
        <v>8191</v>
      </c>
      <c r="C561" t="s">
        <v>32</v>
      </c>
      <c r="D561" t="s">
        <v>403</v>
      </c>
      <c r="E561" t="s">
        <v>404</v>
      </c>
      <c r="F561" t="s">
        <v>1686</v>
      </c>
      <c r="G561" t="s">
        <v>1690</v>
      </c>
      <c r="H561" s="121" t="s">
        <v>8252</v>
      </c>
    </row>
    <row r="562" spans="1:8" x14ac:dyDescent="0.25">
      <c r="A562">
        <v>1418678</v>
      </c>
      <c r="B562" s="121" t="s">
        <v>8191</v>
      </c>
      <c r="C562" t="s">
        <v>32</v>
      </c>
      <c r="D562" t="s">
        <v>80</v>
      </c>
      <c r="E562" t="s">
        <v>626</v>
      </c>
      <c r="F562" t="s">
        <v>6080</v>
      </c>
      <c r="G562" t="s">
        <v>4965</v>
      </c>
      <c r="H562" s="121" t="s">
        <v>8253</v>
      </c>
    </row>
    <row r="563" spans="1:8" x14ac:dyDescent="0.25">
      <c r="A563">
        <v>1419922</v>
      </c>
      <c r="B563" s="121" t="s">
        <v>8191</v>
      </c>
      <c r="C563" t="s">
        <v>32</v>
      </c>
      <c r="D563" t="s">
        <v>41</v>
      </c>
      <c r="E563" t="s">
        <v>348</v>
      </c>
      <c r="F563" t="s">
        <v>8254</v>
      </c>
      <c r="G563" t="s">
        <v>6716</v>
      </c>
      <c r="H563" s="121" t="s">
        <v>8255</v>
      </c>
    </row>
    <row r="564" spans="1:8" x14ac:dyDescent="0.25">
      <c r="A564">
        <v>1419923</v>
      </c>
      <c r="B564" s="121" t="s">
        <v>8191</v>
      </c>
      <c r="C564" t="s">
        <v>32</v>
      </c>
      <c r="D564" t="s">
        <v>41</v>
      </c>
      <c r="E564" t="s">
        <v>348</v>
      </c>
      <c r="F564" t="s">
        <v>8256</v>
      </c>
      <c r="G564" t="s">
        <v>6190</v>
      </c>
      <c r="H564" s="121" t="s">
        <v>8257</v>
      </c>
    </row>
    <row r="565" spans="1:8" x14ac:dyDescent="0.25">
      <c r="A565">
        <v>1419924</v>
      </c>
      <c r="B565" s="121" t="s">
        <v>8191</v>
      </c>
      <c r="C565" t="s">
        <v>32</v>
      </c>
      <c r="D565" t="s">
        <v>41</v>
      </c>
      <c r="E565" t="s">
        <v>348</v>
      </c>
      <c r="F565" t="s">
        <v>2284</v>
      </c>
      <c r="G565" t="s">
        <v>1695</v>
      </c>
      <c r="H565" s="121" t="s">
        <v>8258</v>
      </c>
    </row>
    <row r="566" spans="1:8" x14ac:dyDescent="0.25">
      <c r="A566">
        <v>1419925</v>
      </c>
      <c r="B566" s="121" t="s">
        <v>8191</v>
      </c>
      <c r="C566" t="s">
        <v>32</v>
      </c>
      <c r="D566" t="s">
        <v>41</v>
      </c>
      <c r="E566" t="s">
        <v>348</v>
      </c>
      <c r="F566" t="s">
        <v>1699</v>
      </c>
      <c r="G566" t="s">
        <v>4585</v>
      </c>
      <c r="H566" s="121" t="s">
        <v>8259</v>
      </c>
    </row>
    <row r="567" spans="1:8" x14ac:dyDescent="0.25">
      <c r="A567">
        <v>1429658</v>
      </c>
      <c r="B567" s="121" t="s">
        <v>8191</v>
      </c>
      <c r="C567" t="s">
        <v>32</v>
      </c>
      <c r="D567" t="s">
        <v>37</v>
      </c>
      <c r="E567" t="s">
        <v>238</v>
      </c>
      <c r="F567" t="s">
        <v>8260</v>
      </c>
      <c r="G567" t="s">
        <v>4230</v>
      </c>
      <c r="H567" s="121" t="s">
        <v>8261</v>
      </c>
    </row>
    <row r="568" spans="1:8" x14ac:dyDescent="0.25">
      <c r="A568">
        <v>1429659</v>
      </c>
      <c r="B568" s="121" t="s">
        <v>8191</v>
      </c>
      <c r="C568" t="s">
        <v>32</v>
      </c>
      <c r="D568" t="s">
        <v>37</v>
      </c>
      <c r="E568" t="s">
        <v>238</v>
      </c>
      <c r="F568" t="s">
        <v>2153</v>
      </c>
      <c r="G568" t="s">
        <v>2154</v>
      </c>
      <c r="H568" s="121" t="s">
        <v>8262</v>
      </c>
    </row>
    <row r="569" spans="1:8" x14ac:dyDescent="0.25">
      <c r="A569">
        <v>1438101</v>
      </c>
      <c r="B569" s="121" t="s">
        <v>8191</v>
      </c>
      <c r="C569" t="s">
        <v>32</v>
      </c>
      <c r="D569" t="s">
        <v>58</v>
      </c>
      <c r="E569" t="s">
        <v>621</v>
      </c>
      <c r="F569" t="s">
        <v>4637</v>
      </c>
      <c r="G569" t="s">
        <v>8263</v>
      </c>
      <c r="H569" s="121" t="s">
        <v>8264</v>
      </c>
    </row>
    <row r="570" spans="1:8" x14ac:dyDescent="0.25">
      <c r="A570">
        <v>1438102</v>
      </c>
      <c r="B570" s="121" t="s">
        <v>8191</v>
      </c>
      <c r="C570" t="s">
        <v>32</v>
      </c>
      <c r="D570" t="s">
        <v>58</v>
      </c>
      <c r="E570" t="s">
        <v>621</v>
      </c>
      <c r="F570" t="s">
        <v>4640</v>
      </c>
      <c r="G570" t="s">
        <v>4232</v>
      </c>
      <c r="H570" s="121" t="s">
        <v>8265</v>
      </c>
    </row>
    <row r="571" spans="1:8" x14ac:dyDescent="0.25">
      <c r="A571">
        <v>1438406</v>
      </c>
      <c r="B571" s="121" t="s">
        <v>8191</v>
      </c>
      <c r="C571" t="s">
        <v>32</v>
      </c>
      <c r="D571" t="s">
        <v>58</v>
      </c>
      <c r="E571" t="s">
        <v>622</v>
      </c>
      <c r="F571" t="s">
        <v>4643</v>
      </c>
      <c r="G571" t="s">
        <v>4647</v>
      </c>
      <c r="H571" s="121" t="s">
        <v>8266</v>
      </c>
    </row>
    <row r="572" spans="1:8" x14ac:dyDescent="0.25">
      <c r="A572">
        <v>1446388</v>
      </c>
      <c r="B572" s="121" t="s">
        <v>8191</v>
      </c>
      <c r="C572" t="s">
        <v>32</v>
      </c>
      <c r="D572" t="s">
        <v>37</v>
      </c>
      <c r="E572" t="s">
        <v>617</v>
      </c>
      <c r="F572" t="s">
        <v>8267</v>
      </c>
      <c r="G572" t="s">
        <v>8268</v>
      </c>
      <c r="H572" s="121" t="s">
        <v>8269</v>
      </c>
    </row>
    <row r="573" spans="1:8" x14ac:dyDescent="0.25">
      <c r="A573">
        <v>1446389</v>
      </c>
      <c r="B573" s="121" t="s">
        <v>8191</v>
      </c>
      <c r="C573" t="s">
        <v>32</v>
      </c>
      <c r="D573" t="s">
        <v>37</v>
      </c>
      <c r="E573" t="s">
        <v>617</v>
      </c>
      <c r="F573" t="s">
        <v>1565</v>
      </c>
      <c r="G573" t="s">
        <v>8270</v>
      </c>
      <c r="H573" s="121" t="s">
        <v>8271</v>
      </c>
    </row>
    <row r="574" spans="1:8" x14ac:dyDescent="0.25">
      <c r="A574">
        <v>1446390</v>
      </c>
      <c r="B574" s="121" t="s">
        <v>8191</v>
      </c>
      <c r="C574" t="s">
        <v>32</v>
      </c>
      <c r="D574" t="s">
        <v>37</v>
      </c>
      <c r="E574" t="s">
        <v>617</v>
      </c>
      <c r="F574" t="s">
        <v>8272</v>
      </c>
      <c r="G574" t="s">
        <v>1563</v>
      </c>
      <c r="H574" s="121" t="s">
        <v>8273</v>
      </c>
    </row>
    <row r="575" spans="1:8" x14ac:dyDescent="0.25">
      <c r="A575">
        <v>1446391</v>
      </c>
      <c r="B575" s="121" t="s">
        <v>8191</v>
      </c>
      <c r="C575" t="s">
        <v>32</v>
      </c>
      <c r="D575" t="s">
        <v>37</v>
      </c>
      <c r="E575" t="s">
        <v>617</v>
      </c>
      <c r="F575" t="s">
        <v>8274</v>
      </c>
      <c r="G575" t="s">
        <v>8275</v>
      </c>
      <c r="H575" s="121" t="s">
        <v>8276</v>
      </c>
    </row>
    <row r="576" spans="1:8" x14ac:dyDescent="0.25">
      <c r="A576">
        <v>1446392</v>
      </c>
      <c r="B576" s="121" t="s">
        <v>8191</v>
      </c>
      <c r="C576" t="s">
        <v>32</v>
      </c>
      <c r="D576" t="s">
        <v>37</v>
      </c>
      <c r="E576" t="s">
        <v>617</v>
      </c>
      <c r="F576" t="s">
        <v>4307</v>
      </c>
      <c r="G576" t="s">
        <v>4302</v>
      </c>
      <c r="H576" s="121" t="s">
        <v>8277</v>
      </c>
    </row>
    <row r="577" spans="1:8" x14ac:dyDescent="0.25">
      <c r="A577">
        <v>1446457</v>
      </c>
      <c r="B577" s="121" t="s">
        <v>8191</v>
      </c>
      <c r="C577" t="s">
        <v>32</v>
      </c>
      <c r="D577" t="s">
        <v>37</v>
      </c>
      <c r="E577" t="s">
        <v>617</v>
      </c>
      <c r="F577" t="s">
        <v>1564</v>
      </c>
      <c r="G577" t="s">
        <v>4306</v>
      </c>
      <c r="H577" s="121" t="s">
        <v>8278</v>
      </c>
    </row>
    <row r="578" spans="1:8" x14ac:dyDescent="0.25">
      <c r="A578">
        <v>1454577</v>
      </c>
      <c r="B578" s="121" t="s">
        <v>8191</v>
      </c>
      <c r="C578" t="s">
        <v>32</v>
      </c>
      <c r="D578" t="s">
        <v>41</v>
      </c>
      <c r="E578" t="s">
        <v>4652</v>
      </c>
      <c r="F578" t="s">
        <v>8279</v>
      </c>
      <c r="G578" t="s">
        <v>8280</v>
      </c>
      <c r="H578" s="121" t="s">
        <v>8281</v>
      </c>
    </row>
    <row r="579" spans="1:8" x14ac:dyDescent="0.25">
      <c r="A579">
        <v>1454579</v>
      </c>
      <c r="B579" s="121" t="s">
        <v>8191</v>
      </c>
      <c r="C579" t="s">
        <v>32</v>
      </c>
      <c r="D579" t="s">
        <v>41</v>
      </c>
      <c r="E579" t="s">
        <v>4652</v>
      </c>
      <c r="F579" t="s">
        <v>4654</v>
      </c>
      <c r="G579" t="s">
        <v>8282</v>
      </c>
      <c r="H579" s="121" t="s">
        <v>8283</v>
      </c>
    </row>
    <row r="580" spans="1:8" x14ac:dyDescent="0.25">
      <c r="A580">
        <v>1456087</v>
      </c>
      <c r="B580" s="121" t="s">
        <v>8191</v>
      </c>
      <c r="C580" t="s">
        <v>32</v>
      </c>
      <c r="D580" t="s">
        <v>41</v>
      </c>
      <c r="E580" t="s">
        <v>8284</v>
      </c>
      <c r="F580" t="s">
        <v>8285</v>
      </c>
      <c r="G580" t="s">
        <v>8286</v>
      </c>
      <c r="H580" s="121" t="s">
        <v>8287</v>
      </c>
    </row>
    <row r="581" spans="1:8" x14ac:dyDescent="0.25">
      <c r="A581">
        <v>1468008</v>
      </c>
      <c r="B581" s="121" t="s">
        <v>8191</v>
      </c>
      <c r="C581" t="s">
        <v>32</v>
      </c>
      <c r="D581" t="s">
        <v>41</v>
      </c>
      <c r="E581" t="s">
        <v>382</v>
      </c>
      <c r="F581" t="s">
        <v>4350</v>
      </c>
      <c r="G581" t="s">
        <v>3098</v>
      </c>
      <c r="H581" s="121" t="s">
        <v>8288</v>
      </c>
    </row>
    <row r="582" spans="1:8" x14ac:dyDescent="0.25">
      <c r="A582">
        <v>1468009</v>
      </c>
      <c r="B582" s="121" t="s">
        <v>8191</v>
      </c>
      <c r="C582" t="s">
        <v>32</v>
      </c>
      <c r="D582" t="s">
        <v>41</v>
      </c>
      <c r="E582" t="s">
        <v>382</v>
      </c>
      <c r="F582" t="s">
        <v>3207</v>
      </c>
      <c r="G582" t="s">
        <v>3880</v>
      </c>
      <c r="H582" s="121" t="s">
        <v>8289</v>
      </c>
    </row>
    <row r="583" spans="1:8" x14ac:dyDescent="0.25">
      <c r="A583">
        <v>1468010</v>
      </c>
      <c r="B583" s="121" t="s">
        <v>8191</v>
      </c>
      <c r="C583" t="s">
        <v>32</v>
      </c>
      <c r="D583" t="s">
        <v>41</v>
      </c>
      <c r="E583" t="s">
        <v>382</v>
      </c>
      <c r="F583" t="s">
        <v>3883</v>
      </c>
      <c r="G583" t="s">
        <v>4351</v>
      </c>
      <c r="H583" s="121" t="s">
        <v>8290</v>
      </c>
    </row>
    <row r="584" spans="1:8" x14ac:dyDescent="0.25">
      <c r="A584">
        <v>1468011</v>
      </c>
      <c r="B584" s="121" t="s">
        <v>8191</v>
      </c>
      <c r="C584" t="s">
        <v>32</v>
      </c>
      <c r="D584" t="s">
        <v>41</v>
      </c>
      <c r="E584" t="s">
        <v>382</v>
      </c>
      <c r="F584" t="s">
        <v>3100</v>
      </c>
      <c r="G584" t="s">
        <v>4348</v>
      </c>
      <c r="H584" s="121" t="s">
        <v>8291</v>
      </c>
    </row>
    <row r="585" spans="1:8" x14ac:dyDescent="0.25">
      <c r="A585">
        <v>1468013</v>
      </c>
      <c r="B585" s="121" t="s">
        <v>8191</v>
      </c>
      <c r="C585" t="s">
        <v>32</v>
      </c>
      <c r="D585" t="s">
        <v>41</v>
      </c>
      <c r="E585" t="s">
        <v>382</v>
      </c>
      <c r="F585" t="s">
        <v>3884</v>
      </c>
      <c r="G585" t="s">
        <v>4347</v>
      </c>
      <c r="H585" s="121" t="s">
        <v>8292</v>
      </c>
    </row>
    <row r="586" spans="1:8" x14ac:dyDescent="0.25">
      <c r="A586">
        <v>1468015</v>
      </c>
      <c r="B586" s="121" t="s">
        <v>8191</v>
      </c>
      <c r="C586" t="s">
        <v>32</v>
      </c>
      <c r="D586" t="s">
        <v>41</v>
      </c>
      <c r="E586" t="s">
        <v>382</v>
      </c>
      <c r="F586" t="s">
        <v>4356</v>
      </c>
      <c r="G586" t="s">
        <v>4360</v>
      </c>
      <c r="H586" s="121" t="s">
        <v>8293</v>
      </c>
    </row>
    <row r="587" spans="1:8" x14ac:dyDescent="0.25">
      <c r="A587">
        <v>1468017</v>
      </c>
      <c r="B587" s="121" t="s">
        <v>8191</v>
      </c>
      <c r="C587" t="s">
        <v>32</v>
      </c>
      <c r="D587" t="s">
        <v>41</v>
      </c>
      <c r="E587" t="s">
        <v>382</v>
      </c>
      <c r="F587" t="s">
        <v>3095</v>
      </c>
      <c r="G587" t="s">
        <v>4354</v>
      </c>
      <c r="H587" s="121" t="s">
        <v>8294</v>
      </c>
    </row>
    <row r="588" spans="1:8" x14ac:dyDescent="0.25">
      <c r="A588">
        <v>1468018</v>
      </c>
      <c r="B588" s="121" t="s">
        <v>8191</v>
      </c>
      <c r="C588" t="s">
        <v>32</v>
      </c>
      <c r="D588" t="s">
        <v>41</v>
      </c>
      <c r="E588" t="s">
        <v>382</v>
      </c>
      <c r="F588" t="s">
        <v>4353</v>
      </c>
      <c r="G588" t="s">
        <v>4359</v>
      </c>
      <c r="H588" s="121" t="s">
        <v>8295</v>
      </c>
    </row>
    <row r="589" spans="1:8" x14ac:dyDescent="0.25">
      <c r="A589">
        <v>1468843</v>
      </c>
      <c r="B589" s="121" t="s">
        <v>8191</v>
      </c>
      <c r="C589" t="s">
        <v>32</v>
      </c>
      <c r="D589" t="s">
        <v>41</v>
      </c>
      <c r="E589" t="s">
        <v>382</v>
      </c>
      <c r="F589" t="s">
        <v>3097</v>
      </c>
      <c r="G589" t="s">
        <v>5750</v>
      </c>
      <c r="H589" s="121" t="s">
        <v>8296</v>
      </c>
    </row>
    <row r="590" spans="1:8" x14ac:dyDescent="0.25">
      <c r="A590">
        <v>1468844</v>
      </c>
      <c r="B590" s="121" t="s">
        <v>8191</v>
      </c>
      <c r="C590" t="s">
        <v>32</v>
      </c>
      <c r="D590" t="s">
        <v>41</v>
      </c>
      <c r="E590" t="s">
        <v>382</v>
      </c>
      <c r="F590" t="s">
        <v>5749</v>
      </c>
      <c r="G590" t="s">
        <v>3208</v>
      </c>
      <c r="H590" s="121" t="s">
        <v>8297</v>
      </c>
    </row>
    <row r="591" spans="1:8" x14ac:dyDescent="0.25">
      <c r="A591">
        <v>1468901</v>
      </c>
      <c r="B591" s="121" t="s">
        <v>8191</v>
      </c>
      <c r="C591" t="s">
        <v>32</v>
      </c>
      <c r="D591" t="s">
        <v>41</v>
      </c>
      <c r="E591" t="s">
        <v>382</v>
      </c>
      <c r="F591" t="s">
        <v>3047</v>
      </c>
      <c r="G591" t="s">
        <v>1570</v>
      </c>
      <c r="H591" s="121" t="s">
        <v>8298</v>
      </c>
    </row>
    <row r="592" spans="1:8" x14ac:dyDescent="0.25">
      <c r="A592">
        <v>1468902</v>
      </c>
      <c r="B592" s="121" t="s">
        <v>8191</v>
      </c>
      <c r="C592" t="s">
        <v>32</v>
      </c>
      <c r="D592" t="s">
        <v>41</v>
      </c>
      <c r="E592" t="s">
        <v>382</v>
      </c>
      <c r="F592" t="s">
        <v>3092</v>
      </c>
      <c r="G592" t="s">
        <v>1571</v>
      </c>
      <c r="H592" s="121" t="s">
        <v>8299</v>
      </c>
    </row>
    <row r="593" spans="1:8" x14ac:dyDescent="0.25">
      <c r="A593">
        <v>1487387</v>
      </c>
      <c r="B593" s="121" t="s">
        <v>8191</v>
      </c>
      <c r="C593" t="s">
        <v>32</v>
      </c>
      <c r="D593" t="s">
        <v>381</v>
      </c>
      <c r="E593" t="s">
        <v>548</v>
      </c>
      <c r="F593" t="s">
        <v>1572</v>
      </c>
      <c r="G593" t="s">
        <v>881</v>
      </c>
      <c r="H593" s="121" t="s">
        <v>8300</v>
      </c>
    </row>
    <row r="594" spans="1:8" x14ac:dyDescent="0.25">
      <c r="A594">
        <v>1487765</v>
      </c>
      <c r="B594" s="121" t="s">
        <v>8191</v>
      </c>
      <c r="C594" t="s">
        <v>32</v>
      </c>
      <c r="D594" t="s">
        <v>381</v>
      </c>
      <c r="E594" t="s">
        <v>572</v>
      </c>
      <c r="F594" t="s">
        <v>4754</v>
      </c>
      <c r="G594" t="s">
        <v>4759</v>
      </c>
      <c r="H594" s="121" t="s">
        <v>8301</v>
      </c>
    </row>
    <row r="595" spans="1:8" x14ac:dyDescent="0.25">
      <c r="A595">
        <v>1489524</v>
      </c>
      <c r="B595" s="121" t="s">
        <v>8191</v>
      </c>
      <c r="C595" t="s">
        <v>32</v>
      </c>
      <c r="D595" t="s">
        <v>381</v>
      </c>
      <c r="E595" t="s">
        <v>573</v>
      </c>
      <c r="F595" t="s">
        <v>8302</v>
      </c>
      <c r="G595" t="s">
        <v>4761</v>
      </c>
      <c r="H595" s="121" t="s">
        <v>8303</v>
      </c>
    </row>
    <row r="596" spans="1:8" x14ac:dyDescent="0.25">
      <c r="A596">
        <v>1494123</v>
      </c>
      <c r="B596" s="121" t="s">
        <v>8191</v>
      </c>
      <c r="C596" t="s">
        <v>32</v>
      </c>
      <c r="D596" t="s">
        <v>275</v>
      </c>
      <c r="E596" t="s">
        <v>8304</v>
      </c>
      <c r="F596" t="s">
        <v>1778</v>
      </c>
      <c r="G596" t="s">
        <v>2522</v>
      </c>
      <c r="H596" s="121" t="s">
        <v>8305</v>
      </c>
    </row>
    <row r="597" spans="1:8" x14ac:dyDescent="0.25">
      <c r="A597">
        <v>1494126</v>
      </c>
      <c r="B597" s="121" t="s">
        <v>8191</v>
      </c>
      <c r="C597" t="s">
        <v>32</v>
      </c>
      <c r="D597" t="s">
        <v>275</v>
      </c>
      <c r="E597" t="s">
        <v>8304</v>
      </c>
      <c r="F597" t="s">
        <v>3489</v>
      </c>
      <c r="G597" t="s">
        <v>8306</v>
      </c>
      <c r="H597" s="121" t="s">
        <v>8307</v>
      </c>
    </row>
    <row r="598" spans="1:8" x14ac:dyDescent="0.25">
      <c r="A598">
        <v>1494128</v>
      </c>
      <c r="B598" s="121" t="s">
        <v>8191</v>
      </c>
      <c r="C598" t="s">
        <v>32</v>
      </c>
      <c r="D598" t="s">
        <v>275</v>
      </c>
      <c r="E598" t="s">
        <v>8304</v>
      </c>
      <c r="F598" t="s">
        <v>2523</v>
      </c>
      <c r="G598" t="s">
        <v>1279</v>
      </c>
      <c r="H598" s="121" t="s">
        <v>8308</v>
      </c>
    </row>
    <row r="599" spans="1:8" x14ac:dyDescent="0.25">
      <c r="A599">
        <v>1495201</v>
      </c>
      <c r="B599" s="121" t="s">
        <v>8191</v>
      </c>
      <c r="C599" t="s">
        <v>32</v>
      </c>
      <c r="D599" t="s">
        <v>541</v>
      </c>
      <c r="E599" t="s">
        <v>238</v>
      </c>
      <c r="F599" t="s">
        <v>1469</v>
      </c>
      <c r="G599" t="s">
        <v>1468</v>
      </c>
      <c r="H599" s="121" t="s">
        <v>8309</v>
      </c>
    </row>
    <row r="600" spans="1:8" x14ac:dyDescent="0.25">
      <c r="A600">
        <v>1495203</v>
      </c>
      <c r="B600" s="121" t="s">
        <v>8191</v>
      </c>
      <c r="C600" t="s">
        <v>32</v>
      </c>
      <c r="D600" t="s">
        <v>541</v>
      </c>
      <c r="E600" t="s">
        <v>238</v>
      </c>
      <c r="F600" t="s">
        <v>1467</v>
      </c>
      <c r="G600" t="s">
        <v>1466</v>
      </c>
      <c r="H600" s="121" t="s">
        <v>8310</v>
      </c>
    </row>
    <row r="601" spans="1:8" x14ac:dyDescent="0.25">
      <c r="A601">
        <v>1495205</v>
      </c>
      <c r="B601" s="121" t="s">
        <v>8191</v>
      </c>
      <c r="C601" t="s">
        <v>32</v>
      </c>
      <c r="D601" t="s">
        <v>541</v>
      </c>
      <c r="E601" t="s">
        <v>238</v>
      </c>
      <c r="F601" t="s">
        <v>8311</v>
      </c>
      <c r="G601" t="s">
        <v>1465</v>
      </c>
      <c r="H601" s="121" t="s">
        <v>8312</v>
      </c>
    </row>
    <row r="602" spans="1:8" x14ac:dyDescent="0.25">
      <c r="A602">
        <v>1495208</v>
      </c>
      <c r="B602" s="121" t="s">
        <v>8191</v>
      </c>
      <c r="C602" t="s">
        <v>32</v>
      </c>
      <c r="D602" t="s">
        <v>541</v>
      </c>
      <c r="E602" t="s">
        <v>238</v>
      </c>
      <c r="F602" t="s">
        <v>4024</v>
      </c>
      <c r="G602" t="s">
        <v>8313</v>
      </c>
      <c r="H602" s="121" t="s">
        <v>8314</v>
      </c>
    </row>
    <row r="603" spans="1:8" x14ac:dyDescent="0.25">
      <c r="A603">
        <v>1495209</v>
      </c>
      <c r="B603" s="121" t="s">
        <v>8191</v>
      </c>
      <c r="C603" t="s">
        <v>32</v>
      </c>
      <c r="D603" t="s">
        <v>541</v>
      </c>
      <c r="E603" t="s">
        <v>238</v>
      </c>
      <c r="F603" t="s">
        <v>4027</v>
      </c>
      <c r="G603" t="s">
        <v>4023</v>
      </c>
      <c r="H603" s="121" t="s">
        <v>8315</v>
      </c>
    </row>
    <row r="604" spans="1:8" x14ac:dyDescent="0.25">
      <c r="A604">
        <v>1496026</v>
      </c>
      <c r="B604" s="121" t="s">
        <v>8191</v>
      </c>
      <c r="C604" t="s">
        <v>32</v>
      </c>
      <c r="D604" t="s">
        <v>85</v>
      </c>
      <c r="E604" t="s">
        <v>7989</v>
      </c>
      <c r="F604" t="s">
        <v>8316</v>
      </c>
      <c r="G604" t="s">
        <v>8317</v>
      </c>
      <c r="H604" s="121" t="s">
        <v>8318</v>
      </c>
    </row>
    <row r="605" spans="1:8" x14ac:dyDescent="0.25">
      <c r="A605">
        <v>1496568</v>
      </c>
      <c r="B605" s="121" t="s">
        <v>8191</v>
      </c>
      <c r="C605" t="s">
        <v>32</v>
      </c>
      <c r="D605" t="s">
        <v>85</v>
      </c>
      <c r="E605" t="s">
        <v>7681</v>
      </c>
      <c r="F605" t="s">
        <v>8319</v>
      </c>
      <c r="G605" t="s">
        <v>8320</v>
      </c>
      <c r="H605" s="121" t="s">
        <v>8321</v>
      </c>
    </row>
    <row r="606" spans="1:8" x14ac:dyDescent="0.25">
      <c r="A606">
        <v>1496756</v>
      </c>
      <c r="B606" s="121" t="s">
        <v>8191</v>
      </c>
      <c r="C606" t="s">
        <v>32</v>
      </c>
      <c r="D606" t="s">
        <v>85</v>
      </c>
      <c r="E606" t="s">
        <v>8003</v>
      </c>
      <c r="F606" t="s">
        <v>8322</v>
      </c>
      <c r="G606" t="s">
        <v>8323</v>
      </c>
      <c r="H606" s="121" t="s">
        <v>8324</v>
      </c>
    </row>
    <row r="607" spans="1:8" x14ac:dyDescent="0.25">
      <c r="A607">
        <v>1496938</v>
      </c>
      <c r="B607" s="121" t="s">
        <v>8191</v>
      </c>
      <c r="C607" t="s">
        <v>32</v>
      </c>
      <c r="D607" t="s">
        <v>85</v>
      </c>
      <c r="E607" t="s">
        <v>7685</v>
      </c>
      <c r="F607" t="s">
        <v>8325</v>
      </c>
      <c r="G607" t="s">
        <v>8326</v>
      </c>
      <c r="H607" s="121" t="s">
        <v>8327</v>
      </c>
    </row>
    <row r="608" spans="1:8" x14ac:dyDescent="0.25">
      <c r="A608">
        <v>1497115</v>
      </c>
      <c r="B608" s="121" t="s">
        <v>8191</v>
      </c>
      <c r="C608" t="s">
        <v>32</v>
      </c>
      <c r="D608" t="s">
        <v>85</v>
      </c>
      <c r="E608" t="s">
        <v>8328</v>
      </c>
      <c r="F608" t="s">
        <v>8329</v>
      </c>
      <c r="G608" t="s">
        <v>782</v>
      </c>
      <c r="H608" s="121" t="s">
        <v>8330</v>
      </c>
    </row>
    <row r="609" spans="1:8" x14ac:dyDescent="0.25">
      <c r="A609">
        <v>1497297</v>
      </c>
      <c r="B609" s="121" t="s">
        <v>8191</v>
      </c>
      <c r="C609" t="s">
        <v>32</v>
      </c>
      <c r="D609" t="s">
        <v>85</v>
      </c>
      <c r="E609" t="s">
        <v>8016</v>
      </c>
      <c r="F609" t="s">
        <v>8331</v>
      </c>
      <c r="G609" t="s">
        <v>8332</v>
      </c>
      <c r="H609" s="121" t="s">
        <v>8333</v>
      </c>
    </row>
    <row r="610" spans="1:8" x14ac:dyDescent="0.25">
      <c r="A610">
        <v>1497299</v>
      </c>
      <c r="B610" s="121" t="s">
        <v>8191</v>
      </c>
      <c r="C610" t="s">
        <v>32</v>
      </c>
      <c r="D610" t="s">
        <v>85</v>
      </c>
      <c r="E610" t="s">
        <v>8016</v>
      </c>
      <c r="F610" t="s">
        <v>8334</v>
      </c>
      <c r="G610" t="s">
        <v>8335</v>
      </c>
      <c r="H610" s="121" t="s">
        <v>8336</v>
      </c>
    </row>
    <row r="611" spans="1:8" x14ac:dyDescent="0.25">
      <c r="A611">
        <v>1497300</v>
      </c>
      <c r="B611" s="121" t="s">
        <v>8191</v>
      </c>
      <c r="C611" t="s">
        <v>32</v>
      </c>
      <c r="D611" t="s">
        <v>85</v>
      </c>
      <c r="E611" t="s">
        <v>8016</v>
      </c>
      <c r="F611" t="s">
        <v>8337</v>
      </c>
      <c r="G611" t="s">
        <v>8338</v>
      </c>
      <c r="H611" s="121" t="s">
        <v>8339</v>
      </c>
    </row>
    <row r="612" spans="1:8" x14ac:dyDescent="0.25">
      <c r="A612">
        <v>1497524</v>
      </c>
      <c r="B612" s="121" t="s">
        <v>8191</v>
      </c>
      <c r="C612" t="s">
        <v>32</v>
      </c>
      <c r="D612" t="s">
        <v>275</v>
      </c>
      <c r="E612" t="s">
        <v>7689</v>
      </c>
      <c r="F612" t="s">
        <v>8340</v>
      </c>
      <c r="G612" t="s">
        <v>1280</v>
      </c>
      <c r="H612" s="121" t="s">
        <v>8341</v>
      </c>
    </row>
    <row r="613" spans="1:8" x14ac:dyDescent="0.25">
      <c r="A613">
        <v>1506580</v>
      </c>
      <c r="B613" s="121" t="s">
        <v>8191</v>
      </c>
      <c r="C613" t="s">
        <v>32</v>
      </c>
      <c r="D613" t="s">
        <v>610</v>
      </c>
      <c r="E613" t="s">
        <v>611</v>
      </c>
      <c r="F613" t="s">
        <v>5870</v>
      </c>
      <c r="G613" t="s">
        <v>4376</v>
      </c>
      <c r="H613" s="121" t="s">
        <v>8342</v>
      </c>
    </row>
    <row r="614" spans="1:8" x14ac:dyDescent="0.25">
      <c r="A614">
        <v>1506581</v>
      </c>
      <c r="B614" s="121" t="s">
        <v>8191</v>
      </c>
      <c r="C614" t="s">
        <v>32</v>
      </c>
      <c r="D614" t="s">
        <v>610</v>
      </c>
      <c r="E614" t="s">
        <v>611</v>
      </c>
      <c r="F614" t="s">
        <v>2259</v>
      </c>
      <c r="G614" t="s">
        <v>4082</v>
      </c>
      <c r="H614" s="121" t="s">
        <v>8343</v>
      </c>
    </row>
    <row r="615" spans="1:8" x14ac:dyDescent="0.25">
      <c r="A615">
        <v>1508070</v>
      </c>
      <c r="B615" s="121" t="s">
        <v>8191</v>
      </c>
      <c r="C615" t="s">
        <v>32</v>
      </c>
      <c r="D615" t="s">
        <v>8170</v>
      </c>
      <c r="E615" t="s">
        <v>49</v>
      </c>
      <c r="F615" t="s">
        <v>8344</v>
      </c>
      <c r="G615" t="s">
        <v>8345</v>
      </c>
      <c r="H615" s="121" t="s">
        <v>8346</v>
      </c>
    </row>
    <row r="616" spans="1:8" x14ac:dyDescent="0.25">
      <c r="A616">
        <v>1509734</v>
      </c>
      <c r="B616" s="121" t="s">
        <v>8191</v>
      </c>
      <c r="C616" t="s">
        <v>32</v>
      </c>
      <c r="D616" t="s">
        <v>58</v>
      </c>
      <c r="E616" t="s">
        <v>3303</v>
      </c>
      <c r="F616" t="s">
        <v>6486</v>
      </c>
      <c r="G616" t="s">
        <v>3304</v>
      </c>
      <c r="H616" s="121" t="s">
        <v>8347</v>
      </c>
    </row>
    <row r="617" spans="1:8" x14ac:dyDescent="0.25">
      <c r="A617">
        <v>1509735</v>
      </c>
      <c r="B617" s="121" t="s">
        <v>8191</v>
      </c>
      <c r="C617" t="s">
        <v>32</v>
      </c>
      <c r="D617" t="s">
        <v>58</v>
      </c>
      <c r="E617" t="s">
        <v>3303</v>
      </c>
      <c r="F617" t="s">
        <v>4838</v>
      </c>
      <c r="G617" t="s">
        <v>4403</v>
      </c>
      <c r="H617" s="121" t="s">
        <v>8348</v>
      </c>
    </row>
    <row r="618" spans="1:8" x14ac:dyDescent="0.25">
      <c r="A618">
        <v>1511089</v>
      </c>
      <c r="B618" s="121" t="s">
        <v>8191</v>
      </c>
      <c r="C618" t="s">
        <v>32</v>
      </c>
      <c r="D618" t="s">
        <v>275</v>
      </c>
      <c r="E618" t="s">
        <v>7592</v>
      </c>
      <c r="F618" t="s">
        <v>8349</v>
      </c>
      <c r="G618" t="s">
        <v>8350</v>
      </c>
      <c r="H618" s="121" t="s">
        <v>8351</v>
      </c>
    </row>
    <row r="619" spans="1:8" x14ac:dyDescent="0.25">
      <c r="A619">
        <v>1512058</v>
      </c>
      <c r="B619" s="121" t="s">
        <v>8191</v>
      </c>
      <c r="C619" t="s">
        <v>32</v>
      </c>
      <c r="D619" t="s">
        <v>595</v>
      </c>
      <c r="E619" t="s">
        <v>49</v>
      </c>
      <c r="F619" t="s">
        <v>8352</v>
      </c>
      <c r="G619" t="s">
        <v>8353</v>
      </c>
      <c r="H619" s="121" t="s">
        <v>8354</v>
      </c>
    </row>
    <row r="620" spans="1:8" x14ac:dyDescent="0.25">
      <c r="A620">
        <v>1514919</v>
      </c>
      <c r="B620" s="121" t="s">
        <v>8191</v>
      </c>
      <c r="C620" t="s">
        <v>32</v>
      </c>
      <c r="D620" t="s">
        <v>493</v>
      </c>
      <c r="E620" t="s">
        <v>39</v>
      </c>
      <c r="F620" t="s">
        <v>4108</v>
      </c>
      <c r="G620" t="s">
        <v>8355</v>
      </c>
      <c r="H620" s="121" t="s">
        <v>8356</v>
      </c>
    </row>
    <row r="621" spans="1:8" x14ac:dyDescent="0.25">
      <c r="A621">
        <v>1514934</v>
      </c>
      <c r="B621" s="121" t="s">
        <v>8191</v>
      </c>
      <c r="C621" t="s">
        <v>32</v>
      </c>
      <c r="D621" t="s">
        <v>493</v>
      </c>
      <c r="E621" t="s">
        <v>265</v>
      </c>
      <c r="F621" t="s">
        <v>8357</v>
      </c>
      <c r="G621" t="s">
        <v>8358</v>
      </c>
      <c r="H621" s="121" t="s">
        <v>8359</v>
      </c>
    </row>
    <row r="622" spans="1:8" x14ac:dyDescent="0.25">
      <c r="A622">
        <v>1515615</v>
      </c>
      <c r="B622" s="121" t="s">
        <v>8191</v>
      </c>
      <c r="C622" t="s">
        <v>32</v>
      </c>
      <c r="D622" t="s">
        <v>86</v>
      </c>
      <c r="E622" t="s">
        <v>655</v>
      </c>
      <c r="F622" t="s">
        <v>1499</v>
      </c>
      <c r="G622" t="s">
        <v>1269</v>
      </c>
      <c r="H622" s="121" t="s">
        <v>8360</v>
      </c>
    </row>
    <row r="623" spans="1:8" x14ac:dyDescent="0.25">
      <c r="A623">
        <v>1515618</v>
      </c>
      <c r="B623" s="121" t="s">
        <v>8191</v>
      </c>
      <c r="C623" t="s">
        <v>34</v>
      </c>
      <c r="D623" t="s">
        <v>86</v>
      </c>
      <c r="E623" t="s">
        <v>655</v>
      </c>
      <c r="F623" t="s">
        <v>2020</v>
      </c>
      <c r="G623" t="s">
        <v>1499</v>
      </c>
      <c r="H623" s="121" t="s">
        <v>8361</v>
      </c>
    </row>
    <row r="624" spans="1:8" x14ac:dyDescent="0.25">
      <c r="A624">
        <v>1515619</v>
      </c>
      <c r="B624" s="121" t="s">
        <v>8191</v>
      </c>
      <c r="C624" t="s">
        <v>34</v>
      </c>
      <c r="D624" t="s">
        <v>86</v>
      </c>
      <c r="E624" t="s">
        <v>655</v>
      </c>
      <c r="F624" t="s">
        <v>1773</v>
      </c>
      <c r="G624" t="s">
        <v>322</v>
      </c>
      <c r="H624" s="121" t="s">
        <v>8362</v>
      </c>
    </row>
    <row r="625" spans="1:8" x14ac:dyDescent="0.25">
      <c r="A625">
        <v>1515620</v>
      </c>
      <c r="B625" s="121" t="s">
        <v>8191</v>
      </c>
      <c r="C625" t="s">
        <v>34</v>
      </c>
      <c r="D625" t="s">
        <v>86</v>
      </c>
      <c r="E625" t="s">
        <v>655</v>
      </c>
      <c r="F625" t="s">
        <v>1775</v>
      </c>
      <c r="G625" t="s">
        <v>8363</v>
      </c>
      <c r="H625" s="121" t="s">
        <v>8364</v>
      </c>
    </row>
    <row r="626" spans="1:8" x14ac:dyDescent="0.25">
      <c r="A626">
        <v>1515621</v>
      </c>
      <c r="B626" s="121" t="s">
        <v>8191</v>
      </c>
      <c r="C626" t="s">
        <v>34</v>
      </c>
      <c r="D626" t="s">
        <v>86</v>
      </c>
      <c r="E626" t="s">
        <v>655</v>
      </c>
      <c r="F626" t="s">
        <v>1500</v>
      </c>
      <c r="G626" t="s">
        <v>2021</v>
      </c>
      <c r="H626" s="121" t="s">
        <v>8365</v>
      </c>
    </row>
    <row r="627" spans="1:8" x14ac:dyDescent="0.25">
      <c r="A627">
        <v>1515622</v>
      </c>
      <c r="B627" s="121" t="s">
        <v>8191</v>
      </c>
      <c r="C627" t="s">
        <v>34</v>
      </c>
      <c r="D627" t="s">
        <v>86</v>
      </c>
      <c r="E627" t="s">
        <v>655</v>
      </c>
      <c r="F627" t="s">
        <v>1269</v>
      </c>
      <c r="G627" t="s">
        <v>1771</v>
      </c>
      <c r="H627" s="121" t="s">
        <v>8366</v>
      </c>
    </row>
    <row r="628" spans="1:8" x14ac:dyDescent="0.25">
      <c r="A628">
        <v>1515623</v>
      </c>
      <c r="B628" s="121" t="s">
        <v>8191</v>
      </c>
      <c r="C628" t="s">
        <v>34</v>
      </c>
      <c r="D628" t="s">
        <v>86</v>
      </c>
      <c r="E628" t="s">
        <v>655</v>
      </c>
      <c r="F628" t="s">
        <v>1819</v>
      </c>
      <c r="G628" t="s">
        <v>1774</v>
      </c>
      <c r="H628" s="121" t="s">
        <v>8367</v>
      </c>
    </row>
    <row r="629" spans="1:8" x14ac:dyDescent="0.25">
      <c r="A629">
        <v>1515624</v>
      </c>
      <c r="B629" s="121" t="s">
        <v>8191</v>
      </c>
      <c r="C629" t="s">
        <v>34</v>
      </c>
      <c r="D629" t="s">
        <v>86</v>
      </c>
      <c r="E629" t="s">
        <v>655</v>
      </c>
      <c r="F629" t="s">
        <v>1772</v>
      </c>
      <c r="G629" t="s">
        <v>1270</v>
      </c>
      <c r="H629" s="121" t="s">
        <v>8368</v>
      </c>
    </row>
    <row r="630" spans="1:8" x14ac:dyDescent="0.25">
      <c r="A630">
        <v>1515625</v>
      </c>
      <c r="B630" s="121" t="s">
        <v>8191</v>
      </c>
      <c r="C630" t="s">
        <v>34</v>
      </c>
      <c r="D630" t="s">
        <v>86</v>
      </c>
      <c r="E630" t="s">
        <v>655</v>
      </c>
      <c r="F630" t="s">
        <v>8369</v>
      </c>
      <c r="G630" t="s">
        <v>1776</v>
      </c>
      <c r="H630" s="121" t="s">
        <v>8370</v>
      </c>
    </row>
    <row r="631" spans="1:8" x14ac:dyDescent="0.25">
      <c r="A631">
        <v>1516292</v>
      </c>
      <c r="B631" s="121" t="s">
        <v>8191</v>
      </c>
      <c r="C631" t="s">
        <v>32</v>
      </c>
      <c r="D631" t="s">
        <v>8371</v>
      </c>
      <c r="E631" t="s">
        <v>49</v>
      </c>
      <c r="F631" t="s">
        <v>8372</v>
      </c>
      <c r="G631" t="s">
        <v>8373</v>
      </c>
      <c r="H631" s="121" t="s">
        <v>8374</v>
      </c>
    </row>
    <row r="632" spans="1:8" x14ac:dyDescent="0.25">
      <c r="A632">
        <v>1517050</v>
      </c>
      <c r="B632" s="121" t="s">
        <v>8191</v>
      </c>
      <c r="C632" t="s">
        <v>32</v>
      </c>
      <c r="D632" t="s">
        <v>44</v>
      </c>
      <c r="E632" t="s">
        <v>388</v>
      </c>
      <c r="F632" t="s">
        <v>4092</v>
      </c>
      <c r="G632" t="s">
        <v>1265</v>
      </c>
      <c r="H632" s="121" t="s">
        <v>8375</v>
      </c>
    </row>
    <row r="633" spans="1:8" x14ac:dyDescent="0.25">
      <c r="A633">
        <v>1517051</v>
      </c>
      <c r="B633" s="121" t="s">
        <v>8191</v>
      </c>
      <c r="C633" t="s">
        <v>32</v>
      </c>
      <c r="D633" t="s">
        <v>44</v>
      </c>
      <c r="E633" t="s">
        <v>388</v>
      </c>
      <c r="F633" t="s">
        <v>4093</v>
      </c>
      <c r="G633" t="s">
        <v>1490</v>
      </c>
      <c r="H633" s="121" t="s">
        <v>8376</v>
      </c>
    </row>
    <row r="634" spans="1:8" x14ac:dyDescent="0.25">
      <c r="A634">
        <v>1517053</v>
      </c>
      <c r="B634" s="121" t="s">
        <v>8191</v>
      </c>
      <c r="C634" t="s">
        <v>32</v>
      </c>
      <c r="D634" t="s">
        <v>44</v>
      </c>
      <c r="E634" t="s">
        <v>388</v>
      </c>
      <c r="F634" t="s">
        <v>1491</v>
      </c>
      <c r="G634" t="s">
        <v>8377</v>
      </c>
      <c r="H634" s="121" t="s">
        <v>8378</v>
      </c>
    </row>
    <row r="635" spans="1:8" x14ac:dyDescent="0.25">
      <c r="A635">
        <v>1517056</v>
      </c>
      <c r="B635" s="121" t="s">
        <v>8191</v>
      </c>
      <c r="C635" t="s">
        <v>17</v>
      </c>
      <c r="D635" t="s">
        <v>44</v>
      </c>
      <c r="E635" t="s">
        <v>388</v>
      </c>
      <c r="F635" t="s">
        <v>8379</v>
      </c>
      <c r="G635" t="s">
        <v>4100</v>
      </c>
      <c r="H635" s="121" t="s">
        <v>8380</v>
      </c>
    </row>
    <row r="636" spans="1:8" x14ac:dyDescent="0.25">
      <c r="A636">
        <v>1517057</v>
      </c>
      <c r="B636" s="121" t="s">
        <v>8191</v>
      </c>
      <c r="C636" t="s">
        <v>32</v>
      </c>
      <c r="D636" t="s">
        <v>44</v>
      </c>
      <c r="E636" t="s">
        <v>388</v>
      </c>
      <c r="F636" t="s">
        <v>4106</v>
      </c>
      <c r="G636" t="s">
        <v>4098</v>
      </c>
      <c r="H636" s="121" t="s">
        <v>8381</v>
      </c>
    </row>
    <row r="637" spans="1:8" x14ac:dyDescent="0.25">
      <c r="A637">
        <v>1517139</v>
      </c>
      <c r="B637" s="121" t="s">
        <v>8191</v>
      </c>
      <c r="C637" t="s">
        <v>32</v>
      </c>
      <c r="D637" t="s">
        <v>5924</v>
      </c>
      <c r="E637" t="s">
        <v>7744</v>
      </c>
      <c r="F637" t="s">
        <v>8382</v>
      </c>
      <c r="G637" t="s">
        <v>8383</v>
      </c>
      <c r="H637" s="121" t="s">
        <v>8384</v>
      </c>
    </row>
    <row r="638" spans="1:8" x14ac:dyDescent="0.25">
      <c r="A638">
        <v>1518387</v>
      </c>
      <c r="B638" s="121" t="s">
        <v>8191</v>
      </c>
      <c r="C638" t="s">
        <v>32</v>
      </c>
      <c r="D638" t="s">
        <v>43</v>
      </c>
      <c r="E638" t="s">
        <v>576</v>
      </c>
      <c r="F638" t="s">
        <v>3256</v>
      </c>
      <c r="G638" t="s">
        <v>8385</v>
      </c>
      <c r="H638" s="121" t="s">
        <v>8386</v>
      </c>
    </row>
    <row r="639" spans="1:8" x14ac:dyDescent="0.25">
      <c r="A639">
        <v>1518397</v>
      </c>
      <c r="B639" s="121" t="s">
        <v>8191</v>
      </c>
      <c r="C639" t="s">
        <v>32</v>
      </c>
      <c r="D639" t="s">
        <v>43</v>
      </c>
      <c r="E639" t="s">
        <v>576</v>
      </c>
      <c r="F639" t="s">
        <v>4854</v>
      </c>
      <c r="G639" t="s">
        <v>8387</v>
      </c>
      <c r="H639" s="121" t="s">
        <v>8388</v>
      </c>
    </row>
    <row r="640" spans="1:8" x14ac:dyDescent="0.25">
      <c r="A640">
        <v>1521842</v>
      </c>
      <c r="B640" s="121" t="s">
        <v>8191</v>
      </c>
      <c r="C640" t="s">
        <v>32</v>
      </c>
      <c r="D640" t="s">
        <v>493</v>
      </c>
      <c r="E640" t="s">
        <v>265</v>
      </c>
      <c r="F640" t="s">
        <v>1460</v>
      </c>
      <c r="G640" t="s">
        <v>2146</v>
      </c>
      <c r="H640" s="121" t="s">
        <v>8389</v>
      </c>
    </row>
    <row r="641" spans="1:8" x14ac:dyDescent="0.25">
      <c r="A641">
        <v>1523353</v>
      </c>
      <c r="B641" s="121" t="s">
        <v>8191</v>
      </c>
      <c r="C641" t="s">
        <v>32</v>
      </c>
      <c r="D641" t="s">
        <v>616</v>
      </c>
      <c r="E641" t="s">
        <v>617</v>
      </c>
      <c r="F641" t="s">
        <v>8390</v>
      </c>
      <c r="G641" t="s">
        <v>4859</v>
      </c>
      <c r="H641" s="121" t="s">
        <v>8391</v>
      </c>
    </row>
    <row r="642" spans="1:8" x14ac:dyDescent="0.25">
      <c r="A642">
        <v>1523354</v>
      </c>
      <c r="B642" s="121" t="s">
        <v>8191</v>
      </c>
      <c r="C642" t="s">
        <v>32</v>
      </c>
      <c r="D642" t="s">
        <v>616</v>
      </c>
      <c r="E642" t="s">
        <v>617</v>
      </c>
      <c r="F642" t="s">
        <v>8392</v>
      </c>
      <c r="G642" t="s">
        <v>8393</v>
      </c>
      <c r="H642" s="121" t="s">
        <v>8394</v>
      </c>
    </row>
    <row r="643" spans="1:8" x14ac:dyDescent="0.25">
      <c r="A643">
        <v>1523355</v>
      </c>
      <c r="B643" s="121" t="s">
        <v>8191</v>
      </c>
      <c r="C643" t="s">
        <v>32</v>
      </c>
      <c r="D643" t="s">
        <v>616</v>
      </c>
      <c r="E643" t="s">
        <v>617</v>
      </c>
      <c r="F643" t="s">
        <v>8395</v>
      </c>
      <c r="G643" t="s">
        <v>8396</v>
      </c>
      <c r="H643" s="121" t="s">
        <v>8397</v>
      </c>
    </row>
    <row r="644" spans="1:8" x14ac:dyDescent="0.25">
      <c r="A644">
        <v>1523356</v>
      </c>
      <c r="B644" s="121" t="s">
        <v>8191</v>
      </c>
      <c r="C644" t="s">
        <v>32</v>
      </c>
      <c r="D644" t="s">
        <v>616</v>
      </c>
      <c r="E644" t="s">
        <v>617</v>
      </c>
      <c r="F644" t="s">
        <v>8398</v>
      </c>
      <c r="G644" t="s">
        <v>8399</v>
      </c>
      <c r="H644" s="121" t="s">
        <v>8400</v>
      </c>
    </row>
    <row r="645" spans="1:8" x14ac:dyDescent="0.25">
      <c r="A645">
        <v>1523357</v>
      </c>
      <c r="B645" s="121" t="s">
        <v>8191</v>
      </c>
      <c r="C645" t="s">
        <v>32</v>
      </c>
      <c r="D645" t="s">
        <v>616</v>
      </c>
      <c r="E645" t="s">
        <v>617</v>
      </c>
      <c r="F645" t="s">
        <v>8401</v>
      </c>
      <c r="G645" t="s">
        <v>4858</v>
      </c>
      <c r="H645" s="121" t="s">
        <v>8402</v>
      </c>
    </row>
    <row r="646" spans="1:8" x14ac:dyDescent="0.25">
      <c r="A646">
        <v>1523358</v>
      </c>
      <c r="B646" s="121" t="s">
        <v>8191</v>
      </c>
      <c r="C646" t="s">
        <v>32</v>
      </c>
      <c r="D646" t="s">
        <v>616</v>
      </c>
      <c r="E646" t="s">
        <v>617</v>
      </c>
      <c r="F646" t="s">
        <v>8403</v>
      </c>
      <c r="G646" t="s">
        <v>8404</v>
      </c>
      <c r="H646" s="121" t="s">
        <v>8405</v>
      </c>
    </row>
    <row r="647" spans="1:8" x14ac:dyDescent="0.25">
      <c r="A647">
        <v>1525829</v>
      </c>
      <c r="B647" s="121" t="s">
        <v>8191</v>
      </c>
      <c r="C647" t="s">
        <v>32</v>
      </c>
      <c r="D647" t="s">
        <v>389</v>
      </c>
      <c r="E647" t="s">
        <v>49</v>
      </c>
      <c r="F647" t="s">
        <v>8406</v>
      </c>
      <c r="G647" t="s">
        <v>3262</v>
      </c>
      <c r="H647" s="121" t="s">
        <v>8407</v>
      </c>
    </row>
    <row r="648" spans="1:8" x14ac:dyDescent="0.25">
      <c r="A648">
        <v>1526699</v>
      </c>
      <c r="B648" s="121" t="s">
        <v>8191</v>
      </c>
      <c r="C648" t="s">
        <v>32</v>
      </c>
      <c r="D648" t="s">
        <v>377</v>
      </c>
      <c r="E648" t="s">
        <v>2949</v>
      </c>
      <c r="F648" t="s">
        <v>3063</v>
      </c>
      <c r="G648" t="s">
        <v>2951</v>
      </c>
      <c r="H648" s="121" t="s">
        <v>8408</v>
      </c>
    </row>
    <row r="649" spans="1:8" x14ac:dyDescent="0.25">
      <c r="A649">
        <v>1527482</v>
      </c>
      <c r="B649" s="121" t="s">
        <v>8191</v>
      </c>
      <c r="C649" t="s">
        <v>32</v>
      </c>
      <c r="D649" t="s">
        <v>260</v>
      </c>
      <c r="E649" t="s">
        <v>399</v>
      </c>
      <c r="F649" t="s">
        <v>1012</v>
      </c>
      <c r="G649" t="s">
        <v>8409</v>
      </c>
      <c r="H649" s="121" t="s">
        <v>8410</v>
      </c>
    </row>
    <row r="650" spans="1:8" x14ac:dyDescent="0.25">
      <c r="A650">
        <v>1527930</v>
      </c>
      <c r="B650" s="121" t="s">
        <v>8191</v>
      </c>
      <c r="C650" t="s">
        <v>32</v>
      </c>
      <c r="D650" t="s">
        <v>569</v>
      </c>
      <c r="E650" t="s">
        <v>49</v>
      </c>
      <c r="F650" t="s">
        <v>8411</v>
      </c>
      <c r="G650" t="s">
        <v>3071</v>
      </c>
      <c r="H650" s="121" t="s">
        <v>8412</v>
      </c>
    </row>
    <row r="651" spans="1:8" x14ac:dyDescent="0.25">
      <c r="A651">
        <v>1529500</v>
      </c>
      <c r="B651" s="121" t="s">
        <v>8191</v>
      </c>
      <c r="C651" t="s">
        <v>32</v>
      </c>
      <c r="D651" t="s">
        <v>544</v>
      </c>
      <c r="E651" t="s">
        <v>4863</v>
      </c>
      <c r="F651" t="s">
        <v>4867</v>
      </c>
      <c r="G651" t="s">
        <v>4865</v>
      </c>
      <c r="H651" s="121" t="s">
        <v>8413</v>
      </c>
    </row>
    <row r="652" spans="1:8" x14ac:dyDescent="0.25">
      <c r="A652">
        <v>1531428</v>
      </c>
      <c r="B652" s="121" t="s">
        <v>8191</v>
      </c>
      <c r="C652" t="s">
        <v>32</v>
      </c>
      <c r="D652" t="s">
        <v>596</v>
      </c>
      <c r="E652" t="s">
        <v>1288</v>
      </c>
      <c r="F652" t="s">
        <v>1292</v>
      </c>
      <c r="G652" t="s">
        <v>1302</v>
      </c>
      <c r="H652" s="121" t="s">
        <v>8414</v>
      </c>
    </row>
    <row r="653" spans="1:8" x14ac:dyDescent="0.25">
      <c r="A653">
        <v>1531430</v>
      </c>
      <c r="B653" s="121" t="s">
        <v>8191</v>
      </c>
      <c r="C653" t="s">
        <v>32</v>
      </c>
      <c r="D653" t="s">
        <v>596</v>
      </c>
      <c r="E653" t="s">
        <v>1288</v>
      </c>
      <c r="F653" t="s">
        <v>1298</v>
      </c>
      <c r="G653" t="s">
        <v>1296</v>
      </c>
      <c r="H653" s="121" t="s">
        <v>8415</v>
      </c>
    </row>
    <row r="654" spans="1:8" x14ac:dyDescent="0.25">
      <c r="A654">
        <v>1531431</v>
      </c>
      <c r="B654" s="121" t="s">
        <v>8191</v>
      </c>
      <c r="C654" t="s">
        <v>32</v>
      </c>
      <c r="D654" t="s">
        <v>596</v>
      </c>
      <c r="E654" t="s">
        <v>1288</v>
      </c>
      <c r="F654" t="s">
        <v>1300</v>
      </c>
      <c r="G654" t="s">
        <v>1305</v>
      </c>
      <c r="H654" s="121" t="s">
        <v>8416</v>
      </c>
    </row>
    <row r="655" spans="1:8" x14ac:dyDescent="0.25">
      <c r="A655">
        <v>1531433</v>
      </c>
      <c r="B655" s="121" t="s">
        <v>8191</v>
      </c>
      <c r="C655" t="s">
        <v>32</v>
      </c>
      <c r="D655" t="s">
        <v>596</v>
      </c>
      <c r="E655" t="s">
        <v>1288</v>
      </c>
      <c r="F655" t="s">
        <v>1304</v>
      </c>
      <c r="G655" t="s">
        <v>1297</v>
      </c>
      <c r="H655" s="121" t="s">
        <v>8417</v>
      </c>
    </row>
    <row r="656" spans="1:8" x14ac:dyDescent="0.25">
      <c r="A656">
        <v>1531435</v>
      </c>
      <c r="B656" s="121" t="s">
        <v>8191</v>
      </c>
      <c r="C656" t="s">
        <v>32</v>
      </c>
      <c r="D656" t="s">
        <v>596</v>
      </c>
      <c r="E656" t="s">
        <v>1288</v>
      </c>
      <c r="F656" t="s">
        <v>1290</v>
      </c>
      <c r="G656" t="s">
        <v>1295</v>
      </c>
      <c r="H656" s="121" t="s">
        <v>8418</v>
      </c>
    </row>
    <row r="657" spans="1:8" x14ac:dyDescent="0.25">
      <c r="A657">
        <v>1534263</v>
      </c>
      <c r="B657" s="121" t="s">
        <v>8191</v>
      </c>
      <c r="C657" t="s">
        <v>32</v>
      </c>
      <c r="D657" t="s">
        <v>389</v>
      </c>
      <c r="E657" t="s">
        <v>335</v>
      </c>
      <c r="F657" t="s">
        <v>8419</v>
      </c>
      <c r="G657" t="s">
        <v>8420</v>
      </c>
      <c r="H657" s="121" t="s">
        <v>8421</v>
      </c>
    </row>
    <row r="658" spans="1:8" x14ac:dyDescent="0.25">
      <c r="A658">
        <v>1535048</v>
      </c>
      <c r="B658" s="121" t="s">
        <v>8191</v>
      </c>
      <c r="C658" t="s">
        <v>32</v>
      </c>
      <c r="D658" t="s">
        <v>355</v>
      </c>
      <c r="E658" t="s">
        <v>8422</v>
      </c>
      <c r="F658" t="s">
        <v>8423</v>
      </c>
      <c r="G658" t="s">
        <v>8424</v>
      </c>
      <c r="H658" s="121" t="s">
        <v>8425</v>
      </c>
    </row>
    <row r="659" spans="1:8" x14ac:dyDescent="0.25">
      <c r="A659">
        <v>1535049</v>
      </c>
      <c r="B659" s="121" t="s">
        <v>8191</v>
      </c>
      <c r="C659" t="s">
        <v>32</v>
      </c>
      <c r="D659" t="s">
        <v>355</v>
      </c>
      <c r="E659" t="s">
        <v>8422</v>
      </c>
      <c r="F659" t="s">
        <v>8426</v>
      </c>
      <c r="G659" t="s">
        <v>8427</v>
      </c>
      <c r="H659" s="121" t="s">
        <v>8428</v>
      </c>
    </row>
    <row r="660" spans="1:8" x14ac:dyDescent="0.25">
      <c r="A660">
        <v>1535807</v>
      </c>
      <c r="B660" s="121" t="s">
        <v>8191</v>
      </c>
      <c r="C660" t="s">
        <v>32</v>
      </c>
      <c r="D660" t="s">
        <v>377</v>
      </c>
      <c r="E660" t="s">
        <v>45</v>
      </c>
      <c r="F660" t="s">
        <v>4861</v>
      </c>
      <c r="G660" t="s">
        <v>8429</v>
      </c>
      <c r="H660" s="121" t="s">
        <v>8430</v>
      </c>
    </row>
    <row r="661" spans="1:8" x14ac:dyDescent="0.25">
      <c r="A661">
        <v>1536111</v>
      </c>
      <c r="B661" s="121" t="s">
        <v>8191</v>
      </c>
      <c r="C661" t="s">
        <v>32</v>
      </c>
      <c r="D661" t="s">
        <v>20</v>
      </c>
      <c r="E661" t="s">
        <v>8431</v>
      </c>
      <c r="F661" t="s">
        <v>8432</v>
      </c>
      <c r="G661" t="s">
        <v>8433</v>
      </c>
      <c r="H661" s="121" t="s">
        <v>8434</v>
      </c>
    </row>
    <row r="662" spans="1:8" x14ac:dyDescent="0.25">
      <c r="A662">
        <v>1536112</v>
      </c>
      <c r="B662" s="121" t="s">
        <v>8191</v>
      </c>
      <c r="C662" t="s">
        <v>32</v>
      </c>
      <c r="D662" t="s">
        <v>20</v>
      </c>
      <c r="E662" t="s">
        <v>8431</v>
      </c>
      <c r="F662" t="s">
        <v>8435</v>
      </c>
      <c r="G662" t="s">
        <v>8436</v>
      </c>
      <c r="H662" s="121" t="s">
        <v>8437</v>
      </c>
    </row>
    <row r="663" spans="1:8" x14ac:dyDescent="0.25">
      <c r="A663">
        <v>1537239</v>
      </c>
      <c r="B663" s="121" t="s">
        <v>8191</v>
      </c>
      <c r="C663" t="s">
        <v>32</v>
      </c>
      <c r="D663" t="s">
        <v>72</v>
      </c>
      <c r="E663" t="s">
        <v>73</v>
      </c>
      <c r="F663" t="s">
        <v>528</v>
      </c>
      <c r="G663" t="s">
        <v>8438</v>
      </c>
      <c r="H663" s="121" t="s">
        <v>8439</v>
      </c>
    </row>
    <row r="664" spans="1:8" x14ac:dyDescent="0.25">
      <c r="A664">
        <v>1537529</v>
      </c>
      <c r="B664" s="121" t="s">
        <v>8191</v>
      </c>
      <c r="C664" t="s">
        <v>32</v>
      </c>
      <c r="D664" t="s">
        <v>596</v>
      </c>
      <c r="E664" t="s">
        <v>69</v>
      </c>
      <c r="F664" t="s">
        <v>8440</v>
      </c>
      <c r="G664" t="s">
        <v>2462</v>
      </c>
      <c r="H664" s="121" t="s">
        <v>8441</v>
      </c>
    </row>
    <row r="665" spans="1:8" x14ac:dyDescent="0.25">
      <c r="A665">
        <v>1539772</v>
      </c>
      <c r="B665" s="121" t="s">
        <v>8191</v>
      </c>
      <c r="C665" t="s">
        <v>32</v>
      </c>
      <c r="D665" t="s">
        <v>5924</v>
      </c>
      <c r="E665" t="s">
        <v>7410</v>
      </c>
      <c r="F665" t="s">
        <v>8442</v>
      </c>
      <c r="G665" t="s">
        <v>8443</v>
      </c>
      <c r="H665" s="121" t="s">
        <v>8444</v>
      </c>
    </row>
    <row r="666" spans="1:8" x14ac:dyDescent="0.25">
      <c r="A666">
        <v>1540038</v>
      </c>
      <c r="B666" s="121" t="s">
        <v>8191</v>
      </c>
      <c r="C666" t="s">
        <v>32</v>
      </c>
      <c r="D666" t="s">
        <v>570</v>
      </c>
      <c r="E666" t="s">
        <v>49</v>
      </c>
      <c r="F666" t="s">
        <v>8445</v>
      </c>
      <c r="G666" t="s">
        <v>8446</v>
      </c>
      <c r="H666" s="121" t="s">
        <v>8447</v>
      </c>
    </row>
    <row r="667" spans="1:8" x14ac:dyDescent="0.25">
      <c r="A667">
        <v>1540065</v>
      </c>
      <c r="B667" s="121" t="s">
        <v>8191</v>
      </c>
      <c r="C667" t="s">
        <v>32</v>
      </c>
      <c r="D667" t="s">
        <v>21</v>
      </c>
      <c r="E667" t="s">
        <v>7529</v>
      </c>
      <c r="F667" t="s">
        <v>8448</v>
      </c>
      <c r="G667" t="s">
        <v>8449</v>
      </c>
      <c r="H667" s="121" t="s">
        <v>8450</v>
      </c>
    </row>
    <row r="668" spans="1:8" x14ac:dyDescent="0.25">
      <c r="A668">
        <v>1380343</v>
      </c>
      <c r="B668" s="121" t="s">
        <v>8451</v>
      </c>
      <c r="C668" t="s">
        <v>32</v>
      </c>
      <c r="D668" t="s">
        <v>390</v>
      </c>
      <c r="E668" t="s">
        <v>400</v>
      </c>
      <c r="F668" t="s">
        <v>2205</v>
      </c>
      <c r="G668" t="s">
        <v>6018</v>
      </c>
      <c r="H668" s="121" t="s">
        <v>8452</v>
      </c>
    </row>
    <row r="669" spans="1:8" x14ac:dyDescent="0.25">
      <c r="A669">
        <v>1512053</v>
      </c>
      <c r="B669" s="121" t="s">
        <v>8451</v>
      </c>
      <c r="C669" t="s">
        <v>32</v>
      </c>
      <c r="D669" t="s">
        <v>595</v>
      </c>
      <c r="E669" t="s">
        <v>49</v>
      </c>
      <c r="F669" t="s">
        <v>8453</v>
      </c>
      <c r="G669" t="s">
        <v>8454</v>
      </c>
      <c r="H669" s="121" t="s">
        <v>8455</v>
      </c>
    </row>
    <row r="670" spans="1:8" x14ac:dyDescent="0.25">
      <c r="A670">
        <v>1512054</v>
      </c>
      <c r="B670" s="121" t="s">
        <v>8451</v>
      </c>
      <c r="C670" t="s">
        <v>32</v>
      </c>
      <c r="D670" t="s">
        <v>595</v>
      </c>
      <c r="E670" t="s">
        <v>49</v>
      </c>
      <c r="F670" t="s">
        <v>8456</v>
      </c>
      <c r="G670" t="s">
        <v>1497</v>
      </c>
      <c r="H670" s="121" t="s">
        <v>8457</v>
      </c>
    </row>
    <row r="671" spans="1:8" x14ac:dyDescent="0.25">
      <c r="A671">
        <v>1512055</v>
      </c>
      <c r="B671" s="121" t="s">
        <v>8451</v>
      </c>
      <c r="C671" t="s">
        <v>32</v>
      </c>
      <c r="D671" t="s">
        <v>595</v>
      </c>
      <c r="E671" t="s">
        <v>49</v>
      </c>
      <c r="F671" t="s">
        <v>8458</v>
      </c>
      <c r="G671" t="s">
        <v>1495</v>
      </c>
      <c r="H671" s="121" t="s">
        <v>8459</v>
      </c>
    </row>
    <row r="672" spans="1:8" x14ac:dyDescent="0.25">
      <c r="A672">
        <v>1512059</v>
      </c>
      <c r="B672" s="121" t="s">
        <v>8451</v>
      </c>
      <c r="C672" t="s">
        <v>32</v>
      </c>
      <c r="D672" t="s">
        <v>595</v>
      </c>
      <c r="E672" t="s">
        <v>49</v>
      </c>
      <c r="F672" t="s">
        <v>8460</v>
      </c>
      <c r="G672" t="s">
        <v>8461</v>
      </c>
      <c r="H672" s="121" t="s">
        <v>8462</v>
      </c>
    </row>
    <row r="673" spans="1:8" x14ac:dyDescent="0.25">
      <c r="A673">
        <v>1388561</v>
      </c>
      <c r="B673" s="121" t="s">
        <v>8463</v>
      </c>
      <c r="C673" t="s">
        <v>32</v>
      </c>
      <c r="D673" t="s">
        <v>43</v>
      </c>
      <c r="E673" t="s">
        <v>347</v>
      </c>
      <c r="F673" t="s">
        <v>6513</v>
      </c>
      <c r="G673" t="s">
        <v>4945</v>
      </c>
      <c r="H673" s="121" t="s">
        <v>8464</v>
      </c>
    </row>
    <row r="674" spans="1:8" x14ac:dyDescent="0.25">
      <c r="A674">
        <v>1388563</v>
      </c>
      <c r="B674" s="121" t="s">
        <v>8463</v>
      </c>
      <c r="C674" t="s">
        <v>32</v>
      </c>
      <c r="D674" t="s">
        <v>43</v>
      </c>
      <c r="E674" t="s">
        <v>347</v>
      </c>
      <c r="F674" t="s">
        <v>4944</v>
      </c>
      <c r="G674" t="s">
        <v>2174</v>
      </c>
      <c r="H674" s="121" t="s">
        <v>8465</v>
      </c>
    </row>
    <row r="675" spans="1:8" x14ac:dyDescent="0.25">
      <c r="A675">
        <v>1388565</v>
      </c>
      <c r="B675" s="121" t="s">
        <v>8463</v>
      </c>
      <c r="C675" t="s">
        <v>32</v>
      </c>
      <c r="D675" t="s">
        <v>43</v>
      </c>
      <c r="E675" t="s">
        <v>347</v>
      </c>
      <c r="F675" t="s">
        <v>8466</v>
      </c>
      <c r="G675" t="s">
        <v>4942</v>
      </c>
      <c r="H675" s="121" t="s">
        <v>8467</v>
      </c>
    </row>
    <row r="676" spans="1:8" x14ac:dyDescent="0.25">
      <c r="A676">
        <v>1388568</v>
      </c>
      <c r="B676" s="121" t="s">
        <v>8463</v>
      </c>
      <c r="C676" t="s">
        <v>32</v>
      </c>
      <c r="D676" t="s">
        <v>43</v>
      </c>
      <c r="E676" t="s">
        <v>347</v>
      </c>
      <c r="F676" t="s">
        <v>4947</v>
      </c>
      <c r="G676" t="s">
        <v>1799</v>
      </c>
      <c r="H676" s="121" t="s">
        <v>8468</v>
      </c>
    </row>
    <row r="677" spans="1:8" x14ac:dyDescent="0.25">
      <c r="A677">
        <v>1395467</v>
      </c>
      <c r="B677" s="121" t="s">
        <v>8463</v>
      </c>
      <c r="C677" t="s">
        <v>32</v>
      </c>
      <c r="D677" t="s">
        <v>240</v>
      </c>
      <c r="E677" t="s">
        <v>241</v>
      </c>
      <c r="F677" t="s">
        <v>4474</v>
      </c>
      <c r="G677" t="s">
        <v>8469</v>
      </c>
      <c r="H677" s="121" t="s">
        <v>8470</v>
      </c>
    </row>
    <row r="678" spans="1:8" x14ac:dyDescent="0.25">
      <c r="A678">
        <v>1395621</v>
      </c>
      <c r="B678" s="121" t="s">
        <v>8463</v>
      </c>
      <c r="C678" t="s">
        <v>32</v>
      </c>
      <c r="D678" t="s">
        <v>240</v>
      </c>
      <c r="E678" t="s">
        <v>241</v>
      </c>
      <c r="F678" t="s">
        <v>4476</v>
      </c>
      <c r="G678" t="s">
        <v>4471</v>
      </c>
      <c r="H678" s="121" t="s">
        <v>8471</v>
      </c>
    </row>
    <row r="679" spans="1:8" x14ac:dyDescent="0.25">
      <c r="A679">
        <v>1395624</v>
      </c>
      <c r="B679" s="121" t="s">
        <v>8463</v>
      </c>
      <c r="C679" t="s">
        <v>32</v>
      </c>
      <c r="D679" t="s">
        <v>240</v>
      </c>
      <c r="E679" t="s">
        <v>241</v>
      </c>
      <c r="F679" t="s">
        <v>8472</v>
      </c>
      <c r="G679" t="s">
        <v>8473</v>
      </c>
      <c r="H679" s="121" t="s">
        <v>8474</v>
      </c>
    </row>
    <row r="680" spans="1:8" x14ac:dyDescent="0.25">
      <c r="A680">
        <v>1395660</v>
      </c>
      <c r="B680" s="121" t="s">
        <v>8463</v>
      </c>
      <c r="C680" t="s">
        <v>32</v>
      </c>
      <c r="D680" t="s">
        <v>240</v>
      </c>
      <c r="E680" t="s">
        <v>241</v>
      </c>
      <c r="F680" t="s">
        <v>4480</v>
      </c>
      <c r="G680" t="s">
        <v>8475</v>
      </c>
      <c r="H680" s="121" t="s">
        <v>8476</v>
      </c>
    </row>
    <row r="681" spans="1:8" x14ac:dyDescent="0.25">
      <c r="A681">
        <v>1400221</v>
      </c>
      <c r="B681" s="121" t="s">
        <v>8463</v>
      </c>
      <c r="C681" t="s">
        <v>32</v>
      </c>
      <c r="D681" t="s">
        <v>377</v>
      </c>
      <c r="E681" t="s">
        <v>49</v>
      </c>
      <c r="F681" t="s">
        <v>1628</v>
      </c>
      <c r="G681" t="s">
        <v>862</v>
      </c>
      <c r="H681" s="121" t="s">
        <v>8477</v>
      </c>
    </row>
    <row r="682" spans="1:8" x14ac:dyDescent="0.25">
      <c r="A682">
        <v>1406310</v>
      </c>
      <c r="B682" s="121" t="s">
        <v>8463</v>
      </c>
      <c r="C682" t="s">
        <v>32</v>
      </c>
      <c r="D682" t="s">
        <v>43</v>
      </c>
      <c r="E682" t="s">
        <v>393</v>
      </c>
      <c r="F682" t="s">
        <v>4525</v>
      </c>
      <c r="G682" t="s">
        <v>3714</v>
      </c>
      <c r="H682" s="121" t="s">
        <v>8478</v>
      </c>
    </row>
    <row r="683" spans="1:8" x14ac:dyDescent="0.25">
      <c r="A683">
        <v>1406313</v>
      </c>
      <c r="B683" s="121" t="s">
        <v>8463</v>
      </c>
      <c r="C683" t="s">
        <v>32</v>
      </c>
      <c r="D683" t="s">
        <v>43</v>
      </c>
      <c r="E683" t="s">
        <v>393</v>
      </c>
      <c r="F683" t="s">
        <v>4217</v>
      </c>
      <c r="G683" t="s">
        <v>4530</v>
      </c>
      <c r="H683" s="121" t="s">
        <v>8479</v>
      </c>
    </row>
    <row r="684" spans="1:8" x14ac:dyDescent="0.25">
      <c r="A684">
        <v>1406315</v>
      </c>
      <c r="B684" s="121" t="s">
        <v>8463</v>
      </c>
      <c r="C684" t="s">
        <v>32</v>
      </c>
      <c r="D684" t="s">
        <v>43</v>
      </c>
      <c r="E684" t="s">
        <v>393</v>
      </c>
      <c r="F684" t="s">
        <v>1233</v>
      </c>
      <c r="G684" t="s">
        <v>4524</v>
      </c>
      <c r="H684" s="121" t="s">
        <v>8480</v>
      </c>
    </row>
    <row r="685" spans="1:8" x14ac:dyDescent="0.25">
      <c r="A685">
        <v>1406581</v>
      </c>
      <c r="B685" s="121" t="s">
        <v>8463</v>
      </c>
      <c r="C685" t="s">
        <v>32</v>
      </c>
      <c r="D685" t="s">
        <v>43</v>
      </c>
      <c r="E685" t="s">
        <v>551</v>
      </c>
      <c r="F685" t="s">
        <v>4952</v>
      </c>
      <c r="G685" t="s">
        <v>4954</v>
      </c>
      <c r="H685" s="121" t="s">
        <v>8481</v>
      </c>
    </row>
    <row r="686" spans="1:8" x14ac:dyDescent="0.25">
      <c r="A686">
        <v>1406583</v>
      </c>
      <c r="B686" s="121" t="s">
        <v>8463</v>
      </c>
      <c r="C686" t="s">
        <v>32</v>
      </c>
      <c r="D686" t="s">
        <v>43</v>
      </c>
      <c r="E686" t="s">
        <v>551</v>
      </c>
      <c r="F686" t="s">
        <v>8482</v>
      </c>
      <c r="G686" t="s">
        <v>8483</v>
      </c>
      <c r="H686" s="121" t="s">
        <v>8484</v>
      </c>
    </row>
    <row r="687" spans="1:8" x14ac:dyDescent="0.25">
      <c r="A687">
        <v>1412943</v>
      </c>
      <c r="B687" s="121" t="s">
        <v>8463</v>
      </c>
      <c r="C687" t="s">
        <v>32</v>
      </c>
      <c r="D687" t="s">
        <v>43</v>
      </c>
      <c r="E687" t="s">
        <v>606</v>
      </c>
      <c r="F687" t="s">
        <v>5387</v>
      </c>
      <c r="G687" t="s">
        <v>1398</v>
      </c>
      <c r="H687" s="121" t="s">
        <v>8485</v>
      </c>
    </row>
    <row r="688" spans="1:8" x14ac:dyDescent="0.25">
      <c r="A688">
        <v>1418675</v>
      </c>
      <c r="B688" s="121" t="s">
        <v>8463</v>
      </c>
      <c r="C688" t="s">
        <v>32</v>
      </c>
      <c r="D688" t="s">
        <v>80</v>
      </c>
      <c r="E688" t="s">
        <v>626</v>
      </c>
      <c r="F688" t="s">
        <v>5391</v>
      </c>
      <c r="G688" t="s">
        <v>6260</v>
      </c>
      <c r="H688" s="121" t="s">
        <v>8486</v>
      </c>
    </row>
    <row r="689" spans="1:8" x14ac:dyDescent="0.25">
      <c r="A689">
        <v>1425083</v>
      </c>
      <c r="B689" s="121" t="s">
        <v>8463</v>
      </c>
      <c r="C689" t="s">
        <v>32</v>
      </c>
      <c r="D689" t="s">
        <v>43</v>
      </c>
      <c r="E689" t="s">
        <v>627</v>
      </c>
      <c r="F689" t="s">
        <v>1808</v>
      </c>
      <c r="G689" t="s">
        <v>1825</v>
      </c>
      <c r="H689" s="121" t="s">
        <v>8487</v>
      </c>
    </row>
    <row r="690" spans="1:8" x14ac:dyDescent="0.25">
      <c r="A690">
        <v>1441365</v>
      </c>
      <c r="B690" s="121" t="s">
        <v>8463</v>
      </c>
      <c r="C690" t="s">
        <v>32</v>
      </c>
      <c r="D690" t="s">
        <v>108</v>
      </c>
      <c r="E690" t="s">
        <v>232</v>
      </c>
      <c r="F690" t="s">
        <v>4270</v>
      </c>
      <c r="G690" t="s">
        <v>4278</v>
      </c>
      <c r="H690" s="121" t="s">
        <v>8488</v>
      </c>
    </row>
    <row r="691" spans="1:8" x14ac:dyDescent="0.25">
      <c r="A691">
        <v>1441366</v>
      </c>
      <c r="B691" s="121" t="s">
        <v>8463</v>
      </c>
      <c r="C691" t="s">
        <v>32</v>
      </c>
      <c r="D691" t="s">
        <v>108</v>
      </c>
      <c r="E691" t="s">
        <v>232</v>
      </c>
      <c r="F691" t="s">
        <v>4276</v>
      </c>
      <c r="G691" t="s">
        <v>4269</v>
      </c>
      <c r="H691" s="121" t="s">
        <v>8489</v>
      </c>
    </row>
    <row r="692" spans="1:8" x14ac:dyDescent="0.25">
      <c r="A692">
        <v>1441367</v>
      </c>
      <c r="B692" s="121" t="s">
        <v>8463</v>
      </c>
      <c r="C692" t="s">
        <v>32</v>
      </c>
      <c r="D692" t="s">
        <v>108</v>
      </c>
      <c r="E692" t="s">
        <v>232</v>
      </c>
      <c r="F692" t="s">
        <v>4267</v>
      </c>
      <c r="G692" t="s">
        <v>496</v>
      </c>
      <c r="H692" s="121" t="s">
        <v>8490</v>
      </c>
    </row>
    <row r="693" spans="1:8" x14ac:dyDescent="0.25">
      <c r="A693">
        <v>1441368</v>
      </c>
      <c r="B693" s="121" t="s">
        <v>8463</v>
      </c>
      <c r="C693" t="s">
        <v>32</v>
      </c>
      <c r="D693" t="s">
        <v>108</v>
      </c>
      <c r="E693" t="s">
        <v>232</v>
      </c>
      <c r="F693" t="s">
        <v>8085</v>
      </c>
      <c r="G693" t="s">
        <v>4299</v>
      </c>
      <c r="H693" s="121" t="s">
        <v>8491</v>
      </c>
    </row>
    <row r="694" spans="1:8" x14ac:dyDescent="0.25">
      <c r="A694">
        <v>1441369</v>
      </c>
      <c r="B694" s="121" t="s">
        <v>8463</v>
      </c>
      <c r="C694" t="s">
        <v>32</v>
      </c>
      <c r="D694" t="s">
        <v>108</v>
      </c>
      <c r="E694" t="s">
        <v>232</v>
      </c>
      <c r="F694" t="s">
        <v>4275</v>
      </c>
      <c r="G694" t="s">
        <v>4272</v>
      </c>
      <c r="H694" s="121" t="s">
        <v>8492</v>
      </c>
    </row>
    <row r="695" spans="1:8" x14ac:dyDescent="0.25">
      <c r="A695">
        <v>1441370</v>
      </c>
      <c r="B695" s="121" t="s">
        <v>8463</v>
      </c>
      <c r="C695" t="s">
        <v>32</v>
      </c>
      <c r="D695" t="s">
        <v>108</v>
      </c>
      <c r="E695" t="s">
        <v>232</v>
      </c>
      <c r="F695" t="s">
        <v>4273</v>
      </c>
      <c r="G695" t="s">
        <v>4266</v>
      </c>
      <c r="H695" s="121" t="s">
        <v>8493</v>
      </c>
    </row>
    <row r="696" spans="1:8" x14ac:dyDescent="0.25">
      <c r="A696">
        <v>1446107</v>
      </c>
      <c r="B696" s="121" t="s">
        <v>8463</v>
      </c>
      <c r="C696" t="s">
        <v>32</v>
      </c>
      <c r="D696" t="s">
        <v>108</v>
      </c>
      <c r="E696" t="s">
        <v>232</v>
      </c>
      <c r="F696" t="s">
        <v>4297</v>
      </c>
      <c r="G696" t="s">
        <v>497</v>
      </c>
      <c r="H696" s="121" t="s">
        <v>8494</v>
      </c>
    </row>
    <row r="697" spans="1:8" x14ac:dyDescent="0.25">
      <c r="A697">
        <v>1446108</v>
      </c>
      <c r="B697" s="121" t="s">
        <v>8463</v>
      </c>
      <c r="C697" t="s">
        <v>32</v>
      </c>
      <c r="D697" t="s">
        <v>108</v>
      </c>
      <c r="E697" t="s">
        <v>232</v>
      </c>
      <c r="F697" t="s">
        <v>4300</v>
      </c>
      <c r="G697" t="s">
        <v>4296</v>
      </c>
      <c r="H697" s="121" t="s">
        <v>8495</v>
      </c>
    </row>
    <row r="698" spans="1:8" x14ac:dyDescent="0.25">
      <c r="A698">
        <v>1475166</v>
      </c>
      <c r="B698" s="121" t="s">
        <v>8463</v>
      </c>
      <c r="C698" t="s">
        <v>32</v>
      </c>
      <c r="D698" t="s">
        <v>336</v>
      </c>
      <c r="E698" t="s">
        <v>49</v>
      </c>
      <c r="F698" t="s">
        <v>8496</v>
      </c>
      <c r="G698" t="s">
        <v>8497</v>
      </c>
      <c r="H698" s="121" t="s">
        <v>8498</v>
      </c>
    </row>
    <row r="699" spans="1:8" x14ac:dyDescent="0.25">
      <c r="A699">
        <v>1475167</v>
      </c>
      <c r="B699" s="121" t="s">
        <v>8463</v>
      </c>
      <c r="C699" t="s">
        <v>32</v>
      </c>
      <c r="D699" t="s">
        <v>336</v>
      </c>
      <c r="E699" t="s">
        <v>49</v>
      </c>
      <c r="F699" t="s">
        <v>8499</v>
      </c>
      <c r="G699" t="s">
        <v>8500</v>
      </c>
      <c r="H699" s="121" t="s">
        <v>8501</v>
      </c>
    </row>
    <row r="700" spans="1:8" x14ac:dyDescent="0.25">
      <c r="A700">
        <v>1475168</v>
      </c>
      <c r="B700" s="121" t="s">
        <v>8463</v>
      </c>
      <c r="C700" t="s">
        <v>32</v>
      </c>
      <c r="D700" t="s">
        <v>336</v>
      </c>
      <c r="E700" t="s">
        <v>49</v>
      </c>
      <c r="F700" t="s">
        <v>8502</v>
      </c>
      <c r="G700" t="s">
        <v>1757</v>
      </c>
      <c r="H700" s="121" t="s">
        <v>8503</v>
      </c>
    </row>
    <row r="701" spans="1:8" x14ac:dyDescent="0.25">
      <c r="A701">
        <v>1475169</v>
      </c>
      <c r="B701" s="121" t="s">
        <v>8463</v>
      </c>
      <c r="C701" t="s">
        <v>32</v>
      </c>
      <c r="D701" t="s">
        <v>336</v>
      </c>
      <c r="E701" t="s">
        <v>49</v>
      </c>
      <c r="F701" t="s">
        <v>8504</v>
      </c>
      <c r="G701" t="s">
        <v>8505</v>
      </c>
      <c r="H701" s="121" t="s">
        <v>8506</v>
      </c>
    </row>
    <row r="702" spans="1:8" x14ac:dyDescent="0.25">
      <c r="A702">
        <v>1475171</v>
      </c>
      <c r="B702" s="121" t="s">
        <v>8463</v>
      </c>
      <c r="C702" t="s">
        <v>32</v>
      </c>
      <c r="D702" t="s">
        <v>336</v>
      </c>
      <c r="E702" t="s">
        <v>49</v>
      </c>
      <c r="F702" t="s">
        <v>8507</v>
      </c>
      <c r="G702" t="s">
        <v>1758</v>
      </c>
      <c r="H702" s="121" t="s">
        <v>8508</v>
      </c>
    </row>
    <row r="703" spans="1:8" x14ac:dyDescent="0.25">
      <c r="A703">
        <v>1487382</v>
      </c>
      <c r="B703" s="121" t="s">
        <v>8463</v>
      </c>
      <c r="C703" t="s">
        <v>32</v>
      </c>
      <c r="D703" t="s">
        <v>381</v>
      </c>
      <c r="E703" t="s">
        <v>548</v>
      </c>
      <c r="F703" t="s">
        <v>1573</v>
      </c>
      <c r="G703" t="s">
        <v>877</v>
      </c>
      <c r="H703" s="121" t="s">
        <v>8509</v>
      </c>
    </row>
    <row r="704" spans="1:8" x14ac:dyDescent="0.25">
      <c r="A704">
        <v>1487384</v>
      </c>
      <c r="B704" s="121" t="s">
        <v>8463</v>
      </c>
      <c r="C704" t="s">
        <v>32</v>
      </c>
      <c r="D704" t="s">
        <v>381</v>
      </c>
      <c r="E704" t="s">
        <v>548</v>
      </c>
      <c r="F704" t="s">
        <v>4740</v>
      </c>
      <c r="G704" t="s">
        <v>903</v>
      </c>
      <c r="H704" s="121" t="s">
        <v>8510</v>
      </c>
    </row>
    <row r="705" spans="1:8" x14ac:dyDescent="0.25">
      <c r="A705">
        <v>1487385</v>
      </c>
      <c r="B705" s="121" t="s">
        <v>8463</v>
      </c>
      <c r="C705" t="s">
        <v>32</v>
      </c>
      <c r="D705" t="s">
        <v>381</v>
      </c>
      <c r="E705" t="s">
        <v>548</v>
      </c>
      <c r="F705" t="s">
        <v>884</v>
      </c>
      <c r="G705" t="s">
        <v>879</v>
      </c>
      <c r="H705" s="121" t="s">
        <v>8511</v>
      </c>
    </row>
    <row r="706" spans="1:8" x14ac:dyDescent="0.25">
      <c r="A706">
        <v>1487654</v>
      </c>
      <c r="B706" s="121" t="s">
        <v>8463</v>
      </c>
      <c r="C706" t="s">
        <v>32</v>
      </c>
      <c r="D706" t="s">
        <v>381</v>
      </c>
      <c r="E706" t="s">
        <v>624</v>
      </c>
      <c r="F706" t="s">
        <v>8512</v>
      </c>
      <c r="G706" t="s">
        <v>4749</v>
      </c>
      <c r="H706" s="121" t="s">
        <v>8513</v>
      </c>
    </row>
    <row r="707" spans="1:8" x14ac:dyDescent="0.25">
      <c r="A707">
        <v>1487658</v>
      </c>
      <c r="B707" s="121" t="s">
        <v>8463</v>
      </c>
      <c r="C707" t="s">
        <v>32</v>
      </c>
      <c r="D707" t="s">
        <v>381</v>
      </c>
      <c r="E707" t="s">
        <v>624</v>
      </c>
      <c r="F707" t="s">
        <v>1581</v>
      </c>
      <c r="G707" t="s">
        <v>1579</v>
      </c>
      <c r="H707" s="121" t="s">
        <v>8514</v>
      </c>
    </row>
    <row r="708" spans="1:8" x14ac:dyDescent="0.25">
      <c r="A708">
        <v>1487769</v>
      </c>
      <c r="B708" s="121" t="s">
        <v>8463</v>
      </c>
      <c r="C708" t="s">
        <v>32</v>
      </c>
      <c r="D708" t="s">
        <v>381</v>
      </c>
      <c r="E708" t="s">
        <v>572</v>
      </c>
      <c r="F708" t="s">
        <v>1761</v>
      </c>
      <c r="G708" t="s">
        <v>1584</v>
      </c>
      <c r="H708" s="121" t="s">
        <v>8515</v>
      </c>
    </row>
    <row r="709" spans="1:8" x14ac:dyDescent="0.25">
      <c r="A709">
        <v>1487770</v>
      </c>
      <c r="B709" s="121" t="s">
        <v>8463</v>
      </c>
      <c r="C709" t="s">
        <v>32</v>
      </c>
      <c r="D709" t="s">
        <v>381</v>
      </c>
      <c r="E709" t="s">
        <v>572</v>
      </c>
      <c r="F709" t="s">
        <v>1585</v>
      </c>
      <c r="G709" t="s">
        <v>1583</v>
      </c>
      <c r="H709" s="121" t="s">
        <v>8516</v>
      </c>
    </row>
    <row r="710" spans="1:8" x14ac:dyDescent="0.25">
      <c r="A710">
        <v>1518578</v>
      </c>
      <c r="B710" s="121" t="s">
        <v>8463</v>
      </c>
      <c r="C710" t="s">
        <v>32</v>
      </c>
      <c r="D710" t="s">
        <v>43</v>
      </c>
      <c r="E710" t="s">
        <v>576</v>
      </c>
      <c r="F710" t="s">
        <v>8517</v>
      </c>
      <c r="G710" t="s">
        <v>960</v>
      </c>
      <c r="H710" s="121" t="s">
        <v>8518</v>
      </c>
    </row>
    <row r="711" spans="1:8" x14ac:dyDescent="0.25">
      <c r="A711">
        <v>1522779</v>
      </c>
      <c r="B711" s="121" t="s">
        <v>8463</v>
      </c>
      <c r="C711" t="s">
        <v>32</v>
      </c>
      <c r="D711" t="s">
        <v>585</v>
      </c>
      <c r="E711" t="s">
        <v>586</v>
      </c>
      <c r="F711" t="s">
        <v>1311</v>
      </c>
      <c r="G711" t="s">
        <v>3560</v>
      </c>
      <c r="H711" s="121" t="s">
        <v>8519</v>
      </c>
    </row>
    <row r="712" spans="1:8" x14ac:dyDescent="0.25">
      <c r="A712">
        <v>1528487</v>
      </c>
      <c r="B712" s="121" t="s">
        <v>8463</v>
      </c>
      <c r="C712" t="s">
        <v>32</v>
      </c>
      <c r="D712" t="s">
        <v>268</v>
      </c>
      <c r="E712" t="s">
        <v>265</v>
      </c>
      <c r="F712" t="s">
        <v>1823</v>
      </c>
      <c r="G712" t="s">
        <v>8520</v>
      </c>
      <c r="H712" s="121" t="s">
        <v>8521</v>
      </c>
    </row>
    <row r="713" spans="1:8" x14ac:dyDescent="0.25">
      <c r="A713">
        <v>1528488</v>
      </c>
      <c r="B713" s="121" t="s">
        <v>8463</v>
      </c>
      <c r="C713" t="s">
        <v>32</v>
      </c>
      <c r="D713" t="s">
        <v>268</v>
      </c>
      <c r="E713" t="s">
        <v>265</v>
      </c>
      <c r="F713" t="s">
        <v>5012</v>
      </c>
      <c r="G713" t="s">
        <v>6494</v>
      </c>
      <c r="H713" s="121" t="s">
        <v>8522</v>
      </c>
    </row>
    <row r="714" spans="1:8" x14ac:dyDescent="0.25">
      <c r="A714">
        <v>1528517</v>
      </c>
      <c r="B714" s="121" t="s">
        <v>8463</v>
      </c>
      <c r="C714" t="s">
        <v>32</v>
      </c>
      <c r="D714" t="s">
        <v>268</v>
      </c>
      <c r="E714" t="s">
        <v>265</v>
      </c>
      <c r="F714" t="s">
        <v>506</v>
      </c>
      <c r="G714" t="s">
        <v>5017</v>
      </c>
      <c r="H714" s="121" t="s">
        <v>8523</v>
      </c>
    </row>
    <row r="715" spans="1:8" x14ac:dyDescent="0.25">
      <c r="A715">
        <v>1531713</v>
      </c>
      <c r="B715" s="121" t="s">
        <v>8463</v>
      </c>
      <c r="C715" t="s">
        <v>32</v>
      </c>
      <c r="D715" t="s">
        <v>108</v>
      </c>
      <c r="E715" t="s">
        <v>45</v>
      </c>
      <c r="F715" t="s">
        <v>2467</v>
      </c>
      <c r="G715" t="s">
        <v>495</v>
      </c>
      <c r="H715" s="121" t="s">
        <v>8524</v>
      </c>
    </row>
    <row r="716" spans="1:8" x14ac:dyDescent="0.25">
      <c r="A716">
        <v>1531715</v>
      </c>
      <c r="B716" s="121" t="s">
        <v>8463</v>
      </c>
      <c r="C716" t="s">
        <v>32</v>
      </c>
      <c r="D716" t="s">
        <v>108</v>
      </c>
      <c r="E716" t="s">
        <v>45</v>
      </c>
      <c r="F716" t="s">
        <v>2468</v>
      </c>
      <c r="G716" t="s">
        <v>8525</v>
      </c>
      <c r="H716" s="121" t="s">
        <v>8526</v>
      </c>
    </row>
    <row r="717" spans="1:8" x14ac:dyDescent="0.25">
      <c r="A717">
        <v>1537525</v>
      </c>
      <c r="B717" s="121" t="s">
        <v>8463</v>
      </c>
      <c r="C717" t="s">
        <v>32</v>
      </c>
      <c r="D717" t="s">
        <v>452</v>
      </c>
      <c r="E717" t="s">
        <v>49</v>
      </c>
      <c r="F717" t="s">
        <v>2452</v>
      </c>
      <c r="G717" t="s">
        <v>8527</v>
      </c>
      <c r="H717" s="121" t="s">
        <v>8528</v>
      </c>
    </row>
    <row r="718" spans="1:8" x14ac:dyDescent="0.25">
      <c r="A718">
        <v>1535029</v>
      </c>
      <c r="B718" s="121" t="s">
        <v>8529</v>
      </c>
      <c r="C718" t="s">
        <v>32</v>
      </c>
      <c r="D718" t="s">
        <v>8530</v>
      </c>
      <c r="E718" t="s">
        <v>8531</v>
      </c>
      <c r="F718" t="s">
        <v>8532</v>
      </c>
      <c r="G718" t="s">
        <v>8533</v>
      </c>
      <c r="H718" s="121" t="s">
        <v>8534</v>
      </c>
    </row>
    <row r="719" spans="1:8" x14ac:dyDescent="0.25">
      <c r="A719">
        <v>1471982</v>
      </c>
      <c r="B719" s="121" t="s">
        <v>8535</v>
      </c>
      <c r="C719" t="s">
        <v>32</v>
      </c>
      <c r="D719" t="s">
        <v>87</v>
      </c>
      <c r="E719" t="s">
        <v>83</v>
      </c>
      <c r="F719" t="s">
        <v>8536</v>
      </c>
      <c r="G719" t="s">
        <v>8537</v>
      </c>
      <c r="H719" s="121" t="s">
        <v>8538</v>
      </c>
    </row>
    <row r="720" spans="1:8" x14ac:dyDescent="0.25">
      <c r="A720">
        <v>1471983</v>
      </c>
      <c r="B720" s="121" t="s">
        <v>8535</v>
      </c>
      <c r="C720" t="s">
        <v>32</v>
      </c>
      <c r="D720" t="s">
        <v>87</v>
      </c>
      <c r="E720" t="s">
        <v>83</v>
      </c>
      <c r="F720" t="s">
        <v>8539</v>
      </c>
      <c r="G720" t="s">
        <v>8540</v>
      </c>
      <c r="H720" s="121" t="s">
        <v>8541</v>
      </c>
    </row>
    <row r="721" spans="1:8" x14ac:dyDescent="0.25">
      <c r="A721">
        <v>1471984</v>
      </c>
      <c r="B721" s="121" t="s">
        <v>8535</v>
      </c>
      <c r="C721" t="s">
        <v>32</v>
      </c>
      <c r="D721" t="s">
        <v>87</v>
      </c>
      <c r="E721" t="s">
        <v>83</v>
      </c>
      <c r="F721" t="s">
        <v>8542</v>
      </c>
      <c r="G721" t="s">
        <v>8543</v>
      </c>
      <c r="H721" s="121" t="s">
        <v>8544</v>
      </c>
    </row>
    <row r="722" spans="1:8" x14ac:dyDescent="0.25">
      <c r="A722">
        <v>1471985</v>
      </c>
      <c r="B722" s="121" t="s">
        <v>8535</v>
      </c>
      <c r="C722" t="s">
        <v>32</v>
      </c>
      <c r="D722" t="s">
        <v>87</v>
      </c>
      <c r="E722" t="s">
        <v>83</v>
      </c>
      <c r="F722" t="s">
        <v>8545</v>
      </c>
      <c r="G722" t="s">
        <v>679</v>
      </c>
      <c r="H722" s="121" t="s">
        <v>8546</v>
      </c>
    </row>
    <row r="723" spans="1:8" x14ac:dyDescent="0.25">
      <c r="A723">
        <v>1471986</v>
      </c>
      <c r="B723" s="121" t="s">
        <v>8535</v>
      </c>
      <c r="C723" t="s">
        <v>32</v>
      </c>
      <c r="D723" t="s">
        <v>87</v>
      </c>
      <c r="E723" t="s">
        <v>83</v>
      </c>
      <c r="F723" t="s">
        <v>8547</v>
      </c>
      <c r="G723" t="s">
        <v>2270</v>
      </c>
      <c r="H723" s="121" t="s">
        <v>8548</v>
      </c>
    </row>
    <row r="724" spans="1:8" x14ac:dyDescent="0.25">
      <c r="A724">
        <v>1537629</v>
      </c>
      <c r="B724" s="121" t="s">
        <v>8549</v>
      </c>
      <c r="C724" t="s">
        <v>32</v>
      </c>
      <c r="D724" t="s">
        <v>87</v>
      </c>
      <c r="E724" t="s">
        <v>338</v>
      </c>
      <c r="F724" t="s">
        <v>8550</v>
      </c>
      <c r="G724" t="s">
        <v>8551</v>
      </c>
      <c r="H724" s="121" t="s">
        <v>8552</v>
      </c>
    </row>
    <row r="725" spans="1:8" x14ac:dyDescent="0.25">
      <c r="A725">
        <v>1537630</v>
      </c>
      <c r="B725" s="121" t="s">
        <v>8549</v>
      </c>
      <c r="C725" t="s">
        <v>32</v>
      </c>
      <c r="D725" t="s">
        <v>87</v>
      </c>
      <c r="E725" t="s">
        <v>338</v>
      </c>
      <c r="F725" t="s">
        <v>5051</v>
      </c>
      <c r="G725" t="s">
        <v>8553</v>
      </c>
      <c r="H725" s="121" t="s">
        <v>8554</v>
      </c>
    </row>
    <row r="726" spans="1:8" x14ac:dyDescent="0.25">
      <c r="A726">
        <v>1537634</v>
      </c>
      <c r="B726" s="121" t="s">
        <v>8549</v>
      </c>
      <c r="C726" t="s">
        <v>32</v>
      </c>
      <c r="D726" t="s">
        <v>87</v>
      </c>
      <c r="E726" t="s">
        <v>8555</v>
      </c>
      <c r="F726" t="s">
        <v>8556</v>
      </c>
      <c r="G726" t="s">
        <v>8557</v>
      </c>
      <c r="H726" s="121" t="s">
        <v>8558</v>
      </c>
    </row>
    <row r="727" spans="1:8" x14ac:dyDescent="0.25">
      <c r="A727">
        <v>1537635</v>
      </c>
      <c r="B727" s="121" t="s">
        <v>8549</v>
      </c>
      <c r="C727" t="s">
        <v>32</v>
      </c>
      <c r="D727" t="s">
        <v>87</v>
      </c>
      <c r="E727" t="s">
        <v>8555</v>
      </c>
      <c r="F727" t="s">
        <v>8559</v>
      </c>
      <c r="G727" t="s">
        <v>8560</v>
      </c>
      <c r="H727" s="121" t="s">
        <v>8561</v>
      </c>
    </row>
    <row r="728" spans="1:8" x14ac:dyDescent="0.25">
      <c r="A728">
        <v>1379280</v>
      </c>
      <c r="B728" s="121" t="s">
        <v>8562</v>
      </c>
      <c r="C728" t="s">
        <v>32</v>
      </c>
      <c r="D728" t="s">
        <v>65</v>
      </c>
      <c r="E728" t="s">
        <v>49</v>
      </c>
      <c r="F728" t="s">
        <v>515</v>
      </c>
      <c r="G728" t="s">
        <v>6510</v>
      </c>
      <c r="H728" s="121" t="s">
        <v>8563</v>
      </c>
    </row>
    <row r="729" spans="1:8" x14ac:dyDescent="0.25">
      <c r="A729">
        <v>1379281</v>
      </c>
      <c r="B729" s="121" t="s">
        <v>8562</v>
      </c>
      <c r="C729" t="s">
        <v>32</v>
      </c>
      <c r="D729" t="s">
        <v>65</v>
      </c>
      <c r="E729" t="s">
        <v>49</v>
      </c>
      <c r="F729" t="s">
        <v>5054</v>
      </c>
      <c r="G729" t="s">
        <v>2579</v>
      </c>
      <c r="H729" s="121" t="s">
        <v>8564</v>
      </c>
    </row>
    <row r="730" spans="1:8" x14ac:dyDescent="0.25">
      <c r="A730">
        <v>1379931</v>
      </c>
      <c r="B730" s="121" t="s">
        <v>8562</v>
      </c>
      <c r="C730" t="s">
        <v>32</v>
      </c>
      <c r="D730" t="s">
        <v>92</v>
      </c>
      <c r="E730" t="s">
        <v>4449</v>
      </c>
      <c r="F730" t="s">
        <v>5062</v>
      </c>
      <c r="G730" t="s">
        <v>5060</v>
      </c>
      <c r="H730" s="121" t="s">
        <v>8565</v>
      </c>
    </row>
    <row r="731" spans="1:8" x14ac:dyDescent="0.25">
      <c r="A731">
        <v>1379932</v>
      </c>
      <c r="B731" s="121" t="s">
        <v>8562</v>
      </c>
      <c r="C731" t="s">
        <v>32</v>
      </c>
      <c r="D731" t="s">
        <v>92</v>
      </c>
      <c r="E731" t="s">
        <v>4449</v>
      </c>
      <c r="F731" t="s">
        <v>5068</v>
      </c>
      <c r="G731" t="s">
        <v>5066</v>
      </c>
      <c r="H731" s="121" t="s">
        <v>8566</v>
      </c>
    </row>
    <row r="732" spans="1:8" x14ac:dyDescent="0.25">
      <c r="A732">
        <v>1379933</v>
      </c>
      <c r="B732" s="121" t="s">
        <v>8562</v>
      </c>
      <c r="C732" t="s">
        <v>32</v>
      </c>
      <c r="D732" t="s">
        <v>92</v>
      </c>
      <c r="E732" t="s">
        <v>4449</v>
      </c>
      <c r="F732" t="s">
        <v>5069</v>
      </c>
      <c r="G732" t="s">
        <v>5063</v>
      </c>
      <c r="H732" s="121" t="s">
        <v>8567</v>
      </c>
    </row>
    <row r="733" spans="1:8" x14ac:dyDescent="0.25">
      <c r="A733">
        <v>1379934</v>
      </c>
      <c r="B733" s="121" t="s">
        <v>8562</v>
      </c>
      <c r="C733" t="s">
        <v>32</v>
      </c>
      <c r="D733" t="s">
        <v>92</v>
      </c>
      <c r="E733" t="s">
        <v>4449</v>
      </c>
      <c r="F733" t="s">
        <v>5071</v>
      </c>
      <c r="G733" t="s">
        <v>5065</v>
      </c>
      <c r="H733" s="121" t="s">
        <v>8568</v>
      </c>
    </row>
    <row r="734" spans="1:8" x14ac:dyDescent="0.25">
      <c r="A734">
        <v>1379935</v>
      </c>
      <c r="B734" s="121" t="s">
        <v>8562</v>
      </c>
      <c r="C734" t="s">
        <v>32</v>
      </c>
      <c r="D734" t="s">
        <v>92</v>
      </c>
      <c r="E734" t="s">
        <v>4449</v>
      </c>
      <c r="F734" t="s">
        <v>5078</v>
      </c>
      <c r="G734" t="s">
        <v>5075</v>
      </c>
      <c r="H734" s="121" t="s">
        <v>8569</v>
      </c>
    </row>
    <row r="735" spans="1:8" x14ac:dyDescent="0.25">
      <c r="A735">
        <v>1379936</v>
      </c>
      <c r="B735" s="121" t="s">
        <v>8562</v>
      </c>
      <c r="C735" t="s">
        <v>32</v>
      </c>
      <c r="D735" t="s">
        <v>92</v>
      </c>
      <c r="E735" t="s">
        <v>4449</v>
      </c>
      <c r="F735" t="s">
        <v>5074</v>
      </c>
      <c r="G735" t="s">
        <v>5072</v>
      </c>
      <c r="H735" s="121" t="s">
        <v>8570</v>
      </c>
    </row>
    <row r="736" spans="1:8" x14ac:dyDescent="0.25">
      <c r="A736">
        <v>1379937</v>
      </c>
      <c r="B736" s="121" t="s">
        <v>8562</v>
      </c>
      <c r="C736" t="s">
        <v>32</v>
      </c>
      <c r="D736" t="s">
        <v>92</v>
      </c>
      <c r="E736" t="s">
        <v>4449</v>
      </c>
      <c r="F736" t="s">
        <v>5077</v>
      </c>
      <c r="G736" t="s">
        <v>5081</v>
      </c>
      <c r="H736" s="121" t="s">
        <v>8571</v>
      </c>
    </row>
    <row r="737" spans="1:8" x14ac:dyDescent="0.25">
      <c r="A737">
        <v>1379938</v>
      </c>
      <c r="B737" s="121" t="s">
        <v>8562</v>
      </c>
      <c r="C737" t="s">
        <v>32</v>
      </c>
      <c r="D737" t="s">
        <v>92</v>
      </c>
      <c r="E737" t="s">
        <v>4449</v>
      </c>
      <c r="F737" t="s">
        <v>5080</v>
      </c>
      <c r="G737" t="s">
        <v>4451</v>
      </c>
      <c r="H737" s="121" t="s">
        <v>8572</v>
      </c>
    </row>
    <row r="738" spans="1:8" x14ac:dyDescent="0.25">
      <c r="A738">
        <v>1379939</v>
      </c>
      <c r="B738" s="121" t="s">
        <v>8562</v>
      </c>
      <c r="C738" t="s">
        <v>32</v>
      </c>
      <c r="D738" t="s">
        <v>92</v>
      </c>
      <c r="E738" t="s">
        <v>4449</v>
      </c>
      <c r="F738" t="s">
        <v>4450</v>
      </c>
      <c r="G738" t="s">
        <v>5059</v>
      </c>
      <c r="H738" s="121" t="s">
        <v>8573</v>
      </c>
    </row>
    <row r="739" spans="1:8" x14ac:dyDescent="0.25">
      <c r="A739">
        <v>1382858</v>
      </c>
      <c r="B739" s="121" t="s">
        <v>8562</v>
      </c>
      <c r="C739" t="s">
        <v>32</v>
      </c>
      <c r="D739" t="s">
        <v>92</v>
      </c>
      <c r="E739" t="s">
        <v>5083</v>
      </c>
      <c r="F739" t="s">
        <v>6573</v>
      </c>
      <c r="G739" t="s">
        <v>5093</v>
      </c>
      <c r="H739" s="121" t="s">
        <v>8574</v>
      </c>
    </row>
    <row r="740" spans="1:8" x14ac:dyDescent="0.25">
      <c r="A740">
        <v>1382859</v>
      </c>
      <c r="B740" s="121" t="s">
        <v>8562</v>
      </c>
      <c r="C740" t="s">
        <v>32</v>
      </c>
      <c r="D740" t="s">
        <v>92</v>
      </c>
      <c r="E740" t="s">
        <v>5083</v>
      </c>
      <c r="F740" t="s">
        <v>1506</v>
      </c>
      <c r="G740" t="s">
        <v>518</v>
      </c>
      <c r="H740" s="121" t="s">
        <v>8575</v>
      </c>
    </row>
    <row r="741" spans="1:8" x14ac:dyDescent="0.25">
      <c r="A741">
        <v>1382860</v>
      </c>
      <c r="B741" s="121" t="s">
        <v>8562</v>
      </c>
      <c r="C741" t="s">
        <v>32</v>
      </c>
      <c r="D741" t="s">
        <v>92</v>
      </c>
      <c r="E741" t="s">
        <v>5083</v>
      </c>
      <c r="F741" t="s">
        <v>8576</v>
      </c>
      <c r="G741" t="s">
        <v>5090</v>
      </c>
      <c r="H741" s="121" t="s">
        <v>8577</v>
      </c>
    </row>
    <row r="742" spans="1:8" x14ac:dyDescent="0.25">
      <c r="A742">
        <v>1382862</v>
      </c>
      <c r="B742" s="121" t="s">
        <v>8562</v>
      </c>
      <c r="C742" t="s">
        <v>32</v>
      </c>
      <c r="D742" t="s">
        <v>92</v>
      </c>
      <c r="E742" t="s">
        <v>5083</v>
      </c>
      <c r="F742" t="s">
        <v>5086</v>
      </c>
      <c r="G742" t="s">
        <v>5092</v>
      </c>
      <c r="H742" s="121" t="s">
        <v>8578</v>
      </c>
    </row>
    <row r="743" spans="1:8" x14ac:dyDescent="0.25">
      <c r="A743">
        <v>1382863</v>
      </c>
      <c r="B743" s="121" t="s">
        <v>8562</v>
      </c>
      <c r="C743" t="s">
        <v>32</v>
      </c>
      <c r="D743" t="s">
        <v>92</v>
      </c>
      <c r="E743" t="s">
        <v>5083</v>
      </c>
      <c r="F743" t="s">
        <v>5089</v>
      </c>
      <c r="G743" t="s">
        <v>5087</v>
      </c>
      <c r="H743" s="121" t="s">
        <v>8579</v>
      </c>
    </row>
    <row r="744" spans="1:8" x14ac:dyDescent="0.25">
      <c r="A744">
        <v>1383024</v>
      </c>
      <c r="B744" s="121" t="s">
        <v>8562</v>
      </c>
      <c r="C744" t="s">
        <v>32</v>
      </c>
      <c r="D744" t="s">
        <v>92</v>
      </c>
      <c r="E744" t="s">
        <v>70</v>
      </c>
      <c r="F744" t="s">
        <v>5098</v>
      </c>
      <c r="G744" t="s">
        <v>5095</v>
      </c>
      <c r="H744" s="121" t="s">
        <v>8580</v>
      </c>
    </row>
    <row r="745" spans="1:8" x14ac:dyDescent="0.25">
      <c r="A745">
        <v>1383025</v>
      </c>
      <c r="B745" s="121" t="s">
        <v>8562</v>
      </c>
      <c r="C745" t="s">
        <v>32</v>
      </c>
      <c r="D745" t="s">
        <v>92</v>
      </c>
      <c r="E745" t="s">
        <v>70</v>
      </c>
      <c r="F745" t="s">
        <v>2329</v>
      </c>
      <c r="G745" t="s">
        <v>5105</v>
      </c>
      <c r="H745" s="121" t="s">
        <v>8581</v>
      </c>
    </row>
    <row r="746" spans="1:8" x14ac:dyDescent="0.25">
      <c r="A746">
        <v>1383027</v>
      </c>
      <c r="B746" s="121" t="s">
        <v>8562</v>
      </c>
      <c r="C746" t="s">
        <v>32</v>
      </c>
      <c r="D746" t="s">
        <v>92</v>
      </c>
      <c r="E746" t="s">
        <v>70</v>
      </c>
      <c r="F746" t="s">
        <v>5101</v>
      </c>
      <c r="G746" t="s">
        <v>5099</v>
      </c>
      <c r="H746" s="121" t="s">
        <v>8582</v>
      </c>
    </row>
    <row r="747" spans="1:8" x14ac:dyDescent="0.25">
      <c r="A747">
        <v>1383028</v>
      </c>
      <c r="B747" s="121" t="s">
        <v>8562</v>
      </c>
      <c r="C747" t="s">
        <v>32</v>
      </c>
      <c r="D747" t="s">
        <v>92</v>
      </c>
      <c r="E747" t="s">
        <v>70</v>
      </c>
      <c r="F747" t="s">
        <v>8583</v>
      </c>
      <c r="G747" t="s">
        <v>5102</v>
      </c>
      <c r="H747" s="121" t="s">
        <v>8584</v>
      </c>
    </row>
    <row r="748" spans="1:8" x14ac:dyDescent="0.25">
      <c r="A748">
        <v>1383204</v>
      </c>
      <c r="B748" s="121" t="s">
        <v>8562</v>
      </c>
      <c r="C748" t="s">
        <v>32</v>
      </c>
      <c r="D748" t="s">
        <v>92</v>
      </c>
      <c r="E748" t="s">
        <v>266</v>
      </c>
      <c r="F748" t="s">
        <v>5117</v>
      </c>
      <c r="G748" t="s">
        <v>5113</v>
      </c>
      <c r="H748" s="121" t="s">
        <v>8585</v>
      </c>
    </row>
    <row r="749" spans="1:8" x14ac:dyDescent="0.25">
      <c r="A749">
        <v>1383205</v>
      </c>
      <c r="B749" s="121" t="s">
        <v>8562</v>
      </c>
      <c r="C749" t="s">
        <v>32</v>
      </c>
      <c r="D749" t="s">
        <v>92</v>
      </c>
      <c r="E749" t="s">
        <v>266</v>
      </c>
      <c r="F749" t="s">
        <v>5111</v>
      </c>
      <c r="G749" t="s">
        <v>5107</v>
      </c>
      <c r="H749" s="121" t="s">
        <v>8586</v>
      </c>
    </row>
    <row r="750" spans="1:8" x14ac:dyDescent="0.25">
      <c r="A750">
        <v>1383206</v>
      </c>
      <c r="B750" s="121" t="s">
        <v>8562</v>
      </c>
      <c r="C750" t="s">
        <v>32</v>
      </c>
      <c r="D750" t="s">
        <v>92</v>
      </c>
      <c r="E750" t="s">
        <v>266</v>
      </c>
      <c r="F750" t="s">
        <v>5120</v>
      </c>
      <c r="G750" t="s">
        <v>5114</v>
      </c>
      <c r="H750" s="121" t="s">
        <v>8587</v>
      </c>
    </row>
    <row r="751" spans="1:8" x14ac:dyDescent="0.25">
      <c r="A751">
        <v>1383207</v>
      </c>
      <c r="B751" s="121" t="s">
        <v>8562</v>
      </c>
      <c r="C751" t="s">
        <v>32</v>
      </c>
      <c r="D751" t="s">
        <v>92</v>
      </c>
      <c r="E751" t="s">
        <v>266</v>
      </c>
      <c r="F751" t="s">
        <v>5116</v>
      </c>
      <c r="G751" t="s">
        <v>5110</v>
      </c>
      <c r="H751" s="121" t="s">
        <v>8588</v>
      </c>
    </row>
    <row r="752" spans="1:8" x14ac:dyDescent="0.25">
      <c r="A752">
        <v>1383384</v>
      </c>
      <c r="B752" s="121" t="s">
        <v>8562</v>
      </c>
      <c r="C752" t="s">
        <v>32</v>
      </c>
      <c r="D752" t="s">
        <v>92</v>
      </c>
      <c r="E752" t="s">
        <v>2834</v>
      </c>
      <c r="F752" t="s">
        <v>5125</v>
      </c>
      <c r="G752" t="s">
        <v>5129</v>
      </c>
      <c r="H752" s="121" t="s">
        <v>8589</v>
      </c>
    </row>
    <row r="753" spans="1:8" x14ac:dyDescent="0.25">
      <c r="A753">
        <v>1383385</v>
      </c>
      <c r="B753" s="121" t="s">
        <v>8562</v>
      </c>
      <c r="C753" t="s">
        <v>32</v>
      </c>
      <c r="D753" t="s">
        <v>92</v>
      </c>
      <c r="E753" t="s">
        <v>2834</v>
      </c>
      <c r="F753" t="s">
        <v>5131</v>
      </c>
      <c r="G753" t="s">
        <v>5122</v>
      </c>
      <c r="H753" s="121" t="s">
        <v>8590</v>
      </c>
    </row>
    <row r="754" spans="1:8" x14ac:dyDescent="0.25">
      <c r="A754">
        <v>1383386</v>
      </c>
      <c r="B754" s="121" t="s">
        <v>8562</v>
      </c>
      <c r="C754" t="s">
        <v>32</v>
      </c>
      <c r="D754" t="s">
        <v>92</v>
      </c>
      <c r="E754" t="s">
        <v>2834</v>
      </c>
      <c r="F754" t="s">
        <v>5132</v>
      </c>
      <c r="G754" t="s">
        <v>5126</v>
      </c>
      <c r="H754" s="121" t="s">
        <v>8591</v>
      </c>
    </row>
    <row r="755" spans="1:8" x14ac:dyDescent="0.25">
      <c r="A755">
        <v>1383387</v>
      </c>
      <c r="B755" s="121" t="s">
        <v>8562</v>
      </c>
      <c r="C755" t="s">
        <v>32</v>
      </c>
      <c r="D755" t="s">
        <v>92</v>
      </c>
      <c r="E755" t="s">
        <v>2834</v>
      </c>
      <c r="F755" t="s">
        <v>5134</v>
      </c>
      <c r="G755" t="s">
        <v>5128</v>
      </c>
      <c r="H755" s="121" t="s">
        <v>8592</v>
      </c>
    </row>
    <row r="756" spans="1:8" x14ac:dyDescent="0.25">
      <c r="A756">
        <v>1383388</v>
      </c>
      <c r="B756" s="121" t="s">
        <v>8562</v>
      </c>
      <c r="C756" t="s">
        <v>32</v>
      </c>
      <c r="D756" t="s">
        <v>92</v>
      </c>
      <c r="E756" t="s">
        <v>2834</v>
      </c>
      <c r="F756" t="s">
        <v>5135</v>
      </c>
      <c r="G756" t="s">
        <v>5123</v>
      </c>
      <c r="H756" s="121" t="s">
        <v>8593</v>
      </c>
    </row>
    <row r="757" spans="1:8" x14ac:dyDescent="0.25">
      <c r="A757">
        <v>1384060</v>
      </c>
      <c r="B757" s="121" t="s">
        <v>8562</v>
      </c>
      <c r="C757" t="s">
        <v>32</v>
      </c>
      <c r="D757" t="s">
        <v>326</v>
      </c>
      <c r="E757" t="s">
        <v>331</v>
      </c>
      <c r="F757" t="s">
        <v>6187</v>
      </c>
      <c r="G757" t="s">
        <v>8594</v>
      </c>
      <c r="H757" s="121" t="s">
        <v>8595</v>
      </c>
    </row>
    <row r="758" spans="1:8" x14ac:dyDescent="0.25">
      <c r="A758">
        <v>1386500</v>
      </c>
      <c r="B758" s="121" t="s">
        <v>8562</v>
      </c>
      <c r="C758" t="s">
        <v>32</v>
      </c>
      <c r="D758" t="s">
        <v>65</v>
      </c>
      <c r="E758" t="s">
        <v>2834</v>
      </c>
      <c r="F758" t="s">
        <v>5163</v>
      </c>
      <c r="G758" t="s">
        <v>5169</v>
      </c>
      <c r="H758" s="121" t="s">
        <v>8596</v>
      </c>
    </row>
    <row r="759" spans="1:8" x14ac:dyDescent="0.25">
      <c r="A759">
        <v>1386501</v>
      </c>
      <c r="B759" s="121" t="s">
        <v>8562</v>
      </c>
      <c r="C759" t="s">
        <v>32</v>
      </c>
      <c r="D759" t="s">
        <v>65</v>
      </c>
      <c r="E759" t="s">
        <v>2834</v>
      </c>
      <c r="F759" t="s">
        <v>3569</v>
      </c>
      <c r="G759" t="s">
        <v>5176</v>
      </c>
      <c r="H759" s="121" t="s">
        <v>8597</v>
      </c>
    </row>
    <row r="760" spans="1:8" x14ac:dyDescent="0.25">
      <c r="A760">
        <v>1386503</v>
      </c>
      <c r="B760" s="121" t="s">
        <v>8562</v>
      </c>
      <c r="C760" t="s">
        <v>32</v>
      </c>
      <c r="D760" t="s">
        <v>65</v>
      </c>
      <c r="E760" t="s">
        <v>2834</v>
      </c>
      <c r="F760" t="s">
        <v>3565</v>
      </c>
      <c r="G760" t="s">
        <v>5178</v>
      </c>
      <c r="H760" s="121" t="s">
        <v>8598</v>
      </c>
    </row>
    <row r="761" spans="1:8" x14ac:dyDescent="0.25">
      <c r="A761">
        <v>1386504</v>
      </c>
      <c r="B761" s="121" t="s">
        <v>8562</v>
      </c>
      <c r="C761" t="s">
        <v>32</v>
      </c>
      <c r="D761" t="s">
        <v>65</v>
      </c>
      <c r="E761" t="s">
        <v>2834</v>
      </c>
      <c r="F761" t="s">
        <v>5164</v>
      </c>
      <c r="G761" t="s">
        <v>5187</v>
      </c>
      <c r="H761" s="121" t="s">
        <v>8599</v>
      </c>
    </row>
    <row r="762" spans="1:8" x14ac:dyDescent="0.25">
      <c r="A762">
        <v>1386506</v>
      </c>
      <c r="B762" s="121" t="s">
        <v>8562</v>
      </c>
      <c r="C762" t="s">
        <v>32</v>
      </c>
      <c r="D762" t="s">
        <v>65</v>
      </c>
      <c r="E762" t="s">
        <v>2834</v>
      </c>
      <c r="F762" t="s">
        <v>5175</v>
      </c>
      <c r="G762" t="s">
        <v>5185</v>
      </c>
      <c r="H762" s="121" t="s">
        <v>8600</v>
      </c>
    </row>
    <row r="763" spans="1:8" x14ac:dyDescent="0.25">
      <c r="A763">
        <v>1386508</v>
      </c>
      <c r="B763" s="121" t="s">
        <v>8562</v>
      </c>
      <c r="C763" t="s">
        <v>32</v>
      </c>
      <c r="D763" t="s">
        <v>65</v>
      </c>
      <c r="E763" t="s">
        <v>2834</v>
      </c>
      <c r="F763" t="s">
        <v>3566</v>
      </c>
      <c r="G763" t="s">
        <v>5172</v>
      </c>
      <c r="H763" s="121" t="s">
        <v>8601</v>
      </c>
    </row>
    <row r="764" spans="1:8" x14ac:dyDescent="0.25">
      <c r="A764">
        <v>1386509</v>
      </c>
      <c r="B764" s="121" t="s">
        <v>8562</v>
      </c>
      <c r="C764" t="s">
        <v>32</v>
      </c>
      <c r="D764" t="s">
        <v>65</v>
      </c>
      <c r="E764" t="s">
        <v>2834</v>
      </c>
      <c r="F764" t="s">
        <v>5184</v>
      </c>
      <c r="G764" t="s">
        <v>5181</v>
      </c>
      <c r="H764" s="121" t="s">
        <v>8602</v>
      </c>
    </row>
    <row r="765" spans="1:8" x14ac:dyDescent="0.25">
      <c r="A765">
        <v>1386510</v>
      </c>
      <c r="B765" s="121" t="s">
        <v>8562</v>
      </c>
      <c r="C765" t="s">
        <v>32</v>
      </c>
      <c r="D765" t="s">
        <v>65</v>
      </c>
      <c r="E765" t="s">
        <v>2834</v>
      </c>
      <c r="F765" t="s">
        <v>5190</v>
      </c>
      <c r="G765" t="s">
        <v>5179</v>
      </c>
      <c r="H765" s="121" t="s">
        <v>8603</v>
      </c>
    </row>
    <row r="766" spans="1:8" x14ac:dyDescent="0.25">
      <c r="A766">
        <v>1386511</v>
      </c>
      <c r="B766" s="121" t="s">
        <v>8562</v>
      </c>
      <c r="C766" t="s">
        <v>32</v>
      </c>
      <c r="D766" t="s">
        <v>65</v>
      </c>
      <c r="E766" t="s">
        <v>2834</v>
      </c>
      <c r="F766" t="s">
        <v>5191</v>
      </c>
      <c r="G766" t="s">
        <v>5182</v>
      </c>
      <c r="H766" s="121" t="s">
        <v>8604</v>
      </c>
    </row>
    <row r="767" spans="1:8" x14ac:dyDescent="0.25">
      <c r="A767">
        <v>1387045</v>
      </c>
      <c r="B767" s="121" t="s">
        <v>8562</v>
      </c>
      <c r="C767" t="s">
        <v>32</v>
      </c>
      <c r="D767" t="s">
        <v>65</v>
      </c>
      <c r="E767" t="s">
        <v>70</v>
      </c>
      <c r="F767" t="s">
        <v>5198</v>
      </c>
      <c r="G767" t="s">
        <v>6500</v>
      </c>
      <c r="H767" s="121" t="s">
        <v>8605</v>
      </c>
    </row>
    <row r="768" spans="1:8" x14ac:dyDescent="0.25">
      <c r="A768">
        <v>1387046</v>
      </c>
      <c r="B768" s="121" t="s">
        <v>8562</v>
      </c>
      <c r="C768" t="s">
        <v>32</v>
      </c>
      <c r="D768" t="s">
        <v>65</v>
      </c>
      <c r="E768" t="s">
        <v>70</v>
      </c>
      <c r="F768" t="s">
        <v>5204</v>
      </c>
      <c r="G768" t="s">
        <v>5200</v>
      </c>
      <c r="H768" s="121" t="s">
        <v>8606</v>
      </c>
    </row>
    <row r="769" spans="1:8" x14ac:dyDescent="0.25">
      <c r="A769">
        <v>1387047</v>
      </c>
      <c r="B769" s="121" t="s">
        <v>8562</v>
      </c>
      <c r="C769" t="s">
        <v>32</v>
      </c>
      <c r="D769" t="s">
        <v>65</v>
      </c>
      <c r="E769" t="s">
        <v>70</v>
      </c>
      <c r="F769" t="s">
        <v>5195</v>
      </c>
      <c r="G769" t="s">
        <v>5197</v>
      </c>
      <c r="H769" s="121" t="s">
        <v>8607</v>
      </c>
    </row>
    <row r="770" spans="1:8" x14ac:dyDescent="0.25">
      <c r="A770">
        <v>1387050</v>
      </c>
      <c r="B770" s="121" t="s">
        <v>8562</v>
      </c>
      <c r="C770" t="s">
        <v>32</v>
      </c>
      <c r="D770" t="s">
        <v>65</v>
      </c>
      <c r="E770" t="s">
        <v>70</v>
      </c>
      <c r="F770" t="s">
        <v>473</v>
      </c>
      <c r="G770" t="s">
        <v>598</v>
      </c>
      <c r="H770" s="121" t="s">
        <v>8608</v>
      </c>
    </row>
    <row r="771" spans="1:8" x14ac:dyDescent="0.25">
      <c r="A771">
        <v>1387052</v>
      </c>
      <c r="B771" s="121" t="s">
        <v>8562</v>
      </c>
      <c r="C771" t="s">
        <v>32</v>
      </c>
      <c r="D771" t="s">
        <v>65</v>
      </c>
      <c r="E771" t="s">
        <v>70</v>
      </c>
      <c r="F771" t="s">
        <v>8609</v>
      </c>
      <c r="G771" t="s">
        <v>3576</v>
      </c>
      <c r="H771" s="121" t="s">
        <v>8610</v>
      </c>
    </row>
    <row r="772" spans="1:8" x14ac:dyDescent="0.25">
      <c r="A772">
        <v>1387053</v>
      </c>
      <c r="B772" s="121" t="s">
        <v>8562</v>
      </c>
      <c r="C772" t="s">
        <v>32</v>
      </c>
      <c r="D772" t="s">
        <v>65</v>
      </c>
      <c r="E772" t="s">
        <v>70</v>
      </c>
      <c r="F772" t="s">
        <v>1282</v>
      </c>
      <c r="G772" t="s">
        <v>3573</v>
      </c>
      <c r="H772" s="121" t="s">
        <v>8611</v>
      </c>
    </row>
    <row r="773" spans="1:8" x14ac:dyDescent="0.25">
      <c r="A773">
        <v>1387054</v>
      </c>
      <c r="B773" s="121" t="s">
        <v>8562</v>
      </c>
      <c r="C773" t="s">
        <v>32</v>
      </c>
      <c r="D773" t="s">
        <v>65</v>
      </c>
      <c r="E773" t="s">
        <v>70</v>
      </c>
      <c r="F773" t="s">
        <v>5193</v>
      </c>
      <c r="G773" t="s">
        <v>8612</v>
      </c>
      <c r="H773" s="121" t="s">
        <v>8613</v>
      </c>
    </row>
    <row r="774" spans="1:8" x14ac:dyDescent="0.25">
      <c r="A774">
        <v>1387607</v>
      </c>
      <c r="B774" s="121" t="s">
        <v>8562</v>
      </c>
      <c r="C774" t="s">
        <v>32</v>
      </c>
      <c r="D774" t="s">
        <v>65</v>
      </c>
      <c r="E774" t="s">
        <v>266</v>
      </c>
      <c r="F774" t="s">
        <v>3581</v>
      </c>
      <c r="G774" t="s">
        <v>642</v>
      </c>
      <c r="H774" s="121" t="s">
        <v>8614</v>
      </c>
    </row>
    <row r="775" spans="1:8" x14ac:dyDescent="0.25">
      <c r="A775">
        <v>1387608</v>
      </c>
      <c r="B775" s="121" t="s">
        <v>8562</v>
      </c>
      <c r="C775" t="s">
        <v>32</v>
      </c>
      <c r="D775" t="s">
        <v>65</v>
      </c>
      <c r="E775" t="s">
        <v>266</v>
      </c>
      <c r="F775" t="s">
        <v>641</v>
      </c>
      <c r="G775" t="s">
        <v>5225</v>
      </c>
      <c r="H775" s="121" t="s">
        <v>8615</v>
      </c>
    </row>
    <row r="776" spans="1:8" x14ac:dyDescent="0.25">
      <c r="A776">
        <v>1387609</v>
      </c>
      <c r="B776" s="121" t="s">
        <v>8562</v>
      </c>
      <c r="C776" t="s">
        <v>32</v>
      </c>
      <c r="D776" t="s">
        <v>65</v>
      </c>
      <c r="E776" t="s">
        <v>266</v>
      </c>
      <c r="F776" t="s">
        <v>5214</v>
      </c>
      <c r="G776" t="s">
        <v>1224</v>
      </c>
      <c r="H776" s="121" t="s">
        <v>8616</v>
      </c>
    </row>
    <row r="777" spans="1:8" x14ac:dyDescent="0.25">
      <c r="A777">
        <v>1387610</v>
      </c>
      <c r="B777" s="121" t="s">
        <v>8562</v>
      </c>
      <c r="C777" t="s">
        <v>32</v>
      </c>
      <c r="D777" t="s">
        <v>65</v>
      </c>
      <c r="E777" t="s">
        <v>266</v>
      </c>
      <c r="F777" t="s">
        <v>5212</v>
      </c>
      <c r="G777" t="s">
        <v>5226</v>
      </c>
      <c r="H777" s="121" t="s">
        <v>8617</v>
      </c>
    </row>
    <row r="778" spans="1:8" x14ac:dyDescent="0.25">
      <c r="A778">
        <v>1387611</v>
      </c>
      <c r="B778" s="121" t="s">
        <v>8562</v>
      </c>
      <c r="C778" t="s">
        <v>32</v>
      </c>
      <c r="D778" t="s">
        <v>65</v>
      </c>
      <c r="E778" t="s">
        <v>266</v>
      </c>
      <c r="F778" t="s">
        <v>5222</v>
      </c>
      <c r="G778" t="s">
        <v>521</v>
      </c>
      <c r="H778" s="121" t="s">
        <v>8618</v>
      </c>
    </row>
    <row r="779" spans="1:8" x14ac:dyDescent="0.25">
      <c r="A779">
        <v>1387615</v>
      </c>
      <c r="B779" s="121" t="s">
        <v>8562</v>
      </c>
      <c r="C779" t="s">
        <v>32</v>
      </c>
      <c r="D779" t="s">
        <v>65</v>
      </c>
      <c r="E779" t="s">
        <v>266</v>
      </c>
      <c r="F779" t="s">
        <v>5218</v>
      </c>
      <c r="G779" t="s">
        <v>5211</v>
      </c>
      <c r="H779" s="121" t="s">
        <v>8619</v>
      </c>
    </row>
    <row r="780" spans="1:8" x14ac:dyDescent="0.25">
      <c r="A780">
        <v>1387617</v>
      </c>
      <c r="B780" s="121" t="s">
        <v>8562</v>
      </c>
      <c r="C780" t="s">
        <v>32</v>
      </c>
      <c r="D780" t="s">
        <v>65</v>
      </c>
      <c r="E780" t="s">
        <v>266</v>
      </c>
      <c r="F780" t="s">
        <v>5228</v>
      </c>
      <c r="G780" t="s">
        <v>520</v>
      </c>
      <c r="H780" s="121" t="s">
        <v>8620</v>
      </c>
    </row>
    <row r="781" spans="1:8" x14ac:dyDescent="0.25">
      <c r="A781">
        <v>1389073</v>
      </c>
      <c r="B781" s="121" t="s">
        <v>8562</v>
      </c>
      <c r="C781" t="s">
        <v>32</v>
      </c>
      <c r="D781" t="s">
        <v>64</v>
      </c>
      <c r="E781" t="s">
        <v>269</v>
      </c>
      <c r="F781" t="s">
        <v>2260</v>
      </c>
      <c r="G781" t="s">
        <v>8621</v>
      </c>
      <c r="H781" s="121" t="s">
        <v>8622</v>
      </c>
    </row>
    <row r="782" spans="1:8" x14ac:dyDescent="0.25">
      <c r="A782">
        <v>1389074</v>
      </c>
      <c r="B782" s="121" t="s">
        <v>8562</v>
      </c>
      <c r="C782" t="s">
        <v>32</v>
      </c>
      <c r="D782" t="s">
        <v>64</v>
      </c>
      <c r="E782" t="s">
        <v>269</v>
      </c>
      <c r="F782" t="s">
        <v>8623</v>
      </c>
      <c r="G782" t="s">
        <v>5230</v>
      </c>
      <c r="H782" s="121" t="s">
        <v>8624</v>
      </c>
    </row>
    <row r="783" spans="1:8" x14ac:dyDescent="0.25">
      <c r="A783">
        <v>1389569</v>
      </c>
      <c r="B783" s="121" t="s">
        <v>8562</v>
      </c>
      <c r="C783" t="s">
        <v>32</v>
      </c>
      <c r="D783" t="s">
        <v>5138</v>
      </c>
      <c r="E783" t="s">
        <v>5233</v>
      </c>
      <c r="F783" t="s">
        <v>5234</v>
      </c>
      <c r="G783" t="s">
        <v>5244</v>
      </c>
      <c r="H783" s="121" t="s">
        <v>8625</v>
      </c>
    </row>
    <row r="784" spans="1:8" x14ac:dyDescent="0.25">
      <c r="A784">
        <v>1389570</v>
      </c>
      <c r="B784" s="121" t="s">
        <v>8562</v>
      </c>
      <c r="C784" t="s">
        <v>32</v>
      </c>
      <c r="D784" t="s">
        <v>5138</v>
      </c>
      <c r="E784" t="s">
        <v>5233</v>
      </c>
      <c r="F784" t="s">
        <v>5247</v>
      </c>
      <c r="G784" t="s">
        <v>5237</v>
      </c>
      <c r="H784" s="121" t="s">
        <v>8626</v>
      </c>
    </row>
    <row r="785" spans="1:8" x14ac:dyDescent="0.25">
      <c r="A785">
        <v>1389571</v>
      </c>
      <c r="B785" s="121" t="s">
        <v>8562</v>
      </c>
      <c r="C785" t="s">
        <v>32</v>
      </c>
      <c r="D785" t="s">
        <v>5138</v>
      </c>
      <c r="E785" t="s">
        <v>5233</v>
      </c>
      <c r="F785" t="s">
        <v>5249</v>
      </c>
      <c r="G785" t="s">
        <v>5235</v>
      </c>
      <c r="H785" s="121" t="s">
        <v>8627</v>
      </c>
    </row>
    <row r="786" spans="1:8" x14ac:dyDescent="0.25">
      <c r="A786">
        <v>1389572</v>
      </c>
      <c r="B786" s="121" t="s">
        <v>8562</v>
      </c>
      <c r="C786" t="s">
        <v>32</v>
      </c>
      <c r="D786" t="s">
        <v>5138</v>
      </c>
      <c r="E786" t="s">
        <v>5233</v>
      </c>
      <c r="F786" t="s">
        <v>5253</v>
      </c>
      <c r="G786" t="s">
        <v>5238</v>
      </c>
      <c r="H786" s="121" t="s">
        <v>8628</v>
      </c>
    </row>
    <row r="787" spans="1:8" x14ac:dyDescent="0.25">
      <c r="A787">
        <v>1389573</v>
      </c>
      <c r="B787" s="121" t="s">
        <v>8562</v>
      </c>
      <c r="C787" t="s">
        <v>32</v>
      </c>
      <c r="D787" t="s">
        <v>5138</v>
      </c>
      <c r="E787" t="s">
        <v>5233</v>
      </c>
      <c r="F787" t="s">
        <v>5246</v>
      </c>
      <c r="G787" t="s">
        <v>5252</v>
      </c>
      <c r="H787" s="121" t="s">
        <v>8629</v>
      </c>
    </row>
    <row r="788" spans="1:8" x14ac:dyDescent="0.25">
      <c r="A788">
        <v>1389574</v>
      </c>
      <c r="B788" s="121" t="s">
        <v>8562</v>
      </c>
      <c r="C788" t="s">
        <v>32</v>
      </c>
      <c r="D788" t="s">
        <v>5138</v>
      </c>
      <c r="E788" t="s">
        <v>5233</v>
      </c>
      <c r="F788" t="s">
        <v>5243</v>
      </c>
      <c r="G788" t="s">
        <v>5240</v>
      </c>
      <c r="H788" s="121" t="s">
        <v>8630</v>
      </c>
    </row>
    <row r="789" spans="1:8" x14ac:dyDescent="0.25">
      <c r="A789">
        <v>1389575</v>
      </c>
      <c r="B789" s="121" t="s">
        <v>8562</v>
      </c>
      <c r="C789" t="s">
        <v>32</v>
      </c>
      <c r="D789" t="s">
        <v>5138</v>
      </c>
      <c r="E789" t="s">
        <v>5233</v>
      </c>
      <c r="F789" t="s">
        <v>5250</v>
      </c>
      <c r="G789" t="s">
        <v>5241</v>
      </c>
      <c r="H789" s="121" t="s">
        <v>8631</v>
      </c>
    </row>
    <row r="790" spans="1:8" x14ac:dyDescent="0.25">
      <c r="A790">
        <v>1392804</v>
      </c>
      <c r="B790" s="121" t="s">
        <v>8562</v>
      </c>
      <c r="C790" t="s">
        <v>32</v>
      </c>
      <c r="D790" t="s">
        <v>71</v>
      </c>
      <c r="E790" t="s">
        <v>344</v>
      </c>
      <c r="F790" t="s">
        <v>6792</v>
      </c>
      <c r="G790" t="s">
        <v>6790</v>
      </c>
      <c r="H790" s="121" t="s">
        <v>8632</v>
      </c>
    </row>
    <row r="791" spans="1:8" x14ac:dyDescent="0.25">
      <c r="A791">
        <v>1394006</v>
      </c>
      <c r="B791" s="121" t="s">
        <v>8562</v>
      </c>
      <c r="C791" t="s">
        <v>32</v>
      </c>
      <c r="D791" t="s">
        <v>390</v>
      </c>
      <c r="E791" t="s">
        <v>391</v>
      </c>
      <c r="F791" t="s">
        <v>1362</v>
      </c>
      <c r="G791" t="s">
        <v>1623</v>
      </c>
      <c r="H791" s="121" t="s">
        <v>8633</v>
      </c>
    </row>
    <row r="792" spans="1:8" x14ac:dyDescent="0.25">
      <c r="A792">
        <v>1394007</v>
      </c>
      <c r="B792" s="121" t="s">
        <v>8562</v>
      </c>
      <c r="C792" t="s">
        <v>32</v>
      </c>
      <c r="D792" t="s">
        <v>390</v>
      </c>
      <c r="E792" t="s">
        <v>391</v>
      </c>
      <c r="F792" t="s">
        <v>1363</v>
      </c>
      <c r="G792" t="s">
        <v>1622</v>
      </c>
      <c r="H792" s="121" t="s">
        <v>8634</v>
      </c>
    </row>
    <row r="793" spans="1:8" x14ac:dyDescent="0.25">
      <c r="A793">
        <v>1394012</v>
      </c>
      <c r="B793" s="121" t="s">
        <v>8562</v>
      </c>
      <c r="C793" t="s">
        <v>32</v>
      </c>
      <c r="D793" t="s">
        <v>390</v>
      </c>
      <c r="E793" t="s">
        <v>391</v>
      </c>
      <c r="F793" t="s">
        <v>1365</v>
      </c>
      <c r="G793" t="s">
        <v>1624</v>
      </c>
      <c r="H793" s="121" t="s">
        <v>8635</v>
      </c>
    </row>
    <row r="794" spans="1:8" x14ac:dyDescent="0.25">
      <c r="A794">
        <v>1394685</v>
      </c>
      <c r="B794" s="121" t="s">
        <v>8562</v>
      </c>
      <c r="C794" t="s">
        <v>32</v>
      </c>
      <c r="D794" t="s">
        <v>42</v>
      </c>
      <c r="E794" t="s">
        <v>61</v>
      </c>
      <c r="F794" t="s">
        <v>508</v>
      </c>
      <c r="G794" t="s">
        <v>509</v>
      </c>
      <c r="H794" s="121" t="s">
        <v>8636</v>
      </c>
    </row>
    <row r="795" spans="1:8" x14ac:dyDescent="0.25">
      <c r="A795">
        <v>1394924</v>
      </c>
      <c r="B795" s="121" t="s">
        <v>8562</v>
      </c>
      <c r="C795" t="s">
        <v>32</v>
      </c>
      <c r="D795" t="s">
        <v>268</v>
      </c>
      <c r="E795" t="s">
        <v>392</v>
      </c>
      <c r="F795" t="s">
        <v>914</v>
      </c>
      <c r="G795" t="s">
        <v>4458</v>
      </c>
      <c r="H795" s="121" t="s">
        <v>8637</v>
      </c>
    </row>
    <row r="796" spans="1:8" x14ac:dyDescent="0.25">
      <c r="A796">
        <v>1394925</v>
      </c>
      <c r="B796" s="121" t="s">
        <v>8562</v>
      </c>
      <c r="C796" t="s">
        <v>32</v>
      </c>
      <c r="D796" t="s">
        <v>268</v>
      </c>
      <c r="E796" t="s">
        <v>392</v>
      </c>
      <c r="F796" t="s">
        <v>4466</v>
      </c>
      <c r="G796" t="s">
        <v>896</v>
      </c>
      <c r="H796" s="121" t="s">
        <v>8638</v>
      </c>
    </row>
    <row r="797" spans="1:8" x14ac:dyDescent="0.25">
      <c r="A797">
        <v>1394926</v>
      </c>
      <c r="B797" s="121" t="s">
        <v>8562</v>
      </c>
      <c r="C797" t="s">
        <v>32</v>
      </c>
      <c r="D797" t="s">
        <v>268</v>
      </c>
      <c r="E797" t="s">
        <v>392</v>
      </c>
      <c r="F797" t="s">
        <v>8639</v>
      </c>
      <c r="G797" t="s">
        <v>8640</v>
      </c>
      <c r="H797" s="121" t="s">
        <v>8641</v>
      </c>
    </row>
    <row r="798" spans="1:8" x14ac:dyDescent="0.25">
      <c r="A798">
        <v>1394927</v>
      </c>
      <c r="B798" s="121" t="s">
        <v>8562</v>
      </c>
      <c r="C798" t="s">
        <v>32</v>
      </c>
      <c r="D798" t="s">
        <v>268</v>
      </c>
      <c r="E798" t="s">
        <v>392</v>
      </c>
      <c r="F798" t="s">
        <v>897</v>
      </c>
      <c r="G798" t="s">
        <v>4463</v>
      </c>
      <c r="H798" s="121" t="s">
        <v>8642</v>
      </c>
    </row>
    <row r="799" spans="1:8" x14ac:dyDescent="0.25">
      <c r="A799">
        <v>1396744</v>
      </c>
      <c r="B799" s="121" t="s">
        <v>8562</v>
      </c>
      <c r="C799" t="s">
        <v>32</v>
      </c>
      <c r="D799" t="s">
        <v>682</v>
      </c>
      <c r="E799" t="s">
        <v>683</v>
      </c>
      <c r="F799" t="s">
        <v>8643</v>
      </c>
      <c r="G799" t="s">
        <v>2262</v>
      </c>
      <c r="H799" s="121" t="s">
        <v>8644</v>
      </c>
    </row>
    <row r="800" spans="1:8" x14ac:dyDescent="0.25">
      <c r="A800">
        <v>1398881</v>
      </c>
      <c r="B800" s="121" t="s">
        <v>8562</v>
      </c>
      <c r="C800" t="s">
        <v>32</v>
      </c>
      <c r="D800" t="s">
        <v>332</v>
      </c>
      <c r="E800" t="s">
        <v>396</v>
      </c>
      <c r="F800" t="s">
        <v>4498</v>
      </c>
      <c r="G800" t="s">
        <v>3701</v>
      </c>
      <c r="H800" s="121" t="s">
        <v>8645</v>
      </c>
    </row>
    <row r="801" spans="1:8" x14ac:dyDescent="0.25">
      <c r="A801">
        <v>1399914</v>
      </c>
      <c r="B801" s="121" t="s">
        <v>8562</v>
      </c>
      <c r="C801" t="s">
        <v>32</v>
      </c>
      <c r="D801" t="s">
        <v>65</v>
      </c>
      <c r="E801" t="s">
        <v>104</v>
      </c>
      <c r="F801" t="s">
        <v>3584</v>
      </c>
      <c r="G801" t="s">
        <v>5264</v>
      </c>
      <c r="H801" s="121" t="s">
        <v>8646</v>
      </c>
    </row>
    <row r="802" spans="1:8" x14ac:dyDescent="0.25">
      <c r="A802">
        <v>1399915</v>
      </c>
      <c r="B802" s="121" t="s">
        <v>8562</v>
      </c>
      <c r="C802" t="s">
        <v>32</v>
      </c>
      <c r="D802" t="s">
        <v>65</v>
      </c>
      <c r="E802" t="s">
        <v>104</v>
      </c>
      <c r="F802" t="s">
        <v>5260</v>
      </c>
      <c r="G802" t="s">
        <v>5276</v>
      </c>
      <c r="H802" s="121" t="s">
        <v>8647</v>
      </c>
    </row>
    <row r="803" spans="1:8" x14ac:dyDescent="0.25">
      <c r="A803">
        <v>1399917</v>
      </c>
      <c r="B803" s="121" t="s">
        <v>8562</v>
      </c>
      <c r="C803" t="s">
        <v>32</v>
      </c>
      <c r="D803" t="s">
        <v>65</v>
      </c>
      <c r="E803" t="s">
        <v>104</v>
      </c>
      <c r="F803" t="s">
        <v>5270</v>
      </c>
      <c r="G803" t="s">
        <v>5282</v>
      </c>
      <c r="H803" s="121" t="s">
        <v>8648</v>
      </c>
    </row>
    <row r="804" spans="1:8" x14ac:dyDescent="0.25">
      <c r="A804">
        <v>1399918</v>
      </c>
      <c r="B804" s="121" t="s">
        <v>8562</v>
      </c>
      <c r="C804" t="s">
        <v>32</v>
      </c>
      <c r="D804" t="s">
        <v>65</v>
      </c>
      <c r="E804" t="s">
        <v>104</v>
      </c>
      <c r="F804" t="s">
        <v>5269</v>
      </c>
      <c r="G804" t="s">
        <v>5281</v>
      </c>
      <c r="H804" s="121" t="s">
        <v>8649</v>
      </c>
    </row>
    <row r="805" spans="1:8" x14ac:dyDescent="0.25">
      <c r="A805">
        <v>1399919</v>
      </c>
      <c r="B805" s="121" t="s">
        <v>8562</v>
      </c>
      <c r="C805" t="s">
        <v>32</v>
      </c>
      <c r="D805" t="s">
        <v>65</v>
      </c>
      <c r="E805" t="s">
        <v>104</v>
      </c>
      <c r="F805" t="s">
        <v>5272</v>
      </c>
      <c r="G805" t="s">
        <v>5266</v>
      </c>
      <c r="H805" s="121" t="s">
        <v>8650</v>
      </c>
    </row>
    <row r="806" spans="1:8" x14ac:dyDescent="0.25">
      <c r="A806">
        <v>1399921</v>
      </c>
      <c r="B806" s="121" t="s">
        <v>8562</v>
      </c>
      <c r="C806" t="s">
        <v>32</v>
      </c>
      <c r="D806" t="s">
        <v>65</v>
      </c>
      <c r="E806" t="s">
        <v>104</v>
      </c>
      <c r="F806" t="s">
        <v>5267</v>
      </c>
      <c r="G806" t="s">
        <v>5288</v>
      </c>
      <c r="H806" s="121" t="s">
        <v>8651</v>
      </c>
    </row>
    <row r="807" spans="1:8" x14ac:dyDescent="0.25">
      <c r="A807">
        <v>1399922</v>
      </c>
      <c r="B807" s="121" t="s">
        <v>8562</v>
      </c>
      <c r="C807" t="s">
        <v>32</v>
      </c>
      <c r="D807" t="s">
        <v>65</v>
      </c>
      <c r="E807" t="s">
        <v>104</v>
      </c>
      <c r="F807" t="s">
        <v>5261</v>
      </c>
      <c r="G807" t="s">
        <v>6526</v>
      </c>
      <c r="H807" s="121" t="s">
        <v>8652</v>
      </c>
    </row>
    <row r="808" spans="1:8" x14ac:dyDescent="0.25">
      <c r="A808">
        <v>1399924</v>
      </c>
      <c r="B808" s="121" t="s">
        <v>8562</v>
      </c>
      <c r="C808" t="s">
        <v>32</v>
      </c>
      <c r="D808" t="s">
        <v>65</v>
      </c>
      <c r="E808" t="s">
        <v>104</v>
      </c>
      <c r="F808" t="s">
        <v>3583</v>
      </c>
      <c r="G808" t="s">
        <v>5285</v>
      </c>
      <c r="H808" s="121" t="s">
        <v>8653</v>
      </c>
    </row>
    <row r="809" spans="1:8" x14ac:dyDescent="0.25">
      <c r="A809">
        <v>1399925</v>
      </c>
      <c r="B809" s="121" t="s">
        <v>8562</v>
      </c>
      <c r="C809" t="s">
        <v>32</v>
      </c>
      <c r="D809" t="s">
        <v>65</v>
      </c>
      <c r="E809" t="s">
        <v>104</v>
      </c>
      <c r="F809" t="s">
        <v>5284</v>
      </c>
      <c r="G809" t="s">
        <v>6527</v>
      </c>
      <c r="H809" s="121" t="s">
        <v>8654</v>
      </c>
    </row>
    <row r="810" spans="1:8" x14ac:dyDescent="0.25">
      <c r="A810">
        <v>1402007</v>
      </c>
      <c r="B810" s="121" t="s">
        <v>8562</v>
      </c>
      <c r="C810" t="s">
        <v>32</v>
      </c>
      <c r="D810" t="s">
        <v>65</v>
      </c>
      <c r="E810" t="s">
        <v>5290</v>
      </c>
      <c r="F810" t="s">
        <v>5291</v>
      </c>
      <c r="G810" t="s">
        <v>5319</v>
      </c>
      <c r="H810" s="121" t="s">
        <v>8655</v>
      </c>
    </row>
    <row r="811" spans="1:8" x14ac:dyDescent="0.25">
      <c r="A811">
        <v>1402008</v>
      </c>
      <c r="B811" s="121" t="s">
        <v>8562</v>
      </c>
      <c r="C811" t="s">
        <v>32</v>
      </c>
      <c r="D811" t="s">
        <v>65</v>
      </c>
      <c r="E811" t="s">
        <v>5290</v>
      </c>
      <c r="F811" t="s">
        <v>5325</v>
      </c>
      <c r="G811" t="s">
        <v>5297</v>
      </c>
      <c r="H811" s="121" t="s">
        <v>8656</v>
      </c>
    </row>
    <row r="812" spans="1:8" x14ac:dyDescent="0.25">
      <c r="A812">
        <v>1402009</v>
      </c>
      <c r="B812" s="121" t="s">
        <v>8562</v>
      </c>
      <c r="C812" t="s">
        <v>32</v>
      </c>
      <c r="D812" t="s">
        <v>65</v>
      </c>
      <c r="E812" t="s">
        <v>5290</v>
      </c>
      <c r="F812" t="s">
        <v>5294</v>
      </c>
      <c r="G812" t="s">
        <v>5318</v>
      </c>
      <c r="H812" s="121" t="s">
        <v>8657</v>
      </c>
    </row>
    <row r="813" spans="1:8" x14ac:dyDescent="0.25">
      <c r="A813">
        <v>1402010</v>
      </c>
      <c r="B813" s="121" t="s">
        <v>8562</v>
      </c>
      <c r="C813" t="s">
        <v>32</v>
      </c>
      <c r="D813" t="s">
        <v>65</v>
      </c>
      <c r="E813" t="s">
        <v>5290</v>
      </c>
      <c r="F813" t="s">
        <v>5295</v>
      </c>
      <c r="G813" t="s">
        <v>5309</v>
      </c>
      <c r="H813" s="121" t="s">
        <v>8658</v>
      </c>
    </row>
    <row r="814" spans="1:8" x14ac:dyDescent="0.25">
      <c r="A814">
        <v>1402011</v>
      </c>
      <c r="B814" s="121" t="s">
        <v>8562</v>
      </c>
      <c r="C814" t="s">
        <v>32</v>
      </c>
      <c r="D814" t="s">
        <v>65</v>
      </c>
      <c r="E814" t="s">
        <v>5290</v>
      </c>
      <c r="F814" t="s">
        <v>5312</v>
      </c>
      <c r="G814" t="s">
        <v>5300</v>
      </c>
      <c r="H814" s="121" t="s">
        <v>8659</v>
      </c>
    </row>
    <row r="815" spans="1:8" x14ac:dyDescent="0.25">
      <c r="A815">
        <v>1402012</v>
      </c>
      <c r="B815" s="121" t="s">
        <v>8562</v>
      </c>
      <c r="C815" t="s">
        <v>32</v>
      </c>
      <c r="D815" t="s">
        <v>65</v>
      </c>
      <c r="E815" t="s">
        <v>5290</v>
      </c>
      <c r="F815" t="s">
        <v>5316</v>
      </c>
      <c r="G815" t="s">
        <v>5301</v>
      </c>
      <c r="H815" s="121" t="s">
        <v>8660</v>
      </c>
    </row>
    <row r="816" spans="1:8" x14ac:dyDescent="0.25">
      <c r="A816">
        <v>1402013</v>
      </c>
      <c r="B816" s="121" t="s">
        <v>8562</v>
      </c>
      <c r="C816" t="s">
        <v>32</v>
      </c>
      <c r="D816" t="s">
        <v>65</v>
      </c>
      <c r="E816" t="s">
        <v>5290</v>
      </c>
      <c r="F816" t="s">
        <v>5315</v>
      </c>
      <c r="G816" t="s">
        <v>5306</v>
      </c>
      <c r="H816" s="121" t="s">
        <v>8661</v>
      </c>
    </row>
    <row r="817" spans="1:8" x14ac:dyDescent="0.25">
      <c r="A817">
        <v>1402014</v>
      </c>
      <c r="B817" s="121" t="s">
        <v>8562</v>
      </c>
      <c r="C817" t="s">
        <v>32</v>
      </c>
      <c r="D817" t="s">
        <v>65</v>
      </c>
      <c r="E817" t="s">
        <v>5290</v>
      </c>
      <c r="F817" t="s">
        <v>5313</v>
      </c>
      <c r="G817" t="s">
        <v>5298</v>
      </c>
      <c r="H817" s="121" t="s">
        <v>8662</v>
      </c>
    </row>
    <row r="818" spans="1:8" x14ac:dyDescent="0.25">
      <c r="A818">
        <v>1402015</v>
      </c>
      <c r="B818" s="121" t="s">
        <v>8562</v>
      </c>
      <c r="C818" t="s">
        <v>32</v>
      </c>
      <c r="D818" t="s">
        <v>65</v>
      </c>
      <c r="E818" t="s">
        <v>5290</v>
      </c>
      <c r="F818" t="s">
        <v>5310</v>
      </c>
      <c r="G818" t="s">
        <v>5304</v>
      </c>
      <c r="H818" s="121" t="s">
        <v>8663</v>
      </c>
    </row>
    <row r="819" spans="1:8" x14ac:dyDescent="0.25">
      <c r="A819">
        <v>1402016</v>
      </c>
      <c r="B819" s="121" t="s">
        <v>8562</v>
      </c>
      <c r="C819" t="s">
        <v>32</v>
      </c>
      <c r="D819" t="s">
        <v>65</v>
      </c>
      <c r="E819" t="s">
        <v>5290</v>
      </c>
      <c r="F819" t="s">
        <v>5324</v>
      </c>
      <c r="G819" t="s">
        <v>5321</v>
      </c>
      <c r="H819" s="121" t="s">
        <v>8664</v>
      </c>
    </row>
    <row r="820" spans="1:8" x14ac:dyDescent="0.25">
      <c r="A820">
        <v>1402017</v>
      </c>
      <c r="B820" s="121" t="s">
        <v>8562</v>
      </c>
      <c r="C820" t="s">
        <v>32</v>
      </c>
      <c r="D820" t="s">
        <v>65</v>
      </c>
      <c r="E820" t="s">
        <v>5290</v>
      </c>
      <c r="F820" t="s">
        <v>5307</v>
      </c>
      <c r="G820" t="s">
        <v>5322</v>
      </c>
      <c r="H820" s="121" t="s">
        <v>8665</v>
      </c>
    </row>
    <row r="821" spans="1:8" x14ac:dyDescent="0.25">
      <c r="A821">
        <v>1402018</v>
      </c>
      <c r="B821" s="121" t="s">
        <v>8562</v>
      </c>
      <c r="C821" t="s">
        <v>32</v>
      </c>
      <c r="D821" t="s">
        <v>65</v>
      </c>
      <c r="E821" t="s">
        <v>5290</v>
      </c>
      <c r="F821" t="s">
        <v>5292</v>
      </c>
      <c r="G821" t="s">
        <v>5303</v>
      </c>
      <c r="H821" s="121" t="s">
        <v>8666</v>
      </c>
    </row>
    <row r="822" spans="1:8" x14ac:dyDescent="0.25">
      <c r="A822">
        <v>1402559</v>
      </c>
      <c r="B822" s="121" t="s">
        <v>8562</v>
      </c>
      <c r="C822" t="s">
        <v>32</v>
      </c>
      <c r="D822" t="s">
        <v>65</v>
      </c>
      <c r="E822" t="s">
        <v>5327</v>
      </c>
      <c r="F822" t="s">
        <v>5359</v>
      </c>
      <c r="G822" t="s">
        <v>5346</v>
      </c>
      <c r="H822" s="121" t="s">
        <v>8667</v>
      </c>
    </row>
    <row r="823" spans="1:8" x14ac:dyDescent="0.25">
      <c r="A823">
        <v>1402560</v>
      </c>
      <c r="B823" s="121" t="s">
        <v>8562</v>
      </c>
      <c r="C823" t="s">
        <v>32</v>
      </c>
      <c r="D823" t="s">
        <v>65</v>
      </c>
      <c r="E823" t="s">
        <v>5327</v>
      </c>
      <c r="F823" t="s">
        <v>5332</v>
      </c>
      <c r="G823" t="s">
        <v>5344</v>
      </c>
      <c r="H823" s="121" t="s">
        <v>8668</v>
      </c>
    </row>
    <row r="824" spans="1:8" x14ac:dyDescent="0.25">
      <c r="A824">
        <v>1402561</v>
      </c>
      <c r="B824" s="121" t="s">
        <v>8562</v>
      </c>
      <c r="C824" t="s">
        <v>32</v>
      </c>
      <c r="D824" t="s">
        <v>65</v>
      </c>
      <c r="E824" t="s">
        <v>5327</v>
      </c>
      <c r="F824" t="s">
        <v>5331</v>
      </c>
      <c r="G824" t="s">
        <v>5341</v>
      </c>
      <c r="H824" s="121" t="s">
        <v>8669</v>
      </c>
    </row>
    <row r="825" spans="1:8" x14ac:dyDescent="0.25">
      <c r="A825">
        <v>1402562</v>
      </c>
      <c r="B825" s="121" t="s">
        <v>8562</v>
      </c>
      <c r="C825" t="s">
        <v>32</v>
      </c>
      <c r="D825" t="s">
        <v>65</v>
      </c>
      <c r="E825" t="s">
        <v>5327</v>
      </c>
      <c r="F825" t="s">
        <v>5334</v>
      </c>
      <c r="G825" t="s">
        <v>5362</v>
      </c>
      <c r="H825" s="121" t="s">
        <v>8670</v>
      </c>
    </row>
    <row r="826" spans="1:8" x14ac:dyDescent="0.25">
      <c r="A826">
        <v>1402563</v>
      </c>
      <c r="B826" s="121" t="s">
        <v>8562</v>
      </c>
      <c r="C826" t="s">
        <v>32</v>
      </c>
      <c r="D826" t="s">
        <v>65</v>
      </c>
      <c r="E826" t="s">
        <v>5327</v>
      </c>
      <c r="F826" t="s">
        <v>5347</v>
      </c>
      <c r="G826" t="s">
        <v>5338</v>
      </c>
      <c r="H826" s="121" t="s">
        <v>8671</v>
      </c>
    </row>
    <row r="827" spans="1:8" x14ac:dyDescent="0.25">
      <c r="A827">
        <v>1402564</v>
      </c>
      <c r="B827" s="121" t="s">
        <v>8562</v>
      </c>
      <c r="C827" t="s">
        <v>32</v>
      </c>
      <c r="D827" t="s">
        <v>65</v>
      </c>
      <c r="E827" t="s">
        <v>5327</v>
      </c>
      <c r="F827" t="s">
        <v>5350</v>
      </c>
      <c r="G827" t="s">
        <v>5329</v>
      </c>
      <c r="H827" s="121" t="s">
        <v>8672</v>
      </c>
    </row>
    <row r="828" spans="1:8" x14ac:dyDescent="0.25">
      <c r="A828">
        <v>1402565</v>
      </c>
      <c r="B828" s="121" t="s">
        <v>8562</v>
      </c>
      <c r="C828" t="s">
        <v>32</v>
      </c>
      <c r="D828" t="s">
        <v>65</v>
      </c>
      <c r="E828" t="s">
        <v>5327</v>
      </c>
      <c r="F828" t="s">
        <v>5353</v>
      </c>
      <c r="G828" t="s">
        <v>5337</v>
      </c>
      <c r="H828" s="121" t="s">
        <v>8673</v>
      </c>
    </row>
    <row r="829" spans="1:8" x14ac:dyDescent="0.25">
      <c r="A829">
        <v>1402566</v>
      </c>
      <c r="B829" s="121" t="s">
        <v>8562</v>
      </c>
      <c r="C829" t="s">
        <v>32</v>
      </c>
      <c r="D829" t="s">
        <v>65</v>
      </c>
      <c r="E829" t="s">
        <v>5327</v>
      </c>
      <c r="F829" t="s">
        <v>5356</v>
      </c>
      <c r="G829" t="s">
        <v>5343</v>
      </c>
      <c r="H829" s="121" t="s">
        <v>8674</v>
      </c>
    </row>
    <row r="830" spans="1:8" x14ac:dyDescent="0.25">
      <c r="A830">
        <v>1402567</v>
      </c>
      <c r="B830" s="121" t="s">
        <v>8562</v>
      </c>
      <c r="C830" t="s">
        <v>32</v>
      </c>
      <c r="D830" t="s">
        <v>65</v>
      </c>
      <c r="E830" t="s">
        <v>5327</v>
      </c>
      <c r="F830" t="s">
        <v>5349</v>
      </c>
      <c r="G830" t="s">
        <v>5328</v>
      </c>
      <c r="H830" s="121" t="s">
        <v>8675</v>
      </c>
    </row>
    <row r="831" spans="1:8" x14ac:dyDescent="0.25">
      <c r="A831">
        <v>1402568</v>
      </c>
      <c r="B831" s="121" t="s">
        <v>8562</v>
      </c>
      <c r="C831" t="s">
        <v>32</v>
      </c>
      <c r="D831" t="s">
        <v>65</v>
      </c>
      <c r="E831" t="s">
        <v>5327</v>
      </c>
      <c r="F831" t="s">
        <v>5352</v>
      </c>
      <c r="G831" t="s">
        <v>5355</v>
      </c>
      <c r="H831" s="121" t="s">
        <v>8676</v>
      </c>
    </row>
    <row r="832" spans="1:8" x14ac:dyDescent="0.25">
      <c r="A832">
        <v>1402569</v>
      </c>
      <c r="B832" s="121" t="s">
        <v>8562</v>
      </c>
      <c r="C832" t="s">
        <v>32</v>
      </c>
      <c r="D832" t="s">
        <v>65</v>
      </c>
      <c r="E832" t="s">
        <v>5327</v>
      </c>
      <c r="F832" t="s">
        <v>5335</v>
      </c>
      <c r="G832" t="s">
        <v>5340</v>
      </c>
      <c r="H832" s="121" t="s">
        <v>8677</v>
      </c>
    </row>
    <row r="833" spans="1:8" x14ac:dyDescent="0.25">
      <c r="A833">
        <v>1402570</v>
      </c>
      <c r="B833" s="121" t="s">
        <v>8562</v>
      </c>
      <c r="C833" t="s">
        <v>32</v>
      </c>
      <c r="D833" t="s">
        <v>65</v>
      </c>
      <c r="E833" t="s">
        <v>5327</v>
      </c>
      <c r="F833" t="s">
        <v>5358</v>
      </c>
      <c r="G833" t="s">
        <v>5361</v>
      </c>
      <c r="H833" s="121" t="s">
        <v>8678</v>
      </c>
    </row>
    <row r="834" spans="1:8" x14ac:dyDescent="0.25">
      <c r="A834">
        <v>1405308</v>
      </c>
      <c r="B834" s="121" t="s">
        <v>8562</v>
      </c>
      <c r="C834" t="s">
        <v>32</v>
      </c>
      <c r="D834" t="s">
        <v>92</v>
      </c>
      <c r="E834" t="s">
        <v>5364</v>
      </c>
      <c r="F834" t="s">
        <v>5368</v>
      </c>
      <c r="G834" t="s">
        <v>5375</v>
      </c>
      <c r="H834" s="121" t="s">
        <v>8679</v>
      </c>
    </row>
    <row r="835" spans="1:8" x14ac:dyDescent="0.25">
      <c r="A835">
        <v>1405309</v>
      </c>
      <c r="B835" s="121" t="s">
        <v>8562</v>
      </c>
      <c r="C835" t="s">
        <v>32</v>
      </c>
      <c r="D835" t="s">
        <v>92</v>
      </c>
      <c r="E835" t="s">
        <v>5364</v>
      </c>
      <c r="F835" t="s">
        <v>5371</v>
      </c>
      <c r="G835" t="s">
        <v>8680</v>
      </c>
      <c r="H835" s="121" t="s">
        <v>8681</v>
      </c>
    </row>
    <row r="836" spans="1:8" x14ac:dyDescent="0.25">
      <c r="A836">
        <v>1405310</v>
      </c>
      <c r="B836" s="121" t="s">
        <v>8562</v>
      </c>
      <c r="C836" t="s">
        <v>32</v>
      </c>
      <c r="D836" t="s">
        <v>92</v>
      </c>
      <c r="E836" t="s">
        <v>5364</v>
      </c>
      <c r="F836" t="s">
        <v>5374</v>
      </c>
      <c r="G836" t="s">
        <v>8682</v>
      </c>
      <c r="H836" s="121" t="s">
        <v>8683</v>
      </c>
    </row>
    <row r="837" spans="1:8" x14ac:dyDescent="0.25">
      <c r="A837">
        <v>1405312</v>
      </c>
      <c r="B837" s="121" t="s">
        <v>8562</v>
      </c>
      <c r="C837" t="s">
        <v>32</v>
      </c>
      <c r="D837" t="s">
        <v>92</v>
      </c>
      <c r="E837" t="s">
        <v>5364</v>
      </c>
      <c r="F837" t="s">
        <v>8684</v>
      </c>
      <c r="G837" t="s">
        <v>5369</v>
      </c>
      <c r="H837" s="121" t="s">
        <v>8685</v>
      </c>
    </row>
    <row r="838" spans="1:8" x14ac:dyDescent="0.25">
      <c r="A838">
        <v>1405313</v>
      </c>
      <c r="B838" s="121" t="s">
        <v>8562</v>
      </c>
      <c r="C838" t="s">
        <v>32</v>
      </c>
      <c r="D838" t="s">
        <v>92</v>
      </c>
      <c r="E838" t="s">
        <v>5364</v>
      </c>
      <c r="F838" t="s">
        <v>8686</v>
      </c>
      <c r="G838" t="s">
        <v>5381</v>
      </c>
      <c r="H838" s="121" t="s">
        <v>8687</v>
      </c>
    </row>
    <row r="839" spans="1:8" x14ac:dyDescent="0.25">
      <c r="A839">
        <v>1405314</v>
      </c>
      <c r="B839" s="121" t="s">
        <v>8562</v>
      </c>
      <c r="C839" t="s">
        <v>32</v>
      </c>
      <c r="D839" t="s">
        <v>92</v>
      </c>
      <c r="E839" t="s">
        <v>5364</v>
      </c>
      <c r="F839" t="s">
        <v>5365</v>
      </c>
      <c r="G839" t="s">
        <v>8688</v>
      </c>
      <c r="H839" s="121" t="s">
        <v>8689</v>
      </c>
    </row>
    <row r="840" spans="1:8" x14ac:dyDescent="0.25">
      <c r="A840">
        <v>1405315</v>
      </c>
      <c r="B840" s="121" t="s">
        <v>8562</v>
      </c>
      <c r="C840" t="s">
        <v>32</v>
      </c>
      <c r="D840" t="s">
        <v>92</v>
      </c>
      <c r="E840" t="s">
        <v>5364</v>
      </c>
      <c r="F840" t="s">
        <v>5377</v>
      </c>
      <c r="G840" t="s">
        <v>5366</v>
      </c>
      <c r="H840" s="121" t="s">
        <v>8690</v>
      </c>
    </row>
    <row r="841" spans="1:8" x14ac:dyDescent="0.25">
      <c r="A841">
        <v>1408311</v>
      </c>
      <c r="B841" s="121" t="s">
        <v>8562</v>
      </c>
      <c r="C841" t="s">
        <v>32</v>
      </c>
      <c r="D841" t="s">
        <v>43</v>
      </c>
      <c r="E841" t="s">
        <v>591</v>
      </c>
      <c r="F841" t="s">
        <v>1326</v>
      </c>
      <c r="G841" t="s">
        <v>1654</v>
      </c>
      <c r="H841" s="121" t="s">
        <v>8691</v>
      </c>
    </row>
    <row r="842" spans="1:8" x14ac:dyDescent="0.25">
      <c r="A842">
        <v>1408315</v>
      </c>
      <c r="B842" s="121" t="s">
        <v>8562</v>
      </c>
      <c r="C842" t="s">
        <v>32</v>
      </c>
      <c r="D842" t="s">
        <v>43</v>
      </c>
      <c r="E842" t="s">
        <v>591</v>
      </c>
      <c r="F842" t="s">
        <v>1656</v>
      </c>
      <c r="G842" t="s">
        <v>1387</v>
      </c>
      <c r="H842" s="121" t="s">
        <v>8692</v>
      </c>
    </row>
    <row r="843" spans="1:8" x14ac:dyDescent="0.25">
      <c r="A843">
        <v>1410993</v>
      </c>
      <c r="B843" s="121" t="s">
        <v>8562</v>
      </c>
      <c r="C843" t="s">
        <v>32</v>
      </c>
      <c r="D843" t="s">
        <v>51</v>
      </c>
      <c r="E843" t="s">
        <v>539</v>
      </c>
      <c r="F843" t="s">
        <v>8693</v>
      </c>
      <c r="G843" t="s">
        <v>1027</v>
      </c>
      <c r="H843" s="121" t="s">
        <v>8694</v>
      </c>
    </row>
    <row r="844" spans="1:8" x14ac:dyDescent="0.25">
      <c r="A844">
        <v>1411297</v>
      </c>
      <c r="B844" s="121" t="s">
        <v>8562</v>
      </c>
      <c r="C844" t="s">
        <v>32</v>
      </c>
      <c r="D844" t="s">
        <v>51</v>
      </c>
      <c r="E844" t="s">
        <v>581</v>
      </c>
      <c r="F844" t="s">
        <v>3834</v>
      </c>
      <c r="G844" t="s">
        <v>8695</v>
      </c>
      <c r="H844" s="121" t="s">
        <v>8696</v>
      </c>
    </row>
    <row r="845" spans="1:8" x14ac:dyDescent="0.25">
      <c r="A845">
        <v>1411299</v>
      </c>
      <c r="B845" s="121" t="s">
        <v>8562</v>
      </c>
      <c r="C845" t="s">
        <v>32</v>
      </c>
      <c r="D845" t="s">
        <v>51</v>
      </c>
      <c r="E845" t="s">
        <v>581</v>
      </c>
      <c r="F845" t="s">
        <v>3157</v>
      </c>
      <c r="G845" t="s">
        <v>3159</v>
      </c>
      <c r="H845" s="121" t="s">
        <v>8697</v>
      </c>
    </row>
    <row r="846" spans="1:8" x14ac:dyDescent="0.25">
      <c r="A846">
        <v>1411300</v>
      </c>
      <c r="B846" s="121" t="s">
        <v>8562</v>
      </c>
      <c r="C846" t="s">
        <v>32</v>
      </c>
      <c r="D846" t="s">
        <v>51</v>
      </c>
      <c r="E846" t="s">
        <v>581</v>
      </c>
      <c r="F846" t="s">
        <v>3156</v>
      </c>
      <c r="G846" t="s">
        <v>1350</v>
      </c>
      <c r="H846" s="121" t="s">
        <v>8698</v>
      </c>
    </row>
    <row r="847" spans="1:8" x14ac:dyDescent="0.25">
      <c r="A847">
        <v>1412275</v>
      </c>
      <c r="B847" s="121" t="s">
        <v>8562</v>
      </c>
      <c r="C847" t="s">
        <v>32</v>
      </c>
      <c r="D847" t="s">
        <v>43</v>
      </c>
      <c r="E847" t="s">
        <v>600</v>
      </c>
      <c r="F847" t="s">
        <v>8699</v>
      </c>
      <c r="G847" t="s">
        <v>1393</v>
      </c>
      <c r="H847" s="121" t="s">
        <v>8700</v>
      </c>
    </row>
    <row r="848" spans="1:8" x14ac:dyDescent="0.25">
      <c r="A848">
        <v>1414480</v>
      </c>
      <c r="B848" s="121" t="s">
        <v>8562</v>
      </c>
      <c r="C848" t="s">
        <v>32</v>
      </c>
      <c r="D848" t="s">
        <v>390</v>
      </c>
      <c r="E848" t="s">
        <v>920</v>
      </c>
      <c r="F848" t="s">
        <v>1406</v>
      </c>
      <c r="G848" t="s">
        <v>1408</v>
      </c>
      <c r="H848" s="121" t="s">
        <v>8701</v>
      </c>
    </row>
    <row r="849" spans="1:8" x14ac:dyDescent="0.25">
      <c r="A849">
        <v>1414481</v>
      </c>
      <c r="B849" s="121" t="s">
        <v>8562</v>
      </c>
      <c r="C849" t="s">
        <v>32</v>
      </c>
      <c r="D849" t="s">
        <v>390</v>
      </c>
      <c r="E849" t="s">
        <v>920</v>
      </c>
      <c r="F849" t="s">
        <v>1403</v>
      </c>
      <c r="G849" t="s">
        <v>2078</v>
      </c>
      <c r="H849" s="121" t="s">
        <v>8702</v>
      </c>
    </row>
    <row r="850" spans="1:8" x14ac:dyDescent="0.25">
      <c r="A850">
        <v>1414483</v>
      </c>
      <c r="B850" s="121" t="s">
        <v>8562</v>
      </c>
      <c r="C850" t="s">
        <v>32</v>
      </c>
      <c r="D850" t="s">
        <v>390</v>
      </c>
      <c r="E850" t="s">
        <v>920</v>
      </c>
      <c r="F850" t="s">
        <v>1401</v>
      </c>
      <c r="G850" t="s">
        <v>1405</v>
      </c>
      <c r="H850" s="121" t="s">
        <v>8703</v>
      </c>
    </row>
    <row r="851" spans="1:8" x14ac:dyDescent="0.25">
      <c r="A851">
        <v>1414484</v>
      </c>
      <c r="B851" s="121" t="s">
        <v>8562</v>
      </c>
      <c r="C851" t="s">
        <v>32</v>
      </c>
      <c r="D851" t="s">
        <v>390</v>
      </c>
      <c r="E851" t="s">
        <v>920</v>
      </c>
      <c r="F851" t="s">
        <v>2079</v>
      </c>
      <c r="G851" t="s">
        <v>922</v>
      </c>
      <c r="H851" s="121" t="s">
        <v>8704</v>
      </c>
    </row>
    <row r="852" spans="1:8" x14ac:dyDescent="0.25">
      <c r="A852">
        <v>1414485</v>
      </c>
      <c r="B852" s="121" t="s">
        <v>8562</v>
      </c>
      <c r="C852" t="s">
        <v>32</v>
      </c>
      <c r="D852" t="s">
        <v>390</v>
      </c>
      <c r="E852" t="s">
        <v>920</v>
      </c>
      <c r="F852" t="s">
        <v>1410</v>
      </c>
      <c r="G852" t="s">
        <v>1906</v>
      </c>
      <c r="H852" s="121" t="s">
        <v>8705</v>
      </c>
    </row>
    <row r="853" spans="1:8" x14ac:dyDescent="0.25">
      <c r="A853">
        <v>1414486</v>
      </c>
      <c r="B853" s="121" t="s">
        <v>8562</v>
      </c>
      <c r="C853" t="s">
        <v>32</v>
      </c>
      <c r="D853" t="s">
        <v>390</v>
      </c>
      <c r="E853" t="s">
        <v>920</v>
      </c>
      <c r="F853" t="s">
        <v>1404</v>
      </c>
      <c r="G853" t="s">
        <v>921</v>
      </c>
      <c r="H853" s="121" t="s">
        <v>8706</v>
      </c>
    </row>
    <row r="854" spans="1:8" x14ac:dyDescent="0.25">
      <c r="A854">
        <v>1414487</v>
      </c>
      <c r="B854" s="121" t="s">
        <v>8562</v>
      </c>
      <c r="C854" t="s">
        <v>32</v>
      </c>
      <c r="D854" t="s">
        <v>390</v>
      </c>
      <c r="E854" t="s">
        <v>920</v>
      </c>
      <c r="F854" t="s">
        <v>1402</v>
      </c>
      <c r="G854" t="s">
        <v>1407</v>
      </c>
      <c r="H854" s="121" t="s">
        <v>8707</v>
      </c>
    </row>
    <row r="855" spans="1:8" x14ac:dyDescent="0.25">
      <c r="A855">
        <v>1414698</v>
      </c>
      <c r="B855" s="121" t="s">
        <v>8562</v>
      </c>
      <c r="C855" t="s">
        <v>32</v>
      </c>
      <c r="D855" t="s">
        <v>390</v>
      </c>
      <c r="E855" t="s">
        <v>923</v>
      </c>
      <c r="F855" t="s">
        <v>1414</v>
      </c>
      <c r="G855" t="s">
        <v>1241</v>
      </c>
      <c r="H855" s="121" t="s">
        <v>8708</v>
      </c>
    </row>
    <row r="856" spans="1:8" x14ac:dyDescent="0.25">
      <c r="A856">
        <v>1414699</v>
      </c>
      <c r="B856" s="121" t="s">
        <v>8562</v>
      </c>
      <c r="C856" t="s">
        <v>32</v>
      </c>
      <c r="D856" t="s">
        <v>390</v>
      </c>
      <c r="E856" t="s">
        <v>923</v>
      </c>
      <c r="F856" t="s">
        <v>927</v>
      </c>
      <c r="G856" t="s">
        <v>924</v>
      </c>
      <c r="H856" s="121" t="s">
        <v>8709</v>
      </c>
    </row>
    <row r="857" spans="1:8" x14ac:dyDescent="0.25">
      <c r="A857">
        <v>1414703</v>
      </c>
      <c r="B857" s="121" t="s">
        <v>8562</v>
      </c>
      <c r="C857" t="s">
        <v>32</v>
      </c>
      <c r="D857" t="s">
        <v>390</v>
      </c>
      <c r="E857" t="s">
        <v>923</v>
      </c>
      <c r="F857" t="s">
        <v>1242</v>
      </c>
      <c r="G857" t="s">
        <v>1413</v>
      </c>
      <c r="H857" s="121" t="s">
        <v>8710</v>
      </c>
    </row>
    <row r="858" spans="1:8" x14ac:dyDescent="0.25">
      <c r="A858">
        <v>1414705</v>
      </c>
      <c r="B858" s="121" t="s">
        <v>8562</v>
      </c>
      <c r="C858" t="s">
        <v>32</v>
      </c>
      <c r="D858" t="s">
        <v>390</v>
      </c>
      <c r="E858" t="s">
        <v>923</v>
      </c>
      <c r="F858" t="s">
        <v>1415</v>
      </c>
      <c r="G858" t="s">
        <v>1416</v>
      </c>
      <c r="H858" s="121" t="s">
        <v>8711</v>
      </c>
    </row>
    <row r="859" spans="1:8" x14ac:dyDescent="0.25">
      <c r="A859">
        <v>1414919</v>
      </c>
      <c r="B859" s="121" t="s">
        <v>8562</v>
      </c>
      <c r="C859" t="s">
        <v>32</v>
      </c>
      <c r="D859" t="s">
        <v>390</v>
      </c>
      <c r="E859" t="s">
        <v>928</v>
      </c>
      <c r="F859" t="s">
        <v>2083</v>
      </c>
      <c r="G859" t="s">
        <v>1422</v>
      </c>
      <c r="H859" s="121" t="s">
        <v>8712</v>
      </c>
    </row>
    <row r="860" spans="1:8" x14ac:dyDescent="0.25">
      <c r="A860">
        <v>1414920</v>
      </c>
      <c r="B860" s="121" t="s">
        <v>8562</v>
      </c>
      <c r="C860" t="s">
        <v>32</v>
      </c>
      <c r="D860" t="s">
        <v>390</v>
      </c>
      <c r="E860" t="s">
        <v>928</v>
      </c>
      <c r="F860" t="s">
        <v>2082</v>
      </c>
      <c r="G860" t="s">
        <v>929</v>
      </c>
      <c r="H860" s="121" t="s">
        <v>8713</v>
      </c>
    </row>
    <row r="861" spans="1:8" x14ac:dyDescent="0.25">
      <c r="A861">
        <v>1414922</v>
      </c>
      <c r="B861" s="121" t="s">
        <v>8562</v>
      </c>
      <c r="C861" t="s">
        <v>32</v>
      </c>
      <c r="D861" t="s">
        <v>390</v>
      </c>
      <c r="E861" t="s">
        <v>928</v>
      </c>
      <c r="F861" t="s">
        <v>1909</v>
      </c>
      <c r="G861" t="s">
        <v>1420</v>
      </c>
      <c r="H861" s="121" t="s">
        <v>8714</v>
      </c>
    </row>
    <row r="862" spans="1:8" x14ac:dyDescent="0.25">
      <c r="A862">
        <v>1414923</v>
      </c>
      <c r="B862" s="121" t="s">
        <v>8562</v>
      </c>
      <c r="C862" t="s">
        <v>32</v>
      </c>
      <c r="D862" t="s">
        <v>390</v>
      </c>
      <c r="E862" t="s">
        <v>928</v>
      </c>
      <c r="F862" t="s">
        <v>930</v>
      </c>
      <c r="G862" t="s">
        <v>1423</v>
      </c>
      <c r="H862" s="121" t="s">
        <v>8715</v>
      </c>
    </row>
    <row r="863" spans="1:8" x14ac:dyDescent="0.25">
      <c r="A863">
        <v>1414925</v>
      </c>
      <c r="B863" s="121" t="s">
        <v>8562</v>
      </c>
      <c r="C863" t="s">
        <v>32</v>
      </c>
      <c r="D863" t="s">
        <v>390</v>
      </c>
      <c r="E863" t="s">
        <v>928</v>
      </c>
      <c r="F863" t="s">
        <v>1419</v>
      </c>
      <c r="G863" t="s">
        <v>931</v>
      </c>
      <c r="H863" s="121" t="s">
        <v>8716</v>
      </c>
    </row>
    <row r="864" spans="1:8" x14ac:dyDescent="0.25">
      <c r="A864">
        <v>1414926</v>
      </c>
      <c r="B864" s="121" t="s">
        <v>8562</v>
      </c>
      <c r="C864" t="s">
        <v>32</v>
      </c>
      <c r="D864" t="s">
        <v>390</v>
      </c>
      <c r="E864" t="s">
        <v>928</v>
      </c>
      <c r="F864" t="s">
        <v>932</v>
      </c>
      <c r="G864" t="s">
        <v>1418</v>
      </c>
      <c r="H864" s="121" t="s">
        <v>8717</v>
      </c>
    </row>
    <row r="865" spans="1:8" x14ac:dyDescent="0.25">
      <c r="A865">
        <v>1415119</v>
      </c>
      <c r="B865" s="121" t="s">
        <v>8562</v>
      </c>
      <c r="C865" t="s">
        <v>32</v>
      </c>
      <c r="D865" t="s">
        <v>390</v>
      </c>
      <c r="E865" t="s">
        <v>1243</v>
      </c>
      <c r="F865" t="s">
        <v>1245</v>
      </c>
      <c r="G865" t="s">
        <v>1437</v>
      </c>
      <c r="H865" s="121" t="s">
        <v>8718</v>
      </c>
    </row>
    <row r="866" spans="1:8" x14ac:dyDescent="0.25">
      <c r="A866">
        <v>1415120</v>
      </c>
      <c r="B866" s="121" t="s">
        <v>8562</v>
      </c>
      <c r="C866" t="s">
        <v>32</v>
      </c>
      <c r="D866" t="s">
        <v>390</v>
      </c>
      <c r="E866" t="s">
        <v>1243</v>
      </c>
      <c r="F866" t="s">
        <v>1432</v>
      </c>
      <c r="G866" t="s">
        <v>1426</v>
      </c>
      <c r="H866" s="121" t="s">
        <v>8719</v>
      </c>
    </row>
    <row r="867" spans="1:8" x14ac:dyDescent="0.25">
      <c r="A867">
        <v>1415121</v>
      </c>
      <c r="B867" s="121" t="s">
        <v>8562</v>
      </c>
      <c r="C867" t="s">
        <v>32</v>
      </c>
      <c r="D867" t="s">
        <v>390</v>
      </c>
      <c r="E867" t="s">
        <v>1243</v>
      </c>
      <c r="F867" t="s">
        <v>1433</v>
      </c>
      <c r="G867" t="s">
        <v>1434</v>
      </c>
      <c r="H867" s="121" t="s">
        <v>8720</v>
      </c>
    </row>
    <row r="868" spans="1:8" x14ac:dyDescent="0.25">
      <c r="A868">
        <v>1415123</v>
      </c>
      <c r="B868" s="121" t="s">
        <v>8562</v>
      </c>
      <c r="C868" t="s">
        <v>32</v>
      </c>
      <c r="D868" t="s">
        <v>390</v>
      </c>
      <c r="E868" t="s">
        <v>1243</v>
      </c>
      <c r="F868" t="s">
        <v>1431</v>
      </c>
      <c r="G868" t="s">
        <v>1428</v>
      </c>
      <c r="H868" s="121" t="s">
        <v>8721</v>
      </c>
    </row>
    <row r="869" spans="1:8" x14ac:dyDescent="0.25">
      <c r="A869">
        <v>1415124</v>
      </c>
      <c r="B869" s="121" t="s">
        <v>8562</v>
      </c>
      <c r="C869" t="s">
        <v>32</v>
      </c>
      <c r="D869" t="s">
        <v>390</v>
      </c>
      <c r="E869" t="s">
        <v>1243</v>
      </c>
      <c r="F869" t="s">
        <v>1427</v>
      </c>
      <c r="G869" t="s">
        <v>1435</v>
      </c>
      <c r="H869" s="121" t="s">
        <v>8722</v>
      </c>
    </row>
    <row r="870" spans="1:8" x14ac:dyDescent="0.25">
      <c r="A870">
        <v>1418673</v>
      </c>
      <c r="B870" s="121" t="s">
        <v>8562</v>
      </c>
      <c r="C870" t="s">
        <v>32</v>
      </c>
      <c r="D870" t="s">
        <v>80</v>
      </c>
      <c r="E870" t="s">
        <v>626</v>
      </c>
      <c r="F870" t="s">
        <v>6203</v>
      </c>
      <c r="G870" t="s">
        <v>1694</v>
      </c>
      <c r="H870" s="121" t="s">
        <v>8723</v>
      </c>
    </row>
    <row r="871" spans="1:8" x14ac:dyDescent="0.25">
      <c r="A871">
        <v>1418674</v>
      </c>
      <c r="B871" s="121" t="s">
        <v>8562</v>
      </c>
      <c r="C871" t="s">
        <v>32</v>
      </c>
      <c r="D871" t="s">
        <v>80</v>
      </c>
      <c r="E871" t="s">
        <v>626</v>
      </c>
      <c r="F871" t="s">
        <v>4581</v>
      </c>
      <c r="G871" t="s">
        <v>6079</v>
      </c>
      <c r="H871" s="121" t="s">
        <v>8724</v>
      </c>
    </row>
    <row r="872" spans="1:8" x14ac:dyDescent="0.25">
      <c r="A872">
        <v>1418679</v>
      </c>
      <c r="B872" s="121" t="s">
        <v>8562</v>
      </c>
      <c r="C872" t="s">
        <v>32</v>
      </c>
      <c r="D872" t="s">
        <v>80</v>
      </c>
      <c r="E872" t="s">
        <v>626</v>
      </c>
      <c r="F872" t="s">
        <v>6261</v>
      </c>
      <c r="G872" t="s">
        <v>4966</v>
      </c>
      <c r="H872" s="121" t="s">
        <v>8725</v>
      </c>
    </row>
    <row r="873" spans="1:8" x14ac:dyDescent="0.25">
      <c r="A873">
        <v>1418681</v>
      </c>
      <c r="B873" s="121" t="s">
        <v>8562</v>
      </c>
      <c r="C873" t="s">
        <v>32</v>
      </c>
      <c r="D873" t="s">
        <v>80</v>
      </c>
      <c r="E873" t="s">
        <v>626</v>
      </c>
      <c r="F873" t="s">
        <v>4578</v>
      </c>
      <c r="G873" t="s">
        <v>4580</v>
      </c>
      <c r="H873" s="121" t="s">
        <v>8726</v>
      </c>
    </row>
    <row r="874" spans="1:8" x14ac:dyDescent="0.25">
      <c r="A874">
        <v>1421978</v>
      </c>
      <c r="B874" s="121" t="s">
        <v>8562</v>
      </c>
      <c r="C874" t="s">
        <v>32</v>
      </c>
      <c r="D874" t="s">
        <v>268</v>
      </c>
      <c r="E874" t="s">
        <v>601</v>
      </c>
      <c r="F874" t="s">
        <v>4593</v>
      </c>
      <c r="G874" t="s">
        <v>900</v>
      </c>
      <c r="H874" s="121" t="s">
        <v>8727</v>
      </c>
    </row>
    <row r="875" spans="1:8" x14ac:dyDescent="0.25">
      <c r="A875">
        <v>1422063</v>
      </c>
      <c r="B875" s="121" t="s">
        <v>8562</v>
      </c>
      <c r="C875" t="s">
        <v>32</v>
      </c>
      <c r="D875" t="s">
        <v>268</v>
      </c>
      <c r="E875" t="s">
        <v>601</v>
      </c>
      <c r="F875" t="s">
        <v>4596</v>
      </c>
      <c r="G875" t="s">
        <v>4601</v>
      </c>
      <c r="H875" s="121" t="s">
        <v>8728</v>
      </c>
    </row>
    <row r="876" spans="1:8" x14ac:dyDescent="0.25">
      <c r="A876">
        <v>1422064</v>
      </c>
      <c r="B876" s="121" t="s">
        <v>8562</v>
      </c>
      <c r="C876" t="s">
        <v>32</v>
      </c>
      <c r="D876" t="s">
        <v>268</v>
      </c>
      <c r="E876" t="s">
        <v>601</v>
      </c>
      <c r="F876" t="s">
        <v>4599</v>
      </c>
      <c r="G876" t="s">
        <v>1701</v>
      </c>
      <c r="H876" s="121" t="s">
        <v>8729</v>
      </c>
    </row>
    <row r="877" spans="1:8" x14ac:dyDescent="0.25">
      <c r="A877">
        <v>1422065</v>
      </c>
      <c r="B877" s="121" t="s">
        <v>8562</v>
      </c>
      <c r="C877" t="s">
        <v>32</v>
      </c>
      <c r="D877" t="s">
        <v>268</v>
      </c>
      <c r="E877" t="s">
        <v>601</v>
      </c>
      <c r="F877" t="s">
        <v>4602</v>
      </c>
      <c r="G877" t="s">
        <v>8730</v>
      </c>
      <c r="H877" s="121" t="s">
        <v>8731</v>
      </c>
    </row>
    <row r="878" spans="1:8" x14ac:dyDescent="0.25">
      <c r="A878">
        <v>1422237</v>
      </c>
      <c r="B878" s="121" t="s">
        <v>8562</v>
      </c>
      <c r="C878" t="s">
        <v>32</v>
      </c>
      <c r="D878" t="s">
        <v>268</v>
      </c>
      <c r="E878" t="s">
        <v>619</v>
      </c>
      <c r="F878" t="s">
        <v>8732</v>
      </c>
      <c r="G878" t="s">
        <v>4612</v>
      </c>
      <c r="H878" s="121" t="s">
        <v>8733</v>
      </c>
    </row>
    <row r="879" spans="1:8" x14ac:dyDescent="0.25">
      <c r="A879">
        <v>1422238</v>
      </c>
      <c r="B879" s="121" t="s">
        <v>8562</v>
      </c>
      <c r="C879" t="s">
        <v>32</v>
      </c>
      <c r="D879" t="s">
        <v>268</v>
      </c>
      <c r="E879" t="s">
        <v>619</v>
      </c>
      <c r="F879" t="s">
        <v>1537</v>
      </c>
      <c r="G879" t="s">
        <v>4611</v>
      </c>
      <c r="H879" s="121" t="s">
        <v>8734</v>
      </c>
    </row>
    <row r="880" spans="1:8" x14ac:dyDescent="0.25">
      <c r="A880">
        <v>1422239</v>
      </c>
      <c r="B880" s="121" t="s">
        <v>8562</v>
      </c>
      <c r="C880" t="s">
        <v>32</v>
      </c>
      <c r="D880" t="s">
        <v>268</v>
      </c>
      <c r="E880" t="s">
        <v>619</v>
      </c>
      <c r="F880" t="s">
        <v>8735</v>
      </c>
      <c r="G880" t="s">
        <v>8736</v>
      </c>
      <c r="H880" s="121" t="s">
        <v>8737</v>
      </c>
    </row>
    <row r="881" spans="1:8" x14ac:dyDescent="0.25">
      <c r="A881">
        <v>1422240</v>
      </c>
      <c r="B881" s="121" t="s">
        <v>8562</v>
      </c>
      <c r="C881" t="s">
        <v>32</v>
      </c>
      <c r="D881" t="s">
        <v>268</v>
      </c>
      <c r="E881" t="s">
        <v>619</v>
      </c>
      <c r="F881" t="s">
        <v>8738</v>
      </c>
      <c r="G881" t="s">
        <v>4604</v>
      </c>
      <c r="H881" s="121" t="s">
        <v>8739</v>
      </c>
    </row>
    <row r="882" spans="1:8" x14ac:dyDescent="0.25">
      <c r="A882">
        <v>1422449</v>
      </c>
      <c r="B882" s="121" t="s">
        <v>8562</v>
      </c>
      <c r="C882" t="s">
        <v>32</v>
      </c>
      <c r="D882" t="s">
        <v>268</v>
      </c>
      <c r="E882" t="s">
        <v>620</v>
      </c>
      <c r="F882" t="s">
        <v>4617</v>
      </c>
      <c r="G882" t="s">
        <v>4614</v>
      </c>
      <c r="H882" s="121" t="s">
        <v>8740</v>
      </c>
    </row>
    <row r="883" spans="1:8" x14ac:dyDescent="0.25">
      <c r="A883">
        <v>1422451</v>
      </c>
      <c r="B883" s="121" t="s">
        <v>8562</v>
      </c>
      <c r="C883" t="s">
        <v>32</v>
      </c>
      <c r="D883" t="s">
        <v>268</v>
      </c>
      <c r="E883" t="s">
        <v>620</v>
      </c>
      <c r="F883" t="s">
        <v>4615</v>
      </c>
      <c r="G883" t="s">
        <v>1538</v>
      </c>
      <c r="H883" s="121" t="s">
        <v>8741</v>
      </c>
    </row>
    <row r="884" spans="1:8" x14ac:dyDescent="0.25">
      <c r="A884">
        <v>1422452</v>
      </c>
      <c r="B884" s="121" t="s">
        <v>8562</v>
      </c>
      <c r="C884" t="s">
        <v>32</v>
      </c>
      <c r="D884" t="s">
        <v>268</v>
      </c>
      <c r="E884" t="s">
        <v>620</v>
      </c>
      <c r="F884" t="s">
        <v>4618</v>
      </c>
      <c r="G884" t="s">
        <v>1540</v>
      </c>
      <c r="H884" s="121" t="s">
        <v>8742</v>
      </c>
    </row>
    <row r="885" spans="1:8" x14ac:dyDescent="0.25">
      <c r="A885">
        <v>1422456</v>
      </c>
      <c r="B885" s="121" t="s">
        <v>8562</v>
      </c>
      <c r="C885" t="s">
        <v>32</v>
      </c>
      <c r="D885" t="s">
        <v>268</v>
      </c>
      <c r="E885" t="s">
        <v>620</v>
      </c>
      <c r="F885" t="s">
        <v>8743</v>
      </c>
      <c r="G885" t="s">
        <v>8744</v>
      </c>
      <c r="H885" s="121" t="s">
        <v>8745</v>
      </c>
    </row>
    <row r="886" spans="1:8" x14ac:dyDescent="0.25">
      <c r="A886">
        <v>1424831</v>
      </c>
      <c r="B886" s="121" t="s">
        <v>8562</v>
      </c>
      <c r="C886" t="s">
        <v>32</v>
      </c>
      <c r="D886" t="s">
        <v>65</v>
      </c>
      <c r="E886" t="s">
        <v>5397</v>
      </c>
      <c r="F886" t="s">
        <v>5399</v>
      </c>
      <c r="G886" t="s">
        <v>5425</v>
      </c>
      <c r="H886" s="121" t="s">
        <v>8746</v>
      </c>
    </row>
    <row r="887" spans="1:8" x14ac:dyDescent="0.25">
      <c r="A887">
        <v>1424832</v>
      </c>
      <c r="B887" s="121" t="s">
        <v>8562</v>
      </c>
      <c r="C887" t="s">
        <v>32</v>
      </c>
      <c r="D887" t="s">
        <v>65</v>
      </c>
      <c r="E887" t="s">
        <v>5397</v>
      </c>
      <c r="F887" t="s">
        <v>5413</v>
      </c>
      <c r="G887" t="s">
        <v>5407</v>
      </c>
      <c r="H887" s="121" t="s">
        <v>8747</v>
      </c>
    </row>
    <row r="888" spans="1:8" x14ac:dyDescent="0.25">
      <c r="A888">
        <v>1424833</v>
      </c>
      <c r="B888" s="121" t="s">
        <v>8562</v>
      </c>
      <c r="C888" t="s">
        <v>32</v>
      </c>
      <c r="D888" t="s">
        <v>65</v>
      </c>
      <c r="E888" t="s">
        <v>5397</v>
      </c>
      <c r="F888" t="s">
        <v>5398</v>
      </c>
      <c r="G888" t="s">
        <v>5401</v>
      </c>
      <c r="H888" s="121" t="s">
        <v>8748</v>
      </c>
    </row>
    <row r="889" spans="1:8" x14ac:dyDescent="0.25">
      <c r="A889">
        <v>1424834</v>
      </c>
      <c r="B889" s="121" t="s">
        <v>8562</v>
      </c>
      <c r="C889" t="s">
        <v>32</v>
      </c>
      <c r="D889" t="s">
        <v>65</v>
      </c>
      <c r="E889" t="s">
        <v>5397</v>
      </c>
      <c r="F889" t="s">
        <v>5416</v>
      </c>
      <c r="G889" t="s">
        <v>5404</v>
      </c>
      <c r="H889" s="121" t="s">
        <v>8749</v>
      </c>
    </row>
    <row r="890" spans="1:8" x14ac:dyDescent="0.25">
      <c r="A890">
        <v>1424835</v>
      </c>
      <c r="B890" s="121" t="s">
        <v>8562</v>
      </c>
      <c r="C890" t="s">
        <v>32</v>
      </c>
      <c r="D890" t="s">
        <v>65</v>
      </c>
      <c r="E890" t="s">
        <v>5397</v>
      </c>
      <c r="F890" t="s">
        <v>5414</v>
      </c>
      <c r="G890" t="s">
        <v>5405</v>
      </c>
      <c r="H890" s="121" t="s">
        <v>8750</v>
      </c>
    </row>
    <row r="891" spans="1:8" x14ac:dyDescent="0.25">
      <c r="A891">
        <v>1424836</v>
      </c>
      <c r="B891" s="121" t="s">
        <v>8562</v>
      </c>
      <c r="C891" t="s">
        <v>32</v>
      </c>
      <c r="D891" t="s">
        <v>65</v>
      </c>
      <c r="E891" t="s">
        <v>5397</v>
      </c>
      <c r="F891" t="s">
        <v>5423</v>
      </c>
      <c r="G891" t="s">
        <v>5420</v>
      </c>
      <c r="H891" s="121" t="s">
        <v>8751</v>
      </c>
    </row>
    <row r="892" spans="1:8" x14ac:dyDescent="0.25">
      <c r="A892">
        <v>1424837</v>
      </c>
      <c r="B892" s="121" t="s">
        <v>8562</v>
      </c>
      <c r="C892" t="s">
        <v>32</v>
      </c>
      <c r="D892" t="s">
        <v>65</v>
      </c>
      <c r="E892" t="s">
        <v>5397</v>
      </c>
      <c r="F892" t="s">
        <v>5410</v>
      </c>
      <c r="G892" t="s">
        <v>5402</v>
      </c>
      <c r="H892" s="121" t="s">
        <v>8752</v>
      </c>
    </row>
    <row r="893" spans="1:8" x14ac:dyDescent="0.25">
      <c r="A893">
        <v>1424838</v>
      </c>
      <c r="B893" s="121" t="s">
        <v>8562</v>
      </c>
      <c r="C893" t="s">
        <v>32</v>
      </c>
      <c r="D893" t="s">
        <v>65</v>
      </c>
      <c r="E893" t="s">
        <v>5397</v>
      </c>
      <c r="F893" t="s">
        <v>5411</v>
      </c>
      <c r="G893" t="s">
        <v>5426</v>
      </c>
      <c r="H893" s="121" t="s">
        <v>8753</v>
      </c>
    </row>
    <row r="894" spans="1:8" x14ac:dyDescent="0.25">
      <c r="A894">
        <v>1424839</v>
      </c>
      <c r="B894" s="121" t="s">
        <v>8562</v>
      </c>
      <c r="C894" t="s">
        <v>32</v>
      </c>
      <c r="D894" t="s">
        <v>65</v>
      </c>
      <c r="E894" t="s">
        <v>5397</v>
      </c>
      <c r="F894" t="s">
        <v>5417</v>
      </c>
      <c r="G894" t="s">
        <v>5429</v>
      </c>
      <c r="H894" s="121" t="s">
        <v>8754</v>
      </c>
    </row>
    <row r="895" spans="1:8" x14ac:dyDescent="0.25">
      <c r="A895">
        <v>1424840</v>
      </c>
      <c r="B895" s="121" t="s">
        <v>8562</v>
      </c>
      <c r="C895" t="s">
        <v>32</v>
      </c>
      <c r="D895" t="s">
        <v>65</v>
      </c>
      <c r="E895" t="s">
        <v>5397</v>
      </c>
      <c r="F895" t="s">
        <v>5419</v>
      </c>
      <c r="G895" t="s">
        <v>5428</v>
      </c>
      <c r="H895" s="121" t="s">
        <v>8755</v>
      </c>
    </row>
    <row r="896" spans="1:8" x14ac:dyDescent="0.25">
      <c r="A896">
        <v>1424841</v>
      </c>
      <c r="B896" s="121" t="s">
        <v>8562</v>
      </c>
      <c r="C896" t="s">
        <v>32</v>
      </c>
      <c r="D896" t="s">
        <v>65</v>
      </c>
      <c r="E896" t="s">
        <v>5397</v>
      </c>
      <c r="F896" t="s">
        <v>5422</v>
      </c>
      <c r="G896" t="s">
        <v>5408</v>
      </c>
      <c r="H896" s="121" t="s">
        <v>8756</v>
      </c>
    </row>
    <row r="897" spans="1:8" x14ac:dyDescent="0.25">
      <c r="A897">
        <v>1427753</v>
      </c>
      <c r="B897" s="121" t="s">
        <v>8562</v>
      </c>
      <c r="C897" t="s">
        <v>32</v>
      </c>
      <c r="D897" t="s">
        <v>65</v>
      </c>
      <c r="E897" t="s">
        <v>5436</v>
      </c>
      <c r="F897" t="s">
        <v>5449</v>
      </c>
      <c r="G897" t="s">
        <v>5447</v>
      </c>
      <c r="H897" s="121" t="s">
        <v>8757</v>
      </c>
    </row>
    <row r="898" spans="1:8" x14ac:dyDescent="0.25">
      <c r="A898">
        <v>1428124</v>
      </c>
      <c r="B898" s="121" t="s">
        <v>8562</v>
      </c>
      <c r="C898" t="s">
        <v>32</v>
      </c>
      <c r="D898" t="s">
        <v>65</v>
      </c>
      <c r="E898" t="s">
        <v>5436</v>
      </c>
      <c r="F898" t="s">
        <v>5467</v>
      </c>
      <c r="G898" t="s">
        <v>5438</v>
      </c>
      <c r="H898" s="121" t="s">
        <v>8758</v>
      </c>
    </row>
    <row r="899" spans="1:8" x14ac:dyDescent="0.25">
      <c r="A899">
        <v>1428125</v>
      </c>
      <c r="B899" s="121" t="s">
        <v>8562</v>
      </c>
      <c r="C899" t="s">
        <v>32</v>
      </c>
      <c r="D899" t="s">
        <v>65</v>
      </c>
      <c r="E899" t="s">
        <v>5436</v>
      </c>
      <c r="F899" t="s">
        <v>5444</v>
      </c>
      <c r="G899" t="s">
        <v>5452</v>
      </c>
      <c r="H899" s="121" t="s">
        <v>8759</v>
      </c>
    </row>
    <row r="900" spans="1:8" x14ac:dyDescent="0.25">
      <c r="A900">
        <v>1428126</v>
      </c>
      <c r="B900" s="121" t="s">
        <v>8562</v>
      </c>
      <c r="C900" t="s">
        <v>32</v>
      </c>
      <c r="D900" t="s">
        <v>65</v>
      </c>
      <c r="E900" t="s">
        <v>5436</v>
      </c>
      <c r="F900" t="s">
        <v>5440</v>
      </c>
      <c r="G900" t="s">
        <v>5459</v>
      </c>
      <c r="H900" s="121" t="s">
        <v>8760</v>
      </c>
    </row>
    <row r="901" spans="1:8" x14ac:dyDescent="0.25">
      <c r="A901">
        <v>1428128</v>
      </c>
      <c r="B901" s="121" t="s">
        <v>8562</v>
      </c>
      <c r="C901" t="s">
        <v>32</v>
      </c>
      <c r="D901" t="s">
        <v>65</v>
      </c>
      <c r="E901" t="s">
        <v>5436</v>
      </c>
      <c r="F901" t="s">
        <v>5446</v>
      </c>
      <c r="G901" t="s">
        <v>5453</v>
      </c>
      <c r="H901" s="121" t="s">
        <v>8761</v>
      </c>
    </row>
    <row r="902" spans="1:8" x14ac:dyDescent="0.25">
      <c r="A902">
        <v>1428129</v>
      </c>
      <c r="B902" s="121" t="s">
        <v>8562</v>
      </c>
      <c r="C902" t="s">
        <v>32</v>
      </c>
      <c r="D902" t="s">
        <v>65</v>
      </c>
      <c r="E902" t="s">
        <v>5436</v>
      </c>
      <c r="F902" t="s">
        <v>5441</v>
      </c>
      <c r="G902" t="s">
        <v>5458</v>
      </c>
      <c r="H902" s="121" t="s">
        <v>8762</v>
      </c>
    </row>
    <row r="903" spans="1:8" x14ac:dyDescent="0.25">
      <c r="A903">
        <v>1428130</v>
      </c>
      <c r="B903" s="121" t="s">
        <v>8562</v>
      </c>
      <c r="C903" t="s">
        <v>32</v>
      </c>
      <c r="D903" t="s">
        <v>65</v>
      </c>
      <c r="E903" t="s">
        <v>5436</v>
      </c>
      <c r="F903" t="s">
        <v>5437</v>
      </c>
      <c r="G903" t="s">
        <v>5455</v>
      </c>
      <c r="H903" s="121" t="s">
        <v>8763</v>
      </c>
    </row>
    <row r="904" spans="1:8" x14ac:dyDescent="0.25">
      <c r="A904">
        <v>1428131</v>
      </c>
      <c r="B904" s="121" t="s">
        <v>8562</v>
      </c>
      <c r="C904" t="s">
        <v>32</v>
      </c>
      <c r="D904" t="s">
        <v>65</v>
      </c>
      <c r="E904" t="s">
        <v>5436</v>
      </c>
      <c r="F904" t="s">
        <v>5461</v>
      </c>
      <c r="G904" t="s">
        <v>5456</v>
      </c>
      <c r="H904" s="121" t="s">
        <v>8764</v>
      </c>
    </row>
    <row r="905" spans="1:8" x14ac:dyDescent="0.25">
      <c r="A905">
        <v>1428132</v>
      </c>
      <c r="B905" s="121" t="s">
        <v>8562</v>
      </c>
      <c r="C905" t="s">
        <v>32</v>
      </c>
      <c r="D905" t="s">
        <v>65</v>
      </c>
      <c r="E905" t="s">
        <v>5436</v>
      </c>
      <c r="F905" t="s">
        <v>5468</v>
      </c>
      <c r="G905" t="s">
        <v>5465</v>
      </c>
      <c r="H905" s="121" t="s">
        <v>8765</v>
      </c>
    </row>
    <row r="906" spans="1:8" x14ac:dyDescent="0.25">
      <c r="A906">
        <v>1428133</v>
      </c>
      <c r="B906" s="121" t="s">
        <v>8562</v>
      </c>
      <c r="C906" t="s">
        <v>32</v>
      </c>
      <c r="D906" t="s">
        <v>65</v>
      </c>
      <c r="E906" t="s">
        <v>5436</v>
      </c>
      <c r="F906" t="s">
        <v>5443</v>
      </c>
      <c r="G906" t="s">
        <v>5464</v>
      </c>
      <c r="H906" s="121" t="s">
        <v>8766</v>
      </c>
    </row>
    <row r="907" spans="1:8" x14ac:dyDescent="0.25">
      <c r="A907">
        <v>1428134</v>
      </c>
      <c r="B907" s="121" t="s">
        <v>8562</v>
      </c>
      <c r="C907" t="s">
        <v>32</v>
      </c>
      <c r="D907" t="s">
        <v>65</v>
      </c>
      <c r="E907" t="s">
        <v>5436</v>
      </c>
      <c r="F907" t="s">
        <v>5462</v>
      </c>
      <c r="G907" t="s">
        <v>5450</v>
      </c>
      <c r="H907" s="121" t="s">
        <v>8767</v>
      </c>
    </row>
    <row r="908" spans="1:8" x14ac:dyDescent="0.25">
      <c r="A908">
        <v>1428586</v>
      </c>
      <c r="B908" s="121" t="s">
        <v>8562</v>
      </c>
      <c r="C908" t="s">
        <v>32</v>
      </c>
      <c r="D908" t="s">
        <v>65</v>
      </c>
      <c r="E908" t="s">
        <v>5470</v>
      </c>
      <c r="F908" t="s">
        <v>5501</v>
      </c>
      <c r="G908" t="s">
        <v>5472</v>
      </c>
      <c r="H908" s="121" t="s">
        <v>8768</v>
      </c>
    </row>
    <row r="909" spans="1:8" x14ac:dyDescent="0.25">
      <c r="A909">
        <v>1428587</v>
      </c>
      <c r="B909" s="121" t="s">
        <v>8562</v>
      </c>
      <c r="C909" t="s">
        <v>32</v>
      </c>
      <c r="D909" t="s">
        <v>65</v>
      </c>
      <c r="E909" t="s">
        <v>5470</v>
      </c>
      <c r="F909" t="s">
        <v>5478</v>
      </c>
      <c r="G909" t="s">
        <v>5471</v>
      </c>
      <c r="H909" s="121" t="s">
        <v>8769</v>
      </c>
    </row>
    <row r="910" spans="1:8" x14ac:dyDescent="0.25">
      <c r="A910">
        <v>1428588</v>
      </c>
      <c r="B910" s="121" t="s">
        <v>8562</v>
      </c>
      <c r="C910" t="s">
        <v>32</v>
      </c>
      <c r="D910" t="s">
        <v>65</v>
      </c>
      <c r="E910" t="s">
        <v>5470</v>
      </c>
      <c r="F910" t="s">
        <v>5477</v>
      </c>
      <c r="G910" t="s">
        <v>5492</v>
      </c>
      <c r="H910" s="121" t="s">
        <v>8770</v>
      </c>
    </row>
    <row r="911" spans="1:8" x14ac:dyDescent="0.25">
      <c r="A911">
        <v>1428589</v>
      </c>
      <c r="B911" s="121" t="s">
        <v>8562</v>
      </c>
      <c r="C911" t="s">
        <v>32</v>
      </c>
      <c r="D911" t="s">
        <v>65</v>
      </c>
      <c r="E911" t="s">
        <v>5470</v>
      </c>
      <c r="F911" t="s">
        <v>5481</v>
      </c>
      <c r="G911" t="s">
        <v>5484</v>
      </c>
      <c r="H911" s="121" t="s">
        <v>8771</v>
      </c>
    </row>
    <row r="912" spans="1:8" x14ac:dyDescent="0.25">
      <c r="A912">
        <v>1428590</v>
      </c>
      <c r="B912" s="121" t="s">
        <v>8562</v>
      </c>
      <c r="C912" t="s">
        <v>32</v>
      </c>
      <c r="D912" t="s">
        <v>65</v>
      </c>
      <c r="E912" t="s">
        <v>5470</v>
      </c>
      <c r="F912" t="s">
        <v>5502</v>
      </c>
      <c r="G912" t="s">
        <v>5489</v>
      </c>
      <c r="H912" s="121" t="s">
        <v>8772</v>
      </c>
    </row>
    <row r="913" spans="1:8" x14ac:dyDescent="0.25">
      <c r="A913">
        <v>1428591</v>
      </c>
      <c r="B913" s="121" t="s">
        <v>8562</v>
      </c>
      <c r="C913" t="s">
        <v>32</v>
      </c>
      <c r="D913" t="s">
        <v>65</v>
      </c>
      <c r="E913" t="s">
        <v>5470</v>
      </c>
      <c r="F913" t="s">
        <v>5498</v>
      </c>
      <c r="G913" t="s">
        <v>5475</v>
      </c>
      <c r="H913" s="121" t="s">
        <v>8773</v>
      </c>
    </row>
    <row r="914" spans="1:8" x14ac:dyDescent="0.25">
      <c r="A914">
        <v>1428592</v>
      </c>
      <c r="B914" s="121" t="s">
        <v>8562</v>
      </c>
      <c r="C914" t="s">
        <v>32</v>
      </c>
      <c r="D914" t="s">
        <v>65</v>
      </c>
      <c r="E914" t="s">
        <v>5470</v>
      </c>
      <c r="F914" t="s">
        <v>5474</v>
      </c>
      <c r="G914" t="s">
        <v>5483</v>
      </c>
      <c r="H914" s="121" t="s">
        <v>8774</v>
      </c>
    </row>
    <row r="915" spans="1:8" x14ac:dyDescent="0.25">
      <c r="A915">
        <v>1428593</v>
      </c>
      <c r="B915" s="121" t="s">
        <v>8562</v>
      </c>
      <c r="C915" t="s">
        <v>32</v>
      </c>
      <c r="D915" t="s">
        <v>65</v>
      </c>
      <c r="E915" t="s">
        <v>5470</v>
      </c>
      <c r="F915" t="s">
        <v>5486</v>
      </c>
      <c r="G915" t="s">
        <v>5496</v>
      </c>
      <c r="H915" s="121" t="s">
        <v>8775</v>
      </c>
    </row>
    <row r="916" spans="1:8" x14ac:dyDescent="0.25">
      <c r="A916">
        <v>1428594</v>
      </c>
      <c r="B916" s="121" t="s">
        <v>8562</v>
      </c>
      <c r="C916" t="s">
        <v>32</v>
      </c>
      <c r="D916" t="s">
        <v>65</v>
      </c>
      <c r="E916" t="s">
        <v>5470</v>
      </c>
      <c r="F916" t="s">
        <v>5480</v>
      </c>
      <c r="G916" t="s">
        <v>5493</v>
      </c>
      <c r="H916" s="121" t="s">
        <v>8776</v>
      </c>
    </row>
    <row r="917" spans="1:8" x14ac:dyDescent="0.25">
      <c r="A917">
        <v>1428595</v>
      </c>
      <c r="B917" s="121" t="s">
        <v>8562</v>
      </c>
      <c r="C917" t="s">
        <v>32</v>
      </c>
      <c r="D917" t="s">
        <v>65</v>
      </c>
      <c r="E917" t="s">
        <v>5470</v>
      </c>
      <c r="F917" t="s">
        <v>5487</v>
      </c>
      <c r="G917" t="s">
        <v>5495</v>
      </c>
      <c r="H917" s="121" t="s">
        <v>8777</v>
      </c>
    </row>
    <row r="918" spans="1:8" x14ac:dyDescent="0.25">
      <c r="A918">
        <v>1428596</v>
      </c>
      <c r="B918" s="121" t="s">
        <v>8562</v>
      </c>
      <c r="C918" t="s">
        <v>32</v>
      </c>
      <c r="D918" t="s">
        <v>65</v>
      </c>
      <c r="E918" t="s">
        <v>5470</v>
      </c>
      <c r="F918" t="s">
        <v>5499</v>
      </c>
      <c r="G918" t="s">
        <v>5490</v>
      </c>
      <c r="H918" s="121" t="s">
        <v>8778</v>
      </c>
    </row>
    <row r="919" spans="1:8" x14ac:dyDescent="0.25">
      <c r="A919">
        <v>1429009</v>
      </c>
      <c r="B919" s="121" t="s">
        <v>8562</v>
      </c>
      <c r="C919" t="s">
        <v>32</v>
      </c>
      <c r="D919" t="s">
        <v>65</v>
      </c>
      <c r="E919" t="s">
        <v>5504</v>
      </c>
      <c r="F919" t="s">
        <v>5511</v>
      </c>
      <c r="G919" t="s">
        <v>5506</v>
      </c>
      <c r="H919" s="121" t="s">
        <v>8779</v>
      </c>
    </row>
    <row r="920" spans="1:8" x14ac:dyDescent="0.25">
      <c r="A920">
        <v>1429010</v>
      </c>
      <c r="B920" s="121" t="s">
        <v>8562</v>
      </c>
      <c r="C920" t="s">
        <v>32</v>
      </c>
      <c r="D920" t="s">
        <v>65</v>
      </c>
      <c r="E920" t="s">
        <v>5504</v>
      </c>
      <c r="F920" t="s">
        <v>5508</v>
      </c>
      <c r="G920" t="s">
        <v>5514</v>
      </c>
      <c r="H920" s="121" t="s">
        <v>8780</v>
      </c>
    </row>
    <row r="921" spans="1:8" x14ac:dyDescent="0.25">
      <c r="A921">
        <v>1429011</v>
      </c>
      <c r="B921" s="121" t="s">
        <v>8562</v>
      </c>
      <c r="C921" t="s">
        <v>32</v>
      </c>
      <c r="D921" t="s">
        <v>65</v>
      </c>
      <c r="E921" t="s">
        <v>5504</v>
      </c>
      <c r="F921" t="s">
        <v>5512</v>
      </c>
      <c r="G921" t="s">
        <v>5523</v>
      </c>
      <c r="H921" s="121" t="s">
        <v>8781</v>
      </c>
    </row>
    <row r="922" spans="1:8" x14ac:dyDescent="0.25">
      <c r="A922">
        <v>1429012</v>
      </c>
      <c r="B922" s="121" t="s">
        <v>8562</v>
      </c>
      <c r="C922" t="s">
        <v>32</v>
      </c>
      <c r="D922" t="s">
        <v>65</v>
      </c>
      <c r="E922" t="s">
        <v>5504</v>
      </c>
      <c r="F922" t="s">
        <v>5517</v>
      </c>
      <c r="G922" t="s">
        <v>5524</v>
      </c>
      <c r="H922" s="121" t="s">
        <v>8782</v>
      </c>
    </row>
    <row r="923" spans="1:8" x14ac:dyDescent="0.25">
      <c r="A923">
        <v>1429013</v>
      </c>
      <c r="B923" s="121" t="s">
        <v>8562</v>
      </c>
      <c r="C923" t="s">
        <v>32</v>
      </c>
      <c r="D923" t="s">
        <v>65</v>
      </c>
      <c r="E923" t="s">
        <v>5504</v>
      </c>
      <c r="F923" t="s">
        <v>5526</v>
      </c>
      <c r="G923" t="s">
        <v>5515</v>
      </c>
      <c r="H923" s="121" t="s">
        <v>8783</v>
      </c>
    </row>
    <row r="924" spans="1:8" x14ac:dyDescent="0.25">
      <c r="A924">
        <v>1429014</v>
      </c>
      <c r="B924" s="121" t="s">
        <v>8562</v>
      </c>
      <c r="C924" t="s">
        <v>32</v>
      </c>
      <c r="D924" t="s">
        <v>65</v>
      </c>
      <c r="E924" t="s">
        <v>5504</v>
      </c>
      <c r="F924" t="s">
        <v>5518</v>
      </c>
      <c r="G924" t="s">
        <v>5520</v>
      </c>
      <c r="H924" s="121" t="s">
        <v>8784</v>
      </c>
    </row>
    <row r="925" spans="1:8" x14ac:dyDescent="0.25">
      <c r="A925">
        <v>1429015</v>
      </c>
      <c r="B925" s="121" t="s">
        <v>8562</v>
      </c>
      <c r="C925" t="s">
        <v>32</v>
      </c>
      <c r="D925" t="s">
        <v>65</v>
      </c>
      <c r="E925" t="s">
        <v>5504</v>
      </c>
      <c r="F925" t="s">
        <v>5533</v>
      </c>
      <c r="G925" t="s">
        <v>5521</v>
      </c>
      <c r="H925" s="121" t="s">
        <v>8785</v>
      </c>
    </row>
    <row r="926" spans="1:8" x14ac:dyDescent="0.25">
      <c r="A926">
        <v>1429016</v>
      </c>
      <c r="B926" s="121" t="s">
        <v>8562</v>
      </c>
      <c r="C926" t="s">
        <v>32</v>
      </c>
      <c r="D926" t="s">
        <v>65</v>
      </c>
      <c r="E926" t="s">
        <v>5504</v>
      </c>
      <c r="F926" t="s">
        <v>8786</v>
      </c>
      <c r="G926" t="s">
        <v>5530</v>
      </c>
      <c r="H926" s="121" t="s">
        <v>8787</v>
      </c>
    </row>
    <row r="927" spans="1:8" x14ac:dyDescent="0.25">
      <c r="A927">
        <v>1429017</v>
      </c>
      <c r="B927" s="121" t="s">
        <v>8562</v>
      </c>
      <c r="C927" t="s">
        <v>32</v>
      </c>
      <c r="D927" t="s">
        <v>65</v>
      </c>
      <c r="E927" t="s">
        <v>5504</v>
      </c>
      <c r="F927" t="s">
        <v>5505</v>
      </c>
      <c r="G927" t="s">
        <v>5532</v>
      </c>
      <c r="H927" s="121" t="s">
        <v>8788</v>
      </c>
    </row>
    <row r="928" spans="1:8" x14ac:dyDescent="0.25">
      <c r="A928">
        <v>1429018</v>
      </c>
      <c r="B928" s="121" t="s">
        <v>8562</v>
      </c>
      <c r="C928" t="s">
        <v>32</v>
      </c>
      <c r="D928" t="s">
        <v>65</v>
      </c>
      <c r="E928" t="s">
        <v>5504</v>
      </c>
      <c r="F928" t="s">
        <v>5527</v>
      </c>
      <c r="G928" t="s">
        <v>5529</v>
      </c>
      <c r="H928" s="121" t="s">
        <v>8789</v>
      </c>
    </row>
    <row r="929" spans="1:8" x14ac:dyDescent="0.25">
      <c r="A929">
        <v>1430145</v>
      </c>
      <c r="B929" s="121" t="s">
        <v>8562</v>
      </c>
      <c r="C929" t="s">
        <v>32</v>
      </c>
      <c r="D929" t="s">
        <v>80</v>
      </c>
      <c r="E929" t="s">
        <v>607</v>
      </c>
      <c r="F929" t="s">
        <v>5536</v>
      </c>
      <c r="G929" t="s">
        <v>8790</v>
      </c>
      <c r="H929" s="121" t="s">
        <v>8791</v>
      </c>
    </row>
    <row r="930" spans="1:8" x14ac:dyDescent="0.25">
      <c r="A930">
        <v>1430146</v>
      </c>
      <c r="B930" s="121" t="s">
        <v>8562</v>
      </c>
      <c r="C930" t="s">
        <v>32</v>
      </c>
      <c r="D930" t="s">
        <v>80</v>
      </c>
      <c r="E930" t="s">
        <v>607</v>
      </c>
      <c r="F930" t="s">
        <v>5542</v>
      </c>
      <c r="G930" t="s">
        <v>1724</v>
      </c>
      <c r="H930" s="121" t="s">
        <v>8792</v>
      </c>
    </row>
    <row r="931" spans="1:8" x14ac:dyDescent="0.25">
      <c r="A931">
        <v>1430147</v>
      </c>
      <c r="B931" s="121" t="s">
        <v>8562</v>
      </c>
      <c r="C931" t="s">
        <v>32</v>
      </c>
      <c r="D931" t="s">
        <v>80</v>
      </c>
      <c r="E931" t="s">
        <v>607</v>
      </c>
      <c r="F931" t="s">
        <v>5541</v>
      </c>
      <c r="G931" t="s">
        <v>8793</v>
      </c>
      <c r="H931" s="121" t="s">
        <v>8794</v>
      </c>
    </row>
    <row r="932" spans="1:8" x14ac:dyDescent="0.25">
      <c r="A932">
        <v>1430362</v>
      </c>
      <c r="B932" s="121" t="s">
        <v>8562</v>
      </c>
      <c r="C932" t="s">
        <v>32</v>
      </c>
      <c r="D932" t="s">
        <v>80</v>
      </c>
      <c r="E932" t="s">
        <v>628</v>
      </c>
      <c r="F932" t="s">
        <v>8795</v>
      </c>
      <c r="G932" t="s">
        <v>1544</v>
      </c>
      <c r="H932" s="121" t="s">
        <v>8796</v>
      </c>
    </row>
    <row r="933" spans="1:8" x14ac:dyDescent="0.25">
      <c r="A933">
        <v>1430566</v>
      </c>
      <c r="B933" s="121" t="s">
        <v>8562</v>
      </c>
      <c r="C933" t="s">
        <v>32</v>
      </c>
      <c r="D933" t="s">
        <v>80</v>
      </c>
      <c r="E933" t="s">
        <v>629</v>
      </c>
      <c r="F933" t="s">
        <v>1450</v>
      </c>
      <c r="G933" t="s">
        <v>5546</v>
      </c>
      <c r="H933" s="121" t="s">
        <v>8797</v>
      </c>
    </row>
    <row r="934" spans="1:8" x14ac:dyDescent="0.25">
      <c r="A934">
        <v>1430567</v>
      </c>
      <c r="B934" s="121" t="s">
        <v>8562</v>
      </c>
      <c r="C934" t="s">
        <v>32</v>
      </c>
      <c r="D934" t="s">
        <v>80</v>
      </c>
      <c r="E934" t="s">
        <v>629</v>
      </c>
      <c r="F934" t="s">
        <v>4629</v>
      </c>
      <c r="G934" t="s">
        <v>6093</v>
      </c>
      <c r="H934" s="121" t="s">
        <v>8798</v>
      </c>
    </row>
    <row r="935" spans="1:8" x14ac:dyDescent="0.25">
      <c r="A935">
        <v>1430568</v>
      </c>
      <c r="B935" s="121" t="s">
        <v>8562</v>
      </c>
      <c r="C935" t="s">
        <v>32</v>
      </c>
      <c r="D935" t="s">
        <v>80</v>
      </c>
      <c r="E935" t="s">
        <v>629</v>
      </c>
      <c r="F935" t="s">
        <v>8799</v>
      </c>
      <c r="G935" t="s">
        <v>4631</v>
      </c>
      <c r="H935" s="121" t="s">
        <v>8800</v>
      </c>
    </row>
    <row r="936" spans="1:8" x14ac:dyDescent="0.25">
      <c r="A936">
        <v>1430569</v>
      </c>
      <c r="B936" s="121" t="s">
        <v>8562</v>
      </c>
      <c r="C936" t="s">
        <v>32</v>
      </c>
      <c r="D936" t="s">
        <v>80</v>
      </c>
      <c r="E936" t="s">
        <v>629</v>
      </c>
      <c r="F936" t="s">
        <v>5547</v>
      </c>
      <c r="G936" t="s">
        <v>6094</v>
      </c>
      <c r="H936" s="121" t="s">
        <v>8801</v>
      </c>
    </row>
    <row r="937" spans="1:8" x14ac:dyDescent="0.25">
      <c r="A937">
        <v>1430570</v>
      </c>
      <c r="B937" s="121" t="s">
        <v>8562</v>
      </c>
      <c r="C937" t="s">
        <v>32</v>
      </c>
      <c r="D937" t="s">
        <v>80</v>
      </c>
      <c r="E937" t="s">
        <v>629</v>
      </c>
      <c r="F937" t="s">
        <v>8802</v>
      </c>
      <c r="G937" t="s">
        <v>8803</v>
      </c>
      <c r="H937" s="121" t="s">
        <v>8804</v>
      </c>
    </row>
    <row r="938" spans="1:8" x14ac:dyDescent="0.25">
      <c r="A938">
        <v>1435125</v>
      </c>
      <c r="B938" s="121" t="s">
        <v>8562</v>
      </c>
      <c r="C938" t="s">
        <v>32</v>
      </c>
      <c r="D938" t="s">
        <v>65</v>
      </c>
      <c r="E938" t="s">
        <v>4922</v>
      </c>
      <c r="F938" t="s">
        <v>5997</v>
      </c>
      <c r="G938" t="s">
        <v>4927</v>
      </c>
      <c r="H938" s="121" t="s">
        <v>8805</v>
      </c>
    </row>
    <row r="939" spans="1:8" x14ac:dyDescent="0.25">
      <c r="A939">
        <v>1437633</v>
      </c>
      <c r="B939" s="121" t="s">
        <v>8562</v>
      </c>
      <c r="C939" t="s">
        <v>32</v>
      </c>
      <c r="D939" t="s">
        <v>65</v>
      </c>
      <c r="E939" t="s">
        <v>3178</v>
      </c>
      <c r="F939" t="s">
        <v>4634</v>
      </c>
      <c r="G939" t="s">
        <v>3186</v>
      </c>
      <c r="H939" s="121" t="s">
        <v>8806</v>
      </c>
    </row>
    <row r="940" spans="1:8" x14ac:dyDescent="0.25">
      <c r="A940">
        <v>1442987</v>
      </c>
      <c r="B940" s="121" t="s">
        <v>8562</v>
      </c>
      <c r="C940" t="s">
        <v>32</v>
      </c>
      <c r="D940" t="s">
        <v>65</v>
      </c>
      <c r="E940" t="s">
        <v>5554</v>
      </c>
      <c r="F940" t="s">
        <v>5561</v>
      </c>
      <c r="G940" t="s">
        <v>5576</v>
      </c>
      <c r="H940" s="121" t="s">
        <v>8807</v>
      </c>
    </row>
    <row r="941" spans="1:8" x14ac:dyDescent="0.25">
      <c r="A941">
        <v>1442988</v>
      </c>
      <c r="B941" s="121" t="s">
        <v>8562</v>
      </c>
      <c r="C941" t="s">
        <v>32</v>
      </c>
      <c r="D941" t="s">
        <v>65</v>
      </c>
      <c r="E941" t="s">
        <v>5554</v>
      </c>
      <c r="F941" t="s">
        <v>5555</v>
      </c>
      <c r="G941" t="s">
        <v>5577</v>
      </c>
      <c r="H941" s="121" t="s">
        <v>8808</v>
      </c>
    </row>
    <row r="942" spans="1:8" x14ac:dyDescent="0.25">
      <c r="A942">
        <v>1442989</v>
      </c>
      <c r="B942" s="121" t="s">
        <v>8562</v>
      </c>
      <c r="C942" t="s">
        <v>32</v>
      </c>
      <c r="D942" t="s">
        <v>65</v>
      </c>
      <c r="E942" t="s">
        <v>5554</v>
      </c>
      <c r="F942" t="s">
        <v>5558</v>
      </c>
      <c r="G942" t="s">
        <v>5571</v>
      </c>
      <c r="H942" s="121" t="s">
        <v>8809</v>
      </c>
    </row>
    <row r="943" spans="1:8" x14ac:dyDescent="0.25">
      <c r="A943">
        <v>1442990</v>
      </c>
      <c r="B943" s="121" t="s">
        <v>8562</v>
      </c>
      <c r="C943" t="s">
        <v>32</v>
      </c>
      <c r="D943" t="s">
        <v>65</v>
      </c>
      <c r="E943" t="s">
        <v>5554</v>
      </c>
      <c r="F943" t="s">
        <v>5564</v>
      </c>
      <c r="G943" t="s">
        <v>5567</v>
      </c>
      <c r="H943" s="121" t="s">
        <v>8810</v>
      </c>
    </row>
    <row r="944" spans="1:8" x14ac:dyDescent="0.25">
      <c r="A944">
        <v>1442991</v>
      </c>
      <c r="B944" s="121" t="s">
        <v>8562</v>
      </c>
      <c r="C944" t="s">
        <v>32</v>
      </c>
      <c r="D944" t="s">
        <v>65</v>
      </c>
      <c r="E944" t="s">
        <v>5554</v>
      </c>
      <c r="F944" t="s">
        <v>5556</v>
      </c>
      <c r="G944" t="s">
        <v>5583</v>
      </c>
      <c r="H944" s="121" t="s">
        <v>8811</v>
      </c>
    </row>
    <row r="945" spans="1:8" x14ac:dyDescent="0.25">
      <c r="A945">
        <v>1442992</v>
      </c>
      <c r="B945" s="121" t="s">
        <v>8562</v>
      </c>
      <c r="C945" t="s">
        <v>32</v>
      </c>
      <c r="D945" t="s">
        <v>65</v>
      </c>
      <c r="E945" t="s">
        <v>5554</v>
      </c>
      <c r="F945" t="s">
        <v>5573</v>
      </c>
      <c r="G945" t="s">
        <v>5580</v>
      </c>
      <c r="H945" s="121" t="s">
        <v>8812</v>
      </c>
    </row>
    <row r="946" spans="1:8" x14ac:dyDescent="0.25">
      <c r="A946">
        <v>1442993</v>
      </c>
      <c r="B946" s="121" t="s">
        <v>8562</v>
      </c>
      <c r="C946" t="s">
        <v>32</v>
      </c>
      <c r="D946" t="s">
        <v>65</v>
      </c>
      <c r="E946" t="s">
        <v>5554</v>
      </c>
      <c r="F946" t="s">
        <v>5574</v>
      </c>
      <c r="G946" t="s">
        <v>5570</v>
      </c>
      <c r="H946" s="121" t="s">
        <v>8813</v>
      </c>
    </row>
    <row r="947" spans="1:8" x14ac:dyDescent="0.25">
      <c r="A947">
        <v>1442994</v>
      </c>
      <c r="B947" s="121" t="s">
        <v>8562</v>
      </c>
      <c r="C947" t="s">
        <v>32</v>
      </c>
      <c r="D947" t="s">
        <v>65</v>
      </c>
      <c r="E947" t="s">
        <v>5554</v>
      </c>
      <c r="F947" t="s">
        <v>5568</v>
      </c>
      <c r="G947" t="s">
        <v>5565</v>
      </c>
      <c r="H947" s="121" t="s">
        <v>8814</v>
      </c>
    </row>
    <row r="948" spans="1:8" x14ac:dyDescent="0.25">
      <c r="A948">
        <v>1442995</v>
      </c>
      <c r="B948" s="121" t="s">
        <v>8562</v>
      </c>
      <c r="C948" t="s">
        <v>32</v>
      </c>
      <c r="D948" t="s">
        <v>65</v>
      </c>
      <c r="E948" t="s">
        <v>5554</v>
      </c>
      <c r="F948" t="s">
        <v>5586</v>
      </c>
      <c r="G948" t="s">
        <v>5582</v>
      </c>
      <c r="H948" s="121" t="s">
        <v>8815</v>
      </c>
    </row>
    <row r="949" spans="1:8" x14ac:dyDescent="0.25">
      <c r="A949">
        <v>1442996</v>
      </c>
      <c r="B949" s="121" t="s">
        <v>8562</v>
      </c>
      <c r="C949" t="s">
        <v>32</v>
      </c>
      <c r="D949" t="s">
        <v>65</v>
      </c>
      <c r="E949" t="s">
        <v>5554</v>
      </c>
      <c r="F949" t="s">
        <v>5559</v>
      </c>
      <c r="G949" t="s">
        <v>5579</v>
      </c>
      <c r="H949" s="121" t="s">
        <v>8816</v>
      </c>
    </row>
    <row r="950" spans="1:8" x14ac:dyDescent="0.25">
      <c r="A950">
        <v>1442997</v>
      </c>
      <c r="B950" s="121" t="s">
        <v>8562</v>
      </c>
      <c r="C950" t="s">
        <v>32</v>
      </c>
      <c r="D950" t="s">
        <v>65</v>
      </c>
      <c r="E950" t="s">
        <v>5554</v>
      </c>
      <c r="F950" t="s">
        <v>5585</v>
      </c>
      <c r="G950" t="s">
        <v>5562</v>
      </c>
      <c r="H950" s="121" t="s">
        <v>8817</v>
      </c>
    </row>
    <row r="951" spans="1:8" x14ac:dyDescent="0.25">
      <c r="A951">
        <v>1443449</v>
      </c>
      <c r="B951" s="121" t="s">
        <v>8562</v>
      </c>
      <c r="C951" t="s">
        <v>32</v>
      </c>
      <c r="D951" t="s">
        <v>65</v>
      </c>
      <c r="E951" t="s">
        <v>5588</v>
      </c>
      <c r="F951" t="s">
        <v>5590</v>
      </c>
      <c r="G951" t="s">
        <v>5617</v>
      </c>
      <c r="H951" s="121" t="s">
        <v>8818</v>
      </c>
    </row>
    <row r="952" spans="1:8" x14ac:dyDescent="0.25">
      <c r="A952">
        <v>1443450</v>
      </c>
      <c r="B952" s="121" t="s">
        <v>8562</v>
      </c>
      <c r="C952" t="s">
        <v>32</v>
      </c>
      <c r="D952" t="s">
        <v>65</v>
      </c>
      <c r="E952" t="s">
        <v>5588</v>
      </c>
      <c r="F952" t="s">
        <v>5614</v>
      </c>
      <c r="G952" t="s">
        <v>5593</v>
      </c>
      <c r="H952" s="121" t="s">
        <v>8819</v>
      </c>
    </row>
    <row r="953" spans="1:8" x14ac:dyDescent="0.25">
      <c r="A953">
        <v>1443451</v>
      </c>
      <c r="B953" s="121" t="s">
        <v>8562</v>
      </c>
      <c r="C953" t="s">
        <v>32</v>
      </c>
      <c r="D953" t="s">
        <v>65</v>
      </c>
      <c r="E953" t="s">
        <v>5588</v>
      </c>
      <c r="F953" t="s">
        <v>5596</v>
      </c>
      <c r="G953" t="s">
        <v>5592</v>
      </c>
      <c r="H953" s="121" t="s">
        <v>8820</v>
      </c>
    </row>
    <row r="954" spans="1:8" x14ac:dyDescent="0.25">
      <c r="A954">
        <v>1443452</v>
      </c>
      <c r="B954" s="121" t="s">
        <v>8562</v>
      </c>
      <c r="C954" t="s">
        <v>32</v>
      </c>
      <c r="D954" t="s">
        <v>65</v>
      </c>
      <c r="E954" t="s">
        <v>5588</v>
      </c>
      <c r="F954" t="s">
        <v>5610</v>
      </c>
      <c r="G954" t="s">
        <v>5598</v>
      </c>
      <c r="H954" s="121" t="s">
        <v>8821</v>
      </c>
    </row>
    <row r="955" spans="1:8" x14ac:dyDescent="0.25">
      <c r="A955">
        <v>1443453</v>
      </c>
      <c r="B955" s="121" t="s">
        <v>8562</v>
      </c>
      <c r="C955" t="s">
        <v>32</v>
      </c>
      <c r="D955" t="s">
        <v>65</v>
      </c>
      <c r="E955" t="s">
        <v>5588</v>
      </c>
      <c r="F955" t="s">
        <v>5607</v>
      </c>
      <c r="G955" t="s">
        <v>5599</v>
      </c>
      <c r="H955" s="121" t="s">
        <v>8822</v>
      </c>
    </row>
    <row r="956" spans="1:8" x14ac:dyDescent="0.25">
      <c r="A956">
        <v>1443454</v>
      </c>
      <c r="B956" s="121" t="s">
        <v>8562</v>
      </c>
      <c r="C956" t="s">
        <v>32</v>
      </c>
      <c r="D956" t="s">
        <v>65</v>
      </c>
      <c r="E956" t="s">
        <v>5588</v>
      </c>
      <c r="F956" t="s">
        <v>5608</v>
      </c>
      <c r="G956" t="s">
        <v>5605</v>
      </c>
      <c r="H956" s="121" t="s">
        <v>8823</v>
      </c>
    </row>
    <row r="957" spans="1:8" x14ac:dyDescent="0.25">
      <c r="A957">
        <v>1443455</v>
      </c>
      <c r="B957" s="121" t="s">
        <v>8562</v>
      </c>
      <c r="C957" t="s">
        <v>32</v>
      </c>
      <c r="D957" t="s">
        <v>65</v>
      </c>
      <c r="E957" t="s">
        <v>5588</v>
      </c>
      <c r="F957" t="s">
        <v>5613</v>
      </c>
      <c r="G957" t="s">
        <v>5602</v>
      </c>
      <c r="H957" s="121" t="s">
        <v>8824</v>
      </c>
    </row>
    <row r="958" spans="1:8" x14ac:dyDescent="0.25">
      <c r="A958">
        <v>1443456</v>
      </c>
      <c r="B958" s="121" t="s">
        <v>8562</v>
      </c>
      <c r="C958" t="s">
        <v>32</v>
      </c>
      <c r="D958" t="s">
        <v>65</v>
      </c>
      <c r="E958" t="s">
        <v>5588</v>
      </c>
      <c r="F958" t="s">
        <v>5604</v>
      </c>
      <c r="G958" t="s">
        <v>5601</v>
      </c>
      <c r="H958" s="121" t="s">
        <v>8825</v>
      </c>
    </row>
    <row r="959" spans="1:8" x14ac:dyDescent="0.25">
      <c r="A959">
        <v>1443457</v>
      </c>
      <c r="B959" s="121" t="s">
        <v>8562</v>
      </c>
      <c r="C959" t="s">
        <v>32</v>
      </c>
      <c r="D959" t="s">
        <v>65</v>
      </c>
      <c r="E959" t="s">
        <v>5588</v>
      </c>
      <c r="F959" t="s">
        <v>5595</v>
      </c>
      <c r="G959" t="s">
        <v>5620</v>
      </c>
      <c r="H959" s="121" t="s">
        <v>8826</v>
      </c>
    </row>
    <row r="960" spans="1:8" x14ac:dyDescent="0.25">
      <c r="A960">
        <v>1443458</v>
      </c>
      <c r="B960" s="121" t="s">
        <v>8562</v>
      </c>
      <c r="C960" t="s">
        <v>32</v>
      </c>
      <c r="D960" t="s">
        <v>65</v>
      </c>
      <c r="E960" t="s">
        <v>5588</v>
      </c>
      <c r="F960" t="s">
        <v>5589</v>
      </c>
      <c r="G960" t="s">
        <v>5616</v>
      </c>
      <c r="H960" s="121" t="s">
        <v>8827</v>
      </c>
    </row>
    <row r="961" spans="1:8" x14ac:dyDescent="0.25">
      <c r="A961">
        <v>1443459</v>
      </c>
      <c r="B961" s="121" t="s">
        <v>8562</v>
      </c>
      <c r="C961" t="s">
        <v>32</v>
      </c>
      <c r="D961" t="s">
        <v>65</v>
      </c>
      <c r="E961" t="s">
        <v>5588</v>
      </c>
      <c r="F961" t="s">
        <v>5619</v>
      </c>
      <c r="G961" t="s">
        <v>5611</v>
      </c>
      <c r="H961" s="121" t="s">
        <v>8828</v>
      </c>
    </row>
    <row r="962" spans="1:8" x14ac:dyDescent="0.25">
      <c r="A962">
        <v>1444370</v>
      </c>
      <c r="B962" s="121" t="s">
        <v>8562</v>
      </c>
      <c r="C962" t="s">
        <v>32</v>
      </c>
      <c r="D962" t="s">
        <v>65</v>
      </c>
      <c r="E962" t="s">
        <v>5653</v>
      </c>
      <c r="F962" t="s">
        <v>5669</v>
      </c>
      <c r="G962" t="s">
        <v>5655</v>
      </c>
      <c r="H962" s="121" t="s">
        <v>8829</v>
      </c>
    </row>
    <row r="963" spans="1:8" x14ac:dyDescent="0.25">
      <c r="A963">
        <v>1444371</v>
      </c>
      <c r="B963" s="121" t="s">
        <v>8562</v>
      </c>
      <c r="C963" t="s">
        <v>32</v>
      </c>
      <c r="D963" t="s">
        <v>65</v>
      </c>
      <c r="E963" t="s">
        <v>5653</v>
      </c>
      <c r="F963" t="s">
        <v>5664</v>
      </c>
      <c r="G963" t="s">
        <v>5660</v>
      </c>
      <c r="H963" s="121" t="s">
        <v>8830</v>
      </c>
    </row>
    <row r="964" spans="1:8" x14ac:dyDescent="0.25">
      <c r="A964">
        <v>1444372</v>
      </c>
      <c r="B964" s="121" t="s">
        <v>8562</v>
      </c>
      <c r="C964" t="s">
        <v>32</v>
      </c>
      <c r="D964" t="s">
        <v>65</v>
      </c>
      <c r="E964" t="s">
        <v>5653</v>
      </c>
      <c r="F964" t="s">
        <v>5684</v>
      </c>
      <c r="G964" t="s">
        <v>5654</v>
      </c>
      <c r="H964" s="121" t="s">
        <v>8831</v>
      </c>
    </row>
    <row r="965" spans="1:8" x14ac:dyDescent="0.25">
      <c r="A965">
        <v>1444373</v>
      </c>
      <c r="B965" s="121" t="s">
        <v>8562</v>
      </c>
      <c r="C965" t="s">
        <v>32</v>
      </c>
      <c r="D965" t="s">
        <v>65</v>
      </c>
      <c r="E965" t="s">
        <v>5653</v>
      </c>
      <c r="F965" t="s">
        <v>5682</v>
      </c>
      <c r="G965" t="s">
        <v>5657</v>
      </c>
      <c r="H965" s="121" t="s">
        <v>8832</v>
      </c>
    </row>
    <row r="966" spans="1:8" x14ac:dyDescent="0.25">
      <c r="A966">
        <v>1444374</v>
      </c>
      <c r="B966" s="121" t="s">
        <v>8562</v>
      </c>
      <c r="C966" t="s">
        <v>32</v>
      </c>
      <c r="D966" t="s">
        <v>65</v>
      </c>
      <c r="E966" t="s">
        <v>5653</v>
      </c>
      <c r="F966" t="s">
        <v>5663</v>
      </c>
      <c r="G966" t="s">
        <v>5666</v>
      </c>
      <c r="H966" s="121" t="s">
        <v>8833</v>
      </c>
    </row>
    <row r="967" spans="1:8" x14ac:dyDescent="0.25">
      <c r="A967">
        <v>1444375</v>
      </c>
      <c r="B967" s="121" t="s">
        <v>8562</v>
      </c>
      <c r="C967" t="s">
        <v>32</v>
      </c>
      <c r="D967" t="s">
        <v>65</v>
      </c>
      <c r="E967" t="s">
        <v>5653</v>
      </c>
      <c r="F967" t="s">
        <v>5670</v>
      </c>
      <c r="G967" t="s">
        <v>5676</v>
      </c>
      <c r="H967" s="121" t="s">
        <v>8834</v>
      </c>
    </row>
    <row r="968" spans="1:8" x14ac:dyDescent="0.25">
      <c r="A968">
        <v>1444376</v>
      </c>
      <c r="B968" s="121" t="s">
        <v>8562</v>
      </c>
      <c r="C968" t="s">
        <v>32</v>
      </c>
      <c r="D968" t="s">
        <v>65</v>
      </c>
      <c r="E968" t="s">
        <v>5653</v>
      </c>
      <c r="F968" t="s">
        <v>5661</v>
      </c>
      <c r="G968" t="s">
        <v>5667</v>
      </c>
      <c r="H968" s="121" t="s">
        <v>8835</v>
      </c>
    </row>
    <row r="969" spans="1:8" x14ac:dyDescent="0.25">
      <c r="A969">
        <v>1444377</v>
      </c>
      <c r="B969" s="121" t="s">
        <v>8562</v>
      </c>
      <c r="C969" t="s">
        <v>32</v>
      </c>
      <c r="D969" t="s">
        <v>65</v>
      </c>
      <c r="E969" t="s">
        <v>5653</v>
      </c>
      <c r="F969" t="s">
        <v>5672</v>
      </c>
      <c r="G969" t="s">
        <v>5678</v>
      </c>
      <c r="H969" s="121" t="s">
        <v>8836</v>
      </c>
    </row>
    <row r="970" spans="1:8" x14ac:dyDescent="0.25">
      <c r="A970">
        <v>1444378</v>
      </c>
      <c r="B970" s="121" t="s">
        <v>8562</v>
      </c>
      <c r="C970" t="s">
        <v>32</v>
      </c>
      <c r="D970" t="s">
        <v>65</v>
      </c>
      <c r="E970" t="s">
        <v>5653</v>
      </c>
      <c r="F970" t="s">
        <v>5681</v>
      </c>
      <c r="G970" t="s">
        <v>5673</v>
      </c>
      <c r="H970" s="121" t="s">
        <v>8837</v>
      </c>
    </row>
    <row r="971" spans="1:8" x14ac:dyDescent="0.25">
      <c r="A971">
        <v>1444379</v>
      </c>
      <c r="B971" s="121" t="s">
        <v>8562</v>
      </c>
      <c r="C971" t="s">
        <v>32</v>
      </c>
      <c r="D971" t="s">
        <v>65</v>
      </c>
      <c r="E971" t="s">
        <v>5653</v>
      </c>
      <c r="F971" t="s">
        <v>5679</v>
      </c>
      <c r="G971" t="s">
        <v>5675</v>
      </c>
      <c r="H971" s="121" t="s">
        <v>8838</v>
      </c>
    </row>
    <row r="972" spans="1:8" x14ac:dyDescent="0.25">
      <c r="A972">
        <v>1444439</v>
      </c>
      <c r="B972" s="121" t="s">
        <v>8562</v>
      </c>
      <c r="C972" t="s">
        <v>32</v>
      </c>
      <c r="D972" t="s">
        <v>65</v>
      </c>
      <c r="E972" t="s">
        <v>5653</v>
      </c>
      <c r="F972" t="s">
        <v>5685</v>
      </c>
      <c r="G972" t="s">
        <v>5658</v>
      </c>
      <c r="H972" s="121" t="s">
        <v>8839</v>
      </c>
    </row>
    <row r="973" spans="1:8" x14ac:dyDescent="0.25">
      <c r="A973">
        <v>1445240</v>
      </c>
      <c r="B973" s="121" t="s">
        <v>8562</v>
      </c>
      <c r="C973" t="s">
        <v>32</v>
      </c>
      <c r="D973" t="s">
        <v>63</v>
      </c>
      <c r="E973" t="s">
        <v>623</v>
      </c>
      <c r="F973" t="s">
        <v>4283</v>
      </c>
      <c r="G973" t="s">
        <v>4280</v>
      </c>
      <c r="H973" s="121" t="s">
        <v>8840</v>
      </c>
    </row>
    <row r="974" spans="1:8" x14ac:dyDescent="0.25">
      <c r="A974">
        <v>1445241</v>
      </c>
      <c r="B974" s="121" t="s">
        <v>8562</v>
      </c>
      <c r="C974" t="s">
        <v>32</v>
      </c>
      <c r="D974" t="s">
        <v>63</v>
      </c>
      <c r="E974" t="s">
        <v>623</v>
      </c>
      <c r="F974" t="s">
        <v>4286</v>
      </c>
      <c r="G974" t="s">
        <v>4293</v>
      </c>
      <c r="H974" s="121" t="s">
        <v>8841</v>
      </c>
    </row>
    <row r="975" spans="1:8" x14ac:dyDescent="0.25">
      <c r="A975">
        <v>1445242</v>
      </c>
      <c r="B975" s="121" t="s">
        <v>8562</v>
      </c>
      <c r="C975" t="s">
        <v>32</v>
      </c>
      <c r="D975" t="s">
        <v>63</v>
      </c>
      <c r="E975" t="s">
        <v>623</v>
      </c>
      <c r="F975" t="s">
        <v>4294</v>
      </c>
      <c r="G975" t="s">
        <v>4291</v>
      </c>
      <c r="H975" s="121" t="s">
        <v>8842</v>
      </c>
    </row>
    <row r="976" spans="1:8" x14ac:dyDescent="0.25">
      <c r="A976">
        <v>1445243</v>
      </c>
      <c r="B976" s="121" t="s">
        <v>8562</v>
      </c>
      <c r="C976" t="s">
        <v>32</v>
      </c>
      <c r="D976" t="s">
        <v>63</v>
      </c>
      <c r="E976" t="s">
        <v>623</v>
      </c>
      <c r="F976" t="s">
        <v>4285</v>
      </c>
      <c r="G976" t="s">
        <v>4290</v>
      </c>
      <c r="H976" s="121" t="s">
        <v>8843</v>
      </c>
    </row>
    <row r="977" spans="1:8" x14ac:dyDescent="0.25">
      <c r="A977">
        <v>1445244</v>
      </c>
      <c r="B977" s="121" t="s">
        <v>8562</v>
      </c>
      <c r="C977" t="s">
        <v>32</v>
      </c>
      <c r="D977" t="s">
        <v>63</v>
      </c>
      <c r="E977" t="s">
        <v>623</v>
      </c>
      <c r="F977" t="s">
        <v>1562</v>
      </c>
      <c r="G977" t="s">
        <v>4281</v>
      </c>
      <c r="H977" s="121" t="s">
        <v>8844</v>
      </c>
    </row>
    <row r="978" spans="1:8" x14ac:dyDescent="0.25">
      <c r="A978">
        <v>1445247</v>
      </c>
      <c r="B978" s="121" t="s">
        <v>8562</v>
      </c>
      <c r="C978" t="s">
        <v>32</v>
      </c>
      <c r="D978" t="s">
        <v>63</v>
      </c>
      <c r="E978" t="s">
        <v>623</v>
      </c>
      <c r="F978" t="s">
        <v>4365</v>
      </c>
      <c r="G978" t="s">
        <v>1561</v>
      </c>
      <c r="H978" s="121" t="s">
        <v>8845</v>
      </c>
    </row>
    <row r="979" spans="1:8" x14ac:dyDescent="0.25">
      <c r="A979">
        <v>1445926</v>
      </c>
      <c r="B979" s="121" t="s">
        <v>8562</v>
      </c>
      <c r="C979" t="s">
        <v>32</v>
      </c>
      <c r="D979" t="s">
        <v>66</v>
      </c>
      <c r="E979" t="s">
        <v>582</v>
      </c>
      <c r="F979" t="s">
        <v>8215</v>
      </c>
      <c r="G979" t="s">
        <v>499</v>
      </c>
      <c r="H979" s="121" t="s">
        <v>8846</v>
      </c>
    </row>
    <row r="980" spans="1:8" x14ac:dyDescent="0.25">
      <c r="A980">
        <v>1449518</v>
      </c>
      <c r="B980" s="121" t="s">
        <v>8562</v>
      </c>
      <c r="C980" t="s">
        <v>32</v>
      </c>
      <c r="D980" t="s">
        <v>64</v>
      </c>
      <c r="E980" t="s">
        <v>3448</v>
      </c>
      <c r="F980" t="s">
        <v>8847</v>
      </c>
      <c r="G980" t="s">
        <v>4312</v>
      </c>
      <c r="H980" s="121" t="s">
        <v>8848</v>
      </c>
    </row>
    <row r="981" spans="1:8" x14ac:dyDescent="0.25">
      <c r="A981">
        <v>1449519</v>
      </c>
      <c r="B981" s="121" t="s">
        <v>8562</v>
      </c>
      <c r="C981" t="s">
        <v>32</v>
      </c>
      <c r="D981" t="s">
        <v>64</v>
      </c>
      <c r="E981" t="s">
        <v>3448</v>
      </c>
      <c r="F981" t="s">
        <v>3450</v>
      </c>
      <c r="G981" t="s">
        <v>8849</v>
      </c>
      <c r="H981" s="121" t="s">
        <v>8850</v>
      </c>
    </row>
    <row r="982" spans="1:8" x14ac:dyDescent="0.25">
      <c r="A982">
        <v>1449522</v>
      </c>
      <c r="B982" s="121" t="s">
        <v>8562</v>
      </c>
      <c r="C982" t="s">
        <v>32</v>
      </c>
      <c r="D982" t="s">
        <v>64</v>
      </c>
      <c r="E982" t="s">
        <v>3448</v>
      </c>
      <c r="F982" t="s">
        <v>4316</v>
      </c>
      <c r="G982" t="s">
        <v>4309</v>
      </c>
      <c r="H982" s="121" t="s">
        <v>8851</v>
      </c>
    </row>
    <row r="983" spans="1:8" x14ac:dyDescent="0.25">
      <c r="A983">
        <v>1449523</v>
      </c>
      <c r="B983" s="121" t="s">
        <v>8562</v>
      </c>
      <c r="C983" t="s">
        <v>32</v>
      </c>
      <c r="D983" t="s">
        <v>64</v>
      </c>
      <c r="E983" t="s">
        <v>3448</v>
      </c>
      <c r="F983" t="s">
        <v>3449</v>
      </c>
      <c r="G983" t="s">
        <v>8852</v>
      </c>
      <c r="H983" s="121" t="s">
        <v>8853</v>
      </c>
    </row>
    <row r="984" spans="1:8" x14ac:dyDescent="0.25">
      <c r="A984">
        <v>1449524</v>
      </c>
      <c r="B984" s="121" t="s">
        <v>8562</v>
      </c>
      <c r="C984" t="s">
        <v>32</v>
      </c>
      <c r="D984" t="s">
        <v>64</v>
      </c>
      <c r="E984" t="s">
        <v>3448</v>
      </c>
      <c r="F984" t="s">
        <v>4319</v>
      </c>
      <c r="G984" t="s">
        <v>4315</v>
      </c>
      <c r="H984" s="121" t="s">
        <v>8854</v>
      </c>
    </row>
    <row r="985" spans="1:8" x14ac:dyDescent="0.25">
      <c r="A985">
        <v>1450791</v>
      </c>
      <c r="B985" s="121" t="s">
        <v>8562</v>
      </c>
      <c r="C985" t="s">
        <v>32</v>
      </c>
      <c r="D985" t="s">
        <v>71</v>
      </c>
      <c r="E985" t="s">
        <v>676</v>
      </c>
      <c r="F985" t="s">
        <v>1567</v>
      </c>
      <c r="G985" t="s">
        <v>8855</v>
      </c>
      <c r="H985" s="121" t="s">
        <v>8856</v>
      </c>
    </row>
    <row r="986" spans="1:8" x14ac:dyDescent="0.25">
      <c r="A986">
        <v>1459079</v>
      </c>
      <c r="B986" s="121" t="s">
        <v>8562</v>
      </c>
      <c r="C986" t="s">
        <v>32</v>
      </c>
      <c r="D986" t="s">
        <v>40</v>
      </c>
      <c r="E986" t="s">
        <v>639</v>
      </c>
      <c r="F986" t="s">
        <v>6435</v>
      </c>
      <c r="G986" t="s">
        <v>8857</v>
      </c>
      <c r="H986" s="121" t="s">
        <v>8858</v>
      </c>
    </row>
    <row r="987" spans="1:8" x14ac:dyDescent="0.25">
      <c r="A987">
        <v>1460066</v>
      </c>
      <c r="B987" s="121" t="s">
        <v>8562</v>
      </c>
      <c r="C987" t="s">
        <v>32</v>
      </c>
      <c r="D987" t="s">
        <v>40</v>
      </c>
      <c r="E987" t="s">
        <v>1005</v>
      </c>
      <c r="F987" t="s">
        <v>2298</v>
      </c>
      <c r="G987" t="s">
        <v>1252</v>
      </c>
      <c r="H987" s="121" t="s">
        <v>8859</v>
      </c>
    </row>
    <row r="988" spans="1:8" x14ac:dyDescent="0.25">
      <c r="A988">
        <v>1460371</v>
      </c>
      <c r="B988" s="121" t="s">
        <v>8562</v>
      </c>
      <c r="C988" t="s">
        <v>32</v>
      </c>
      <c r="D988" t="s">
        <v>40</v>
      </c>
      <c r="E988" t="s">
        <v>647</v>
      </c>
      <c r="F988" t="s">
        <v>8860</v>
      </c>
      <c r="G988" t="s">
        <v>6120</v>
      </c>
      <c r="H988" s="121" t="s">
        <v>8861</v>
      </c>
    </row>
    <row r="989" spans="1:8" x14ac:dyDescent="0.25">
      <c r="A989">
        <v>1460671</v>
      </c>
      <c r="B989" s="121" t="s">
        <v>8562</v>
      </c>
      <c r="C989" t="s">
        <v>32</v>
      </c>
      <c r="D989" t="s">
        <v>40</v>
      </c>
      <c r="E989" t="s">
        <v>678</v>
      </c>
      <c r="F989" t="s">
        <v>1256</v>
      </c>
      <c r="G989" t="s">
        <v>8862</v>
      </c>
      <c r="H989" s="121" t="s">
        <v>8863</v>
      </c>
    </row>
    <row r="990" spans="1:8" x14ac:dyDescent="0.25">
      <c r="A990">
        <v>1461286</v>
      </c>
      <c r="B990" s="121" t="s">
        <v>8562</v>
      </c>
      <c r="C990" t="s">
        <v>32</v>
      </c>
      <c r="D990" t="s">
        <v>40</v>
      </c>
      <c r="E990" t="s">
        <v>648</v>
      </c>
      <c r="F990" t="s">
        <v>8864</v>
      </c>
      <c r="G990" t="s">
        <v>1019</v>
      </c>
      <c r="H990" s="121" t="s">
        <v>8865</v>
      </c>
    </row>
    <row r="991" spans="1:8" x14ac:dyDescent="0.25">
      <c r="A991">
        <v>1461290</v>
      </c>
      <c r="B991" s="121" t="s">
        <v>8562</v>
      </c>
      <c r="C991" t="s">
        <v>32</v>
      </c>
      <c r="D991" t="s">
        <v>40</v>
      </c>
      <c r="E991" t="s">
        <v>648</v>
      </c>
      <c r="F991" t="s">
        <v>5692</v>
      </c>
      <c r="G991" t="s">
        <v>8866</v>
      </c>
      <c r="H991" s="121" t="s">
        <v>8867</v>
      </c>
    </row>
    <row r="992" spans="1:8" x14ac:dyDescent="0.25">
      <c r="A992">
        <v>1461896</v>
      </c>
      <c r="B992" s="121" t="s">
        <v>8562</v>
      </c>
      <c r="C992" t="s">
        <v>32</v>
      </c>
      <c r="D992" t="s">
        <v>40</v>
      </c>
      <c r="E992" t="s">
        <v>649</v>
      </c>
      <c r="F992" t="s">
        <v>1123</v>
      </c>
      <c r="G992" t="s">
        <v>8868</v>
      </c>
      <c r="H992" s="121" t="s">
        <v>8869</v>
      </c>
    </row>
    <row r="993" spans="1:8" x14ac:dyDescent="0.25">
      <c r="A993">
        <v>1464823</v>
      </c>
      <c r="B993" s="121" t="s">
        <v>8562</v>
      </c>
      <c r="C993" t="s">
        <v>32</v>
      </c>
      <c r="D993" t="s">
        <v>332</v>
      </c>
      <c r="E993" t="s">
        <v>4660</v>
      </c>
      <c r="F993" t="s">
        <v>4677</v>
      </c>
      <c r="G993" t="s">
        <v>4670</v>
      </c>
      <c r="H993" s="121" t="s">
        <v>8870</v>
      </c>
    </row>
    <row r="994" spans="1:8" x14ac:dyDescent="0.25">
      <c r="A994">
        <v>1464824</v>
      </c>
      <c r="B994" s="121" t="s">
        <v>8562</v>
      </c>
      <c r="C994" t="s">
        <v>32</v>
      </c>
      <c r="D994" t="s">
        <v>332</v>
      </c>
      <c r="E994" t="s">
        <v>4660</v>
      </c>
      <c r="F994" t="s">
        <v>4671</v>
      </c>
      <c r="G994" t="s">
        <v>4664</v>
      </c>
      <c r="H994" s="121" t="s">
        <v>8871</v>
      </c>
    </row>
    <row r="995" spans="1:8" x14ac:dyDescent="0.25">
      <c r="A995">
        <v>1464825</v>
      </c>
      <c r="B995" s="121" t="s">
        <v>8562</v>
      </c>
      <c r="C995" t="s">
        <v>32</v>
      </c>
      <c r="D995" t="s">
        <v>332</v>
      </c>
      <c r="E995" t="s">
        <v>4660</v>
      </c>
      <c r="F995" t="s">
        <v>4668</v>
      </c>
      <c r="G995" t="s">
        <v>4665</v>
      </c>
      <c r="H995" s="121" t="s">
        <v>8872</v>
      </c>
    </row>
    <row r="996" spans="1:8" x14ac:dyDescent="0.25">
      <c r="A996">
        <v>1464826</v>
      </c>
      <c r="B996" s="121" t="s">
        <v>8562</v>
      </c>
      <c r="C996" t="s">
        <v>32</v>
      </c>
      <c r="D996" t="s">
        <v>332</v>
      </c>
      <c r="E996" t="s">
        <v>4660</v>
      </c>
      <c r="F996" t="s">
        <v>4674</v>
      </c>
      <c r="G996" t="s">
        <v>4661</v>
      </c>
      <c r="H996" s="121" t="s">
        <v>8873</v>
      </c>
    </row>
    <row r="997" spans="1:8" x14ac:dyDescent="0.25">
      <c r="A997">
        <v>1464827</v>
      </c>
      <c r="B997" s="121" t="s">
        <v>8562</v>
      </c>
      <c r="C997" t="s">
        <v>32</v>
      </c>
      <c r="D997" t="s">
        <v>332</v>
      </c>
      <c r="E997" t="s">
        <v>4660</v>
      </c>
      <c r="F997" t="s">
        <v>4683</v>
      </c>
      <c r="G997" t="s">
        <v>4673</v>
      </c>
      <c r="H997" s="121" t="s">
        <v>8874</v>
      </c>
    </row>
    <row r="998" spans="1:8" x14ac:dyDescent="0.25">
      <c r="A998">
        <v>1464828</v>
      </c>
      <c r="B998" s="121" t="s">
        <v>8562</v>
      </c>
      <c r="C998" t="s">
        <v>32</v>
      </c>
      <c r="D998" t="s">
        <v>332</v>
      </c>
      <c r="E998" t="s">
        <v>4660</v>
      </c>
      <c r="F998" t="s">
        <v>4676</v>
      </c>
      <c r="G998" t="s">
        <v>4679</v>
      </c>
      <c r="H998" s="121" t="s">
        <v>8875</v>
      </c>
    </row>
    <row r="999" spans="1:8" x14ac:dyDescent="0.25">
      <c r="A999">
        <v>1464829</v>
      </c>
      <c r="B999" s="121" t="s">
        <v>8562</v>
      </c>
      <c r="C999" t="s">
        <v>32</v>
      </c>
      <c r="D999" t="s">
        <v>332</v>
      </c>
      <c r="E999" t="s">
        <v>4660</v>
      </c>
      <c r="F999" t="s">
        <v>4680</v>
      </c>
      <c r="G999" t="s">
        <v>4667</v>
      </c>
      <c r="H999" s="121" t="s">
        <v>8876</v>
      </c>
    </row>
    <row r="1000" spans="1:8" x14ac:dyDescent="0.25">
      <c r="A1000">
        <v>1464830</v>
      </c>
      <c r="B1000" s="121" t="s">
        <v>8562</v>
      </c>
      <c r="C1000" t="s">
        <v>32</v>
      </c>
      <c r="D1000" t="s">
        <v>332</v>
      </c>
      <c r="E1000" t="s">
        <v>4660</v>
      </c>
      <c r="F1000" t="s">
        <v>4662</v>
      </c>
      <c r="G1000" t="s">
        <v>4682</v>
      </c>
      <c r="H1000" s="121" t="s">
        <v>8877</v>
      </c>
    </row>
    <row r="1001" spans="1:8" x14ac:dyDescent="0.25">
      <c r="A1001">
        <v>1465078</v>
      </c>
      <c r="B1001" s="121" t="s">
        <v>8562</v>
      </c>
      <c r="C1001" t="s">
        <v>32</v>
      </c>
      <c r="D1001" t="s">
        <v>332</v>
      </c>
      <c r="E1001" t="s">
        <v>4685</v>
      </c>
      <c r="F1001" t="s">
        <v>8878</v>
      </c>
      <c r="G1001" t="s">
        <v>8879</v>
      </c>
      <c r="H1001" s="121" t="s">
        <v>8880</v>
      </c>
    </row>
    <row r="1002" spans="1:8" x14ac:dyDescent="0.25">
      <c r="A1002">
        <v>1471739</v>
      </c>
      <c r="B1002" s="121" t="s">
        <v>8562</v>
      </c>
      <c r="C1002" t="s">
        <v>32</v>
      </c>
      <c r="D1002" t="s">
        <v>329</v>
      </c>
      <c r="E1002" t="s">
        <v>330</v>
      </c>
      <c r="F1002" t="s">
        <v>4690</v>
      </c>
      <c r="G1002" t="s">
        <v>5752</v>
      </c>
      <c r="H1002" s="121" t="s">
        <v>8881</v>
      </c>
    </row>
    <row r="1003" spans="1:8" x14ac:dyDescent="0.25">
      <c r="A1003">
        <v>1471740</v>
      </c>
      <c r="B1003" s="121" t="s">
        <v>8562</v>
      </c>
      <c r="C1003" t="s">
        <v>32</v>
      </c>
      <c r="D1003" t="s">
        <v>329</v>
      </c>
      <c r="E1003" t="s">
        <v>330</v>
      </c>
      <c r="F1003" t="s">
        <v>4689</v>
      </c>
      <c r="G1003" t="s">
        <v>631</v>
      </c>
      <c r="H1003" s="121" t="s">
        <v>8882</v>
      </c>
    </row>
    <row r="1004" spans="1:8" x14ac:dyDescent="0.25">
      <c r="A1004">
        <v>1472591</v>
      </c>
      <c r="B1004" s="121" t="s">
        <v>8562</v>
      </c>
      <c r="C1004" t="s">
        <v>32</v>
      </c>
      <c r="D1004" t="s">
        <v>63</v>
      </c>
      <c r="E1004" t="s">
        <v>623</v>
      </c>
      <c r="F1004" t="s">
        <v>4368</v>
      </c>
      <c r="G1004" t="s">
        <v>4288</v>
      </c>
      <c r="H1004" s="121" t="s">
        <v>8883</v>
      </c>
    </row>
    <row r="1005" spans="1:8" x14ac:dyDescent="0.25">
      <c r="A1005">
        <v>1472592</v>
      </c>
      <c r="B1005" s="121" t="s">
        <v>8562</v>
      </c>
      <c r="C1005" t="s">
        <v>32</v>
      </c>
      <c r="D1005" t="s">
        <v>63</v>
      </c>
      <c r="E1005" t="s">
        <v>623</v>
      </c>
      <c r="F1005" t="s">
        <v>4364</v>
      </c>
      <c r="G1005" t="s">
        <v>4367</v>
      </c>
      <c r="H1005" s="121" t="s">
        <v>8884</v>
      </c>
    </row>
    <row r="1006" spans="1:8" x14ac:dyDescent="0.25">
      <c r="A1006">
        <v>1473372</v>
      </c>
      <c r="B1006" s="121" t="s">
        <v>8562</v>
      </c>
      <c r="C1006" t="s">
        <v>32</v>
      </c>
      <c r="D1006" t="s">
        <v>65</v>
      </c>
      <c r="E1006" t="s">
        <v>5759</v>
      </c>
      <c r="F1006" t="s">
        <v>5760</v>
      </c>
      <c r="G1006" t="s">
        <v>5775</v>
      </c>
      <c r="H1006" s="121" t="s">
        <v>8885</v>
      </c>
    </row>
    <row r="1007" spans="1:8" x14ac:dyDescent="0.25">
      <c r="A1007">
        <v>1473373</v>
      </c>
      <c r="B1007" s="121" t="s">
        <v>8562</v>
      </c>
      <c r="C1007" t="s">
        <v>32</v>
      </c>
      <c r="D1007" t="s">
        <v>65</v>
      </c>
      <c r="E1007" t="s">
        <v>5759</v>
      </c>
      <c r="F1007" t="s">
        <v>5766</v>
      </c>
      <c r="G1007" t="s">
        <v>5764</v>
      </c>
      <c r="H1007" s="121" t="s">
        <v>8886</v>
      </c>
    </row>
    <row r="1008" spans="1:8" x14ac:dyDescent="0.25">
      <c r="A1008">
        <v>1473374</v>
      </c>
      <c r="B1008" s="121" t="s">
        <v>8562</v>
      </c>
      <c r="C1008" t="s">
        <v>32</v>
      </c>
      <c r="D1008" t="s">
        <v>65</v>
      </c>
      <c r="E1008" t="s">
        <v>5759</v>
      </c>
      <c r="F1008" t="s">
        <v>5772</v>
      </c>
      <c r="G1008" t="s">
        <v>5769</v>
      </c>
      <c r="H1008" s="121" t="s">
        <v>8887</v>
      </c>
    </row>
    <row r="1009" spans="1:8" x14ac:dyDescent="0.25">
      <c r="A1009">
        <v>1473375</v>
      </c>
      <c r="B1009" s="121" t="s">
        <v>8562</v>
      </c>
      <c r="C1009" t="s">
        <v>32</v>
      </c>
      <c r="D1009" t="s">
        <v>65</v>
      </c>
      <c r="E1009" t="s">
        <v>5759</v>
      </c>
      <c r="F1009" t="s">
        <v>5782</v>
      </c>
      <c r="G1009" t="s">
        <v>5761</v>
      </c>
      <c r="H1009" s="121" t="s">
        <v>8888</v>
      </c>
    </row>
    <row r="1010" spans="1:8" x14ac:dyDescent="0.25">
      <c r="A1010">
        <v>1473376</v>
      </c>
      <c r="B1010" s="121" t="s">
        <v>8562</v>
      </c>
      <c r="C1010" t="s">
        <v>32</v>
      </c>
      <c r="D1010" t="s">
        <v>65</v>
      </c>
      <c r="E1010" t="s">
        <v>5759</v>
      </c>
      <c r="F1010" t="s">
        <v>5767</v>
      </c>
      <c r="G1010" t="s">
        <v>5785</v>
      </c>
      <c r="H1010" s="121" t="s">
        <v>8889</v>
      </c>
    </row>
    <row r="1011" spans="1:8" x14ac:dyDescent="0.25">
      <c r="A1011">
        <v>1473377</v>
      </c>
      <c r="B1011" s="121" t="s">
        <v>8562</v>
      </c>
      <c r="C1011" t="s">
        <v>32</v>
      </c>
      <c r="D1011" t="s">
        <v>65</v>
      </c>
      <c r="E1011" t="s">
        <v>5759</v>
      </c>
      <c r="F1011" t="s">
        <v>5778</v>
      </c>
      <c r="G1011" t="s">
        <v>5784</v>
      </c>
      <c r="H1011" s="121" t="s">
        <v>8890</v>
      </c>
    </row>
    <row r="1012" spans="1:8" x14ac:dyDescent="0.25">
      <c r="A1012">
        <v>1473378</v>
      </c>
      <c r="B1012" s="121" t="s">
        <v>8562</v>
      </c>
      <c r="C1012" t="s">
        <v>32</v>
      </c>
      <c r="D1012" t="s">
        <v>65</v>
      </c>
      <c r="E1012" t="s">
        <v>5759</v>
      </c>
      <c r="F1012" t="s">
        <v>5779</v>
      </c>
      <c r="G1012" t="s">
        <v>5770</v>
      </c>
      <c r="H1012" s="121" t="s">
        <v>8891</v>
      </c>
    </row>
    <row r="1013" spans="1:8" x14ac:dyDescent="0.25">
      <c r="A1013">
        <v>1473379</v>
      </c>
      <c r="B1013" s="121" t="s">
        <v>8562</v>
      </c>
      <c r="C1013" t="s">
        <v>32</v>
      </c>
      <c r="D1013" t="s">
        <v>65</v>
      </c>
      <c r="E1013" t="s">
        <v>5759</v>
      </c>
      <c r="F1013" t="s">
        <v>5763</v>
      </c>
      <c r="G1013" t="s">
        <v>5776</v>
      </c>
      <c r="H1013" s="121" t="s">
        <v>8892</v>
      </c>
    </row>
    <row r="1014" spans="1:8" x14ac:dyDescent="0.25">
      <c r="A1014">
        <v>1473380</v>
      </c>
      <c r="B1014" s="121" t="s">
        <v>8562</v>
      </c>
      <c r="C1014" t="s">
        <v>32</v>
      </c>
      <c r="D1014" t="s">
        <v>65</v>
      </c>
      <c r="E1014" t="s">
        <v>5759</v>
      </c>
      <c r="F1014" t="s">
        <v>5787</v>
      </c>
      <c r="G1014" t="s">
        <v>5781</v>
      </c>
      <c r="H1014" s="121" t="s">
        <v>8893</v>
      </c>
    </row>
    <row r="1015" spans="1:8" x14ac:dyDescent="0.25">
      <c r="A1015">
        <v>1473381</v>
      </c>
      <c r="B1015" s="121" t="s">
        <v>8562</v>
      </c>
      <c r="C1015" t="s">
        <v>32</v>
      </c>
      <c r="D1015" t="s">
        <v>65</v>
      </c>
      <c r="E1015" t="s">
        <v>5759</v>
      </c>
      <c r="F1015" t="s">
        <v>5773</v>
      </c>
      <c r="G1015" t="s">
        <v>5790</v>
      </c>
      <c r="H1015" s="121" t="s">
        <v>8894</v>
      </c>
    </row>
    <row r="1016" spans="1:8" x14ac:dyDescent="0.25">
      <c r="A1016">
        <v>1473382</v>
      </c>
      <c r="B1016" s="121" t="s">
        <v>8562</v>
      </c>
      <c r="C1016" t="s">
        <v>32</v>
      </c>
      <c r="D1016" t="s">
        <v>65</v>
      </c>
      <c r="E1016" t="s">
        <v>5759</v>
      </c>
      <c r="F1016" t="s">
        <v>5788</v>
      </c>
      <c r="G1016" t="s">
        <v>5791</v>
      </c>
      <c r="H1016" s="121" t="s">
        <v>8895</v>
      </c>
    </row>
    <row r="1017" spans="1:8" x14ac:dyDescent="0.25">
      <c r="A1017">
        <v>1474676</v>
      </c>
      <c r="B1017" s="121" t="s">
        <v>8562</v>
      </c>
      <c r="C1017" t="s">
        <v>32</v>
      </c>
      <c r="D1017" t="s">
        <v>267</v>
      </c>
      <c r="E1017" t="s">
        <v>4696</v>
      </c>
      <c r="F1017" t="s">
        <v>4704</v>
      </c>
      <c r="G1017" t="s">
        <v>5794</v>
      </c>
      <c r="H1017" s="121" t="s">
        <v>8896</v>
      </c>
    </row>
    <row r="1018" spans="1:8" x14ac:dyDescent="0.25">
      <c r="A1018">
        <v>1474677</v>
      </c>
      <c r="B1018" s="121" t="s">
        <v>8562</v>
      </c>
      <c r="C1018" t="s">
        <v>32</v>
      </c>
      <c r="D1018" t="s">
        <v>267</v>
      </c>
      <c r="E1018" t="s">
        <v>4696</v>
      </c>
      <c r="F1018" t="s">
        <v>8897</v>
      </c>
      <c r="G1018" t="s">
        <v>5793</v>
      </c>
      <c r="H1018" s="121" t="s">
        <v>8898</v>
      </c>
    </row>
    <row r="1019" spans="1:8" x14ac:dyDescent="0.25">
      <c r="A1019">
        <v>1474678</v>
      </c>
      <c r="B1019" s="121" t="s">
        <v>8562</v>
      </c>
      <c r="C1019" t="s">
        <v>32</v>
      </c>
      <c r="D1019" t="s">
        <v>267</v>
      </c>
      <c r="E1019" t="s">
        <v>4696</v>
      </c>
      <c r="F1019" t="s">
        <v>4706</v>
      </c>
      <c r="G1019" t="s">
        <v>8899</v>
      </c>
      <c r="H1019" s="121" t="s">
        <v>8900</v>
      </c>
    </row>
    <row r="1020" spans="1:8" x14ac:dyDescent="0.25">
      <c r="A1020">
        <v>1474679</v>
      </c>
      <c r="B1020" s="121" t="s">
        <v>8562</v>
      </c>
      <c r="C1020" t="s">
        <v>32</v>
      </c>
      <c r="D1020" t="s">
        <v>267</v>
      </c>
      <c r="E1020" t="s">
        <v>4696</v>
      </c>
      <c r="F1020" t="s">
        <v>4698</v>
      </c>
      <c r="G1020" t="s">
        <v>4703</v>
      </c>
      <c r="H1020" s="121" t="s">
        <v>8901</v>
      </c>
    </row>
    <row r="1021" spans="1:8" x14ac:dyDescent="0.25">
      <c r="A1021">
        <v>1474680</v>
      </c>
      <c r="B1021" s="121" t="s">
        <v>8562</v>
      </c>
      <c r="C1021" t="s">
        <v>32</v>
      </c>
      <c r="D1021" t="s">
        <v>267</v>
      </c>
      <c r="E1021" t="s">
        <v>4696</v>
      </c>
      <c r="F1021" t="s">
        <v>4738</v>
      </c>
      <c r="G1021" t="s">
        <v>4700</v>
      </c>
      <c r="H1021" s="121" t="s">
        <v>8902</v>
      </c>
    </row>
    <row r="1022" spans="1:8" x14ac:dyDescent="0.25">
      <c r="A1022">
        <v>1474681</v>
      </c>
      <c r="B1022" s="121" t="s">
        <v>8562</v>
      </c>
      <c r="C1022" t="s">
        <v>32</v>
      </c>
      <c r="D1022" t="s">
        <v>267</v>
      </c>
      <c r="E1022" t="s">
        <v>4696</v>
      </c>
      <c r="F1022" t="s">
        <v>4707</v>
      </c>
      <c r="G1022" t="s">
        <v>4737</v>
      </c>
      <c r="H1022" s="121" t="s">
        <v>8903</v>
      </c>
    </row>
    <row r="1023" spans="1:8" x14ac:dyDescent="0.25">
      <c r="A1023">
        <v>1476380</v>
      </c>
      <c r="B1023" s="121" t="s">
        <v>8562</v>
      </c>
      <c r="C1023" t="s">
        <v>32</v>
      </c>
      <c r="D1023" t="s">
        <v>65</v>
      </c>
      <c r="E1023" t="s">
        <v>5799</v>
      </c>
      <c r="F1023" t="s">
        <v>5815</v>
      </c>
      <c r="G1023" t="s">
        <v>5822</v>
      </c>
      <c r="H1023" s="121" t="s">
        <v>8904</v>
      </c>
    </row>
    <row r="1024" spans="1:8" x14ac:dyDescent="0.25">
      <c r="A1024">
        <v>1476381</v>
      </c>
      <c r="B1024" s="121" t="s">
        <v>8562</v>
      </c>
      <c r="C1024" t="s">
        <v>32</v>
      </c>
      <c r="D1024" t="s">
        <v>65</v>
      </c>
      <c r="E1024" t="s">
        <v>5799</v>
      </c>
      <c r="F1024" t="s">
        <v>5825</v>
      </c>
      <c r="G1024" t="s">
        <v>5828</v>
      </c>
      <c r="H1024" s="121" t="s">
        <v>8905</v>
      </c>
    </row>
    <row r="1025" spans="1:8" x14ac:dyDescent="0.25">
      <c r="A1025">
        <v>1476382</v>
      </c>
      <c r="B1025" s="121" t="s">
        <v>8562</v>
      </c>
      <c r="C1025" t="s">
        <v>32</v>
      </c>
      <c r="D1025" t="s">
        <v>65</v>
      </c>
      <c r="E1025" t="s">
        <v>5799</v>
      </c>
      <c r="F1025" t="s">
        <v>5806</v>
      </c>
      <c r="G1025" t="s">
        <v>5818</v>
      </c>
      <c r="H1025" s="121" t="s">
        <v>8906</v>
      </c>
    </row>
    <row r="1026" spans="1:8" x14ac:dyDescent="0.25">
      <c r="A1026">
        <v>1476383</v>
      </c>
      <c r="B1026" s="121" t="s">
        <v>8562</v>
      </c>
      <c r="C1026" t="s">
        <v>32</v>
      </c>
      <c r="D1026" t="s">
        <v>65</v>
      </c>
      <c r="E1026" t="s">
        <v>5799</v>
      </c>
      <c r="F1026" t="s">
        <v>5816</v>
      </c>
      <c r="G1026" t="s">
        <v>5809</v>
      </c>
      <c r="H1026" s="121" t="s">
        <v>8907</v>
      </c>
    </row>
    <row r="1027" spans="1:8" x14ac:dyDescent="0.25">
      <c r="A1027">
        <v>1476384</v>
      </c>
      <c r="B1027" s="121" t="s">
        <v>8562</v>
      </c>
      <c r="C1027" t="s">
        <v>32</v>
      </c>
      <c r="D1027" t="s">
        <v>65</v>
      </c>
      <c r="E1027" t="s">
        <v>5799</v>
      </c>
      <c r="F1027" t="s">
        <v>5807</v>
      </c>
      <c r="G1027" t="s">
        <v>5813</v>
      </c>
      <c r="H1027" s="121" t="s">
        <v>8908</v>
      </c>
    </row>
    <row r="1028" spans="1:8" x14ac:dyDescent="0.25">
      <c r="A1028">
        <v>1476385</v>
      </c>
      <c r="B1028" s="121" t="s">
        <v>8562</v>
      </c>
      <c r="C1028" t="s">
        <v>32</v>
      </c>
      <c r="D1028" t="s">
        <v>65</v>
      </c>
      <c r="E1028" t="s">
        <v>5799</v>
      </c>
      <c r="F1028" t="s">
        <v>5824</v>
      </c>
      <c r="G1028" t="s">
        <v>5810</v>
      </c>
      <c r="H1028" s="121" t="s">
        <v>8909</v>
      </c>
    </row>
    <row r="1029" spans="1:8" x14ac:dyDescent="0.25">
      <c r="A1029">
        <v>1476386</v>
      </c>
      <c r="B1029" s="121" t="s">
        <v>8562</v>
      </c>
      <c r="C1029" t="s">
        <v>32</v>
      </c>
      <c r="D1029" t="s">
        <v>65</v>
      </c>
      <c r="E1029" t="s">
        <v>5799</v>
      </c>
      <c r="F1029" t="s">
        <v>5803</v>
      </c>
      <c r="G1029" t="s">
        <v>5812</v>
      </c>
      <c r="H1029" s="121" t="s">
        <v>8910</v>
      </c>
    </row>
    <row r="1030" spans="1:8" x14ac:dyDescent="0.25">
      <c r="A1030">
        <v>1476387</v>
      </c>
      <c r="B1030" s="121" t="s">
        <v>8562</v>
      </c>
      <c r="C1030" t="s">
        <v>32</v>
      </c>
      <c r="D1030" t="s">
        <v>65</v>
      </c>
      <c r="E1030" t="s">
        <v>5799</v>
      </c>
      <c r="F1030" t="s">
        <v>5831</v>
      </c>
      <c r="G1030" t="s">
        <v>5801</v>
      </c>
      <c r="H1030" s="121" t="s">
        <v>8911</v>
      </c>
    </row>
    <row r="1031" spans="1:8" x14ac:dyDescent="0.25">
      <c r="A1031">
        <v>1476388</v>
      </c>
      <c r="B1031" s="121" t="s">
        <v>8562</v>
      </c>
      <c r="C1031" t="s">
        <v>32</v>
      </c>
      <c r="D1031" t="s">
        <v>65</v>
      </c>
      <c r="E1031" t="s">
        <v>5799</v>
      </c>
      <c r="F1031" t="s">
        <v>5804</v>
      </c>
      <c r="G1031" t="s">
        <v>5830</v>
      </c>
      <c r="H1031" s="121" t="s">
        <v>8912</v>
      </c>
    </row>
    <row r="1032" spans="1:8" x14ac:dyDescent="0.25">
      <c r="A1032">
        <v>1476389</v>
      </c>
      <c r="B1032" s="121" t="s">
        <v>8562</v>
      </c>
      <c r="C1032" t="s">
        <v>32</v>
      </c>
      <c r="D1032" t="s">
        <v>65</v>
      </c>
      <c r="E1032" t="s">
        <v>5799</v>
      </c>
      <c r="F1032" t="s">
        <v>5819</v>
      </c>
      <c r="G1032" t="s">
        <v>5800</v>
      </c>
      <c r="H1032" s="121" t="s">
        <v>8913</v>
      </c>
    </row>
    <row r="1033" spans="1:8" x14ac:dyDescent="0.25">
      <c r="A1033">
        <v>1476497</v>
      </c>
      <c r="B1033" s="121" t="s">
        <v>8562</v>
      </c>
      <c r="C1033" t="s">
        <v>32</v>
      </c>
      <c r="D1033" t="s">
        <v>65</v>
      </c>
      <c r="E1033" t="s">
        <v>5622</v>
      </c>
      <c r="F1033" t="s">
        <v>5999</v>
      </c>
      <c r="G1033" t="s">
        <v>5635</v>
      </c>
      <c r="H1033" s="121" t="s">
        <v>8914</v>
      </c>
    </row>
    <row r="1034" spans="1:8" x14ac:dyDescent="0.25">
      <c r="A1034">
        <v>1476498</v>
      </c>
      <c r="B1034" s="121" t="s">
        <v>8562</v>
      </c>
      <c r="C1034" t="s">
        <v>32</v>
      </c>
      <c r="D1034" t="s">
        <v>65</v>
      </c>
      <c r="E1034" t="s">
        <v>5622</v>
      </c>
      <c r="F1034" t="s">
        <v>5651</v>
      </c>
      <c r="G1034" t="s">
        <v>5629</v>
      </c>
      <c r="H1034" s="121" t="s">
        <v>8915</v>
      </c>
    </row>
    <row r="1035" spans="1:8" x14ac:dyDescent="0.25">
      <c r="A1035">
        <v>1476499</v>
      </c>
      <c r="B1035" s="121" t="s">
        <v>8562</v>
      </c>
      <c r="C1035" t="s">
        <v>32</v>
      </c>
      <c r="D1035" t="s">
        <v>65</v>
      </c>
      <c r="E1035" t="s">
        <v>5622</v>
      </c>
      <c r="F1035" t="s">
        <v>5636</v>
      </c>
      <c r="G1035" t="s">
        <v>5623</v>
      </c>
      <c r="H1035" s="121" t="s">
        <v>8916</v>
      </c>
    </row>
    <row r="1036" spans="1:8" x14ac:dyDescent="0.25">
      <c r="A1036">
        <v>1476500</v>
      </c>
      <c r="B1036" s="121" t="s">
        <v>8562</v>
      </c>
      <c r="C1036" t="s">
        <v>32</v>
      </c>
      <c r="D1036" t="s">
        <v>65</v>
      </c>
      <c r="E1036" t="s">
        <v>5622</v>
      </c>
      <c r="F1036" t="s">
        <v>5624</v>
      </c>
      <c r="G1036" t="s">
        <v>5641</v>
      </c>
      <c r="H1036" s="121" t="s">
        <v>8917</v>
      </c>
    </row>
    <row r="1037" spans="1:8" x14ac:dyDescent="0.25">
      <c r="A1037">
        <v>1476501</v>
      </c>
      <c r="B1037" s="121" t="s">
        <v>8562</v>
      </c>
      <c r="C1037" t="s">
        <v>32</v>
      </c>
      <c r="D1037" t="s">
        <v>65</v>
      </c>
      <c r="E1037" t="s">
        <v>5622</v>
      </c>
      <c r="F1037" t="s">
        <v>5626</v>
      </c>
      <c r="G1037" t="s">
        <v>5630</v>
      </c>
      <c r="H1037" s="121" t="s">
        <v>8918</v>
      </c>
    </row>
    <row r="1038" spans="1:8" x14ac:dyDescent="0.25">
      <c r="A1038">
        <v>1476502</v>
      </c>
      <c r="B1038" s="121" t="s">
        <v>8562</v>
      </c>
      <c r="C1038" t="s">
        <v>32</v>
      </c>
      <c r="D1038" t="s">
        <v>65</v>
      </c>
      <c r="E1038" t="s">
        <v>5622</v>
      </c>
      <c r="F1038" t="s">
        <v>5627</v>
      </c>
      <c r="G1038" t="s">
        <v>5648</v>
      </c>
      <c r="H1038" s="121" t="s">
        <v>8919</v>
      </c>
    </row>
    <row r="1039" spans="1:8" x14ac:dyDescent="0.25">
      <c r="A1039">
        <v>1476503</v>
      </c>
      <c r="B1039" s="121" t="s">
        <v>8562</v>
      </c>
      <c r="C1039" t="s">
        <v>32</v>
      </c>
      <c r="D1039" t="s">
        <v>65</v>
      </c>
      <c r="E1039" t="s">
        <v>5622</v>
      </c>
      <c r="F1039" t="s">
        <v>5639</v>
      </c>
      <c r="G1039" t="s">
        <v>5645</v>
      </c>
      <c r="H1039" s="121" t="s">
        <v>8920</v>
      </c>
    </row>
    <row r="1040" spans="1:8" x14ac:dyDescent="0.25">
      <c r="A1040">
        <v>1476504</v>
      </c>
      <c r="B1040" s="121" t="s">
        <v>8562</v>
      </c>
      <c r="C1040" t="s">
        <v>32</v>
      </c>
      <c r="D1040" t="s">
        <v>65</v>
      </c>
      <c r="E1040" t="s">
        <v>5622</v>
      </c>
      <c r="F1040" t="s">
        <v>5647</v>
      </c>
      <c r="G1040" t="s">
        <v>5633</v>
      </c>
      <c r="H1040" s="121" t="s">
        <v>8921</v>
      </c>
    </row>
    <row r="1041" spans="1:8" x14ac:dyDescent="0.25">
      <c r="A1041">
        <v>1476505</v>
      </c>
      <c r="B1041" s="121" t="s">
        <v>8562</v>
      </c>
      <c r="C1041" t="s">
        <v>32</v>
      </c>
      <c r="D1041" t="s">
        <v>65</v>
      </c>
      <c r="E1041" t="s">
        <v>5622</v>
      </c>
      <c r="F1041" t="s">
        <v>6000</v>
      </c>
      <c r="G1041" t="s">
        <v>5642</v>
      </c>
      <c r="H1041" s="121" t="s">
        <v>8922</v>
      </c>
    </row>
    <row r="1042" spans="1:8" x14ac:dyDescent="0.25">
      <c r="A1042">
        <v>1476506</v>
      </c>
      <c r="B1042" s="121" t="s">
        <v>8562</v>
      </c>
      <c r="C1042" t="s">
        <v>32</v>
      </c>
      <c r="D1042" t="s">
        <v>65</v>
      </c>
      <c r="E1042" t="s">
        <v>5622</v>
      </c>
      <c r="F1042" t="s">
        <v>5650</v>
      </c>
      <c r="G1042" t="s">
        <v>5644</v>
      </c>
      <c r="H1042" s="121" t="s">
        <v>8923</v>
      </c>
    </row>
    <row r="1043" spans="1:8" x14ac:dyDescent="0.25">
      <c r="A1043">
        <v>1476507</v>
      </c>
      <c r="B1043" s="121" t="s">
        <v>8562</v>
      </c>
      <c r="C1043" t="s">
        <v>32</v>
      </c>
      <c r="D1043" t="s">
        <v>65</v>
      </c>
      <c r="E1043" t="s">
        <v>5622</v>
      </c>
      <c r="F1043" t="s">
        <v>5638</v>
      </c>
      <c r="G1043" t="s">
        <v>5632</v>
      </c>
      <c r="H1043" s="121" t="s">
        <v>8924</v>
      </c>
    </row>
    <row r="1044" spans="1:8" x14ac:dyDescent="0.25">
      <c r="A1044">
        <v>1477378</v>
      </c>
      <c r="B1044" s="121" t="s">
        <v>8562</v>
      </c>
      <c r="C1044" t="s">
        <v>32</v>
      </c>
      <c r="D1044" t="s">
        <v>381</v>
      </c>
      <c r="E1044" t="s">
        <v>397</v>
      </c>
      <c r="F1044" t="s">
        <v>5833</v>
      </c>
      <c r="G1044" t="s">
        <v>1610</v>
      </c>
      <c r="H1044" s="121" t="s">
        <v>8925</v>
      </c>
    </row>
    <row r="1045" spans="1:8" x14ac:dyDescent="0.25">
      <c r="A1045">
        <v>1480381</v>
      </c>
      <c r="B1045" s="121" t="s">
        <v>8562</v>
      </c>
      <c r="C1045" t="s">
        <v>32</v>
      </c>
      <c r="D1045" t="s">
        <v>51</v>
      </c>
      <c r="E1045" t="s">
        <v>386</v>
      </c>
      <c r="F1045" t="s">
        <v>3844</v>
      </c>
      <c r="G1045" t="s">
        <v>3825</v>
      </c>
      <c r="H1045" s="121" t="s">
        <v>8926</v>
      </c>
    </row>
    <row r="1046" spans="1:8" x14ac:dyDescent="0.25">
      <c r="A1046">
        <v>1480400</v>
      </c>
      <c r="B1046" s="121" t="s">
        <v>8562</v>
      </c>
      <c r="C1046" t="s">
        <v>32</v>
      </c>
      <c r="D1046" t="s">
        <v>80</v>
      </c>
      <c r="E1046" t="s">
        <v>629</v>
      </c>
      <c r="F1046" t="s">
        <v>4632</v>
      </c>
      <c r="G1046" t="s">
        <v>8927</v>
      </c>
      <c r="H1046" s="121" t="s">
        <v>8928</v>
      </c>
    </row>
    <row r="1047" spans="1:8" x14ac:dyDescent="0.25">
      <c r="A1047">
        <v>1494621</v>
      </c>
      <c r="B1047" s="121" t="s">
        <v>8562</v>
      </c>
      <c r="C1047" t="s">
        <v>32</v>
      </c>
      <c r="D1047" t="s">
        <v>85</v>
      </c>
      <c r="E1047" t="s">
        <v>5853</v>
      </c>
      <c r="F1047" t="s">
        <v>8929</v>
      </c>
      <c r="G1047" t="s">
        <v>6143</v>
      </c>
      <c r="H1047" s="121" t="s">
        <v>8930</v>
      </c>
    </row>
    <row r="1048" spans="1:8" x14ac:dyDescent="0.25">
      <c r="A1048">
        <v>1495653</v>
      </c>
      <c r="B1048" s="121" t="s">
        <v>8562</v>
      </c>
      <c r="C1048" t="s">
        <v>32</v>
      </c>
      <c r="D1048" t="s">
        <v>5924</v>
      </c>
      <c r="E1048" t="s">
        <v>7669</v>
      </c>
      <c r="F1048" t="s">
        <v>3281</v>
      </c>
      <c r="G1048" t="s">
        <v>3278</v>
      </c>
      <c r="H1048" s="121" t="s">
        <v>8931</v>
      </c>
    </row>
    <row r="1049" spans="1:8" x14ac:dyDescent="0.25">
      <c r="A1049">
        <v>1496025</v>
      </c>
      <c r="B1049" s="121" t="s">
        <v>8562</v>
      </c>
      <c r="C1049" t="s">
        <v>32</v>
      </c>
      <c r="D1049" t="s">
        <v>85</v>
      </c>
      <c r="E1049" t="s">
        <v>7989</v>
      </c>
      <c r="F1049" t="s">
        <v>8932</v>
      </c>
      <c r="G1049" t="s">
        <v>8933</v>
      </c>
      <c r="H1049" s="121" t="s">
        <v>8934</v>
      </c>
    </row>
    <row r="1050" spans="1:8" x14ac:dyDescent="0.25">
      <c r="A1050">
        <v>1503310</v>
      </c>
      <c r="B1050" s="121" t="s">
        <v>8562</v>
      </c>
      <c r="C1050" t="s">
        <v>32</v>
      </c>
      <c r="D1050" t="s">
        <v>46</v>
      </c>
      <c r="E1050" t="s">
        <v>47</v>
      </c>
      <c r="F1050" t="s">
        <v>8935</v>
      </c>
      <c r="G1050" t="s">
        <v>8936</v>
      </c>
      <c r="H1050" s="121" t="s">
        <v>8937</v>
      </c>
    </row>
    <row r="1051" spans="1:8" x14ac:dyDescent="0.25">
      <c r="A1051">
        <v>1504381</v>
      </c>
      <c r="B1051" s="121" t="s">
        <v>8562</v>
      </c>
      <c r="C1051" t="s">
        <v>32</v>
      </c>
      <c r="D1051" t="s">
        <v>275</v>
      </c>
      <c r="E1051" t="s">
        <v>7693</v>
      </c>
      <c r="F1051" t="s">
        <v>3492</v>
      </c>
      <c r="G1051" t="s">
        <v>3494</v>
      </c>
      <c r="H1051" s="121" t="s">
        <v>8938</v>
      </c>
    </row>
    <row r="1052" spans="1:8" x14ac:dyDescent="0.25">
      <c r="A1052">
        <v>1504383</v>
      </c>
      <c r="B1052" s="121" t="s">
        <v>8562</v>
      </c>
      <c r="C1052" t="s">
        <v>32</v>
      </c>
      <c r="D1052" t="s">
        <v>275</v>
      </c>
      <c r="E1052" t="s">
        <v>7693</v>
      </c>
      <c r="F1052" t="s">
        <v>3496</v>
      </c>
      <c r="G1052" t="s">
        <v>8939</v>
      </c>
      <c r="H1052" s="121" t="s">
        <v>8940</v>
      </c>
    </row>
    <row r="1053" spans="1:8" x14ac:dyDescent="0.25">
      <c r="A1053">
        <v>1504384</v>
      </c>
      <c r="B1053" s="121" t="s">
        <v>8562</v>
      </c>
      <c r="C1053" t="s">
        <v>32</v>
      </c>
      <c r="D1053" t="s">
        <v>275</v>
      </c>
      <c r="E1053" t="s">
        <v>7693</v>
      </c>
      <c r="F1053" t="s">
        <v>2901</v>
      </c>
      <c r="G1053" t="s">
        <v>8941</v>
      </c>
      <c r="H1053" s="121" t="s">
        <v>8942</v>
      </c>
    </row>
    <row r="1054" spans="1:8" x14ac:dyDescent="0.25">
      <c r="A1054">
        <v>1505099</v>
      </c>
      <c r="B1054" s="121" t="s">
        <v>8562</v>
      </c>
      <c r="C1054" t="s">
        <v>32</v>
      </c>
      <c r="D1054" t="s">
        <v>275</v>
      </c>
      <c r="E1054" t="s">
        <v>8943</v>
      </c>
      <c r="F1054" t="s">
        <v>3246</v>
      </c>
      <c r="G1054" t="s">
        <v>5879</v>
      </c>
      <c r="H1054" s="121" t="s">
        <v>8944</v>
      </c>
    </row>
    <row r="1055" spans="1:8" x14ac:dyDescent="0.25">
      <c r="A1055">
        <v>1505100</v>
      </c>
      <c r="B1055" s="121" t="s">
        <v>8562</v>
      </c>
      <c r="C1055" t="s">
        <v>32</v>
      </c>
      <c r="D1055" t="s">
        <v>275</v>
      </c>
      <c r="E1055" t="s">
        <v>8943</v>
      </c>
      <c r="F1055" t="s">
        <v>8945</v>
      </c>
      <c r="G1055" t="s">
        <v>3615</v>
      </c>
      <c r="H1055" s="121" t="s">
        <v>8946</v>
      </c>
    </row>
    <row r="1056" spans="1:8" x14ac:dyDescent="0.25">
      <c r="A1056">
        <v>1505104</v>
      </c>
      <c r="B1056" s="121" t="s">
        <v>8562</v>
      </c>
      <c r="C1056" t="s">
        <v>32</v>
      </c>
      <c r="D1056" t="s">
        <v>275</v>
      </c>
      <c r="E1056" t="s">
        <v>8943</v>
      </c>
      <c r="F1056" t="s">
        <v>8947</v>
      </c>
      <c r="G1056" t="s">
        <v>8948</v>
      </c>
      <c r="H1056" s="121" t="s">
        <v>8949</v>
      </c>
    </row>
    <row r="1057" spans="1:8" x14ac:dyDescent="0.25">
      <c r="A1057">
        <v>1506582</v>
      </c>
      <c r="B1057" s="121" t="s">
        <v>8562</v>
      </c>
      <c r="C1057" t="s">
        <v>32</v>
      </c>
      <c r="D1057" t="s">
        <v>610</v>
      </c>
      <c r="E1057" t="s">
        <v>611</v>
      </c>
      <c r="F1057" t="s">
        <v>4079</v>
      </c>
      <c r="G1057" t="s">
        <v>8950</v>
      </c>
      <c r="H1057" s="121" t="s">
        <v>8951</v>
      </c>
    </row>
    <row r="1058" spans="1:8" x14ac:dyDescent="0.25">
      <c r="A1058">
        <v>1506794</v>
      </c>
      <c r="B1058" s="121" t="s">
        <v>8562</v>
      </c>
      <c r="C1058" t="s">
        <v>32</v>
      </c>
      <c r="D1058" t="s">
        <v>53</v>
      </c>
      <c r="E1058" t="s">
        <v>5872</v>
      </c>
      <c r="F1058" t="s">
        <v>5873</v>
      </c>
      <c r="G1058" t="s">
        <v>5877</v>
      </c>
      <c r="H1058" s="121" t="s">
        <v>8952</v>
      </c>
    </row>
    <row r="1059" spans="1:8" x14ac:dyDescent="0.25">
      <c r="A1059">
        <v>1506813</v>
      </c>
      <c r="B1059" s="121" t="s">
        <v>8562</v>
      </c>
      <c r="C1059" t="s">
        <v>32</v>
      </c>
      <c r="D1059" t="s">
        <v>53</v>
      </c>
      <c r="E1059" t="s">
        <v>5872</v>
      </c>
      <c r="F1059" t="s">
        <v>6151</v>
      </c>
      <c r="G1059" t="s">
        <v>8953</v>
      </c>
      <c r="H1059" s="121" t="s">
        <v>8954</v>
      </c>
    </row>
    <row r="1060" spans="1:8" x14ac:dyDescent="0.25">
      <c r="A1060">
        <v>1509060</v>
      </c>
      <c r="B1060" s="121" t="s">
        <v>8562</v>
      </c>
      <c r="C1060" t="s">
        <v>32</v>
      </c>
      <c r="D1060" t="s">
        <v>408</v>
      </c>
      <c r="E1060" t="s">
        <v>409</v>
      </c>
      <c r="F1060" t="s">
        <v>8955</v>
      </c>
      <c r="G1060" t="s">
        <v>8956</v>
      </c>
      <c r="H1060" s="121" t="s">
        <v>8957</v>
      </c>
    </row>
    <row r="1061" spans="1:8" x14ac:dyDescent="0.25">
      <c r="A1061">
        <v>1511086</v>
      </c>
      <c r="B1061" s="121" t="s">
        <v>8562</v>
      </c>
      <c r="C1061" t="s">
        <v>32</v>
      </c>
      <c r="D1061" t="s">
        <v>275</v>
      </c>
      <c r="E1061" t="s">
        <v>7592</v>
      </c>
      <c r="F1061" t="s">
        <v>8958</v>
      </c>
      <c r="G1061" t="s">
        <v>8959</v>
      </c>
      <c r="H1061" s="121" t="s">
        <v>8960</v>
      </c>
    </row>
    <row r="1062" spans="1:8" x14ac:dyDescent="0.25">
      <c r="A1062">
        <v>1513454</v>
      </c>
      <c r="B1062" s="121" t="s">
        <v>8562</v>
      </c>
      <c r="C1062" t="s">
        <v>32</v>
      </c>
      <c r="D1062" t="s">
        <v>527</v>
      </c>
      <c r="E1062" t="s">
        <v>47</v>
      </c>
      <c r="F1062" t="s">
        <v>1769</v>
      </c>
      <c r="G1062" t="s">
        <v>8961</v>
      </c>
      <c r="H1062" s="121" t="s">
        <v>8962</v>
      </c>
    </row>
    <row r="1063" spans="1:8" x14ac:dyDescent="0.25">
      <c r="A1063">
        <v>1513456</v>
      </c>
      <c r="B1063" s="121" t="s">
        <v>8562</v>
      </c>
      <c r="C1063" t="s">
        <v>32</v>
      </c>
      <c r="D1063" t="s">
        <v>527</v>
      </c>
      <c r="E1063" t="s">
        <v>47</v>
      </c>
      <c r="F1063" t="s">
        <v>8963</v>
      </c>
      <c r="G1063" t="s">
        <v>1770</v>
      </c>
      <c r="H1063" s="121" t="s">
        <v>8964</v>
      </c>
    </row>
    <row r="1064" spans="1:8" x14ac:dyDescent="0.25">
      <c r="A1064">
        <v>1513520</v>
      </c>
      <c r="B1064" s="121" t="s">
        <v>8562</v>
      </c>
      <c r="C1064" t="s">
        <v>32</v>
      </c>
      <c r="D1064" t="s">
        <v>546</v>
      </c>
      <c r="E1064" t="s">
        <v>580</v>
      </c>
      <c r="F1064" t="s">
        <v>3107</v>
      </c>
      <c r="G1064" t="s">
        <v>3618</v>
      </c>
      <c r="H1064" s="121" t="s">
        <v>8965</v>
      </c>
    </row>
    <row r="1065" spans="1:8" x14ac:dyDescent="0.25">
      <c r="A1065">
        <v>1515039</v>
      </c>
      <c r="B1065" s="121" t="s">
        <v>8562</v>
      </c>
      <c r="C1065" t="s">
        <v>32</v>
      </c>
      <c r="D1065" t="s">
        <v>53</v>
      </c>
      <c r="E1065" t="s">
        <v>654</v>
      </c>
      <c r="F1065" t="s">
        <v>2354</v>
      </c>
      <c r="G1065" t="s">
        <v>2014</v>
      </c>
      <c r="H1065" s="121" t="s">
        <v>8966</v>
      </c>
    </row>
    <row r="1066" spans="1:8" x14ac:dyDescent="0.25">
      <c r="A1066">
        <v>1515099</v>
      </c>
      <c r="B1066" s="121" t="s">
        <v>8562</v>
      </c>
      <c r="C1066" t="s">
        <v>32</v>
      </c>
      <c r="D1066" t="s">
        <v>53</v>
      </c>
      <c r="E1066" t="s">
        <v>654</v>
      </c>
      <c r="F1066" t="s">
        <v>8967</v>
      </c>
      <c r="G1066" t="s">
        <v>6490</v>
      </c>
      <c r="H1066" s="121" t="s">
        <v>8968</v>
      </c>
    </row>
    <row r="1067" spans="1:8" x14ac:dyDescent="0.25">
      <c r="A1067">
        <v>1515101</v>
      </c>
      <c r="B1067" s="121" t="s">
        <v>8562</v>
      </c>
      <c r="C1067" t="s">
        <v>32</v>
      </c>
      <c r="D1067" t="s">
        <v>53</v>
      </c>
      <c r="E1067" t="s">
        <v>654</v>
      </c>
      <c r="F1067" t="s">
        <v>2016</v>
      </c>
      <c r="G1067" t="s">
        <v>426</v>
      </c>
      <c r="H1067" s="121" t="s">
        <v>8969</v>
      </c>
    </row>
    <row r="1068" spans="1:8" x14ac:dyDescent="0.25">
      <c r="A1068">
        <v>1515612</v>
      </c>
      <c r="B1068" s="121" t="s">
        <v>8562</v>
      </c>
      <c r="C1068" t="s">
        <v>32</v>
      </c>
      <c r="D1068" t="s">
        <v>86</v>
      </c>
      <c r="E1068" t="s">
        <v>655</v>
      </c>
      <c r="F1068" t="s">
        <v>1776</v>
      </c>
      <c r="G1068" t="s">
        <v>1819</v>
      </c>
      <c r="H1068" s="121" t="s">
        <v>8970</v>
      </c>
    </row>
    <row r="1069" spans="1:8" x14ac:dyDescent="0.25">
      <c r="A1069">
        <v>1515613</v>
      </c>
      <c r="B1069" s="121" t="s">
        <v>8562</v>
      </c>
      <c r="C1069" t="s">
        <v>32</v>
      </c>
      <c r="D1069" t="s">
        <v>86</v>
      </c>
      <c r="E1069" t="s">
        <v>655</v>
      </c>
      <c r="F1069" t="s">
        <v>322</v>
      </c>
      <c r="G1069" t="s">
        <v>1775</v>
      </c>
      <c r="H1069" s="121" t="s">
        <v>8971</v>
      </c>
    </row>
    <row r="1070" spans="1:8" x14ac:dyDescent="0.25">
      <c r="A1070">
        <v>1515690</v>
      </c>
      <c r="B1070" s="121" t="s">
        <v>8562</v>
      </c>
      <c r="C1070" t="s">
        <v>32</v>
      </c>
      <c r="D1070" t="s">
        <v>275</v>
      </c>
      <c r="E1070" t="s">
        <v>7737</v>
      </c>
      <c r="F1070" t="s">
        <v>8972</v>
      </c>
      <c r="G1070" t="s">
        <v>8973</v>
      </c>
      <c r="H1070" s="121" t="s">
        <v>8974</v>
      </c>
    </row>
    <row r="1071" spans="1:8" x14ac:dyDescent="0.25">
      <c r="A1071">
        <v>1517140</v>
      </c>
      <c r="B1071" s="121" t="s">
        <v>8562</v>
      </c>
      <c r="C1071" t="s">
        <v>32</v>
      </c>
      <c r="D1071" t="s">
        <v>5924</v>
      </c>
      <c r="E1071" t="s">
        <v>7744</v>
      </c>
      <c r="F1071" t="s">
        <v>8975</v>
      </c>
      <c r="G1071" t="s">
        <v>8976</v>
      </c>
      <c r="H1071" s="121" t="s">
        <v>8977</v>
      </c>
    </row>
    <row r="1072" spans="1:8" x14ac:dyDescent="0.25">
      <c r="A1072">
        <v>1517141</v>
      </c>
      <c r="B1072" s="121" t="s">
        <v>8562</v>
      </c>
      <c r="C1072" t="s">
        <v>32</v>
      </c>
      <c r="D1072" t="s">
        <v>5924</v>
      </c>
      <c r="E1072" t="s">
        <v>7744</v>
      </c>
      <c r="F1072" t="s">
        <v>8978</v>
      </c>
      <c r="G1072" t="s">
        <v>8979</v>
      </c>
      <c r="H1072" s="121" t="s">
        <v>8980</v>
      </c>
    </row>
    <row r="1073" spans="1:8" x14ac:dyDescent="0.25">
      <c r="A1073">
        <v>1521325</v>
      </c>
      <c r="B1073" s="121" t="s">
        <v>8562</v>
      </c>
      <c r="C1073" t="s">
        <v>32</v>
      </c>
      <c r="D1073" t="s">
        <v>260</v>
      </c>
      <c r="E1073" t="s">
        <v>261</v>
      </c>
      <c r="F1073" t="s">
        <v>8981</v>
      </c>
      <c r="G1073" t="s">
        <v>4856</v>
      </c>
      <c r="H1073" s="121" t="s">
        <v>8982</v>
      </c>
    </row>
    <row r="1074" spans="1:8" x14ac:dyDescent="0.25">
      <c r="A1074">
        <v>1527564</v>
      </c>
      <c r="B1074" s="121" t="s">
        <v>8562</v>
      </c>
      <c r="C1074" t="s">
        <v>32</v>
      </c>
      <c r="D1074" t="s">
        <v>422</v>
      </c>
      <c r="E1074" t="s">
        <v>49</v>
      </c>
      <c r="F1074" t="s">
        <v>498</v>
      </c>
      <c r="G1074" t="s">
        <v>5905</v>
      </c>
      <c r="H1074" s="121" t="s">
        <v>8983</v>
      </c>
    </row>
    <row r="1075" spans="1:8" x14ac:dyDescent="0.25">
      <c r="A1075">
        <v>1529499</v>
      </c>
      <c r="B1075" s="121" t="s">
        <v>8562</v>
      </c>
      <c r="C1075" t="s">
        <v>32</v>
      </c>
      <c r="D1075" t="s">
        <v>544</v>
      </c>
      <c r="E1075" t="s">
        <v>4863</v>
      </c>
      <c r="F1075" t="s">
        <v>8984</v>
      </c>
      <c r="G1075" t="s">
        <v>4868</v>
      </c>
      <c r="H1075" s="121" t="s">
        <v>8985</v>
      </c>
    </row>
    <row r="1076" spans="1:8" x14ac:dyDescent="0.25">
      <c r="A1076">
        <v>1529801</v>
      </c>
      <c r="B1076" s="121" t="s">
        <v>8562</v>
      </c>
      <c r="C1076" t="s">
        <v>32</v>
      </c>
      <c r="D1076" t="s">
        <v>63</v>
      </c>
      <c r="E1076" t="s">
        <v>625</v>
      </c>
      <c r="F1076" t="s">
        <v>8986</v>
      </c>
      <c r="G1076" t="s">
        <v>4883</v>
      </c>
      <c r="H1076" s="121" t="s">
        <v>8987</v>
      </c>
    </row>
    <row r="1077" spans="1:8" x14ac:dyDescent="0.25">
      <c r="A1077">
        <v>1529802</v>
      </c>
      <c r="B1077" s="121" t="s">
        <v>8562</v>
      </c>
      <c r="C1077" t="s">
        <v>32</v>
      </c>
      <c r="D1077" t="s">
        <v>63</v>
      </c>
      <c r="E1077" t="s">
        <v>625</v>
      </c>
      <c r="F1077" t="s">
        <v>8988</v>
      </c>
      <c r="G1077" t="s">
        <v>4881</v>
      </c>
      <c r="H1077" s="121" t="s">
        <v>8989</v>
      </c>
    </row>
    <row r="1078" spans="1:8" x14ac:dyDescent="0.25">
      <c r="A1078">
        <v>1529803</v>
      </c>
      <c r="B1078" s="121" t="s">
        <v>8562</v>
      </c>
      <c r="C1078" t="s">
        <v>32</v>
      </c>
      <c r="D1078" t="s">
        <v>63</v>
      </c>
      <c r="E1078" t="s">
        <v>625</v>
      </c>
      <c r="F1078" t="s">
        <v>4884</v>
      </c>
      <c r="G1078" t="s">
        <v>4872</v>
      </c>
      <c r="H1078" s="121" t="s">
        <v>8990</v>
      </c>
    </row>
    <row r="1079" spans="1:8" x14ac:dyDescent="0.25">
      <c r="A1079">
        <v>1529804</v>
      </c>
      <c r="B1079" s="121" t="s">
        <v>8562</v>
      </c>
      <c r="C1079" t="s">
        <v>32</v>
      </c>
      <c r="D1079" t="s">
        <v>63</v>
      </c>
      <c r="E1079" t="s">
        <v>625</v>
      </c>
      <c r="F1079" t="s">
        <v>4877</v>
      </c>
      <c r="G1079" t="s">
        <v>4880</v>
      </c>
      <c r="H1079" s="121" t="s">
        <v>8991</v>
      </c>
    </row>
    <row r="1080" spans="1:8" x14ac:dyDescent="0.25">
      <c r="A1080">
        <v>1529805</v>
      </c>
      <c r="B1080" s="121" t="s">
        <v>8562</v>
      </c>
      <c r="C1080" t="s">
        <v>32</v>
      </c>
      <c r="D1080" t="s">
        <v>63</v>
      </c>
      <c r="E1080" t="s">
        <v>625</v>
      </c>
      <c r="F1080" t="s">
        <v>1607</v>
      </c>
      <c r="G1080" t="s">
        <v>4874</v>
      </c>
      <c r="H1080" s="121" t="s">
        <v>8992</v>
      </c>
    </row>
    <row r="1081" spans="1:8" x14ac:dyDescent="0.25">
      <c r="A1081">
        <v>1534260</v>
      </c>
      <c r="B1081" s="121" t="s">
        <v>8562</v>
      </c>
      <c r="C1081" t="s">
        <v>32</v>
      </c>
      <c r="D1081" t="s">
        <v>389</v>
      </c>
      <c r="E1081" t="s">
        <v>335</v>
      </c>
      <c r="F1081" t="s">
        <v>8993</v>
      </c>
      <c r="G1081" t="s">
        <v>8994</v>
      </c>
      <c r="H1081" s="121" t="s">
        <v>8995</v>
      </c>
    </row>
    <row r="1082" spans="1:8" x14ac:dyDescent="0.25">
      <c r="A1082">
        <v>1535806</v>
      </c>
      <c r="B1082" s="121" t="s">
        <v>8562</v>
      </c>
      <c r="C1082" t="s">
        <v>32</v>
      </c>
      <c r="D1082" t="s">
        <v>377</v>
      </c>
      <c r="E1082" t="s">
        <v>45</v>
      </c>
      <c r="F1082" t="s">
        <v>8996</v>
      </c>
      <c r="G1082" t="s">
        <v>8997</v>
      </c>
      <c r="H1082" s="121" t="s">
        <v>8998</v>
      </c>
    </row>
    <row r="1083" spans="1:8" x14ac:dyDescent="0.25">
      <c r="A1083">
        <v>1535892</v>
      </c>
      <c r="B1083" s="121" t="s">
        <v>8562</v>
      </c>
      <c r="C1083" t="s">
        <v>32</v>
      </c>
      <c r="D1083" t="s">
        <v>5138</v>
      </c>
      <c r="E1083" t="s">
        <v>70</v>
      </c>
      <c r="F1083" t="s">
        <v>5148</v>
      </c>
      <c r="G1083" t="s">
        <v>5160</v>
      </c>
      <c r="H1083" s="121" t="s">
        <v>8999</v>
      </c>
    </row>
    <row r="1084" spans="1:8" x14ac:dyDescent="0.25">
      <c r="A1084">
        <v>1535893</v>
      </c>
      <c r="B1084" s="121" t="s">
        <v>8562</v>
      </c>
      <c r="C1084" t="s">
        <v>32</v>
      </c>
      <c r="D1084" t="s">
        <v>5138</v>
      </c>
      <c r="E1084" t="s">
        <v>70</v>
      </c>
      <c r="F1084" t="s">
        <v>9000</v>
      </c>
      <c r="G1084" t="s">
        <v>5154</v>
      </c>
      <c r="H1084" s="121" t="s">
        <v>9001</v>
      </c>
    </row>
    <row r="1085" spans="1:8" x14ac:dyDescent="0.25">
      <c r="A1085">
        <v>1535894</v>
      </c>
      <c r="B1085" s="121" t="s">
        <v>8562</v>
      </c>
      <c r="C1085" t="s">
        <v>32</v>
      </c>
      <c r="D1085" t="s">
        <v>5138</v>
      </c>
      <c r="E1085" t="s">
        <v>70</v>
      </c>
      <c r="F1085" t="s">
        <v>5157</v>
      </c>
      <c r="G1085" t="s">
        <v>5155</v>
      </c>
      <c r="H1085" s="121" t="s">
        <v>9002</v>
      </c>
    </row>
    <row r="1086" spans="1:8" x14ac:dyDescent="0.25">
      <c r="A1086">
        <v>1535908</v>
      </c>
      <c r="B1086" s="121" t="s">
        <v>8562</v>
      </c>
      <c r="C1086" t="s">
        <v>32</v>
      </c>
      <c r="D1086" t="s">
        <v>5138</v>
      </c>
      <c r="E1086" t="s">
        <v>70</v>
      </c>
      <c r="F1086" t="s">
        <v>5149</v>
      </c>
      <c r="G1086" t="s">
        <v>5152</v>
      </c>
      <c r="H1086" s="121" t="s">
        <v>9003</v>
      </c>
    </row>
    <row r="1087" spans="1:8" x14ac:dyDescent="0.25">
      <c r="A1087">
        <v>1535909</v>
      </c>
      <c r="B1087" s="121" t="s">
        <v>8562</v>
      </c>
      <c r="C1087" t="s">
        <v>32</v>
      </c>
      <c r="D1087" t="s">
        <v>5138</v>
      </c>
      <c r="E1087" t="s">
        <v>70</v>
      </c>
      <c r="F1087" t="s">
        <v>9004</v>
      </c>
      <c r="G1087" t="s">
        <v>5158</v>
      </c>
      <c r="H1087" s="121" t="s">
        <v>9005</v>
      </c>
    </row>
    <row r="1088" spans="1:8" x14ac:dyDescent="0.25">
      <c r="A1088">
        <v>1535922</v>
      </c>
      <c r="B1088" s="121" t="s">
        <v>8562</v>
      </c>
      <c r="C1088" t="s">
        <v>32</v>
      </c>
      <c r="D1088" t="s">
        <v>5138</v>
      </c>
      <c r="E1088" t="s">
        <v>5083</v>
      </c>
      <c r="F1088" t="s">
        <v>5140</v>
      </c>
      <c r="G1088" t="s">
        <v>9006</v>
      </c>
      <c r="H1088" s="121" t="s">
        <v>9007</v>
      </c>
    </row>
    <row r="1089" spans="1:8" x14ac:dyDescent="0.25">
      <c r="A1089">
        <v>1535923</v>
      </c>
      <c r="B1089" s="121" t="s">
        <v>8562</v>
      </c>
      <c r="C1089" t="s">
        <v>32</v>
      </c>
      <c r="D1089" t="s">
        <v>5138</v>
      </c>
      <c r="E1089" t="s">
        <v>5083</v>
      </c>
      <c r="F1089" t="s">
        <v>9008</v>
      </c>
      <c r="G1089" t="s">
        <v>6915</v>
      </c>
      <c r="H1089" s="121" t="s">
        <v>9009</v>
      </c>
    </row>
    <row r="1090" spans="1:8" x14ac:dyDescent="0.25">
      <c r="A1090">
        <v>1535924</v>
      </c>
      <c r="B1090" s="121" t="s">
        <v>8562</v>
      </c>
      <c r="C1090" t="s">
        <v>32</v>
      </c>
      <c r="D1090" t="s">
        <v>5138</v>
      </c>
      <c r="E1090" t="s">
        <v>5083</v>
      </c>
      <c r="F1090" t="s">
        <v>5146</v>
      </c>
      <c r="G1090" t="s">
        <v>5145</v>
      </c>
      <c r="H1090" s="121" t="s">
        <v>9010</v>
      </c>
    </row>
    <row r="1091" spans="1:8" x14ac:dyDescent="0.25">
      <c r="A1091">
        <v>1535937</v>
      </c>
      <c r="B1091" s="121" t="s">
        <v>8562</v>
      </c>
      <c r="C1091" t="s">
        <v>32</v>
      </c>
      <c r="D1091" t="s">
        <v>5138</v>
      </c>
      <c r="E1091" t="s">
        <v>5083</v>
      </c>
      <c r="F1091" t="s">
        <v>5143</v>
      </c>
      <c r="G1091" t="s">
        <v>6914</v>
      </c>
      <c r="H1091" s="121" t="s">
        <v>9011</v>
      </c>
    </row>
    <row r="1092" spans="1:8" x14ac:dyDescent="0.25">
      <c r="A1092">
        <v>1535938</v>
      </c>
      <c r="B1092" s="121" t="s">
        <v>8562</v>
      </c>
      <c r="C1092" t="s">
        <v>32</v>
      </c>
      <c r="D1092" t="s">
        <v>5138</v>
      </c>
      <c r="E1092" t="s">
        <v>5083</v>
      </c>
      <c r="F1092" t="s">
        <v>5142</v>
      </c>
      <c r="G1092" t="s">
        <v>5139</v>
      </c>
      <c r="H1092" s="121" t="s">
        <v>9012</v>
      </c>
    </row>
    <row r="1093" spans="1:8" x14ac:dyDescent="0.25">
      <c r="A1093">
        <v>1536181</v>
      </c>
      <c r="B1093" s="121" t="s">
        <v>8562</v>
      </c>
      <c r="C1093" t="s">
        <v>32</v>
      </c>
      <c r="D1093" t="s">
        <v>377</v>
      </c>
      <c r="E1093" t="s">
        <v>7790</v>
      </c>
      <c r="F1093" t="s">
        <v>9013</v>
      </c>
      <c r="G1093" t="s">
        <v>9014</v>
      </c>
      <c r="H1093" s="121" t="s">
        <v>9015</v>
      </c>
    </row>
    <row r="1094" spans="1:8" x14ac:dyDescent="0.25">
      <c r="A1094">
        <v>1536531</v>
      </c>
      <c r="B1094" s="121" t="s">
        <v>8562</v>
      </c>
      <c r="C1094" t="s">
        <v>32</v>
      </c>
      <c r="D1094" t="s">
        <v>377</v>
      </c>
      <c r="E1094" t="s">
        <v>7242</v>
      </c>
      <c r="F1094" t="s">
        <v>9016</v>
      </c>
      <c r="G1094" t="s">
        <v>9017</v>
      </c>
      <c r="H1094" s="121" t="s">
        <v>9018</v>
      </c>
    </row>
    <row r="1095" spans="1:8" x14ac:dyDescent="0.25">
      <c r="A1095">
        <v>1536533</v>
      </c>
      <c r="B1095" s="121" t="s">
        <v>8562</v>
      </c>
      <c r="C1095" t="s">
        <v>32</v>
      </c>
      <c r="D1095" t="s">
        <v>377</v>
      </c>
      <c r="E1095" t="s">
        <v>7242</v>
      </c>
      <c r="F1095" t="s">
        <v>9019</v>
      </c>
      <c r="G1095" t="s">
        <v>9020</v>
      </c>
      <c r="H1095" s="121" t="s">
        <v>9021</v>
      </c>
    </row>
    <row r="1096" spans="1:8" x14ac:dyDescent="0.25">
      <c r="A1096">
        <v>1536968</v>
      </c>
      <c r="B1096" s="121" t="s">
        <v>8562</v>
      </c>
      <c r="C1096" t="s">
        <v>32</v>
      </c>
      <c r="D1096" t="s">
        <v>71</v>
      </c>
      <c r="E1096" t="s">
        <v>350</v>
      </c>
      <c r="F1096" t="s">
        <v>2277</v>
      </c>
      <c r="G1096" t="s">
        <v>9022</v>
      </c>
      <c r="H1096" s="121" t="s">
        <v>9023</v>
      </c>
    </row>
    <row r="1097" spans="1:8" x14ac:dyDescent="0.25">
      <c r="A1097">
        <v>1538439</v>
      </c>
      <c r="B1097" s="121" t="s">
        <v>8562</v>
      </c>
      <c r="C1097" t="s">
        <v>32</v>
      </c>
      <c r="D1097" t="s">
        <v>68</v>
      </c>
      <c r="E1097" t="s">
        <v>47</v>
      </c>
      <c r="F1097" t="s">
        <v>9024</v>
      </c>
      <c r="G1097" t="s">
        <v>1283</v>
      </c>
      <c r="H1097" s="121" t="s">
        <v>9025</v>
      </c>
    </row>
    <row r="1098" spans="1:8" x14ac:dyDescent="0.25">
      <c r="A1098">
        <v>1538440</v>
      </c>
      <c r="B1098" s="121" t="s">
        <v>8562</v>
      </c>
      <c r="C1098" t="s">
        <v>32</v>
      </c>
      <c r="D1098" t="s">
        <v>68</v>
      </c>
      <c r="E1098" t="s">
        <v>47</v>
      </c>
      <c r="F1098" t="s">
        <v>9026</v>
      </c>
      <c r="G1098" t="s">
        <v>1286</v>
      </c>
      <c r="H1098" s="121" t="s">
        <v>9027</v>
      </c>
    </row>
    <row r="1099" spans="1:8" x14ac:dyDescent="0.25">
      <c r="A1099">
        <v>1538442</v>
      </c>
      <c r="B1099" s="121" t="s">
        <v>8562</v>
      </c>
      <c r="C1099" t="s">
        <v>32</v>
      </c>
      <c r="D1099" t="s">
        <v>68</v>
      </c>
      <c r="E1099" t="s">
        <v>47</v>
      </c>
      <c r="F1099" t="s">
        <v>1285</v>
      </c>
      <c r="G1099" t="s">
        <v>1284</v>
      </c>
      <c r="H1099" s="121" t="s">
        <v>9028</v>
      </c>
    </row>
    <row r="1100" spans="1:8" x14ac:dyDescent="0.25">
      <c r="A1100">
        <v>1539959</v>
      </c>
      <c r="B1100" s="121" t="s">
        <v>8562</v>
      </c>
      <c r="C1100" t="s">
        <v>32</v>
      </c>
      <c r="D1100" t="s">
        <v>68</v>
      </c>
      <c r="E1100" t="s">
        <v>236</v>
      </c>
      <c r="F1100" t="s">
        <v>9029</v>
      </c>
      <c r="G1100" t="s">
        <v>9030</v>
      </c>
      <c r="H1100" s="121" t="s">
        <v>9031</v>
      </c>
    </row>
    <row r="1101" spans="1:8" x14ac:dyDescent="0.25">
      <c r="A1101">
        <v>1539960</v>
      </c>
      <c r="B1101" s="121" t="s">
        <v>8562</v>
      </c>
      <c r="C1101" t="s">
        <v>32</v>
      </c>
      <c r="D1101" t="s">
        <v>68</v>
      </c>
      <c r="E1101" t="s">
        <v>236</v>
      </c>
      <c r="F1101" t="s">
        <v>9032</v>
      </c>
      <c r="G1101" t="s">
        <v>9033</v>
      </c>
      <c r="H1101" s="121" t="s">
        <v>9034</v>
      </c>
    </row>
    <row r="1102" spans="1:8" x14ac:dyDescent="0.25">
      <c r="A1102">
        <v>1539961</v>
      </c>
      <c r="B1102" s="121" t="s">
        <v>8562</v>
      </c>
      <c r="C1102" t="s">
        <v>32</v>
      </c>
      <c r="D1102" t="s">
        <v>68</v>
      </c>
      <c r="E1102" t="s">
        <v>236</v>
      </c>
      <c r="F1102" t="s">
        <v>9035</v>
      </c>
      <c r="G1102" t="s">
        <v>9036</v>
      </c>
      <c r="H1102" s="121" t="s">
        <v>9037</v>
      </c>
    </row>
    <row r="1103" spans="1:8" x14ac:dyDescent="0.25">
      <c r="A1103">
        <v>1539962</v>
      </c>
      <c r="B1103" s="121" t="s">
        <v>8562</v>
      </c>
      <c r="C1103" t="s">
        <v>32</v>
      </c>
      <c r="D1103" t="s">
        <v>68</v>
      </c>
      <c r="E1103" t="s">
        <v>236</v>
      </c>
      <c r="F1103" t="s">
        <v>9038</v>
      </c>
      <c r="G1103" t="s">
        <v>9039</v>
      </c>
      <c r="H1103" s="121" t="s">
        <v>9040</v>
      </c>
    </row>
    <row r="1104" spans="1:8" x14ac:dyDescent="0.25">
      <c r="A1104">
        <v>1539963</v>
      </c>
      <c r="B1104" s="121" t="s">
        <v>8562</v>
      </c>
      <c r="C1104" t="s">
        <v>32</v>
      </c>
      <c r="D1104" t="s">
        <v>68</v>
      </c>
      <c r="E1104" t="s">
        <v>236</v>
      </c>
      <c r="F1104" t="s">
        <v>9041</v>
      </c>
      <c r="G1104" t="s">
        <v>3483</v>
      </c>
      <c r="H1104" s="121" t="s">
        <v>9042</v>
      </c>
    </row>
    <row r="1105" spans="1:8" x14ac:dyDescent="0.25">
      <c r="A1105">
        <v>1539964</v>
      </c>
      <c r="B1105" s="121" t="s">
        <v>8562</v>
      </c>
      <c r="C1105" t="s">
        <v>32</v>
      </c>
      <c r="D1105" t="s">
        <v>68</v>
      </c>
      <c r="E1105" t="s">
        <v>236</v>
      </c>
      <c r="F1105" t="s">
        <v>9043</v>
      </c>
      <c r="G1105" t="s">
        <v>9044</v>
      </c>
      <c r="H1105" s="121" t="s">
        <v>9045</v>
      </c>
    </row>
    <row r="1106" spans="1:8" x14ac:dyDescent="0.25">
      <c r="A1106">
        <v>1539965</v>
      </c>
      <c r="B1106" s="121" t="s">
        <v>8562</v>
      </c>
      <c r="C1106" t="s">
        <v>32</v>
      </c>
      <c r="D1106" t="s">
        <v>68</v>
      </c>
      <c r="E1106" t="s">
        <v>236</v>
      </c>
      <c r="F1106" t="s">
        <v>9046</v>
      </c>
      <c r="G1106" t="s">
        <v>9047</v>
      </c>
      <c r="H1106" s="121" t="s">
        <v>9048</v>
      </c>
    </row>
    <row r="1107" spans="1:8" x14ac:dyDescent="0.25">
      <c r="A1107">
        <v>1539984</v>
      </c>
      <c r="B1107" s="121" t="s">
        <v>8562</v>
      </c>
      <c r="C1107" t="s">
        <v>32</v>
      </c>
      <c r="D1107" t="s">
        <v>5924</v>
      </c>
      <c r="E1107" t="s">
        <v>7410</v>
      </c>
      <c r="F1107" t="s">
        <v>9049</v>
      </c>
      <c r="G1107" t="s">
        <v>9050</v>
      </c>
      <c r="H1107" s="121" t="s">
        <v>9051</v>
      </c>
    </row>
    <row r="1108" spans="1:8" x14ac:dyDescent="0.25">
      <c r="A1108">
        <v>1539993</v>
      </c>
      <c r="B1108" s="121" t="s">
        <v>8562</v>
      </c>
      <c r="C1108" t="s">
        <v>32</v>
      </c>
      <c r="D1108" t="s">
        <v>5924</v>
      </c>
      <c r="E1108" t="s">
        <v>7410</v>
      </c>
      <c r="F1108" t="s">
        <v>9052</v>
      </c>
      <c r="G1108" t="s">
        <v>9053</v>
      </c>
      <c r="H1108" s="121" t="s">
        <v>9054</v>
      </c>
    </row>
    <row r="1109" spans="1:8" x14ac:dyDescent="0.25">
      <c r="A1109">
        <v>1540048</v>
      </c>
      <c r="B1109" s="121" t="s">
        <v>8562</v>
      </c>
      <c r="C1109" t="s">
        <v>32</v>
      </c>
      <c r="D1109" t="s">
        <v>63</v>
      </c>
      <c r="E1109" t="s">
        <v>635</v>
      </c>
      <c r="F1109" t="s">
        <v>1786</v>
      </c>
      <c r="G1109" t="s">
        <v>1788</v>
      </c>
      <c r="H1109" s="121" t="s">
        <v>9055</v>
      </c>
    </row>
    <row r="1110" spans="1:8" x14ac:dyDescent="0.25">
      <c r="A1110">
        <v>1540049</v>
      </c>
      <c r="B1110" s="121" t="s">
        <v>8562</v>
      </c>
      <c r="C1110" t="s">
        <v>32</v>
      </c>
      <c r="D1110" t="s">
        <v>63</v>
      </c>
      <c r="E1110" t="s">
        <v>635</v>
      </c>
      <c r="F1110" t="s">
        <v>1787</v>
      </c>
      <c r="G1110" t="s">
        <v>1789</v>
      </c>
      <c r="H1110" s="121" t="s">
        <v>9056</v>
      </c>
    </row>
    <row r="1111" spans="1:8" x14ac:dyDescent="0.25">
      <c r="A1111">
        <v>1540050</v>
      </c>
      <c r="B1111" s="121" t="s">
        <v>8562</v>
      </c>
      <c r="C1111" t="s">
        <v>32</v>
      </c>
      <c r="D1111" t="s">
        <v>63</v>
      </c>
      <c r="E1111" t="s">
        <v>635</v>
      </c>
      <c r="F1111" t="s">
        <v>4909</v>
      </c>
      <c r="G1111" t="s">
        <v>4911</v>
      </c>
      <c r="H1111" s="121" t="s">
        <v>9057</v>
      </c>
    </row>
    <row r="1112" spans="1:8" x14ac:dyDescent="0.25">
      <c r="A1112">
        <v>1435126</v>
      </c>
      <c r="B1112" s="121" t="s">
        <v>8562</v>
      </c>
      <c r="C1112" t="s">
        <v>32</v>
      </c>
      <c r="D1112" t="s">
        <v>65</v>
      </c>
      <c r="E1112" t="s">
        <v>4922</v>
      </c>
      <c r="F1112" t="s">
        <v>5988</v>
      </c>
      <c r="G1112" t="s">
        <v>5982</v>
      </c>
      <c r="H1112" s="121" t="s">
        <v>9058</v>
      </c>
    </row>
    <row r="1113" spans="1:8" x14ac:dyDescent="0.25">
      <c r="A1113">
        <v>1435127</v>
      </c>
      <c r="B1113" s="121" t="s">
        <v>8562</v>
      </c>
      <c r="C1113" t="s">
        <v>32</v>
      </c>
      <c r="D1113" t="s">
        <v>65</v>
      </c>
      <c r="E1113" t="s">
        <v>4922</v>
      </c>
      <c r="F1113" t="s">
        <v>5984</v>
      </c>
      <c r="G1113" t="s">
        <v>5945</v>
      </c>
      <c r="H1113" s="121" t="s">
        <v>9059</v>
      </c>
    </row>
    <row r="1114" spans="1:8" x14ac:dyDescent="0.25">
      <c r="A1114">
        <v>1435489</v>
      </c>
      <c r="B1114" s="121" t="s">
        <v>8562</v>
      </c>
      <c r="C1114" t="s">
        <v>32</v>
      </c>
      <c r="D1114" t="s">
        <v>65</v>
      </c>
      <c r="E1114" t="s">
        <v>5947</v>
      </c>
      <c r="F1114" t="s">
        <v>5957</v>
      </c>
      <c r="G1114" t="s">
        <v>5949</v>
      </c>
      <c r="H1114" s="121" t="s">
        <v>9060</v>
      </c>
    </row>
    <row r="1115" spans="1:8" x14ac:dyDescent="0.25">
      <c r="A1115">
        <v>1435490</v>
      </c>
      <c r="B1115" s="121" t="s">
        <v>8562</v>
      </c>
      <c r="C1115" t="s">
        <v>32</v>
      </c>
      <c r="D1115" t="s">
        <v>65</v>
      </c>
      <c r="E1115" t="s">
        <v>5947</v>
      </c>
      <c r="F1115" t="s">
        <v>5963</v>
      </c>
      <c r="G1115" t="s">
        <v>5979</v>
      </c>
      <c r="H1115" s="121" t="s">
        <v>9061</v>
      </c>
    </row>
    <row r="1116" spans="1:8" x14ac:dyDescent="0.25">
      <c r="A1116">
        <v>1435491</v>
      </c>
      <c r="B1116" s="121" t="s">
        <v>8562</v>
      </c>
      <c r="C1116" t="s">
        <v>32</v>
      </c>
      <c r="D1116" t="s">
        <v>65</v>
      </c>
      <c r="E1116" t="s">
        <v>5947</v>
      </c>
      <c r="F1116" t="s">
        <v>5960</v>
      </c>
      <c r="G1116" t="s">
        <v>5952</v>
      </c>
      <c r="H1116" s="121" t="s">
        <v>9062</v>
      </c>
    </row>
    <row r="1117" spans="1:8" x14ac:dyDescent="0.25">
      <c r="A1117">
        <v>1435492</v>
      </c>
      <c r="B1117" s="121" t="s">
        <v>8562</v>
      </c>
      <c r="C1117" t="s">
        <v>32</v>
      </c>
      <c r="D1117" t="s">
        <v>65</v>
      </c>
      <c r="E1117" t="s">
        <v>5947</v>
      </c>
      <c r="F1117" t="s">
        <v>5954</v>
      </c>
      <c r="G1117" t="s">
        <v>5964</v>
      </c>
      <c r="H1117" s="121" t="s">
        <v>9063</v>
      </c>
    </row>
    <row r="1118" spans="1:8" x14ac:dyDescent="0.25">
      <c r="A1118">
        <v>1435493</v>
      </c>
      <c r="B1118" s="121" t="s">
        <v>8562</v>
      </c>
      <c r="C1118" t="s">
        <v>32</v>
      </c>
      <c r="D1118" t="s">
        <v>65</v>
      </c>
      <c r="E1118" t="s">
        <v>5947</v>
      </c>
      <c r="F1118" t="s">
        <v>5975</v>
      </c>
      <c r="G1118" t="s">
        <v>5955</v>
      </c>
      <c r="H1118" s="121" t="s">
        <v>9064</v>
      </c>
    </row>
    <row r="1119" spans="1:8" x14ac:dyDescent="0.25">
      <c r="A1119">
        <v>1435494</v>
      </c>
      <c r="B1119" s="121" t="s">
        <v>8562</v>
      </c>
      <c r="C1119" t="s">
        <v>32</v>
      </c>
      <c r="D1119" t="s">
        <v>65</v>
      </c>
      <c r="E1119" t="s">
        <v>5947</v>
      </c>
      <c r="F1119" t="s">
        <v>5948</v>
      </c>
      <c r="G1119" t="s">
        <v>5958</v>
      </c>
      <c r="H1119" s="121" t="s">
        <v>9065</v>
      </c>
    </row>
    <row r="1120" spans="1:8" x14ac:dyDescent="0.25">
      <c r="A1120">
        <v>1435495</v>
      </c>
      <c r="B1120" s="121" t="s">
        <v>8562</v>
      </c>
      <c r="C1120" t="s">
        <v>32</v>
      </c>
      <c r="D1120" t="s">
        <v>65</v>
      </c>
      <c r="E1120" t="s">
        <v>5947</v>
      </c>
      <c r="F1120" t="s">
        <v>5969</v>
      </c>
      <c r="G1120" t="s">
        <v>5961</v>
      </c>
      <c r="H1120" s="121" t="s">
        <v>9066</v>
      </c>
    </row>
    <row r="1121" spans="1:8" x14ac:dyDescent="0.25">
      <c r="A1121">
        <v>1435496</v>
      </c>
      <c r="B1121" s="121" t="s">
        <v>8562</v>
      </c>
      <c r="C1121" t="s">
        <v>32</v>
      </c>
      <c r="D1121" t="s">
        <v>65</v>
      </c>
      <c r="E1121" t="s">
        <v>5947</v>
      </c>
      <c r="F1121" t="s">
        <v>5972</v>
      </c>
      <c r="G1121" t="s">
        <v>5967</v>
      </c>
      <c r="H1121" s="121" t="s">
        <v>9067</v>
      </c>
    </row>
    <row r="1122" spans="1:8" x14ac:dyDescent="0.25">
      <c r="A1122">
        <v>1435497</v>
      </c>
      <c r="B1122" s="121" t="s">
        <v>8562</v>
      </c>
      <c r="C1122" t="s">
        <v>32</v>
      </c>
      <c r="D1122" t="s">
        <v>65</v>
      </c>
      <c r="E1122" t="s">
        <v>5947</v>
      </c>
      <c r="F1122" t="s">
        <v>5966</v>
      </c>
      <c r="G1122" t="s">
        <v>5973</v>
      </c>
      <c r="H1122" s="121" t="s">
        <v>9068</v>
      </c>
    </row>
    <row r="1123" spans="1:8" x14ac:dyDescent="0.25">
      <c r="A1123">
        <v>1435542</v>
      </c>
      <c r="B1123" s="121" t="s">
        <v>8562</v>
      </c>
      <c r="C1123" t="s">
        <v>32</v>
      </c>
      <c r="D1123" t="s">
        <v>65</v>
      </c>
      <c r="E1123" t="s">
        <v>5947</v>
      </c>
      <c r="F1123" t="s">
        <v>5951</v>
      </c>
      <c r="G1123" t="s">
        <v>5976</v>
      </c>
      <c r="H1123" s="121" t="s">
        <v>9069</v>
      </c>
    </row>
    <row r="1124" spans="1:8" x14ac:dyDescent="0.25">
      <c r="A1124">
        <v>1444522</v>
      </c>
      <c r="B1124" s="121" t="s">
        <v>8562</v>
      </c>
      <c r="C1124" t="s">
        <v>32</v>
      </c>
      <c r="D1124" t="s">
        <v>65</v>
      </c>
      <c r="E1124" t="s">
        <v>5947</v>
      </c>
      <c r="F1124" t="s">
        <v>5978</v>
      </c>
      <c r="G1124" t="s">
        <v>5970</v>
      </c>
      <c r="H1124" s="121" t="s">
        <v>9070</v>
      </c>
    </row>
    <row r="1125" spans="1:8" x14ac:dyDescent="0.25">
      <c r="A1125">
        <v>1444479</v>
      </c>
      <c r="B1125" s="121" t="s">
        <v>8562</v>
      </c>
      <c r="C1125" t="s">
        <v>32</v>
      </c>
      <c r="D1125" t="s">
        <v>65</v>
      </c>
      <c r="E1125" t="s">
        <v>4922</v>
      </c>
      <c r="F1125" t="s">
        <v>5551</v>
      </c>
      <c r="G1125" t="s">
        <v>5941</v>
      </c>
      <c r="H1125" s="121" t="s">
        <v>9071</v>
      </c>
    </row>
    <row r="1126" spans="1:8" x14ac:dyDescent="0.25">
      <c r="A1126">
        <v>1435128</v>
      </c>
      <c r="B1126" s="121" t="s">
        <v>8562</v>
      </c>
      <c r="C1126" t="s">
        <v>32</v>
      </c>
      <c r="D1126" t="s">
        <v>65</v>
      </c>
      <c r="E1126" t="s">
        <v>4922</v>
      </c>
      <c r="F1126" t="s">
        <v>5985</v>
      </c>
      <c r="G1126" t="s">
        <v>5942</v>
      </c>
      <c r="H1126" s="121" t="s">
        <v>9072</v>
      </c>
    </row>
    <row r="1127" spans="1:8" x14ac:dyDescent="0.25">
      <c r="A1127">
        <v>1435129</v>
      </c>
      <c r="B1127" s="121" t="s">
        <v>8562</v>
      </c>
      <c r="C1127" t="s">
        <v>32</v>
      </c>
      <c r="D1127" t="s">
        <v>65</v>
      </c>
      <c r="E1127" t="s">
        <v>4922</v>
      </c>
      <c r="F1127" t="s">
        <v>5944</v>
      </c>
      <c r="G1127" t="s">
        <v>5994</v>
      </c>
      <c r="H1127" s="121" t="s">
        <v>9073</v>
      </c>
    </row>
    <row r="1128" spans="1:8" x14ac:dyDescent="0.25">
      <c r="A1128">
        <v>1435130</v>
      </c>
      <c r="B1128" s="121" t="s">
        <v>8562</v>
      </c>
      <c r="C1128" t="s">
        <v>32</v>
      </c>
      <c r="D1128" t="s">
        <v>65</v>
      </c>
      <c r="E1128" t="s">
        <v>4922</v>
      </c>
      <c r="F1128" t="s">
        <v>5987</v>
      </c>
      <c r="G1128" t="s">
        <v>4926</v>
      </c>
      <c r="H1128" s="121" t="s">
        <v>9074</v>
      </c>
    </row>
    <row r="1129" spans="1:8" x14ac:dyDescent="0.25">
      <c r="A1129">
        <v>1435131</v>
      </c>
      <c r="B1129" s="121" t="s">
        <v>8562</v>
      </c>
      <c r="C1129" t="s">
        <v>32</v>
      </c>
      <c r="D1129" t="s">
        <v>65</v>
      </c>
      <c r="E1129" t="s">
        <v>4922</v>
      </c>
      <c r="F1129" t="s">
        <v>4924</v>
      </c>
      <c r="G1129" t="s">
        <v>5552</v>
      </c>
      <c r="H1129" s="121" t="s">
        <v>9075</v>
      </c>
    </row>
    <row r="1130" spans="1:8" x14ac:dyDescent="0.25">
      <c r="A1130">
        <v>1435132</v>
      </c>
      <c r="B1130" s="121" t="s">
        <v>8562</v>
      </c>
      <c r="C1130" t="s">
        <v>32</v>
      </c>
      <c r="D1130" t="s">
        <v>65</v>
      </c>
      <c r="E1130" t="s">
        <v>4922</v>
      </c>
      <c r="F1130" t="s">
        <v>5981</v>
      </c>
      <c r="G1130" t="s">
        <v>5990</v>
      </c>
      <c r="H1130" s="121" t="s">
        <v>9076</v>
      </c>
    </row>
    <row r="1131" spans="1:8" x14ac:dyDescent="0.25">
      <c r="A1131">
        <v>1435133</v>
      </c>
      <c r="B1131" s="121" t="s">
        <v>8562</v>
      </c>
      <c r="C1131" t="s">
        <v>32</v>
      </c>
      <c r="D1131" t="s">
        <v>65</v>
      </c>
      <c r="E1131" t="s">
        <v>4922</v>
      </c>
      <c r="F1131" t="s">
        <v>5996</v>
      </c>
      <c r="G1131" t="s">
        <v>5993</v>
      </c>
      <c r="H1131" s="121" t="s">
        <v>9077</v>
      </c>
    </row>
    <row r="1132" spans="1:8" x14ac:dyDescent="0.25">
      <c r="A1132">
        <v>1435134</v>
      </c>
      <c r="B1132" s="121" t="s">
        <v>8562</v>
      </c>
      <c r="C1132" t="s">
        <v>32</v>
      </c>
      <c r="D1132" t="s">
        <v>65</v>
      </c>
      <c r="E1132" t="s">
        <v>4922</v>
      </c>
      <c r="F1132" t="s">
        <v>4923</v>
      </c>
      <c r="G1132" t="s">
        <v>5991</v>
      </c>
      <c r="H1132" s="121" t="s">
        <v>9078</v>
      </c>
    </row>
    <row r="1133" spans="1:8" x14ac:dyDescent="0.25">
      <c r="A1133">
        <v>1391122</v>
      </c>
      <c r="B1133" s="121" t="s">
        <v>9079</v>
      </c>
      <c r="C1133" t="s">
        <v>32</v>
      </c>
      <c r="D1133" t="s">
        <v>40</v>
      </c>
      <c r="E1133" t="s">
        <v>74</v>
      </c>
      <c r="F1133" t="s">
        <v>1359</v>
      </c>
      <c r="G1133" t="s">
        <v>2338</v>
      </c>
      <c r="H1133" s="121" t="s">
        <v>9080</v>
      </c>
    </row>
    <row r="1134" spans="1:8" x14ac:dyDescent="0.25">
      <c r="A1134">
        <v>1392142</v>
      </c>
      <c r="B1134" s="121" t="s">
        <v>9079</v>
      </c>
      <c r="C1134" t="s">
        <v>32</v>
      </c>
      <c r="D1134" t="s">
        <v>40</v>
      </c>
      <c r="E1134" t="s">
        <v>75</v>
      </c>
      <c r="F1134" t="s">
        <v>9081</v>
      </c>
      <c r="G1134" t="s">
        <v>427</v>
      </c>
      <c r="H1134" s="121" t="s">
        <v>9082</v>
      </c>
    </row>
    <row r="1135" spans="1:8" x14ac:dyDescent="0.25">
      <c r="A1135">
        <v>1392146</v>
      </c>
      <c r="B1135" s="121" t="s">
        <v>9079</v>
      </c>
      <c r="C1135" t="s">
        <v>32</v>
      </c>
      <c r="D1135" t="s">
        <v>40</v>
      </c>
      <c r="E1135" t="s">
        <v>75</v>
      </c>
      <c r="F1135" t="s">
        <v>428</v>
      </c>
      <c r="G1135" t="s">
        <v>6004</v>
      </c>
      <c r="H1135" s="121" t="s">
        <v>9083</v>
      </c>
    </row>
    <row r="1136" spans="1:8" x14ac:dyDescent="0.25">
      <c r="A1136">
        <v>1431446</v>
      </c>
      <c r="B1136" s="121" t="s">
        <v>9079</v>
      </c>
      <c r="C1136" t="s">
        <v>32</v>
      </c>
      <c r="D1136" t="s">
        <v>40</v>
      </c>
      <c r="E1136" t="s">
        <v>349</v>
      </c>
      <c r="F1136" t="s">
        <v>1913</v>
      </c>
      <c r="G1136" t="s">
        <v>1035</v>
      </c>
      <c r="H1136" s="121" t="s">
        <v>9084</v>
      </c>
    </row>
    <row r="1137" spans="1:8" x14ac:dyDescent="0.25">
      <c r="A1137">
        <v>1431824</v>
      </c>
      <c r="B1137" s="121" t="s">
        <v>9079</v>
      </c>
      <c r="C1137" t="s">
        <v>32</v>
      </c>
      <c r="D1137" t="s">
        <v>40</v>
      </c>
      <c r="E1137" t="s">
        <v>340</v>
      </c>
      <c r="F1137" t="s">
        <v>9085</v>
      </c>
      <c r="G1137" t="s">
        <v>1036</v>
      </c>
      <c r="H1137" s="121" t="s">
        <v>9086</v>
      </c>
    </row>
    <row r="1138" spans="1:8" x14ac:dyDescent="0.25">
      <c r="A1138">
        <v>1431825</v>
      </c>
      <c r="B1138" s="121" t="s">
        <v>9079</v>
      </c>
      <c r="C1138" t="s">
        <v>32</v>
      </c>
      <c r="D1138" t="s">
        <v>40</v>
      </c>
      <c r="E1138" t="s">
        <v>340</v>
      </c>
      <c r="F1138" t="s">
        <v>2249</v>
      </c>
      <c r="G1138" t="s">
        <v>9087</v>
      </c>
      <c r="H1138" s="121" t="s">
        <v>9088</v>
      </c>
    </row>
    <row r="1139" spans="1:8" x14ac:dyDescent="0.25">
      <c r="A1139">
        <v>1531521</v>
      </c>
      <c r="B1139" s="121" t="s">
        <v>9079</v>
      </c>
      <c r="C1139" t="s">
        <v>32</v>
      </c>
      <c r="D1139" t="s">
        <v>95</v>
      </c>
      <c r="E1139" t="s">
        <v>96</v>
      </c>
      <c r="F1139" t="s">
        <v>9089</v>
      </c>
      <c r="G1139" t="s">
        <v>9090</v>
      </c>
      <c r="H1139" s="121" t="s">
        <v>9091</v>
      </c>
    </row>
    <row r="1140" spans="1:8" x14ac:dyDescent="0.25">
      <c r="A1140">
        <v>1530940</v>
      </c>
      <c r="B1140" s="121" t="s">
        <v>9092</v>
      </c>
      <c r="C1140" t="s">
        <v>32</v>
      </c>
      <c r="D1140" t="s">
        <v>9093</v>
      </c>
      <c r="E1140" t="s">
        <v>9094</v>
      </c>
      <c r="F1140" t="s">
        <v>9095</v>
      </c>
      <c r="G1140" t="s">
        <v>9096</v>
      </c>
      <c r="H1140" s="121" t="s">
        <v>9097</v>
      </c>
    </row>
    <row r="1141" spans="1:8" x14ac:dyDescent="0.25">
      <c r="A1141">
        <v>1381135</v>
      </c>
      <c r="B1141" s="121" t="s">
        <v>9098</v>
      </c>
      <c r="C1141" t="s">
        <v>32</v>
      </c>
      <c r="D1141" t="s">
        <v>58</v>
      </c>
      <c r="E1141" t="s">
        <v>59</v>
      </c>
      <c r="F1141" t="s">
        <v>9099</v>
      </c>
      <c r="G1141" t="s">
        <v>1523</v>
      </c>
      <c r="H1141" s="121" t="s">
        <v>9100</v>
      </c>
    </row>
    <row r="1142" spans="1:8" x14ac:dyDescent="0.25">
      <c r="A1142">
        <v>1382268</v>
      </c>
      <c r="B1142" s="121" t="s">
        <v>9098</v>
      </c>
      <c r="C1142" t="s">
        <v>32</v>
      </c>
      <c r="D1142" t="s">
        <v>58</v>
      </c>
      <c r="E1142" t="s">
        <v>88</v>
      </c>
      <c r="F1142" t="s">
        <v>9101</v>
      </c>
      <c r="G1142" t="s">
        <v>1184</v>
      </c>
      <c r="H1142" s="121" t="s">
        <v>9102</v>
      </c>
    </row>
    <row r="1143" spans="1:8" x14ac:dyDescent="0.25">
      <c r="A1143">
        <v>1388247</v>
      </c>
      <c r="B1143" s="121" t="s">
        <v>9098</v>
      </c>
      <c r="C1143" t="s">
        <v>32</v>
      </c>
      <c r="D1143" t="s">
        <v>267</v>
      </c>
      <c r="E1143" t="s">
        <v>402</v>
      </c>
      <c r="F1143" t="s">
        <v>1797</v>
      </c>
      <c r="G1143" t="s">
        <v>1618</v>
      </c>
      <c r="H1143" s="121" t="s">
        <v>9103</v>
      </c>
    </row>
    <row r="1144" spans="1:8" x14ac:dyDescent="0.25">
      <c r="A1144">
        <v>1394375</v>
      </c>
      <c r="B1144" s="121" t="s">
        <v>9098</v>
      </c>
      <c r="C1144" t="s">
        <v>32</v>
      </c>
      <c r="D1144" t="s">
        <v>43</v>
      </c>
      <c r="E1144" t="s">
        <v>339</v>
      </c>
      <c r="F1144" t="s">
        <v>9104</v>
      </c>
      <c r="G1144" t="s">
        <v>3672</v>
      </c>
      <c r="H1144" s="121" t="s">
        <v>9105</v>
      </c>
    </row>
    <row r="1145" spans="1:8" x14ac:dyDescent="0.25">
      <c r="A1145">
        <v>1396489</v>
      </c>
      <c r="B1145" s="121" t="s">
        <v>9098</v>
      </c>
      <c r="C1145" t="s">
        <v>32</v>
      </c>
      <c r="D1145" t="s">
        <v>53</v>
      </c>
      <c r="E1145" t="s">
        <v>99</v>
      </c>
      <c r="F1145" t="s">
        <v>6961</v>
      </c>
      <c r="G1145" t="s">
        <v>558</v>
      </c>
      <c r="H1145" s="121" t="s">
        <v>9106</v>
      </c>
    </row>
    <row r="1146" spans="1:8" x14ac:dyDescent="0.25">
      <c r="A1146">
        <v>1411293</v>
      </c>
      <c r="B1146" s="121" t="s">
        <v>9098</v>
      </c>
      <c r="C1146" t="s">
        <v>32</v>
      </c>
      <c r="D1146" t="s">
        <v>51</v>
      </c>
      <c r="E1146" t="s">
        <v>581</v>
      </c>
      <c r="F1146" t="s">
        <v>9107</v>
      </c>
      <c r="G1146" t="s">
        <v>3838</v>
      </c>
      <c r="H1146" s="121" t="s">
        <v>9108</v>
      </c>
    </row>
    <row r="1147" spans="1:8" x14ac:dyDescent="0.25">
      <c r="A1147">
        <v>1449413</v>
      </c>
      <c r="B1147" s="121" t="s">
        <v>9098</v>
      </c>
      <c r="C1147" t="s">
        <v>32</v>
      </c>
      <c r="D1147" t="s">
        <v>64</v>
      </c>
      <c r="E1147" t="s">
        <v>9109</v>
      </c>
      <c r="F1147" t="s">
        <v>9110</v>
      </c>
      <c r="G1147" t="s">
        <v>9111</v>
      </c>
      <c r="H1147" s="121" t="s">
        <v>9112</v>
      </c>
    </row>
    <row r="1148" spans="1:8" x14ac:dyDescent="0.25">
      <c r="A1148">
        <v>1449414</v>
      </c>
      <c r="B1148" s="121" t="s">
        <v>9098</v>
      </c>
      <c r="C1148" t="s">
        <v>32</v>
      </c>
      <c r="D1148" t="s">
        <v>64</v>
      </c>
      <c r="E1148" t="s">
        <v>9109</v>
      </c>
      <c r="F1148" t="s">
        <v>9113</v>
      </c>
      <c r="G1148" t="s">
        <v>9114</v>
      </c>
      <c r="H1148" s="121" t="s">
        <v>9115</v>
      </c>
    </row>
    <row r="1149" spans="1:8" x14ac:dyDescent="0.25">
      <c r="A1149">
        <v>1449416</v>
      </c>
      <c r="B1149" s="121" t="s">
        <v>9098</v>
      </c>
      <c r="C1149" t="s">
        <v>32</v>
      </c>
      <c r="D1149" t="s">
        <v>64</v>
      </c>
      <c r="E1149" t="s">
        <v>9109</v>
      </c>
      <c r="F1149" t="s">
        <v>9116</v>
      </c>
      <c r="G1149" t="s">
        <v>9117</v>
      </c>
      <c r="H1149" s="121" t="s">
        <v>9118</v>
      </c>
    </row>
    <row r="1150" spans="1:8" x14ac:dyDescent="0.25">
      <c r="A1150">
        <v>1459081</v>
      </c>
      <c r="B1150" s="121" t="s">
        <v>9098</v>
      </c>
      <c r="C1150" t="s">
        <v>32</v>
      </c>
      <c r="D1150" t="s">
        <v>40</v>
      </c>
      <c r="E1150" t="s">
        <v>639</v>
      </c>
      <c r="F1150" t="s">
        <v>9119</v>
      </c>
      <c r="G1150" t="s">
        <v>9120</v>
      </c>
      <c r="H1150" s="121" t="s">
        <v>9121</v>
      </c>
    </row>
    <row r="1151" spans="1:8" x14ac:dyDescent="0.25">
      <c r="A1151">
        <v>1462506</v>
      </c>
      <c r="B1151" s="121" t="s">
        <v>9098</v>
      </c>
      <c r="C1151" t="s">
        <v>32</v>
      </c>
      <c r="D1151" t="s">
        <v>40</v>
      </c>
      <c r="E1151" t="s">
        <v>650</v>
      </c>
      <c r="F1151" t="s">
        <v>5695</v>
      </c>
      <c r="G1151" t="s">
        <v>9122</v>
      </c>
      <c r="H1151" s="121" t="s">
        <v>9123</v>
      </c>
    </row>
    <row r="1152" spans="1:8" x14ac:dyDescent="0.25">
      <c r="A1152">
        <v>1462509</v>
      </c>
      <c r="B1152" s="121" t="s">
        <v>9098</v>
      </c>
      <c r="C1152" t="s">
        <v>32</v>
      </c>
      <c r="D1152" t="s">
        <v>40</v>
      </c>
      <c r="E1152" t="s">
        <v>650</v>
      </c>
      <c r="F1152" t="s">
        <v>6048</v>
      </c>
      <c r="G1152" t="s">
        <v>9124</v>
      </c>
      <c r="H1152" s="121" t="s">
        <v>9125</v>
      </c>
    </row>
    <row r="1153" spans="1:8" x14ac:dyDescent="0.25">
      <c r="A1153">
        <v>1463879</v>
      </c>
      <c r="B1153" s="121" t="s">
        <v>9098</v>
      </c>
      <c r="C1153" t="s">
        <v>32</v>
      </c>
      <c r="D1153" t="s">
        <v>332</v>
      </c>
      <c r="E1153" t="s">
        <v>4971</v>
      </c>
      <c r="F1153" t="s">
        <v>4994</v>
      </c>
      <c r="G1153" t="s">
        <v>4972</v>
      </c>
      <c r="H1153" s="121" t="s">
        <v>9126</v>
      </c>
    </row>
    <row r="1154" spans="1:8" x14ac:dyDescent="0.25">
      <c r="A1154">
        <v>1463880</v>
      </c>
      <c r="B1154" s="121" t="s">
        <v>9098</v>
      </c>
      <c r="C1154" t="s">
        <v>32</v>
      </c>
      <c r="D1154" t="s">
        <v>332</v>
      </c>
      <c r="E1154" t="s">
        <v>4971</v>
      </c>
      <c r="F1154" t="s">
        <v>4988</v>
      </c>
      <c r="G1154" t="s">
        <v>4975</v>
      </c>
      <c r="H1154" s="121" t="s">
        <v>9127</v>
      </c>
    </row>
    <row r="1155" spans="1:8" x14ac:dyDescent="0.25">
      <c r="A1155">
        <v>1463881</v>
      </c>
      <c r="B1155" s="121" t="s">
        <v>9098</v>
      </c>
      <c r="C1155" t="s">
        <v>32</v>
      </c>
      <c r="D1155" t="s">
        <v>332</v>
      </c>
      <c r="E1155" t="s">
        <v>4971</v>
      </c>
      <c r="F1155" t="s">
        <v>4991</v>
      </c>
      <c r="G1155" t="s">
        <v>4982</v>
      </c>
      <c r="H1155" s="121" t="s">
        <v>9128</v>
      </c>
    </row>
    <row r="1156" spans="1:8" x14ac:dyDescent="0.25">
      <c r="A1156">
        <v>1463882</v>
      </c>
      <c r="B1156" s="121" t="s">
        <v>9098</v>
      </c>
      <c r="C1156" t="s">
        <v>32</v>
      </c>
      <c r="D1156" t="s">
        <v>332</v>
      </c>
      <c r="E1156" t="s">
        <v>4971</v>
      </c>
      <c r="F1156" t="s">
        <v>4993</v>
      </c>
      <c r="G1156" t="s">
        <v>4984</v>
      </c>
      <c r="H1156" s="121" t="s">
        <v>9129</v>
      </c>
    </row>
    <row r="1157" spans="1:8" x14ac:dyDescent="0.25">
      <c r="A1157">
        <v>1463883</v>
      </c>
      <c r="B1157" s="121" t="s">
        <v>9098</v>
      </c>
      <c r="C1157" t="s">
        <v>32</v>
      </c>
      <c r="D1157" t="s">
        <v>332</v>
      </c>
      <c r="E1157" t="s">
        <v>4971</v>
      </c>
      <c r="F1157" t="s">
        <v>4973</v>
      </c>
      <c r="G1157" t="s">
        <v>4981</v>
      </c>
      <c r="H1157" s="121" t="s">
        <v>9130</v>
      </c>
    </row>
    <row r="1158" spans="1:8" x14ac:dyDescent="0.25">
      <c r="A1158">
        <v>1463884</v>
      </c>
      <c r="B1158" s="121" t="s">
        <v>9098</v>
      </c>
      <c r="C1158" t="s">
        <v>32</v>
      </c>
      <c r="D1158" t="s">
        <v>332</v>
      </c>
      <c r="E1158" t="s">
        <v>4971</v>
      </c>
      <c r="F1158" t="s">
        <v>4976</v>
      </c>
      <c r="G1158" t="s">
        <v>4978</v>
      </c>
      <c r="H1158" s="121" t="s">
        <v>9131</v>
      </c>
    </row>
    <row r="1159" spans="1:8" x14ac:dyDescent="0.25">
      <c r="A1159">
        <v>1463885</v>
      </c>
      <c r="B1159" s="121" t="s">
        <v>9098</v>
      </c>
      <c r="C1159" t="s">
        <v>32</v>
      </c>
      <c r="D1159" t="s">
        <v>332</v>
      </c>
      <c r="E1159" t="s">
        <v>4971</v>
      </c>
      <c r="F1159" t="s">
        <v>4985</v>
      </c>
      <c r="G1159" t="s">
        <v>4990</v>
      </c>
      <c r="H1159" s="121" t="s">
        <v>9132</v>
      </c>
    </row>
    <row r="1160" spans="1:8" x14ac:dyDescent="0.25">
      <c r="A1160">
        <v>1463886</v>
      </c>
      <c r="B1160" s="121" t="s">
        <v>9098</v>
      </c>
      <c r="C1160" t="s">
        <v>32</v>
      </c>
      <c r="D1160" t="s">
        <v>332</v>
      </c>
      <c r="E1160" t="s">
        <v>4971</v>
      </c>
      <c r="F1160" t="s">
        <v>4979</v>
      </c>
      <c r="G1160" t="s">
        <v>4987</v>
      </c>
      <c r="H1160" s="121" t="s">
        <v>9133</v>
      </c>
    </row>
    <row r="1161" spans="1:8" x14ac:dyDescent="0.25">
      <c r="A1161">
        <v>1471742</v>
      </c>
      <c r="B1161" s="121" t="s">
        <v>9098</v>
      </c>
      <c r="C1161" t="s">
        <v>32</v>
      </c>
      <c r="D1161" t="s">
        <v>329</v>
      </c>
      <c r="E1161" t="s">
        <v>330</v>
      </c>
      <c r="F1161" t="s">
        <v>4996</v>
      </c>
      <c r="G1161" t="s">
        <v>636</v>
      </c>
      <c r="H1161" s="121" t="s">
        <v>9134</v>
      </c>
    </row>
    <row r="1162" spans="1:8" x14ac:dyDescent="0.25">
      <c r="A1162">
        <v>1474857</v>
      </c>
      <c r="B1162" s="121" t="s">
        <v>9098</v>
      </c>
      <c r="C1162" t="s">
        <v>32</v>
      </c>
      <c r="D1162" t="s">
        <v>267</v>
      </c>
      <c r="E1162" t="s">
        <v>632</v>
      </c>
      <c r="F1162" t="s">
        <v>4710</v>
      </c>
      <c r="G1162" t="s">
        <v>6454</v>
      </c>
      <c r="H1162" s="121" t="s">
        <v>9135</v>
      </c>
    </row>
    <row r="1163" spans="1:8" x14ac:dyDescent="0.25">
      <c r="A1163">
        <v>1474858</v>
      </c>
      <c r="B1163" s="121" t="s">
        <v>9098</v>
      </c>
      <c r="C1163" t="s">
        <v>32</v>
      </c>
      <c r="D1163" t="s">
        <v>267</v>
      </c>
      <c r="E1163" t="s">
        <v>632</v>
      </c>
      <c r="F1163" t="s">
        <v>3459</v>
      </c>
      <c r="G1163" t="s">
        <v>4712</v>
      </c>
      <c r="H1163" s="121" t="s">
        <v>9136</v>
      </c>
    </row>
    <row r="1164" spans="1:8" x14ac:dyDescent="0.25">
      <c r="A1164">
        <v>1474862</v>
      </c>
      <c r="B1164" s="121" t="s">
        <v>9098</v>
      </c>
      <c r="C1164" t="s">
        <v>32</v>
      </c>
      <c r="D1164" t="s">
        <v>267</v>
      </c>
      <c r="E1164" t="s">
        <v>632</v>
      </c>
      <c r="F1164" t="s">
        <v>4713</v>
      </c>
      <c r="G1164" t="s">
        <v>6453</v>
      </c>
      <c r="H1164" s="121" t="s">
        <v>9137</v>
      </c>
    </row>
    <row r="1165" spans="1:8" x14ac:dyDescent="0.25">
      <c r="A1165">
        <v>1474863</v>
      </c>
      <c r="B1165" s="121" t="s">
        <v>9098</v>
      </c>
      <c r="C1165" t="s">
        <v>32</v>
      </c>
      <c r="D1165" t="s">
        <v>267</v>
      </c>
      <c r="E1165" t="s">
        <v>632</v>
      </c>
      <c r="F1165" t="s">
        <v>5797</v>
      </c>
      <c r="G1165" t="s">
        <v>9138</v>
      </c>
      <c r="H1165" s="121" t="s">
        <v>9139</v>
      </c>
    </row>
    <row r="1166" spans="1:8" x14ac:dyDescent="0.25">
      <c r="A1166">
        <v>1475527</v>
      </c>
      <c r="B1166" s="121" t="s">
        <v>9098</v>
      </c>
      <c r="C1166" t="s">
        <v>32</v>
      </c>
      <c r="D1166" t="s">
        <v>326</v>
      </c>
      <c r="E1166" t="s">
        <v>633</v>
      </c>
      <c r="F1166" t="s">
        <v>1760</v>
      </c>
      <c r="G1166" t="s">
        <v>4735</v>
      </c>
      <c r="H1166" s="121" t="s">
        <v>9140</v>
      </c>
    </row>
    <row r="1167" spans="1:8" x14ac:dyDescent="0.25">
      <c r="A1167">
        <v>1475528</v>
      </c>
      <c r="B1167" s="121" t="s">
        <v>9098</v>
      </c>
      <c r="C1167" t="s">
        <v>32</v>
      </c>
      <c r="D1167" t="s">
        <v>326</v>
      </c>
      <c r="E1167" t="s">
        <v>633</v>
      </c>
      <c r="F1167" t="s">
        <v>9141</v>
      </c>
      <c r="G1167" t="s">
        <v>4734</v>
      </c>
      <c r="H1167" s="121" t="s">
        <v>9142</v>
      </c>
    </row>
    <row r="1168" spans="1:8" x14ac:dyDescent="0.25">
      <c r="A1168">
        <v>1475529</v>
      </c>
      <c r="B1168" s="121" t="s">
        <v>9098</v>
      </c>
      <c r="C1168" t="s">
        <v>32</v>
      </c>
      <c r="D1168" t="s">
        <v>326</v>
      </c>
      <c r="E1168" t="s">
        <v>633</v>
      </c>
      <c r="F1168" t="s">
        <v>4720</v>
      </c>
      <c r="G1168" t="s">
        <v>4717</v>
      </c>
      <c r="H1168" s="121" t="s">
        <v>9143</v>
      </c>
    </row>
    <row r="1169" spans="1:8" x14ac:dyDescent="0.25">
      <c r="A1169">
        <v>1475530</v>
      </c>
      <c r="B1169" s="121" t="s">
        <v>9098</v>
      </c>
      <c r="C1169" t="s">
        <v>32</v>
      </c>
      <c r="D1169" t="s">
        <v>326</v>
      </c>
      <c r="E1169" t="s">
        <v>633</v>
      </c>
      <c r="F1169" t="s">
        <v>4718</v>
      </c>
      <c r="G1169" t="s">
        <v>4726</v>
      </c>
      <c r="H1169" s="121" t="s">
        <v>9144</v>
      </c>
    </row>
    <row r="1170" spans="1:8" x14ac:dyDescent="0.25">
      <c r="A1170">
        <v>1475531</v>
      </c>
      <c r="B1170" s="121" t="s">
        <v>9098</v>
      </c>
      <c r="C1170" t="s">
        <v>32</v>
      </c>
      <c r="D1170" t="s">
        <v>326</v>
      </c>
      <c r="E1170" t="s">
        <v>633</v>
      </c>
      <c r="F1170" t="s">
        <v>4729</v>
      </c>
      <c r="G1170" t="s">
        <v>4723</v>
      </c>
      <c r="H1170" s="121" t="s">
        <v>9145</v>
      </c>
    </row>
    <row r="1171" spans="1:8" x14ac:dyDescent="0.25">
      <c r="A1171">
        <v>1475532</v>
      </c>
      <c r="B1171" s="121" t="s">
        <v>9098</v>
      </c>
      <c r="C1171" t="s">
        <v>32</v>
      </c>
      <c r="D1171" t="s">
        <v>326</v>
      </c>
      <c r="E1171" t="s">
        <v>633</v>
      </c>
      <c r="F1171" t="s">
        <v>4721</v>
      </c>
      <c r="G1171" t="s">
        <v>1759</v>
      </c>
      <c r="H1171" s="121" t="s">
        <v>9146</v>
      </c>
    </row>
    <row r="1172" spans="1:8" x14ac:dyDescent="0.25">
      <c r="A1172">
        <v>1475533</v>
      </c>
      <c r="B1172" s="121" t="s">
        <v>9098</v>
      </c>
      <c r="C1172" t="s">
        <v>32</v>
      </c>
      <c r="D1172" t="s">
        <v>326</v>
      </c>
      <c r="E1172" t="s">
        <v>633</v>
      </c>
      <c r="F1172" t="s">
        <v>4724</v>
      </c>
      <c r="G1172" t="s">
        <v>4731</v>
      </c>
      <c r="H1172" s="121" t="s">
        <v>9147</v>
      </c>
    </row>
    <row r="1173" spans="1:8" x14ac:dyDescent="0.25">
      <c r="A1173">
        <v>1489525</v>
      </c>
      <c r="B1173" s="121" t="s">
        <v>9098</v>
      </c>
      <c r="C1173" t="s">
        <v>32</v>
      </c>
      <c r="D1173" t="s">
        <v>381</v>
      </c>
      <c r="E1173" t="s">
        <v>573</v>
      </c>
      <c r="F1173" t="s">
        <v>1587</v>
      </c>
      <c r="G1173" t="s">
        <v>9148</v>
      </c>
      <c r="H1173" s="121" t="s">
        <v>9149</v>
      </c>
    </row>
    <row r="1174" spans="1:8" x14ac:dyDescent="0.25">
      <c r="A1174">
        <v>1489530</v>
      </c>
      <c r="B1174" s="121" t="s">
        <v>9098</v>
      </c>
      <c r="C1174" t="s">
        <v>32</v>
      </c>
      <c r="D1174" t="s">
        <v>381</v>
      </c>
      <c r="E1174" t="s">
        <v>573</v>
      </c>
      <c r="F1174" t="s">
        <v>4764</v>
      </c>
      <c r="G1174" t="s">
        <v>1590</v>
      </c>
      <c r="H1174" s="121" t="s">
        <v>9150</v>
      </c>
    </row>
    <row r="1175" spans="1:8" x14ac:dyDescent="0.25">
      <c r="A1175">
        <v>1489667</v>
      </c>
      <c r="B1175" s="121" t="s">
        <v>9098</v>
      </c>
      <c r="C1175" t="s">
        <v>32</v>
      </c>
      <c r="D1175" t="s">
        <v>381</v>
      </c>
      <c r="E1175" t="s">
        <v>568</v>
      </c>
      <c r="F1175" t="s">
        <v>890</v>
      </c>
      <c r="G1175" t="s">
        <v>2993</v>
      </c>
      <c r="H1175" s="121" t="s">
        <v>9151</v>
      </c>
    </row>
    <row r="1176" spans="1:8" x14ac:dyDescent="0.25">
      <c r="A1176">
        <v>1489800</v>
      </c>
      <c r="B1176" s="121" t="s">
        <v>9098</v>
      </c>
      <c r="C1176" t="s">
        <v>32</v>
      </c>
      <c r="D1176" t="s">
        <v>381</v>
      </c>
      <c r="E1176" t="s">
        <v>550</v>
      </c>
      <c r="F1176" t="s">
        <v>4772</v>
      </c>
      <c r="G1176" t="s">
        <v>9152</v>
      </c>
      <c r="H1176" s="121" t="s">
        <v>9153</v>
      </c>
    </row>
    <row r="1177" spans="1:8" x14ac:dyDescent="0.25">
      <c r="A1177">
        <v>1489801</v>
      </c>
      <c r="B1177" s="121" t="s">
        <v>9098</v>
      </c>
      <c r="C1177" t="s">
        <v>32</v>
      </c>
      <c r="D1177" t="s">
        <v>381</v>
      </c>
      <c r="E1177" t="s">
        <v>550</v>
      </c>
      <c r="F1177" t="s">
        <v>4768</v>
      </c>
      <c r="G1177" t="s">
        <v>4770</v>
      </c>
      <c r="H1177" s="121" t="s">
        <v>9154</v>
      </c>
    </row>
    <row r="1178" spans="1:8" x14ac:dyDescent="0.25">
      <c r="A1178">
        <v>1489803</v>
      </c>
      <c r="B1178" s="121" t="s">
        <v>9098</v>
      </c>
      <c r="C1178" t="s">
        <v>32</v>
      </c>
      <c r="D1178" t="s">
        <v>381</v>
      </c>
      <c r="E1178" t="s">
        <v>550</v>
      </c>
      <c r="F1178" t="s">
        <v>1593</v>
      </c>
      <c r="G1178" t="s">
        <v>3019</v>
      </c>
      <c r="H1178" s="121" t="s">
        <v>9155</v>
      </c>
    </row>
    <row r="1179" spans="1:8" x14ac:dyDescent="0.25">
      <c r="A1179">
        <v>1489917</v>
      </c>
      <c r="B1179" s="121" t="s">
        <v>9098</v>
      </c>
      <c r="C1179" t="s">
        <v>32</v>
      </c>
      <c r="D1179" t="s">
        <v>381</v>
      </c>
      <c r="E1179" t="s">
        <v>574</v>
      </c>
      <c r="F1179" t="s">
        <v>4777</v>
      </c>
      <c r="G1179" t="s">
        <v>1598</v>
      </c>
      <c r="H1179" s="121" t="s">
        <v>9156</v>
      </c>
    </row>
    <row r="1180" spans="1:8" x14ac:dyDescent="0.25">
      <c r="A1180">
        <v>1489918</v>
      </c>
      <c r="B1180" s="121" t="s">
        <v>9098</v>
      </c>
      <c r="C1180" t="s">
        <v>32</v>
      </c>
      <c r="D1180" t="s">
        <v>381</v>
      </c>
      <c r="E1180" t="s">
        <v>574</v>
      </c>
      <c r="F1180" t="s">
        <v>9157</v>
      </c>
      <c r="G1180" t="s">
        <v>2999</v>
      </c>
      <c r="H1180" s="121" t="s">
        <v>9158</v>
      </c>
    </row>
    <row r="1181" spans="1:8" x14ac:dyDescent="0.25">
      <c r="A1181">
        <v>1489920</v>
      </c>
      <c r="B1181" s="121" t="s">
        <v>9098</v>
      </c>
      <c r="C1181" t="s">
        <v>32</v>
      </c>
      <c r="D1181" t="s">
        <v>381</v>
      </c>
      <c r="E1181" t="s">
        <v>574</v>
      </c>
      <c r="F1181" t="s">
        <v>1599</v>
      </c>
      <c r="G1181" t="s">
        <v>9159</v>
      </c>
      <c r="H1181" s="121" t="s">
        <v>9160</v>
      </c>
    </row>
    <row r="1182" spans="1:8" x14ac:dyDescent="0.25">
      <c r="A1182">
        <v>1489923</v>
      </c>
      <c r="B1182" s="121" t="s">
        <v>9098</v>
      </c>
      <c r="C1182" t="s">
        <v>32</v>
      </c>
      <c r="D1182" t="s">
        <v>381</v>
      </c>
      <c r="E1182" t="s">
        <v>574</v>
      </c>
      <c r="F1182" t="s">
        <v>4780</v>
      </c>
      <c r="G1182" t="s">
        <v>3001</v>
      </c>
      <c r="H1182" s="121" t="s">
        <v>9161</v>
      </c>
    </row>
    <row r="1183" spans="1:8" x14ac:dyDescent="0.25">
      <c r="A1183">
        <v>1490039</v>
      </c>
      <c r="B1183" s="121" t="s">
        <v>9098</v>
      </c>
      <c r="C1183" t="s">
        <v>32</v>
      </c>
      <c r="D1183" t="s">
        <v>381</v>
      </c>
      <c r="E1183" t="s">
        <v>575</v>
      </c>
      <c r="F1183" t="s">
        <v>3024</v>
      </c>
      <c r="G1183" t="s">
        <v>9162</v>
      </c>
      <c r="H1183" s="121" t="s">
        <v>9163</v>
      </c>
    </row>
    <row r="1184" spans="1:8" x14ac:dyDescent="0.25">
      <c r="A1184">
        <v>1490040</v>
      </c>
      <c r="B1184" s="121" t="s">
        <v>9098</v>
      </c>
      <c r="C1184" t="s">
        <v>32</v>
      </c>
      <c r="D1184" t="s">
        <v>381</v>
      </c>
      <c r="E1184" t="s">
        <v>575</v>
      </c>
      <c r="F1184" t="s">
        <v>4786</v>
      </c>
      <c r="G1184" t="s">
        <v>4783</v>
      </c>
      <c r="H1184" s="121" t="s">
        <v>9164</v>
      </c>
    </row>
    <row r="1185" spans="1:8" x14ac:dyDescent="0.25">
      <c r="A1185">
        <v>1490043</v>
      </c>
      <c r="B1185" s="121" t="s">
        <v>9098</v>
      </c>
      <c r="C1185" t="s">
        <v>32</v>
      </c>
      <c r="D1185" t="s">
        <v>381</v>
      </c>
      <c r="E1185" t="s">
        <v>575</v>
      </c>
      <c r="F1185" t="s">
        <v>6140</v>
      </c>
      <c r="G1185" t="s">
        <v>3003</v>
      </c>
      <c r="H1185" s="121" t="s">
        <v>9165</v>
      </c>
    </row>
    <row r="1186" spans="1:8" x14ac:dyDescent="0.25">
      <c r="A1186">
        <v>1524296</v>
      </c>
      <c r="B1186" s="121" t="s">
        <v>9098</v>
      </c>
      <c r="C1186" t="s">
        <v>32</v>
      </c>
      <c r="D1186" t="s">
        <v>48</v>
      </c>
      <c r="E1186" t="s">
        <v>342</v>
      </c>
      <c r="F1186" t="s">
        <v>2063</v>
      </c>
      <c r="G1186" t="s">
        <v>2330</v>
      </c>
      <c r="H1186" s="121" t="s">
        <v>9166</v>
      </c>
    </row>
    <row r="1187" spans="1:8" x14ac:dyDescent="0.25">
      <c r="A1187">
        <v>1527562</v>
      </c>
      <c r="B1187" s="121" t="s">
        <v>9098</v>
      </c>
      <c r="C1187" t="s">
        <v>32</v>
      </c>
      <c r="D1187" t="s">
        <v>422</v>
      </c>
      <c r="E1187" t="s">
        <v>49</v>
      </c>
      <c r="F1187" t="s">
        <v>456</v>
      </c>
      <c r="G1187" t="s">
        <v>874</v>
      </c>
      <c r="H1187" s="121" t="s">
        <v>9167</v>
      </c>
    </row>
    <row r="1188" spans="1:8" x14ac:dyDescent="0.25">
      <c r="A1188">
        <v>1529501</v>
      </c>
      <c r="B1188" s="121" t="s">
        <v>9098</v>
      </c>
      <c r="C1188" t="s">
        <v>32</v>
      </c>
      <c r="D1188" t="s">
        <v>544</v>
      </c>
      <c r="E1188" t="s">
        <v>4863</v>
      </c>
      <c r="F1188" t="s">
        <v>9168</v>
      </c>
      <c r="G1188" t="s">
        <v>4864</v>
      </c>
      <c r="H1188" s="121" t="s">
        <v>9169</v>
      </c>
    </row>
    <row r="1189" spans="1:8" x14ac:dyDescent="0.25">
      <c r="A1189">
        <v>1531553</v>
      </c>
      <c r="B1189" s="121" t="s">
        <v>9098</v>
      </c>
      <c r="C1189" t="s">
        <v>32</v>
      </c>
      <c r="D1189" t="s">
        <v>352</v>
      </c>
      <c r="E1189" t="s">
        <v>25</v>
      </c>
      <c r="F1189" t="s">
        <v>9170</v>
      </c>
      <c r="G1189" t="s">
        <v>6233</v>
      </c>
      <c r="H1189" s="121" t="s">
        <v>9171</v>
      </c>
    </row>
    <row r="1190" spans="1:8" x14ac:dyDescent="0.25">
      <c r="A1190">
        <v>1534177</v>
      </c>
      <c r="B1190" s="121" t="s">
        <v>9098</v>
      </c>
      <c r="C1190" t="s">
        <v>32</v>
      </c>
      <c r="D1190" t="s">
        <v>326</v>
      </c>
      <c r="E1190" t="s">
        <v>327</v>
      </c>
      <c r="F1190" t="s">
        <v>9172</v>
      </c>
      <c r="G1190" t="s">
        <v>9173</v>
      </c>
      <c r="H1190" s="121" t="s">
        <v>9174</v>
      </c>
    </row>
    <row r="1191" spans="1:8" x14ac:dyDescent="0.25">
      <c r="A1191">
        <v>1538977</v>
      </c>
      <c r="B1191" s="121" t="s">
        <v>9098</v>
      </c>
      <c r="C1191" t="s">
        <v>32</v>
      </c>
      <c r="D1191" t="s">
        <v>326</v>
      </c>
      <c r="E1191" t="s">
        <v>4809</v>
      </c>
      <c r="F1191" t="s">
        <v>4810</v>
      </c>
      <c r="G1191" t="s">
        <v>9175</v>
      </c>
      <c r="H1191" s="121" t="s">
        <v>9176</v>
      </c>
    </row>
    <row r="1192" spans="1:8" x14ac:dyDescent="0.25">
      <c r="A1192">
        <v>1538978</v>
      </c>
      <c r="B1192" s="121" t="s">
        <v>9098</v>
      </c>
      <c r="C1192" t="s">
        <v>32</v>
      </c>
      <c r="D1192" t="s">
        <v>326</v>
      </c>
      <c r="E1192" t="s">
        <v>4809</v>
      </c>
      <c r="F1192" t="s">
        <v>9177</v>
      </c>
      <c r="G1192" t="s">
        <v>4822</v>
      </c>
      <c r="H1192" s="121" t="s">
        <v>9178</v>
      </c>
    </row>
    <row r="1193" spans="1:8" x14ac:dyDescent="0.25">
      <c r="A1193">
        <v>1538980</v>
      </c>
      <c r="B1193" s="121" t="s">
        <v>9098</v>
      </c>
      <c r="C1193" t="s">
        <v>32</v>
      </c>
      <c r="D1193" t="s">
        <v>326</v>
      </c>
      <c r="E1193" t="s">
        <v>4809</v>
      </c>
      <c r="F1193" t="s">
        <v>4817</v>
      </c>
      <c r="G1193" t="s">
        <v>4825</v>
      </c>
      <c r="H1193" s="121" t="s">
        <v>9179</v>
      </c>
    </row>
    <row r="1194" spans="1:8" x14ac:dyDescent="0.25">
      <c r="A1194">
        <v>1538981</v>
      </c>
      <c r="B1194" s="121" t="s">
        <v>9098</v>
      </c>
      <c r="C1194" t="s">
        <v>32</v>
      </c>
      <c r="D1194" t="s">
        <v>326</v>
      </c>
      <c r="E1194" t="s">
        <v>4809</v>
      </c>
      <c r="F1194" t="s">
        <v>4829</v>
      </c>
      <c r="G1194" t="s">
        <v>4813</v>
      </c>
      <c r="H1194" s="121" t="s">
        <v>9180</v>
      </c>
    </row>
    <row r="1195" spans="1:8" x14ac:dyDescent="0.25">
      <c r="A1195">
        <v>1538982</v>
      </c>
      <c r="B1195" s="121" t="s">
        <v>9098</v>
      </c>
      <c r="C1195" t="s">
        <v>32</v>
      </c>
      <c r="D1195" t="s">
        <v>326</v>
      </c>
      <c r="E1195" t="s">
        <v>4809</v>
      </c>
      <c r="F1195" t="s">
        <v>4828</v>
      </c>
      <c r="G1195" t="s">
        <v>4819</v>
      </c>
      <c r="H1195" s="121" t="s">
        <v>9181</v>
      </c>
    </row>
    <row r="1196" spans="1:8" x14ac:dyDescent="0.25">
      <c r="A1196">
        <v>1538983</v>
      </c>
      <c r="B1196" s="121" t="s">
        <v>9098</v>
      </c>
      <c r="C1196" t="s">
        <v>32</v>
      </c>
      <c r="D1196" t="s">
        <v>326</v>
      </c>
      <c r="E1196" t="s">
        <v>4809</v>
      </c>
      <c r="F1196" t="s">
        <v>4814</v>
      </c>
      <c r="G1196" t="s">
        <v>4820</v>
      </c>
      <c r="H1196" s="121" t="s">
        <v>9182</v>
      </c>
    </row>
    <row r="1197" spans="1:8" x14ac:dyDescent="0.25">
      <c r="A1197">
        <v>1539974</v>
      </c>
      <c r="B1197" s="121" t="s">
        <v>9098</v>
      </c>
      <c r="C1197" t="s">
        <v>32</v>
      </c>
      <c r="D1197" t="s">
        <v>5019</v>
      </c>
      <c r="E1197" t="s">
        <v>5020</v>
      </c>
      <c r="F1197" t="s">
        <v>5021</v>
      </c>
      <c r="G1197" t="s">
        <v>5027</v>
      </c>
      <c r="H1197" s="121" t="s">
        <v>9183</v>
      </c>
    </row>
    <row r="1198" spans="1:8" x14ac:dyDescent="0.25">
      <c r="A1198">
        <v>1539975</v>
      </c>
      <c r="B1198" s="121" t="s">
        <v>9098</v>
      </c>
      <c r="C1198" t="s">
        <v>32</v>
      </c>
      <c r="D1198" t="s">
        <v>5019</v>
      </c>
      <c r="E1198" t="s">
        <v>5020</v>
      </c>
      <c r="F1198" t="s">
        <v>5037</v>
      </c>
      <c r="G1198" t="s">
        <v>5034</v>
      </c>
      <c r="H1198" s="121" t="s">
        <v>9184</v>
      </c>
    </row>
    <row r="1199" spans="1:8" x14ac:dyDescent="0.25">
      <c r="A1199">
        <v>1539976</v>
      </c>
      <c r="B1199" s="121" t="s">
        <v>9098</v>
      </c>
      <c r="C1199" t="s">
        <v>32</v>
      </c>
      <c r="D1199" t="s">
        <v>5019</v>
      </c>
      <c r="E1199" t="s">
        <v>5020</v>
      </c>
      <c r="F1199" t="s">
        <v>5025</v>
      </c>
      <c r="G1199" t="s">
        <v>5028</v>
      </c>
      <c r="H1199" s="121" t="s">
        <v>9185</v>
      </c>
    </row>
    <row r="1200" spans="1:8" x14ac:dyDescent="0.25">
      <c r="A1200">
        <v>1539980</v>
      </c>
      <c r="B1200" s="121" t="s">
        <v>9098</v>
      </c>
      <c r="C1200" t="s">
        <v>32</v>
      </c>
      <c r="D1200" t="s">
        <v>5019</v>
      </c>
      <c r="E1200" t="s">
        <v>5020</v>
      </c>
      <c r="F1200" t="s">
        <v>5036</v>
      </c>
      <c r="G1200" t="s">
        <v>5024</v>
      </c>
      <c r="H1200" s="121" t="s">
        <v>9186</v>
      </c>
    </row>
    <row r="1201" spans="1:8" x14ac:dyDescent="0.25">
      <c r="A1201">
        <v>1540128</v>
      </c>
      <c r="B1201" s="121" t="s">
        <v>9098</v>
      </c>
      <c r="C1201" t="s">
        <v>32</v>
      </c>
      <c r="D1201" t="s">
        <v>78</v>
      </c>
      <c r="E1201" t="s">
        <v>549</v>
      </c>
      <c r="F1201" t="s">
        <v>9187</v>
      </c>
      <c r="G1201" t="s">
        <v>3665</v>
      </c>
      <c r="H1201" s="121" t="s">
        <v>9188</v>
      </c>
    </row>
    <row r="1202" spans="1:8" x14ac:dyDescent="0.25">
      <c r="A1202">
        <v>1458771</v>
      </c>
      <c r="B1202" s="121" t="s">
        <v>9189</v>
      </c>
      <c r="C1202" t="s">
        <v>32</v>
      </c>
      <c r="D1202" t="s">
        <v>40</v>
      </c>
      <c r="E1202" t="s">
        <v>658</v>
      </c>
      <c r="F1202" t="s">
        <v>6041</v>
      </c>
      <c r="G1202" t="s">
        <v>6565</v>
      </c>
      <c r="H1202" s="121" t="s">
        <v>9190</v>
      </c>
    </row>
    <row r="1203" spans="1:8" x14ac:dyDescent="0.25">
      <c r="A1203">
        <v>1384371</v>
      </c>
      <c r="B1203" s="121" t="s">
        <v>9191</v>
      </c>
      <c r="C1203" t="s">
        <v>2909</v>
      </c>
      <c r="D1203" t="s">
        <v>267</v>
      </c>
      <c r="E1203" t="s">
        <v>659</v>
      </c>
      <c r="F1203" t="s">
        <v>1616</v>
      </c>
      <c r="G1203" t="s">
        <v>6060</v>
      </c>
      <c r="H1203" s="121" t="s">
        <v>9192</v>
      </c>
    </row>
    <row r="1204" spans="1:8" x14ac:dyDescent="0.25">
      <c r="A1204">
        <v>1388245</v>
      </c>
      <c r="B1204" s="121" t="s">
        <v>9191</v>
      </c>
      <c r="C1204" t="s">
        <v>32</v>
      </c>
      <c r="D1204" t="s">
        <v>267</v>
      </c>
      <c r="E1204" t="s">
        <v>402</v>
      </c>
      <c r="F1204" t="s">
        <v>4935</v>
      </c>
      <c r="G1204" t="s">
        <v>3643</v>
      </c>
      <c r="H1204" s="121" t="s">
        <v>9193</v>
      </c>
    </row>
    <row r="1205" spans="1:8" x14ac:dyDescent="0.25">
      <c r="A1205">
        <v>1391596</v>
      </c>
      <c r="B1205" s="121" t="s">
        <v>9191</v>
      </c>
      <c r="C1205" t="s">
        <v>32</v>
      </c>
      <c r="D1205" t="s">
        <v>319</v>
      </c>
      <c r="E1205" t="s">
        <v>49</v>
      </c>
      <c r="F1205" t="s">
        <v>2486</v>
      </c>
      <c r="G1205" t="s">
        <v>9194</v>
      </c>
      <c r="H1205" s="121" t="s">
        <v>9195</v>
      </c>
    </row>
    <row r="1206" spans="1:8" x14ac:dyDescent="0.25">
      <c r="A1206">
        <v>1394005</v>
      </c>
      <c r="B1206" s="121" t="s">
        <v>9191</v>
      </c>
      <c r="C1206" t="s">
        <v>32</v>
      </c>
      <c r="D1206" t="s">
        <v>390</v>
      </c>
      <c r="E1206" t="s">
        <v>391</v>
      </c>
      <c r="F1206" t="s">
        <v>1619</v>
      </c>
      <c r="G1206" t="s">
        <v>1364</v>
      </c>
      <c r="H1206" s="121" t="s">
        <v>9196</v>
      </c>
    </row>
    <row r="1207" spans="1:8" x14ac:dyDescent="0.25">
      <c r="A1207">
        <v>1394008</v>
      </c>
      <c r="B1207" s="121" t="s">
        <v>9191</v>
      </c>
      <c r="C1207" t="s">
        <v>32</v>
      </c>
      <c r="D1207" t="s">
        <v>390</v>
      </c>
      <c r="E1207" t="s">
        <v>391</v>
      </c>
      <c r="F1207" t="s">
        <v>1620</v>
      </c>
      <c r="G1207" t="s">
        <v>1621</v>
      </c>
      <c r="H1207" s="121" t="s">
        <v>9197</v>
      </c>
    </row>
    <row r="1208" spans="1:8" x14ac:dyDescent="0.25">
      <c r="A1208">
        <v>1394009</v>
      </c>
      <c r="B1208" s="121" t="s">
        <v>9191</v>
      </c>
      <c r="C1208" t="s">
        <v>32</v>
      </c>
      <c r="D1208" t="s">
        <v>390</v>
      </c>
      <c r="E1208" t="s">
        <v>391</v>
      </c>
      <c r="F1208" t="s">
        <v>470</v>
      </c>
      <c r="G1208" t="s">
        <v>1366</v>
      </c>
      <c r="H1208" s="121" t="s">
        <v>9198</v>
      </c>
    </row>
    <row r="1209" spans="1:8" x14ac:dyDescent="0.25">
      <c r="A1209">
        <v>1394011</v>
      </c>
      <c r="B1209" s="121" t="s">
        <v>9191</v>
      </c>
      <c r="C1209" t="s">
        <v>32</v>
      </c>
      <c r="D1209" t="s">
        <v>390</v>
      </c>
      <c r="E1209" t="s">
        <v>391</v>
      </c>
      <c r="F1209" t="s">
        <v>514</v>
      </c>
      <c r="G1209" t="s">
        <v>469</v>
      </c>
      <c r="H1209" s="121" t="s">
        <v>9199</v>
      </c>
    </row>
    <row r="1210" spans="1:8" x14ac:dyDescent="0.25">
      <c r="A1210">
        <v>1396047</v>
      </c>
      <c r="B1210" s="121" t="s">
        <v>9191</v>
      </c>
      <c r="C1210" t="s">
        <v>32</v>
      </c>
      <c r="D1210" t="s">
        <v>51</v>
      </c>
      <c r="E1210" t="s">
        <v>385</v>
      </c>
      <c r="F1210" t="s">
        <v>1229</v>
      </c>
      <c r="G1210" t="s">
        <v>1023</v>
      </c>
      <c r="H1210" s="121" t="s">
        <v>9200</v>
      </c>
    </row>
    <row r="1211" spans="1:8" x14ac:dyDescent="0.25">
      <c r="A1211">
        <v>1410386</v>
      </c>
      <c r="B1211" s="121" t="s">
        <v>9191</v>
      </c>
      <c r="C1211" t="s">
        <v>32</v>
      </c>
      <c r="D1211" t="s">
        <v>51</v>
      </c>
      <c r="E1211" t="s">
        <v>3147</v>
      </c>
      <c r="F1211" t="s">
        <v>4558</v>
      </c>
      <c r="G1211" t="s">
        <v>3148</v>
      </c>
      <c r="H1211" s="121" t="s">
        <v>9201</v>
      </c>
    </row>
    <row r="1212" spans="1:8" x14ac:dyDescent="0.25">
      <c r="A1212">
        <v>1410996</v>
      </c>
      <c r="B1212" s="121" t="s">
        <v>9191</v>
      </c>
      <c r="C1212" t="s">
        <v>32</v>
      </c>
      <c r="D1212" t="s">
        <v>51</v>
      </c>
      <c r="E1212" t="s">
        <v>539</v>
      </c>
      <c r="F1212" t="s">
        <v>9202</v>
      </c>
      <c r="G1212" t="s">
        <v>3153</v>
      </c>
      <c r="H1212" s="121" t="s">
        <v>9203</v>
      </c>
    </row>
    <row r="1213" spans="1:8" x14ac:dyDescent="0.25">
      <c r="A1213">
        <v>1411294</v>
      </c>
      <c r="B1213" s="121" t="s">
        <v>9191</v>
      </c>
      <c r="C1213" t="s">
        <v>32</v>
      </c>
      <c r="D1213" t="s">
        <v>51</v>
      </c>
      <c r="E1213" t="s">
        <v>581</v>
      </c>
      <c r="F1213" t="s">
        <v>3835</v>
      </c>
      <c r="G1213" t="s">
        <v>4565</v>
      </c>
      <c r="H1213" s="121" t="s">
        <v>9204</v>
      </c>
    </row>
    <row r="1214" spans="1:8" x14ac:dyDescent="0.25">
      <c r="A1214">
        <v>1412944</v>
      </c>
      <c r="B1214" s="121" t="s">
        <v>9191</v>
      </c>
      <c r="C1214" t="s">
        <v>32</v>
      </c>
      <c r="D1214" t="s">
        <v>43</v>
      </c>
      <c r="E1214" t="s">
        <v>606</v>
      </c>
      <c r="F1214" t="s">
        <v>6074</v>
      </c>
      <c r="G1214" t="s">
        <v>9205</v>
      </c>
      <c r="H1214" s="121" t="s">
        <v>9206</v>
      </c>
    </row>
    <row r="1215" spans="1:8" x14ac:dyDescent="0.25">
      <c r="A1215">
        <v>1430150</v>
      </c>
      <c r="B1215" s="121" t="s">
        <v>9191</v>
      </c>
      <c r="C1215" t="s">
        <v>32</v>
      </c>
      <c r="D1215" t="s">
        <v>80</v>
      </c>
      <c r="E1215" t="s">
        <v>607</v>
      </c>
      <c r="F1215" t="s">
        <v>6082</v>
      </c>
      <c r="G1215" t="s">
        <v>5535</v>
      </c>
      <c r="H1215" s="121" t="s">
        <v>9207</v>
      </c>
    </row>
    <row r="1216" spans="1:8" x14ac:dyDescent="0.25">
      <c r="A1216">
        <v>1430363</v>
      </c>
      <c r="B1216" s="121" t="s">
        <v>9191</v>
      </c>
      <c r="C1216" t="s">
        <v>32</v>
      </c>
      <c r="D1216" t="s">
        <v>80</v>
      </c>
      <c r="E1216" t="s">
        <v>628</v>
      </c>
      <c r="F1216" t="s">
        <v>1543</v>
      </c>
      <c r="G1216" t="s">
        <v>6091</v>
      </c>
      <c r="H1216" s="121" t="s">
        <v>9208</v>
      </c>
    </row>
    <row r="1217" spans="1:8" x14ac:dyDescent="0.25">
      <c r="A1217">
        <v>1430364</v>
      </c>
      <c r="B1217" s="121" t="s">
        <v>9191</v>
      </c>
      <c r="C1217" t="s">
        <v>32</v>
      </c>
      <c r="D1217" t="s">
        <v>80</v>
      </c>
      <c r="E1217" t="s">
        <v>628</v>
      </c>
      <c r="F1217" t="s">
        <v>1542</v>
      </c>
      <c r="G1217" t="s">
        <v>6597</v>
      </c>
      <c r="H1217" s="121" t="s">
        <v>9209</v>
      </c>
    </row>
    <row r="1218" spans="1:8" x14ac:dyDescent="0.25">
      <c r="A1218">
        <v>1430365</v>
      </c>
      <c r="B1218" s="121" t="s">
        <v>9191</v>
      </c>
      <c r="C1218" t="s">
        <v>32</v>
      </c>
      <c r="D1218" t="s">
        <v>80</v>
      </c>
      <c r="E1218" t="s">
        <v>628</v>
      </c>
      <c r="F1218" t="s">
        <v>6088</v>
      </c>
      <c r="G1218" t="s">
        <v>9210</v>
      </c>
      <c r="H1218" s="121" t="s">
        <v>9211</v>
      </c>
    </row>
    <row r="1219" spans="1:8" x14ac:dyDescent="0.25">
      <c r="A1219">
        <v>1430367</v>
      </c>
      <c r="B1219" s="121" t="s">
        <v>9191</v>
      </c>
      <c r="C1219" t="s">
        <v>32</v>
      </c>
      <c r="D1219" t="s">
        <v>80</v>
      </c>
      <c r="E1219" t="s">
        <v>628</v>
      </c>
      <c r="F1219" t="s">
        <v>6089</v>
      </c>
      <c r="G1219" t="s">
        <v>5544</v>
      </c>
      <c r="H1219" s="121" t="s">
        <v>9212</v>
      </c>
    </row>
    <row r="1220" spans="1:8" x14ac:dyDescent="0.25">
      <c r="A1220">
        <v>1430571</v>
      </c>
      <c r="B1220" s="121" t="s">
        <v>9191</v>
      </c>
      <c r="C1220" t="s">
        <v>32</v>
      </c>
      <c r="D1220" t="s">
        <v>80</v>
      </c>
      <c r="E1220" t="s">
        <v>629</v>
      </c>
      <c r="F1220" t="s">
        <v>9213</v>
      </c>
      <c r="G1220" t="s">
        <v>4628</v>
      </c>
      <c r="H1220" s="121" t="s">
        <v>9214</v>
      </c>
    </row>
    <row r="1221" spans="1:8" x14ac:dyDescent="0.25">
      <c r="A1221">
        <v>1432468</v>
      </c>
      <c r="B1221" s="121" t="s">
        <v>9191</v>
      </c>
      <c r="C1221" t="s">
        <v>32</v>
      </c>
      <c r="D1221" t="s">
        <v>40</v>
      </c>
      <c r="E1221" t="s">
        <v>645</v>
      </c>
      <c r="F1221" t="s">
        <v>1040</v>
      </c>
      <c r="G1221" t="s">
        <v>2094</v>
      </c>
      <c r="H1221" s="121" t="s">
        <v>9215</v>
      </c>
    </row>
    <row r="1222" spans="1:8" x14ac:dyDescent="0.25">
      <c r="A1222">
        <v>1433384</v>
      </c>
      <c r="B1222" s="121" t="s">
        <v>9191</v>
      </c>
      <c r="C1222" t="s">
        <v>32</v>
      </c>
      <c r="D1222" t="s">
        <v>40</v>
      </c>
      <c r="E1222" t="s">
        <v>661</v>
      </c>
      <c r="F1222" t="s">
        <v>1059</v>
      </c>
      <c r="G1222" t="s">
        <v>2252</v>
      </c>
      <c r="H1222" s="121" t="s">
        <v>9216</v>
      </c>
    </row>
    <row r="1223" spans="1:8" x14ac:dyDescent="0.25">
      <c r="A1223">
        <v>1446841</v>
      </c>
      <c r="B1223" s="121" t="s">
        <v>9191</v>
      </c>
      <c r="C1223" t="s">
        <v>32</v>
      </c>
      <c r="D1223" t="s">
        <v>276</v>
      </c>
      <c r="E1223" t="s">
        <v>277</v>
      </c>
      <c r="F1223" t="s">
        <v>1937</v>
      </c>
      <c r="G1223" t="s">
        <v>1930</v>
      </c>
      <c r="H1223" s="121" t="s">
        <v>9217</v>
      </c>
    </row>
    <row r="1224" spans="1:8" x14ac:dyDescent="0.25">
      <c r="A1224">
        <v>1458769</v>
      </c>
      <c r="B1224" s="121" t="s">
        <v>9191</v>
      </c>
      <c r="C1224" t="s">
        <v>32</v>
      </c>
      <c r="D1224" t="s">
        <v>40</v>
      </c>
      <c r="E1224" t="s">
        <v>658</v>
      </c>
      <c r="F1224" t="s">
        <v>2035</v>
      </c>
      <c r="G1224" t="s">
        <v>6566</v>
      </c>
      <c r="H1224" s="121" t="s">
        <v>9218</v>
      </c>
    </row>
    <row r="1225" spans="1:8" x14ac:dyDescent="0.25">
      <c r="A1225">
        <v>1459080</v>
      </c>
      <c r="B1225" s="121" t="s">
        <v>9191</v>
      </c>
      <c r="C1225" t="s">
        <v>32</v>
      </c>
      <c r="D1225" t="s">
        <v>40</v>
      </c>
      <c r="E1225" t="s">
        <v>639</v>
      </c>
      <c r="F1225" t="s">
        <v>561</v>
      </c>
      <c r="G1225" t="s">
        <v>6214</v>
      </c>
      <c r="H1225" s="121" t="s">
        <v>9219</v>
      </c>
    </row>
    <row r="1226" spans="1:8" x14ac:dyDescent="0.25">
      <c r="A1226">
        <v>1459082</v>
      </c>
      <c r="B1226" s="121" t="s">
        <v>9191</v>
      </c>
      <c r="C1226" t="s">
        <v>32</v>
      </c>
      <c r="D1226" t="s">
        <v>40</v>
      </c>
      <c r="E1226" t="s">
        <v>639</v>
      </c>
      <c r="F1226" t="s">
        <v>6111</v>
      </c>
      <c r="G1226" t="s">
        <v>9220</v>
      </c>
      <c r="H1226" s="121" t="s">
        <v>9221</v>
      </c>
    </row>
    <row r="1227" spans="1:8" x14ac:dyDescent="0.25">
      <c r="A1227">
        <v>1460368</v>
      </c>
      <c r="B1227" s="121" t="s">
        <v>9191</v>
      </c>
      <c r="C1227" t="s">
        <v>32</v>
      </c>
      <c r="D1227" t="s">
        <v>40</v>
      </c>
      <c r="E1227" t="s">
        <v>647</v>
      </c>
      <c r="F1227" t="s">
        <v>6438</v>
      </c>
      <c r="G1227" t="s">
        <v>9222</v>
      </c>
      <c r="H1227" s="121" t="s">
        <v>9223</v>
      </c>
    </row>
    <row r="1228" spans="1:8" x14ac:dyDescent="0.25">
      <c r="A1228">
        <v>1460370</v>
      </c>
      <c r="B1228" s="121" t="s">
        <v>9191</v>
      </c>
      <c r="C1228" t="s">
        <v>32</v>
      </c>
      <c r="D1228" t="s">
        <v>40</v>
      </c>
      <c r="E1228" t="s">
        <v>647</v>
      </c>
      <c r="F1228" t="s">
        <v>6118</v>
      </c>
      <c r="G1228" t="s">
        <v>1254</v>
      </c>
      <c r="H1228" s="121" t="s">
        <v>9224</v>
      </c>
    </row>
    <row r="1229" spans="1:8" x14ac:dyDescent="0.25">
      <c r="A1229">
        <v>1460375</v>
      </c>
      <c r="B1229" s="121" t="s">
        <v>9191</v>
      </c>
      <c r="C1229" t="s">
        <v>32</v>
      </c>
      <c r="D1229" t="s">
        <v>40</v>
      </c>
      <c r="E1229" t="s">
        <v>647</v>
      </c>
      <c r="F1229" t="s">
        <v>1102</v>
      </c>
      <c r="G1229" t="s">
        <v>5687</v>
      </c>
      <c r="H1229" s="121" t="s">
        <v>9225</v>
      </c>
    </row>
    <row r="1230" spans="1:8" x14ac:dyDescent="0.25">
      <c r="A1230">
        <v>1461589</v>
      </c>
      <c r="B1230" s="121" t="s">
        <v>9191</v>
      </c>
      <c r="C1230" t="s">
        <v>32</v>
      </c>
      <c r="D1230" t="s">
        <v>40</v>
      </c>
      <c r="E1230" t="s">
        <v>584</v>
      </c>
      <c r="F1230" t="s">
        <v>6447</v>
      </c>
      <c r="G1230" t="s">
        <v>1121</v>
      </c>
      <c r="H1230" s="121" t="s">
        <v>9226</v>
      </c>
    </row>
    <row r="1231" spans="1:8" x14ac:dyDescent="0.25">
      <c r="A1231">
        <v>1462507</v>
      </c>
      <c r="B1231" s="121" t="s">
        <v>9191</v>
      </c>
      <c r="C1231" t="s">
        <v>32</v>
      </c>
      <c r="D1231" t="s">
        <v>40</v>
      </c>
      <c r="E1231" t="s">
        <v>650</v>
      </c>
      <c r="F1231" t="s">
        <v>9227</v>
      </c>
      <c r="G1231" t="s">
        <v>9228</v>
      </c>
      <c r="H1231" s="121" t="s">
        <v>9229</v>
      </c>
    </row>
    <row r="1232" spans="1:8" x14ac:dyDescent="0.25">
      <c r="A1232">
        <v>1462508</v>
      </c>
      <c r="B1232" s="121" t="s">
        <v>9191</v>
      </c>
      <c r="C1232" t="s">
        <v>32</v>
      </c>
      <c r="D1232" t="s">
        <v>40</v>
      </c>
      <c r="E1232" t="s">
        <v>650</v>
      </c>
      <c r="F1232" t="s">
        <v>6123</v>
      </c>
      <c r="G1232" t="s">
        <v>9230</v>
      </c>
      <c r="H1232" s="121" t="s">
        <v>9231</v>
      </c>
    </row>
    <row r="1233" spans="1:8" x14ac:dyDescent="0.25">
      <c r="A1233">
        <v>1462511</v>
      </c>
      <c r="B1233" s="121" t="s">
        <v>9191</v>
      </c>
      <c r="C1233" t="s">
        <v>32</v>
      </c>
      <c r="D1233" t="s">
        <v>40</v>
      </c>
      <c r="E1233" t="s">
        <v>650</v>
      </c>
      <c r="F1233" t="s">
        <v>2257</v>
      </c>
      <c r="G1233" t="s">
        <v>4969</v>
      </c>
      <c r="H1233" s="121" t="s">
        <v>9232</v>
      </c>
    </row>
    <row r="1234" spans="1:8" x14ac:dyDescent="0.25">
      <c r="A1234">
        <v>1463415</v>
      </c>
      <c r="B1234" s="121" t="s">
        <v>9191</v>
      </c>
      <c r="C1234" t="s">
        <v>32</v>
      </c>
      <c r="D1234" t="s">
        <v>40</v>
      </c>
      <c r="E1234" t="s">
        <v>652</v>
      </c>
      <c r="F1234" t="s">
        <v>9233</v>
      </c>
      <c r="G1234" t="s">
        <v>1140</v>
      </c>
      <c r="H1234" s="121" t="s">
        <v>9234</v>
      </c>
    </row>
    <row r="1235" spans="1:8" x14ac:dyDescent="0.25">
      <c r="A1235">
        <v>1463416</v>
      </c>
      <c r="B1235" s="121" t="s">
        <v>9191</v>
      </c>
      <c r="C1235" t="s">
        <v>32</v>
      </c>
      <c r="D1235" t="s">
        <v>40</v>
      </c>
      <c r="E1235" t="s">
        <v>652</v>
      </c>
      <c r="F1235" t="s">
        <v>6451</v>
      </c>
      <c r="G1235" t="s">
        <v>1139</v>
      </c>
      <c r="H1235" s="121" t="s">
        <v>9235</v>
      </c>
    </row>
    <row r="1236" spans="1:8" x14ac:dyDescent="0.25">
      <c r="A1236">
        <v>1463420</v>
      </c>
      <c r="B1236" s="121" t="s">
        <v>9191</v>
      </c>
      <c r="C1236" t="s">
        <v>32</v>
      </c>
      <c r="D1236" t="s">
        <v>40</v>
      </c>
      <c r="E1236" t="s">
        <v>652</v>
      </c>
      <c r="F1236" t="s">
        <v>5700</v>
      </c>
      <c r="G1236" t="s">
        <v>686</v>
      </c>
      <c r="H1236" s="121" t="s">
        <v>9236</v>
      </c>
    </row>
    <row r="1237" spans="1:8" x14ac:dyDescent="0.25">
      <c r="A1237">
        <v>1464591</v>
      </c>
      <c r="B1237" s="121" t="s">
        <v>9191</v>
      </c>
      <c r="C1237" t="s">
        <v>32</v>
      </c>
      <c r="D1237" t="s">
        <v>332</v>
      </c>
      <c r="E1237" t="s">
        <v>5702</v>
      </c>
      <c r="F1237" t="s">
        <v>5722</v>
      </c>
      <c r="G1237" t="s">
        <v>5706</v>
      </c>
      <c r="H1237" s="121" t="s">
        <v>9237</v>
      </c>
    </row>
    <row r="1238" spans="1:8" x14ac:dyDescent="0.25">
      <c r="A1238">
        <v>1464592</v>
      </c>
      <c r="B1238" s="121" t="s">
        <v>9191</v>
      </c>
      <c r="C1238" t="s">
        <v>32</v>
      </c>
      <c r="D1238" t="s">
        <v>332</v>
      </c>
      <c r="E1238" t="s">
        <v>5702</v>
      </c>
      <c r="F1238" t="s">
        <v>5719</v>
      </c>
      <c r="G1238" t="s">
        <v>5715</v>
      </c>
      <c r="H1238" s="121" t="s">
        <v>9238</v>
      </c>
    </row>
    <row r="1239" spans="1:8" x14ac:dyDescent="0.25">
      <c r="A1239">
        <v>1464593</v>
      </c>
      <c r="B1239" s="121" t="s">
        <v>9191</v>
      </c>
      <c r="C1239" t="s">
        <v>32</v>
      </c>
      <c r="D1239" t="s">
        <v>332</v>
      </c>
      <c r="E1239" t="s">
        <v>5702</v>
      </c>
      <c r="F1239" t="s">
        <v>5713</v>
      </c>
      <c r="G1239" t="s">
        <v>5703</v>
      </c>
      <c r="H1239" s="121" t="s">
        <v>9239</v>
      </c>
    </row>
    <row r="1240" spans="1:8" x14ac:dyDescent="0.25">
      <c r="A1240">
        <v>1464594</v>
      </c>
      <c r="B1240" s="121" t="s">
        <v>9191</v>
      </c>
      <c r="C1240" t="s">
        <v>32</v>
      </c>
      <c r="D1240" t="s">
        <v>332</v>
      </c>
      <c r="E1240" t="s">
        <v>5702</v>
      </c>
      <c r="F1240" t="s">
        <v>5716</v>
      </c>
      <c r="G1240" t="s">
        <v>5704</v>
      </c>
      <c r="H1240" s="121" t="s">
        <v>9240</v>
      </c>
    </row>
    <row r="1241" spans="1:8" x14ac:dyDescent="0.25">
      <c r="A1241">
        <v>1464595</v>
      </c>
      <c r="B1241" s="121" t="s">
        <v>9191</v>
      </c>
      <c r="C1241" t="s">
        <v>32</v>
      </c>
      <c r="D1241" t="s">
        <v>332</v>
      </c>
      <c r="E1241" t="s">
        <v>5702</v>
      </c>
      <c r="F1241" t="s">
        <v>5709</v>
      </c>
      <c r="G1241" t="s">
        <v>5718</v>
      </c>
      <c r="H1241" s="121" t="s">
        <v>9241</v>
      </c>
    </row>
    <row r="1242" spans="1:8" x14ac:dyDescent="0.25">
      <c r="A1242">
        <v>1464596</v>
      </c>
      <c r="B1242" s="121" t="s">
        <v>9191</v>
      </c>
      <c r="C1242" t="s">
        <v>32</v>
      </c>
      <c r="D1242" t="s">
        <v>332</v>
      </c>
      <c r="E1242" t="s">
        <v>5702</v>
      </c>
      <c r="F1242" t="s">
        <v>5710</v>
      </c>
      <c r="G1242" t="s">
        <v>5712</v>
      </c>
      <c r="H1242" s="121" t="s">
        <v>9242</v>
      </c>
    </row>
    <row r="1243" spans="1:8" x14ac:dyDescent="0.25">
      <c r="A1243">
        <v>1464597</v>
      </c>
      <c r="B1243" s="121" t="s">
        <v>9191</v>
      </c>
      <c r="C1243" t="s">
        <v>32</v>
      </c>
      <c r="D1243" t="s">
        <v>332</v>
      </c>
      <c r="E1243" t="s">
        <v>5702</v>
      </c>
      <c r="F1243" t="s">
        <v>5707</v>
      </c>
      <c r="G1243" t="s">
        <v>5724</v>
      </c>
      <c r="H1243" s="121" t="s">
        <v>9243</v>
      </c>
    </row>
    <row r="1244" spans="1:8" x14ac:dyDescent="0.25">
      <c r="A1244">
        <v>1464598</v>
      </c>
      <c r="B1244" s="121" t="s">
        <v>9191</v>
      </c>
      <c r="C1244" t="s">
        <v>32</v>
      </c>
      <c r="D1244" t="s">
        <v>332</v>
      </c>
      <c r="E1244" t="s">
        <v>5702</v>
      </c>
      <c r="F1244" t="s">
        <v>5725</v>
      </c>
      <c r="G1244" t="s">
        <v>5721</v>
      </c>
      <c r="H1244" s="121" t="s">
        <v>9244</v>
      </c>
    </row>
    <row r="1245" spans="1:8" x14ac:dyDescent="0.25">
      <c r="A1245">
        <v>1465263</v>
      </c>
      <c r="B1245" s="121" t="s">
        <v>9191</v>
      </c>
      <c r="C1245" t="s">
        <v>32</v>
      </c>
      <c r="D1245" t="s">
        <v>332</v>
      </c>
      <c r="E1245" t="s">
        <v>5727</v>
      </c>
      <c r="F1245" t="s">
        <v>5731</v>
      </c>
      <c r="G1245" t="s">
        <v>5743</v>
      </c>
      <c r="H1245" s="121" t="s">
        <v>9245</v>
      </c>
    </row>
    <row r="1246" spans="1:8" x14ac:dyDescent="0.25">
      <c r="A1246">
        <v>1465264</v>
      </c>
      <c r="B1246" s="121" t="s">
        <v>9191</v>
      </c>
      <c r="C1246" t="s">
        <v>32</v>
      </c>
      <c r="D1246" t="s">
        <v>332</v>
      </c>
      <c r="E1246" t="s">
        <v>5727</v>
      </c>
      <c r="F1246" t="s">
        <v>5738</v>
      </c>
      <c r="G1246" t="s">
        <v>5735</v>
      </c>
      <c r="H1246" s="121" t="s">
        <v>9246</v>
      </c>
    </row>
    <row r="1247" spans="1:8" x14ac:dyDescent="0.25">
      <c r="A1247">
        <v>1465265</v>
      </c>
      <c r="B1247" s="121" t="s">
        <v>9191</v>
      </c>
      <c r="C1247" t="s">
        <v>32</v>
      </c>
      <c r="D1247" t="s">
        <v>332</v>
      </c>
      <c r="E1247" t="s">
        <v>5727</v>
      </c>
      <c r="F1247" t="s">
        <v>5737</v>
      </c>
      <c r="G1247" t="s">
        <v>5732</v>
      </c>
      <c r="H1247" s="121" t="s">
        <v>9247</v>
      </c>
    </row>
    <row r="1248" spans="1:8" x14ac:dyDescent="0.25">
      <c r="A1248">
        <v>1465266</v>
      </c>
      <c r="B1248" s="121" t="s">
        <v>9191</v>
      </c>
      <c r="C1248" t="s">
        <v>32</v>
      </c>
      <c r="D1248" t="s">
        <v>332</v>
      </c>
      <c r="E1248" t="s">
        <v>5727</v>
      </c>
      <c r="F1248" t="s">
        <v>5746</v>
      </c>
      <c r="G1248" t="s">
        <v>5740</v>
      </c>
      <c r="H1248" s="121" t="s">
        <v>9248</v>
      </c>
    </row>
    <row r="1249" spans="1:8" x14ac:dyDescent="0.25">
      <c r="A1249">
        <v>1465267</v>
      </c>
      <c r="B1249" s="121" t="s">
        <v>9191</v>
      </c>
      <c r="C1249" t="s">
        <v>32</v>
      </c>
      <c r="D1249" t="s">
        <v>332</v>
      </c>
      <c r="E1249" t="s">
        <v>5727</v>
      </c>
      <c r="F1249" t="s">
        <v>5728</v>
      </c>
      <c r="G1249" t="s">
        <v>5747</v>
      </c>
      <c r="H1249" s="121" t="s">
        <v>9249</v>
      </c>
    </row>
    <row r="1250" spans="1:8" x14ac:dyDescent="0.25">
      <c r="A1250">
        <v>1465268</v>
      </c>
      <c r="B1250" s="121" t="s">
        <v>9191</v>
      </c>
      <c r="C1250" t="s">
        <v>32</v>
      </c>
      <c r="D1250" t="s">
        <v>332</v>
      </c>
      <c r="E1250" t="s">
        <v>5727</v>
      </c>
      <c r="F1250" t="s">
        <v>5734</v>
      </c>
      <c r="G1250" t="s">
        <v>5741</v>
      </c>
      <c r="H1250" s="121" t="s">
        <v>9250</v>
      </c>
    </row>
    <row r="1251" spans="1:8" x14ac:dyDescent="0.25">
      <c r="A1251">
        <v>1465269</v>
      </c>
      <c r="B1251" s="121" t="s">
        <v>9191</v>
      </c>
      <c r="C1251" t="s">
        <v>32</v>
      </c>
      <c r="D1251" t="s">
        <v>332</v>
      </c>
      <c r="E1251" t="s">
        <v>5727</v>
      </c>
      <c r="F1251" t="s">
        <v>5729</v>
      </c>
      <c r="G1251" t="s">
        <v>5744</v>
      </c>
      <c r="H1251" s="121" t="s">
        <v>9251</v>
      </c>
    </row>
    <row r="1252" spans="1:8" x14ac:dyDescent="0.25">
      <c r="A1252">
        <v>1468734</v>
      </c>
      <c r="B1252" s="121" t="s">
        <v>9191</v>
      </c>
      <c r="C1252" t="s">
        <v>32</v>
      </c>
      <c r="D1252" t="s">
        <v>98</v>
      </c>
      <c r="E1252" t="s">
        <v>49</v>
      </c>
      <c r="F1252" t="s">
        <v>9252</v>
      </c>
      <c r="G1252" t="s">
        <v>1965</v>
      </c>
      <c r="H1252" s="121" t="s">
        <v>9253</v>
      </c>
    </row>
    <row r="1253" spans="1:8" x14ac:dyDescent="0.25">
      <c r="A1253">
        <v>1471741</v>
      </c>
      <c r="B1253" s="121" t="s">
        <v>9191</v>
      </c>
      <c r="C1253" t="s">
        <v>32</v>
      </c>
      <c r="D1253" t="s">
        <v>329</v>
      </c>
      <c r="E1253" t="s">
        <v>330</v>
      </c>
      <c r="F1253" t="s">
        <v>5754</v>
      </c>
      <c r="G1253" t="s">
        <v>9254</v>
      </c>
      <c r="H1253" s="121" t="s">
        <v>9255</v>
      </c>
    </row>
    <row r="1254" spans="1:8" x14ac:dyDescent="0.25">
      <c r="A1254">
        <v>1471744</v>
      </c>
      <c r="B1254" s="121" t="s">
        <v>9191</v>
      </c>
      <c r="C1254" t="s">
        <v>32</v>
      </c>
      <c r="D1254" t="s">
        <v>329</v>
      </c>
      <c r="E1254" t="s">
        <v>330</v>
      </c>
      <c r="F1254" t="s">
        <v>637</v>
      </c>
      <c r="G1254" t="s">
        <v>9256</v>
      </c>
      <c r="H1254" s="121" t="s">
        <v>9257</v>
      </c>
    </row>
    <row r="1255" spans="1:8" x14ac:dyDescent="0.25">
      <c r="A1255">
        <v>1471825</v>
      </c>
      <c r="B1255" s="121" t="s">
        <v>9191</v>
      </c>
      <c r="C1255" t="s">
        <v>32</v>
      </c>
      <c r="D1255" t="s">
        <v>329</v>
      </c>
      <c r="E1255" t="s">
        <v>330</v>
      </c>
      <c r="F1255" t="s">
        <v>542</v>
      </c>
      <c r="G1255" t="s">
        <v>1754</v>
      </c>
      <c r="H1255" s="121" t="s">
        <v>9258</v>
      </c>
    </row>
    <row r="1256" spans="1:8" x14ac:dyDescent="0.25">
      <c r="A1256">
        <v>1471826</v>
      </c>
      <c r="B1256" s="121" t="s">
        <v>9191</v>
      </c>
      <c r="C1256" t="s">
        <v>32</v>
      </c>
      <c r="D1256" t="s">
        <v>329</v>
      </c>
      <c r="E1256" t="s">
        <v>330</v>
      </c>
      <c r="F1256" t="s">
        <v>1969</v>
      </c>
      <c r="G1256" t="s">
        <v>9259</v>
      </c>
      <c r="H1256" s="121" t="s">
        <v>9260</v>
      </c>
    </row>
    <row r="1257" spans="1:8" x14ac:dyDescent="0.25">
      <c r="A1257">
        <v>1474860</v>
      </c>
      <c r="B1257" s="121" t="s">
        <v>9191</v>
      </c>
      <c r="C1257" t="s">
        <v>32</v>
      </c>
      <c r="D1257" t="s">
        <v>267</v>
      </c>
      <c r="E1257" t="s">
        <v>632</v>
      </c>
      <c r="F1257" t="s">
        <v>1756</v>
      </c>
      <c r="G1257" t="s">
        <v>4709</v>
      </c>
      <c r="H1257" s="121" t="s">
        <v>9261</v>
      </c>
    </row>
    <row r="1258" spans="1:8" x14ac:dyDescent="0.25">
      <c r="A1258">
        <v>1474861</v>
      </c>
      <c r="B1258" s="121" t="s">
        <v>9191</v>
      </c>
      <c r="C1258" t="s">
        <v>32</v>
      </c>
      <c r="D1258" t="s">
        <v>267</v>
      </c>
      <c r="E1258" t="s">
        <v>632</v>
      </c>
      <c r="F1258" t="s">
        <v>1755</v>
      </c>
      <c r="G1258" t="s">
        <v>5796</v>
      </c>
      <c r="H1258" s="121" t="s">
        <v>9262</v>
      </c>
    </row>
    <row r="1259" spans="1:8" x14ac:dyDescent="0.25">
      <c r="A1259">
        <v>1479124</v>
      </c>
      <c r="B1259" s="121" t="s">
        <v>9191</v>
      </c>
      <c r="C1259" t="s">
        <v>32</v>
      </c>
      <c r="D1259" t="s">
        <v>98</v>
      </c>
      <c r="E1259" t="s">
        <v>237</v>
      </c>
      <c r="F1259" t="s">
        <v>9263</v>
      </c>
      <c r="G1259" t="s">
        <v>9264</v>
      </c>
      <c r="H1259" s="121" t="s">
        <v>9265</v>
      </c>
    </row>
    <row r="1260" spans="1:8" x14ac:dyDescent="0.25">
      <c r="A1260">
        <v>1479131</v>
      </c>
      <c r="B1260" s="121" t="s">
        <v>9191</v>
      </c>
      <c r="C1260" t="s">
        <v>32</v>
      </c>
      <c r="D1260" t="s">
        <v>98</v>
      </c>
      <c r="E1260" t="s">
        <v>237</v>
      </c>
      <c r="F1260" t="s">
        <v>1981</v>
      </c>
      <c r="G1260" t="s">
        <v>1983</v>
      </c>
      <c r="H1260" s="121" t="s">
        <v>9266</v>
      </c>
    </row>
    <row r="1261" spans="1:8" x14ac:dyDescent="0.25">
      <c r="A1261">
        <v>1479132</v>
      </c>
      <c r="B1261" s="121" t="s">
        <v>9191</v>
      </c>
      <c r="C1261" t="s">
        <v>32</v>
      </c>
      <c r="D1261" t="s">
        <v>98</v>
      </c>
      <c r="E1261" t="s">
        <v>237</v>
      </c>
      <c r="F1261" t="s">
        <v>9267</v>
      </c>
      <c r="G1261" t="s">
        <v>1990</v>
      </c>
      <c r="H1261" s="121" t="s">
        <v>9268</v>
      </c>
    </row>
    <row r="1262" spans="1:8" x14ac:dyDescent="0.25">
      <c r="A1262">
        <v>1479138</v>
      </c>
      <c r="B1262" s="121" t="s">
        <v>9191</v>
      </c>
      <c r="C1262" t="s">
        <v>32</v>
      </c>
      <c r="D1262" t="s">
        <v>98</v>
      </c>
      <c r="E1262" t="s">
        <v>237</v>
      </c>
      <c r="F1262" t="s">
        <v>5850</v>
      </c>
      <c r="G1262" t="s">
        <v>1974</v>
      </c>
      <c r="H1262" s="121" t="s">
        <v>9269</v>
      </c>
    </row>
    <row r="1263" spans="1:8" x14ac:dyDescent="0.25">
      <c r="A1263">
        <v>1479139</v>
      </c>
      <c r="B1263" s="121" t="s">
        <v>9191</v>
      </c>
      <c r="C1263" t="s">
        <v>32</v>
      </c>
      <c r="D1263" t="s">
        <v>98</v>
      </c>
      <c r="E1263" t="s">
        <v>237</v>
      </c>
      <c r="F1263" t="s">
        <v>9270</v>
      </c>
      <c r="G1263" t="s">
        <v>1972</v>
      </c>
      <c r="H1263" s="121" t="s">
        <v>9271</v>
      </c>
    </row>
    <row r="1264" spans="1:8" x14ac:dyDescent="0.25">
      <c r="A1264">
        <v>1479142</v>
      </c>
      <c r="B1264" s="121" t="s">
        <v>9191</v>
      </c>
      <c r="C1264" t="s">
        <v>32</v>
      </c>
      <c r="D1264" t="s">
        <v>98</v>
      </c>
      <c r="E1264" t="s">
        <v>237</v>
      </c>
      <c r="F1264" t="s">
        <v>9272</v>
      </c>
      <c r="G1264" t="s">
        <v>1984</v>
      </c>
      <c r="H1264" s="121" t="s">
        <v>9273</v>
      </c>
    </row>
    <row r="1265" spans="1:8" x14ac:dyDescent="0.25">
      <c r="A1265">
        <v>1479143</v>
      </c>
      <c r="B1265" s="121" t="s">
        <v>9191</v>
      </c>
      <c r="C1265" t="s">
        <v>32</v>
      </c>
      <c r="D1265" t="s">
        <v>98</v>
      </c>
      <c r="E1265" t="s">
        <v>237</v>
      </c>
      <c r="F1265" t="s">
        <v>9274</v>
      </c>
      <c r="G1265" t="s">
        <v>1977</v>
      </c>
      <c r="H1265" s="121" t="s">
        <v>9275</v>
      </c>
    </row>
    <row r="1266" spans="1:8" x14ac:dyDescent="0.25">
      <c r="A1266">
        <v>1497526</v>
      </c>
      <c r="B1266" s="121" t="s">
        <v>9191</v>
      </c>
      <c r="C1266" t="s">
        <v>32</v>
      </c>
      <c r="D1266" t="s">
        <v>275</v>
      </c>
      <c r="E1266" t="s">
        <v>7689</v>
      </c>
      <c r="F1266" t="s">
        <v>1780</v>
      </c>
      <c r="G1266" t="s">
        <v>5918</v>
      </c>
      <c r="H1266" s="121" t="s">
        <v>9276</v>
      </c>
    </row>
    <row r="1267" spans="1:8" x14ac:dyDescent="0.25">
      <c r="A1267">
        <v>1498225</v>
      </c>
      <c r="B1267" s="121" t="s">
        <v>9191</v>
      </c>
      <c r="C1267" t="s">
        <v>32</v>
      </c>
      <c r="D1267" t="s">
        <v>18</v>
      </c>
      <c r="E1267" t="s">
        <v>500</v>
      </c>
      <c r="F1267" t="s">
        <v>5858</v>
      </c>
      <c r="G1267" t="s">
        <v>5863</v>
      </c>
      <c r="H1267" s="121" t="s">
        <v>9277</v>
      </c>
    </row>
    <row r="1268" spans="1:8" x14ac:dyDescent="0.25">
      <c r="A1268">
        <v>1498226</v>
      </c>
      <c r="B1268" s="121" t="s">
        <v>9191</v>
      </c>
      <c r="C1268" t="s">
        <v>32</v>
      </c>
      <c r="D1268" t="s">
        <v>18</v>
      </c>
      <c r="E1268" t="s">
        <v>500</v>
      </c>
      <c r="F1268" t="s">
        <v>2001</v>
      </c>
      <c r="G1268" t="s">
        <v>9278</v>
      </c>
      <c r="H1268" s="121" t="s">
        <v>9279</v>
      </c>
    </row>
    <row r="1269" spans="1:8" x14ac:dyDescent="0.25">
      <c r="A1269">
        <v>1498227</v>
      </c>
      <c r="B1269" s="121" t="s">
        <v>9191</v>
      </c>
      <c r="C1269" t="s">
        <v>32</v>
      </c>
      <c r="D1269" t="s">
        <v>18</v>
      </c>
      <c r="E1269" t="s">
        <v>500</v>
      </c>
      <c r="F1269" t="s">
        <v>2000</v>
      </c>
      <c r="G1269" t="s">
        <v>9280</v>
      </c>
      <c r="H1269" s="121" t="s">
        <v>9281</v>
      </c>
    </row>
    <row r="1270" spans="1:8" x14ac:dyDescent="0.25">
      <c r="A1270">
        <v>1498228</v>
      </c>
      <c r="B1270" s="121" t="s">
        <v>9191</v>
      </c>
      <c r="C1270" t="s">
        <v>32</v>
      </c>
      <c r="D1270" t="s">
        <v>18</v>
      </c>
      <c r="E1270" t="s">
        <v>500</v>
      </c>
      <c r="F1270" t="s">
        <v>9282</v>
      </c>
      <c r="G1270" t="s">
        <v>5864</v>
      </c>
      <c r="H1270" s="121" t="s">
        <v>9283</v>
      </c>
    </row>
    <row r="1271" spans="1:8" x14ac:dyDescent="0.25">
      <c r="A1271">
        <v>1504201</v>
      </c>
      <c r="B1271" s="121" t="s">
        <v>9191</v>
      </c>
      <c r="C1271" t="s">
        <v>32</v>
      </c>
      <c r="D1271" t="s">
        <v>5924</v>
      </c>
      <c r="E1271" t="s">
        <v>9284</v>
      </c>
      <c r="F1271" t="s">
        <v>3537</v>
      </c>
      <c r="G1271" t="s">
        <v>9285</v>
      </c>
      <c r="H1271" s="121" t="s">
        <v>9286</v>
      </c>
    </row>
    <row r="1272" spans="1:8" x14ac:dyDescent="0.25">
      <c r="A1272">
        <v>1506795</v>
      </c>
      <c r="B1272" s="121" t="s">
        <v>9191</v>
      </c>
      <c r="C1272" t="s">
        <v>32</v>
      </c>
      <c r="D1272" t="s">
        <v>53</v>
      </c>
      <c r="E1272" t="s">
        <v>5872</v>
      </c>
      <c r="F1272" t="s">
        <v>9287</v>
      </c>
      <c r="G1272" t="s">
        <v>5876</v>
      </c>
      <c r="H1272" s="121" t="s">
        <v>9288</v>
      </c>
    </row>
    <row r="1273" spans="1:8" x14ac:dyDescent="0.25">
      <c r="A1273">
        <v>1506796</v>
      </c>
      <c r="B1273" s="121" t="s">
        <v>9191</v>
      </c>
      <c r="C1273" t="s">
        <v>32</v>
      </c>
      <c r="D1273" t="s">
        <v>53</v>
      </c>
      <c r="E1273" t="s">
        <v>5872</v>
      </c>
      <c r="F1273" t="s">
        <v>9289</v>
      </c>
      <c r="G1273" t="s">
        <v>9290</v>
      </c>
      <c r="H1273" s="121" t="s">
        <v>9291</v>
      </c>
    </row>
    <row r="1274" spans="1:8" x14ac:dyDescent="0.25">
      <c r="A1274">
        <v>1506797</v>
      </c>
      <c r="B1274" s="121" t="s">
        <v>9191</v>
      </c>
      <c r="C1274" t="s">
        <v>32</v>
      </c>
      <c r="D1274" t="s">
        <v>53</v>
      </c>
      <c r="E1274" t="s">
        <v>5872</v>
      </c>
      <c r="F1274" t="s">
        <v>9292</v>
      </c>
      <c r="G1274" t="s">
        <v>9293</v>
      </c>
      <c r="H1274" s="121" t="s">
        <v>9294</v>
      </c>
    </row>
    <row r="1275" spans="1:8" x14ac:dyDescent="0.25">
      <c r="A1275">
        <v>1506798</v>
      </c>
      <c r="B1275" s="121" t="s">
        <v>9191</v>
      </c>
      <c r="C1275" t="s">
        <v>32</v>
      </c>
      <c r="D1275" t="s">
        <v>53</v>
      </c>
      <c r="E1275" t="s">
        <v>5872</v>
      </c>
      <c r="F1275" t="s">
        <v>9295</v>
      </c>
      <c r="G1275" t="s">
        <v>5874</v>
      </c>
      <c r="H1275" s="121" t="s">
        <v>9296</v>
      </c>
    </row>
    <row r="1276" spans="1:8" x14ac:dyDescent="0.25">
      <c r="A1276">
        <v>1506799</v>
      </c>
      <c r="B1276" s="121" t="s">
        <v>9191</v>
      </c>
      <c r="C1276" t="s">
        <v>32</v>
      </c>
      <c r="D1276" t="s">
        <v>53</v>
      </c>
      <c r="E1276" t="s">
        <v>5872</v>
      </c>
      <c r="F1276" t="s">
        <v>9297</v>
      </c>
      <c r="G1276" t="s">
        <v>9298</v>
      </c>
      <c r="H1276" s="121" t="s">
        <v>9299</v>
      </c>
    </row>
    <row r="1277" spans="1:8" x14ac:dyDescent="0.25">
      <c r="A1277">
        <v>1506838</v>
      </c>
      <c r="B1277" s="121" t="s">
        <v>9191</v>
      </c>
      <c r="C1277" t="s">
        <v>32</v>
      </c>
      <c r="D1277" t="s">
        <v>53</v>
      </c>
      <c r="E1277" t="s">
        <v>5872</v>
      </c>
      <c r="F1277" t="s">
        <v>9300</v>
      </c>
      <c r="G1277" t="s">
        <v>6150</v>
      </c>
      <c r="H1277" s="121" t="s">
        <v>9301</v>
      </c>
    </row>
    <row r="1278" spans="1:8" x14ac:dyDescent="0.25">
      <c r="A1278">
        <v>1507098</v>
      </c>
      <c r="B1278" s="121" t="s">
        <v>9191</v>
      </c>
      <c r="C1278" t="s">
        <v>32</v>
      </c>
      <c r="D1278" t="s">
        <v>408</v>
      </c>
      <c r="E1278" t="s">
        <v>7701</v>
      </c>
      <c r="F1278" t="s">
        <v>9302</v>
      </c>
      <c r="G1278" t="s">
        <v>9303</v>
      </c>
      <c r="H1278" s="121" t="s">
        <v>9304</v>
      </c>
    </row>
    <row r="1279" spans="1:8" x14ac:dyDescent="0.25">
      <c r="A1279">
        <v>1515610</v>
      </c>
      <c r="B1279" s="121" t="s">
        <v>9191</v>
      </c>
      <c r="C1279" t="s">
        <v>32</v>
      </c>
      <c r="D1279" t="s">
        <v>86</v>
      </c>
      <c r="E1279" t="s">
        <v>655</v>
      </c>
      <c r="F1279" t="s">
        <v>2021</v>
      </c>
      <c r="G1279" t="s">
        <v>1772</v>
      </c>
      <c r="H1279" s="121" t="s">
        <v>9305</v>
      </c>
    </row>
    <row r="1280" spans="1:8" x14ac:dyDescent="0.25">
      <c r="A1280">
        <v>1521843</v>
      </c>
      <c r="B1280" s="121" t="s">
        <v>9191</v>
      </c>
      <c r="C1280" t="s">
        <v>32</v>
      </c>
      <c r="D1280" t="s">
        <v>493</v>
      </c>
      <c r="E1280" t="s">
        <v>265</v>
      </c>
      <c r="F1280" t="s">
        <v>1459</v>
      </c>
      <c r="G1280" t="s">
        <v>4788</v>
      </c>
      <c r="H1280" s="121" t="s">
        <v>9306</v>
      </c>
    </row>
    <row r="1281" spans="1:8" x14ac:dyDescent="0.25">
      <c r="A1281">
        <v>1521844</v>
      </c>
      <c r="B1281" s="121" t="s">
        <v>9191</v>
      </c>
      <c r="C1281" t="s">
        <v>32</v>
      </c>
      <c r="D1281" t="s">
        <v>493</v>
      </c>
      <c r="E1281" t="s">
        <v>265</v>
      </c>
      <c r="F1281" t="s">
        <v>2147</v>
      </c>
      <c r="G1281" t="s">
        <v>6148</v>
      </c>
      <c r="H1281" s="121" t="s">
        <v>9307</v>
      </c>
    </row>
    <row r="1282" spans="1:8" x14ac:dyDescent="0.25">
      <c r="A1282">
        <v>1525828</v>
      </c>
      <c r="B1282" s="121" t="s">
        <v>9191</v>
      </c>
      <c r="C1282" t="s">
        <v>32</v>
      </c>
      <c r="D1282" t="s">
        <v>389</v>
      </c>
      <c r="E1282" t="s">
        <v>49</v>
      </c>
      <c r="F1282" t="s">
        <v>1507</v>
      </c>
      <c r="G1282" t="s">
        <v>597</v>
      </c>
      <c r="H1282" s="121" t="s">
        <v>9308</v>
      </c>
    </row>
    <row r="1283" spans="1:8" x14ac:dyDescent="0.25">
      <c r="A1283">
        <v>1527927</v>
      </c>
      <c r="B1283" s="121" t="s">
        <v>9191</v>
      </c>
      <c r="C1283" t="s">
        <v>32</v>
      </c>
      <c r="D1283" t="s">
        <v>569</v>
      </c>
      <c r="E1283" t="s">
        <v>49</v>
      </c>
      <c r="F1283" t="s">
        <v>1513</v>
      </c>
      <c r="G1283" t="s">
        <v>9309</v>
      </c>
      <c r="H1283" s="121" t="s">
        <v>9310</v>
      </c>
    </row>
    <row r="1284" spans="1:8" x14ac:dyDescent="0.25">
      <c r="A1284">
        <v>1529074</v>
      </c>
      <c r="B1284" s="121" t="s">
        <v>9191</v>
      </c>
      <c r="C1284" t="s">
        <v>32</v>
      </c>
      <c r="D1284" t="s">
        <v>354</v>
      </c>
      <c r="E1284" t="s">
        <v>75</v>
      </c>
      <c r="F1284" t="s">
        <v>9311</v>
      </c>
      <c r="G1284" t="s">
        <v>9312</v>
      </c>
      <c r="H1284" s="121" t="s">
        <v>9313</v>
      </c>
    </row>
    <row r="1285" spans="1:8" x14ac:dyDescent="0.25">
      <c r="A1285">
        <v>1529502</v>
      </c>
      <c r="B1285" s="121" t="s">
        <v>9191</v>
      </c>
      <c r="C1285" t="s">
        <v>32</v>
      </c>
      <c r="D1285" t="s">
        <v>544</v>
      </c>
      <c r="E1285" t="s">
        <v>4863</v>
      </c>
      <c r="F1285" t="s">
        <v>9314</v>
      </c>
      <c r="G1285" t="s">
        <v>9315</v>
      </c>
      <c r="H1285" s="121" t="s">
        <v>9316</v>
      </c>
    </row>
    <row r="1286" spans="1:8" x14ac:dyDescent="0.25">
      <c r="A1286">
        <v>1531266</v>
      </c>
      <c r="B1286" s="121" t="s">
        <v>9191</v>
      </c>
      <c r="C1286" t="s">
        <v>32</v>
      </c>
      <c r="D1286" t="s">
        <v>332</v>
      </c>
      <c r="E1286" t="s">
        <v>347</v>
      </c>
      <c r="F1286" t="s">
        <v>2077</v>
      </c>
      <c r="G1286" t="s">
        <v>2073</v>
      </c>
      <c r="H1286" s="121" t="s">
        <v>9317</v>
      </c>
    </row>
    <row r="1287" spans="1:8" x14ac:dyDescent="0.25">
      <c r="A1287">
        <v>1531267</v>
      </c>
      <c r="B1287" s="121" t="s">
        <v>9191</v>
      </c>
      <c r="C1287" t="s">
        <v>32</v>
      </c>
      <c r="D1287" t="s">
        <v>332</v>
      </c>
      <c r="E1287" t="s">
        <v>347</v>
      </c>
      <c r="F1287" t="s">
        <v>2068</v>
      </c>
      <c r="G1287" t="s">
        <v>2074</v>
      </c>
      <c r="H1287" s="121" t="s">
        <v>9318</v>
      </c>
    </row>
    <row r="1288" spans="1:8" x14ac:dyDescent="0.25">
      <c r="A1288">
        <v>1532476</v>
      </c>
      <c r="B1288" s="121" t="s">
        <v>9191</v>
      </c>
      <c r="C1288" t="s">
        <v>32</v>
      </c>
      <c r="D1288" t="s">
        <v>9319</v>
      </c>
      <c r="E1288" t="s">
        <v>9320</v>
      </c>
      <c r="F1288" t="s">
        <v>9321</v>
      </c>
      <c r="G1288" t="s">
        <v>9322</v>
      </c>
      <c r="H1288" s="121" t="s">
        <v>9323</v>
      </c>
    </row>
    <row r="1289" spans="1:8" x14ac:dyDescent="0.25">
      <c r="A1289">
        <v>1532477</v>
      </c>
      <c r="B1289" s="121" t="s">
        <v>9191</v>
      </c>
      <c r="C1289" t="s">
        <v>32</v>
      </c>
      <c r="D1289" t="s">
        <v>9319</v>
      </c>
      <c r="E1289" t="s">
        <v>9320</v>
      </c>
      <c r="F1289" t="s">
        <v>9324</v>
      </c>
      <c r="G1289" t="s">
        <v>9325</v>
      </c>
      <c r="H1289" s="121" t="s">
        <v>9326</v>
      </c>
    </row>
    <row r="1290" spans="1:8" x14ac:dyDescent="0.25">
      <c r="A1290">
        <v>1532478</v>
      </c>
      <c r="B1290" s="121" t="s">
        <v>9191</v>
      </c>
      <c r="C1290" t="s">
        <v>32</v>
      </c>
      <c r="D1290" t="s">
        <v>9319</v>
      </c>
      <c r="E1290" t="s">
        <v>9320</v>
      </c>
      <c r="F1290" t="s">
        <v>9327</v>
      </c>
      <c r="G1290" t="s">
        <v>9328</v>
      </c>
      <c r="H1290" s="121" t="s">
        <v>9329</v>
      </c>
    </row>
    <row r="1291" spans="1:8" x14ac:dyDescent="0.25">
      <c r="A1291">
        <v>1533667</v>
      </c>
      <c r="B1291" s="121" t="s">
        <v>9191</v>
      </c>
      <c r="C1291" t="s">
        <v>32</v>
      </c>
      <c r="D1291" t="s">
        <v>219</v>
      </c>
      <c r="E1291" t="s">
        <v>49</v>
      </c>
      <c r="F1291" t="s">
        <v>2536</v>
      </c>
      <c r="G1291" t="s">
        <v>6840</v>
      </c>
      <c r="H1291" s="121" t="s">
        <v>9330</v>
      </c>
    </row>
    <row r="1292" spans="1:8" x14ac:dyDescent="0.25">
      <c r="A1292">
        <v>1534523</v>
      </c>
      <c r="B1292" s="121" t="s">
        <v>9191</v>
      </c>
      <c r="C1292" t="s">
        <v>32</v>
      </c>
      <c r="D1292" t="s">
        <v>389</v>
      </c>
      <c r="E1292" t="s">
        <v>335</v>
      </c>
      <c r="F1292" t="s">
        <v>9331</v>
      </c>
      <c r="G1292" t="s">
        <v>9332</v>
      </c>
      <c r="H1292" s="121" t="s">
        <v>9333</v>
      </c>
    </row>
    <row r="1293" spans="1:8" x14ac:dyDescent="0.25">
      <c r="A1293">
        <v>1538882</v>
      </c>
      <c r="B1293" s="121" t="s">
        <v>9191</v>
      </c>
      <c r="C1293" t="s">
        <v>32</v>
      </c>
      <c r="D1293" t="s">
        <v>21</v>
      </c>
      <c r="E1293" t="s">
        <v>7468</v>
      </c>
      <c r="F1293" t="s">
        <v>9334</v>
      </c>
      <c r="G1293" t="s">
        <v>9335</v>
      </c>
      <c r="H1293" s="121" t="s">
        <v>9336</v>
      </c>
    </row>
    <row r="1294" spans="1:8" x14ac:dyDescent="0.25">
      <c r="A1294">
        <v>1539977</v>
      </c>
      <c r="B1294" s="121" t="s">
        <v>9191</v>
      </c>
      <c r="C1294" t="s">
        <v>32</v>
      </c>
      <c r="D1294" t="s">
        <v>5019</v>
      </c>
      <c r="E1294" t="s">
        <v>5020</v>
      </c>
      <c r="F1294" t="s">
        <v>5031</v>
      </c>
      <c r="G1294" t="s">
        <v>5033</v>
      </c>
      <c r="H1294" s="121" t="s">
        <v>9337</v>
      </c>
    </row>
    <row r="1295" spans="1:8" x14ac:dyDescent="0.25">
      <c r="A1295">
        <v>1419927</v>
      </c>
      <c r="B1295" s="121" t="s">
        <v>9338</v>
      </c>
      <c r="C1295" t="s">
        <v>32</v>
      </c>
      <c r="D1295" t="s">
        <v>41</v>
      </c>
      <c r="E1295" t="s">
        <v>348</v>
      </c>
      <c r="F1295" t="s">
        <v>9339</v>
      </c>
      <c r="G1295" t="s">
        <v>1696</v>
      </c>
      <c r="H1295" s="121" t="s">
        <v>9340</v>
      </c>
    </row>
    <row r="1296" spans="1:8" x14ac:dyDescent="0.25">
      <c r="A1296">
        <v>1498229</v>
      </c>
      <c r="B1296" s="121" t="s">
        <v>9338</v>
      </c>
      <c r="C1296" t="s">
        <v>32</v>
      </c>
      <c r="D1296" t="s">
        <v>18</v>
      </c>
      <c r="E1296" t="s">
        <v>500</v>
      </c>
      <c r="F1296" t="s">
        <v>9341</v>
      </c>
      <c r="G1296" t="s">
        <v>505</v>
      </c>
      <c r="H1296" s="121" t="s">
        <v>9342</v>
      </c>
    </row>
    <row r="1297" spans="1:8" x14ac:dyDescent="0.25">
      <c r="A1297">
        <v>1380635</v>
      </c>
      <c r="B1297" s="121" t="s">
        <v>9343</v>
      </c>
      <c r="C1297" t="s">
        <v>32</v>
      </c>
      <c r="D1297" t="s">
        <v>51</v>
      </c>
      <c r="E1297" t="s">
        <v>57</v>
      </c>
      <c r="F1297" t="s">
        <v>9344</v>
      </c>
      <c r="G1297" t="s">
        <v>1608</v>
      </c>
      <c r="H1297" s="121" t="s">
        <v>9345</v>
      </c>
    </row>
    <row r="1298" spans="1:8" x14ac:dyDescent="0.25">
      <c r="A1298">
        <v>1384372</v>
      </c>
      <c r="B1298" s="121" t="s">
        <v>9343</v>
      </c>
      <c r="C1298" t="s">
        <v>32</v>
      </c>
      <c r="D1298" t="s">
        <v>267</v>
      </c>
      <c r="E1298" t="s">
        <v>659</v>
      </c>
      <c r="F1298" t="s">
        <v>6197</v>
      </c>
      <c r="G1298" t="s">
        <v>2502</v>
      </c>
      <c r="H1298" s="121" t="s">
        <v>9346</v>
      </c>
    </row>
    <row r="1299" spans="1:8" x14ac:dyDescent="0.25">
      <c r="A1299">
        <v>1418677</v>
      </c>
      <c r="B1299" s="121" t="s">
        <v>9343</v>
      </c>
      <c r="C1299" t="s">
        <v>32</v>
      </c>
      <c r="D1299" t="s">
        <v>80</v>
      </c>
      <c r="E1299" t="s">
        <v>626</v>
      </c>
      <c r="F1299" t="s">
        <v>6202</v>
      </c>
      <c r="G1299" t="s">
        <v>6199</v>
      </c>
      <c r="H1299" s="121" t="s">
        <v>9347</v>
      </c>
    </row>
    <row r="1300" spans="1:8" x14ac:dyDescent="0.25">
      <c r="A1300">
        <v>1429660</v>
      </c>
      <c r="B1300" s="121" t="s">
        <v>9343</v>
      </c>
      <c r="C1300" t="s">
        <v>32</v>
      </c>
      <c r="D1300" t="s">
        <v>37</v>
      </c>
      <c r="E1300" t="s">
        <v>238</v>
      </c>
      <c r="F1300" t="s">
        <v>9348</v>
      </c>
      <c r="G1300" t="s">
        <v>6086</v>
      </c>
      <c r="H1300" s="121" t="s">
        <v>9349</v>
      </c>
    </row>
    <row r="1301" spans="1:8" x14ac:dyDescent="0.25">
      <c r="A1301">
        <v>1429661</v>
      </c>
      <c r="B1301" s="121" t="s">
        <v>9343</v>
      </c>
      <c r="C1301" t="s">
        <v>32</v>
      </c>
      <c r="D1301" t="s">
        <v>37</v>
      </c>
      <c r="E1301" t="s">
        <v>238</v>
      </c>
      <c r="F1301" t="s">
        <v>9350</v>
      </c>
      <c r="G1301" t="s">
        <v>4226</v>
      </c>
      <c r="H1301" s="121" t="s">
        <v>9351</v>
      </c>
    </row>
    <row r="1302" spans="1:8" x14ac:dyDescent="0.25">
      <c r="A1302">
        <v>1430366</v>
      </c>
      <c r="B1302" s="121" t="s">
        <v>9343</v>
      </c>
      <c r="C1302" t="s">
        <v>32</v>
      </c>
      <c r="D1302" t="s">
        <v>80</v>
      </c>
      <c r="E1302" t="s">
        <v>628</v>
      </c>
      <c r="F1302" t="s">
        <v>9352</v>
      </c>
      <c r="G1302" t="s">
        <v>1447</v>
      </c>
      <c r="H1302" s="121" t="s">
        <v>9353</v>
      </c>
    </row>
    <row r="1303" spans="1:8" x14ac:dyDescent="0.25">
      <c r="A1303">
        <v>1432467</v>
      </c>
      <c r="B1303" s="121" t="s">
        <v>9343</v>
      </c>
      <c r="C1303" t="s">
        <v>32</v>
      </c>
      <c r="D1303" t="s">
        <v>40</v>
      </c>
      <c r="E1303" t="s">
        <v>645</v>
      </c>
      <c r="F1303" t="s">
        <v>2099</v>
      </c>
      <c r="G1303" t="s">
        <v>2095</v>
      </c>
      <c r="H1303" s="121" t="s">
        <v>9354</v>
      </c>
    </row>
    <row r="1304" spans="1:8" x14ac:dyDescent="0.25">
      <c r="A1304">
        <v>1439328</v>
      </c>
      <c r="B1304" s="121" t="s">
        <v>9343</v>
      </c>
      <c r="C1304" t="s">
        <v>32</v>
      </c>
      <c r="D1304" t="s">
        <v>41</v>
      </c>
      <c r="E1304" t="s">
        <v>4255</v>
      </c>
      <c r="F1304" t="s">
        <v>6209</v>
      </c>
      <c r="G1304" t="s">
        <v>9355</v>
      </c>
      <c r="H1304" s="121" t="s">
        <v>9356</v>
      </c>
    </row>
    <row r="1305" spans="1:8" x14ac:dyDescent="0.25">
      <c r="A1305">
        <v>1439716</v>
      </c>
      <c r="B1305" s="121" t="s">
        <v>9343</v>
      </c>
      <c r="C1305" t="s">
        <v>32</v>
      </c>
      <c r="D1305" t="s">
        <v>41</v>
      </c>
      <c r="E1305" t="s">
        <v>1198</v>
      </c>
      <c r="F1305" t="s">
        <v>1201</v>
      </c>
      <c r="G1305" t="s">
        <v>2541</v>
      </c>
      <c r="H1305" s="121" t="s">
        <v>9357</v>
      </c>
    </row>
    <row r="1306" spans="1:8" x14ac:dyDescent="0.25">
      <c r="A1306">
        <v>1458196</v>
      </c>
      <c r="B1306" s="121" t="s">
        <v>9343</v>
      </c>
      <c r="C1306" t="s">
        <v>32</v>
      </c>
      <c r="D1306" t="s">
        <v>40</v>
      </c>
      <c r="E1306" t="s">
        <v>662</v>
      </c>
      <c r="F1306" t="s">
        <v>9358</v>
      </c>
      <c r="G1306" t="s">
        <v>2044</v>
      </c>
      <c r="H1306" s="121" t="s">
        <v>9359</v>
      </c>
    </row>
    <row r="1307" spans="1:8" x14ac:dyDescent="0.25">
      <c r="A1307">
        <v>1459077</v>
      </c>
      <c r="B1307" s="121" t="s">
        <v>9343</v>
      </c>
      <c r="C1307" t="s">
        <v>32</v>
      </c>
      <c r="D1307" t="s">
        <v>40</v>
      </c>
      <c r="E1307" t="s">
        <v>639</v>
      </c>
      <c r="F1307" t="s">
        <v>9360</v>
      </c>
      <c r="G1307" t="s">
        <v>9361</v>
      </c>
      <c r="H1307" s="121" t="s">
        <v>9362</v>
      </c>
    </row>
    <row r="1308" spans="1:8" x14ac:dyDescent="0.25">
      <c r="A1308">
        <v>1459144</v>
      </c>
      <c r="B1308" s="121" t="s">
        <v>9343</v>
      </c>
      <c r="C1308" t="s">
        <v>32</v>
      </c>
      <c r="D1308" t="s">
        <v>40</v>
      </c>
      <c r="E1308" t="s">
        <v>639</v>
      </c>
      <c r="F1308" t="s">
        <v>2222</v>
      </c>
      <c r="G1308" t="s">
        <v>9363</v>
      </c>
      <c r="H1308" s="121" t="s">
        <v>9364</v>
      </c>
    </row>
    <row r="1309" spans="1:8" x14ac:dyDescent="0.25">
      <c r="A1309">
        <v>1460372</v>
      </c>
      <c r="B1309" s="121" t="s">
        <v>9343</v>
      </c>
      <c r="C1309" t="s">
        <v>32</v>
      </c>
      <c r="D1309" t="s">
        <v>40</v>
      </c>
      <c r="E1309" t="s">
        <v>647</v>
      </c>
      <c r="F1309" t="s">
        <v>5690</v>
      </c>
      <c r="G1309" t="s">
        <v>1253</v>
      </c>
      <c r="H1309" s="121" t="s">
        <v>9365</v>
      </c>
    </row>
    <row r="1310" spans="1:8" x14ac:dyDescent="0.25">
      <c r="A1310">
        <v>1461284</v>
      </c>
      <c r="B1310" s="121" t="s">
        <v>9343</v>
      </c>
      <c r="C1310" t="s">
        <v>32</v>
      </c>
      <c r="D1310" t="s">
        <v>40</v>
      </c>
      <c r="E1310" t="s">
        <v>648</v>
      </c>
      <c r="F1310" t="s">
        <v>1190</v>
      </c>
      <c r="G1310" t="s">
        <v>6043</v>
      </c>
      <c r="H1310" s="121" t="s">
        <v>9366</v>
      </c>
    </row>
    <row r="1311" spans="1:8" x14ac:dyDescent="0.25">
      <c r="A1311">
        <v>1463113</v>
      </c>
      <c r="B1311" s="121" t="s">
        <v>9343</v>
      </c>
      <c r="C1311" t="s">
        <v>32</v>
      </c>
      <c r="D1311" t="s">
        <v>40</v>
      </c>
      <c r="E1311" t="s">
        <v>651</v>
      </c>
      <c r="F1311" t="s">
        <v>2051</v>
      </c>
      <c r="G1311" t="s">
        <v>9367</v>
      </c>
      <c r="H1311" s="121" t="s">
        <v>9368</v>
      </c>
    </row>
    <row r="1312" spans="1:8" x14ac:dyDescent="0.25">
      <c r="A1312">
        <v>1463419</v>
      </c>
      <c r="B1312" s="121" t="s">
        <v>9343</v>
      </c>
      <c r="C1312" t="s">
        <v>32</v>
      </c>
      <c r="D1312" t="s">
        <v>40</v>
      </c>
      <c r="E1312" t="s">
        <v>652</v>
      </c>
      <c r="F1312" t="s">
        <v>6603</v>
      </c>
      <c r="G1312" t="s">
        <v>2167</v>
      </c>
      <c r="H1312" s="121" t="s">
        <v>9369</v>
      </c>
    </row>
    <row r="1313" spans="1:8" x14ac:dyDescent="0.25">
      <c r="A1313">
        <v>1463423</v>
      </c>
      <c r="B1313" s="121" t="s">
        <v>9343</v>
      </c>
      <c r="C1313" t="s">
        <v>32</v>
      </c>
      <c r="D1313" t="s">
        <v>40</v>
      </c>
      <c r="E1313" t="s">
        <v>652</v>
      </c>
      <c r="F1313" t="s">
        <v>6127</v>
      </c>
      <c r="G1313" t="s">
        <v>6602</v>
      </c>
      <c r="H1313" s="121" t="s">
        <v>9370</v>
      </c>
    </row>
    <row r="1314" spans="1:8" x14ac:dyDescent="0.25">
      <c r="A1314">
        <v>1504200</v>
      </c>
      <c r="B1314" s="121" t="s">
        <v>9343</v>
      </c>
      <c r="C1314" t="s">
        <v>32</v>
      </c>
      <c r="D1314" t="s">
        <v>5924</v>
      </c>
      <c r="E1314" t="s">
        <v>9284</v>
      </c>
      <c r="F1314" t="s">
        <v>5915</v>
      </c>
      <c r="G1314" t="s">
        <v>3540</v>
      </c>
      <c r="H1314" s="121" t="s">
        <v>9371</v>
      </c>
    </row>
    <row r="1315" spans="1:8" x14ac:dyDescent="0.25">
      <c r="A1315">
        <v>1534135</v>
      </c>
      <c r="B1315" s="121" t="s">
        <v>9343</v>
      </c>
      <c r="C1315" t="s">
        <v>32</v>
      </c>
      <c r="D1315" t="s">
        <v>48</v>
      </c>
      <c r="E1315" t="s">
        <v>49</v>
      </c>
      <c r="F1315" t="s">
        <v>2010</v>
      </c>
      <c r="G1315" t="s">
        <v>9372</v>
      </c>
      <c r="H1315" s="121" t="s">
        <v>9373</v>
      </c>
    </row>
    <row r="1316" spans="1:8" x14ac:dyDescent="0.25">
      <c r="A1316">
        <v>1534149</v>
      </c>
      <c r="B1316" s="121" t="s">
        <v>9343</v>
      </c>
      <c r="C1316" t="s">
        <v>32</v>
      </c>
      <c r="D1316" t="s">
        <v>48</v>
      </c>
      <c r="E1316" t="s">
        <v>49</v>
      </c>
      <c r="F1316" t="s">
        <v>2061</v>
      </c>
      <c r="G1316" t="s">
        <v>1485</v>
      </c>
      <c r="H1316" s="121" t="s">
        <v>9374</v>
      </c>
    </row>
    <row r="1317" spans="1:8" x14ac:dyDescent="0.25">
      <c r="A1317">
        <v>1540039</v>
      </c>
      <c r="B1317" s="121" t="s">
        <v>9343</v>
      </c>
      <c r="C1317" t="s">
        <v>32</v>
      </c>
      <c r="D1317" t="s">
        <v>570</v>
      </c>
      <c r="E1317" t="s">
        <v>49</v>
      </c>
      <c r="F1317" t="s">
        <v>1517</v>
      </c>
      <c r="G1317" t="s">
        <v>9375</v>
      </c>
      <c r="H1317" s="121" t="s">
        <v>9376</v>
      </c>
    </row>
    <row r="1318" spans="1:8" x14ac:dyDescent="0.25">
      <c r="A1318">
        <v>1436164</v>
      </c>
      <c r="B1318" s="121" t="s">
        <v>9377</v>
      </c>
      <c r="C1318" t="s">
        <v>34</v>
      </c>
      <c r="D1318" t="s">
        <v>82</v>
      </c>
      <c r="E1318" t="s">
        <v>338</v>
      </c>
      <c r="F1318" t="s">
        <v>9378</v>
      </c>
      <c r="G1318" t="s">
        <v>9379</v>
      </c>
      <c r="H1318" s="121" t="s">
        <v>9380</v>
      </c>
    </row>
    <row r="1319" spans="1:8" x14ac:dyDescent="0.25">
      <c r="A1319">
        <v>1380345</v>
      </c>
      <c r="B1319" s="121" t="s">
        <v>9381</v>
      </c>
      <c r="C1319" t="s">
        <v>32</v>
      </c>
      <c r="D1319" t="s">
        <v>390</v>
      </c>
      <c r="E1319" t="s">
        <v>400</v>
      </c>
      <c r="F1319" t="s">
        <v>1312</v>
      </c>
      <c r="G1319" t="s">
        <v>6017</v>
      </c>
      <c r="H1319" s="121" t="s">
        <v>9382</v>
      </c>
    </row>
    <row r="1320" spans="1:8" x14ac:dyDescent="0.25">
      <c r="A1320">
        <v>1378180</v>
      </c>
      <c r="B1320" s="121" t="s">
        <v>9383</v>
      </c>
      <c r="C1320" t="s">
        <v>32</v>
      </c>
      <c r="D1320" t="s">
        <v>41</v>
      </c>
      <c r="E1320" t="s">
        <v>60</v>
      </c>
      <c r="F1320" t="s">
        <v>2336</v>
      </c>
      <c r="G1320" t="s">
        <v>9384</v>
      </c>
      <c r="H1320" s="121" t="s">
        <v>9385</v>
      </c>
    </row>
    <row r="1321" spans="1:8" x14ac:dyDescent="0.25">
      <c r="A1321">
        <v>1384579</v>
      </c>
      <c r="B1321" s="121" t="s">
        <v>9383</v>
      </c>
      <c r="C1321" t="s">
        <v>32</v>
      </c>
      <c r="D1321" t="s">
        <v>381</v>
      </c>
      <c r="E1321" t="s">
        <v>397</v>
      </c>
      <c r="F1321" t="s">
        <v>6238</v>
      </c>
      <c r="G1321" t="s">
        <v>9386</v>
      </c>
      <c r="H1321" s="121" t="s">
        <v>9387</v>
      </c>
    </row>
    <row r="1322" spans="1:8" x14ac:dyDescent="0.25">
      <c r="A1322">
        <v>1384881</v>
      </c>
      <c r="B1322" s="121" t="s">
        <v>9383</v>
      </c>
      <c r="C1322" t="s">
        <v>32</v>
      </c>
      <c r="D1322" t="s">
        <v>381</v>
      </c>
      <c r="E1322" t="s">
        <v>401</v>
      </c>
      <c r="F1322" t="s">
        <v>9388</v>
      </c>
      <c r="G1322" t="s">
        <v>1792</v>
      </c>
      <c r="H1322" s="121" t="s">
        <v>9389</v>
      </c>
    </row>
    <row r="1323" spans="1:8" x14ac:dyDescent="0.25">
      <c r="A1323">
        <v>1388251</v>
      </c>
      <c r="B1323" s="121" t="s">
        <v>9383</v>
      </c>
      <c r="C1323" t="s">
        <v>32</v>
      </c>
      <c r="D1323" t="s">
        <v>267</v>
      </c>
      <c r="E1323" t="s">
        <v>402</v>
      </c>
      <c r="F1323" t="s">
        <v>1226</v>
      </c>
      <c r="G1323" t="s">
        <v>4934</v>
      </c>
      <c r="H1323" s="121" t="s">
        <v>9390</v>
      </c>
    </row>
    <row r="1324" spans="1:8" x14ac:dyDescent="0.25">
      <c r="A1324">
        <v>1396053</v>
      </c>
      <c r="B1324" s="121" t="s">
        <v>9383</v>
      </c>
      <c r="C1324" t="s">
        <v>32</v>
      </c>
      <c r="D1324" t="s">
        <v>51</v>
      </c>
      <c r="E1324" t="s">
        <v>385</v>
      </c>
      <c r="F1324" t="s">
        <v>9391</v>
      </c>
      <c r="G1324" t="s">
        <v>6246</v>
      </c>
      <c r="H1324" s="121" t="s">
        <v>9392</v>
      </c>
    </row>
    <row r="1325" spans="1:8" x14ac:dyDescent="0.25">
      <c r="A1325">
        <v>1398657</v>
      </c>
      <c r="B1325" s="121" t="s">
        <v>9383</v>
      </c>
      <c r="C1325" t="s">
        <v>32</v>
      </c>
      <c r="D1325" t="s">
        <v>42</v>
      </c>
      <c r="E1325" t="s">
        <v>50</v>
      </c>
      <c r="F1325" t="s">
        <v>2212</v>
      </c>
      <c r="G1325" t="s">
        <v>3083</v>
      </c>
      <c r="H1325" s="121" t="s">
        <v>9393</v>
      </c>
    </row>
    <row r="1326" spans="1:8" x14ac:dyDescent="0.25">
      <c r="A1326">
        <v>1399227</v>
      </c>
      <c r="B1326" s="121" t="s">
        <v>9383</v>
      </c>
      <c r="C1326" t="s">
        <v>32</v>
      </c>
      <c r="D1326" t="s">
        <v>58</v>
      </c>
      <c r="E1326" t="s">
        <v>4200</v>
      </c>
      <c r="F1326" t="s">
        <v>6248</v>
      </c>
      <c r="G1326" t="s">
        <v>4211</v>
      </c>
      <c r="H1326" s="121" t="s">
        <v>9394</v>
      </c>
    </row>
    <row r="1327" spans="1:8" x14ac:dyDescent="0.25">
      <c r="A1327">
        <v>1410387</v>
      </c>
      <c r="B1327" s="121" t="s">
        <v>9383</v>
      </c>
      <c r="C1327" t="s">
        <v>32</v>
      </c>
      <c r="D1327" t="s">
        <v>51</v>
      </c>
      <c r="E1327" t="s">
        <v>3147</v>
      </c>
      <c r="F1327" t="s">
        <v>9395</v>
      </c>
      <c r="G1327" t="s">
        <v>3820</v>
      </c>
      <c r="H1327" s="121" t="s">
        <v>9396</v>
      </c>
    </row>
    <row r="1328" spans="1:8" x14ac:dyDescent="0.25">
      <c r="A1328">
        <v>1410991</v>
      </c>
      <c r="B1328" s="121" t="s">
        <v>9383</v>
      </c>
      <c r="C1328" t="s">
        <v>32</v>
      </c>
      <c r="D1328" t="s">
        <v>51</v>
      </c>
      <c r="E1328" t="s">
        <v>539</v>
      </c>
      <c r="F1328" t="s">
        <v>3402</v>
      </c>
      <c r="G1328" t="s">
        <v>6251</v>
      </c>
      <c r="H1328" s="121" t="s">
        <v>9397</v>
      </c>
    </row>
    <row r="1329" spans="1:8" x14ac:dyDescent="0.25">
      <c r="A1329">
        <v>1414924</v>
      </c>
      <c r="B1329" s="121" t="s">
        <v>9383</v>
      </c>
      <c r="C1329" t="s">
        <v>32</v>
      </c>
      <c r="D1329" t="s">
        <v>390</v>
      </c>
      <c r="E1329" t="s">
        <v>928</v>
      </c>
      <c r="F1329" t="s">
        <v>1908</v>
      </c>
      <c r="G1329" t="s">
        <v>2080</v>
      </c>
      <c r="H1329" s="121" t="s">
        <v>9398</v>
      </c>
    </row>
    <row r="1330" spans="1:8" x14ac:dyDescent="0.25">
      <c r="A1330">
        <v>1425347</v>
      </c>
      <c r="B1330" s="121" t="s">
        <v>9383</v>
      </c>
      <c r="C1330" t="s">
        <v>32</v>
      </c>
      <c r="D1330" t="s">
        <v>89</v>
      </c>
      <c r="E1330" t="s">
        <v>6270</v>
      </c>
      <c r="F1330" t="s">
        <v>6275</v>
      </c>
      <c r="G1330" t="s">
        <v>9399</v>
      </c>
      <c r="H1330" s="121" t="s">
        <v>9400</v>
      </c>
    </row>
    <row r="1331" spans="1:8" x14ac:dyDescent="0.25">
      <c r="A1331">
        <v>1425348</v>
      </c>
      <c r="B1331" s="121" t="s">
        <v>9383</v>
      </c>
      <c r="C1331" t="s">
        <v>32</v>
      </c>
      <c r="D1331" t="s">
        <v>89</v>
      </c>
      <c r="E1331" t="s">
        <v>6270</v>
      </c>
      <c r="F1331" t="s">
        <v>6284</v>
      </c>
      <c r="G1331" t="s">
        <v>6289</v>
      </c>
      <c r="H1331" s="121" t="s">
        <v>9401</v>
      </c>
    </row>
    <row r="1332" spans="1:8" x14ac:dyDescent="0.25">
      <c r="A1332">
        <v>1425349</v>
      </c>
      <c r="B1332" s="121" t="s">
        <v>9383</v>
      </c>
      <c r="C1332" t="s">
        <v>32</v>
      </c>
      <c r="D1332" t="s">
        <v>89</v>
      </c>
      <c r="E1332" t="s">
        <v>6270</v>
      </c>
      <c r="F1332" t="s">
        <v>9402</v>
      </c>
      <c r="G1332" t="s">
        <v>6277</v>
      </c>
      <c r="H1332" s="121" t="s">
        <v>9403</v>
      </c>
    </row>
    <row r="1333" spans="1:8" x14ac:dyDescent="0.25">
      <c r="A1333">
        <v>1425350</v>
      </c>
      <c r="B1333" s="121" t="s">
        <v>9383</v>
      </c>
      <c r="C1333" t="s">
        <v>32</v>
      </c>
      <c r="D1333" t="s">
        <v>89</v>
      </c>
      <c r="E1333" t="s">
        <v>6270</v>
      </c>
      <c r="F1333" t="s">
        <v>6287</v>
      </c>
      <c r="G1333" t="s">
        <v>6280</v>
      </c>
      <c r="H1333" s="121" t="s">
        <v>9404</v>
      </c>
    </row>
    <row r="1334" spans="1:8" x14ac:dyDescent="0.25">
      <c r="A1334">
        <v>1425352</v>
      </c>
      <c r="B1334" s="121" t="s">
        <v>9383</v>
      </c>
      <c r="C1334" t="s">
        <v>32</v>
      </c>
      <c r="D1334" t="s">
        <v>89</v>
      </c>
      <c r="E1334" t="s">
        <v>6270</v>
      </c>
      <c r="F1334" t="s">
        <v>6278</v>
      </c>
      <c r="G1334" t="s">
        <v>6274</v>
      </c>
      <c r="H1334" s="121" t="s">
        <v>9405</v>
      </c>
    </row>
    <row r="1335" spans="1:8" x14ac:dyDescent="0.25">
      <c r="A1335">
        <v>1425354</v>
      </c>
      <c r="B1335" s="121" t="s">
        <v>9383</v>
      </c>
      <c r="C1335" t="s">
        <v>32</v>
      </c>
      <c r="D1335" t="s">
        <v>89</v>
      </c>
      <c r="E1335" t="s">
        <v>6270</v>
      </c>
      <c r="F1335" t="s">
        <v>6271</v>
      </c>
      <c r="G1335" t="s">
        <v>6286</v>
      </c>
      <c r="H1335" s="121" t="s">
        <v>9406</v>
      </c>
    </row>
    <row r="1336" spans="1:8" x14ac:dyDescent="0.25">
      <c r="A1336">
        <v>1425585</v>
      </c>
      <c r="B1336" s="121" t="s">
        <v>9383</v>
      </c>
      <c r="C1336" t="s">
        <v>32</v>
      </c>
      <c r="D1336" t="s">
        <v>89</v>
      </c>
      <c r="E1336" t="s">
        <v>552</v>
      </c>
      <c r="F1336" t="s">
        <v>6306</v>
      </c>
      <c r="G1336" t="s">
        <v>5431</v>
      </c>
      <c r="H1336" s="121" t="s">
        <v>9407</v>
      </c>
    </row>
    <row r="1337" spans="1:8" x14ac:dyDescent="0.25">
      <c r="A1337">
        <v>1425587</v>
      </c>
      <c r="B1337" s="121" t="s">
        <v>9383</v>
      </c>
      <c r="C1337" t="s">
        <v>32</v>
      </c>
      <c r="D1337" t="s">
        <v>89</v>
      </c>
      <c r="E1337" t="s">
        <v>552</v>
      </c>
      <c r="F1337" t="s">
        <v>5432</v>
      </c>
      <c r="G1337" t="s">
        <v>6300</v>
      </c>
      <c r="H1337" s="121" t="s">
        <v>9408</v>
      </c>
    </row>
    <row r="1338" spans="1:8" x14ac:dyDescent="0.25">
      <c r="A1338">
        <v>1425588</v>
      </c>
      <c r="B1338" s="121" t="s">
        <v>9383</v>
      </c>
      <c r="C1338" t="s">
        <v>32</v>
      </c>
      <c r="D1338" t="s">
        <v>89</v>
      </c>
      <c r="E1338" t="s">
        <v>552</v>
      </c>
      <c r="F1338" t="s">
        <v>1445</v>
      </c>
      <c r="G1338" t="s">
        <v>6302</v>
      </c>
      <c r="H1338" s="121" t="s">
        <v>9409</v>
      </c>
    </row>
    <row r="1339" spans="1:8" x14ac:dyDescent="0.25">
      <c r="A1339">
        <v>1425589</v>
      </c>
      <c r="B1339" s="121" t="s">
        <v>9383</v>
      </c>
      <c r="C1339" t="s">
        <v>32</v>
      </c>
      <c r="D1339" t="s">
        <v>89</v>
      </c>
      <c r="E1339" t="s">
        <v>552</v>
      </c>
      <c r="F1339" t="s">
        <v>6296</v>
      </c>
      <c r="G1339" t="s">
        <v>6293</v>
      </c>
      <c r="H1339" s="121" t="s">
        <v>9410</v>
      </c>
    </row>
    <row r="1340" spans="1:8" x14ac:dyDescent="0.25">
      <c r="A1340">
        <v>1425590</v>
      </c>
      <c r="B1340" s="121" t="s">
        <v>9383</v>
      </c>
      <c r="C1340" t="s">
        <v>32</v>
      </c>
      <c r="D1340" t="s">
        <v>89</v>
      </c>
      <c r="E1340" t="s">
        <v>552</v>
      </c>
      <c r="F1340" t="s">
        <v>1446</v>
      </c>
      <c r="G1340" t="s">
        <v>6305</v>
      </c>
      <c r="H1340" s="121" t="s">
        <v>9411</v>
      </c>
    </row>
    <row r="1341" spans="1:8" x14ac:dyDescent="0.25">
      <c r="A1341">
        <v>1425591</v>
      </c>
      <c r="B1341" s="121" t="s">
        <v>9383</v>
      </c>
      <c r="C1341" t="s">
        <v>32</v>
      </c>
      <c r="D1341" t="s">
        <v>89</v>
      </c>
      <c r="E1341" t="s">
        <v>552</v>
      </c>
      <c r="F1341" t="s">
        <v>6719</v>
      </c>
      <c r="G1341" t="s">
        <v>6292</v>
      </c>
      <c r="H1341" s="121" t="s">
        <v>9412</v>
      </c>
    </row>
    <row r="1342" spans="1:8" x14ac:dyDescent="0.25">
      <c r="A1342">
        <v>1425820</v>
      </c>
      <c r="B1342" s="121" t="s">
        <v>9383</v>
      </c>
      <c r="C1342" t="s">
        <v>32</v>
      </c>
      <c r="D1342" t="s">
        <v>89</v>
      </c>
      <c r="E1342" t="s">
        <v>6308</v>
      </c>
      <c r="F1342" t="s">
        <v>6310</v>
      </c>
      <c r="G1342" t="s">
        <v>9413</v>
      </c>
      <c r="H1342" s="121" t="s">
        <v>9414</v>
      </c>
    </row>
    <row r="1343" spans="1:8" x14ac:dyDescent="0.25">
      <c r="A1343">
        <v>1425822</v>
      </c>
      <c r="B1343" s="121" t="s">
        <v>9383</v>
      </c>
      <c r="C1343" t="s">
        <v>32</v>
      </c>
      <c r="D1343" t="s">
        <v>89</v>
      </c>
      <c r="E1343" t="s">
        <v>6308</v>
      </c>
      <c r="F1343" t="s">
        <v>9415</v>
      </c>
      <c r="G1343" t="s">
        <v>6312</v>
      </c>
      <c r="H1343" s="121" t="s">
        <v>9416</v>
      </c>
    </row>
    <row r="1344" spans="1:8" x14ac:dyDescent="0.25">
      <c r="A1344">
        <v>1425823</v>
      </c>
      <c r="B1344" s="121" t="s">
        <v>9383</v>
      </c>
      <c r="C1344" t="s">
        <v>32</v>
      </c>
      <c r="D1344" t="s">
        <v>89</v>
      </c>
      <c r="E1344" t="s">
        <v>6308</v>
      </c>
      <c r="F1344" t="s">
        <v>6319</v>
      </c>
      <c r="G1344" t="s">
        <v>6315</v>
      </c>
      <c r="H1344" s="121" t="s">
        <v>9417</v>
      </c>
    </row>
    <row r="1345" spans="1:8" x14ac:dyDescent="0.25">
      <c r="A1345">
        <v>1425824</v>
      </c>
      <c r="B1345" s="121" t="s">
        <v>9383</v>
      </c>
      <c r="C1345" t="s">
        <v>32</v>
      </c>
      <c r="D1345" t="s">
        <v>89</v>
      </c>
      <c r="E1345" t="s">
        <v>6308</v>
      </c>
      <c r="F1345" t="s">
        <v>6316</v>
      </c>
      <c r="G1345" t="s">
        <v>9418</v>
      </c>
      <c r="H1345" s="121" t="s">
        <v>9419</v>
      </c>
    </row>
    <row r="1346" spans="1:8" x14ac:dyDescent="0.25">
      <c r="A1346">
        <v>1425826</v>
      </c>
      <c r="B1346" s="121" t="s">
        <v>9383</v>
      </c>
      <c r="C1346" t="s">
        <v>32</v>
      </c>
      <c r="D1346" t="s">
        <v>89</v>
      </c>
      <c r="E1346" t="s">
        <v>6308</v>
      </c>
      <c r="F1346" t="s">
        <v>6313</v>
      </c>
      <c r="G1346" t="s">
        <v>9420</v>
      </c>
      <c r="H1346" s="121" t="s">
        <v>9421</v>
      </c>
    </row>
    <row r="1347" spans="1:8" x14ac:dyDescent="0.25">
      <c r="A1347">
        <v>1426010</v>
      </c>
      <c r="B1347" s="121" t="s">
        <v>9383</v>
      </c>
      <c r="C1347" t="s">
        <v>32</v>
      </c>
      <c r="D1347" t="s">
        <v>89</v>
      </c>
      <c r="E1347" t="s">
        <v>670</v>
      </c>
      <c r="F1347" t="s">
        <v>1705</v>
      </c>
      <c r="G1347" t="s">
        <v>6539</v>
      </c>
      <c r="H1347" s="121" t="s">
        <v>9422</v>
      </c>
    </row>
    <row r="1348" spans="1:8" x14ac:dyDescent="0.25">
      <c r="A1348">
        <v>1426011</v>
      </c>
      <c r="B1348" s="121" t="s">
        <v>9383</v>
      </c>
      <c r="C1348" t="s">
        <v>32</v>
      </c>
      <c r="D1348" t="s">
        <v>89</v>
      </c>
      <c r="E1348" t="s">
        <v>670</v>
      </c>
      <c r="F1348" t="s">
        <v>6324</v>
      </c>
      <c r="G1348" t="s">
        <v>9423</v>
      </c>
      <c r="H1348" s="121" t="s">
        <v>9424</v>
      </c>
    </row>
    <row r="1349" spans="1:8" x14ac:dyDescent="0.25">
      <c r="A1349">
        <v>1426012</v>
      </c>
      <c r="B1349" s="121" t="s">
        <v>9383</v>
      </c>
      <c r="C1349" t="s">
        <v>32</v>
      </c>
      <c r="D1349" t="s">
        <v>89</v>
      </c>
      <c r="E1349" t="s">
        <v>670</v>
      </c>
      <c r="F1349" t="s">
        <v>6326</v>
      </c>
      <c r="G1349" t="s">
        <v>6536</v>
      </c>
      <c r="H1349" s="121" t="s">
        <v>9425</v>
      </c>
    </row>
    <row r="1350" spans="1:8" x14ac:dyDescent="0.25">
      <c r="A1350">
        <v>1426172</v>
      </c>
      <c r="B1350" s="121" t="s">
        <v>9383</v>
      </c>
      <c r="C1350" t="s">
        <v>32</v>
      </c>
      <c r="D1350" t="s">
        <v>89</v>
      </c>
      <c r="E1350" t="s">
        <v>671</v>
      </c>
      <c r="F1350" t="s">
        <v>6331</v>
      </c>
      <c r="G1350" t="s">
        <v>1707</v>
      </c>
      <c r="H1350" s="121" t="s">
        <v>9426</v>
      </c>
    </row>
    <row r="1351" spans="1:8" x14ac:dyDescent="0.25">
      <c r="A1351">
        <v>1426173</v>
      </c>
      <c r="B1351" s="121" t="s">
        <v>9383</v>
      </c>
      <c r="C1351" t="s">
        <v>32</v>
      </c>
      <c r="D1351" t="s">
        <v>89</v>
      </c>
      <c r="E1351" t="s">
        <v>671</v>
      </c>
      <c r="F1351" t="s">
        <v>6329</v>
      </c>
      <c r="G1351" t="s">
        <v>6591</v>
      </c>
      <c r="H1351" s="121" t="s">
        <v>9427</v>
      </c>
    </row>
    <row r="1352" spans="1:8" x14ac:dyDescent="0.25">
      <c r="A1352">
        <v>1426174</v>
      </c>
      <c r="B1352" s="121" t="s">
        <v>9383</v>
      </c>
      <c r="C1352" t="s">
        <v>32</v>
      </c>
      <c r="D1352" t="s">
        <v>89</v>
      </c>
      <c r="E1352" t="s">
        <v>671</v>
      </c>
      <c r="F1352" t="s">
        <v>6334</v>
      </c>
      <c r="G1352" t="s">
        <v>6338</v>
      </c>
      <c r="H1352" s="121" t="s">
        <v>9428</v>
      </c>
    </row>
    <row r="1353" spans="1:8" x14ac:dyDescent="0.25">
      <c r="A1353">
        <v>1426175</v>
      </c>
      <c r="B1353" s="121" t="s">
        <v>9383</v>
      </c>
      <c r="C1353" t="s">
        <v>32</v>
      </c>
      <c r="D1353" t="s">
        <v>89</v>
      </c>
      <c r="E1353" t="s">
        <v>671</v>
      </c>
      <c r="F1353" t="s">
        <v>6337</v>
      </c>
      <c r="G1353" t="s">
        <v>6592</v>
      </c>
      <c r="H1353" s="121" t="s">
        <v>9429</v>
      </c>
    </row>
    <row r="1354" spans="1:8" x14ac:dyDescent="0.25">
      <c r="A1354">
        <v>1426327</v>
      </c>
      <c r="B1354" s="121" t="s">
        <v>9383</v>
      </c>
      <c r="C1354" t="s">
        <v>32</v>
      </c>
      <c r="D1354" t="s">
        <v>89</v>
      </c>
      <c r="E1354" t="s">
        <v>672</v>
      </c>
      <c r="F1354" t="s">
        <v>6343</v>
      </c>
      <c r="G1354" t="s">
        <v>6347</v>
      </c>
      <c r="H1354" s="121" t="s">
        <v>9430</v>
      </c>
    </row>
    <row r="1355" spans="1:8" x14ac:dyDescent="0.25">
      <c r="A1355">
        <v>1426328</v>
      </c>
      <c r="B1355" s="121" t="s">
        <v>9383</v>
      </c>
      <c r="C1355" t="s">
        <v>32</v>
      </c>
      <c r="D1355" t="s">
        <v>89</v>
      </c>
      <c r="E1355" t="s">
        <v>672</v>
      </c>
      <c r="F1355" t="s">
        <v>6349</v>
      </c>
      <c r="G1355" t="s">
        <v>1709</v>
      </c>
      <c r="H1355" s="121" t="s">
        <v>9431</v>
      </c>
    </row>
    <row r="1356" spans="1:8" x14ac:dyDescent="0.25">
      <c r="A1356">
        <v>1426329</v>
      </c>
      <c r="B1356" s="121" t="s">
        <v>9383</v>
      </c>
      <c r="C1356" t="s">
        <v>32</v>
      </c>
      <c r="D1356" t="s">
        <v>89</v>
      </c>
      <c r="E1356" t="s">
        <v>672</v>
      </c>
      <c r="F1356" t="s">
        <v>6346</v>
      </c>
      <c r="G1356" t="s">
        <v>6341</v>
      </c>
      <c r="H1356" s="121" t="s">
        <v>9432</v>
      </c>
    </row>
    <row r="1357" spans="1:8" x14ac:dyDescent="0.25">
      <c r="A1357">
        <v>1426330</v>
      </c>
      <c r="B1357" s="121" t="s">
        <v>9383</v>
      </c>
      <c r="C1357" t="s">
        <v>32</v>
      </c>
      <c r="D1357" t="s">
        <v>89</v>
      </c>
      <c r="E1357" t="s">
        <v>672</v>
      </c>
      <c r="F1357" t="s">
        <v>9433</v>
      </c>
      <c r="G1357" t="s">
        <v>6350</v>
      </c>
      <c r="H1357" s="121" t="s">
        <v>9434</v>
      </c>
    </row>
    <row r="1358" spans="1:8" x14ac:dyDescent="0.25">
      <c r="A1358">
        <v>1426331</v>
      </c>
      <c r="B1358" s="121" t="s">
        <v>9383</v>
      </c>
      <c r="C1358" t="s">
        <v>32</v>
      </c>
      <c r="D1358" t="s">
        <v>89</v>
      </c>
      <c r="E1358" t="s">
        <v>672</v>
      </c>
      <c r="F1358" t="s">
        <v>6340</v>
      </c>
      <c r="G1358" t="s">
        <v>1708</v>
      </c>
      <c r="H1358" s="121" t="s">
        <v>9435</v>
      </c>
    </row>
    <row r="1359" spans="1:8" x14ac:dyDescent="0.25">
      <c r="A1359">
        <v>1426377</v>
      </c>
      <c r="B1359" s="121" t="s">
        <v>9383</v>
      </c>
      <c r="C1359" t="s">
        <v>32</v>
      </c>
      <c r="D1359" t="s">
        <v>89</v>
      </c>
      <c r="E1359" t="s">
        <v>672</v>
      </c>
      <c r="F1359" t="s">
        <v>6352</v>
      </c>
      <c r="G1359" t="s">
        <v>9436</v>
      </c>
      <c r="H1359" s="121" t="s">
        <v>9437</v>
      </c>
    </row>
    <row r="1360" spans="1:8" x14ac:dyDescent="0.25">
      <c r="A1360">
        <v>1426515</v>
      </c>
      <c r="B1360" s="121" t="s">
        <v>9383</v>
      </c>
      <c r="C1360" t="s">
        <v>32</v>
      </c>
      <c r="D1360" t="s">
        <v>89</v>
      </c>
      <c r="E1360" t="s">
        <v>6354</v>
      </c>
      <c r="F1360" t="s">
        <v>6364</v>
      </c>
      <c r="G1360" t="s">
        <v>6594</v>
      </c>
      <c r="H1360" s="121" t="s">
        <v>9438</v>
      </c>
    </row>
    <row r="1361" spans="1:8" x14ac:dyDescent="0.25">
      <c r="A1361">
        <v>1426516</v>
      </c>
      <c r="B1361" s="121" t="s">
        <v>9383</v>
      </c>
      <c r="C1361" t="s">
        <v>32</v>
      </c>
      <c r="D1361" t="s">
        <v>89</v>
      </c>
      <c r="E1361" t="s">
        <v>6354</v>
      </c>
      <c r="F1361" t="s">
        <v>6358</v>
      </c>
      <c r="G1361" t="s">
        <v>6365</v>
      </c>
      <c r="H1361" s="121" t="s">
        <v>9439</v>
      </c>
    </row>
    <row r="1362" spans="1:8" x14ac:dyDescent="0.25">
      <c r="A1362">
        <v>1426517</v>
      </c>
      <c r="B1362" s="121" t="s">
        <v>9383</v>
      </c>
      <c r="C1362" t="s">
        <v>32</v>
      </c>
      <c r="D1362" t="s">
        <v>89</v>
      </c>
      <c r="E1362" t="s">
        <v>6354</v>
      </c>
      <c r="F1362" t="s">
        <v>6361</v>
      </c>
      <c r="G1362" t="s">
        <v>6356</v>
      </c>
      <c r="H1362" s="121" t="s">
        <v>9440</v>
      </c>
    </row>
    <row r="1363" spans="1:8" x14ac:dyDescent="0.25">
      <c r="A1363">
        <v>1426518</v>
      </c>
      <c r="B1363" s="121" t="s">
        <v>9383</v>
      </c>
      <c r="C1363" t="s">
        <v>32</v>
      </c>
      <c r="D1363" t="s">
        <v>89</v>
      </c>
      <c r="E1363" t="s">
        <v>6354</v>
      </c>
      <c r="F1363" t="s">
        <v>6355</v>
      </c>
      <c r="G1363" t="s">
        <v>6595</v>
      </c>
      <c r="H1363" s="121" t="s">
        <v>9441</v>
      </c>
    </row>
    <row r="1364" spans="1:8" x14ac:dyDescent="0.25">
      <c r="A1364">
        <v>1426519</v>
      </c>
      <c r="B1364" s="121" t="s">
        <v>9383</v>
      </c>
      <c r="C1364" t="s">
        <v>32</v>
      </c>
      <c r="D1364" t="s">
        <v>89</v>
      </c>
      <c r="E1364" t="s">
        <v>6354</v>
      </c>
      <c r="F1364" t="s">
        <v>6370</v>
      </c>
      <c r="G1364" t="s">
        <v>6368</v>
      </c>
      <c r="H1364" s="121" t="s">
        <v>9442</v>
      </c>
    </row>
    <row r="1365" spans="1:8" x14ac:dyDescent="0.25">
      <c r="A1365">
        <v>1426520</v>
      </c>
      <c r="B1365" s="121" t="s">
        <v>9383</v>
      </c>
      <c r="C1365" t="s">
        <v>32</v>
      </c>
      <c r="D1365" t="s">
        <v>89</v>
      </c>
      <c r="E1365" t="s">
        <v>6354</v>
      </c>
      <c r="F1365" t="s">
        <v>6371</v>
      </c>
      <c r="G1365" t="s">
        <v>6362</v>
      </c>
      <c r="H1365" s="121" t="s">
        <v>9443</v>
      </c>
    </row>
    <row r="1366" spans="1:8" x14ac:dyDescent="0.25">
      <c r="A1366">
        <v>1426521</v>
      </c>
      <c r="B1366" s="121" t="s">
        <v>9383</v>
      </c>
      <c r="C1366" t="s">
        <v>32</v>
      </c>
      <c r="D1366" t="s">
        <v>89</v>
      </c>
      <c r="E1366" t="s">
        <v>6354</v>
      </c>
      <c r="F1366" t="s">
        <v>6367</v>
      </c>
      <c r="G1366" t="s">
        <v>6359</v>
      </c>
      <c r="H1366" s="121" t="s">
        <v>9444</v>
      </c>
    </row>
    <row r="1367" spans="1:8" x14ac:dyDescent="0.25">
      <c r="A1367">
        <v>1426697</v>
      </c>
      <c r="B1367" s="121" t="s">
        <v>9383</v>
      </c>
      <c r="C1367" t="s">
        <v>32</v>
      </c>
      <c r="D1367" t="s">
        <v>89</v>
      </c>
      <c r="E1367" t="s">
        <v>644</v>
      </c>
      <c r="F1367" t="s">
        <v>6373</v>
      </c>
      <c r="G1367" t="s">
        <v>6384</v>
      </c>
      <c r="H1367" s="121" t="s">
        <v>9445</v>
      </c>
    </row>
    <row r="1368" spans="1:8" x14ac:dyDescent="0.25">
      <c r="A1368">
        <v>1426698</v>
      </c>
      <c r="B1368" s="121" t="s">
        <v>9383</v>
      </c>
      <c r="C1368" t="s">
        <v>32</v>
      </c>
      <c r="D1368" t="s">
        <v>89</v>
      </c>
      <c r="E1368" t="s">
        <v>644</v>
      </c>
      <c r="F1368" t="s">
        <v>6383</v>
      </c>
      <c r="G1368" t="s">
        <v>1713</v>
      </c>
      <c r="H1368" s="121" t="s">
        <v>9446</v>
      </c>
    </row>
    <row r="1369" spans="1:8" x14ac:dyDescent="0.25">
      <c r="A1369">
        <v>1426699</v>
      </c>
      <c r="B1369" s="121" t="s">
        <v>9383</v>
      </c>
      <c r="C1369" t="s">
        <v>32</v>
      </c>
      <c r="D1369" t="s">
        <v>89</v>
      </c>
      <c r="E1369" t="s">
        <v>644</v>
      </c>
      <c r="F1369" t="s">
        <v>6381</v>
      </c>
      <c r="G1369" t="s">
        <v>1712</v>
      </c>
      <c r="H1369" s="121" t="s">
        <v>9447</v>
      </c>
    </row>
    <row r="1370" spans="1:8" x14ac:dyDescent="0.25">
      <c r="A1370">
        <v>1426700</v>
      </c>
      <c r="B1370" s="121" t="s">
        <v>9383</v>
      </c>
      <c r="C1370" t="s">
        <v>32</v>
      </c>
      <c r="D1370" t="s">
        <v>89</v>
      </c>
      <c r="E1370" t="s">
        <v>644</v>
      </c>
      <c r="F1370" t="s">
        <v>6376</v>
      </c>
      <c r="G1370" t="s">
        <v>9448</v>
      </c>
      <c r="H1370" s="121" t="s">
        <v>9449</v>
      </c>
    </row>
    <row r="1371" spans="1:8" x14ac:dyDescent="0.25">
      <c r="A1371">
        <v>1426701</v>
      </c>
      <c r="B1371" s="121" t="s">
        <v>9383</v>
      </c>
      <c r="C1371" t="s">
        <v>32</v>
      </c>
      <c r="D1371" t="s">
        <v>89</v>
      </c>
      <c r="E1371" t="s">
        <v>644</v>
      </c>
      <c r="F1371" t="s">
        <v>5434</v>
      </c>
      <c r="G1371" t="s">
        <v>6378</v>
      </c>
      <c r="H1371" s="121" t="s">
        <v>9450</v>
      </c>
    </row>
    <row r="1372" spans="1:8" x14ac:dyDescent="0.25">
      <c r="A1372">
        <v>1426702</v>
      </c>
      <c r="B1372" s="121" t="s">
        <v>9383</v>
      </c>
      <c r="C1372" t="s">
        <v>32</v>
      </c>
      <c r="D1372" t="s">
        <v>89</v>
      </c>
      <c r="E1372" t="s">
        <v>644</v>
      </c>
      <c r="F1372" t="s">
        <v>6374</v>
      </c>
      <c r="G1372" t="s">
        <v>1711</v>
      </c>
      <c r="H1372" s="121" t="s">
        <v>9451</v>
      </c>
    </row>
    <row r="1373" spans="1:8" x14ac:dyDescent="0.25">
      <c r="A1373">
        <v>1426872</v>
      </c>
      <c r="B1373" s="121" t="s">
        <v>9383</v>
      </c>
      <c r="C1373" t="s">
        <v>32</v>
      </c>
      <c r="D1373" t="s">
        <v>89</v>
      </c>
      <c r="E1373" t="s">
        <v>673</v>
      </c>
      <c r="F1373" t="s">
        <v>6391</v>
      </c>
      <c r="G1373" t="s">
        <v>6386</v>
      </c>
      <c r="H1373" s="121" t="s">
        <v>9452</v>
      </c>
    </row>
    <row r="1374" spans="1:8" x14ac:dyDescent="0.25">
      <c r="A1374">
        <v>1426873</v>
      </c>
      <c r="B1374" s="121" t="s">
        <v>9383</v>
      </c>
      <c r="C1374" t="s">
        <v>32</v>
      </c>
      <c r="D1374" t="s">
        <v>89</v>
      </c>
      <c r="E1374" t="s">
        <v>673</v>
      </c>
      <c r="F1374" t="s">
        <v>6394</v>
      </c>
      <c r="G1374" t="s">
        <v>6545</v>
      </c>
      <c r="H1374" s="121" t="s">
        <v>9453</v>
      </c>
    </row>
    <row r="1375" spans="1:8" x14ac:dyDescent="0.25">
      <c r="A1375">
        <v>1426874</v>
      </c>
      <c r="B1375" s="121" t="s">
        <v>9383</v>
      </c>
      <c r="C1375" t="s">
        <v>32</v>
      </c>
      <c r="D1375" t="s">
        <v>89</v>
      </c>
      <c r="E1375" t="s">
        <v>673</v>
      </c>
      <c r="F1375" t="s">
        <v>6389</v>
      </c>
      <c r="G1375" t="s">
        <v>9454</v>
      </c>
      <c r="H1375" s="121" t="s">
        <v>9455</v>
      </c>
    </row>
    <row r="1376" spans="1:8" x14ac:dyDescent="0.25">
      <c r="A1376">
        <v>1426875</v>
      </c>
      <c r="B1376" s="121" t="s">
        <v>9383</v>
      </c>
      <c r="C1376" t="s">
        <v>32</v>
      </c>
      <c r="D1376" t="s">
        <v>89</v>
      </c>
      <c r="E1376" t="s">
        <v>673</v>
      </c>
      <c r="F1376" t="s">
        <v>6397</v>
      </c>
      <c r="G1376" t="s">
        <v>1715</v>
      </c>
      <c r="H1376" s="121" t="s">
        <v>9456</v>
      </c>
    </row>
    <row r="1377" spans="1:8" x14ac:dyDescent="0.25">
      <c r="A1377">
        <v>1427047</v>
      </c>
      <c r="B1377" s="121" t="s">
        <v>9383</v>
      </c>
      <c r="C1377" t="s">
        <v>32</v>
      </c>
      <c r="D1377" t="s">
        <v>89</v>
      </c>
      <c r="E1377" t="s">
        <v>674</v>
      </c>
      <c r="F1377" t="s">
        <v>6408</v>
      </c>
      <c r="G1377" t="s">
        <v>6411</v>
      </c>
      <c r="H1377" s="121" t="s">
        <v>9457</v>
      </c>
    </row>
    <row r="1378" spans="1:8" x14ac:dyDescent="0.25">
      <c r="A1378">
        <v>1427048</v>
      </c>
      <c r="B1378" s="121" t="s">
        <v>9383</v>
      </c>
      <c r="C1378" t="s">
        <v>32</v>
      </c>
      <c r="D1378" t="s">
        <v>89</v>
      </c>
      <c r="E1378" t="s">
        <v>674</v>
      </c>
      <c r="F1378" t="s">
        <v>6400</v>
      </c>
      <c r="G1378" t="s">
        <v>1719</v>
      </c>
      <c r="H1378" s="121" t="s">
        <v>9458</v>
      </c>
    </row>
    <row r="1379" spans="1:8" x14ac:dyDescent="0.25">
      <c r="A1379">
        <v>1427049</v>
      </c>
      <c r="B1379" s="121" t="s">
        <v>9383</v>
      </c>
      <c r="C1379" t="s">
        <v>32</v>
      </c>
      <c r="D1379" t="s">
        <v>89</v>
      </c>
      <c r="E1379" t="s">
        <v>674</v>
      </c>
      <c r="F1379" t="s">
        <v>6405</v>
      </c>
      <c r="G1379" t="s">
        <v>6412</v>
      </c>
      <c r="H1379" s="121" t="s">
        <v>9459</v>
      </c>
    </row>
    <row r="1380" spans="1:8" x14ac:dyDescent="0.25">
      <c r="A1380">
        <v>1427050</v>
      </c>
      <c r="B1380" s="121" t="s">
        <v>9383</v>
      </c>
      <c r="C1380" t="s">
        <v>32</v>
      </c>
      <c r="D1380" t="s">
        <v>89</v>
      </c>
      <c r="E1380" t="s">
        <v>674</v>
      </c>
      <c r="F1380" t="s">
        <v>6402</v>
      </c>
      <c r="G1380" t="s">
        <v>6406</v>
      </c>
      <c r="H1380" s="121" t="s">
        <v>9460</v>
      </c>
    </row>
    <row r="1381" spans="1:8" x14ac:dyDescent="0.25">
      <c r="A1381">
        <v>1427051</v>
      </c>
      <c r="B1381" s="121" t="s">
        <v>9383</v>
      </c>
      <c r="C1381" t="s">
        <v>32</v>
      </c>
      <c r="D1381" t="s">
        <v>89</v>
      </c>
      <c r="E1381" t="s">
        <v>674</v>
      </c>
      <c r="F1381" t="s">
        <v>1717</v>
      </c>
      <c r="G1381" t="s">
        <v>6403</v>
      </c>
      <c r="H1381" s="121" t="s">
        <v>9461</v>
      </c>
    </row>
    <row r="1382" spans="1:8" x14ac:dyDescent="0.25">
      <c r="A1382">
        <v>1427215</v>
      </c>
      <c r="B1382" s="121" t="s">
        <v>9383</v>
      </c>
      <c r="C1382" t="s">
        <v>32</v>
      </c>
      <c r="D1382" t="s">
        <v>89</v>
      </c>
      <c r="E1382" t="s">
        <v>675</v>
      </c>
      <c r="F1382" t="s">
        <v>6414</v>
      </c>
      <c r="G1382" t="s">
        <v>1722</v>
      </c>
      <c r="H1382" s="121" t="s">
        <v>9462</v>
      </c>
    </row>
    <row r="1383" spans="1:8" x14ac:dyDescent="0.25">
      <c r="A1383">
        <v>1427216</v>
      </c>
      <c r="B1383" s="121" t="s">
        <v>9383</v>
      </c>
      <c r="C1383" t="s">
        <v>32</v>
      </c>
      <c r="D1383" t="s">
        <v>89</v>
      </c>
      <c r="E1383" t="s">
        <v>675</v>
      </c>
      <c r="F1383" t="s">
        <v>6417</v>
      </c>
      <c r="G1383" t="s">
        <v>6415</v>
      </c>
      <c r="H1383" s="121" t="s">
        <v>9463</v>
      </c>
    </row>
    <row r="1384" spans="1:8" x14ac:dyDescent="0.25">
      <c r="A1384">
        <v>1427217</v>
      </c>
      <c r="B1384" s="121" t="s">
        <v>9383</v>
      </c>
      <c r="C1384" t="s">
        <v>32</v>
      </c>
      <c r="D1384" t="s">
        <v>89</v>
      </c>
      <c r="E1384" t="s">
        <v>675</v>
      </c>
      <c r="F1384" t="s">
        <v>6421</v>
      </c>
      <c r="G1384" t="s">
        <v>1721</v>
      </c>
      <c r="H1384" s="121" t="s">
        <v>9464</v>
      </c>
    </row>
    <row r="1385" spans="1:8" x14ac:dyDescent="0.25">
      <c r="A1385">
        <v>1427218</v>
      </c>
      <c r="B1385" s="121" t="s">
        <v>9383</v>
      </c>
      <c r="C1385" t="s">
        <v>32</v>
      </c>
      <c r="D1385" t="s">
        <v>89</v>
      </c>
      <c r="E1385" t="s">
        <v>675</v>
      </c>
      <c r="F1385" t="s">
        <v>6420</v>
      </c>
      <c r="G1385" t="s">
        <v>6550</v>
      </c>
      <c r="H1385" s="121" t="s">
        <v>9465</v>
      </c>
    </row>
    <row r="1386" spans="1:8" x14ac:dyDescent="0.25">
      <c r="A1386">
        <v>1432465</v>
      </c>
      <c r="B1386" s="121" t="s">
        <v>9383</v>
      </c>
      <c r="C1386" t="s">
        <v>32</v>
      </c>
      <c r="D1386" t="s">
        <v>40</v>
      </c>
      <c r="E1386" t="s">
        <v>645</v>
      </c>
      <c r="F1386" t="s">
        <v>2093</v>
      </c>
      <c r="G1386" t="s">
        <v>1042</v>
      </c>
      <c r="H1386" s="121" t="s">
        <v>9466</v>
      </c>
    </row>
    <row r="1387" spans="1:8" x14ac:dyDescent="0.25">
      <c r="A1387">
        <v>1433389</v>
      </c>
      <c r="B1387" s="121" t="s">
        <v>9383</v>
      </c>
      <c r="C1387" t="s">
        <v>32</v>
      </c>
      <c r="D1387" t="s">
        <v>40</v>
      </c>
      <c r="E1387" t="s">
        <v>661</v>
      </c>
      <c r="F1387" t="s">
        <v>6098</v>
      </c>
      <c r="G1387" t="s">
        <v>970</v>
      </c>
      <c r="H1387" s="121" t="s">
        <v>9467</v>
      </c>
    </row>
    <row r="1388" spans="1:8" x14ac:dyDescent="0.25">
      <c r="A1388">
        <v>1436158</v>
      </c>
      <c r="B1388" s="121" t="s">
        <v>9383</v>
      </c>
      <c r="C1388" t="s">
        <v>32</v>
      </c>
      <c r="D1388" t="s">
        <v>82</v>
      </c>
      <c r="E1388" t="s">
        <v>338</v>
      </c>
      <c r="F1388" t="s">
        <v>9468</v>
      </c>
      <c r="G1388" t="s">
        <v>9469</v>
      </c>
      <c r="H1388" s="121" t="s">
        <v>9470</v>
      </c>
    </row>
    <row r="1389" spans="1:8" x14ac:dyDescent="0.25">
      <c r="A1389">
        <v>1436161</v>
      </c>
      <c r="B1389" s="121" t="s">
        <v>9383</v>
      </c>
      <c r="C1389" t="s">
        <v>32</v>
      </c>
      <c r="D1389" t="s">
        <v>82</v>
      </c>
      <c r="E1389" t="s">
        <v>338</v>
      </c>
      <c r="F1389" t="s">
        <v>9471</v>
      </c>
      <c r="G1389" t="s">
        <v>9472</v>
      </c>
      <c r="H1389" s="121" t="s">
        <v>9473</v>
      </c>
    </row>
    <row r="1390" spans="1:8" x14ac:dyDescent="0.25">
      <c r="A1390">
        <v>1438104</v>
      </c>
      <c r="B1390" s="121" t="s">
        <v>9383</v>
      </c>
      <c r="C1390" t="s">
        <v>32</v>
      </c>
      <c r="D1390" t="s">
        <v>58</v>
      </c>
      <c r="E1390" t="s">
        <v>621</v>
      </c>
      <c r="F1390" t="s">
        <v>9474</v>
      </c>
      <c r="G1390" t="s">
        <v>4233</v>
      </c>
      <c r="H1390" s="121" t="s">
        <v>9475</v>
      </c>
    </row>
    <row r="1391" spans="1:8" x14ac:dyDescent="0.25">
      <c r="A1391">
        <v>1445924</v>
      </c>
      <c r="B1391" s="121" t="s">
        <v>9383</v>
      </c>
      <c r="C1391" t="s">
        <v>32</v>
      </c>
      <c r="D1391" t="s">
        <v>66</v>
      </c>
      <c r="E1391" t="s">
        <v>582</v>
      </c>
      <c r="F1391" t="s">
        <v>2503</v>
      </c>
      <c r="G1391" t="s">
        <v>2033</v>
      </c>
      <c r="H1391" s="121" t="s">
        <v>9476</v>
      </c>
    </row>
    <row r="1392" spans="1:8" x14ac:dyDescent="0.25">
      <c r="A1392">
        <v>1457056</v>
      </c>
      <c r="B1392" s="121" t="s">
        <v>9383</v>
      </c>
      <c r="C1392" t="s">
        <v>32</v>
      </c>
      <c r="D1392" t="s">
        <v>18</v>
      </c>
      <c r="E1392" t="s">
        <v>19</v>
      </c>
      <c r="F1392" t="s">
        <v>6103</v>
      </c>
      <c r="G1392" t="s">
        <v>9477</v>
      </c>
      <c r="H1392" s="121" t="s">
        <v>9478</v>
      </c>
    </row>
    <row r="1393" spans="1:8" x14ac:dyDescent="0.25">
      <c r="A1393">
        <v>1458772</v>
      </c>
      <c r="B1393" s="121" t="s">
        <v>9383</v>
      </c>
      <c r="C1393" t="s">
        <v>32</v>
      </c>
      <c r="D1393" t="s">
        <v>40</v>
      </c>
      <c r="E1393" t="s">
        <v>658</v>
      </c>
      <c r="F1393" t="s">
        <v>9479</v>
      </c>
      <c r="G1393" t="s">
        <v>9480</v>
      </c>
      <c r="H1393" s="121" t="s">
        <v>9481</v>
      </c>
    </row>
    <row r="1394" spans="1:8" x14ac:dyDescent="0.25">
      <c r="A1394">
        <v>1458838</v>
      </c>
      <c r="B1394" s="121" t="s">
        <v>9383</v>
      </c>
      <c r="C1394" t="s">
        <v>32</v>
      </c>
      <c r="D1394" t="s">
        <v>40</v>
      </c>
      <c r="E1394" t="s">
        <v>658</v>
      </c>
      <c r="F1394" t="s">
        <v>9482</v>
      </c>
      <c r="G1394" t="s">
        <v>9483</v>
      </c>
      <c r="H1394" s="121" t="s">
        <v>9484</v>
      </c>
    </row>
    <row r="1395" spans="1:8" x14ac:dyDescent="0.25">
      <c r="A1395">
        <v>1459764</v>
      </c>
      <c r="B1395" s="121" t="s">
        <v>9383</v>
      </c>
      <c r="C1395" t="s">
        <v>32</v>
      </c>
      <c r="D1395" t="s">
        <v>40</v>
      </c>
      <c r="E1395" t="s">
        <v>646</v>
      </c>
      <c r="F1395" t="s">
        <v>2113</v>
      </c>
      <c r="G1395" t="s">
        <v>1002</v>
      </c>
      <c r="H1395" s="121" t="s">
        <v>9485</v>
      </c>
    </row>
    <row r="1396" spans="1:8" x14ac:dyDescent="0.25">
      <c r="A1396">
        <v>1460067</v>
      </c>
      <c r="B1396" s="121" t="s">
        <v>9383</v>
      </c>
      <c r="C1396" t="s">
        <v>32</v>
      </c>
      <c r="D1396" t="s">
        <v>40</v>
      </c>
      <c r="E1396" t="s">
        <v>1005</v>
      </c>
      <c r="F1396" t="s">
        <v>2267</v>
      </c>
      <c r="G1396" t="s">
        <v>1098</v>
      </c>
      <c r="H1396" s="121" t="s">
        <v>9486</v>
      </c>
    </row>
    <row r="1397" spans="1:8" x14ac:dyDescent="0.25">
      <c r="A1397">
        <v>1460369</v>
      </c>
      <c r="B1397" s="121" t="s">
        <v>9383</v>
      </c>
      <c r="C1397" t="s">
        <v>32</v>
      </c>
      <c r="D1397" t="s">
        <v>40</v>
      </c>
      <c r="E1397" t="s">
        <v>647</v>
      </c>
      <c r="F1397" t="s">
        <v>6114</v>
      </c>
      <c r="G1397" t="s">
        <v>2117</v>
      </c>
      <c r="H1397" s="121" t="s">
        <v>9487</v>
      </c>
    </row>
    <row r="1398" spans="1:8" x14ac:dyDescent="0.25">
      <c r="A1398">
        <v>1460376</v>
      </c>
      <c r="B1398" s="121" t="s">
        <v>9383</v>
      </c>
      <c r="C1398" t="s">
        <v>32</v>
      </c>
      <c r="D1398" t="s">
        <v>40</v>
      </c>
      <c r="E1398" t="s">
        <v>647</v>
      </c>
      <c r="F1398" t="s">
        <v>1103</v>
      </c>
      <c r="G1398" t="s">
        <v>2116</v>
      </c>
      <c r="H1398" s="121" t="s">
        <v>9488</v>
      </c>
    </row>
    <row r="1399" spans="1:8" x14ac:dyDescent="0.25">
      <c r="A1399">
        <v>1461291</v>
      </c>
      <c r="B1399" s="121" t="s">
        <v>9383</v>
      </c>
      <c r="C1399" t="s">
        <v>32</v>
      </c>
      <c r="D1399" t="s">
        <v>40</v>
      </c>
      <c r="E1399" t="s">
        <v>648</v>
      </c>
      <c r="F1399" t="s">
        <v>6441</v>
      </c>
      <c r="G1399" t="s">
        <v>1118</v>
      </c>
      <c r="H1399" s="121" t="s">
        <v>9489</v>
      </c>
    </row>
    <row r="1400" spans="1:8" x14ac:dyDescent="0.25">
      <c r="A1400">
        <v>1461587</v>
      </c>
      <c r="B1400" s="121" t="s">
        <v>9383</v>
      </c>
      <c r="C1400" t="s">
        <v>32</v>
      </c>
      <c r="D1400" t="s">
        <v>40</v>
      </c>
      <c r="E1400" t="s">
        <v>584</v>
      </c>
      <c r="F1400" t="s">
        <v>6445</v>
      </c>
      <c r="G1400" t="s">
        <v>3606</v>
      </c>
      <c r="H1400" s="121" t="s">
        <v>9490</v>
      </c>
    </row>
    <row r="1401" spans="1:8" x14ac:dyDescent="0.25">
      <c r="A1401">
        <v>1461588</v>
      </c>
      <c r="B1401" s="121" t="s">
        <v>9383</v>
      </c>
      <c r="C1401" t="s">
        <v>32</v>
      </c>
      <c r="D1401" t="s">
        <v>40</v>
      </c>
      <c r="E1401" t="s">
        <v>584</v>
      </c>
      <c r="F1401" t="s">
        <v>9491</v>
      </c>
      <c r="G1401" t="s">
        <v>1122</v>
      </c>
      <c r="H1401" s="121" t="s">
        <v>9492</v>
      </c>
    </row>
    <row r="1402" spans="1:8" x14ac:dyDescent="0.25">
      <c r="A1402">
        <v>1461900</v>
      </c>
      <c r="B1402" s="121" t="s">
        <v>9383</v>
      </c>
      <c r="C1402" t="s">
        <v>32</v>
      </c>
      <c r="D1402" t="s">
        <v>40</v>
      </c>
      <c r="E1402" t="s">
        <v>649</v>
      </c>
      <c r="F1402" t="s">
        <v>2123</v>
      </c>
      <c r="G1402" t="s">
        <v>9493</v>
      </c>
      <c r="H1402" s="121" t="s">
        <v>9494</v>
      </c>
    </row>
    <row r="1403" spans="1:8" x14ac:dyDescent="0.25">
      <c r="A1403">
        <v>1463418</v>
      </c>
      <c r="B1403" s="121" t="s">
        <v>9383</v>
      </c>
      <c r="C1403" t="s">
        <v>32</v>
      </c>
      <c r="D1403" t="s">
        <v>40</v>
      </c>
      <c r="E1403" t="s">
        <v>652</v>
      </c>
      <c r="F1403" t="s">
        <v>6220</v>
      </c>
      <c r="G1403" t="s">
        <v>2140</v>
      </c>
      <c r="H1403" s="121" t="s">
        <v>9495</v>
      </c>
    </row>
    <row r="1404" spans="1:8" x14ac:dyDescent="0.25">
      <c r="A1404">
        <v>1469458</v>
      </c>
      <c r="B1404" s="121" t="s">
        <v>9383</v>
      </c>
      <c r="C1404" t="s">
        <v>32</v>
      </c>
      <c r="D1404" t="s">
        <v>2141</v>
      </c>
      <c r="E1404" t="s">
        <v>47</v>
      </c>
      <c r="F1404" t="s">
        <v>2492</v>
      </c>
      <c r="G1404" t="s">
        <v>2496</v>
      </c>
      <c r="H1404" s="121" t="s">
        <v>9496</v>
      </c>
    </row>
    <row r="1405" spans="1:8" x14ac:dyDescent="0.25">
      <c r="A1405">
        <v>1469461</v>
      </c>
      <c r="B1405" s="121" t="s">
        <v>9383</v>
      </c>
      <c r="C1405" t="s">
        <v>32</v>
      </c>
      <c r="D1405" t="s">
        <v>2141</v>
      </c>
      <c r="E1405" t="s">
        <v>47</v>
      </c>
      <c r="F1405" t="s">
        <v>9497</v>
      </c>
      <c r="G1405" t="s">
        <v>2143</v>
      </c>
      <c r="H1405" s="121" t="s">
        <v>9498</v>
      </c>
    </row>
    <row r="1406" spans="1:8" x14ac:dyDescent="0.25">
      <c r="A1406">
        <v>1469462</v>
      </c>
      <c r="B1406" s="121" t="s">
        <v>9383</v>
      </c>
      <c r="C1406" t="s">
        <v>32</v>
      </c>
      <c r="D1406" t="s">
        <v>2141</v>
      </c>
      <c r="E1406" t="s">
        <v>47</v>
      </c>
      <c r="F1406" t="s">
        <v>2142</v>
      </c>
      <c r="G1406" t="s">
        <v>2498</v>
      </c>
      <c r="H1406" s="121" t="s">
        <v>9499</v>
      </c>
    </row>
    <row r="1407" spans="1:8" x14ac:dyDescent="0.25">
      <c r="A1407">
        <v>1491414</v>
      </c>
      <c r="B1407" s="121" t="s">
        <v>9383</v>
      </c>
      <c r="C1407" t="s">
        <v>32</v>
      </c>
      <c r="D1407" t="s">
        <v>80</v>
      </c>
      <c r="E1407" t="s">
        <v>342</v>
      </c>
      <c r="F1407" t="s">
        <v>9500</v>
      </c>
      <c r="G1407" t="s">
        <v>6460</v>
      </c>
      <c r="H1407" s="121" t="s">
        <v>9501</v>
      </c>
    </row>
    <row r="1408" spans="1:8" x14ac:dyDescent="0.25">
      <c r="A1408">
        <v>1491416</v>
      </c>
      <c r="B1408" s="121" t="s">
        <v>9383</v>
      </c>
      <c r="C1408" t="s">
        <v>32</v>
      </c>
      <c r="D1408" t="s">
        <v>80</v>
      </c>
      <c r="E1408" t="s">
        <v>342</v>
      </c>
      <c r="F1408" t="s">
        <v>9502</v>
      </c>
      <c r="G1408" t="s">
        <v>9503</v>
      </c>
      <c r="H1408" s="121" t="s">
        <v>9504</v>
      </c>
    </row>
    <row r="1409" spans="1:8" x14ac:dyDescent="0.25">
      <c r="A1409">
        <v>1494593</v>
      </c>
      <c r="B1409" s="121" t="s">
        <v>9383</v>
      </c>
      <c r="C1409" t="s">
        <v>32</v>
      </c>
      <c r="D1409" t="s">
        <v>80</v>
      </c>
      <c r="E1409" t="s">
        <v>81</v>
      </c>
      <c r="F1409" t="s">
        <v>9505</v>
      </c>
      <c r="G1409" t="s">
        <v>2057</v>
      </c>
      <c r="H1409" s="121" t="s">
        <v>9506</v>
      </c>
    </row>
    <row r="1410" spans="1:8" x14ac:dyDescent="0.25">
      <c r="A1410">
        <v>1494595</v>
      </c>
      <c r="B1410" s="121" t="s">
        <v>9383</v>
      </c>
      <c r="C1410" t="s">
        <v>32</v>
      </c>
      <c r="D1410" t="s">
        <v>80</v>
      </c>
      <c r="E1410" t="s">
        <v>81</v>
      </c>
      <c r="F1410" t="s">
        <v>6465</v>
      </c>
      <c r="G1410" t="s">
        <v>9507</v>
      </c>
      <c r="H1410" s="121" t="s">
        <v>9508</v>
      </c>
    </row>
    <row r="1411" spans="1:8" x14ac:dyDescent="0.25">
      <c r="A1411">
        <v>1494622</v>
      </c>
      <c r="B1411" s="121" t="s">
        <v>9383</v>
      </c>
      <c r="C1411" t="s">
        <v>32</v>
      </c>
      <c r="D1411" t="s">
        <v>85</v>
      </c>
      <c r="E1411" t="s">
        <v>5853</v>
      </c>
      <c r="F1411" t="s">
        <v>6467</v>
      </c>
      <c r="G1411" t="s">
        <v>6145</v>
      </c>
      <c r="H1411" s="121" t="s">
        <v>9509</v>
      </c>
    </row>
    <row r="1412" spans="1:8" x14ac:dyDescent="0.25">
      <c r="A1412">
        <v>1495654</v>
      </c>
      <c r="B1412" s="121" t="s">
        <v>9383</v>
      </c>
      <c r="C1412" t="s">
        <v>32</v>
      </c>
      <c r="D1412" t="s">
        <v>5924</v>
      </c>
      <c r="E1412" t="s">
        <v>7669</v>
      </c>
      <c r="F1412" t="s">
        <v>5925</v>
      </c>
      <c r="G1412" t="s">
        <v>9510</v>
      </c>
      <c r="H1412" s="121" t="s">
        <v>9511</v>
      </c>
    </row>
    <row r="1413" spans="1:8" x14ac:dyDescent="0.25">
      <c r="A1413">
        <v>1496390</v>
      </c>
      <c r="B1413" s="121" t="s">
        <v>9383</v>
      </c>
      <c r="C1413" t="s">
        <v>32</v>
      </c>
      <c r="D1413" t="s">
        <v>85</v>
      </c>
      <c r="E1413" t="s">
        <v>7674</v>
      </c>
      <c r="F1413" t="s">
        <v>9512</v>
      </c>
      <c r="G1413" t="s">
        <v>9513</v>
      </c>
      <c r="H1413" s="121" t="s">
        <v>9514</v>
      </c>
    </row>
    <row r="1414" spans="1:8" x14ac:dyDescent="0.25">
      <c r="A1414">
        <v>1506443</v>
      </c>
      <c r="B1414" s="121" t="s">
        <v>9383</v>
      </c>
      <c r="C1414" t="s">
        <v>32</v>
      </c>
      <c r="D1414" t="s">
        <v>610</v>
      </c>
      <c r="E1414" t="s">
        <v>668</v>
      </c>
      <c r="F1414" t="s">
        <v>2005</v>
      </c>
      <c r="G1414" t="s">
        <v>2239</v>
      </c>
      <c r="H1414" s="121" t="s">
        <v>9515</v>
      </c>
    </row>
    <row r="1415" spans="1:8" x14ac:dyDescent="0.25">
      <c r="A1415">
        <v>1509058</v>
      </c>
      <c r="B1415" s="121" t="s">
        <v>9383</v>
      </c>
      <c r="C1415" t="s">
        <v>32</v>
      </c>
      <c r="D1415" t="s">
        <v>408</v>
      </c>
      <c r="E1415" t="s">
        <v>409</v>
      </c>
      <c r="F1415" t="s">
        <v>9516</v>
      </c>
      <c r="G1415" t="s">
        <v>1149</v>
      </c>
      <c r="H1415" s="121" t="s">
        <v>9517</v>
      </c>
    </row>
    <row r="1416" spans="1:8" x14ac:dyDescent="0.25">
      <c r="A1416">
        <v>1509737</v>
      </c>
      <c r="B1416" s="121" t="s">
        <v>9383</v>
      </c>
      <c r="C1416" t="s">
        <v>32</v>
      </c>
      <c r="D1416" t="s">
        <v>58</v>
      </c>
      <c r="E1416" t="s">
        <v>3303</v>
      </c>
      <c r="F1416" t="s">
        <v>6485</v>
      </c>
      <c r="G1416" t="s">
        <v>4837</v>
      </c>
      <c r="H1416" s="121" t="s">
        <v>9518</v>
      </c>
    </row>
    <row r="1417" spans="1:8" x14ac:dyDescent="0.25">
      <c r="A1417">
        <v>1515038</v>
      </c>
      <c r="B1417" s="121" t="s">
        <v>9383</v>
      </c>
      <c r="C1417" t="s">
        <v>32</v>
      </c>
      <c r="D1417" t="s">
        <v>53</v>
      </c>
      <c r="E1417" t="s">
        <v>654</v>
      </c>
      <c r="F1417" t="s">
        <v>2355</v>
      </c>
      <c r="G1417" t="s">
        <v>1157</v>
      </c>
      <c r="H1417" s="121" t="s">
        <v>9519</v>
      </c>
    </row>
    <row r="1418" spans="1:8" x14ac:dyDescent="0.25">
      <c r="A1418">
        <v>1521571</v>
      </c>
      <c r="B1418" s="121" t="s">
        <v>9383</v>
      </c>
      <c r="C1418" t="s">
        <v>32</v>
      </c>
      <c r="D1418" t="s">
        <v>546</v>
      </c>
      <c r="E1418" t="s">
        <v>638</v>
      </c>
      <c r="F1418" t="s">
        <v>9520</v>
      </c>
      <c r="G1418" t="s">
        <v>5885</v>
      </c>
      <c r="H1418" s="121" t="s">
        <v>9521</v>
      </c>
    </row>
    <row r="1419" spans="1:8" x14ac:dyDescent="0.25">
      <c r="A1419">
        <v>1521572</v>
      </c>
      <c r="B1419" s="121" t="s">
        <v>9383</v>
      </c>
      <c r="C1419" t="s">
        <v>32</v>
      </c>
      <c r="D1419" t="s">
        <v>546</v>
      </c>
      <c r="E1419" t="s">
        <v>638</v>
      </c>
      <c r="F1419" t="s">
        <v>2025</v>
      </c>
      <c r="G1419" t="s">
        <v>9522</v>
      </c>
      <c r="H1419" s="121" t="s">
        <v>9523</v>
      </c>
    </row>
    <row r="1420" spans="1:8" x14ac:dyDescent="0.25">
      <c r="A1420">
        <v>1524319</v>
      </c>
      <c r="B1420" s="121" t="s">
        <v>9383</v>
      </c>
      <c r="C1420" t="s">
        <v>32</v>
      </c>
      <c r="D1420" t="s">
        <v>48</v>
      </c>
      <c r="E1420" t="s">
        <v>342</v>
      </c>
      <c r="F1420" t="s">
        <v>1821</v>
      </c>
      <c r="G1420" t="s">
        <v>9524</v>
      </c>
      <c r="H1420" s="121" t="s">
        <v>9525</v>
      </c>
    </row>
    <row r="1421" spans="1:8" x14ac:dyDescent="0.25">
      <c r="A1421">
        <v>1528518</v>
      </c>
      <c r="B1421" s="121" t="s">
        <v>9383</v>
      </c>
      <c r="C1421" t="s">
        <v>32</v>
      </c>
      <c r="D1421" t="s">
        <v>268</v>
      </c>
      <c r="E1421" t="s">
        <v>265</v>
      </c>
      <c r="F1421" t="s">
        <v>9526</v>
      </c>
      <c r="G1421" t="s">
        <v>5015</v>
      </c>
      <c r="H1421" s="121" t="s">
        <v>9527</v>
      </c>
    </row>
    <row r="1422" spans="1:8" x14ac:dyDescent="0.25">
      <c r="A1422">
        <v>1536085</v>
      </c>
      <c r="B1422" s="121" t="s">
        <v>9383</v>
      </c>
      <c r="C1422" t="s">
        <v>32</v>
      </c>
      <c r="D1422" t="s">
        <v>21</v>
      </c>
      <c r="E1422" t="s">
        <v>6838</v>
      </c>
      <c r="F1422" t="s">
        <v>2384</v>
      </c>
      <c r="G1422" t="s">
        <v>9528</v>
      </c>
      <c r="H1422" s="121" t="s">
        <v>9529</v>
      </c>
    </row>
    <row r="1423" spans="1:8" x14ac:dyDescent="0.25">
      <c r="A1423">
        <v>1538407</v>
      </c>
      <c r="B1423" s="121" t="s">
        <v>9383</v>
      </c>
      <c r="C1423" t="s">
        <v>32</v>
      </c>
      <c r="D1423" t="s">
        <v>90</v>
      </c>
      <c r="E1423" t="s">
        <v>55</v>
      </c>
      <c r="F1423" t="s">
        <v>2011</v>
      </c>
      <c r="G1423" t="s">
        <v>9530</v>
      </c>
      <c r="H1423" s="121" t="s">
        <v>9531</v>
      </c>
    </row>
    <row r="1424" spans="1:8" x14ac:dyDescent="0.25">
      <c r="A1424">
        <v>1540073</v>
      </c>
      <c r="B1424" s="121" t="s">
        <v>9383</v>
      </c>
      <c r="C1424" t="s">
        <v>32</v>
      </c>
      <c r="D1424" t="s">
        <v>407</v>
      </c>
      <c r="E1424" t="s">
        <v>47</v>
      </c>
      <c r="F1424" t="s">
        <v>9532</v>
      </c>
      <c r="G1424" t="s">
        <v>2158</v>
      </c>
      <c r="H1424" s="121" t="s">
        <v>9533</v>
      </c>
    </row>
    <row r="1425" spans="1:8" x14ac:dyDescent="0.25">
      <c r="A1425">
        <v>1540135</v>
      </c>
      <c r="B1425" s="121" t="s">
        <v>9383</v>
      </c>
      <c r="C1425" t="s">
        <v>32</v>
      </c>
      <c r="D1425" t="s">
        <v>461</v>
      </c>
      <c r="E1425" t="s">
        <v>47</v>
      </c>
      <c r="F1425" t="s">
        <v>9534</v>
      </c>
      <c r="G1425" t="s">
        <v>2155</v>
      </c>
      <c r="H1425" s="121" t="s">
        <v>9535</v>
      </c>
    </row>
    <row r="1426" spans="1:8" x14ac:dyDescent="0.25">
      <c r="A1426">
        <v>1436157</v>
      </c>
      <c r="B1426" s="121" t="s">
        <v>9536</v>
      </c>
      <c r="C1426" t="s">
        <v>32</v>
      </c>
      <c r="D1426" t="s">
        <v>82</v>
      </c>
      <c r="E1426" t="s">
        <v>338</v>
      </c>
      <c r="F1426" t="s">
        <v>9537</v>
      </c>
      <c r="G1426" t="s">
        <v>9538</v>
      </c>
      <c r="H1426" s="121" t="s">
        <v>9539</v>
      </c>
    </row>
    <row r="1427" spans="1:8" x14ac:dyDescent="0.25">
      <c r="A1427">
        <v>1535028</v>
      </c>
      <c r="B1427" s="121" t="s">
        <v>9540</v>
      </c>
      <c r="C1427" t="s">
        <v>32</v>
      </c>
      <c r="D1427" t="s">
        <v>8530</v>
      </c>
      <c r="E1427" t="s">
        <v>8531</v>
      </c>
      <c r="F1427" t="s">
        <v>9541</v>
      </c>
      <c r="G1427" t="s">
        <v>9542</v>
      </c>
      <c r="H1427" s="121" t="s">
        <v>9543</v>
      </c>
    </row>
    <row r="1428" spans="1:8" x14ac:dyDescent="0.25">
      <c r="A1428">
        <v>1536940</v>
      </c>
      <c r="B1428" s="121" t="s">
        <v>9540</v>
      </c>
      <c r="C1428" t="s">
        <v>32</v>
      </c>
      <c r="D1428" t="s">
        <v>71</v>
      </c>
      <c r="E1428" t="s">
        <v>350</v>
      </c>
      <c r="F1428" t="s">
        <v>2243</v>
      </c>
      <c r="G1428" t="s">
        <v>9544</v>
      </c>
      <c r="H1428" s="121" t="s">
        <v>9545</v>
      </c>
    </row>
    <row r="1429" spans="1:8" x14ac:dyDescent="0.25">
      <c r="A1429">
        <v>1538086</v>
      </c>
      <c r="B1429" s="121" t="s">
        <v>9540</v>
      </c>
      <c r="C1429" t="s">
        <v>32</v>
      </c>
      <c r="D1429" t="s">
        <v>665</v>
      </c>
      <c r="E1429" t="s">
        <v>47</v>
      </c>
      <c r="F1429" t="s">
        <v>9546</v>
      </c>
      <c r="G1429" t="s">
        <v>9547</v>
      </c>
      <c r="H1429" s="121" t="s">
        <v>9548</v>
      </c>
    </row>
    <row r="1430" spans="1:8" x14ac:dyDescent="0.25">
      <c r="A1430">
        <v>1436156</v>
      </c>
      <c r="B1430" s="121" t="s">
        <v>9549</v>
      </c>
      <c r="C1430" t="s">
        <v>34</v>
      </c>
      <c r="D1430" t="s">
        <v>82</v>
      </c>
      <c r="E1430" t="s">
        <v>338</v>
      </c>
      <c r="F1430" t="s">
        <v>468</v>
      </c>
      <c r="G1430" t="s">
        <v>9550</v>
      </c>
      <c r="H1430" s="121" t="s">
        <v>9551</v>
      </c>
    </row>
    <row r="1431" spans="1:8" x14ac:dyDescent="0.25">
      <c r="A1431">
        <v>1379284</v>
      </c>
      <c r="B1431" s="121" t="s">
        <v>9552</v>
      </c>
      <c r="C1431" t="s">
        <v>32</v>
      </c>
      <c r="D1431" t="s">
        <v>65</v>
      </c>
      <c r="E1431" t="s">
        <v>49</v>
      </c>
      <c r="F1431" t="s">
        <v>3563</v>
      </c>
      <c r="G1431" t="s">
        <v>1281</v>
      </c>
      <c r="H1431" s="121" t="s">
        <v>9553</v>
      </c>
    </row>
    <row r="1432" spans="1:8" x14ac:dyDescent="0.25">
      <c r="A1432">
        <v>1383208</v>
      </c>
      <c r="B1432" s="121" t="s">
        <v>9552</v>
      </c>
      <c r="C1432" t="s">
        <v>32</v>
      </c>
      <c r="D1432" t="s">
        <v>92</v>
      </c>
      <c r="E1432" t="s">
        <v>266</v>
      </c>
      <c r="F1432" t="s">
        <v>5119</v>
      </c>
      <c r="G1432" t="s">
        <v>5108</v>
      </c>
      <c r="H1432" s="121" t="s">
        <v>9554</v>
      </c>
    </row>
    <row r="1433" spans="1:8" x14ac:dyDescent="0.25">
      <c r="A1433">
        <v>1388566</v>
      </c>
      <c r="B1433" s="121" t="s">
        <v>9552</v>
      </c>
      <c r="C1433" t="s">
        <v>32</v>
      </c>
      <c r="D1433" t="s">
        <v>43</v>
      </c>
      <c r="E1433" t="s">
        <v>347</v>
      </c>
      <c r="F1433" t="s">
        <v>1798</v>
      </c>
      <c r="G1433" t="s">
        <v>4939</v>
      </c>
      <c r="H1433" s="121" t="s">
        <v>9555</v>
      </c>
    </row>
    <row r="1434" spans="1:8" x14ac:dyDescent="0.25">
      <c r="A1434">
        <v>1389070</v>
      </c>
      <c r="B1434" s="121" t="s">
        <v>9552</v>
      </c>
      <c r="C1434" t="s">
        <v>32</v>
      </c>
      <c r="D1434" t="s">
        <v>64</v>
      </c>
      <c r="E1434" t="s">
        <v>269</v>
      </c>
      <c r="F1434" t="s">
        <v>9556</v>
      </c>
      <c r="G1434" t="s">
        <v>474</v>
      </c>
      <c r="H1434" s="121" t="s">
        <v>9557</v>
      </c>
    </row>
    <row r="1435" spans="1:8" x14ac:dyDescent="0.25">
      <c r="A1435">
        <v>1391120</v>
      </c>
      <c r="B1435" s="121" t="s">
        <v>9552</v>
      </c>
      <c r="C1435" t="s">
        <v>32</v>
      </c>
      <c r="D1435" t="s">
        <v>40</v>
      </c>
      <c r="E1435" t="s">
        <v>74</v>
      </c>
      <c r="F1435" t="s">
        <v>9558</v>
      </c>
      <c r="G1435" t="s">
        <v>2550</v>
      </c>
      <c r="H1435" s="121" t="s">
        <v>9559</v>
      </c>
    </row>
    <row r="1436" spans="1:8" x14ac:dyDescent="0.25">
      <c r="A1436">
        <v>1392140</v>
      </c>
      <c r="B1436" s="121" t="s">
        <v>9552</v>
      </c>
      <c r="C1436" t="s">
        <v>32</v>
      </c>
      <c r="D1436" t="s">
        <v>40</v>
      </c>
      <c r="E1436" t="s">
        <v>75</v>
      </c>
      <c r="F1436" t="s">
        <v>6524</v>
      </c>
      <c r="G1436" t="s">
        <v>1360</v>
      </c>
      <c r="H1436" s="121" t="s">
        <v>9560</v>
      </c>
    </row>
    <row r="1437" spans="1:8" x14ac:dyDescent="0.25">
      <c r="A1437">
        <v>1399920</v>
      </c>
      <c r="B1437" s="121" t="s">
        <v>9552</v>
      </c>
      <c r="C1437" t="s">
        <v>32</v>
      </c>
      <c r="D1437" t="s">
        <v>65</v>
      </c>
      <c r="E1437" t="s">
        <v>104</v>
      </c>
      <c r="F1437" t="s">
        <v>5278</v>
      </c>
      <c r="G1437" t="s">
        <v>5273</v>
      </c>
      <c r="H1437" s="121" t="s">
        <v>9561</v>
      </c>
    </row>
    <row r="1438" spans="1:8" x14ac:dyDescent="0.25">
      <c r="A1438">
        <v>1400216</v>
      </c>
      <c r="B1438" s="121" t="s">
        <v>9552</v>
      </c>
      <c r="C1438" t="s">
        <v>32</v>
      </c>
      <c r="D1438" t="s">
        <v>377</v>
      </c>
      <c r="E1438" t="s">
        <v>49</v>
      </c>
      <c r="F1438" t="s">
        <v>6529</v>
      </c>
      <c r="G1438" t="s">
        <v>6007</v>
      </c>
      <c r="H1438" s="121" t="s">
        <v>9562</v>
      </c>
    </row>
    <row r="1439" spans="1:8" x14ac:dyDescent="0.25">
      <c r="A1439">
        <v>1426013</v>
      </c>
      <c r="B1439" s="121" t="s">
        <v>9552</v>
      </c>
      <c r="C1439" t="s">
        <v>32</v>
      </c>
      <c r="D1439" t="s">
        <v>89</v>
      </c>
      <c r="E1439" t="s">
        <v>670</v>
      </c>
      <c r="F1439" t="s">
        <v>6535</v>
      </c>
      <c r="G1439" t="s">
        <v>6321</v>
      </c>
      <c r="H1439" s="121" t="s">
        <v>9563</v>
      </c>
    </row>
    <row r="1440" spans="1:8" x14ac:dyDescent="0.25">
      <c r="A1440">
        <v>1426014</v>
      </c>
      <c r="B1440" s="121" t="s">
        <v>9552</v>
      </c>
      <c r="C1440" t="s">
        <v>32</v>
      </c>
      <c r="D1440" t="s">
        <v>89</v>
      </c>
      <c r="E1440" t="s">
        <v>670</v>
      </c>
      <c r="F1440" t="s">
        <v>6538</v>
      </c>
      <c r="G1440" t="s">
        <v>6587</v>
      </c>
      <c r="H1440" s="121" t="s">
        <v>9564</v>
      </c>
    </row>
    <row r="1441" spans="1:8" x14ac:dyDescent="0.25">
      <c r="A1441">
        <v>1426176</v>
      </c>
      <c r="B1441" s="121" t="s">
        <v>9552</v>
      </c>
      <c r="C1441" t="s">
        <v>32</v>
      </c>
      <c r="D1441" t="s">
        <v>89</v>
      </c>
      <c r="E1441" t="s">
        <v>671</v>
      </c>
      <c r="F1441" t="s">
        <v>6541</v>
      </c>
      <c r="G1441" t="s">
        <v>6332</v>
      </c>
      <c r="H1441" s="121" t="s">
        <v>9565</v>
      </c>
    </row>
    <row r="1442" spans="1:8" x14ac:dyDescent="0.25">
      <c r="A1442">
        <v>1426876</v>
      </c>
      <c r="B1442" s="121" t="s">
        <v>9552</v>
      </c>
      <c r="C1442" t="s">
        <v>32</v>
      </c>
      <c r="D1442" t="s">
        <v>89</v>
      </c>
      <c r="E1442" t="s">
        <v>673</v>
      </c>
      <c r="F1442" t="s">
        <v>6544</v>
      </c>
      <c r="G1442" t="s">
        <v>6387</v>
      </c>
      <c r="H1442" s="121" t="s">
        <v>9566</v>
      </c>
    </row>
    <row r="1443" spans="1:8" x14ac:dyDescent="0.25">
      <c r="A1443">
        <v>1427219</v>
      </c>
      <c r="B1443" s="121" t="s">
        <v>9552</v>
      </c>
      <c r="C1443" t="s">
        <v>32</v>
      </c>
      <c r="D1443" t="s">
        <v>89</v>
      </c>
      <c r="E1443" t="s">
        <v>675</v>
      </c>
      <c r="F1443" t="s">
        <v>6549</v>
      </c>
      <c r="G1443" t="s">
        <v>6418</v>
      </c>
      <c r="H1443" s="121" t="s">
        <v>9567</v>
      </c>
    </row>
    <row r="1444" spans="1:8" x14ac:dyDescent="0.25">
      <c r="A1444">
        <v>1427220</v>
      </c>
      <c r="B1444" s="121" t="s">
        <v>9552</v>
      </c>
      <c r="C1444" t="s">
        <v>32</v>
      </c>
      <c r="D1444" t="s">
        <v>89</v>
      </c>
      <c r="E1444" t="s">
        <v>675</v>
      </c>
      <c r="F1444" t="s">
        <v>6547</v>
      </c>
      <c r="G1444" t="s">
        <v>1723</v>
      </c>
      <c r="H1444" s="121" t="s">
        <v>9568</v>
      </c>
    </row>
    <row r="1445" spans="1:8" x14ac:dyDescent="0.25">
      <c r="A1445">
        <v>1431440</v>
      </c>
      <c r="B1445" s="121" t="s">
        <v>9552</v>
      </c>
      <c r="C1445" t="s">
        <v>32</v>
      </c>
      <c r="D1445" t="s">
        <v>40</v>
      </c>
      <c r="E1445" t="s">
        <v>349</v>
      </c>
      <c r="F1445" t="s">
        <v>9569</v>
      </c>
      <c r="G1445" t="s">
        <v>9570</v>
      </c>
      <c r="H1445" s="121" t="s">
        <v>9571</v>
      </c>
    </row>
    <row r="1446" spans="1:8" x14ac:dyDescent="0.25">
      <c r="A1446">
        <v>1431442</v>
      </c>
      <c r="B1446" s="121" t="s">
        <v>9552</v>
      </c>
      <c r="C1446" t="s">
        <v>32</v>
      </c>
      <c r="D1446" t="s">
        <v>40</v>
      </c>
      <c r="E1446" t="s">
        <v>349</v>
      </c>
      <c r="F1446" t="s">
        <v>1914</v>
      </c>
      <c r="G1446" t="s">
        <v>6552</v>
      </c>
      <c r="H1446" s="121" t="s">
        <v>9572</v>
      </c>
    </row>
    <row r="1447" spans="1:8" x14ac:dyDescent="0.25">
      <c r="A1447">
        <v>1431443</v>
      </c>
      <c r="B1447" s="121" t="s">
        <v>9552</v>
      </c>
      <c r="C1447" t="s">
        <v>32</v>
      </c>
      <c r="D1447" t="s">
        <v>40</v>
      </c>
      <c r="E1447" t="s">
        <v>349</v>
      </c>
      <c r="F1447" t="s">
        <v>9573</v>
      </c>
      <c r="G1447" t="s">
        <v>9574</v>
      </c>
      <c r="H1447" s="121" t="s">
        <v>9575</v>
      </c>
    </row>
    <row r="1448" spans="1:8" x14ac:dyDescent="0.25">
      <c r="A1448">
        <v>1450551</v>
      </c>
      <c r="B1448" s="121" t="s">
        <v>9552</v>
      </c>
      <c r="C1448" t="s">
        <v>32</v>
      </c>
      <c r="D1448" t="s">
        <v>71</v>
      </c>
      <c r="E1448" t="s">
        <v>410</v>
      </c>
      <c r="F1448" t="s">
        <v>6801</v>
      </c>
      <c r="G1448" t="s">
        <v>9576</v>
      </c>
      <c r="H1448" s="121" t="s">
        <v>9577</v>
      </c>
    </row>
    <row r="1449" spans="1:8" x14ac:dyDescent="0.25">
      <c r="A1449">
        <v>1450785</v>
      </c>
      <c r="B1449" s="121" t="s">
        <v>9552</v>
      </c>
      <c r="C1449" t="s">
        <v>32</v>
      </c>
      <c r="D1449" t="s">
        <v>71</v>
      </c>
      <c r="E1449" t="s">
        <v>676</v>
      </c>
      <c r="F1449" t="s">
        <v>6559</v>
      </c>
      <c r="G1449" t="s">
        <v>9578</v>
      </c>
      <c r="H1449" s="121" t="s">
        <v>9579</v>
      </c>
    </row>
    <row r="1450" spans="1:8" x14ac:dyDescent="0.25">
      <c r="A1450">
        <v>1454268</v>
      </c>
      <c r="B1450" s="121" t="s">
        <v>9552</v>
      </c>
      <c r="C1450" t="s">
        <v>32</v>
      </c>
      <c r="D1450" t="s">
        <v>41</v>
      </c>
      <c r="E1450" t="s">
        <v>4339</v>
      </c>
      <c r="F1450" t="s">
        <v>9580</v>
      </c>
      <c r="G1450" t="s">
        <v>9581</v>
      </c>
      <c r="H1450" s="121" t="s">
        <v>9582</v>
      </c>
    </row>
    <row r="1451" spans="1:8" x14ac:dyDescent="0.25">
      <c r="A1451">
        <v>1458773</v>
      </c>
      <c r="B1451" s="121" t="s">
        <v>9552</v>
      </c>
      <c r="C1451" t="s">
        <v>32</v>
      </c>
      <c r="D1451" t="s">
        <v>40</v>
      </c>
      <c r="E1451" t="s">
        <v>658</v>
      </c>
      <c r="F1451" t="s">
        <v>6109</v>
      </c>
      <c r="G1451" t="s">
        <v>6562</v>
      </c>
      <c r="H1451" s="121" t="s">
        <v>9583</v>
      </c>
    </row>
    <row r="1452" spans="1:8" x14ac:dyDescent="0.25">
      <c r="A1452">
        <v>1459761</v>
      </c>
      <c r="B1452" s="121" t="s">
        <v>9552</v>
      </c>
      <c r="C1452" t="s">
        <v>32</v>
      </c>
      <c r="D1452" t="s">
        <v>40</v>
      </c>
      <c r="E1452" t="s">
        <v>646</v>
      </c>
      <c r="F1452" t="s">
        <v>9584</v>
      </c>
      <c r="G1452" t="s">
        <v>1001</v>
      </c>
      <c r="H1452" s="121" t="s">
        <v>9585</v>
      </c>
    </row>
    <row r="1453" spans="1:8" x14ac:dyDescent="0.25">
      <c r="A1453">
        <v>1537626</v>
      </c>
      <c r="B1453" s="121" t="s">
        <v>9552</v>
      </c>
      <c r="C1453" t="s">
        <v>32</v>
      </c>
      <c r="D1453" t="s">
        <v>87</v>
      </c>
      <c r="E1453" t="s">
        <v>338</v>
      </c>
      <c r="F1453" t="s">
        <v>9586</v>
      </c>
      <c r="G1453" t="s">
        <v>9587</v>
      </c>
      <c r="H1453" s="121" t="s">
        <v>9588</v>
      </c>
    </row>
    <row r="1454" spans="1:8" x14ac:dyDescent="0.25">
      <c r="A1454">
        <v>1537631</v>
      </c>
      <c r="B1454" s="121" t="s">
        <v>9552</v>
      </c>
      <c r="C1454" t="s">
        <v>32</v>
      </c>
      <c r="D1454" t="s">
        <v>87</v>
      </c>
      <c r="E1454" t="s">
        <v>338</v>
      </c>
      <c r="F1454" t="s">
        <v>9589</v>
      </c>
      <c r="G1454" t="s">
        <v>9590</v>
      </c>
      <c r="H1454" s="121" t="s">
        <v>9591</v>
      </c>
    </row>
    <row r="1455" spans="1:8" x14ac:dyDescent="0.25">
      <c r="A1455">
        <v>1538087</v>
      </c>
      <c r="B1455" s="121" t="s">
        <v>9552</v>
      </c>
      <c r="C1455" t="s">
        <v>32</v>
      </c>
      <c r="D1455" t="s">
        <v>665</v>
      </c>
      <c r="E1455" t="s">
        <v>47</v>
      </c>
      <c r="F1455" t="s">
        <v>2196</v>
      </c>
      <c r="G1455" t="s">
        <v>2200</v>
      </c>
      <c r="H1455" s="121" t="s">
        <v>9592</v>
      </c>
    </row>
    <row r="1456" spans="1:8" x14ac:dyDescent="0.25">
      <c r="A1456">
        <v>1538092</v>
      </c>
      <c r="B1456" s="121" t="s">
        <v>9552</v>
      </c>
      <c r="C1456" t="s">
        <v>32</v>
      </c>
      <c r="D1456" t="s">
        <v>665</v>
      </c>
      <c r="E1456" t="s">
        <v>47</v>
      </c>
      <c r="F1456" t="s">
        <v>2195</v>
      </c>
      <c r="G1456" t="s">
        <v>2201</v>
      </c>
      <c r="H1456" s="121" t="s">
        <v>9593</v>
      </c>
    </row>
    <row r="1457" spans="1:8" x14ac:dyDescent="0.25">
      <c r="A1457">
        <v>1538854</v>
      </c>
      <c r="B1457" s="121" t="s">
        <v>9552</v>
      </c>
      <c r="C1457" t="s">
        <v>32</v>
      </c>
      <c r="D1457" t="s">
        <v>278</v>
      </c>
      <c r="E1457" t="s">
        <v>49</v>
      </c>
      <c r="F1457" t="s">
        <v>9594</v>
      </c>
      <c r="G1457" t="s">
        <v>9595</v>
      </c>
      <c r="H1457" s="121" t="s">
        <v>9596</v>
      </c>
    </row>
    <row r="1458" spans="1:8" x14ac:dyDescent="0.25">
      <c r="A1458">
        <v>1538855</v>
      </c>
      <c r="B1458" s="121" t="s">
        <v>9552</v>
      </c>
      <c r="C1458" t="s">
        <v>32</v>
      </c>
      <c r="D1458" t="s">
        <v>278</v>
      </c>
      <c r="E1458" t="s">
        <v>49</v>
      </c>
      <c r="F1458" t="s">
        <v>9597</v>
      </c>
      <c r="G1458" t="s">
        <v>2410</v>
      </c>
      <c r="H1458" s="121" t="s">
        <v>9598</v>
      </c>
    </row>
    <row r="1459" spans="1:8" x14ac:dyDescent="0.25">
      <c r="A1459">
        <v>1381133</v>
      </c>
      <c r="B1459" s="121" t="s">
        <v>9599</v>
      </c>
      <c r="C1459" t="s">
        <v>32</v>
      </c>
      <c r="D1459" t="s">
        <v>58</v>
      </c>
      <c r="E1459" t="s">
        <v>59</v>
      </c>
      <c r="F1459" t="s">
        <v>1182</v>
      </c>
      <c r="G1459" t="s">
        <v>9600</v>
      </c>
      <c r="H1459" s="121" t="s">
        <v>9601</v>
      </c>
    </row>
    <row r="1460" spans="1:8" x14ac:dyDescent="0.25">
      <c r="A1460">
        <v>1458195</v>
      </c>
      <c r="B1460" s="121" t="s">
        <v>9599</v>
      </c>
      <c r="C1460" t="s">
        <v>32</v>
      </c>
      <c r="D1460" t="s">
        <v>40</v>
      </c>
      <c r="E1460" t="s">
        <v>662</v>
      </c>
      <c r="F1460" t="s">
        <v>9602</v>
      </c>
      <c r="G1460" t="s">
        <v>2043</v>
      </c>
      <c r="H1460" s="121" t="s">
        <v>9603</v>
      </c>
    </row>
    <row r="1461" spans="1:8" x14ac:dyDescent="0.25">
      <c r="A1461">
        <v>1538856</v>
      </c>
      <c r="B1461" s="121" t="s">
        <v>9599</v>
      </c>
      <c r="C1461" t="s">
        <v>32</v>
      </c>
      <c r="D1461" t="s">
        <v>278</v>
      </c>
      <c r="E1461" t="s">
        <v>49</v>
      </c>
      <c r="F1461" t="s">
        <v>482</v>
      </c>
      <c r="G1461" t="s">
        <v>9604</v>
      </c>
      <c r="H1461" s="121" t="s">
        <v>9605</v>
      </c>
    </row>
    <row r="1462" spans="1:8" x14ac:dyDescent="0.25">
      <c r="A1462">
        <v>1387950</v>
      </c>
      <c r="B1462" s="121" t="s">
        <v>9606</v>
      </c>
      <c r="C1462" t="s">
        <v>32</v>
      </c>
      <c r="D1462" t="s">
        <v>89</v>
      </c>
      <c r="E1462" t="s">
        <v>47</v>
      </c>
      <c r="F1462" t="s">
        <v>6577</v>
      </c>
      <c r="G1462" t="s">
        <v>9607</v>
      </c>
      <c r="H1462" s="121" t="s">
        <v>9608</v>
      </c>
    </row>
    <row r="1463" spans="1:8" x14ac:dyDescent="0.25">
      <c r="A1463">
        <v>1388249</v>
      </c>
      <c r="B1463" s="121" t="s">
        <v>9606</v>
      </c>
      <c r="C1463" t="s">
        <v>32</v>
      </c>
      <c r="D1463" t="s">
        <v>267</v>
      </c>
      <c r="E1463" t="s">
        <v>402</v>
      </c>
      <c r="F1463" t="s">
        <v>669</v>
      </c>
      <c r="G1463" t="s">
        <v>9609</v>
      </c>
      <c r="H1463" s="121" t="s">
        <v>9610</v>
      </c>
    </row>
    <row r="1464" spans="1:8" x14ac:dyDescent="0.25">
      <c r="A1464">
        <v>1389765</v>
      </c>
      <c r="B1464" s="121" t="s">
        <v>9606</v>
      </c>
      <c r="C1464" t="s">
        <v>32</v>
      </c>
      <c r="D1464" t="s">
        <v>107</v>
      </c>
      <c r="E1464" t="s">
        <v>235</v>
      </c>
      <c r="F1464" t="s">
        <v>9611</v>
      </c>
      <c r="G1464" t="s">
        <v>9612</v>
      </c>
      <c r="H1464" s="121" t="s">
        <v>9613</v>
      </c>
    </row>
    <row r="1465" spans="1:8" x14ac:dyDescent="0.25">
      <c r="A1465">
        <v>1389766</v>
      </c>
      <c r="B1465" s="121" t="s">
        <v>9606</v>
      </c>
      <c r="C1465" t="s">
        <v>32</v>
      </c>
      <c r="D1465" t="s">
        <v>107</v>
      </c>
      <c r="E1465" t="s">
        <v>235</v>
      </c>
      <c r="F1465" t="s">
        <v>9614</v>
      </c>
      <c r="G1465" t="s">
        <v>9615</v>
      </c>
      <c r="H1465" s="121" t="s">
        <v>9616</v>
      </c>
    </row>
    <row r="1466" spans="1:8" x14ac:dyDescent="0.25">
      <c r="A1466">
        <v>1389768</v>
      </c>
      <c r="B1466" s="121" t="s">
        <v>9606</v>
      </c>
      <c r="C1466" t="s">
        <v>32</v>
      </c>
      <c r="D1466" t="s">
        <v>107</v>
      </c>
      <c r="E1466" t="s">
        <v>235</v>
      </c>
      <c r="F1466" t="s">
        <v>9617</v>
      </c>
      <c r="G1466" t="s">
        <v>9618</v>
      </c>
      <c r="H1466" s="121" t="s">
        <v>9619</v>
      </c>
    </row>
    <row r="1467" spans="1:8" x14ac:dyDescent="0.25">
      <c r="A1467">
        <v>1389770</v>
      </c>
      <c r="B1467" s="121" t="s">
        <v>9606</v>
      </c>
      <c r="C1467" t="s">
        <v>32</v>
      </c>
      <c r="D1467" t="s">
        <v>107</v>
      </c>
      <c r="E1467" t="s">
        <v>235</v>
      </c>
      <c r="F1467" t="s">
        <v>9620</v>
      </c>
      <c r="G1467" t="s">
        <v>9621</v>
      </c>
      <c r="H1467" s="121" t="s">
        <v>9622</v>
      </c>
    </row>
    <row r="1468" spans="1:8" x14ac:dyDescent="0.25">
      <c r="A1468">
        <v>1394010</v>
      </c>
      <c r="B1468" s="121" t="s">
        <v>9606</v>
      </c>
      <c r="C1468" t="s">
        <v>32</v>
      </c>
      <c r="D1468" t="s">
        <v>390</v>
      </c>
      <c r="E1468" t="s">
        <v>391</v>
      </c>
      <c r="F1468" t="s">
        <v>2529</v>
      </c>
      <c r="G1468" t="s">
        <v>1625</v>
      </c>
      <c r="H1468" s="121" t="s">
        <v>9623</v>
      </c>
    </row>
    <row r="1469" spans="1:8" x14ac:dyDescent="0.25">
      <c r="A1469">
        <v>1394691</v>
      </c>
      <c r="B1469" s="121" t="s">
        <v>9606</v>
      </c>
      <c r="C1469" t="s">
        <v>32</v>
      </c>
      <c r="D1469" t="s">
        <v>42</v>
      </c>
      <c r="E1469" t="s">
        <v>61</v>
      </c>
      <c r="F1469" t="s">
        <v>2509</v>
      </c>
      <c r="G1469" t="s">
        <v>2211</v>
      </c>
      <c r="H1469" s="121" t="s">
        <v>9624</v>
      </c>
    </row>
    <row r="1470" spans="1:8" x14ac:dyDescent="0.25">
      <c r="A1470">
        <v>1396496</v>
      </c>
      <c r="B1470" s="121" t="s">
        <v>9606</v>
      </c>
      <c r="C1470" t="s">
        <v>32</v>
      </c>
      <c r="D1470" t="s">
        <v>53</v>
      </c>
      <c r="E1470" t="s">
        <v>99</v>
      </c>
      <c r="F1470" t="s">
        <v>418</v>
      </c>
      <c r="G1470" t="s">
        <v>298</v>
      </c>
      <c r="H1470" s="121" t="s">
        <v>9625</v>
      </c>
    </row>
    <row r="1471" spans="1:8" x14ac:dyDescent="0.25">
      <c r="A1471">
        <v>1397903</v>
      </c>
      <c r="B1471" s="121" t="s">
        <v>9606</v>
      </c>
      <c r="C1471" t="s">
        <v>32</v>
      </c>
      <c r="D1471" t="s">
        <v>332</v>
      </c>
      <c r="E1471" t="s">
        <v>4196</v>
      </c>
      <c r="F1471" t="s">
        <v>4198</v>
      </c>
      <c r="G1471" t="s">
        <v>5710</v>
      </c>
      <c r="H1471" s="121" t="s">
        <v>9626</v>
      </c>
    </row>
    <row r="1472" spans="1:8" x14ac:dyDescent="0.25">
      <c r="A1472">
        <v>1398221</v>
      </c>
      <c r="B1472" s="121" t="s">
        <v>9606</v>
      </c>
      <c r="C1472" t="s">
        <v>32</v>
      </c>
      <c r="D1472" t="s">
        <v>53</v>
      </c>
      <c r="E1472" t="s">
        <v>264</v>
      </c>
      <c r="F1472" t="s">
        <v>2515</v>
      </c>
      <c r="G1472" t="s">
        <v>1627</v>
      </c>
      <c r="H1472" s="121" t="s">
        <v>9627</v>
      </c>
    </row>
    <row r="1473" spans="1:8" x14ac:dyDescent="0.25">
      <c r="A1473">
        <v>1398222</v>
      </c>
      <c r="B1473" s="121" t="s">
        <v>9606</v>
      </c>
      <c r="C1473" t="s">
        <v>32</v>
      </c>
      <c r="D1473" t="s">
        <v>53</v>
      </c>
      <c r="E1473" t="s">
        <v>264</v>
      </c>
      <c r="F1473" t="s">
        <v>9628</v>
      </c>
      <c r="G1473" t="s">
        <v>9629</v>
      </c>
      <c r="H1473" s="121" t="s">
        <v>9630</v>
      </c>
    </row>
    <row r="1474" spans="1:8" x14ac:dyDescent="0.25">
      <c r="A1474">
        <v>1410692</v>
      </c>
      <c r="B1474" s="121" t="s">
        <v>9606</v>
      </c>
      <c r="C1474" t="s">
        <v>32</v>
      </c>
      <c r="D1474" t="s">
        <v>51</v>
      </c>
      <c r="E1474" t="s">
        <v>386</v>
      </c>
      <c r="F1474" t="s">
        <v>1395</v>
      </c>
      <c r="G1474" t="s">
        <v>3843</v>
      </c>
      <c r="H1474" s="121" t="s">
        <v>9631</v>
      </c>
    </row>
    <row r="1475" spans="1:8" x14ac:dyDescent="0.25">
      <c r="A1475">
        <v>1415552</v>
      </c>
      <c r="B1475" s="121" t="s">
        <v>9606</v>
      </c>
      <c r="C1475" t="s">
        <v>32</v>
      </c>
      <c r="D1475" t="s">
        <v>616</v>
      </c>
      <c r="E1475" t="s">
        <v>69</v>
      </c>
      <c r="F1475" t="s">
        <v>2213</v>
      </c>
      <c r="G1475" t="s">
        <v>1673</v>
      </c>
      <c r="H1475" s="121" t="s">
        <v>9632</v>
      </c>
    </row>
    <row r="1476" spans="1:8" x14ac:dyDescent="0.25">
      <c r="A1476">
        <v>1418680</v>
      </c>
      <c r="B1476" s="121" t="s">
        <v>9606</v>
      </c>
      <c r="C1476" t="s">
        <v>32</v>
      </c>
      <c r="D1476" t="s">
        <v>80</v>
      </c>
      <c r="E1476" t="s">
        <v>626</v>
      </c>
      <c r="F1476" t="s">
        <v>6200</v>
      </c>
      <c r="G1476" t="s">
        <v>6258</v>
      </c>
      <c r="H1476" s="121" t="s">
        <v>9633</v>
      </c>
    </row>
    <row r="1477" spans="1:8" x14ac:dyDescent="0.25">
      <c r="A1477">
        <v>1426015</v>
      </c>
      <c r="B1477" s="121" t="s">
        <v>9606</v>
      </c>
      <c r="C1477" t="s">
        <v>32</v>
      </c>
      <c r="D1477" t="s">
        <v>89</v>
      </c>
      <c r="E1477" t="s">
        <v>670</v>
      </c>
      <c r="F1477" t="s">
        <v>6586</v>
      </c>
      <c r="G1477" t="s">
        <v>6322</v>
      </c>
      <c r="H1477" s="121" t="s">
        <v>9634</v>
      </c>
    </row>
    <row r="1478" spans="1:8" x14ac:dyDescent="0.25">
      <c r="A1478">
        <v>1426177</v>
      </c>
      <c r="B1478" s="121" t="s">
        <v>9606</v>
      </c>
      <c r="C1478" t="s">
        <v>32</v>
      </c>
      <c r="D1478" t="s">
        <v>89</v>
      </c>
      <c r="E1478" t="s">
        <v>671</v>
      </c>
      <c r="F1478" t="s">
        <v>6589</v>
      </c>
      <c r="G1478" t="s">
        <v>1706</v>
      </c>
      <c r="H1478" s="121" t="s">
        <v>9635</v>
      </c>
    </row>
    <row r="1479" spans="1:8" x14ac:dyDescent="0.25">
      <c r="A1479">
        <v>1426178</v>
      </c>
      <c r="B1479" s="121" t="s">
        <v>9606</v>
      </c>
      <c r="C1479" t="s">
        <v>32</v>
      </c>
      <c r="D1479" t="s">
        <v>89</v>
      </c>
      <c r="E1479" t="s">
        <v>671</v>
      </c>
      <c r="F1479" t="s">
        <v>6542</v>
      </c>
      <c r="G1479" t="s">
        <v>6335</v>
      </c>
      <c r="H1479" s="121" t="s">
        <v>9636</v>
      </c>
    </row>
    <row r="1480" spans="1:8" x14ac:dyDescent="0.25">
      <c r="A1480">
        <v>1433077</v>
      </c>
      <c r="B1480" s="121" t="s">
        <v>9606</v>
      </c>
      <c r="C1480" t="s">
        <v>32</v>
      </c>
      <c r="D1480" t="s">
        <v>40</v>
      </c>
      <c r="E1480" t="s">
        <v>1046</v>
      </c>
      <c r="F1480" t="s">
        <v>1047</v>
      </c>
      <c r="G1480" t="s">
        <v>1049</v>
      </c>
      <c r="H1480" s="121" t="s">
        <v>9637</v>
      </c>
    </row>
    <row r="1481" spans="1:8" x14ac:dyDescent="0.25">
      <c r="A1481">
        <v>1438407</v>
      </c>
      <c r="B1481" s="121" t="s">
        <v>9606</v>
      </c>
      <c r="C1481" t="s">
        <v>32</v>
      </c>
      <c r="D1481" t="s">
        <v>58</v>
      </c>
      <c r="E1481" t="s">
        <v>622</v>
      </c>
      <c r="F1481" t="s">
        <v>4646</v>
      </c>
      <c r="G1481" t="s">
        <v>4253</v>
      </c>
      <c r="H1481" s="121" t="s">
        <v>9638</v>
      </c>
    </row>
    <row r="1482" spans="1:8" x14ac:dyDescent="0.25">
      <c r="A1482">
        <v>1447000</v>
      </c>
      <c r="B1482" s="121" t="s">
        <v>9606</v>
      </c>
      <c r="C1482" t="s">
        <v>32</v>
      </c>
      <c r="D1482" t="s">
        <v>18</v>
      </c>
      <c r="E1482" t="s">
        <v>19</v>
      </c>
      <c r="F1482" t="s">
        <v>6100</v>
      </c>
      <c r="G1482" t="s">
        <v>9639</v>
      </c>
      <c r="H1482" s="121" t="s">
        <v>9640</v>
      </c>
    </row>
    <row r="1483" spans="1:8" x14ac:dyDescent="0.25">
      <c r="A1483">
        <v>1460679</v>
      </c>
      <c r="B1483" s="121" t="s">
        <v>9606</v>
      </c>
      <c r="C1483" t="s">
        <v>32</v>
      </c>
      <c r="D1483" t="s">
        <v>40</v>
      </c>
      <c r="E1483" t="s">
        <v>678</v>
      </c>
      <c r="F1483" t="s">
        <v>1105</v>
      </c>
      <c r="G1483" t="s">
        <v>2224</v>
      </c>
      <c r="H1483" s="121" t="s">
        <v>9641</v>
      </c>
    </row>
    <row r="1484" spans="1:8" x14ac:dyDescent="0.25">
      <c r="A1484">
        <v>1475172</v>
      </c>
      <c r="B1484" s="121" t="s">
        <v>9606</v>
      </c>
      <c r="C1484" t="s">
        <v>32</v>
      </c>
      <c r="D1484" t="s">
        <v>336</v>
      </c>
      <c r="E1484" t="s">
        <v>49</v>
      </c>
      <c r="F1484" t="s">
        <v>9642</v>
      </c>
      <c r="G1484" t="s">
        <v>9643</v>
      </c>
      <c r="H1484" s="121" t="s">
        <v>9644</v>
      </c>
    </row>
    <row r="1485" spans="1:8" x14ac:dyDescent="0.25">
      <c r="A1485">
        <v>1490196</v>
      </c>
      <c r="B1485" s="121" t="s">
        <v>9606</v>
      </c>
      <c r="C1485" t="s">
        <v>32</v>
      </c>
      <c r="D1485" t="s">
        <v>362</v>
      </c>
      <c r="E1485" t="s">
        <v>413</v>
      </c>
      <c r="F1485" t="s">
        <v>2414</v>
      </c>
      <c r="G1485" t="s">
        <v>2413</v>
      </c>
      <c r="H1485" s="121" t="s">
        <v>9645</v>
      </c>
    </row>
    <row r="1486" spans="1:8" x14ac:dyDescent="0.25">
      <c r="A1486">
        <v>1516293</v>
      </c>
      <c r="B1486" s="121" t="s">
        <v>9606</v>
      </c>
      <c r="C1486" t="s">
        <v>32</v>
      </c>
      <c r="D1486" t="s">
        <v>8371</v>
      </c>
      <c r="E1486" t="s">
        <v>49</v>
      </c>
      <c r="F1486" t="s">
        <v>9646</v>
      </c>
      <c r="G1486" t="s">
        <v>9647</v>
      </c>
      <c r="H1486" s="121" t="s">
        <v>9648</v>
      </c>
    </row>
    <row r="1487" spans="1:8" x14ac:dyDescent="0.25">
      <c r="A1487">
        <v>1524320</v>
      </c>
      <c r="B1487" s="121" t="s">
        <v>9606</v>
      </c>
      <c r="C1487" t="s">
        <v>32</v>
      </c>
      <c r="D1487" t="s">
        <v>48</v>
      </c>
      <c r="E1487" t="s">
        <v>342</v>
      </c>
      <c r="F1487" t="s">
        <v>9649</v>
      </c>
      <c r="G1487" t="s">
        <v>2235</v>
      </c>
      <c r="H1487" s="121" t="s">
        <v>9650</v>
      </c>
    </row>
    <row r="1488" spans="1:8" x14ac:dyDescent="0.25">
      <c r="A1488">
        <v>1525830</v>
      </c>
      <c r="B1488" s="121" t="s">
        <v>9606</v>
      </c>
      <c r="C1488" t="s">
        <v>32</v>
      </c>
      <c r="D1488" t="s">
        <v>389</v>
      </c>
      <c r="E1488" t="s">
        <v>49</v>
      </c>
      <c r="F1488" t="s">
        <v>5900</v>
      </c>
      <c r="G1488" t="s">
        <v>4188</v>
      </c>
      <c r="H1488" s="121" t="s">
        <v>9651</v>
      </c>
    </row>
    <row r="1489" spans="1:8" x14ac:dyDescent="0.25">
      <c r="A1489">
        <v>1531518</v>
      </c>
      <c r="B1489" s="121" t="s">
        <v>9606</v>
      </c>
      <c r="C1489" t="s">
        <v>32</v>
      </c>
      <c r="D1489" t="s">
        <v>95</v>
      </c>
      <c r="E1489" t="s">
        <v>96</v>
      </c>
      <c r="F1489" t="s">
        <v>9652</v>
      </c>
      <c r="G1489" t="s">
        <v>1316</v>
      </c>
      <c r="H1489" s="121" t="s">
        <v>9653</v>
      </c>
    </row>
    <row r="1490" spans="1:8" x14ac:dyDescent="0.25">
      <c r="A1490">
        <v>1538091</v>
      </c>
      <c r="B1490" s="121" t="s">
        <v>9606</v>
      </c>
      <c r="C1490" t="s">
        <v>32</v>
      </c>
      <c r="D1490" t="s">
        <v>665</v>
      </c>
      <c r="E1490" t="s">
        <v>47</v>
      </c>
      <c r="F1490" t="s">
        <v>9654</v>
      </c>
      <c r="G1490" t="s">
        <v>2197</v>
      </c>
      <c r="H1490" s="121" t="s">
        <v>9655</v>
      </c>
    </row>
    <row r="1491" spans="1:8" x14ac:dyDescent="0.25">
      <c r="A1491">
        <v>1539758</v>
      </c>
      <c r="B1491" s="121" t="s">
        <v>9606</v>
      </c>
      <c r="C1491" t="s">
        <v>32</v>
      </c>
      <c r="D1491" t="s">
        <v>5924</v>
      </c>
      <c r="E1491" t="s">
        <v>7410</v>
      </c>
      <c r="F1491" t="s">
        <v>9656</v>
      </c>
      <c r="G1491" t="s">
        <v>9657</v>
      </c>
      <c r="H1491" s="121" t="s">
        <v>9658</v>
      </c>
    </row>
    <row r="1492" spans="1:8" x14ac:dyDescent="0.25">
      <c r="A1492">
        <v>1411295</v>
      </c>
      <c r="B1492" s="121" t="s">
        <v>9659</v>
      </c>
      <c r="C1492" t="s">
        <v>32</v>
      </c>
      <c r="D1492" t="s">
        <v>51</v>
      </c>
      <c r="E1492" t="s">
        <v>581</v>
      </c>
      <c r="F1492" t="s">
        <v>6254</v>
      </c>
      <c r="G1492" t="s">
        <v>9660</v>
      </c>
      <c r="H1492" s="121" t="s">
        <v>9661</v>
      </c>
    </row>
    <row r="1493" spans="1:8" x14ac:dyDescent="0.25">
      <c r="A1493">
        <v>1381761</v>
      </c>
      <c r="B1493" s="121" t="s">
        <v>9662</v>
      </c>
      <c r="C1493" t="s">
        <v>32</v>
      </c>
      <c r="D1493" t="s">
        <v>51</v>
      </c>
      <c r="E1493" t="s">
        <v>52</v>
      </c>
      <c r="F1493" t="s">
        <v>9663</v>
      </c>
      <c r="G1493" t="s">
        <v>9664</v>
      </c>
      <c r="H1493" s="121" t="s">
        <v>9665</v>
      </c>
    </row>
    <row r="1494" spans="1:8" x14ac:dyDescent="0.25">
      <c r="A1494">
        <v>1381768</v>
      </c>
      <c r="B1494" s="121" t="s">
        <v>9662</v>
      </c>
      <c r="C1494" t="s">
        <v>32</v>
      </c>
      <c r="D1494" t="s">
        <v>51</v>
      </c>
      <c r="E1494" t="s">
        <v>52</v>
      </c>
      <c r="F1494" t="s">
        <v>1525</v>
      </c>
      <c r="G1494" t="s">
        <v>9666</v>
      </c>
      <c r="H1494" s="121" t="s">
        <v>9667</v>
      </c>
    </row>
    <row r="1495" spans="1:8" x14ac:dyDescent="0.25">
      <c r="A1495">
        <v>1381769</v>
      </c>
      <c r="B1495" s="121" t="s">
        <v>9662</v>
      </c>
      <c r="C1495" t="s">
        <v>32</v>
      </c>
      <c r="D1495" t="s">
        <v>51</v>
      </c>
      <c r="E1495" t="s">
        <v>52</v>
      </c>
      <c r="F1495" t="s">
        <v>9668</v>
      </c>
      <c r="G1495" t="s">
        <v>9669</v>
      </c>
      <c r="H1495" s="121" t="s">
        <v>9670</v>
      </c>
    </row>
    <row r="1496" spans="1:8" x14ac:dyDescent="0.25">
      <c r="A1496">
        <v>1396745</v>
      </c>
      <c r="B1496" s="121" t="s">
        <v>9662</v>
      </c>
      <c r="C1496" t="s">
        <v>32</v>
      </c>
      <c r="D1496" t="s">
        <v>682</v>
      </c>
      <c r="E1496" t="s">
        <v>683</v>
      </c>
      <c r="F1496" t="s">
        <v>9671</v>
      </c>
      <c r="G1496" t="s">
        <v>1848</v>
      </c>
      <c r="H1496" s="121" t="s">
        <v>9672</v>
      </c>
    </row>
    <row r="1497" spans="1:8" x14ac:dyDescent="0.25">
      <c r="A1497">
        <v>1410995</v>
      </c>
      <c r="B1497" s="121" t="s">
        <v>9662</v>
      </c>
      <c r="C1497" t="s">
        <v>32</v>
      </c>
      <c r="D1497" t="s">
        <v>51</v>
      </c>
      <c r="E1497" t="s">
        <v>539</v>
      </c>
      <c r="F1497" t="s">
        <v>9673</v>
      </c>
      <c r="G1497" t="s">
        <v>4560</v>
      </c>
      <c r="H1497" s="121" t="s">
        <v>9674</v>
      </c>
    </row>
    <row r="1498" spans="1:8" x14ac:dyDescent="0.25">
      <c r="A1498">
        <v>1416944</v>
      </c>
      <c r="B1498" s="121" t="s">
        <v>9662</v>
      </c>
      <c r="C1498" t="s">
        <v>32</v>
      </c>
      <c r="D1498" t="s">
        <v>71</v>
      </c>
      <c r="E1498" t="s">
        <v>346</v>
      </c>
      <c r="F1498" t="s">
        <v>6712</v>
      </c>
      <c r="G1498" t="s">
        <v>1676</v>
      </c>
      <c r="H1498" s="121" t="s">
        <v>9675</v>
      </c>
    </row>
    <row r="1499" spans="1:8" x14ac:dyDescent="0.25">
      <c r="A1499">
        <v>1416948</v>
      </c>
      <c r="B1499" s="121" t="s">
        <v>9662</v>
      </c>
      <c r="C1499" t="s">
        <v>32</v>
      </c>
      <c r="D1499" t="s">
        <v>71</v>
      </c>
      <c r="E1499" t="s">
        <v>346</v>
      </c>
      <c r="F1499" t="s">
        <v>1682</v>
      </c>
      <c r="G1499" t="s">
        <v>1684</v>
      </c>
      <c r="H1499" s="121" t="s">
        <v>9676</v>
      </c>
    </row>
    <row r="1500" spans="1:8" x14ac:dyDescent="0.25">
      <c r="A1500">
        <v>1418676</v>
      </c>
      <c r="B1500" s="121" t="s">
        <v>9662</v>
      </c>
      <c r="C1500" t="s">
        <v>32</v>
      </c>
      <c r="D1500" t="s">
        <v>80</v>
      </c>
      <c r="E1500" t="s">
        <v>626</v>
      </c>
      <c r="F1500" t="s">
        <v>1693</v>
      </c>
      <c r="G1500" t="s">
        <v>4577</v>
      </c>
      <c r="H1500" s="121" t="s">
        <v>9677</v>
      </c>
    </row>
    <row r="1501" spans="1:8" x14ac:dyDescent="0.25">
      <c r="A1501">
        <v>1419930</v>
      </c>
      <c r="B1501" s="121" t="s">
        <v>9662</v>
      </c>
      <c r="C1501" t="s">
        <v>32</v>
      </c>
      <c r="D1501" t="s">
        <v>41</v>
      </c>
      <c r="E1501" t="s">
        <v>348</v>
      </c>
      <c r="F1501" t="s">
        <v>6189</v>
      </c>
      <c r="G1501" t="s">
        <v>2285</v>
      </c>
      <c r="H1501" s="121" t="s">
        <v>9678</v>
      </c>
    </row>
    <row r="1502" spans="1:8" x14ac:dyDescent="0.25">
      <c r="A1502">
        <v>1450314</v>
      </c>
      <c r="B1502" s="121" t="s">
        <v>9662</v>
      </c>
      <c r="C1502" t="s">
        <v>32</v>
      </c>
      <c r="D1502" t="s">
        <v>71</v>
      </c>
      <c r="E1502" t="s">
        <v>684</v>
      </c>
      <c r="F1502" t="s">
        <v>9679</v>
      </c>
      <c r="G1502" t="s">
        <v>1727</v>
      </c>
      <c r="H1502" s="121" t="s">
        <v>9680</v>
      </c>
    </row>
    <row r="1503" spans="1:8" x14ac:dyDescent="0.25">
      <c r="A1503">
        <v>1450552</v>
      </c>
      <c r="B1503" s="121" t="s">
        <v>9662</v>
      </c>
      <c r="C1503" t="s">
        <v>32</v>
      </c>
      <c r="D1503" t="s">
        <v>71</v>
      </c>
      <c r="E1503" t="s">
        <v>410</v>
      </c>
      <c r="F1503" t="s">
        <v>6728</v>
      </c>
      <c r="G1503" t="s">
        <v>9681</v>
      </c>
      <c r="H1503" s="121" t="s">
        <v>9682</v>
      </c>
    </row>
    <row r="1504" spans="1:8" x14ac:dyDescent="0.25">
      <c r="A1504">
        <v>1450556</v>
      </c>
      <c r="B1504" s="121" t="s">
        <v>9662</v>
      </c>
      <c r="C1504" t="s">
        <v>32</v>
      </c>
      <c r="D1504" t="s">
        <v>71</v>
      </c>
      <c r="E1504" t="s">
        <v>410</v>
      </c>
      <c r="F1504" t="s">
        <v>9683</v>
      </c>
      <c r="G1504" t="s">
        <v>6804</v>
      </c>
      <c r="H1504" s="121" t="s">
        <v>9684</v>
      </c>
    </row>
    <row r="1505" spans="1:8" x14ac:dyDescent="0.25">
      <c r="A1505">
        <v>1450786</v>
      </c>
      <c r="B1505" s="121" t="s">
        <v>9662</v>
      </c>
      <c r="C1505" t="s">
        <v>32</v>
      </c>
      <c r="D1505" t="s">
        <v>71</v>
      </c>
      <c r="E1505" t="s">
        <v>676</v>
      </c>
      <c r="F1505" t="s">
        <v>6730</v>
      </c>
      <c r="G1505" t="s">
        <v>9685</v>
      </c>
      <c r="H1505" s="121" t="s">
        <v>9686</v>
      </c>
    </row>
    <row r="1506" spans="1:8" x14ac:dyDescent="0.25">
      <c r="A1506">
        <v>1506444</v>
      </c>
      <c r="B1506" s="121" t="s">
        <v>9662</v>
      </c>
      <c r="C1506" t="s">
        <v>32</v>
      </c>
      <c r="D1506" t="s">
        <v>610</v>
      </c>
      <c r="E1506" t="s">
        <v>668</v>
      </c>
      <c r="F1506" t="s">
        <v>2004</v>
      </c>
      <c r="G1506" t="s">
        <v>6483</v>
      </c>
      <c r="H1506" s="121" t="s">
        <v>9687</v>
      </c>
    </row>
    <row r="1507" spans="1:8" x14ac:dyDescent="0.25">
      <c r="A1507">
        <v>1525565</v>
      </c>
      <c r="B1507" s="121" t="s">
        <v>9662</v>
      </c>
      <c r="C1507" t="s">
        <v>32</v>
      </c>
      <c r="D1507" t="s">
        <v>71</v>
      </c>
      <c r="E1507" t="s">
        <v>346</v>
      </c>
      <c r="F1507" t="s">
        <v>6760</v>
      </c>
      <c r="G1507" t="s">
        <v>555</v>
      </c>
      <c r="H1507" s="121" t="s">
        <v>9688</v>
      </c>
    </row>
    <row r="1508" spans="1:8" x14ac:dyDescent="0.25">
      <c r="A1508">
        <v>1531268</v>
      </c>
      <c r="B1508" s="121" t="s">
        <v>9662</v>
      </c>
      <c r="C1508" t="s">
        <v>32</v>
      </c>
      <c r="D1508" t="s">
        <v>332</v>
      </c>
      <c r="E1508" t="s">
        <v>347</v>
      </c>
      <c r="F1508" t="s">
        <v>2071</v>
      </c>
      <c r="G1508" t="s">
        <v>2072</v>
      </c>
      <c r="H1508" s="121" t="s">
        <v>9689</v>
      </c>
    </row>
    <row r="1509" spans="1:8" x14ac:dyDescent="0.25">
      <c r="A1509">
        <v>1531554</v>
      </c>
      <c r="B1509" s="121" t="s">
        <v>9662</v>
      </c>
      <c r="C1509" t="s">
        <v>32</v>
      </c>
      <c r="D1509" t="s">
        <v>352</v>
      </c>
      <c r="E1509" t="s">
        <v>25</v>
      </c>
      <c r="F1509" t="s">
        <v>2286</v>
      </c>
      <c r="G1509" t="s">
        <v>6232</v>
      </c>
      <c r="H1509" s="121" t="s">
        <v>9690</v>
      </c>
    </row>
    <row r="1510" spans="1:8" x14ac:dyDescent="0.25">
      <c r="A1510">
        <v>1449417</v>
      </c>
      <c r="B1510" s="121" t="s">
        <v>9691</v>
      </c>
      <c r="C1510" t="s">
        <v>32</v>
      </c>
      <c r="D1510" t="s">
        <v>64</v>
      </c>
      <c r="E1510" t="s">
        <v>9109</v>
      </c>
      <c r="F1510" t="s">
        <v>9692</v>
      </c>
      <c r="G1510" t="s">
        <v>9693</v>
      </c>
      <c r="H1510" s="121" t="s">
        <v>9694</v>
      </c>
    </row>
    <row r="1511" spans="1:8" x14ac:dyDescent="0.25">
      <c r="A1511">
        <v>1380346</v>
      </c>
      <c r="B1511" s="121" t="s">
        <v>9695</v>
      </c>
      <c r="C1511" t="s">
        <v>32</v>
      </c>
      <c r="D1511" t="s">
        <v>390</v>
      </c>
      <c r="E1511" t="s">
        <v>400</v>
      </c>
      <c r="F1511" t="s">
        <v>2241</v>
      </c>
      <c r="G1511" t="s">
        <v>9696</v>
      </c>
      <c r="H1511" s="121" t="s">
        <v>9697</v>
      </c>
    </row>
    <row r="1512" spans="1:8" x14ac:dyDescent="0.25">
      <c r="A1512">
        <v>1381129</v>
      </c>
      <c r="B1512" s="121" t="s">
        <v>9695</v>
      </c>
      <c r="C1512" t="s">
        <v>32</v>
      </c>
      <c r="D1512" t="s">
        <v>58</v>
      </c>
      <c r="E1512" t="s">
        <v>59</v>
      </c>
      <c r="F1512" t="s">
        <v>9698</v>
      </c>
      <c r="G1512" t="s">
        <v>1520</v>
      </c>
      <c r="H1512" s="121" t="s">
        <v>9699</v>
      </c>
    </row>
    <row r="1513" spans="1:8" x14ac:dyDescent="0.25">
      <c r="A1513">
        <v>1389373</v>
      </c>
      <c r="B1513" s="121" t="s">
        <v>9695</v>
      </c>
      <c r="C1513" t="s">
        <v>32</v>
      </c>
      <c r="D1513" t="s">
        <v>89</v>
      </c>
      <c r="E1513" t="s">
        <v>236</v>
      </c>
      <c r="F1513" t="s">
        <v>6787</v>
      </c>
      <c r="G1513" t="s">
        <v>2549</v>
      </c>
      <c r="H1513" s="121" t="s">
        <v>9700</v>
      </c>
    </row>
    <row r="1514" spans="1:8" x14ac:dyDescent="0.25">
      <c r="A1514">
        <v>1392801</v>
      </c>
      <c r="B1514" s="121" t="s">
        <v>9695</v>
      </c>
      <c r="C1514" t="s">
        <v>32</v>
      </c>
      <c r="D1514" t="s">
        <v>71</v>
      </c>
      <c r="E1514" t="s">
        <v>344</v>
      </c>
      <c r="F1514" t="s">
        <v>1831</v>
      </c>
      <c r="G1514" t="s">
        <v>9701</v>
      </c>
      <c r="H1514" s="121" t="s">
        <v>9702</v>
      </c>
    </row>
    <row r="1515" spans="1:8" x14ac:dyDescent="0.25">
      <c r="A1515">
        <v>1392802</v>
      </c>
      <c r="B1515" s="121" t="s">
        <v>9695</v>
      </c>
      <c r="C1515" t="s">
        <v>32</v>
      </c>
      <c r="D1515" t="s">
        <v>71</v>
      </c>
      <c r="E1515" t="s">
        <v>344</v>
      </c>
      <c r="F1515" t="s">
        <v>9703</v>
      </c>
      <c r="G1515" t="s">
        <v>6793</v>
      </c>
      <c r="H1515" s="121" t="s">
        <v>9704</v>
      </c>
    </row>
    <row r="1516" spans="1:8" x14ac:dyDescent="0.25">
      <c r="A1516">
        <v>1392803</v>
      </c>
      <c r="B1516" s="121" t="s">
        <v>9695</v>
      </c>
      <c r="C1516" t="s">
        <v>32</v>
      </c>
      <c r="D1516" t="s">
        <v>71</v>
      </c>
      <c r="E1516" t="s">
        <v>344</v>
      </c>
      <c r="F1516" t="s">
        <v>9705</v>
      </c>
      <c r="G1516" t="s">
        <v>5256</v>
      </c>
      <c r="H1516" s="121" t="s">
        <v>9706</v>
      </c>
    </row>
    <row r="1517" spans="1:8" x14ac:dyDescent="0.25">
      <c r="A1517">
        <v>1395030</v>
      </c>
      <c r="B1517" s="121" t="s">
        <v>9695</v>
      </c>
      <c r="C1517" t="s">
        <v>32</v>
      </c>
      <c r="D1517" t="s">
        <v>71</v>
      </c>
      <c r="E1517" t="s">
        <v>344</v>
      </c>
      <c r="F1517" t="s">
        <v>1323</v>
      </c>
      <c r="G1517" t="s">
        <v>5258</v>
      </c>
      <c r="H1517" s="121" t="s">
        <v>9707</v>
      </c>
    </row>
    <row r="1518" spans="1:8" x14ac:dyDescent="0.25">
      <c r="A1518">
        <v>1416945</v>
      </c>
      <c r="B1518" s="121" t="s">
        <v>9695</v>
      </c>
      <c r="C1518" t="s">
        <v>32</v>
      </c>
      <c r="D1518" t="s">
        <v>71</v>
      </c>
      <c r="E1518" t="s">
        <v>346</v>
      </c>
      <c r="F1518" t="s">
        <v>9708</v>
      </c>
      <c r="G1518" t="s">
        <v>9709</v>
      </c>
      <c r="H1518" s="121" t="s">
        <v>9710</v>
      </c>
    </row>
    <row r="1519" spans="1:8" x14ac:dyDescent="0.25">
      <c r="A1519">
        <v>1416946</v>
      </c>
      <c r="B1519" s="121" t="s">
        <v>9695</v>
      </c>
      <c r="C1519" t="s">
        <v>32</v>
      </c>
      <c r="D1519" t="s">
        <v>71</v>
      </c>
      <c r="E1519" t="s">
        <v>346</v>
      </c>
      <c r="F1519" t="s">
        <v>1678</v>
      </c>
      <c r="G1519" t="s">
        <v>6714</v>
      </c>
      <c r="H1519" s="121" t="s">
        <v>9711</v>
      </c>
    </row>
    <row r="1520" spans="1:8" x14ac:dyDescent="0.25">
      <c r="A1520">
        <v>1416951</v>
      </c>
      <c r="B1520" s="121" t="s">
        <v>9695</v>
      </c>
      <c r="C1520" t="s">
        <v>32</v>
      </c>
      <c r="D1520" t="s">
        <v>71</v>
      </c>
      <c r="E1520" t="s">
        <v>346</v>
      </c>
      <c r="F1520" t="s">
        <v>1683</v>
      </c>
      <c r="G1520" t="s">
        <v>1680</v>
      </c>
      <c r="H1520" s="121" t="s">
        <v>9712</v>
      </c>
    </row>
    <row r="1521" spans="1:8" x14ac:dyDescent="0.25">
      <c r="A1521">
        <v>1429662</v>
      </c>
      <c r="B1521" s="121" t="s">
        <v>9695</v>
      </c>
      <c r="C1521" t="s">
        <v>32</v>
      </c>
      <c r="D1521" t="s">
        <v>37</v>
      </c>
      <c r="E1521" t="s">
        <v>238</v>
      </c>
      <c r="F1521" t="s">
        <v>4227</v>
      </c>
      <c r="G1521" t="s">
        <v>4229</v>
      </c>
      <c r="H1521" s="121" t="s">
        <v>9713</v>
      </c>
    </row>
    <row r="1522" spans="1:8" x14ac:dyDescent="0.25">
      <c r="A1522">
        <v>1436162</v>
      </c>
      <c r="B1522" s="121" t="s">
        <v>9695</v>
      </c>
      <c r="C1522" t="s">
        <v>32</v>
      </c>
      <c r="D1522" t="s">
        <v>82</v>
      </c>
      <c r="E1522" t="s">
        <v>338</v>
      </c>
      <c r="F1522" t="s">
        <v>9714</v>
      </c>
      <c r="G1522" t="s">
        <v>9715</v>
      </c>
      <c r="H1522" s="121" t="s">
        <v>9716</v>
      </c>
    </row>
    <row r="1523" spans="1:8" x14ac:dyDescent="0.25">
      <c r="A1523">
        <v>1450315</v>
      </c>
      <c r="B1523" s="121" t="s">
        <v>9695</v>
      </c>
      <c r="C1523" t="s">
        <v>32</v>
      </c>
      <c r="D1523" t="s">
        <v>71</v>
      </c>
      <c r="E1523" t="s">
        <v>684</v>
      </c>
      <c r="F1523" t="s">
        <v>6724</v>
      </c>
      <c r="G1523" t="s">
        <v>6798</v>
      </c>
      <c r="H1523" s="121" t="s">
        <v>9717</v>
      </c>
    </row>
    <row r="1524" spans="1:8" x14ac:dyDescent="0.25">
      <c r="A1524">
        <v>1450553</v>
      </c>
      <c r="B1524" s="121" t="s">
        <v>9695</v>
      </c>
      <c r="C1524" t="s">
        <v>32</v>
      </c>
      <c r="D1524" t="s">
        <v>71</v>
      </c>
      <c r="E1524" t="s">
        <v>410</v>
      </c>
      <c r="F1524" t="s">
        <v>6800</v>
      </c>
      <c r="G1524" t="s">
        <v>1734</v>
      </c>
      <c r="H1524" s="121" t="s">
        <v>9718</v>
      </c>
    </row>
    <row r="1525" spans="1:8" x14ac:dyDescent="0.25">
      <c r="A1525">
        <v>1450555</v>
      </c>
      <c r="B1525" s="121" t="s">
        <v>9695</v>
      </c>
      <c r="C1525" t="s">
        <v>32</v>
      </c>
      <c r="D1525" t="s">
        <v>71</v>
      </c>
      <c r="E1525" t="s">
        <v>410</v>
      </c>
      <c r="F1525" t="s">
        <v>6806</v>
      </c>
      <c r="G1525" t="s">
        <v>1733</v>
      </c>
      <c r="H1525" s="121" t="s">
        <v>9719</v>
      </c>
    </row>
    <row r="1526" spans="1:8" x14ac:dyDescent="0.25">
      <c r="A1526">
        <v>1450557</v>
      </c>
      <c r="B1526" s="121" t="s">
        <v>9695</v>
      </c>
      <c r="C1526" t="s">
        <v>32</v>
      </c>
      <c r="D1526" t="s">
        <v>71</v>
      </c>
      <c r="E1526" t="s">
        <v>410</v>
      </c>
      <c r="F1526" t="s">
        <v>1735</v>
      </c>
      <c r="G1526" t="s">
        <v>6803</v>
      </c>
      <c r="H1526" s="121" t="s">
        <v>9720</v>
      </c>
    </row>
    <row r="1527" spans="1:8" x14ac:dyDescent="0.25">
      <c r="A1527">
        <v>1450558</v>
      </c>
      <c r="B1527" s="121" t="s">
        <v>9695</v>
      </c>
      <c r="C1527" t="s">
        <v>32</v>
      </c>
      <c r="D1527" t="s">
        <v>71</v>
      </c>
      <c r="E1527" t="s">
        <v>410</v>
      </c>
      <c r="F1527" t="s">
        <v>9721</v>
      </c>
      <c r="G1527" t="s">
        <v>1736</v>
      </c>
      <c r="H1527" s="121" t="s">
        <v>9722</v>
      </c>
    </row>
    <row r="1528" spans="1:8" x14ac:dyDescent="0.25">
      <c r="A1528">
        <v>1450787</v>
      </c>
      <c r="B1528" s="121" t="s">
        <v>9695</v>
      </c>
      <c r="C1528" t="s">
        <v>32</v>
      </c>
      <c r="D1528" t="s">
        <v>71</v>
      </c>
      <c r="E1528" t="s">
        <v>676</v>
      </c>
      <c r="F1528" t="s">
        <v>6731</v>
      </c>
      <c r="G1528" t="s">
        <v>6879</v>
      </c>
      <c r="H1528" s="121" t="s">
        <v>9723</v>
      </c>
    </row>
    <row r="1529" spans="1:8" x14ac:dyDescent="0.25">
      <c r="A1529">
        <v>1450788</v>
      </c>
      <c r="B1529" s="121" t="s">
        <v>9695</v>
      </c>
      <c r="C1529" t="s">
        <v>32</v>
      </c>
      <c r="D1529" t="s">
        <v>71</v>
      </c>
      <c r="E1529" t="s">
        <v>676</v>
      </c>
      <c r="F1529" t="s">
        <v>6808</v>
      </c>
      <c r="G1529" t="s">
        <v>1568</v>
      </c>
      <c r="H1529" s="121" t="s">
        <v>9724</v>
      </c>
    </row>
    <row r="1530" spans="1:8" x14ac:dyDescent="0.25">
      <c r="A1530">
        <v>1450789</v>
      </c>
      <c r="B1530" s="121" t="s">
        <v>9695</v>
      </c>
      <c r="C1530" t="s">
        <v>32</v>
      </c>
      <c r="D1530" t="s">
        <v>71</v>
      </c>
      <c r="E1530" t="s">
        <v>676</v>
      </c>
      <c r="F1530" t="s">
        <v>9725</v>
      </c>
      <c r="G1530" t="s">
        <v>6560</v>
      </c>
      <c r="H1530" s="121" t="s">
        <v>9726</v>
      </c>
    </row>
    <row r="1531" spans="1:8" x14ac:dyDescent="0.25">
      <c r="A1531">
        <v>1450792</v>
      </c>
      <c r="B1531" s="121" t="s">
        <v>9695</v>
      </c>
      <c r="C1531" t="s">
        <v>32</v>
      </c>
      <c r="D1531" t="s">
        <v>71</v>
      </c>
      <c r="E1531" t="s">
        <v>676</v>
      </c>
      <c r="F1531" t="s">
        <v>9727</v>
      </c>
      <c r="G1531" t="s">
        <v>6809</v>
      </c>
      <c r="H1531" s="121" t="s">
        <v>9728</v>
      </c>
    </row>
    <row r="1532" spans="1:8" x14ac:dyDescent="0.25">
      <c r="A1532">
        <v>1459758</v>
      </c>
      <c r="B1532" s="121" t="s">
        <v>9695</v>
      </c>
      <c r="C1532" t="s">
        <v>32</v>
      </c>
      <c r="D1532" t="s">
        <v>40</v>
      </c>
      <c r="E1532" t="s">
        <v>646</v>
      </c>
      <c r="F1532" t="s">
        <v>1004</v>
      </c>
      <c r="G1532" t="s">
        <v>2111</v>
      </c>
      <c r="H1532" s="121" t="s">
        <v>9729</v>
      </c>
    </row>
    <row r="1533" spans="1:8" x14ac:dyDescent="0.25">
      <c r="A1533">
        <v>1492017</v>
      </c>
      <c r="B1533" s="121" t="s">
        <v>9695</v>
      </c>
      <c r="C1533" t="s">
        <v>32</v>
      </c>
      <c r="D1533" t="s">
        <v>28</v>
      </c>
      <c r="E1533" t="s">
        <v>2588</v>
      </c>
      <c r="F1533" t="s">
        <v>9730</v>
      </c>
      <c r="G1533" t="s">
        <v>9731</v>
      </c>
      <c r="H1533" s="121" t="s">
        <v>9732</v>
      </c>
    </row>
    <row r="1534" spans="1:8" x14ac:dyDescent="0.25">
      <c r="A1534">
        <v>1525595</v>
      </c>
      <c r="B1534" s="121" t="s">
        <v>9695</v>
      </c>
      <c r="C1534" t="s">
        <v>32</v>
      </c>
      <c r="D1534" t="s">
        <v>71</v>
      </c>
      <c r="E1534" t="s">
        <v>346</v>
      </c>
      <c r="F1534" t="s">
        <v>6849</v>
      </c>
      <c r="G1534" t="s">
        <v>6848</v>
      </c>
      <c r="H1534" s="121" t="s">
        <v>9733</v>
      </c>
    </row>
    <row r="1535" spans="1:8" x14ac:dyDescent="0.25">
      <c r="A1535">
        <v>1525596</v>
      </c>
      <c r="B1535" s="121" t="s">
        <v>9695</v>
      </c>
      <c r="C1535" t="s">
        <v>32</v>
      </c>
      <c r="D1535" t="s">
        <v>71</v>
      </c>
      <c r="E1535" t="s">
        <v>346</v>
      </c>
      <c r="F1535" t="s">
        <v>6845</v>
      </c>
      <c r="G1535" t="s">
        <v>6842</v>
      </c>
      <c r="H1535" s="121" t="s">
        <v>9734</v>
      </c>
    </row>
    <row r="1536" spans="1:8" x14ac:dyDescent="0.25">
      <c r="A1536">
        <v>1530789</v>
      </c>
      <c r="B1536" s="121" t="s">
        <v>9695</v>
      </c>
      <c r="C1536" t="s">
        <v>32</v>
      </c>
      <c r="D1536" t="s">
        <v>20</v>
      </c>
      <c r="E1536" t="s">
        <v>3524</v>
      </c>
      <c r="F1536" t="s">
        <v>3525</v>
      </c>
      <c r="G1536" t="s">
        <v>3529</v>
      </c>
      <c r="H1536" s="121" t="s">
        <v>9735</v>
      </c>
    </row>
    <row r="1537" spans="1:8" x14ac:dyDescent="0.25">
      <c r="A1537">
        <v>1530790</v>
      </c>
      <c r="B1537" s="121" t="s">
        <v>9695</v>
      </c>
      <c r="C1537" t="s">
        <v>32</v>
      </c>
      <c r="D1537" t="s">
        <v>20</v>
      </c>
      <c r="E1537" t="s">
        <v>3524</v>
      </c>
      <c r="F1537" t="s">
        <v>6664</v>
      </c>
      <c r="G1537" t="s">
        <v>3532</v>
      </c>
      <c r="H1537" s="121" t="s">
        <v>9736</v>
      </c>
    </row>
    <row r="1538" spans="1:8" x14ac:dyDescent="0.25">
      <c r="A1538">
        <v>1530791</v>
      </c>
      <c r="B1538" s="121" t="s">
        <v>9695</v>
      </c>
      <c r="C1538" t="s">
        <v>32</v>
      </c>
      <c r="D1538" t="s">
        <v>20</v>
      </c>
      <c r="E1538" t="s">
        <v>3524</v>
      </c>
      <c r="F1538" t="s">
        <v>3526</v>
      </c>
      <c r="G1538" t="s">
        <v>3528</v>
      </c>
      <c r="H1538" s="121" t="s">
        <v>9737</v>
      </c>
    </row>
    <row r="1539" spans="1:8" x14ac:dyDescent="0.25">
      <c r="A1539">
        <v>1530792</v>
      </c>
      <c r="B1539" s="121" t="s">
        <v>9695</v>
      </c>
      <c r="C1539" t="s">
        <v>32</v>
      </c>
      <c r="D1539" t="s">
        <v>20</v>
      </c>
      <c r="E1539" t="s">
        <v>3524</v>
      </c>
      <c r="F1539" t="s">
        <v>6669</v>
      </c>
      <c r="G1539" t="s">
        <v>6660</v>
      </c>
      <c r="H1539" s="121" t="s">
        <v>9738</v>
      </c>
    </row>
    <row r="1540" spans="1:8" x14ac:dyDescent="0.25">
      <c r="A1540">
        <v>1530793</v>
      </c>
      <c r="B1540" s="121" t="s">
        <v>9695</v>
      </c>
      <c r="C1540" t="s">
        <v>32</v>
      </c>
      <c r="D1540" t="s">
        <v>20</v>
      </c>
      <c r="E1540" t="s">
        <v>3524</v>
      </c>
      <c r="F1540" t="s">
        <v>6672</v>
      </c>
      <c r="G1540" t="s">
        <v>9739</v>
      </c>
      <c r="H1540" s="121" t="s">
        <v>9740</v>
      </c>
    </row>
    <row r="1541" spans="1:8" x14ac:dyDescent="0.25">
      <c r="A1541">
        <v>1530794</v>
      </c>
      <c r="B1541" s="121" t="s">
        <v>9695</v>
      </c>
      <c r="C1541" t="s">
        <v>32</v>
      </c>
      <c r="D1541" t="s">
        <v>20</v>
      </c>
      <c r="E1541" t="s">
        <v>3524</v>
      </c>
      <c r="F1541" t="s">
        <v>6675</v>
      </c>
      <c r="G1541" t="s">
        <v>6657</v>
      </c>
      <c r="H1541" s="121" t="s">
        <v>9741</v>
      </c>
    </row>
    <row r="1542" spans="1:8" x14ac:dyDescent="0.25">
      <c r="A1542">
        <v>1530796</v>
      </c>
      <c r="B1542" s="121" t="s">
        <v>9695</v>
      </c>
      <c r="C1542" t="s">
        <v>32</v>
      </c>
      <c r="D1542" t="s">
        <v>20</v>
      </c>
      <c r="E1542" t="s">
        <v>3524</v>
      </c>
      <c r="F1542" t="s">
        <v>6666</v>
      </c>
      <c r="G1542" t="s">
        <v>9742</v>
      </c>
      <c r="H1542" s="121" t="s">
        <v>9743</v>
      </c>
    </row>
    <row r="1543" spans="1:8" x14ac:dyDescent="0.25">
      <c r="A1543">
        <v>1530797</v>
      </c>
      <c r="B1543" s="121" t="s">
        <v>9695</v>
      </c>
      <c r="C1543" t="s">
        <v>32</v>
      </c>
      <c r="D1543" t="s">
        <v>20</v>
      </c>
      <c r="E1543" t="s">
        <v>3524</v>
      </c>
      <c r="F1543" t="s">
        <v>9744</v>
      </c>
      <c r="G1543" t="s">
        <v>9745</v>
      </c>
      <c r="H1543" s="121" t="s">
        <v>9746</v>
      </c>
    </row>
    <row r="1544" spans="1:8" x14ac:dyDescent="0.25">
      <c r="A1544">
        <v>1530873</v>
      </c>
      <c r="B1544" s="121" t="s">
        <v>9695</v>
      </c>
      <c r="C1544" t="s">
        <v>32</v>
      </c>
      <c r="D1544" t="s">
        <v>20</v>
      </c>
      <c r="E1544" t="s">
        <v>3524</v>
      </c>
      <c r="F1544" t="s">
        <v>6670</v>
      </c>
      <c r="G1544" t="s">
        <v>6661</v>
      </c>
      <c r="H1544" s="121" t="s">
        <v>9747</v>
      </c>
    </row>
    <row r="1545" spans="1:8" x14ac:dyDescent="0.25">
      <c r="A1545">
        <v>1531574</v>
      </c>
      <c r="B1545" s="121" t="s">
        <v>9695</v>
      </c>
      <c r="C1545" t="s">
        <v>32</v>
      </c>
      <c r="D1545" t="s">
        <v>20</v>
      </c>
      <c r="E1545" t="s">
        <v>9748</v>
      </c>
      <c r="F1545" t="s">
        <v>9749</v>
      </c>
      <c r="G1545" t="s">
        <v>9750</v>
      </c>
      <c r="H1545" s="121" t="s">
        <v>9751</v>
      </c>
    </row>
    <row r="1546" spans="1:8" x14ac:dyDescent="0.25">
      <c r="A1546">
        <v>1531799</v>
      </c>
      <c r="B1546" s="121" t="s">
        <v>9695</v>
      </c>
      <c r="C1546" t="s">
        <v>32</v>
      </c>
      <c r="D1546" t="s">
        <v>20</v>
      </c>
      <c r="E1546" t="s">
        <v>9752</v>
      </c>
      <c r="F1546" t="s">
        <v>6905</v>
      </c>
      <c r="G1546" t="s">
        <v>9753</v>
      </c>
      <c r="H1546" s="121" t="s">
        <v>9754</v>
      </c>
    </row>
    <row r="1547" spans="1:8" x14ac:dyDescent="0.25">
      <c r="A1547">
        <v>1533668</v>
      </c>
      <c r="B1547" s="121" t="s">
        <v>9695</v>
      </c>
      <c r="C1547" t="s">
        <v>32</v>
      </c>
      <c r="D1547" t="s">
        <v>219</v>
      </c>
      <c r="E1547" t="s">
        <v>49</v>
      </c>
      <c r="F1547" t="s">
        <v>2534</v>
      </c>
      <c r="G1547" t="s">
        <v>9755</v>
      </c>
      <c r="H1547" s="121" t="s">
        <v>9756</v>
      </c>
    </row>
    <row r="1548" spans="1:8" x14ac:dyDescent="0.25">
      <c r="A1548">
        <v>1533669</v>
      </c>
      <c r="B1548" s="121" t="s">
        <v>9695</v>
      </c>
      <c r="C1548" t="s">
        <v>32</v>
      </c>
      <c r="D1548" t="s">
        <v>219</v>
      </c>
      <c r="E1548" t="s">
        <v>49</v>
      </c>
      <c r="F1548" t="s">
        <v>9757</v>
      </c>
      <c r="G1548" t="s">
        <v>9758</v>
      </c>
      <c r="H1548" s="121" t="s">
        <v>9759</v>
      </c>
    </row>
    <row r="1549" spans="1:8" x14ac:dyDescent="0.25">
      <c r="A1549">
        <v>1535858</v>
      </c>
      <c r="B1549" s="121" t="s">
        <v>9695</v>
      </c>
      <c r="C1549" t="s">
        <v>32</v>
      </c>
      <c r="D1549" t="s">
        <v>20</v>
      </c>
      <c r="E1549" t="s">
        <v>4438</v>
      </c>
      <c r="F1549" t="s">
        <v>4919</v>
      </c>
      <c r="G1549" t="s">
        <v>9760</v>
      </c>
      <c r="H1549" s="121" t="s">
        <v>9761</v>
      </c>
    </row>
    <row r="1550" spans="1:8" x14ac:dyDescent="0.25">
      <c r="A1550">
        <v>1535859</v>
      </c>
      <c r="B1550" s="121" t="s">
        <v>9695</v>
      </c>
      <c r="C1550" t="s">
        <v>32</v>
      </c>
      <c r="D1550" t="s">
        <v>20</v>
      </c>
      <c r="E1550" t="s">
        <v>4438</v>
      </c>
      <c r="F1550" t="s">
        <v>9762</v>
      </c>
      <c r="G1550" t="s">
        <v>9763</v>
      </c>
      <c r="H1550" s="121" t="s">
        <v>9764</v>
      </c>
    </row>
    <row r="1551" spans="1:8" x14ac:dyDescent="0.25">
      <c r="A1551">
        <v>1535860</v>
      </c>
      <c r="B1551" s="121" t="s">
        <v>9695</v>
      </c>
      <c r="C1551" t="s">
        <v>32</v>
      </c>
      <c r="D1551" t="s">
        <v>20</v>
      </c>
      <c r="E1551" t="s">
        <v>4438</v>
      </c>
      <c r="F1551" t="s">
        <v>6688</v>
      </c>
      <c r="G1551" t="s">
        <v>4439</v>
      </c>
      <c r="H1551" s="121" t="s">
        <v>9765</v>
      </c>
    </row>
    <row r="1552" spans="1:8" x14ac:dyDescent="0.25">
      <c r="A1552">
        <v>1535861</v>
      </c>
      <c r="B1552" s="121" t="s">
        <v>9695</v>
      </c>
      <c r="C1552" t="s">
        <v>32</v>
      </c>
      <c r="D1552" t="s">
        <v>20</v>
      </c>
      <c r="E1552" t="s">
        <v>4438</v>
      </c>
      <c r="F1552" t="s">
        <v>6687</v>
      </c>
      <c r="G1552" t="s">
        <v>9766</v>
      </c>
      <c r="H1552" s="121" t="s">
        <v>9767</v>
      </c>
    </row>
    <row r="1553" spans="1:8" x14ac:dyDescent="0.25">
      <c r="A1553">
        <v>1536113</v>
      </c>
      <c r="B1553" s="121" t="s">
        <v>9695</v>
      </c>
      <c r="C1553" t="s">
        <v>32</v>
      </c>
      <c r="D1553" t="s">
        <v>20</v>
      </c>
      <c r="E1553" t="s">
        <v>8431</v>
      </c>
      <c r="F1553" t="s">
        <v>9768</v>
      </c>
      <c r="G1553" t="s">
        <v>9769</v>
      </c>
      <c r="H1553" s="121" t="s">
        <v>9770</v>
      </c>
    </row>
    <row r="1554" spans="1:8" x14ac:dyDescent="0.25">
      <c r="A1554">
        <v>1536114</v>
      </c>
      <c r="B1554" s="121" t="s">
        <v>9695</v>
      </c>
      <c r="C1554" t="s">
        <v>32</v>
      </c>
      <c r="D1554" t="s">
        <v>20</v>
      </c>
      <c r="E1554" t="s">
        <v>8431</v>
      </c>
      <c r="F1554" t="s">
        <v>9771</v>
      </c>
      <c r="G1554" t="s">
        <v>9772</v>
      </c>
      <c r="H1554" s="121" t="s">
        <v>9773</v>
      </c>
    </row>
    <row r="1555" spans="1:8" x14ac:dyDescent="0.25">
      <c r="A1555">
        <v>1536116</v>
      </c>
      <c r="B1555" s="121" t="s">
        <v>9695</v>
      </c>
      <c r="C1555" t="s">
        <v>32</v>
      </c>
      <c r="D1555" t="s">
        <v>20</v>
      </c>
      <c r="E1555" t="s">
        <v>8431</v>
      </c>
      <c r="F1555" t="s">
        <v>9774</v>
      </c>
      <c r="G1555" t="s">
        <v>9775</v>
      </c>
      <c r="H1555" s="121" t="s">
        <v>9776</v>
      </c>
    </row>
    <row r="1556" spans="1:8" x14ac:dyDescent="0.25">
      <c r="A1556">
        <v>1536117</v>
      </c>
      <c r="B1556" s="121" t="s">
        <v>9695</v>
      </c>
      <c r="C1556" t="s">
        <v>32</v>
      </c>
      <c r="D1556" t="s">
        <v>20</v>
      </c>
      <c r="E1556" t="s">
        <v>8431</v>
      </c>
      <c r="F1556" t="s">
        <v>9777</v>
      </c>
      <c r="G1556" t="s">
        <v>9778</v>
      </c>
      <c r="H1556" s="121" t="s">
        <v>9779</v>
      </c>
    </row>
    <row r="1557" spans="1:8" x14ac:dyDescent="0.25">
      <c r="A1557">
        <v>1538190</v>
      </c>
      <c r="B1557" s="121" t="s">
        <v>9695</v>
      </c>
      <c r="C1557" t="s">
        <v>32</v>
      </c>
      <c r="D1557" t="s">
        <v>20</v>
      </c>
      <c r="E1557" t="s">
        <v>9780</v>
      </c>
      <c r="F1557" t="s">
        <v>9781</v>
      </c>
      <c r="G1557" t="s">
        <v>360</v>
      </c>
      <c r="H1557" s="121" t="s">
        <v>9782</v>
      </c>
    </row>
    <row r="1558" spans="1:8" x14ac:dyDescent="0.25">
      <c r="A1558">
        <v>1539167</v>
      </c>
      <c r="B1558" s="121" t="s">
        <v>9695</v>
      </c>
      <c r="C1558" t="s">
        <v>32</v>
      </c>
      <c r="D1558" t="s">
        <v>72</v>
      </c>
      <c r="E1558" t="s">
        <v>75</v>
      </c>
      <c r="F1558" t="s">
        <v>9783</v>
      </c>
      <c r="G1558" t="s">
        <v>9784</v>
      </c>
      <c r="H1558" s="121" t="s">
        <v>9785</v>
      </c>
    </row>
    <row r="1559" spans="1:8" x14ac:dyDescent="0.25">
      <c r="A1559">
        <v>1539690</v>
      </c>
      <c r="B1559" s="121" t="s">
        <v>9695</v>
      </c>
      <c r="C1559" t="s">
        <v>32</v>
      </c>
      <c r="D1559" t="s">
        <v>18</v>
      </c>
      <c r="E1559" t="s">
        <v>543</v>
      </c>
      <c r="F1559" t="s">
        <v>9786</v>
      </c>
      <c r="G1559" t="s">
        <v>9787</v>
      </c>
      <c r="H1559" s="121" t="s">
        <v>9788</v>
      </c>
    </row>
    <row r="1560" spans="1:8" x14ac:dyDescent="0.25">
      <c r="A1560">
        <v>1539737</v>
      </c>
      <c r="B1560" s="121" t="s">
        <v>9695</v>
      </c>
      <c r="C1560" t="s">
        <v>32</v>
      </c>
      <c r="D1560" t="s">
        <v>20</v>
      </c>
      <c r="E1560" t="s">
        <v>609</v>
      </c>
      <c r="F1560" t="s">
        <v>6614</v>
      </c>
      <c r="G1560" t="s">
        <v>1481</v>
      </c>
      <c r="H1560" s="121" t="s">
        <v>9789</v>
      </c>
    </row>
    <row r="1561" spans="1:8" x14ac:dyDescent="0.25">
      <c r="A1561">
        <v>1539742</v>
      </c>
      <c r="B1561" s="121" t="s">
        <v>9695</v>
      </c>
      <c r="C1561" t="s">
        <v>32</v>
      </c>
      <c r="D1561" t="s">
        <v>20</v>
      </c>
      <c r="E1561" t="s">
        <v>681</v>
      </c>
      <c r="F1561" t="s">
        <v>6626</v>
      </c>
      <c r="G1561" t="s">
        <v>6636</v>
      </c>
      <c r="H1561" s="121" t="s">
        <v>9790</v>
      </c>
    </row>
    <row r="1562" spans="1:8" x14ac:dyDescent="0.25">
      <c r="A1562">
        <v>1539744</v>
      </c>
      <c r="B1562" s="121" t="s">
        <v>9695</v>
      </c>
      <c r="C1562" t="s">
        <v>32</v>
      </c>
      <c r="D1562" t="s">
        <v>20</v>
      </c>
      <c r="E1562" t="s">
        <v>681</v>
      </c>
      <c r="F1562" t="s">
        <v>6631</v>
      </c>
      <c r="G1562" t="s">
        <v>7052</v>
      </c>
      <c r="H1562" s="121" t="s">
        <v>9791</v>
      </c>
    </row>
    <row r="1563" spans="1:8" x14ac:dyDescent="0.25">
      <c r="A1563">
        <v>1539787</v>
      </c>
      <c r="B1563" s="121" t="s">
        <v>9695</v>
      </c>
      <c r="C1563" t="s">
        <v>32</v>
      </c>
      <c r="D1563" t="s">
        <v>20</v>
      </c>
      <c r="E1563" t="s">
        <v>9792</v>
      </c>
      <c r="F1563" t="s">
        <v>9793</v>
      </c>
      <c r="G1563" t="s">
        <v>9794</v>
      </c>
      <c r="H1563" s="121" t="s">
        <v>9795</v>
      </c>
    </row>
    <row r="1564" spans="1:8" x14ac:dyDescent="0.25">
      <c r="A1564">
        <v>1539789</v>
      </c>
      <c r="B1564" s="121" t="s">
        <v>9695</v>
      </c>
      <c r="C1564" t="s">
        <v>32</v>
      </c>
      <c r="D1564" t="s">
        <v>20</v>
      </c>
      <c r="E1564" t="s">
        <v>9792</v>
      </c>
      <c r="F1564" t="s">
        <v>9796</v>
      </c>
      <c r="G1564" t="s">
        <v>9797</v>
      </c>
      <c r="H1564" s="121" t="s">
        <v>9798</v>
      </c>
    </row>
    <row r="1565" spans="1:8" x14ac:dyDescent="0.25">
      <c r="A1565">
        <v>1539790</v>
      </c>
      <c r="B1565" s="121" t="s">
        <v>9695</v>
      </c>
      <c r="C1565" t="s">
        <v>32</v>
      </c>
      <c r="D1565" t="s">
        <v>20</v>
      </c>
      <c r="E1565" t="s">
        <v>9792</v>
      </c>
      <c r="F1565" t="s">
        <v>9799</v>
      </c>
      <c r="G1565" t="s">
        <v>9800</v>
      </c>
      <c r="H1565" s="121" t="s">
        <v>9801</v>
      </c>
    </row>
    <row r="1566" spans="1:8" x14ac:dyDescent="0.25">
      <c r="A1566">
        <v>1540175</v>
      </c>
      <c r="B1566" s="121" t="s">
        <v>9695</v>
      </c>
      <c r="C1566" t="s">
        <v>32</v>
      </c>
      <c r="D1566" t="s">
        <v>20</v>
      </c>
      <c r="E1566" t="s">
        <v>8123</v>
      </c>
      <c r="F1566" t="s">
        <v>9802</v>
      </c>
      <c r="G1566" t="s">
        <v>9803</v>
      </c>
      <c r="H1566" s="121" t="s">
        <v>9804</v>
      </c>
    </row>
    <row r="1567" spans="1:8" x14ac:dyDescent="0.25">
      <c r="A1567">
        <v>1540204</v>
      </c>
      <c r="B1567" s="121" t="s">
        <v>9695</v>
      </c>
      <c r="C1567" t="s">
        <v>32</v>
      </c>
      <c r="D1567" t="s">
        <v>20</v>
      </c>
      <c r="E1567" t="s">
        <v>8123</v>
      </c>
      <c r="F1567" t="s">
        <v>9805</v>
      </c>
      <c r="G1567" t="s">
        <v>9806</v>
      </c>
      <c r="H1567" s="121" t="s">
        <v>9807</v>
      </c>
    </row>
    <row r="1568" spans="1:8" x14ac:dyDescent="0.25">
      <c r="A1568">
        <v>1380630</v>
      </c>
      <c r="B1568" s="121" t="s">
        <v>9808</v>
      </c>
      <c r="C1568" t="s">
        <v>32</v>
      </c>
      <c r="D1568" t="s">
        <v>51</v>
      </c>
      <c r="E1568" t="s">
        <v>57</v>
      </c>
      <c r="F1568" t="s">
        <v>2320</v>
      </c>
      <c r="G1568" t="s">
        <v>1181</v>
      </c>
      <c r="H1568" s="121" t="s">
        <v>9809</v>
      </c>
    </row>
    <row r="1569" spans="1:8" x14ac:dyDescent="0.25">
      <c r="A1569">
        <v>1384375</v>
      </c>
      <c r="B1569" s="121" t="s">
        <v>9808</v>
      </c>
      <c r="C1569" t="s">
        <v>32</v>
      </c>
      <c r="D1569" t="s">
        <v>267</v>
      </c>
      <c r="E1569" t="s">
        <v>659</v>
      </c>
      <c r="F1569" t="s">
        <v>2501</v>
      </c>
      <c r="G1569" t="s">
        <v>9810</v>
      </c>
      <c r="H1569" s="121" t="s">
        <v>9811</v>
      </c>
    </row>
    <row r="1570" spans="1:8" x14ac:dyDescent="0.25">
      <c r="A1570">
        <v>1450790</v>
      </c>
      <c r="B1570" s="121" t="s">
        <v>9808</v>
      </c>
      <c r="C1570" t="s">
        <v>32</v>
      </c>
      <c r="D1570" t="s">
        <v>71</v>
      </c>
      <c r="E1570" t="s">
        <v>676</v>
      </c>
      <c r="F1570" t="s">
        <v>6878</v>
      </c>
      <c r="G1570" t="s">
        <v>6733</v>
      </c>
      <c r="H1570" s="121" t="s">
        <v>9812</v>
      </c>
    </row>
    <row r="1571" spans="1:8" x14ac:dyDescent="0.25">
      <c r="A1571">
        <v>1388867</v>
      </c>
      <c r="B1571" s="121" t="s">
        <v>9813</v>
      </c>
      <c r="C1571" t="s">
        <v>32</v>
      </c>
      <c r="D1571" t="s">
        <v>43</v>
      </c>
      <c r="E1571" t="s">
        <v>337</v>
      </c>
      <c r="F1571" t="s">
        <v>6882</v>
      </c>
      <c r="G1571" t="s">
        <v>1317</v>
      </c>
      <c r="H1571" s="121" t="s">
        <v>9814</v>
      </c>
    </row>
    <row r="1572" spans="1:8" x14ac:dyDescent="0.25">
      <c r="A1572">
        <v>1454274</v>
      </c>
      <c r="B1572" s="121" t="s">
        <v>9813</v>
      </c>
      <c r="C1572" t="s">
        <v>32</v>
      </c>
      <c r="D1572" t="s">
        <v>41</v>
      </c>
      <c r="E1572" t="s">
        <v>4339</v>
      </c>
      <c r="F1572" t="s">
        <v>9815</v>
      </c>
      <c r="G1572" t="s">
        <v>9816</v>
      </c>
      <c r="H1572" s="121" t="s">
        <v>9817</v>
      </c>
    </row>
    <row r="1573" spans="1:8" x14ac:dyDescent="0.25">
      <c r="A1573">
        <v>1490195</v>
      </c>
      <c r="B1573" s="121" t="s">
        <v>9813</v>
      </c>
      <c r="C1573" t="s">
        <v>32</v>
      </c>
      <c r="D1573" t="s">
        <v>362</v>
      </c>
      <c r="E1573" t="s">
        <v>413</v>
      </c>
      <c r="F1573" t="s">
        <v>721</v>
      </c>
      <c r="G1573" t="s">
        <v>763</v>
      </c>
      <c r="H1573" s="121" t="s">
        <v>9818</v>
      </c>
    </row>
    <row r="1574" spans="1:8" x14ac:dyDescent="0.25">
      <c r="A1574">
        <v>1490197</v>
      </c>
      <c r="B1574" s="121" t="s">
        <v>9813</v>
      </c>
      <c r="C1574" t="s">
        <v>32</v>
      </c>
      <c r="D1574" t="s">
        <v>362</v>
      </c>
      <c r="E1574" t="s">
        <v>413</v>
      </c>
      <c r="F1574" t="s">
        <v>2366</v>
      </c>
      <c r="G1574" t="s">
        <v>717</v>
      </c>
      <c r="H1574" s="121" t="s">
        <v>9819</v>
      </c>
    </row>
    <row r="1575" spans="1:8" x14ac:dyDescent="0.25">
      <c r="A1575">
        <v>1492021</v>
      </c>
      <c r="B1575" s="121" t="s">
        <v>9813</v>
      </c>
      <c r="C1575" t="s">
        <v>32</v>
      </c>
      <c r="D1575" t="s">
        <v>28</v>
      </c>
      <c r="E1575" t="s">
        <v>2588</v>
      </c>
      <c r="F1575" t="s">
        <v>9820</v>
      </c>
      <c r="G1575" t="s">
        <v>9821</v>
      </c>
      <c r="H1575" s="121" t="s">
        <v>9822</v>
      </c>
    </row>
    <row r="1576" spans="1:8" x14ac:dyDescent="0.25">
      <c r="A1576">
        <v>1492869</v>
      </c>
      <c r="B1576" s="121" t="s">
        <v>9813</v>
      </c>
      <c r="C1576" t="s">
        <v>32</v>
      </c>
      <c r="D1576" t="s">
        <v>351</v>
      </c>
      <c r="E1576" t="s">
        <v>6888</v>
      </c>
      <c r="F1576" t="s">
        <v>6889</v>
      </c>
      <c r="G1576" t="s">
        <v>9823</v>
      </c>
      <c r="H1576" s="121" t="s">
        <v>9824</v>
      </c>
    </row>
    <row r="1577" spans="1:8" x14ac:dyDescent="0.25">
      <c r="A1577">
        <v>1494592</v>
      </c>
      <c r="B1577" s="121" t="s">
        <v>9813</v>
      </c>
      <c r="C1577" t="s">
        <v>32</v>
      </c>
      <c r="D1577" t="s">
        <v>80</v>
      </c>
      <c r="E1577" t="s">
        <v>81</v>
      </c>
      <c r="F1577" t="s">
        <v>2060</v>
      </c>
      <c r="G1577" t="s">
        <v>1462</v>
      </c>
      <c r="H1577" s="121" t="s">
        <v>9825</v>
      </c>
    </row>
    <row r="1578" spans="1:8" x14ac:dyDescent="0.25">
      <c r="A1578">
        <v>1498435</v>
      </c>
      <c r="B1578" s="121" t="s">
        <v>9813</v>
      </c>
      <c r="C1578" t="s">
        <v>32</v>
      </c>
      <c r="D1578" t="s">
        <v>28</v>
      </c>
      <c r="E1578" t="s">
        <v>242</v>
      </c>
      <c r="F1578" t="s">
        <v>6470</v>
      </c>
      <c r="G1578" t="s">
        <v>483</v>
      </c>
      <c r="H1578" s="121" t="s">
        <v>9826</v>
      </c>
    </row>
    <row r="1579" spans="1:8" x14ac:dyDescent="0.25">
      <c r="A1579">
        <v>1498447</v>
      </c>
      <c r="B1579" s="121" t="s">
        <v>9813</v>
      </c>
      <c r="C1579" t="s">
        <v>32</v>
      </c>
      <c r="D1579" t="s">
        <v>28</v>
      </c>
      <c r="E1579" t="s">
        <v>242</v>
      </c>
      <c r="F1579" t="s">
        <v>6443</v>
      </c>
      <c r="G1579" t="s">
        <v>2407</v>
      </c>
      <c r="H1579" s="121" t="s">
        <v>9827</v>
      </c>
    </row>
    <row r="1580" spans="1:8" x14ac:dyDescent="0.25">
      <c r="A1580">
        <v>1498448</v>
      </c>
      <c r="B1580" s="121" t="s">
        <v>9813</v>
      </c>
      <c r="C1580" t="s">
        <v>32</v>
      </c>
      <c r="D1580" t="s">
        <v>28</v>
      </c>
      <c r="E1580" t="s">
        <v>242</v>
      </c>
      <c r="F1580" t="s">
        <v>2352</v>
      </c>
      <c r="G1580" t="s">
        <v>2376</v>
      </c>
      <c r="H1580" s="121" t="s">
        <v>9828</v>
      </c>
    </row>
    <row r="1581" spans="1:8" x14ac:dyDescent="0.25">
      <c r="A1581">
        <v>1499358</v>
      </c>
      <c r="B1581" s="121" t="s">
        <v>9813</v>
      </c>
      <c r="C1581" t="s">
        <v>32</v>
      </c>
      <c r="D1581" t="s">
        <v>28</v>
      </c>
      <c r="E1581" t="s">
        <v>6473</v>
      </c>
      <c r="F1581" t="s">
        <v>6478</v>
      </c>
      <c r="G1581" t="s">
        <v>6605</v>
      </c>
      <c r="H1581" s="121" t="s">
        <v>9829</v>
      </c>
    </row>
    <row r="1582" spans="1:8" x14ac:dyDescent="0.25">
      <c r="A1582">
        <v>1499359</v>
      </c>
      <c r="B1582" s="121" t="s">
        <v>9813</v>
      </c>
      <c r="C1582" t="s">
        <v>32</v>
      </c>
      <c r="D1582" t="s">
        <v>28</v>
      </c>
      <c r="E1582" t="s">
        <v>6473</v>
      </c>
      <c r="F1582" t="s">
        <v>6987</v>
      </c>
      <c r="G1582" t="s">
        <v>6477</v>
      </c>
      <c r="H1582" s="121" t="s">
        <v>9830</v>
      </c>
    </row>
    <row r="1583" spans="1:8" x14ac:dyDescent="0.25">
      <c r="A1583">
        <v>1499360</v>
      </c>
      <c r="B1583" s="121" t="s">
        <v>9813</v>
      </c>
      <c r="C1583" t="s">
        <v>32</v>
      </c>
      <c r="D1583" t="s">
        <v>28</v>
      </c>
      <c r="E1583" t="s">
        <v>6473</v>
      </c>
      <c r="F1583" t="s">
        <v>9831</v>
      </c>
      <c r="G1583" t="s">
        <v>697</v>
      </c>
      <c r="H1583" s="121" t="s">
        <v>9832</v>
      </c>
    </row>
    <row r="1584" spans="1:8" x14ac:dyDescent="0.25">
      <c r="A1584">
        <v>1499362</v>
      </c>
      <c r="B1584" s="121" t="s">
        <v>9813</v>
      </c>
      <c r="C1584" t="s">
        <v>32</v>
      </c>
      <c r="D1584" t="s">
        <v>28</v>
      </c>
      <c r="E1584" t="s">
        <v>6473</v>
      </c>
      <c r="F1584" t="s">
        <v>6481</v>
      </c>
      <c r="G1584" t="s">
        <v>9833</v>
      </c>
      <c r="H1584" s="121" t="s">
        <v>9834</v>
      </c>
    </row>
    <row r="1585" spans="1:8" x14ac:dyDescent="0.25">
      <c r="A1585">
        <v>1499363</v>
      </c>
      <c r="B1585" s="121" t="s">
        <v>9813</v>
      </c>
      <c r="C1585" t="s">
        <v>32</v>
      </c>
      <c r="D1585" t="s">
        <v>28</v>
      </c>
      <c r="E1585" t="s">
        <v>6473</v>
      </c>
      <c r="F1585" t="s">
        <v>9835</v>
      </c>
      <c r="G1585" t="s">
        <v>9836</v>
      </c>
      <c r="H1585" s="121" t="s">
        <v>9837</v>
      </c>
    </row>
    <row r="1586" spans="1:8" x14ac:dyDescent="0.25">
      <c r="A1586">
        <v>1499824</v>
      </c>
      <c r="B1586" s="121" t="s">
        <v>9813</v>
      </c>
      <c r="C1586" t="s">
        <v>32</v>
      </c>
      <c r="D1586" t="s">
        <v>28</v>
      </c>
      <c r="E1586" t="s">
        <v>414</v>
      </c>
      <c r="F1586" t="s">
        <v>6754</v>
      </c>
      <c r="G1586" t="s">
        <v>9838</v>
      </c>
      <c r="H1586" s="121" t="s">
        <v>9839</v>
      </c>
    </row>
    <row r="1587" spans="1:8" x14ac:dyDescent="0.25">
      <c r="A1587">
        <v>1499825</v>
      </c>
      <c r="B1587" s="121" t="s">
        <v>9813</v>
      </c>
      <c r="C1587" t="s">
        <v>32</v>
      </c>
      <c r="D1587" t="s">
        <v>28</v>
      </c>
      <c r="E1587" t="s">
        <v>414</v>
      </c>
      <c r="F1587" t="s">
        <v>6745</v>
      </c>
      <c r="G1587" t="s">
        <v>9840</v>
      </c>
      <c r="H1587" s="121" t="s">
        <v>9841</v>
      </c>
    </row>
    <row r="1588" spans="1:8" x14ac:dyDescent="0.25">
      <c r="A1588">
        <v>1499826</v>
      </c>
      <c r="B1588" s="121" t="s">
        <v>9813</v>
      </c>
      <c r="C1588" t="s">
        <v>32</v>
      </c>
      <c r="D1588" t="s">
        <v>28</v>
      </c>
      <c r="E1588" t="s">
        <v>414</v>
      </c>
      <c r="F1588" t="s">
        <v>9842</v>
      </c>
      <c r="G1588" t="s">
        <v>9843</v>
      </c>
      <c r="H1588" s="121" t="s">
        <v>9844</v>
      </c>
    </row>
    <row r="1589" spans="1:8" x14ac:dyDescent="0.25">
      <c r="A1589">
        <v>1499828</v>
      </c>
      <c r="B1589" s="121" t="s">
        <v>9813</v>
      </c>
      <c r="C1589" t="s">
        <v>32</v>
      </c>
      <c r="D1589" t="s">
        <v>28</v>
      </c>
      <c r="E1589" t="s">
        <v>414</v>
      </c>
      <c r="F1589" t="s">
        <v>6756</v>
      </c>
      <c r="G1589" t="s">
        <v>9845</v>
      </c>
      <c r="H1589" s="121" t="s">
        <v>9846</v>
      </c>
    </row>
    <row r="1590" spans="1:8" x14ac:dyDescent="0.25">
      <c r="A1590">
        <v>1499830</v>
      </c>
      <c r="B1590" s="121" t="s">
        <v>9813</v>
      </c>
      <c r="C1590" t="s">
        <v>32</v>
      </c>
      <c r="D1590" t="s">
        <v>28</v>
      </c>
      <c r="E1590" t="s">
        <v>414</v>
      </c>
      <c r="F1590" t="s">
        <v>6746</v>
      </c>
      <c r="G1590" t="s">
        <v>9847</v>
      </c>
      <c r="H1590" s="121" t="s">
        <v>9848</v>
      </c>
    </row>
    <row r="1591" spans="1:8" x14ac:dyDescent="0.25">
      <c r="A1591">
        <v>1499832</v>
      </c>
      <c r="B1591" s="121" t="s">
        <v>9813</v>
      </c>
      <c r="C1591" t="s">
        <v>32</v>
      </c>
      <c r="D1591" t="s">
        <v>28</v>
      </c>
      <c r="E1591" t="s">
        <v>414</v>
      </c>
      <c r="F1591" t="s">
        <v>6753</v>
      </c>
      <c r="G1591" t="s">
        <v>9849</v>
      </c>
      <c r="H1591" s="121" t="s">
        <v>9850</v>
      </c>
    </row>
    <row r="1592" spans="1:8" x14ac:dyDescent="0.25">
      <c r="A1592">
        <v>1527431</v>
      </c>
      <c r="B1592" s="121" t="s">
        <v>9813</v>
      </c>
      <c r="C1592" t="s">
        <v>32</v>
      </c>
      <c r="D1592" t="s">
        <v>20</v>
      </c>
      <c r="E1592" t="s">
        <v>685</v>
      </c>
      <c r="F1592" t="s">
        <v>557</v>
      </c>
      <c r="G1592" t="s">
        <v>2291</v>
      </c>
      <c r="H1592" s="121" t="s">
        <v>9851</v>
      </c>
    </row>
    <row r="1593" spans="1:8" x14ac:dyDescent="0.25">
      <c r="A1593">
        <v>1527433</v>
      </c>
      <c r="B1593" s="121" t="s">
        <v>9813</v>
      </c>
      <c r="C1593" t="s">
        <v>32</v>
      </c>
      <c r="D1593" t="s">
        <v>20</v>
      </c>
      <c r="E1593" t="s">
        <v>685</v>
      </c>
      <c r="F1593" t="s">
        <v>2292</v>
      </c>
      <c r="G1593" t="s">
        <v>2290</v>
      </c>
      <c r="H1593" s="121" t="s">
        <v>9852</v>
      </c>
    </row>
    <row r="1594" spans="1:8" x14ac:dyDescent="0.25">
      <c r="A1594">
        <v>1528202</v>
      </c>
      <c r="B1594" s="121" t="s">
        <v>9813</v>
      </c>
      <c r="C1594" t="s">
        <v>32</v>
      </c>
      <c r="D1594" t="s">
        <v>20</v>
      </c>
      <c r="E1594" t="s">
        <v>411</v>
      </c>
      <c r="F1594" t="s">
        <v>6773</v>
      </c>
      <c r="G1594" t="s">
        <v>6767</v>
      </c>
      <c r="H1594" s="121" t="s">
        <v>9853</v>
      </c>
    </row>
    <row r="1595" spans="1:8" x14ac:dyDescent="0.25">
      <c r="A1595">
        <v>1528203</v>
      </c>
      <c r="B1595" s="121" t="s">
        <v>9813</v>
      </c>
      <c r="C1595" t="s">
        <v>32</v>
      </c>
      <c r="D1595" t="s">
        <v>20</v>
      </c>
      <c r="E1595" t="s">
        <v>411</v>
      </c>
      <c r="F1595" t="s">
        <v>6766</v>
      </c>
      <c r="G1595" t="s">
        <v>9854</v>
      </c>
      <c r="H1595" s="121" t="s">
        <v>9855</v>
      </c>
    </row>
    <row r="1596" spans="1:8" x14ac:dyDescent="0.25">
      <c r="A1596">
        <v>1528204</v>
      </c>
      <c r="B1596" s="121" t="s">
        <v>9813</v>
      </c>
      <c r="C1596" t="s">
        <v>32</v>
      </c>
      <c r="D1596" t="s">
        <v>20</v>
      </c>
      <c r="E1596" t="s">
        <v>411</v>
      </c>
      <c r="F1596" t="s">
        <v>6774</v>
      </c>
      <c r="G1596" t="s">
        <v>9856</v>
      </c>
      <c r="H1596" s="121" t="s">
        <v>9857</v>
      </c>
    </row>
    <row r="1597" spans="1:8" x14ac:dyDescent="0.25">
      <c r="A1597">
        <v>1528205</v>
      </c>
      <c r="B1597" s="121" t="s">
        <v>9813</v>
      </c>
      <c r="C1597" t="s">
        <v>32</v>
      </c>
      <c r="D1597" t="s">
        <v>20</v>
      </c>
      <c r="E1597" t="s">
        <v>411</v>
      </c>
      <c r="F1597" t="s">
        <v>6771</v>
      </c>
      <c r="G1597" t="s">
        <v>2470</v>
      </c>
      <c r="H1597" s="121" t="s">
        <v>9858</v>
      </c>
    </row>
    <row r="1598" spans="1:8" x14ac:dyDescent="0.25">
      <c r="A1598">
        <v>1528206</v>
      </c>
      <c r="B1598" s="121" t="s">
        <v>9813</v>
      </c>
      <c r="C1598" t="s">
        <v>32</v>
      </c>
      <c r="D1598" t="s">
        <v>20</v>
      </c>
      <c r="E1598" t="s">
        <v>411</v>
      </c>
      <c r="F1598" t="s">
        <v>2471</v>
      </c>
      <c r="G1598" t="s">
        <v>9859</v>
      </c>
      <c r="H1598" s="121" t="s">
        <v>9860</v>
      </c>
    </row>
    <row r="1599" spans="1:8" x14ac:dyDescent="0.25">
      <c r="A1599">
        <v>1528207</v>
      </c>
      <c r="B1599" s="121" t="s">
        <v>9813</v>
      </c>
      <c r="C1599" t="s">
        <v>32</v>
      </c>
      <c r="D1599" t="s">
        <v>20</v>
      </c>
      <c r="E1599" t="s">
        <v>411</v>
      </c>
      <c r="F1599" t="s">
        <v>9861</v>
      </c>
      <c r="G1599" t="s">
        <v>6769</v>
      </c>
      <c r="H1599" s="121" t="s">
        <v>9862</v>
      </c>
    </row>
    <row r="1600" spans="1:8" x14ac:dyDescent="0.25">
      <c r="A1600">
        <v>1530232</v>
      </c>
      <c r="B1600" s="121" t="s">
        <v>9813</v>
      </c>
      <c r="C1600" t="s">
        <v>32</v>
      </c>
      <c r="D1600" t="s">
        <v>28</v>
      </c>
      <c r="E1600" t="s">
        <v>2618</v>
      </c>
      <c r="F1600" t="s">
        <v>9863</v>
      </c>
      <c r="G1600" t="s">
        <v>9864</v>
      </c>
      <c r="H1600" s="121" t="s">
        <v>9865</v>
      </c>
    </row>
    <row r="1601" spans="1:8" x14ac:dyDescent="0.25">
      <c r="A1601">
        <v>1530638</v>
      </c>
      <c r="B1601" s="121" t="s">
        <v>9813</v>
      </c>
      <c r="C1601" t="s">
        <v>32</v>
      </c>
      <c r="D1601" t="s">
        <v>20</v>
      </c>
      <c r="E1601" t="s">
        <v>602</v>
      </c>
      <c r="F1601" t="s">
        <v>9866</v>
      </c>
      <c r="G1601" t="s">
        <v>3627</v>
      </c>
      <c r="H1601" s="121" t="s">
        <v>9867</v>
      </c>
    </row>
    <row r="1602" spans="1:8" x14ac:dyDescent="0.25">
      <c r="A1602">
        <v>1530639</v>
      </c>
      <c r="B1602" s="121" t="s">
        <v>9813</v>
      </c>
      <c r="C1602" t="s">
        <v>32</v>
      </c>
      <c r="D1602" t="s">
        <v>20</v>
      </c>
      <c r="E1602" t="s">
        <v>602</v>
      </c>
      <c r="F1602" t="s">
        <v>2294</v>
      </c>
      <c r="G1602" t="s">
        <v>3630</v>
      </c>
      <c r="H1602" s="121" t="s">
        <v>9868</v>
      </c>
    </row>
    <row r="1603" spans="1:8" x14ac:dyDescent="0.25">
      <c r="A1603">
        <v>1537238</v>
      </c>
      <c r="B1603" s="121" t="s">
        <v>9813</v>
      </c>
      <c r="C1603" t="s">
        <v>32</v>
      </c>
      <c r="D1603" t="s">
        <v>72</v>
      </c>
      <c r="E1603" t="s">
        <v>73</v>
      </c>
      <c r="F1603" t="s">
        <v>529</v>
      </c>
      <c r="G1603" t="s">
        <v>9869</v>
      </c>
      <c r="H1603" s="121" t="s">
        <v>9870</v>
      </c>
    </row>
    <row r="1604" spans="1:8" x14ac:dyDescent="0.25">
      <c r="A1604">
        <v>1378174</v>
      </c>
      <c r="B1604" s="121" t="s">
        <v>9871</v>
      </c>
      <c r="C1604" t="s">
        <v>32</v>
      </c>
      <c r="D1604" t="s">
        <v>41</v>
      </c>
      <c r="E1604" t="s">
        <v>60</v>
      </c>
      <c r="F1604" t="s">
        <v>9872</v>
      </c>
      <c r="G1604" t="s">
        <v>6905</v>
      </c>
      <c r="H1604" s="121" t="s">
        <v>9873</v>
      </c>
    </row>
    <row r="1605" spans="1:8" x14ac:dyDescent="0.25">
      <c r="A1605">
        <v>1536982</v>
      </c>
      <c r="B1605" s="121" t="s">
        <v>9871</v>
      </c>
      <c r="C1605" t="s">
        <v>32</v>
      </c>
      <c r="D1605" t="s">
        <v>71</v>
      </c>
      <c r="E1605" t="s">
        <v>350</v>
      </c>
      <c r="F1605" t="s">
        <v>2276</v>
      </c>
      <c r="G1605" t="s">
        <v>1314</v>
      </c>
      <c r="H1605" s="121" t="s">
        <v>9874</v>
      </c>
    </row>
    <row r="1606" spans="1:8" x14ac:dyDescent="0.25">
      <c r="A1606">
        <v>1381130</v>
      </c>
      <c r="B1606" s="121" t="s">
        <v>9875</v>
      </c>
      <c r="C1606" t="s">
        <v>32</v>
      </c>
      <c r="D1606" t="s">
        <v>58</v>
      </c>
      <c r="E1606" t="s">
        <v>59</v>
      </c>
      <c r="F1606" t="s">
        <v>9876</v>
      </c>
      <c r="G1606" t="s">
        <v>9877</v>
      </c>
      <c r="H1606" s="121" t="s">
        <v>9878</v>
      </c>
    </row>
    <row r="1607" spans="1:8" x14ac:dyDescent="0.25">
      <c r="A1607">
        <v>1391128</v>
      </c>
      <c r="B1607" s="121" t="s">
        <v>9875</v>
      </c>
      <c r="C1607" t="s">
        <v>32</v>
      </c>
      <c r="D1607" t="s">
        <v>40</v>
      </c>
      <c r="E1607" t="s">
        <v>74</v>
      </c>
      <c r="F1607" t="s">
        <v>2244</v>
      </c>
      <c r="G1607" t="s">
        <v>9879</v>
      </c>
      <c r="H1607" s="121" t="s">
        <v>9880</v>
      </c>
    </row>
    <row r="1608" spans="1:8" x14ac:dyDescent="0.25">
      <c r="A1608">
        <v>1392144</v>
      </c>
      <c r="B1608" s="121" t="s">
        <v>9875</v>
      </c>
      <c r="C1608" t="s">
        <v>32</v>
      </c>
      <c r="D1608" t="s">
        <v>40</v>
      </c>
      <c r="E1608" t="s">
        <v>75</v>
      </c>
      <c r="F1608" t="s">
        <v>471</v>
      </c>
      <c r="G1608" t="s">
        <v>6918</v>
      </c>
      <c r="H1608" s="121" t="s">
        <v>9881</v>
      </c>
    </row>
    <row r="1609" spans="1:8" x14ac:dyDescent="0.25">
      <c r="A1609">
        <v>1431827</v>
      </c>
      <c r="B1609" s="121" t="s">
        <v>9875</v>
      </c>
      <c r="C1609" t="s">
        <v>32</v>
      </c>
      <c r="D1609" t="s">
        <v>40</v>
      </c>
      <c r="E1609" t="s">
        <v>340</v>
      </c>
      <c r="F1609" t="s">
        <v>2324</v>
      </c>
      <c r="G1609" t="s">
        <v>3851</v>
      </c>
      <c r="H1609" s="121" t="s">
        <v>9882</v>
      </c>
    </row>
    <row r="1610" spans="1:8" x14ac:dyDescent="0.25">
      <c r="A1610">
        <v>1505413</v>
      </c>
      <c r="B1610" s="121" t="s">
        <v>9875</v>
      </c>
      <c r="C1610" t="s">
        <v>32</v>
      </c>
      <c r="D1610" t="s">
        <v>354</v>
      </c>
      <c r="E1610" t="s">
        <v>27</v>
      </c>
      <c r="F1610" t="s">
        <v>9883</v>
      </c>
      <c r="G1610" t="s">
        <v>9884</v>
      </c>
      <c r="H1610" s="121" t="s">
        <v>9885</v>
      </c>
    </row>
    <row r="1611" spans="1:8" x14ac:dyDescent="0.25">
      <c r="A1611">
        <v>1511542</v>
      </c>
      <c r="B1611" s="121" t="s">
        <v>9875</v>
      </c>
      <c r="C1611" t="s">
        <v>32</v>
      </c>
      <c r="D1611" t="s">
        <v>354</v>
      </c>
      <c r="E1611" t="s">
        <v>102</v>
      </c>
      <c r="F1611" t="s">
        <v>9886</v>
      </c>
      <c r="G1611" t="s">
        <v>7128</v>
      </c>
      <c r="H1611" s="121" t="s">
        <v>9887</v>
      </c>
    </row>
    <row r="1612" spans="1:8" x14ac:dyDescent="0.25">
      <c r="A1612">
        <v>1511936</v>
      </c>
      <c r="B1612" s="121" t="s">
        <v>9875</v>
      </c>
      <c r="C1612" t="s">
        <v>32</v>
      </c>
      <c r="D1612" t="s">
        <v>29</v>
      </c>
      <c r="E1612" t="s">
        <v>102</v>
      </c>
      <c r="F1612" t="s">
        <v>6991</v>
      </c>
      <c r="G1612" t="s">
        <v>6935</v>
      </c>
      <c r="H1612" s="121" t="s">
        <v>9888</v>
      </c>
    </row>
    <row r="1613" spans="1:8" x14ac:dyDescent="0.25">
      <c r="A1613">
        <v>1517265</v>
      </c>
      <c r="B1613" s="121" t="s">
        <v>9875</v>
      </c>
      <c r="C1613" t="s">
        <v>32</v>
      </c>
      <c r="D1613" t="s">
        <v>9889</v>
      </c>
      <c r="E1613" t="s">
        <v>9890</v>
      </c>
      <c r="F1613" t="s">
        <v>9891</v>
      </c>
      <c r="G1613" t="s">
        <v>9892</v>
      </c>
      <c r="H1613" s="121" t="s">
        <v>9893</v>
      </c>
    </row>
    <row r="1614" spans="1:8" x14ac:dyDescent="0.25">
      <c r="A1614">
        <v>1519317</v>
      </c>
      <c r="B1614" s="121" t="s">
        <v>9875</v>
      </c>
      <c r="C1614" t="s">
        <v>32</v>
      </c>
      <c r="D1614" t="s">
        <v>366</v>
      </c>
      <c r="E1614" t="s">
        <v>367</v>
      </c>
      <c r="F1614" t="s">
        <v>9894</v>
      </c>
      <c r="G1614" t="s">
        <v>9895</v>
      </c>
      <c r="H1614" s="121" t="s">
        <v>9896</v>
      </c>
    </row>
    <row r="1615" spans="1:8" x14ac:dyDescent="0.25">
      <c r="A1615">
        <v>1520635</v>
      </c>
      <c r="B1615" s="121" t="s">
        <v>9875</v>
      </c>
      <c r="C1615" t="s">
        <v>32</v>
      </c>
      <c r="D1615" t="s">
        <v>20</v>
      </c>
      <c r="E1615" t="s">
        <v>348</v>
      </c>
      <c r="F1615" t="s">
        <v>9897</v>
      </c>
      <c r="G1615" t="s">
        <v>9898</v>
      </c>
      <c r="H1615" s="121" t="s">
        <v>9899</v>
      </c>
    </row>
    <row r="1616" spans="1:8" x14ac:dyDescent="0.25">
      <c r="A1616">
        <v>1526981</v>
      </c>
      <c r="B1616" s="121" t="s">
        <v>9875</v>
      </c>
      <c r="C1616" t="s">
        <v>32</v>
      </c>
      <c r="D1616" t="s">
        <v>21</v>
      </c>
      <c r="E1616" t="s">
        <v>7468</v>
      </c>
      <c r="F1616" t="s">
        <v>9900</v>
      </c>
      <c r="G1616" t="s">
        <v>9901</v>
      </c>
      <c r="H1616" s="121" t="s">
        <v>9902</v>
      </c>
    </row>
    <row r="1617" spans="1:8" x14ac:dyDescent="0.25">
      <c r="A1617">
        <v>1533246</v>
      </c>
      <c r="B1617" s="121" t="s">
        <v>9875</v>
      </c>
      <c r="C1617" t="s">
        <v>32</v>
      </c>
      <c r="D1617" t="s">
        <v>20</v>
      </c>
      <c r="E1617" t="s">
        <v>6678</v>
      </c>
      <c r="F1617" t="s">
        <v>6680</v>
      </c>
      <c r="G1617" t="s">
        <v>9903</v>
      </c>
      <c r="H1617" s="121" t="s">
        <v>9904</v>
      </c>
    </row>
    <row r="1618" spans="1:8" x14ac:dyDescent="0.25">
      <c r="A1618">
        <v>1536081</v>
      </c>
      <c r="B1618" s="121" t="s">
        <v>9875</v>
      </c>
      <c r="C1618" t="s">
        <v>32</v>
      </c>
      <c r="D1618" t="s">
        <v>21</v>
      </c>
      <c r="E1618" t="s">
        <v>6157</v>
      </c>
      <c r="F1618" t="s">
        <v>6158</v>
      </c>
      <c r="G1618" t="s">
        <v>2408</v>
      </c>
      <c r="H1618" s="121" t="s">
        <v>9905</v>
      </c>
    </row>
    <row r="1619" spans="1:8" x14ac:dyDescent="0.25">
      <c r="A1619">
        <v>1538191</v>
      </c>
      <c r="B1619" s="121" t="s">
        <v>9875</v>
      </c>
      <c r="C1619" t="s">
        <v>32</v>
      </c>
      <c r="D1619" t="s">
        <v>20</v>
      </c>
      <c r="E1619" t="s">
        <v>9780</v>
      </c>
      <c r="F1619" t="s">
        <v>9906</v>
      </c>
      <c r="G1619" t="s">
        <v>2311</v>
      </c>
      <c r="H1619" s="121" t="s">
        <v>9907</v>
      </c>
    </row>
    <row r="1620" spans="1:8" x14ac:dyDescent="0.25">
      <c r="A1620">
        <v>1538192</v>
      </c>
      <c r="B1620" s="121" t="s">
        <v>9875</v>
      </c>
      <c r="C1620" t="s">
        <v>32</v>
      </c>
      <c r="D1620" t="s">
        <v>20</v>
      </c>
      <c r="E1620" t="s">
        <v>9780</v>
      </c>
      <c r="F1620" t="s">
        <v>9908</v>
      </c>
      <c r="G1620" t="s">
        <v>6684</v>
      </c>
      <c r="H1620" s="121" t="s">
        <v>9909</v>
      </c>
    </row>
    <row r="1621" spans="1:8" x14ac:dyDescent="0.25">
      <c r="A1621">
        <v>1538193</v>
      </c>
      <c r="B1621" s="121" t="s">
        <v>9875</v>
      </c>
      <c r="C1621" t="s">
        <v>32</v>
      </c>
      <c r="D1621" t="s">
        <v>20</v>
      </c>
      <c r="E1621" t="s">
        <v>9780</v>
      </c>
      <c r="F1621" t="s">
        <v>9910</v>
      </c>
      <c r="G1621" t="s">
        <v>9911</v>
      </c>
      <c r="H1621" s="121" t="s">
        <v>9912</v>
      </c>
    </row>
    <row r="1622" spans="1:8" x14ac:dyDescent="0.25">
      <c r="A1622">
        <v>1538195</v>
      </c>
      <c r="B1622" s="121" t="s">
        <v>9875</v>
      </c>
      <c r="C1622" t="s">
        <v>32</v>
      </c>
      <c r="D1622" t="s">
        <v>20</v>
      </c>
      <c r="E1622" t="s">
        <v>9780</v>
      </c>
      <c r="F1622" t="s">
        <v>9913</v>
      </c>
      <c r="G1622" t="s">
        <v>9914</v>
      </c>
      <c r="H1622" s="121" t="s">
        <v>9915</v>
      </c>
    </row>
    <row r="1623" spans="1:8" x14ac:dyDescent="0.25">
      <c r="A1623">
        <v>1538196</v>
      </c>
      <c r="B1623" s="121" t="s">
        <v>9875</v>
      </c>
      <c r="C1623" t="s">
        <v>32</v>
      </c>
      <c r="D1623" t="s">
        <v>20</v>
      </c>
      <c r="E1623" t="s">
        <v>9780</v>
      </c>
      <c r="F1623" t="s">
        <v>6854</v>
      </c>
      <c r="G1623" t="s">
        <v>9916</v>
      </c>
      <c r="H1623" s="121" t="s">
        <v>9917</v>
      </c>
    </row>
    <row r="1624" spans="1:8" x14ac:dyDescent="0.25">
      <c r="A1624">
        <v>1538202</v>
      </c>
      <c r="B1624" s="121" t="s">
        <v>9875</v>
      </c>
      <c r="C1624" t="s">
        <v>32</v>
      </c>
      <c r="D1624" t="s">
        <v>20</v>
      </c>
      <c r="E1624" t="s">
        <v>9780</v>
      </c>
      <c r="F1624" t="s">
        <v>9918</v>
      </c>
      <c r="G1624" t="s">
        <v>9919</v>
      </c>
      <c r="H1624" s="121" t="s">
        <v>9920</v>
      </c>
    </row>
    <row r="1625" spans="1:8" x14ac:dyDescent="0.25">
      <c r="A1625">
        <v>1538208</v>
      </c>
      <c r="B1625" s="121" t="s">
        <v>9875</v>
      </c>
      <c r="C1625" t="s">
        <v>32</v>
      </c>
      <c r="D1625" t="s">
        <v>20</v>
      </c>
      <c r="E1625" t="s">
        <v>9780</v>
      </c>
      <c r="F1625" t="s">
        <v>9921</v>
      </c>
      <c r="G1625" t="s">
        <v>9922</v>
      </c>
      <c r="H1625" s="121" t="s">
        <v>9923</v>
      </c>
    </row>
    <row r="1626" spans="1:8" x14ac:dyDescent="0.25">
      <c r="A1626">
        <v>1538334</v>
      </c>
      <c r="B1626" s="121" t="s">
        <v>9875</v>
      </c>
      <c r="C1626" t="s">
        <v>32</v>
      </c>
      <c r="D1626" t="s">
        <v>302</v>
      </c>
      <c r="E1626" t="s">
        <v>27</v>
      </c>
      <c r="F1626" t="s">
        <v>9924</v>
      </c>
      <c r="G1626" t="s">
        <v>693</v>
      </c>
      <c r="H1626" s="121" t="s">
        <v>9925</v>
      </c>
    </row>
    <row r="1627" spans="1:8" x14ac:dyDescent="0.25">
      <c r="A1627">
        <v>1539616</v>
      </c>
      <c r="B1627" s="121" t="s">
        <v>9875</v>
      </c>
      <c r="C1627" t="s">
        <v>32</v>
      </c>
      <c r="D1627" t="s">
        <v>366</v>
      </c>
      <c r="E1627" t="s">
        <v>9926</v>
      </c>
      <c r="F1627" t="s">
        <v>9927</v>
      </c>
      <c r="G1627" t="s">
        <v>9928</v>
      </c>
      <c r="H1627" s="121" t="s">
        <v>9929</v>
      </c>
    </row>
    <row r="1628" spans="1:8" x14ac:dyDescent="0.25">
      <c r="A1628">
        <v>1387957</v>
      </c>
      <c r="B1628" s="121" t="s">
        <v>9930</v>
      </c>
      <c r="C1628" t="s">
        <v>32</v>
      </c>
      <c r="D1628" t="s">
        <v>89</v>
      </c>
      <c r="E1628" t="s">
        <v>47</v>
      </c>
      <c r="F1628" t="s">
        <v>2164</v>
      </c>
      <c r="G1628" t="s">
        <v>9931</v>
      </c>
      <c r="H1628" s="121" t="s">
        <v>9932</v>
      </c>
    </row>
    <row r="1629" spans="1:8" x14ac:dyDescent="0.25">
      <c r="A1629">
        <v>1396494</v>
      </c>
      <c r="B1629" s="121" t="s">
        <v>9933</v>
      </c>
      <c r="C1629" t="s">
        <v>32</v>
      </c>
      <c r="D1629" t="s">
        <v>53</v>
      </c>
      <c r="E1629" t="s">
        <v>99</v>
      </c>
      <c r="F1629" t="s">
        <v>559</v>
      </c>
      <c r="G1629" t="s">
        <v>7137</v>
      </c>
      <c r="H1629" s="121" t="s">
        <v>9934</v>
      </c>
    </row>
    <row r="1630" spans="1:8" x14ac:dyDescent="0.25">
      <c r="A1630">
        <v>1447002</v>
      </c>
      <c r="B1630" s="121" t="s">
        <v>9933</v>
      </c>
      <c r="C1630" t="s">
        <v>32</v>
      </c>
      <c r="D1630" t="s">
        <v>18</v>
      </c>
      <c r="E1630" t="s">
        <v>19</v>
      </c>
      <c r="F1630" t="s">
        <v>9935</v>
      </c>
      <c r="G1630" t="s">
        <v>2652</v>
      </c>
      <c r="H1630" s="121" t="s">
        <v>9936</v>
      </c>
    </row>
    <row r="1631" spans="1:8" x14ac:dyDescent="0.25">
      <c r="A1631">
        <v>1492217</v>
      </c>
      <c r="B1631" s="121" t="s">
        <v>9933</v>
      </c>
      <c r="C1631" t="s">
        <v>32</v>
      </c>
      <c r="D1631" t="s">
        <v>20</v>
      </c>
      <c r="E1631" t="s">
        <v>60</v>
      </c>
      <c r="F1631" t="s">
        <v>9937</v>
      </c>
      <c r="G1631" t="s">
        <v>9938</v>
      </c>
      <c r="H1631" s="121" t="s">
        <v>9939</v>
      </c>
    </row>
    <row r="1632" spans="1:8" x14ac:dyDescent="0.25">
      <c r="A1632">
        <v>1492219</v>
      </c>
      <c r="B1632" s="121" t="s">
        <v>9933</v>
      </c>
      <c r="C1632" t="s">
        <v>32</v>
      </c>
      <c r="D1632" t="s">
        <v>20</v>
      </c>
      <c r="E1632" t="s">
        <v>60</v>
      </c>
      <c r="F1632" t="s">
        <v>9940</v>
      </c>
      <c r="G1632" t="s">
        <v>9941</v>
      </c>
      <c r="H1632" s="121" t="s">
        <v>9942</v>
      </c>
    </row>
    <row r="1633" spans="1:8" x14ac:dyDescent="0.25">
      <c r="A1633">
        <v>1530234</v>
      </c>
      <c r="B1633" s="121" t="s">
        <v>9933</v>
      </c>
      <c r="C1633" t="s">
        <v>32</v>
      </c>
      <c r="D1633" t="s">
        <v>28</v>
      </c>
      <c r="E1633" t="s">
        <v>2618</v>
      </c>
      <c r="F1633" t="s">
        <v>9943</v>
      </c>
      <c r="G1633" t="s">
        <v>9944</v>
      </c>
      <c r="H1633" s="121" t="s">
        <v>9945</v>
      </c>
    </row>
    <row r="1634" spans="1:8" x14ac:dyDescent="0.25">
      <c r="A1634">
        <v>1538877</v>
      </c>
      <c r="B1634" s="121" t="s">
        <v>9933</v>
      </c>
      <c r="C1634" t="s">
        <v>32</v>
      </c>
      <c r="D1634" t="s">
        <v>415</v>
      </c>
      <c r="E1634" t="s">
        <v>75</v>
      </c>
      <c r="F1634" t="s">
        <v>2334</v>
      </c>
      <c r="G1634" t="s">
        <v>2332</v>
      </c>
      <c r="H1634" s="121" t="s">
        <v>9946</v>
      </c>
    </row>
    <row r="1635" spans="1:8" x14ac:dyDescent="0.25">
      <c r="A1635">
        <v>1540080</v>
      </c>
      <c r="B1635" s="121" t="s">
        <v>9933</v>
      </c>
      <c r="C1635" t="s">
        <v>32</v>
      </c>
      <c r="D1635" t="s">
        <v>415</v>
      </c>
      <c r="E1635" t="s">
        <v>75</v>
      </c>
      <c r="F1635" t="s">
        <v>9947</v>
      </c>
      <c r="G1635" t="s">
        <v>2357</v>
      </c>
      <c r="H1635" s="121" t="s">
        <v>9948</v>
      </c>
    </row>
    <row r="1636" spans="1:8" x14ac:dyDescent="0.25">
      <c r="A1636">
        <v>1446216</v>
      </c>
      <c r="B1636" s="121" t="s">
        <v>9949</v>
      </c>
      <c r="C1636" t="s">
        <v>32</v>
      </c>
      <c r="D1636" t="s">
        <v>362</v>
      </c>
      <c r="E1636" t="s">
        <v>687</v>
      </c>
      <c r="F1636" t="s">
        <v>6982</v>
      </c>
      <c r="G1636" t="s">
        <v>9950</v>
      </c>
      <c r="H1636" s="121" t="s">
        <v>9951</v>
      </c>
    </row>
    <row r="1637" spans="1:8" x14ac:dyDescent="0.25">
      <c r="A1637">
        <v>1493455</v>
      </c>
      <c r="B1637" s="121" t="s">
        <v>9949</v>
      </c>
      <c r="C1637" t="s">
        <v>32</v>
      </c>
      <c r="D1637" t="s">
        <v>362</v>
      </c>
      <c r="E1637" t="s">
        <v>560</v>
      </c>
      <c r="F1637" t="s">
        <v>7091</v>
      </c>
      <c r="G1637" t="s">
        <v>724</v>
      </c>
      <c r="H1637" s="121" t="s">
        <v>9952</v>
      </c>
    </row>
    <row r="1638" spans="1:8" x14ac:dyDescent="0.25">
      <c r="A1638">
        <v>1499833</v>
      </c>
      <c r="B1638" s="121" t="s">
        <v>9949</v>
      </c>
      <c r="C1638" t="s">
        <v>32</v>
      </c>
      <c r="D1638" t="s">
        <v>28</v>
      </c>
      <c r="E1638" t="s">
        <v>414</v>
      </c>
      <c r="F1638" t="s">
        <v>6748</v>
      </c>
      <c r="G1638" t="s">
        <v>6742</v>
      </c>
      <c r="H1638" s="121" t="s">
        <v>9953</v>
      </c>
    </row>
    <row r="1639" spans="1:8" x14ac:dyDescent="0.25">
      <c r="A1639">
        <v>1524385</v>
      </c>
      <c r="B1639" s="121" t="s">
        <v>9949</v>
      </c>
      <c r="C1639" t="s">
        <v>32</v>
      </c>
      <c r="D1639" t="s">
        <v>29</v>
      </c>
      <c r="E1639" t="s">
        <v>2552</v>
      </c>
      <c r="F1639" t="s">
        <v>2554</v>
      </c>
      <c r="G1639" t="s">
        <v>9954</v>
      </c>
      <c r="H1639" s="121" t="s">
        <v>9955</v>
      </c>
    </row>
    <row r="1640" spans="1:8" x14ac:dyDescent="0.25">
      <c r="A1640">
        <v>1526770</v>
      </c>
      <c r="B1640" s="121" t="s">
        <v>9949</v>
      </c>
      <c r="C1640" t="s">
        <v>32</v>
      </c>
      <c r="D1640" t="s">
        <v>20</v>
      </c>
      <c r="E1640" t="s">
        <v>9956</v>
      </c>
      <c r="F1640" t="s">
        <v>9957</v>
      </c>
      <c r="G1640" t="s">
        <v>6045</v>
      </c>
      <c r="H1640" s="121" t="s">
        <v>9958</v>
      </c>
    </row>
    <row r="1641" spans="1:8" x14ac:dyDescent="0.25">
      <c r="A1641">
        <v>1529072</v>
      </c>
      <c r="B1641" s="121" t="s">
        <v>9949</v>
      </c>
      <c r="C1641" t="s">
        <v>32</v>
      </c>
      <c r="D1641" t="s">
        <v>354</v>
      </c>
      <c r="E1641" t="s">
        <v>75</v>
      </c>
      <c r="F1641" t="s">
        <v>9959</v>
      </c>
      <c r="G1641" t="s">
        <v>9960</v>
      </c>
      <c r="H1641" s="121" t="s">
        <v>9961</v>
      </c>
    </row>
    <row r="1642" spans="1:8" x14ac:dyDescent="0.25">
      <c r="A1642">
        <v>1533248</v>
      </c>
      <c r="B1642" s="121" t="s">
        <v>9949</v>
      </c>
      <c r="C1642" t="s">
        <v>32</v>
      </c>
      <c r="D1642" t="s">
        <v>20</v>
      </c>
      <c r="E1642" t="s">
        <v>6678</v>
      </c>
      <c r="F1642" t="s">
        <v>6946</v>
      </c>
      <c r="G1642" t="s">
        <v>9962</v>
      </c>
      <c r="H1642" s="121" t="s">
        <v>9963</v>
      </c>
    </row>
    <row r="1643" spans="1:8" x14ac:dyDescent="0.25">
      <c r="A1643">
        <v>1537142</v>
      </c>
      <c r="B1643" s="121" t="s">
        <v>9949</v>
      </c>
      <c r="C1643" t="s">
        <v>32</v>
      </c>
      <c r="D1643" t="s">
        <v>694</v>
      </c>
      <c r="E1643" t="s">
        <v>695</v>
      </c>
      <c r="F1643" t="s">
        <v>9964</v>
      </c>
      <c r="G1643" t="s">
        <v>6944</v>
      </c>
      <c r="H1643" s="121" t="s">
        <v>9965</v>
      </c>
    </row>
    <row r="1644" spans="1:8" x14ac:dyDescent="0.25">
      <c r="A1644">
        <v>1538197</v>
      </c>
      <c r="B1644" s="121" t="s">
        <v>9949</v>
      </c>
      <c r="C1644" t="s">
        <v>32</v>
      </c>
      <c r="D1644" t="s">
        <v>20</v>
      </c>
      <c r="E1644" t="s">
        <v>9780</v>
      </c>
      <c r="F1644" t="s">
        <v>2561</v>
      </c>
      <c r="G1644" t="s">
        <v>9966</v>
      </c>
      <c r="H1644" s="121" t="s">
        <v>9967</v>
      </c>
    </row>
    <row r="1645" spans="1:8" x14ac:dyDescent="0.25">
      <c r="A1645">
        <v>1538198</v>
      </c>
      <c r="B1645" s="121" t="s">
        <v>9949</v>
      </c>
      <c r="C1645" t="s">
        <v>32</v>
      </c>
      <c r="D1645" t="s">
        <v>20</v>
      </c>
      <c r="E1645" t="s">
        <v>9780</v>
      </c>
      <c r="F1645" t="s">
        <v>9968</v>
      </c>
      <c r="G1645" t="s">
        <v>2313</v>
      </c>
      <c r="H1645" s="121" t="s">
        <v>9969</v>
      </c>
    </row>
    <row r="1646" spans="1:8" x14ac:dyDescent="0.25">
      <c r="A1646">
        <v>1538199</v>
      </c>
      <c r="B1646" s="121" t="s">
        <v>9949</v>
      </c>
      <c r="C1646" t="s">
        <v>32</v>
      </c>
      <c r="D1646" t="s">
        <v>20</v>
      </c>
      <c r="E1646" t="s">
        <v>9780</v>
      </c>
      <c r="F1646" t="s">
        <v>9970</v>
      </c>
      <c r="G1646" t="s">
        <v>9971</v>
      </c>
      <c r="H1646" s="121" t="s">
        <v>9972</v>
      </c>
    </row>
    <row r="1647" spans="1:8" x14ac:dyDescent="0.25">
      <c r="A1647">
        <v>1538200</v>
      </c>
      <c r="B1647" s="121" t="s">
        <v>9949</v>
      </c>
      <c r="C1647" t="s">
        <v>32</v>
      </c>
      <c r="D1647" t="s">
        <v>20</v>
      </c>
      <c r="E1647" t="s">
        <v>9780</v>
      </c>
      <c r="F1647" t="s">
        <v>9973</v>
      </c>
      <c r="G1647" t="s">
        <v>2318</v>
      </c>
      <c r="H1647" s="121" t="s">
        <v>9974</v>
      </c>
    </row>
    <row r="1648" spans="1:8" x14ac:dyDescent="0.25">
      <c r="A1648">
        <v>1538229</v>
      </c>
      <c r="B1648" s="121" t="s">
        <v>9949</v>
      </c>
      <c r="C1648" t="s">
        <v>32</v>
      </c>
      <c r="D1648" t="s">
        <v>20</v>
      </c>
      <c r="E1648" t="s">
        <v>9780</v>
      </c>
      <c r="F1648" t="s">
        <v>9975</v>
      </c>
      <c r="G1648" t="s">
        <v>9976</v>
      </c>
      <c r="H1648" s="121" t="s">
        <v>9977</v>
      </c>
    </row>
    <row r="1649" spans="1:8" x14ac:dyDescent="0.25">
      <c r="A1649">
        <v>1539743</v>
      </c>
      <c r="B1649" s="121" t="s">
        <v>9949</v>
      </c>
      <c r="C1649" t="s">
        <v>32</v>
      </c>
      <c r="D1649" t="s">
        <v>20</v>
      </c>
      <c r="E1649" t="s">
        <v>681</v>
      </c>
      <c r="F1649" t="s">
        <v>7075</v>
      </c>
      <c r="G1649" t="s">
        <v>6826</v>
      </c>
      <c r="H1649" s="121" t="s">
        <v>9978</v>
      </c>
    </row>
    <row r="1650" spans="1:8" x14ac:dyDescent="0.25">
      <c r="A1650">
        <v>1492018</v>
      </c>
      <c r="B1650" s="121" t="s">
        <v>9979</v>
      </c>
      <c r="C1650" t="s">
        <v>32</v>
      </c>
      <c r="D1650" t="s">
        <v>28</v>
      </c>
      <c r="E1650" t="s">
        <v>2588</v>
      </c>
      <c r="F1650" t="s">
        <v>9980</v>
      </c>
      <c r="G1650" t="s">
        <v>6976</v>
      </c>
      <c r="H1650" s="121" t="s">
        <v>9981</v>
      </c>
    </row>
    <row r="1651" spans="1:8" x14ac:dyDescent="0.25">
      <c r="A1651">
        <v>1531824</v>
      </c>
      <c r="B1651" s="121" t="s">
        <v>9982</v>
      </c>
      <c r="C1651" t="s">
        <v>32</v>
      </c>
      <c r="D1651" t="s">
        <v>696</v>
      </c>
      <c r="E1651" t="s">
        <v>88</v>
      </c>
      <c r="F1651" t="s">
        <v>9983</v>
      </c>
      <c r="G1651" t="s">
        <v>6972</v>
      </c>
      <c r="H1651" s="121" t="s">
        <v>9984</v>
      </c>
    </row>
    <row r="1652" spans="1:8" x14ac:dyDescent="0.25">
      <c r="A1652">
        <v>1490198</v>
      </c>
      <c r="B1652" s="121" t="s">
        <v>9985</v>
      </c>
      <c r="C1652" t="s">
        <v>32</v>
      </c>
      <c r="D1652" t="s">
        <v>362</v>
      </c>
      <c r="E1652" t="s">
        <v>413</v>
      </c>
      <c r="F1652" t="s">
        <v>780</v>
      </c>
      <c r="G1652" t="s">
        <v>778</v>
      </c>
      <c r="H1652" s="121" t="s">
        <v>9986</v>
      </c>
    </row>
    <row r="1653" spans="1:8" x14ac:dyDescent="0.25">
      <c r="A1653">
        <v>1493798</v>
      </c>
      <c r="B1653" s="121" t="s">
        <v>9987</v>
      </c>
      <c r="C1653" t="s">
        <v>32</v>
      </c>
      <c r="D1653" t="s">
        <v>362</v>
      </c>
      <c r="E1653" t="s">
        <v>704</v>
      </c>
      <c r="F1653" t="s">
        <v>9988</v>
      </c>
      <c r="G1653" t="s">
        <v>9989</v>
      </c>
      <c r="H1653" s="121" t="s">
        <v>9990</v>
      </c>
    </row>
    <row r="1654" spans="1:8" x14ac:dyDescent="0.25">
      <c r="A1654">
        <v>1499232</v>
      </c>
      <c r="B1654" s="121" t="s">
        <v>9987</v>
      </c>
      <c r="C1654" t="s">
        <v>32</v>
      </c>
      <c r="D1654" t="s">
        <v>272</v>
      </c>
      <c r="E1654" t="s">
        <v>26</v>
      </c>
      <c r="F1654" t="s">
        <v>6929</v>
      </c>
      <c r="G1654" t="s">
        <v>435</v>
      </c>
      <c r="H1654" s="121" t="s">
        <v>9991</v>
      </c>
    </row>
    <row r="1655" spans="1:8" x14ac:dyDescent="0.25">
      <c r="A1655">
        <v>1499354</v>
      </c>
      <c r="B1655" s="121" t="s">
        <v>9987</v>
      </c>
      <c r="C1655" t="s">
        <v>32</v>
      </c>
      <c r="D1655" t="s">
        <v>28</v>
      </c>
      <c r="E1655" t="s">
        <v>6473</v>
      </c>
      <c r="F1655" t="s">
        <v>6986</v>
      </c>
      <c r="G1655" t="s">
        <v>9992</v>
      </c>
      <c r="H1655" s="121" t="s">
        <v>9993</v>
      </c>
    </row>
    <row r="1656" spans="1:8" x14ac:dyDescent="0.25">
      <c r="A1656">
        <v>1506083</v>
      </c>
      <c r="B1656" s="121" t="s">
        <v>9987</v>
      </c>
      <c r="C1656" t="s">
        <v>32</v>
      </c>
      <c r="D1656" t="s">
        <v>29</v>
      </c>
      <c r="E1656" t="s">
        <v>30</v>
      </c>
      <c r="F1656" t="s">
        <v>9994</v>
      </c>
      <c r="G1656" t="s">
        <v>9995</v>
      </c>
      <c r="H1656" s="121" t="s">
        <v>9996</v>
      </c>
    </row>
    <row r="1657" spans="1:8" x14ac:dyDescent="0.25">
      <c r="A1657">
        <v>1506171</v>
      </c>
      <c r="B1657" s="121" t="s">
        <v>9987</v>
      </c>
      <c r="C1657" t="s">
        <v>32</v>
      </c>
      <c r="D1657" t="s">
        <v>415</v>
      </c>
      <c r="E1657" t="s">
        <v>27</v>
      </c>
      <c r="F1657" t="s">
        <v>2403</v>
      </c>
      <c r="G1657" t="s">
        <v>726</v>
      </c>
      <c r="H1657" s="121" t="s">
        <v>9997</v>
      </c>
    </row>
    <row r="1658" spans="1:8" x14ac:dyDescent="0.25">
      <c r="A1658">
        <v>1513025</v>
      </c>
      <c r="B1658" s="121" t="s">
        <v>9987</v>
      </c>
      <c r="C1658" t="s">
        <v>32</v>
      </c>
      <c r="D1658" t="s">
        <v>362</v>
      </c>
      <c r="E1658" t="s">
        <v>363</v>
      </c>
      <c r="F1658" t="s">
        <v>2304</v>
      </c>
      <c r="G1658" t="s">
        <v>2305</v>
      </c>
      <c r="H1658" s="121" t="s">
        <v>9998</v>
      </c>
    </row>
    <row r="1659" spans="1:8" x14ac:dyDescent="0.25">
      <c r="A1659">
        <v>1520637</v>
      </c>
      <c r="B1659" s="121" t="s">
        <v>9987</v>
      </c>
      <c r="C1659" t="s">
        <v>32</v>
      </c>
      <c r="D1659" t="s">
        <v>20</v>
      </c>
      <c r="E1659" t="s">
        <v>348</v>
      </c>
      <c r="F1659" t="s">
        <v>9999</v>
      </c>
      <c r="G1659" t="s">
        <v>6937</v>
      </c>
      <c r="H1659" s="121" t="s">
        <v>10000</v>
      </c>
    </row>
    <row r="1660" spans="1:8" x14ac:dyDescent="0.25">
      <c r="A1660">
        <v>1520639</v>
      </c>
      <c r="B1660" s="121" t="s">
        <v>9987</v>
      </c>
      <c r="C1660" t="s">
        <v>32</v>
      </c>
      <c r="D1660" t="s">
        <v>20</v>
      </c>
      <c r="E1660" t="s">
        <v>348</v>
      </c>
      <c r="F1660" t="s">
        <v>2391</v>
      </c>
      <c r="G1660" t="s">
        <v>10001</v>
      </c>
      <c r="H1660" s="121" t="s">
        <v>10002</v>
      </c>
    </row>
    <row r="1661" spans="1:8" x14ac:dyDescent="0.25">
      <c r="A1661">
        <v>1537620</v>
      </c>
      <c r="B1661" s="121" t="s">
        <v>9987</v>
      </c>
      <c r="C1661" t="s">
        <v>32</v>
      </c>
      <c r="D1661" t="s">
        <v>23</v>
      </c>
      <c r="E1661" t="s">
        <v>24</v>
      </c>
      <c r="F1661" t="s">
        <v>103</v>
      </c>
      <c r="G1661" t="s">
        <v>10003</v>
      </c>
      <c r="H1661" s="121" t="s">
        <v>10004</v>
      </c>
    </row>
    <row r="1662" spans="1:8" x14ac:dyDescent="0.25">
      <c r="A1662">
        <v>1538201</v>
      </c>
      <c r="B1662" s="121" t="s">
        <v>9987</v>
      </c>
      <c r="C1662" t="s">
        <v>32</v>
      </c>
      <c r="D1662" t="s">
        <v>20</v>
      </c>
      <c r="E1662" t="s">
        <v>9780</v>
      </c>
      <c r="F1662" t="s">
        <v>10005</v>
      </c>
      <c r="G1662" t="s">
        <v>10006</v>
      </c>
      <c r="H1662" s="121" t="s">
        <v>10007</v>
      </c>
    </row>
    <row r="1663" spans="1:8" x14ac:dyDescent="0.25">
      <c r="A1663">
        <v>1538203</v>
      </c>
      <c r="B1663" s="121" t="s">
        <v>9987</v>
      </c>
      <c r="C1663" t="s">
        <v>32</v>
      </c>
      <c r="D1663" t="s">
        <v>20</v>
      </c>
      <c r="E1663" t="s">
        <v>9780</v>
      </c>
      <c r="F1663" t="s">
        <v>2396</v>
      </c>
      <c r="G1663" t="s">
        <v>689</v>
      </c>
      <c r="H1663" s="121" t="s">
        <v>10008</v>
      </c>
    </row>
    <row r="1664" spans="1:8" x14ac:dyDescent="0.25">
      <c r="A1664">
        <v>1538204</v>
      </c>
      <c r="B1664" s="121" t="s">
        <v>9987</v>
      </c>
      <c r="C1664" t="s">
        <v>32</v>
      </c>
      <c r="D1664" t="s">
        <v>20</v>
      </c>
      <c r="E1664" t="s">
        <v>9780</v>
      </c>
      <c r="F1664" t="s">
        <v>2428</v>
      </c>
      <c r="G1664" t="s">
        <v>10009</v>
      </c>
      <c r="H1664" s="121" t="s">
        <v>10010</v>
      </c>
    </row>
    <row r="1665" spans="1:8" x14ac:dyDescent="0.25">
      <c r="A1665">
        <v>1538205</v>
      </c>
      <c r="B1665" s="121" t="s">
        <v>9987</v>
      </c>
      <c r="C1665" t="s">
        <v>32</v>
      </c>
      <c r="D1665" t="s">
        <v>20</v>
      </c>
      <c r="E1665" t="s">
        <v>9780</v>
      </c>
      <c r="F1665" t="s">
        <v>2397</v>
      </c>
      <c r="G1665" t="s">
        <v>10011</v>
      </c>
      <c r="H1665" s="121" t="s">
        <v>10012</v>
      </c>
    </row>
    <row r="1666" spans="1:8" x14ac:dyDescent="0.25">
      <c r="A1666">
        <v>1538206</v>
      </c>
      <c r="B1666" s="121" t="s">
        <v>9987</v>
      </c>
      <c r="C1666" t="s">
        <v>32</v>
      </c>
      <c r="D1666" t="s">
        <v>20</v>
      </c>
      <c r="E1666" t="s">
        <v>9780</v>
      </c>
      <c r="F1666" t="s">
        <v>10013</v>
      </c>
      <c r="G1666" t="s">
        <v>10014</v>
      </c>
      <c r="H1666" s="121" t="s">
        <v>10015</v>
      </c>
    </row>
    <row r="1667" spans="1:8" x14ac:dyDescent="0.25">
      <c r="A1667">
        <v>1538207</v>
      </c>
      <c r="B1667" s="121" t="s">
        <v>9987</v>
      </c>
      <c r="C1667" t="s">
        <v>32</v>
      </c>
      <c r="D1667" t="s">
        <v>20</v>
      </c>
      <c r="E1667" t="s">
        <v>9780</v>
      </c>
      <c r="F1667" t="s">
        <v>10016</v>
      </c>
      <c r="G1667" t="s">
        <v>10017</v>
      </c>
      <c r="H1667" s="121" t="s">
        <v>10018</v>
      </c>
    </row>
    <row r="1668" spans="1:8" x14ac:dyDescent="0.25">
      <c r="A1668">
        <v>1538209</v>
      </c>
      <c r="B1668" s="121" t="s">
        <v>9987</v>
      </c>
      <c r="C1668" t="s">
        <v>32</v>
      </c>
      <c r="D1668" t="s">
        <v>20</v>
      </c>
      <c r="E1668" t="s">
        <v>9780</v>
      </c>
      <c r="F1668" t="s">
        <v>10019</v>
      </c>
      <c r="G1668" t="s">
        <v>10020</v>
      </c>
      <c r="H1668" s="121" t="s">
        <v>10021</v>
      </c>
    </row>
    <row r="1669" spans="1:8" x14ac:dyDescent="0.25">
      <c r="A1669">
        <v>1505054</v>
      </c>
      <c r="B1669" s="121" t="s">
        <v>10022</v>
      </c>
      <c r="C1669" t="s">
        <v>32</v>
      </c>
      <c r="D1669" t="s">
        <v>355</v>
      </c>
      <c r="E1669" t="s">
        <v>356</v>
      </c>
      <c r="F1669" t="s">
        <v>10023</v>
      </c>
      <c r="G1669" t="s">
        <v>2566</v>
      </c>
      <c r="H1669" s="121" t="s">
        <v>10024</v>
      </c>
    </row>
    <row r="1670" spans="1:8" x14ac:dyDescent="0.25">
      <c r="A1670">
        <v>1538335</v>
      </c>
      <c r="B1670" s="121" t="s">
        <v>10022</v>
      </c>
      <c r="C1670" t="s">
        <v>32</v>
      </c>
      <c r="D1670" t="s">
        <v>302</v>
      </c>
      <c r="E1670" t="s">
        <v>27</v>
      </c>
      <c r="F1670" t="s">
        <v>10025</v>
      </c>
      <c r="G1670" t="s">
        <v>10026</v>
      </c>
      <c r="H1670" s="121" t="s">
        <v>10027</v>
      </c>
    </row>
    <row r="1671" spans="1:8" x14ac:dyDescent="0.25">
      <c r="A1671">
        <v>1457058</v>
      </c>
      <c r="B1671" s="121" t="s">
        <v>10028</v>
      </c>
      <c r="C1671" t="s">
        <v>32</v>
      </c>
      <c r="D1671" t="s">
        <v>18</v>
      </c>
      <c r="E1671" t="s">
        <v>19</v>
      </c>
      <c r="F1671" t="s">
        <v>7015</v>
      </c>
      <c r="G1671" t="s">
        <v>10029</v>
      </c>
      <c r="H1671" s="121" t="s">
        <v>10030</v>
      </c>
    </row>
    <row r="1672" spans="1:8" x14ac:dyDescent="0.25">
      <c r="A1672">
        <v>1457059</v>
      </c>
      <c r="B1672" s="121" t="s">
        <v>10028</v>
      </c>
      <c r="C1672" t="s">
        <v>32</v>
      </c>
      <c r="D1672" t="s">
        <v>18</v>
      </c>
      <c r="E1672" t="s">
        <v>19</v>
      </c>
      <c r="F1672" t="s">
        <v>7017</v>
      </c>
      <c r="G1672" t="s">
        <v>6104</v>
      </c>
      <c r="H1672" s="121" t="s">
        <v>10031</v>
      </c>
    </row>
    <row r="1673" spans="1:8" x14ac:dyDescent="0.25">
      <c r="A1673">
        <v>1457201</v>
      </c>
      <c r="B1673" s="121" t="s">
        <v>10028</v>
      </c>
      <c r="C1673" t="s">
        <v>32</v>
      </c>
      <c r="D1673" t="s">
        <v>18</v>
      </c>
      <c r="E1673" t="s">
        <v>19</v>
      </c>
      <c r="F1673" t="s">
        <v>7020</v>
      </c>
      <c r="G1673" t="s">
        <v>2404</v>
      </c>
      <c r="H1673" s="121" t="s">
        <v>10032</v>
      </c>
    </row>
    <row r="1674" spans="1:8" x14ac:dyDescent="0.25">
      <c r="A1674">
        <v>1457202</v>
      </c>
      <c r="B1674" s="121" t="s">
        <v>10028</v>
      </c>
      <c r="C1674" t="s">
        <v>32</v>
      </c>
      <c r="D1674" t="s">
        <v>18</v>
      </c>
      <c r="E1674" t="s">
        <v>19</v>
      </c>
      <c r="F1674" t="s">
        <v>7070</v>
      </c>
      <c r="G1674" t="s">
        <v>2405</v>
      </c>
      <c r="H1674" s="121" t="s">
        <v>10033</v>
      </c>
    </row>
    <row r="1675" spans="1:8" x14ac:dyDescent="0.25">
      <c r="A1675">
        <v>1492214</v>
      </c>
      <c r="B1675" s="121" t="s">
        <v>10028</v>
      </c>
      <c r="C1675" t="s">
        <v>32</v>
      </c>
      <c r="D1675" t="s">
        <v>20</v>
      </c>
      <c r="E1675" t="s">
        <v>60</v>
      </c>
      <c r="F1675" t="s">
        <v>2400</v>
      </c>
      <c r="G1675" t="s">
        <v>485</v>
      </c>
      <c r="H1675" s="121" t="s">
        <v>10034</v>
      </c>
    </row>
    <row r="1676" spans="1:8" x14ac:dyDescent="0.25">
      <c r="A1676">
        <v>1492216</v>
      </c>
      <c r="B1676" s="121" t="s">
        <v>10028</v>
      </c>
      <c r="C1676" t="s">
        <v>32</v>
      </c>
      <c r="D1676" t="s">
        <v>20</v>
      </c>
      <c r="E1676" t="s">
        <v>60</v>
      </c>
      <c r="F1676" t="s">
        <v>10035</v>
      </c>
      <c r="G1676" t="s">
        <v>10036</v>
      </c>
      <c r="H1676" s="121" t="s">
        <v>10037</v>
      </c>
    </row>
    <row r="1677" spans="1:8" x14ac:dyDescent="0.25">
      <c r="A1677">
        <v>1505411</v>
      </c>
      <c r="B1677" s="121" t="s">
        <v>10028</v>
      </c>
      <c r="C1677" t="s">
        <v>32</v>
      </c>
      <c r="D1677" t="s">
        <v>354</v>
      </c>
      <c r="E1677" t="s">
        <v>27</v>
      </c>
      <c r="F1677" t="s">
        <v>10038</v>
      </c>
      <c r="G1677" t="s">
        <v>10039</v>
      </c>
      <c r="H1677" s="121" t="s">
        <v>10040</v>
      </c>
    </row>
    <row r="1678" spans="1:8" x14ac:dyDescent="0.25">
      <c r="A1678">
        <v>1511537</v>
      </c>
      <c r="B1678" s="121" t="s">
        <v>10028</v>
      </c>
      <c r="C1678" t="s">
        <v>32</v>
      </c>
      <c r="D1678" t="s">
        <v>354</v>
      </c>
      <c r="E1678" t="s">
        <v>102</v>
      </c>
      <c r="F1678" t="s">
        <v>2558</v>
      </c>
      <c r="G1678" t="s">
        <v>10041</v>
      </c>
      <c r="H1678" s="121" t="s">
        <v>10042</v>
      </c>
    </row>
    <row r="1679" spans="1:8" x14ac:dyDescent="0.25">
      <c r="A1679">
        <v>1514113</v>
      </c>
      <c r="B1679" s="121" t="s">
        <v>10028</v>
      </c>
      <c r="C1679" t="s">
        <v>32</v>
      </c>
      <c r="D1679" t="s">
        <v>21</v>
      </c>
      <c r="E1679" t="s">
        <v>7468</v>
      </c>
      <c r="F1679" t="s">
        <v>10043</v>
      </c>
      <c r="G1679" t="s">
        <v>2978</v>
      </c>
      <c r="H1679" s="121" t="s">
        <v>10044</v>
      </c>
    </row>
    <row r="1680" spans="1:8" x14ac:dyDescent="0.25">
      <c r="A1680">
        <v>1526496</v>
      </c>
      <c r="B1680" s="121" t="s">
        <v>10028</v>
      </c>
      <c r="C1680" t="s">
        <v>32</v>
      </c>
      <c r="D1680" t="s">
        <v>366</v>
      </c>
      <c r="E1680" t="s">
        <v>2613</v>
      </c>
      <c r="F1680" t="s">
        <v>6967</v>
      </c>
      <c r="G1680" t="s">
        <v>751</v>
      </c>
      <c r="H1680" s="121" t="s">
        <v>10045</v>
      </c>
    </row>
    <row r="1681" spans="1:8" x14ac:dyDescent="0.25">
      <c r="A1681">
        <v>1529075</v>
      </c>
      <c r="B1681" s="121" t="s">
        <v>10028</v>
      </c>
      <c r="C1681" t="s">
        <v>32</v>
      </c>
      <c r="D1681" t="s">
        <v>354</v>
      </c>
      <c r="E1681" t="s">
        <v>75</v>
      </c>
      <c r="F1681" t="s">
        <v>7004</v>
      </c>
      <c r="G1681" t="s">
        <v>10046</v>
      </c>
      <c r="H1681" s="121" t="s">
        <v>10047</v>
      </c>
    </row>
    <row r="1682" spans="1:8" x14ac:dyDescent="0.25">
      <c r="A1682">
        <v>1530246</v>
      </c>
      <c r="B1682" s="121" t="s">
        <v>10028</v>
      </c>
      <c r="C1682" t="s">
        <v>32</v>
      </c>
      <c r="D1682" t="s">
        <v>28</v>
      </c>
      <c r="E1682" t="s">
        <v>2618</v>
      </c>
      <c r="F1682" t="s">
        <v>10048</v>
      </c>
      <c r="G1682" t="s">
        <v>10049</v>
      </c>
      <c r="H1682" s="121" t="s">
        <v>10050</v>
      </c>
    </row>
    <row r="1683" spans="1:8" x14ac:dyDescent="0.25">
      <c r="A1683">
        <v>1538210</v>
      </c>
      <c r="B1683" s="121" t="s">
        <v>10028</v>
      </c>
      <c r="C1683" t="s">
        <v>32</v>
      </c>
      <c r="D1683" t="s">
        <v>20</v>
      </c>
      <c r="E1683" t="s">
        <v>9780</v>
      </c>
      <c r="F1683" t="s">
        <v>10051</v>
      </c>
      <c r="G1683" t="s">
        <v>2314</v>
      </c>
      <c r="H1683" s="121" t="s">
        <v>10052</v>
      </c>
    </row>
    <row r="1684" spans="1:8" x14ac:dyDescent="0.25">
      <c r="A1684">
        <v>1538211</v>
      </c>
      <c r="B1684" s="121" t="s">
        <v>10028</v>
      </c>
      <c r="C1684" t="s">
        <v>32</v>
      </c>
      <c r="D1684" t="s">
        <v>20</v>
      </c>
      <c r="E1684" t="s">
        <v>9780</v>
      </c>
      <c r="F1684" t="s">
        <v>10053</v>
      </c>
      <c r="G1684" t="s">
        <v>10054</v>
      </c>
      <c r="H1684" s="121" t="s">
        <v>10055</v>
      </c>
    </row>
    <row r="1685" spans="1:8" x14ac:dyDescent="0.25">
      <c r="A1685">
        <v>1538878</v>
      </c>
      <c r="B1685" s="121" t="s">
        <v>10028</v>
      </c>
      <c r="C1685" t="s">
        <v>32</v>
      </c>
      <c r="D1685" t="s">
        <v>415</v>
      </c>
      <c r="E1685" t="s">
        <v>75</v>
      </c>
      <c r="F1685" t="s">
        <v>7028</v>
      </c>
      <c r="G1685" t="s">
        <v>6894</v>
      </c>
      <c r="H1685" s="121" t="s">
        <v>10056</v>
      </c>
    </row>
    <row r="1686" spans="1:8" x14ac:dyDescent="0.25">
      <c r="A1686">
        <v>1447001</v>
      </c>
      <c r="B1686" s="121" t="s">
        <v>10057</v>
      </c>
      <c r="C1686" t="s">
        <v>32</v>
      </c>
      <c r="D1686" t="s">
        <v>18</v>
      </c>
      <c r="E1686" t="s">
        <v>19</v>
      </c>
      <c r="F1686" t="s">
        <v>7038</v>
      </c>
      <c r="G1686" t="s">
        <v>10058</v>
      </c>
      <c r="H1686" s="121" t="s">
        <v>10059</v>
      </c>
    </row>
    <row r="1687" spans="1:8" x14ac:dyDescent="0.25">
      <c r="A1687">
        <v>1491518</v>
      </c>
      <c r="B1687" s="121" t="s">
        <v>10057</v>
      </c>
      <c r="C1687" t="s">
        <v>32</v>
      </c>
      <c r="D1687" t="s">
        <v>362</v>
      </c>
      <c r="E1687" t="s">
        <v>704</v>
      </c>
      <c r="F1687" t="s">
        <v>10060</v>
      </c>
      <c r="G1687" t="s">
        <v>707</v>
      </c>
      <c r="H1687" s="121" t="s">
        <v>10061</v>
      </c>
    </row>
    <row r="1688" spans="1:8" x14ac:dyDescent="0.25">
      <c r="A1688">
        <v>1498440</v>
      </c>
      <c r="B1688" s="121" t="s">
        <v>10057</v>
      </c>
      <c r="C1688" t="s">
        <v>32</v>
      </c>
      <c r="D1688" t="s">
        <v>28</v>
      </c>
      <c r="E1688" t="s">
        <v>242</v>
      </c>
      <c r="F1688" t="s">
        <v>10062</v>
      </c>
      <c r="G1688" t="s">
        <v>2353</v>
      </c>
      <c r="H1688" s="121" t="s">
        <v>10063</v>
      </c>
    </row>
    <row r="1689" spans="1:8" x14ac:dyDescent="0.25">
      <c r="A1689">
        <v>1506170</v>
      </c>
      <c r="B1689" s="121" t="s">
        <v>10057</v>
      </c>
      <c r="C1689" t="s">
        <v>32</v>
      </c>
      <c r="D1689" t="s">
        <v>415</v>
      </c>
      <c r="E1689" t="s">
        <v>27</v>
      </c>
      <c r="F1689" t="s">
        <v>2432</v>
      </c>
      <c r="G1689" t="s">
        <v>2327</v>
      </c>
      <c r="H1689" s="121" t="s">
        <v>10064</v>
      </c>
    </row>
    <row r="1690" spans="1:8" x14ac:dyDescent="0.25">
      <c r="A1690">
        <v>1517266</v>
      </c>
      <c r="B1690" s="121" t="s">
        <v>10057</v>
      </c>
      <c r="C1690" t="s">
        <v>32</v>
      </c>
      <c r="D1690" t="s">
        <v>9889</v>
      </c>
      <c r="E1690" t="s">
        <v>9890</v>
      </c>
      <c r="F1690" t="s">
        <v>10065</v>
      </c>
      <c r="G1690" t="s">
        <v>10066</v>
      </c>
      <c r="H1690" s="121" t="s">
        <v>10067</v>
      </c>
    </row>
    <row r="1691" spans="1:8" x14ac:dyDescent="0.25">
      <c r="A1691">
        <v>1530242</v>
      </c>
      <c r="B1691" s="121" t="s">
        <v>10057</v>
      </c>
      <c r="C1691" t="s">
        <v>32</v>
      </c>
      <c r="D1691" t="s">
        <v>28</v>
      </c>
      <c r="E1691" t="s">
        <v>2618</v>
      </c>
      <c r="F1691" t="s">
        <v>10068</v>
      </c>
      <c r="G1691" t="s">
        <v>10069</v>
      </c>
      <c r="H1691" s="121" t="s">
        <v>10070</v>
      </c>
    </row>
    <row r="1692" spans="1:8" x14ac:dyDescent="0.25">
      <c r="A1692">
        <v>1537141</v>
      </c>
      <c r="B1692" s="121" t="s">
        <v>10057</v>
      </c>
      <c r="C1692" t="s">
        <v>32</v>
      </c>
      <c r="D1692" t="s">
        <v>694</v>
      </c>
      <c r="E1692" t="s">
        <v>695</v>
      </c>
      <c r="F1692" t="s">
        <v>2362</v>
      </c>
      <c r="G1692" t="s">
        <v>6943</v>
      </c>
      <c r="H1692" s="121" t="s">
        <v>10071</v>
      </c>
    </row>
    <row r="1693" spans="1:8" x14ac:dyDescent="0.25">
      <c r="A1693">
        <v>1537237</v>
      </c>
      <c r="B1693" s="121" t="s">
        <v>10057</v>
      </c>
      <c r="C1693" t="s">
        <v>32</v>
      </c>
      <c r="D1693" t="s">
        <v>72</v>
      </c>
      <c r="E1693" t="s">
        <v>73</v>
      </c>
      <c r="F1693" t="s">
        <v>10072</v>
      </c>
      <c r="G1693" t="s">
        <v>2356</v>
      </c>
      <c r="H1693" s="121" t="s">
        <v>10073</v>
      </c>
    </row>
    <row r="1694" spans="1:8" x14ac:dyDescent="0.25">
      <c r="A1694">
        <v>1538194</v>
      </c>
      <c r="B1694" s="121" t="s">
        <v>10057</v>
      </c>
      <c r="C1694" t="s">
        <v>32</v>
      </c>
      <c r="D1694" t="s">
        <v>20</v>
      </c>
      <c r="E1694" t="s">
        <v>9780</v>
      </c>
      <c r="F1694" t="s">
        <v>10074</v>
      </c>
      <c r="G1694" t="s">
        <v>10075</v>
      </c>
      <c r="H1694" s="121" t="s">
        <v>10076</v>
      </c>
    </row>
    <row r="1695" spans="1:8" x14ac:dyDescent="0.25">
      <c r="A1695">
        <v>1538212</v>
      </c>
      <c r="B1695" s="121" t="s">
        <v>10057</v>
      </c>
      <c r="C1695" t="s">
        <v>32</v>
      </c>
      <c r="D1695" t="s">
        <v>20</v>
      </c>
      <c r="E1695" t="s">
        <v>9780</v>
      </c>
      <c r="F1695" t="s">
        <v>10077</v>
      </c>
      <c r="G1695" t="s">
        <v>10078</v>
      </c>
      <c r="H1695" s="121" t="s">
        <v>10079</v>
      </c>
    </row>
    <row r="1696" spans="1:8" x14ac:dyDescent="0.25">
      <c r="A1696">
        <v>1538213</v>
      </c>
      <c r="B1696" s="121" t="s">
        <v>10057</v>
      </c>
      <c r="C1696" t="s">
        <v>32</v>
      </c>
      <c r="D1696" t="s">
        <v>20</v>
      </c>
      <c r="E1696" t="s">
        <v>9780</v>
      </c>
      <c r="F1696" t="s">
        <v>10080</v>
      </c>
      <c r="G1696" t="s">
        <v>304</v>
      </c>
      <c r="H1696" s="121" t="s">
        <v>10081</v>
      </c>
    </row>
    <row r="1697" spans="1:8" x14ac:dyDescent="0.25">
      <c r="A1697">
        <v>1492015</v>
      </c>
      <c r="B1697" s="121" t="s">
        <v>10082</v>
      </c>
      <c r="C1697" t="s">
        <v>32</v>
      </c>
      <c r="D1697" t="s">
        <v>28</v>
      </c>
      <c r="E1697" t="s">
        <v>2588</v>
      </c>
      <c r="F1697" t="s">
        <v>10083</v>
      </c>
      <c r="G1697" t="s">
        <v>7093</v>
      </c>
      <c r="H1697" s="121" t="s">
        <v>10084</v>
      </c>
    </row>
    <row r="1698" spans="1:8" x14ac:dyDescent="0.25">
      <c r="A1698">
        <v>1530501</v>
      </c>
      <c r="B1698" s="121" t="s">
        <v>10082</v>
      </c>
      <c r="C1698" t="s">
        <v>32</v>
      </c>
      <c r="D1698" t="s">
        <v>364</v>
      </c>
      <c r="E1698" t="s">
        <v>365</v>
      </c>
      <c r="F1698" t="s">
        <v>2443</v>
      </c>
      <c r="G1698" t="s">
        <v>2363</v>
      </c>
      <c r="H1698" s="121" t="s">
        <v>10085</v>
      </c>
    </row>
    <row r="1699" spans="1:8" x14ac:dyDescent="0.25">
      <c r="A1699">
        <v>1538214</v>
      </c>
      <c r="B1699" s="121" t="s">
        <v>10082</v>
      </c>
      <c r="C1699" t="s">
        <v>32</v>
      </c>
      <c r="D1699" t="s">
        <v>20</v>
      </c>
      <c r="E1699" t="s">
        <v>9780</v>
      </c>
      <c r="F1699" t="s">
        <v>2315</v>
      </c>
      <c r="G1699" t="s">
        <v>10086</v>
      </c>
      <c r="H1699" s="121" t="s">
        <v>10087</v>
      </c>
    </row>
    <row r="1700" spans="1:8" x14ac:dyDescent="0.25">
      <c r="A1700">
        <v>1538215</v>
      </c>
      <c r="B1700" s="121" t="s">
        <v>10082</v>
      </c>
      <c r="C1700" t="s">
        <v>32</v>
      </c>
      <c r="D1700" t="s">
        <v>20</v>
      </c>
      <c r="E1700" t="s">
        <v>9780</v>
      </c>
      <c r="F1700" t="s">
        <v>10088</v>
      </c>
      <c r="G1700" t="s">
        <v>6869</v>
      </c>
      <c r="H1700" s="121" t="s">
        <v>10089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3D584-FB18-4656-9D67-F63B1125730D}">
  <sheetPr codeName="Sheet5"/>
  <dimension ref="A1:H1237"/>
  <sheetViews>
    <sheetView workbookViewId="0"/>
  </sheetViews>
  <sheetFormatPr defaultRowHeight="15" x14ac:dyDescent="0.25"/>
  <cols>
    <col min="1" max="1" width="12" bestFit="1" customWidth="1"/>
    <col min="2" max="2" width="15.85546875" bestFit="1" customWidth="1"/>
    <col min="3" max="3" width="16.5703125" bestFit="1" customWidth="1"/>
    <col min="4" max="4" width="20.5703125" bestFit="1" customWidth="1"/>
    <col min="5" max="5" width="39.5703125" bestFit="1" customWidth="1"/>
    <col min="6" max="6" width="30" bestFit="1" customWidth="1"/>
    <col min="7" max="7" width="27" bestFit="1" customWidth="1"/>
    <col min="8" max="8" width="81.140625" bestFit="1" customWidth="1"/>
  </cols>
  <sheetData>
    <row r="1" spans="1:8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</row>
    <row r="2" spans="1:8" x14ac:dyDescent="0.25">
      <c r="A2">
        <v>1446214</v>
      </c>
      <c r="B2" s="121" t="s">
        <v>10159</v>
      </c>
      <c r="C2" t="s">
        <v>32</v>
      </c>
      <c r="D2" t="s">
        <v>362</v>
      </c>
      <c r="E2" t="s">
        <v>687</v>
      </c>
      <c r="F2" t="s">
        <v>10160</v>
      </c>
      <c r="G2" t="s">
        <v>2218</v>
      </c>
      <c r="H2" s="121" t="s">
        <v>10161</v>
      </c>
    </row>
    <row r="3" spans="1:8" x14ac:dyDescent="0.25">
      <c r="A3">
        <v>1491517</v>
      </c>
      <c r="B3" s="121" t="s">
        <v>10159</v>
      </c>
      <c r="C3" t="s">
        <v>32</v>
      </c>
      <c r="D3" t="s">
        <v>362</v>
      </c>
      <c r="E3" t="s">
        <v>704</v>
      </c>
      <c r="F3" t="s">
        <v>10162</v>
      </c>
      <c r="G3" t="s">
        <v>706</v>
      </c>
      <c r="H3" s="121" t="s">
        <v>10163</v>
      </c>
    </row>
    <row r="4" spans="1:8" x14ac:dyDescent="0.25">
      <c r="A4">
        <v>1492218</v>
      </c>
      <c r="B4" s="121" t="s">
        <v>10159</v>
      </c>
      <c r="C4" t="s">
        <v>32</v>
      </c>
      <c r="D4" t="s">
        <v>20</v>
      </c>
      <c r="E4" t="s">
        <v>60</v>
      </c>
      <c r="F4" t="s">
        <v>10164</v>
      </c>
      <c r="G4" t="s">
        <v>2399</v>
      </c>
      <c r="H4" s="121" t="s">
        <v>10165</v>
      </c>
    </row>
    <row r="5" spans="1:8" x14ac:dyDescent="0.25">
      <c r="A5">
        <v>1492582</v>
      </c>
      <c r="B5" s="121" t="s">
        <v>10159</v>
      </c>
      <c r="C5" t="s">
        <v>32</v>
      </c>
      <c r="D5" t="s">
        <v>18</v>
      </c>
      <c r="E5" t="s">
        <v>368</v>
      </c>
      <c r="F5" t="s">
        <v>7096</v>
      </c>
      <c r="G5" t="s">
        <v>2644</v>
      </c>
      <c r="H5" s="121" t="s">
        <v>10166</v>
      </c>
    </row>
    <row r="6" spans="1:8" x14ac:dyDescent="0.25">
      <c r="A6">
        <v>1492583</v>
      </c>
      <c r="B6" s="121" t="s">
        <v>10159</v>
      </c>
      <c r="C6" t="s">
        <v>32</v>
      </c>
      <c r="D6" t="s">
        <v>18</v>
      </c>
      <c r="E6" t="s">
        <v>368</v>
      </c>
      <c r="F6" t="s">
        <v>770</v>
      </c>
      <c r="G6" t="s">
        <v>745</v>
      </c>
      <c r="H6" s="121" t="s">
        <v>10167</v>
      </c>
    </row>
    <row r="7" spans="1:8" x14ac:dyDescent="0.25">
      <c r="A7">
        <v>1493454</v>
      </c>
      <c r="B7" s="121" t="s">
        <v>10159</v>
      </c>
      <c r="C7" t="s">
        <v>32</v>
      </c>
      <c r="D7" t="s">
        <v>362</v>
      </c>
      <c r="E7" t="s">
        <v>560</v>
      </c>
      <c r="F7" t="s">
        <v>2301</v>
      </c>
      <c r="G7" t="s">
        <v>7102</v>
      </c>
      <c r="H7" s="121" t="s">
        <v>10168</v>
      </c>
    </row>
    <row r="8" spans="1:8" x14ac:dyDescent="0.25">
      <c r="A8">
        <v>1493457</v>
      </c>
      <c r="B8" s="121" t="s">
        <v>10159</v>
      </c>
      <c r="C8" t="s">
        <v>32</v>
      </c>
      <c r="D8" t="s">
        <v>362</v>
      </c>
      <c r="E8" t="s">
        <v>560</v>
      </c>
      <c r="F8" t="s">
        <v>725</v>
      </c>
      <c r="G8" t="s">
        <v>759</v>
      </c>
      <c r="H8" s="121" t="s">
        <v>10169</v>
      </c>
    </row>
    <row r="9" spans="1:8" x14ac:dyDescent="0.25">
      <c r="A9">
        <v>1493458</v>
      </c>
      <c r="B9" s="121" t="s">
        <v>10159</v>
      </c>
      <c r="C9" t="s">
        <v>32</v>
      </c>
      <c r="D9" t="s">
        <v>362</v>
      </c>
      <c r="E9" t="s">
        <v>560</v>
      </c>
      <c r="F9" t="s">
        <v>2302</v>
      </c>
      <c r="G9" t="s">
        <v>766</v>
      </c>
      <c r="H9" s="121" t="s">
        <v>10170</v>
      </c>
    </row>
    <row r="10" spans="1:8" x14ac:dyDescent="0.25">
      <c r="A10">
        <v>1493460</v>
      </c>
      <c r="B10" s="121" t="s">
        <v>10159</v>
      </c>
      <c r="C10" t="s">
        <v>32</v>
      </c>
      <c r="D10" t="s">
        <v>362</v>
      </c>
      <c r="E10" t="s">
        <v>560</v>
      </c>
      <c r="F10" t="s">
        <v>10171</v>
      </c>
      <c r="G10" t="s">
        <v>6926</v>
      </c>
      <c r="H10" s="121" t="s">
        <v>10172</v>
      </c>
    </row>
    <row r="11" spans="1:8" x14ac:dyDescent="0.25">
      <c r="A11">
        <v>1493795</v>
      </c>
      <c r="B11" s="121" t="s">
        <v>10159</v>
      </c>
      <c r="C11" t="s">
        <v>32</v>
      </c>
      <c r="D11" t="s">
        <v>362</v>
      </c>
      <c r="E11" t="s">
        <v>704</v>
      </c>
      <c r="F11" t="s">
        <v>705</v>
      </c>
      <c r="G11" t="s">
        <v>722</v>
      </c>
      <c r="H11" s="121" t="s">
        <v>10173</v>
      </c>
    </row>
    <row r="12" spans="1:8" x14ac:dyDescent="0.25">
      <c r="A12">
        <v>1494489</v>
      </c>
      <c r="B12" s="121" t="s">
        <v>10159</v>
      </c>
      <c r="C12" t="s">
        <v>32</v>
      </c>
      <c r="D12" t="s">
        <v>18</v>
      </c>
      <c r="E12" t="s">
        <v>369</v>
      </c>
      <c r="F12" t="s">
        <v>10174</v>
      </c>
      <c r="G12" t="s">
        <v>735</v>
      </c>
      <c r="H12" s="121" t="s">
        <v>10175</v>
      </c>
    </row>
    <row r="13" spans="1:8" x14ac:dyDescent="0.25">
      <c r="A13">
        <v>1506169</v>
      </c>
      <c r="B13" s="121" t="s">
        <v>10159</v>
      </c>
      <c r="C13" t="s">
        <v>32</v>
      </c>
      <c r="D13" t="s">
        <v>415</v>
      </c>
      <c r="E13" t="s">
        <v>27</v>
      </c>
      <c r="F13" t="s">
        <v>2402</v>
      </c>
      <c r="G13" t="s">
        <v>10176</v>
      </c>
      <c r="H13" s="121" t="s">
        <v>10177</v>
      </c>
    </row>
    <row r="14" spans="1:8" x14ac:dyDescent="0.25">
      <c r="A14">
        <v>1513026</v>
      </c>
      <c r="B14" s="121" t="s">
        <v>10159</v>
      </c>
      <c r="C14" t="s">
        <v>32</v>
      </c>
      <c r="D14" t="s">
        <v>362</v>
      </c>
      <c r="E14" t="s">
        <v>363</v>
      </c>
      <c r="F14" t="s">
        <v>2303</v>
      </c>
      <c r="G14" t="s">
        <v>484</v>
      </c>
      <c r="H14" s="121" t="s">
        <v>10178</v>
      </c>
    </row>
    <row r="15" spans="1:8" x14ac:dyDescent="0.25">
      <c r="A15">
        <v>1526767</v>
      </c>
      <c r="B15" s="121" t="s">
        <v>10159</v>
      </c>
      <c r="C15" t="s">
        <v>32</v>
      </c>
      <c r="D15" t="s">
        <v>20</v>
      </c>
      <c r="E15" t="s">
        <v>9956</v>
      </c>
      <c r="F15" t="s">
        <v>2393</v>
      </c>
      <c r="G15" t="s">
        <v>10179</v>
      </c>
      <c r="H15" s="121" t="s">
        <v>10180</v>
      </c>
    </row>
    <row r="16" spans="1:8" x14ac:dyDescent="0.25">
      <c r="A16">
        <v>1526768</v>
      </c>
      <c r="B16" s="121" t="s">
        <v>10159</v>
      </c>
      <c r="C16" t="s">
        <v>32</v>
      </c>
      <c r="D16" t="s">
        <v>20</v>
      </c>
      <c r="E16" t="s">
        <v>9956</v>
      </c>
      <c r="F16" t="s">
        <v>10181</v>
      </c>
      <c r="G16" t="s">
        <v>6909</v>
      </c>
      <c r="H16" s="121" t="s">
        <v>10182</v>
      </c>
    </row>
    <row r="17" spans="1:8" x14ac:dyDescent="0.25">
      <c r="A17">
        <v>1531825</v>
      </c>
      <c r="B17" s="121" t="s">
        <v>10159</v>
      </c>
      <c r="C17" t="s">
        <v>32</v>
      </c>
      <c r="D17" t="s">
        <v>696</v>
      </c>
      <c r="E17" t="s">
        <v>88</v>
      </c>
      <c r="F17" t="s">
        <v>2426</v>
      </c>
      <c r="G17" t="s">
        <v>7111</v>
      </c>
      <c r="H17" s="121" t="s">
        <v>10183</v>
      </c>
    </row>
    <row r="18" spans="1:8" x14ac:dyDescent="0.25">
      <c r="A18">
        <v>1537621</v>
      </c>
      <c r="B18" s="121" t="s">
        <v>10159</v>
      </c>
      <c r="C18" t="s">
        <v>32</v>
      </c>
      <c r="D18" t="s">
        <v>23</v>
      </c>
      <c r="E18" t="s">
        <v>24</v>
      </c>
      <c r="F18" t="s">
        <v>2446</v>
      </c>
      <c r="G18" t="s">
        <v>2387</v>
      </c>
      <c r="H18" s="121" t="s">
        <v>10184</v>
      </c>
    </row>
    <row r="19" spans="1:8" x14ac:dyDescent="0.25">
      <c r="A19">
        <v>1510117</v>
      </c>
      <c r="B19" s="121" t="s">
        <v>10185</v>
      </c>
      <c r="C19" t="s">
        <v>32</v>
      </c>
      <c r="D19" t="s">
        <v>371</v>
      </c>
      <c r="E19" t="s">
        <v>372</v>
      </c>
      <c r="F19" t="s">
        <v>2429</v>
      </c>
      <c r="G19" t="s">
        <v>488</v>
      </c>
      <c r="H19" s="121" t="s">
        <v>10186</v>
      </c>
    </row>
    <row r="20" spans="1:8" x14ac:dyDescent="0.25">
      <c r="A20">
        <v>1446215</v>
      </c>
      <c r="B20" s="121" t="s">
        <v>10187</v>
      </c>
      <c r="C20" t="s">
        <v>32</v>
      </c>
      <c r="D20" t="s">
        <v>362</v>
      </c>
      <c r="E20" t="s">
        <v>687</v>
      </c>
      <c r="F20" t="s">
        <v>10188</v>
      </c>
      <c r="G20" t="s">
        <v>10189</v>
      </c>
      <c r="H20" s="121" t="s">
        <v>10190</v>
      </c>
    </row>
    <row r="21" spans="1:8" x14ac:dyDescent="0.25">
      <c r="A21">
        <v>1490199</v>
      </c>
      <c r="B21" s="121" t="s">
        <v>10187</v>
      </c>
      <c r="C21" t="s">
        <v>32</v>
      </c>
      <c r="D21" t="s">
        <v>362</v>
      </c>
      <c r="E21" t="s">
        <v>413</v>
      </c>
      <c r="F21" t="s">
        <v>10191</v>
      </c>
      <c r="G21" t="s">
        <v>2365</v>
      </c>
      <c r="H21" s="121" t="s">
        <v>10192</v>
      </c>
    </row>
    <row r="22" spans="1:8" x14ac:dyDescent="0.25">
      <c r="A22">
        <v>1490200</v>
      </c>
      <c r="B22" s="121" t="s">
        <v>10187</v>
      </c>
      <c r="C22" t="s">
        <v>32</v>
      </c>
      <c r="D22" t="s">
        <v>362</v>
      </c>
      <c r="E22" t="s">
        <v>413</v>
      </c>
      <c r="F22" t="s">
        <v>781</v>
      </c>
      <c r="G22" t="s">
        <v>10193</v>
      </c>
      <c r="H22" s="121" t="s">
        <v>10194</v>
      </c>
    </row>
    <row r="23" spans="1:8" x14ac:dyDescent="0.25">
      <c r="A23">
        <v>1490201</v>
      </c>
      <c r="B23" s="121" t="s">
        <v>10187</v>
      </c>
      <c r="C23" t="s">
        <v>32</v>
      </c>
      <c r="D23" t="s">
        <v>362</v>
      </c>
      <c r="E23" t="s">
        <v>413</v>
      </c>
      <c r="F23" t="s">
        <v>720</v>
      </c>
      <c r="G23" t="s">
        <v>748</v>
      </c>
      <c r="H23" s="121" t="s">
        <v>10195</v>
      </c>
    </row>
    <row r="24" spans="1:8" x14ac:dyDescent="0.25">
      <c r="A24">
        <v>1490202</v>
      </c>
      <c r="B24" s="121" t="s">
        <v>10187</v>
      </c>
      <c r="C24" t="s">
        <v>32</v>
      </c>
      <c r="D24" t="s">
        <v>362</v>
      </c>
      <c r="E24" t="s">
        <v>413</v>
      </c>
      <c r="F24" t="s">
        <v>10196</v>
      </c>
      <c r="G24" t="s">
        <v>7120</v>
      </c>
      <c r="H24" s="121" t="s">
        <v>10197</v>
      </c>
    </row>
    <row r="25" spans="1:8" x14ac:dyDescent="0.25">
      <c r="A25">
        <v>1492215</v>
      </c>
      <c r="B25" s="121" t="s">
        <v>10187</v>
      </c>
      <c r="C25" t="s">
        <v>32</v>
      </c>
      <c r="D25" t="s">
        <v>20</v>
      </c>
      <c r="E25" t="s">
        <v>60</v>
      </c>
      <c r="F25" t="s">
        <v>2394</v>
      </c>
      <c r="G25" t="s">
        <v>2395</v>
      </c>
      <c r="H25" s="121" t="s">
        <v>10198</v>
      </c>
    </row>
    <row r="26" spans="1:8" x14ac:dyDescent="0.25">
      <c r="A26">
        <v>1493463</v>
      </c>
      <c r="B26" s="121" t="s">
        <v>10187</v>
      </c>
      <c r="C26" t="s">
        <v>32</v>
      </c>
      <c r="D26" t="s">
        <v>362</v>
      </c>
      <c r="E26" t="s">
        <v>560</v>
      </c>
      <c r="F26" t="s">
        <v>734</v>
      </c>
      <c r="G26" t="s">
        <v>767</v>
      </c>
      <c r="H26" s="121" t="s">
        <v>10199</v>
      </c>
    </row>
    <row r="27" spans="1:8" x14ac:dyDescent="0.25">
      <c r="A27">
        <v>1505051</v>
      </c>
      <c r="B27" s="121" t="s">
        <v>10187</v>
      </c>
      <c r="C27" t="s">
        <v>32</v>
      </c>
      <c r="D27" t="s">
        <v>355</v>
      </c>
      <c r="E27" t="s">
        <v>356</v>
      </c>
      <c r="F27" t="s">
        <v>2559</v>
      </c>
      <c r="G27" t="s">
        <v>7126</v>
      </c>
      <c r="H27" s="121" t="s">
        <v>10200</v>
      </c>
    </row>
    <row r="28" spans="1:8" x14ac:dyDescent="0.25">
      <c r="A28">
        <v>1520632</v>
      </c>
      <c r="B28" s="121" t="s">
        <v>10187</v>
      </c>
      <c r="C28" t="s">
        <v>32</v>
      </c>
      <c r="D28" t="s">
        <v>20</v>
      </c>
      <c r="E28" t="s">
        <v>348</v>
      </c>
      <c r="F28" t="s">
        <v>2388</v>
      </c>
      <c r="G28" t="s">
        <v>2390</v>
      </c>
      <c r="H28" s="121" t="s">
        <v>10201</v>
      </c>
    </row>
    <row r="29" spans="1:8" x14ac:dyDescent="0.25">
      <c r="A29">
        <v>1538336</v>
      </c>
      <c r="B29" s="121" t="s">
        <v>10187</v>
      </c>
      <c r="C29" t="s">
        <v>32</v>
      </c>
      <c r="D29" t="s">
        <v>302</v>
      </c>
      <c r="E29" t="s">
        <v>27</v>
      </c>
      <c r="F29" t="s">
        <v>239</v>
      </c>
      <c r="G29" t="s">
        <v>2359</v>
      </c>
      <c r="H29" s="121" t="s">
        <v>10202</v>
      </c>
    </row>
    <row r="30" spans="1:8" x14ac:dyDescent="0.25">
      <c r="A30">
        <v>1457060</v>
      </c>
      <c r="B30" s="121" t="s">
        <v>10203</v>
      </c>
      <c r="C30" t="s">
        <v>32</v>
      </c>
      <c r="D30" t="s">
        <v>18</v>
      </c>
      <c r="E30" t="s">
        <v>19</v>
      </c>
      <c r="F30" t="s">
        <v>7018</v>
      </c>
      <c r="G30" t="s">
        <v>730</v>
      </c>
      <c r="H30" s="121" t="s">
        <v>10204</v>
      </c>
    </row>
    <row r="31" spans="1:8" x14ac:dyDescent="0.25">
      <c r="A31">
        <v>1489168</v>
      </c>
      <c r="B31" s="121" t="s">
        <v>10203</v>
      </c>
      <c r="C31" t="s">
        <v>32</v>
      </c>
      <c r="D31" t="s">
        <v>31</v>
      </c>
      <c r="E31" t="s">
        <v>27</v>
      </c>
      <c r="F31" t="s">
        <v>10205</v>
      </c>
      <c r="G31" t="s">
        <v>2233</v>
      </c>
      <c r="H31" s="121" t="s">
        <v>10206</v>
      </c>
    </row>
    <row r="32" spans="1:8" x14ac:dyDescent="0.25">
      <c r="A32">
        <v>1493456</v>
      </c>
      <c r="B32" s="121" t="s">
        <v>10203</v>
      </c>
      <c r="C32" t="s">
        <v>32</v>
      </c>
      <c r="D32" t="s">
        <v>362</v>
      </c>
      <c r="E32" t="s">
        <v>560</v>
      </c>
      <c r="F32" t="s">
        <v>769</v>
      </c>
      <c r="G32" t="s">
        <v>772</v>
      </c>
      <c r="H32" s="121" t="s">
        <v>10207</v>
      </c>
    </row>
    <row r="33" spans="1:8" x14ac:dyDescent="0.25">
      <c r="A33">
        <v>1505416</v>
      </c>
      <c r="B33" s="121" t="s">
        <v>10203</v>
      </c>
      <c r="C33" t="s">
        <v>32</v>
      </c>
      <c r="D33" t="s">
        <v>354</v>
      </c>
      <c r="E33" t="s">
        <v>27</v>
      </c>
      <c r="F33" t="s">
        <v>2430</v>
      </c>
      <c r="G33" t="s">
        <v>10208</v>
      </c>
      <c r="H33" s="121" t="s">
        <v>10209</v>
      </c>
    </row>
    <row r="34" spans="1:8" x14ac:dyDescent="0.25">
      <c r="A34">
        <v>1511539</v>
      </c>
      <c r="B34" s="121" t="s">
        <v>10203</v>
      </c>
      <c r="C34" t="s">
        <v>32</v>
      </c>
      <c r="D34" t="s">
        <v>354</v>
      </c>
      <c r="E34" t="s">
        <v>102</v>
      </c>
      <c r="F34" t="s">
        <v>10210</v>
      </c>
      <c r="G34" t="s">
        <v>2380</v>
      </c>
      <c r="H34" s="121" t="s">
        <v>10211</v>
      </c>
    </row>
    <row r="35" spans="1:8" x14ac:dyDescent="0.25">
      <c r="A35">
        <v>1513027</v>
      </c>
      <c r="B35" s="121" t="s">
        <v>10203</v>
      </c>
      <c r="C35" t="s">
        <v>32</v>
      </c>
      <c r="D35" t="s">
        <v>362</v>
      </c>
      <c r="E35" t="s">
        <v>363</v>
      </c>
      <c r="F35" t="s">
        <v>10212</v>
      </c>
      <c r="G35" t="s">
        <v>10213</v>
      </c>
      <c r="H35" s="121" t="s">
        <v>10214</v>
      </c>
    </row>
    <row r="36" spans="1:8" x14ac:dyDescent="0.25">
      <c r="A36">
        <v>1519318</v>
      </c>
      <c r="B36" s="121" t="s">
        <v>10203</v>
      </c>
      <c r="C36" t="s">
        <v>32</v>
      </c>
      <c r="D36" t="s">
        <v>366</v>
      </c>
      <c r="E36" t="s">
        <v>367</v>
      </c>
      <c r="F36" t="s">
        <v>10215</v>
      </c>
      <c r="G36" t="s">
        <v>712</v>
      </c>
      <c r="H36" s="121" t="s">
        <v>10216</v>
      </c>
    </row>
    <row r="37" spans="1:8" x14ac:dyDescent="0.25">
      <c r="A37">
        <v>1490203</v>
      </c>
      <c r="B37" s="121" t="s">
        <v>10217</v>
      </c>
      <c r="C37" t="s">
        <v>32</v>
      </c>
      <c r="D37" t="s">
        <v>362</v>
      </c>
      <c r="E37" t="s">
        <v>413</v>
      </c>
      <c r="F37" t="s">
        <v>716</v>
      </c>
      <c r="G37" t="s">
        <v>719</v>
      </c>
      <c r="H37" s="121" t="s">
        <v>10218</v>
      </c>
    </row>
    <row r="38" spans="1:8" x14ac:dyDescent="0.25">
      <c r="A38">
        <v>1490204</v>
      </c>
      <c r="B38" s="121" t="s">
        <v>10217</v>
      </c>
      <c r="C38" t="s">
        <v>32</v>
      </c>
      <c r="D38" t="s">
        <v>362</v>
      </c>
      <c r="E38" t="s">
        <v>413</v>
      </c>
      <c r="F38" t="s">
        <v>779</v>
      </c>
      <c r="G38" t="s">
        <v>444</v>
      </c>
      <c r="H38" s="121" t="s">
        <v>10219</v>
      </c>
    </row>
    <row r="39" spans="1:8" x14ac:dyDescent="0.25">
      <c r="A39">
        <v>1490205</v>
      </c>
      <c r="B39" s="121" t="s">
        <v>10217</v>
      </c>
      <c r="C39" t="s">
        <v>32</v>
      </c>
      <c r="D39" t="s">
        <v>362</v>
      </c>
      <c r="E39" t="s">
        <v>413</v>
      </c>
      <c r="F39" t="s">
        <v>750</v>
      </c>
      <c r="G39" t="s">
        <v>718</v>
      </c>
      <c r="H39" s="121" t="s">
        <v>10220</v>
      </c>
    </row>
    <row r="40" spans="1:8" x14ac:dyDescent="0.25">
      <c r="A40">
        <v>1493462</v>
      </c>
      <c r="B40" s="121" t="s">
        <v>10217</v>
      </c>
      <c r="C40" t="s">
        <v>32</v>
      </c>
      <c r="D40" t="s">
        <v>362</v>
      </c>
      <c r="E40" t="s">
        <v>560</v>
      </c>
      <c r="F40" t="s">
        <v>751</v>
      </c>
      <c r="G40" t="s">
        <v>6814</v>
      </c>
      <c r="H40" s="121" t="s">
        <v>10221</v>
      </c>
    </row>
    <row r="41" spans="1:8" x14ac:dyDescent="0.25">
      <c r="A41">
        <v>1530502</v>
      </c>
      <c r="B41" s="121" t="s">
        <v>10217</v>
      </c>
      <c r="C41" t="s">
        <v>32</v>
      </c>
      <c r="D41" t="s">
        <v>364</v>
      </c>
      <c r="E41" t="s">
        <v>365</v>
      </c>
      <c r="F41" t="s">
        <v>2444</v>
      </c>
      <c r="G41" t="s">
        <v>433</v>
      </c>
      <c r="H41" s="121" t="s">
        <v>10222</v>
      </c>
    </row>
    <row r="42" spans="1:8" x14ac:dyDescent="0.25">
      <c r="A42">
        <v>1539168</v>
      </c>
      <c r="B42" s="121" t="s">
        <v>10217</v>
      </c>
      <c r="C42" t="s">
        <v>32</v>
      </c>
      <c r="D42" t="s">
        <v>72</v>
      </c>
      <c r="E42" t="s">
        <v>75</v>
      </c>
      <c r="F42" t="s">
        <v>10223</v>
      </c>
      <c r="G42" t="s">
        <v>10224</v>
      </c>
      <c r="H42" s="121" t="s">
        <v>10225</v>
      </c>
    </row>
    <row r="43" spans="1:8" x14ac:dyDescent="0.25">
      <c r="A43">
        <v>1539617</v>
      </c>
      <c r="B43" s="121" t="s">
        <v>10217</v>
      </c>
      <c r="C43" t="s">
        <v>32</v>
      </c>
      <c r="D43" t="s">
        <v>366</v>
      </c>
      <c r="E43" t="s">
        <v>9926</v>
      </c>
      <c r="F43" t="s">
        <v>10226</v>
      </c>
      <c r="G43" t="s">
        <v>10227</v>
      </c>
      <c r="H43" s="121" t="s">
        <v>10228</v>
      </c>
    </row>
    <row r="44" spans="1:8" x14ac:dyDescent="0.25">
      <c r="A44">
        <v>1492019</v>
      </c>
      <c r="B44" s="121" t="s">
        <v>10229</v>
      </c>
      <c r="C44" t="s">
        <v>32</v>
      </c>
      <c r="D44" t="s">
        <v>28</v>
      </c>
      <c r="E44" t="s">
        <v>2588</v>
      </c>
      <c r="F44" t="s">
        <v>10230</v>
      </c>
      <c r="G44" t="s">
        <v>10231</v>
      </c>
      <c r="H44" s="121" t="s">
        <v>10232</v>
      </c>
    </row>
    <row r="45" spans="1:8" x14ac:dyDescent="0.25">
      <c r="A45">
        <v>1447003</v>
      </c>
      <c r="B45" s="121" t="s">
        <v>10233</v>
      </c>
      <c r="C45" t="s">
        <v>32</v>
      </c>
      <c r="D45" t="s">
        <v>18</v>
      </c>
      <c r="E45" t="s">
        <v>19</v>
      </c>
      <c r="F45" t="s">
        <v>727</v>
      </c>
      <c r="G45" t="s">
        <v>701</v>
      </c>
      <c r="H45" s="121" t="s">
        <v>10234</v>
      </c>
    </row>
    <row r="46" spans="1:8" x14ac:dyDescent="0.25">
      <c r="A46">
        <v>1457062</v>
      </c>
      <c r="B46" s="121" t="s">
        <v>10233</v>
      </c>
      <c r="C46" t="s">
        <v>32</v>
      </c>
      <c r="D46" t="s">
        <v>18</v>
      </c>
      <c r="E46" t="s">
        <v>19</v>
      </c>
      <c r="F46" t="s">
        <v>729</v>
      </c>
      <c r="G46" t="s">
        <v>10235</v>
      </c>
      <c r="H46" s="121" t="s">
        <v>10236</v>
      </c>
    </row>
    <row r="47" spans="1:8" x14ac:dyDescent="0.25">
      <c r="A47">
        <v>1457204</v>
      </c>
      <c r="B47" s="121" t="s">
        <v>10233</v>
      </c>
      <c r="C47" t="s">
        <v>32</v>
      </c>
      <c r="D47" t="s">
        <v>18</v>
      </c>
      <c r="E47" t="s">
        <v>19</v>
      </c>
      <c r="F47" t="s">
        <v>10237</v>
      </c>
      <c r="G47" t="s">
        <v>6107</v>
      </c>
      <c r="H47" s="121" t="s">
        <v>10238</v>
      </c>
    </row>
    <row r="48" spans="1:8" x14ac:dyDescent="0.25">
      <c r="A48">
        <v>1492584</v>
      </c>
      <c r="B48" s="121" t="s">
        <v>10233</v>
      </c>
      <c r="C48" t="s">
        <v>32</v>
      </c>
      <c r="D48" t="s">
        <v>18</v>
      </c>
      <c r="E48" t="s">
        <v>368</v>
      </c>
      <c r="F48" t="s">
        <v>744</v>
      </c>
      <c r="G48" t="s">
        <v>771</v>
      </c>
      <c r="H48" s="121" t="s">
        <v>10239</v>
      </c>
    </row>
    <row r="49" spans="1:8" x14ac:dyDescent="0.25">
      <c r="A49">
        <v>1492585</v>
      </c>
      <c r="B49" s="121" t="s">
        <v>10233</v>
      </c>
      <c r="C49" t="s">
        <v>32</v>
      </c>
      <c r="D49" t="s">
        <v>18</v>
      </c>
      <c r="E49" t="s">
        <v>368</v>
      </c>
      <c r="F49" t="s">
        <v>746</v>
      </c>
      <c r="G49" t="s">
        <v>2449</v>
      </c>
      <c r="H49" s="121" t="s">
        <v>10240</v>
      </c>
    </row>
    <row r="50" spans="1:8" x14ac:dyDescent="0.25">
      <c r="A50">
        <v>1493797</v>
      </c>
      <c r="B50" s="121" t="s">
        <v>10233</v>
      </c>
      <c r="C50" t="s">
        <v>32</v>
      </c>
      <c r="D50" t="s">
        <v>362</v>
      </c>
      <c r="E50" t="s">
        <v>704</v>
      </c>
      <c r="F50" t="s">
        <v>2300</v>
      </c>
      <c r="G50" t="s">
        <v>783</v>
      </c>
      <c r="H50" s="121" t="s">
        <v>10241</v>
      </c>
    </row>
    <row r="51" spans="1:8" x14ac:dyDescent="0.25">
      <c r="A51">
        <v>1494493</v>
      </c>
      <c r="B51" s="121" t="s">
        <v>10233</v>
      </c>
      <c r="C51" t="s">
        <v>32</v>
      </c>
      <c r="D51" t="s">
        <v>18</v>
      </c>
      <c r="E51" t="s">
        <v>369</v>
      </c>
      <c r="F51" t="s">
        <v>10242</v>
      </c>
      <c r="G51" t="s">
        <v>775</v>
      </c>
      <c r="H51" s="121" t="s">
        <v>10243</v>
      </c>
    </row>
    <row r="52" spans="1:8" x14ac:dyDescent="0.25">
      <c r="A52">
        <v>1494494</v>
      </c>
      <c r="B52" s="121" t="s">
        <v>10233</v>
      </c>
      <c r="C52" t="s">
        <v>32</v>
      </c>
      <c r="D52" t="s">
        <v>18</v>
      </c>
      <c r="E52" t="s">
        <v>369</v>
      </c>
      <c r="F52" t="s">
        <v>7106</v>
      </c>
      <c r="G52" t="s">
        <v>7104</v>
      </c>
      <c r="H52" s="121" t="s">
        <v>10244</v>
      </c>
    </row>
    <row r="53" spans="1:8" x14ac:dyDescent="0.25">
      <c r="A53">
        <v>1494495</v>
      </c>
      <c r="B53" s="121" t="s">
        <v>10233</v>
      </c>
      <c r="C53" t="s">
        <v>32</v>
      </c>
      <c r="D53" t="s">
        <v>18</v>
      </c>
      <c r="E53" t="s">
        <v>369</v>
      </c>
      <c r="F53" t="s">
        <v>2646</v>
      </c>
      <c r="G53" t="s">
        <v>10245</v>
      </c>
      <c r="H53" s="121" t="s">
        <v>10246</v>
      </c>
    </row>
    <row r="54" spans="1:8" x14ac:dyDescent="0.25">
      <c r="A54">
        <v>1499228</v>
      </c>
      <c r="B54" s="121" t="s">
        <v>10233</v>
      </c>
      <c r="C54" t="s">
        <v>32</v>
      </c>
      <c r="D54" t="s">
        <v>272</v>
      </c>
      <c r="E54" t="s">
        <v>26</v>
      </c>
      <c r="F54" t="s">
        <v>2437</v>
      </c>
      <c r="G54" t="s">
        <v>2377</v>
      </c>
      <c r="H54" s="121" t="s">
        <v>10247</v>
      </c>
    </row>
    <row r="55" spans="1:8" x14ac:dyDescent="0.25">
      <c r="A55">
        <v>1504932</v>
      </c>
      <c r="B55" s="121" t="s">
        <v>10233</v>
      </c>
      <c r="C55" t="s">
        <v>32</v>
      </c>
      <c r="D55" t="s">
        <v>708</v>
      </c>
      <c r="E55" t="s">
        <v>24</v>
      </c>
      <c r="F55" t="s">
        <v>737</v>
      </c>
      <c r="G55" t="s">
        <v>2423</v>
      </c>
      <c r="H55" s="121" t="s">
        <v>10248</v>
      </c>
    </row>
    <row r="56" spans="1:8" x14ac:dyDescent="0.25">
      <c r="A56">
        <v>1504935</v>
      </c>
      <c r="B56" s="121" t="s">
        <v>10233</v>
      </c>
      <c r="C56" t="s">
        <v>32</v>
      </c>
      <c r="D56" t="s">
        <v>708</v>
      </c>
      <c r="E56" t="s">
        <v>24</v>
      </c>
      <c r="F56" t="s">
        <v>741</v>
      </c>
      <c r="G56" t="s">
        <v>2378</v>
      </c>
      <c r="H56" s="121" t="s">
        <v>10249</v>
      </c>
    </row>
    <row r="57" spans="1:8" x14ac:dyDescent="0.25">
      <c r="A57">
        <v>1537622</v>
      </c>
      <c r="B57" s="121" t="s">
        <v>10233</v>
      </c>
      <c r="C57" t="s">
        <v>32</v>
      </c>
      <c r="D57" t="s">
        <v>23</v>
      </c>
      <c r="E57" t="s">
        <v>24</v>
      </c>
      <c r="F57" t="s">
        <v>743</v>
      </c>
      <c r="G57" t="s">
        <v>442</v>
      </c>
      <c r="H57" s="121" t="s">
        <v>10250</v>
      </c>
    </row>
    <row r="58" spans="1:8" x14ac:dyDescent="0.25">
      <c r="A58">
        <v>1506082</v>
      </c>
      <c r="B58" s="121" t="s">
        <v>10251</v>
      </c>
      <c r="C58" t="s">
        <v>32</v>
      </c>
      <c r="D58" t="s">
        <v>29</v>
      </c>
      <c r="E58" t="s">
        <v>30</v>
      </c>
      <c r="F58" t="s">
        <v>10252</v>
      </c>
      <c r="G58" t="s">
        <v>10253</v>
      </c>
      <c r="H58" s="121" t="s">
        <v>10254</v>
      </c>
    </row>
    <row r="59" spans="1:8" x14ac:dyDescent="0.25">
      <c r="A59">
        <v>1490206</v>
      </c>
      <c r="B59" s="121" t="s">
        <v>10255</v>
      </c>
      <c r="C59" t="s">
        <v>32</v>
      </c>
      <c r="D59" t="s">
        <v>362</v>
      </c>
      <c r="E59" t="s">
        <v>413</v>
      </c>
      <c r="F59" t="s">
        <v>762</v>
      </c>
      <c r="G59" t="s">
        <v>10256</v>
      </c>
      <c r="H59" s="121" t="s">
        <v>10257</v>
      </c>
    </row>
    <row r="60" spans="1:8" x14ac:dyDescent="0.25">
      <c r="A60">
        <v>1510118</v>
      </c>
      <c r="B60" s="121" t="s">
        <v>10255</v>
      </c>
      <c r="C60" t="s">
        <v>32</v>
      </c>
      <c r="D60" t="s">
        <v>371</v>
      </c>
      <c r="E60" t="s">
        <v>372</v>
      </c>
      <c r="F60" t="s">
        <v>753</v>
      </c>
      <c r="G60" t="s">
        <v>10258</v>
      </c>
      <c r="H60" s="121" t="s">
        <v>10259</v>
      </c>
    </row>
    <row r="61" spans="1:8" x14ac:dyDescent="0.25">
      <c r="A61">
        <v>1526982</v>
      </c>
      <c r="B61" s="121" t="s">
        <v>10255</v>
      </c>
      <c r="C61" t="s">
        <v>32</v>
      </c>
      <c r="D61" t="s">
        <v>21</v>
      </c>
      <c r="E61" t="s">
        <v>7468</v>
      </c>
      <c r="F61" t="s">
        <v>10260</v>
      </c>
      <c r="G61" t="s">
        <v>450</v>
      </c>
      <c r="H61" s="121" t="s">
        <v>10261</v>
      </c>
    </row>
    <row r="62" spans="1:8" x14ac:dyDescent="0.25">
      <c r="A62">
        <v>1457205</v>
      </c>
      <c r="B62" s="121" t="s">
        <v>10262</v>
      </c>
      <c r="C62" t="s">
        <v>32</v>
      </c>
      <c r="D62" t="s">
        <v>18</v>
      </c>
      <c r="E62" t="s">
        <v>19</v>
      </c>
      <c r="F62" t="s">
        <v>7089</v>
      </c>
      <c r="G62" t="s">
        <v>10263</v>
      </c>
      <c r="H62" s="121" t="s">
        <v>10264</v>
      </c>
    </row>
    <row r="63" spans="1:8" x14ac:dyDescent="0.25">
      <c r="A63">
        <v>1489167</v>
      </c>
      <c r="B63" s="121" t="s">
        <v>10262</v>
      </c>
      <c r="C63" t="s">
        <v>32</v>
      </c>
      <c r="D63" t="s">
        <v>31</v>
      </c>
      <c r="E63" t="s">
        <v>27</v>
      </c>
      <c r="F63" t="s">
        <v>2656</v>
      </c>
      <c r="G63" t="s">
        <v>758</v>
      </c>
      <c r="H63" s="121" t="s">
        <v>10265</v>
      </c>
    </row>
    <row r="64" spans="1:8" x14ac:dyDescent="0.25">
      <c r="A64">
        <v>1493461</v>
      </c>
      <c r="B64" s="121" t="s">
        <v>10262</v>
      </c>
      <c r="C64" t="s">
        <v>32</v>
      </c>
      <c r="D64" t="s">
        <v>362</v>
      </c>
      <c r="E64" t="s">
        <v>560</v>
      </c>
      <c r="F64" t="s">
        <v>752</v>
      </c>
      <c r="G64" t="s">
        <v>10266</v>
      </c>
      <c r="H64" s="121" t="s">
        <v>10267</v>
      </c>
    </row>
    <row r="65" spans="1:8" x14ac:dyDescent="0.25">
      <c r="A65">
        <v>1490207</v>
      </c>
      <c r="B65" s="121" t="s">
        <v>10268</v>
      </c>
      <c r="C65" t="s">
        <v>32</v>
      </c>
      <c r="D65" t="s">
        <v>362</v>
      </c>
      <c r="E65" t="s">
        <v>413</v>
      </c>
      <c r="F65" t="s">
        <v>443</v>
      </c>
      <c r="G65" t="s">
        <v>749</v>
      </c>
      <c r="H65" s="121" t="s">
        <v>10269</v>
      </c>
    </row>
    <row r="66" spans="1:8" x14ac:dyDescent="0.25">
      <c r="A66">
        <v>1493459</v>
      </c>
      <c r="B66" s="121" t="s">
        <v>10268</v>
      </c>
      <c r="C66" t="s">
        <v>32</v>
      </c>
      <c r="D66" t="s">
        <v>362</v>
      </c>
      <c r="E66" t="s">
        <v>560</v>
      </c>
      <c r="F66" t="s">
        <v>773</v>
      </c>
      <c r="G66" t="s">
        <v>768</v>
      </c>
      <c r="H66" s="121" t="s">
        <v>10270</v>
      </c>
    </row>
    <row r="67" spans="1:8" x14ac:dyDescent="0.25">
      <c r="A67">
        <v>1493794</v>
      </c>
      <c r="B67" s="121" t="s">
        <v>10268</v>
      </c>
      <c r="C67" t="s">
        <v>32</v>
      </c>
      <c r="D67" t="s">
        <v>362</v>
      </c>
      <c r="E67" t="s">
        <v>704</v>
      </c>
      <c r="F67" t="s">
        <v>782</v>
      </c>
      <c r="G67" t="s">
        <v>723</v>
      </c>
      <c r="H67" s="121" t="s">
        <v>10271</v>
      </c>
    </row>
    <row r="68" spans="1:8" x14ac:dyDescent="0.25">
      <c r="A68">
        <v>1447004</v>
      </c>
      <c r="B68" s="121" t="s">
        <v>10272</v>
      </c>
      <c r="C68" t="s">
        <v>32</v>
      </c>
      <c r="D68" t="s">
        <v>18</v>
      </c>
      <c r="E68" t="s">
        <v>19</v>
      </c>
      <c r="F68" t="s">
        <v>764</v>
      </c>
      <c r="G68" t="s">
        <v>700</v>
      </c>
      <c r="H68" s="121" t="s">
        <v>10273</v>
      </c>
    </row>
    <row r="69" spans="1:8" x14ac:dyDescent="0.25">
      <c r="A69">
        <v>1499233</v>
      </c>
      <c r="B69" s="121" t="s">
        <v>10272</v>
      </c>
      <c r="C69" t="s">
        <v>32</v>
      </c>
      <c r="D69" t="s">
        <v>272</v>
      </c>
      <c r="E69" t="s">
        <v>26</v>
      </c>
      <c r="F69" t="s">
        <v>760</v>
      </c>
      <c r="G69" t="s">
        <v>309</v>
      </c>
      <c r="H69" s="121" t="s">
        <v>10274</v>
      </c>
    </row>
    <row r="70" spans="1:8" x14ac:dyDescent="0.25">
      <c r="A70">
        <v>1508903</v>
      </c>
      <c r="B70" s="121" t="s">
        <v>10272</v>
      </c>
      <c r="C70" t="s">
        <v>32</v>
      </c>
      <c r="D70" t="s">
        <v>21</v>
      </c>
      <c r="E70" t="s">
        <v>7223</v>
      </c>
      <c r="F70" t="s">
        <v>10275</v>
      </c>
      <c r="G70" t="s">
        <v>2896</v>
      </c>
      <c r="H70" s="121" t="s">
        <v>10276</v>
      </c>
    </row>
    <row r="71" spans="1:8" x14ac:dyDescent="0.25">
      <c r="A71">
        <v>1523718</v>
      </c>
      <c r="B71" s="121" t="s">
        <v>10272</v>
      </c>
      <c r="C71" t="s">
        <v>32</v>
      </c>
      <c r="D71" t="s">
        <v>35</v>
      </c>
      <c r="E71" t="s">
        <v>317</v>
      </c>
      <c r="F71" t="s">
        <v>10277</v>
      </c>
      <c r="G71" t="s">
        <v>2787</v>
      </c>
      <c r="H71" s="121" t="s">
        <v>10278</v>
      </c>
    </row>
    <row r="72" spans="1:8" x14ac:dyDescent="0.25">
      <c r="A72">
        <v>1492586</v>
      </c>
      <c r="B72" s="121" t="s">
        <v>10279</v>
      </c>
      <c r="C72" t="s">
        <v>32</v>
      </c>
      <c r="D72" t="s">
        <v>18</v>
      </c>
      <c r="E72" t="s">
        <v>368</v>
      </c>
      <c r="F72" t="s">
        <v>10280</v>
      </c>
      <c r="G72" t="s">
        <v>2672</v>
      </c>
      <c r="H72" s="121" t="s">
        <v>10281</v>
      </c>
    </row>
    <row r="73" spans="1:8" x14ac:dyDescent="0.25">
      <c r="A73">
        <v>1516694</v>
      </c>
      <c r="B73" s="121" t="s">
        <v>10282</v>
      </c>
      <c r="C73" t="s">
        <v>32</v>
      </c>
      <c r="D73" t="s">
        <v>33</v>
      </c>
      <c r="E73" t="s">
        <v>2738</v>
      </c>
      <c r="F73" t="s">
        <v>811</v>
      </c>
      <c r="G73" t="s">
        <v>2741</v>
      </c>
      <c r="H73" s="121" t="s">
        <v>10283</v>
      </c>
    </row>
    <row r="74" spans="1:8" x14ac:dyDescent="0.25">
      <c r="A74">
        <v>1524009</v>
      </c>
      <c r="B74" s="121" t="s">
        <v>10282</v>
      </c>
      <c r="C74" t="s">
        <v>32</v>
      </c>
      <c r="D74" t="s">
        <v>35</v>
      </c>
      <c r="E74" t="s">
        <v>318</v>
      </c>
      <c r="F74" t="s">
        <v>796</v>
      </c>
      <c r="G74" t="s">
        <v>10284</v>
      </c>
      <c r="H74" s="121" t="s">
        <v>10285</v>
      </c>
    </row>
    <row r="75" spans="1:8" x14ac:dyDescent="0.25">
      <c r="A75">
        <v>1529223</v>
      </c>
      <c r="B75" s="121" t="s">
        <v>10282</v>
      </c>
      <c r="C75" t="s">
        <v>32</v>
      </c>
      <c r="D75" t="s">
        <v>35</v>
      </c>
      <c r="E75" t="s">
        <v>562</v>
      </c>
      <c r="F75" t="s">
        <v>2665</v>
      </c>
      <c r="G75" t="s">
        <v>776</v>
      </c>
      <c r="H75" s="121" t="s">
        <v>10286</v>
      </c>
    </row>
    <row r="76" spans="1:8" x14ac:dyDescent="0.25">
      <c r="A76">
        <v>1469698</v>
      </c>
      <c r="B76" s="121" t="s">
        <v>10287</v>
      </c>
      <c r="C76" t="s">
        <v>32</v>
      </c>
      <c r="D76" t="s">
        <v>35</v>
      </c>
      <c r="E76" t="s">
        <v>36</v>
      </c>
      <c r="F76" t="s">
        <v>10091</v>
      </c>
      <c r="G76" t="s">
        <v>2696</v>
      </c>
      <c r="H76" s="121" t="s">
        <v>10288</v>
      </c>
    </row>
    <row r="77" spans="1:8" x14ac:dyDescent="0.25">
      <c r="A77">
        <v>1504747</v>
      </c>
      <c r="B77" s="121" t="s">
        <v>10287</v>
      </c>
      <c r="C77" t="s">
        <v>32</v>
      </c>
      <c r="D77" t="s">
        <v>33</v>
      </c>
      <c r="E77" t="s">
        <v>373</v>
      </c>
      <c r="F77" t="s">
        <v>10289</v>
      </c>
      <c r="G77" t="s">
        <v>10290</v>
      </c>
      <c r="H77" s="121" t="s">
        <v>10291</v>
      </c>
    </row>
    <row r="78" spans="1:8" x14ac:dyDescent="0.25">
      <c r="A78">
        <v>1506936</v>
      </c>
      <c r="B78" s="121" t="s">
        <v>10287</v>
      </c>
      <c r="C78" t="s">
        <v>32</v>
      </c>
      <c r="D78" t="s">
        <v>374</v>
      </c>
      <c r="E78" t="s">
        <v>375</v>
      </c>
      <c r="F78" t="s">
        <v>2729</v>
      </c>
      <c r="G78" t="s">
        <v>10292</v>
      </c>
      <c r="H78" s="121" t="s">
        <v>10293</v>
      </c>
    </row>
    <row r="79" spans="1:8" x14ac:dyDescent="0.25">
      <c r="A79">
        <v>1510295</v>
      </c>
      <c r="B79" s="121" t="s">
        <v>10287</v>
      </c>
      <c r="C79" t="s">
        <v>32</v>
      </c>
      <c r="D79" t="s">
        <v>374</v>
      </c>
      <c r="E79" t="s">
        <v>376</v>
      </c>
      <c r="F79" t="s">
        <v>847</v>
      </c>
      <c r="G79" t="s">
        <v>801</v>
      </c>
      <c r="H79" s="121" t="s">
        <v>10294</v>
      </c>
    </row>
    <row r="80" spans="1:8" x14ac:dyDescent="0.25">
      <c r="A80">
        <v>1510296</v>
      </c>
      <c r="B80" s="121" t="s">
        <v>10287</v>
      </c>
      <c r="C80" t="s">
        <v>32</v>
      </c>
      <c r="D80" t="s">
        <v>374</v>
      </c>
      <c r="E80" t="s">
        <v>376</v>
      </c>
      <c r="F80" t="s">
        <v>2731</v>
      </c>
      <c r="G80" t="s">
        <v>848</v>
      </c>
      <c r="H80" s="121" t="s">
        <v>10295</v>
      </c>
    </row>
    <row r="81" spans="1:8" x14ac:dyDescent="0.25">
      <c r="A81">
        <v>1516695</v>
      </c>
      <c r="B81" s="121" t="s">
        <v>10287</v>
      </c>
      <c r="C81" t="s">
        <v>32</v>
      </c>
      <c r="D81" t="s">
        <v>33</v>
      </c>
      <c r="E81" t="s">
        <v>2738</v>
      </c>
      <c r="F81" t="s">
        <v>802</v>
      </c>
      <c r="G81" t="s">
        <v>787</v>
      </c>
      <c r="H81" s="121" t="s">
        <v>10296</v>
      </c>
    </row>
    <row r="82" spans="1:8" x14ac:dyDescent="0.25">
      <c r="A82">
        <v>1516696</v>
      </c>
      <c r="B82" s="121" t="s">
        <v>10287</v>
      </c>
      <c r="C82" t="s">
        <v>32</v>
      </c>
      <c r="D82" t="s">
        <v>33</v>
      </c>
      <c r="E82" t="s">
        <v>2738</v>
      </c>
      <c r="F82" t="s">
        <v>803</v>
      </c>
      <c r="G82" t="s">
        <v>10297</v>
      </c>
      <c r="H82" s="121" t="s">
        <v>10298</v>
      </c>
    </row>
    <row r="83" spans="1:8" x14ac:dyDescent="0.25">
      <c r="A83">
        <v>1516697</v>
      </c>
      <c r="B83" s="121" t="s">
        <v>10287</v>
      </c>
      <c r="C83" t="s">
        <v>32</v>
      </c>
      <c r="D83" t="s">
        <v>33</v>
      </c>
      <c r="E83" t="s">
        <v>2738</v>
      </c>
      <c r="F83" t="s">
        <v>804</v>
      </c>
      <c r="G83" t="s">
        <v>10299</v>
      </c>
      <c r="H83" s="121" t="s">
        <v>10300</v>
      </c>
    </row>
    <row r="84" spans="1:8" x14ac:dyDescent="0.25">
      <c r="A84">
        <v>1516698</v>
      </c>
      <c r="B84" s="121" t="s">
        <v>10287</v>
      </c>
      <c r="C84" t="s">
        <v>32</v>
      </c>
      <c r="D84" t="s">
        <v>33</v>
      </c>
      <c r="E84" t="s">
        <v>2738</v>
      </c>
      <c r="F84" t="s">
        <v>806</v>
      </c>
      <c r="G84" t="s">
        <v>786</v>
      </c>
      <c r="H84" s="121" t="s">
        <v>10301</v>
      </c>
    </row>
    <row r="85" spans="1:8" x14ac:dyDescent="0.25">
      <c r="A85">
        <v>1516699</v>
      </c>
      <c r="B85" s="121" t="s">
        <v>10287</v>
      </c>
      <c r="C85" t="s">
        <v>32</v>
      </c>
      <c r="D85" t="s">
        <v>33</v>
      </c>
      <c r="E85" t="s">
        <v>2738</v>
      </c>
      <c r="F85" t="s">
        <v>805</v>
      </c>
      <c r="G85" t="s">
        <v>807</v>
      </c>
      <c r="H85" s="121" t="s">
        <v>10302</v>
      </c>
    </row>
    <row r="86" spans="1:8" x14ac:dyDescent="0.25">
      <c r="A86">
        <v>1516700</v>
      </c>
      <c r="B86" s="121" t="s">
        <v>10287</v>
      </c>
      <c r="C86" t="s">
        <v>32</v>
      </c>
      <c r="D86" t="s">
        <v>33</v>
      </c>
      <c r="E86" t="s">
        <v>2738</v>
      </c>
      <c r="F86" t="s">
        <v>2748</v>
      </c>
      <c r="G86" t="s">
        <v>2742</v>
      </c>
      <c r="H86" s="121" t="s">
        <v>10303</v>
      </c>
    </row>
    <row r="87" spans="1:8" x14ac:dyDescent="0.25">
      <c r="A87">
        <v>1516701</v>
      </c>
      <c r="B87" s="121" t="s">
        <v>10287</v>
      </c>
      <c r="C87" t="s">
        <v>32</v>
      </c>
      <c r="D87" t="s">
        <v>33</v>
      </c>
      <c r="E87" t="s">
        <v>2738</v>
      </c>
      <c r="F87" t="s">
        <v>810</v>
      </c>
      <c r="G87" t="s">
        <v>2746</v>
      </c>
      <c r="H87" s="121" t="s">
        <v>10304</v>
      </c>
    </row>
    <row r="88" spans="1:8" x14ac:dyDescent="0.25">
      <c r="A88">
        <v>1516702</v>
      </c>
      <c r="B88" s="121" t="s">
        <v>10287</v>
      </c>
      <c r="C88" t="s">
        <v>32</v>
      </c>
      <c r="D88" t="s">
        <v>33</v>
      </c>
      <c r="E88" t="s">
        <v>2738</v>
      </c>
      <c r="F88" t="s">
        <v>10305</v>
      </c>
      <c r="G88" t="s">
        <v>10306</v>
      </c>
      <c r="H88" s="121" t="s">
        <v>10307</v>
      </c>
    </row>
    <row r="89" spans="1:8" x14ac:dyDescent="0.25">
      <c r="A89">
        <v>1516703</v>
      </c>
      <c r="B89" s="121" t="s">
        <v>10287</v>
      </c>
      <c r="C89" t="s">
        <v>32</v>
      </c>
      <c r="D89" t="s">
        <v>33</v>
      </c>
      <c r="E89" t="s">
        <v>2738</v>
      </c>
      <c r="F89" t="s">
        <v>813</v>
      </c>
      <c r="G89" t="s">
        <v>10308</v>
      </c>
      <c r="H89" s="121" t="s">
        <v>10309</v>
      </c>
    </row>
    <row r="90" spans="1:8" x14ac:dyDescent="0.25">
      <c r="A90">
        <v>1516704</v>
      </c>
      <c r="B90" s="121" t="s">
        <v>10287</v>
      </c>
      <c r="C90" t="s">
        <v>32</v>
      </c>
      <c r="D90" t="s">
        <v>33</v>
      </c>
      <c r="E90" t="s">
        <v>2738</v>
      </c>
      <c r="F90" t="s">
        <v>816</v>
      </c>
      <c r="G90" t="s">
        <v>815</v>
      </c>
      <c r="H90" s="121" t="s">
        <v>10310</v>
      </c>
    </row>
    <row r="91" spans="1:8" x14ac:dyDescent="0.25">
      <c r="A91">
        <v>1516705</v>
      </c>
      <c r="B91" s="121" t="s">
        <v>10287</v>
      </c>
      <c r="C91" t="s">
        <v>32</v>
      </c>
      <c r="D91" t="s">
        <v>33</v>
      </c>
      <c r="E91" t="s">
        <v>2738</v>
      </c>
      <c r="F91" t="s">
        <v>814</v>
      </c>
      <c r="G91" t="s">
        <v>817</v>
      </c>
      <c r="H91" s="121" t="s">
        <v>10311</v>
      </c>
    </row>
    <row r="92" spans="1:8" x14ac:dyDescent="0.25">
      <c r="A92">
        <v>1516706</v>
      </c>
      <c r="B92" s="121" t="s">
        <v>10287</v>
      </c>
      <c r="C92" t="s">
        <v>32</v>
      </c>
      <c r="D92" t="s">
        <v>33</v>
      </c>
      <c r="E92" t="s">
        <v>2738</v>
      </c>
      <c r="F92" t="s">
        <v>10312</v>
      </c>
      <c r="G92" t="s">
        <v>10313</v>
      </c>
      <c r="H92" s="121" t="s">
        <v>10314</v>
      </c>
    </row>
    <row r="93" spans="1:8" x14ac:dyDescent="0.25">
      <c r="A93">
        <v>1516707</v>
      </c>
      <c r="B93" s="121" t="s">
        <v>10287</v>
      </c>
      <c r="C93" t="s">
        <v>32</v>
      </c>
      <c r="D93" t="s">
        <v>33</v>
      </c>
      <c r="E93" t="s">
        <v>2738</v>
      </c>
      <c r="F93" t="s">
        <v>821</v>
      </c>
      <c r="G93" t="s">
        <v>2753</v>
      </c>
      <c r="H93" s="121" t="s">
        <v>10315</v>
      </c>
    </row>
    <row r="94" spans="1:8" x14ac:dyDescent="0.25">
      <c r="A94">
        <v>1516708</v>
      </c>
      <c r="B94" s="121" t="s">
        <v>10287</v>
      </c>
      <c r="C94" t="s">
        <v>32</v>
      </c>
      <c r="D94" t="s">
        <v>33</v>
      </c>
      <c r="E94" t="s">
        <v>2738</v>
      </c>
      <c r="F94" t="s">
        <v>819</v>
      </c>
      <c r="G94" t="s">
        <v>822</v>
      </c>
      <c r="H94" s="121" t="s">
        <v>10316</v>
      </c>
    </row>
    <row r="95" spans="1:8" x14ac:dyDescent="0.25">
      <c r="A95">
        <v>1516709</v>
      </c>
      <c r="B95" s="121" t="s">
        <v>10287</v>
      </c>
      <c r="C95" t="s">
        <v>32</v>
      </c>
      <c r="D95" t="s">
        <v>33</v>
      </c>
      <c r="E95" t="s">
        <v>2738</v>
      </c>
      <c r="F95" t="s">
        <v>820</v>
      </c>
      <c r="G95" t="s">
        <v>823</v>
      </c>
      <c r="H95" s="121" t="s">
        <v>10317</v>
      </c>
    </row>
    <row r="96" spans="1:8" x14ac:dyDescent="0.25">
      <c r="A96">
        <v>1517502</v>
      </c>
      <c r="B96" s="121" t="s">
        <v>10287</v>
      </c>
      <c r="C96" t="s">
        <v>32</v>
      </c>
      <c r="D96" t="s">
        <v>35</v>
      </c>
      <c r="E96" t="s">
        <v>313</v>
      </c>
      <c r="F96" t="s">
        <v>789</v>
      </c>
      <c r="G96" t="s">
        <v>2859</v>
      </c>
      <c r="H96" s="121" t="s">
        <v>10318</v>
      </c>
    </row>
    <row r="97" spans="1:8" x14ac:dyDescent="0.25">
      <c r="A97">
        <v>1517503</v>
      </c>
      <c r="B97" s="121" t="s">
        <v>10287</v>
      </c>
      <c r="C97" t="s">
        <v>32</v>
      </c>
      <c r="D97" t="s">
        <v>35</v>
      </c>
      <c r="E97" t="s">
        <v>313</v>
      </c>
      <c r="F97" t="s">
        <v>10319</v>
      </c>
      <c r="G97" t="s">
        <v>788</v>
      </c>
      <c r="H97" s="121" t="s">
        <v>10320</v>
      </c>
    </row>
    <row r="98" spans="1:8" x14ac:dyDescent="0.25">
      <c r="A98">
        <v>1517504</v>
      </c>
      <c r="B98" s="121" t="s">
        <v>10287</v>
      </c>
      <c r="C98" t="s">
        <v>32</v>
      </c>
      <c r="D98" t="s">
        <v>35</v>
      </c>
      <c r="E98" t="s">
        <v>313</v>
      </c>
      <c r="F98" t="s">
        <v>2775</v>
      </c>
      <c r="G98" t="s">
        <v>2813</v>
      </c>
      <c r="H98" s="121" t="s">
        <v>10321</v>
      </c>
    </row>
    <row r="99" spans="1:8" x14ac:dyDescent="0.25">
      <c r="A99">
        <v>1520446</v>
      </c>
      <c r="B99" s="121" t="s">
        <v>10287</v>
      </c>
      <c r="C99" t="s">
        <v>32</v>
      </c>
      <c r="D99" t="s">
        <v>374</v>
      </c>
      <c r="E99" t="s">
        <v>563</v>
      </c>
      <c r="F99" t="s">
        <v>828</v>
      </c>
      <c r="G99" t="s">
        <v>10322</v>
      </c>
      <c r="H99" s="121" t="s">
        <v>10323</v>
      </c>
    </row>
    <row r="100" spans="1:8" x14ac:dyDescent="0.25">
      <c r="A100">
        <v>1520447</v>
      </c>
      <c r="B100" s="121" t="s">
        <v>10287</v>
      </c>
      <c r="C100" t="s">
        <v>32</v>
      </c>
      <c r="D100" t="s">
        <v>374</v>
      </c>
      <c r="E100" t="s">
        <v>563</v>
      </c>
      <c r="F100" t="s">
        <v>2760</v>
      </c>
      <c r="G100" t="s">
        <v>2758</v>
      </c>
      <c r="H100" s="121" t="s">
        <v>10324</v>
      </c>
    </row>
    <row r="101" spans="1:8" x14ac:dyDescent="0.25">
      <c r="A101">
        <v>1522023</v>
      </c>
      <c r="B101" s="121" t="s">
        <v>10287</v>
      </c>
      <c r="C101" t="s">
        <v>32</v>
      </c>
      <c r="D101" t="s">
        <v>35</v>
      </c>
      <c r="E101" t="s">
        <v>314</v>
      </c>
      <c r="F101" t="s">
        <v>794</v>
      </c>
      <c r="G101" t="s">
        <v>10325</v>
      </c>
      <c r="H101" s="121" t="s">
        <v>10326</v>
      </c>
    </row>
    <row r="102" spans="1:8" x14ac:dyDescent="0.25">
      <c r="A102">
        <v>1523719</v>
      </c>
      <c r="B102" s="121" t="s">
        <v>10287</v>
      </c>
      <c r="C102" t="s">
        <v>32</v>
      </c>
      <c r="D102" t="s">
        <v>35</v>
      </c>
      <c r="E102" t="s">
        <v>317</v>
      </c>
      <c r="F102" t="s">
        <v>10327</v>
      </c>
      <c r="G102" t="s">
        <v>10328</v>
      </c>
      <c r="H102" s="121" t="s">
        <v>10329</v>
      </c>
    </row>
    <row r="103" spans="1:8" x14ac:dyDescent="0.25">
      <c r="A103">
        <v>1524203</v>
      </c>
      <c r="B103" s="121" t="s">
        <v>10287</v>
      </c>
      <c r="C103" t="s">
        <v>32</v>
      </c>
      <c r="D103" t="s">
        <v>35</v>
      </c>
      <c r="E103" t="s">
        <v>2789</v>
      </c>
      <c r="F103" t="s">
        <v>10330</v>
      </c>
      <c r="G103" t="s">
        <v>10331</v>
      </c>
      <c r="H103" s="121" t="s">
        <v>10332</v>
      </c>
    </row>
    <row r="104" spans="1:8" x14ac:dyDescent="0.25">
      <c r="A104">
        <v>1532546</v>
      </c>
      <c r="B104" s="121" t="s">
        <v>10287</v>
      </c>
      <c r="C104" t="s">
        <v>32</v>
      </c>
      <c r="D104" t="s">
        <v>35</v>
      </c>
      <c r="E104" t="s">
        <v>2705</v>
      </c>
      <c r="F104" t="s">
        <v>10333</v>
      </c>
      <c r="G104" t="s">
        <v>10334</v>
      </c>
      <c r="H104" s="121" t="s">
        <v>10335</v>
      </c>
    </row>
    <row r="105" spans="1:8" x14ac:dyDescent="0.25">
      <c r="A105">
        <v>1540118</v>
      </c>
      <c r="B105" s="121" t="s">
        <v>10336</v>
      </c>
      <c r="C105" t="s">
        <v>32</v>
      </c>
      <c r="D105" t="s">
        <v>2803</v>
      </c>
      <c r="E105" t="s">
        <v>2804</v>
      </c>
      <c r="F105" t="s">
        <v>2912</v>
      </c>
      <c r="G105" t="s">
        <v>2806</v>
      </c>
      <c r="H105" s="121" t="s">
        <v>10337</v>
      </c>
    </row>
    <row r="106" spans="1:8" x14ac:dyDescent="0.25">
      <c r="A106">
        <v>1449272</v>
      </c>
      <c r="B106" s="121" t="s">
        <v>10338</v>
      </c>
      <c r="C106" t="s">
        <v>32</v>
      </c>
      <c r="D106" t="s">
        <v>564</v>
      </c>
      <c r="E106" t="s">
        <v>49</v>
      </c>
      <c r="F106" t="s">
        <v>1015</v>
      </c>
      <c r="G106" t="s">
        <v>839</v>
      </c>
      <c r="H106" s="121" t="s">
        <v>10339</v>
      </c>
    </row>
    <row r="107" spans="1:8" x14ac:dyDescent="0.25">
      <c r="A107">
        <v>1449273</v>
      </c>
      <c r="B107" s="121" t="s">
        <v>10338</v>
      </c>
      <c r="C107" t="s">
        <v>32</v>
      </c>
      <c r="D107" t="s">
        <v>564</v>
      </c>
      <c r="E107" t="s">
        <v>49</v>
      </c>
      <c r="F107" t="s">
        <v>3041</v>
      </c>
      <c r="G107" t="s">
        <v>10340</v>
      </c>
      <c r="H107" s="121" t="s">
        <v>10341</v>
      </c>
    </row>
    <row r="108" spans="1:8" x14ac:dyDescent="0.25">
      <c r="A108">
        <v>1504748</v>
      </c>
      <c r="B108" s="121" t="s">
        <v>10338</v>
      </c>
      <c r="C108" t="s">
        <v>32</v>
      </c>
      <c r="D108" t="s">
        <v>33</v>
      </c>
      <c r="E108" t="s">
        <v>373</v>
      </c>
      <c r="F108" t="s">
        <v>10342</v>
      </c>
      <c r="G108" t="s">
        <v>10343</v>
      </c>
      <c r="H108" s="121" t="s">
        <v>10344</v>
      </c>
    </row>
    <row r="109" spans="1:8" x14ac:dyDescent="0.25">
      <c r="A109">
        <v>1508904</v>
      </c>
      <c r="B109" s="121" t="s">
        <v>10338</v>
      </c>
      <c r="C109" t="s">
        <v>32</v>
      </c>
      <c r="D109" t="s">
        <v>21</v>
      </c>
      <c r="E109" t="s">
        <v>7223</v>
      </c>
      <c r="F109" t="s">
        <v>10345</v>
      </c>
      <c r="G109" t="s">
        <v>10346</v>
      </c>
      <c r="H109" s="121" t="s">
        <v>10347</v>
      </c>
    </row>
    <row r="110" spans="1:8" x14ac:dyDescent="0.25">
      <c r="A110">
        <v>1517505</v>
      </c>
      <c r="B110" s="121" t="s">
        <v>10338</v>
      </c>
      <c r="C110" t="s">
        <v>32</v>
      </c>
      <c r="D110" t="s">
        <v>35</v>
      </c>
      <c r="E110" t="s">
        <v>313</v>
      </c>
      <c r="F110" t="s">
        <v>10348</v>
      </c>
      <c r="G110" t="s">
        <v>2915</v>
      </c>
      <c r="H110" s="121" t="s">
        <v>10349</v>
      </c>
    </row>
    <row r="111" spans="1:8" x14ac:dyDescent="0.25">
      <c r="A111">
        <v>1524010</v>
      </c>
      <c r="B111" s="121" t="s">
        <v>10338</v>
      </c>
      <c r="C111" t="s">
        <v>32</v>
      </c>
      <c r="D111" t="s">
        <v>35</v>
      </c>
      <c r="E111" t="s">
        <v>318</v>
      </c>
      <c r="F111" t="s">
        <v>2900</v>
      </c>
      <c r="G111" t="s">
        <v>831</v>
      </c>
      <c r="H111" s="121" t="s">
        <v>10350</v>
      </c>
    </row>
    <row r="112" spans="1:8" x14ac:dyDescent="0.25">
      <c r="A112">
        <v>1528578</v>
      </c>
      <c r="B112" s="121" t="s">
        <v>10338</v>
      </c>
      <c r="C112" t="s">
        <v>32</v>
      </c>
      <c r="D112" t="s">
        <v>419</v>
      </c>
      <c r="E112" t="s">
        <v>266</v>
      </c>
      <c r="F112" t="s">
        <v>10351</v>
      </c>
      <c r="G112" t="s">
        <v>3317</v>
      </c>
      <c r="H112" s="121" t="s">
        <v>10352</v>
      </c>
    </row>
    <row r="113" spans="1:8" x14ac:dyDescent="0.25">
      <c r="A113">
        <v>1531665</v>
      </c>
      <c r="B113" s="121" t="s">
        <v>10338</v>
      </c>
      <c r="C113" t="s">
        <v>32</v>
      </c>
      <c r="D113" t="s">
        <v>566</v>
      </c>
      <c r="E113" t="s">
        <v>567</v>
      </c>
      <c r="F113" t="s">
        <v>10353</v>
      </c>
      <c r="G113" t="s">
        <v>860</v>
      </c>
      <c r="H113" s="121" t="s">
        <v>10354</v>
      </c>
    </row>
    <row r="114" spans="1:8" x14ac:dyDescent="0.25">
      <c r="A114">
        <v>1435678</v>
      </c>
      <c r="B114" s="121" t="s">
        <v>10355</v>
      </c>
      <c r="C114" t="s">
        <v>32</v>
      </c>
      <c r="D114" t="s">
        <v>840</v>
      </c>
      <c r="E114" t="s">
        <v>841</v>
      </c>
      <c r="F114" t="s">
        <v>843</v>
      </c>
      <c r="G114" t="s">
        <v>973</v>
      </c>
      <c r="H114" s="121" t="s">
        <v>10356</v>
      </c>
    </row>
    <row r="115" spans="1:8" x14ac:dyDescent="0.25">
      <c r="A115">
        <v>1435713</v>
      </c>
      <c r="B115" s="121" t="s">
        <v>10355</v>
      </c>
      <c r="C115" t="s">
        <v>32</v>
      </c>
      <c r="D115" t="s">
        <v>840</v>
      </c>
      <c r="E115" t="s">
        <v>841</v>
      </c>
      <c r="F115" t="s">
        <v>972</v>
      </c>
      <c r="G115" t="s">
        <v>974</v>
      </c>
      <c r="H115" s="121" t="s">
        <v>10357</v>
      </c>
    </row>
    <row r="116" spans="1:8" x14ac:dyDescent="0.25">
      <c r="A116">
        <v>1506937</v>
      </c>
      <c r="B116" s="121" t="s">
        <v>10355</v>
      </c>
      <c r="C116" t="s">
        <v>32</v>
      </c>
      <c r="D116" t="s">
        <v>374</v>
      </c>
      <c r="E116" t="s">
        <v>375</v>
      </c>
      <c r="F116" t="s">
        <v>798</v>
      </c>
      <c r="G116" t="s">
        <v>447</v>
      </c>
      <c r="H116" s="121" t="s">
        <v>10358</v>
      </c>
    </row>
    <row r="117" spans="1:8" x14ac:dyDescent="0.25">
      <c r="A117">
        <v>1510297</v>
      </c>
      <c r="B117" s="121" t="s">
        <v>10355</v>
      </c>
      <c r="C117" t="s">
        <v>32</v>
      </c>
      <c r="D117" t="s">
        <v>374</v>
      </c>
      <c r="E117" t="s">
        <v>376</v>
      </c>
      <c r="F117" t="s">
        <v>2736</v>
      </c>
      <c r="G117" t="s">
        <v>850</v>
      </c>
      <c r="H117" s="121" t="s">
        <v>10359</v>
      </c>
    </row>
    <row r="118" spans="1:8" x14ac:dyDescent="0.25">
      <c r="A118">
        <v>1510298</v>
      </c>
      <c r="B118" s="121" t="s">
        <v>10355</v>
      </c>
      <c r="C118" t="s">
        <v>32</v>
      </c>
      <c r="D118" t="s">
        <v>374</v>
      </c>
      <c r="E118" t="s">
        <v>376</v>
      </c>
      <c r="F118" t="s">
        <v>449</v>
      </c>
      <c r="G118" t="s">
        <v>800</v>
      </c>
      <c r="H118" s="121" t="s">
        <v>10360</v>
      </c>
    </row>
    <row r="119" spans="1:8" x14ac:dyDescent="0.25">
      <c r="A119">
        <v>1453116</v>
      </c>
      <c r="B119" s="121" t="s">
        <v>10361</v>
      </c>
      <c r="C119" t="s">
        <v>32</v>
      </c>
      <c r="D119" t="s">
        <v>37</v>
      </c>
      <c r="E119" t="s">
        <v>565</v>
      </c>
      <c r="F119" t="s">
        <v>10362</v>
      </c>
      <c r="G119" t="s">
        <v>10363</v>
      </c>
      <c r="H119" s="121" t="s">
        <v>10364</v>
      </c>
    </row>
    <row r="120" spans="1:8" x14ac:dyDescent="0.25">
      <c r="A120">
        <v>1453117</v>
      </c>
      <c r="B120" s="121" t="s">
        <v>10361</v>
      </c>
      <c r="C120" t="s">
        <v>32</v>
      </c>
      <c r="D120" t="s">
        <v>37</v>
      </c>
      <c r="E120" t="s">
        <v>565</v>
      </c>
      <c r="F120" t="s">
        <v>10365</v>
      </c>
      <c r="G120" t="s">
        <v>852</v>
      </c>
      <c r="H120" s="121" t="s">
        <v>10366</v>
      </c>
    </row>
    <row r="121" spans="1:8" x14ac:dyDescent="0.25">
      <c r="A121">
        <v>1530894</v>
      </c>
      <c r="B121" s="121" t="s">
        <v>10361</v>
      </c>
      <c r="C121" t="s">
        <v>32</v>
      </c>
      <c r="D121" t="s">
        <v>21</v>
      </c>
      <c r="E121" t="s">
        <v>439</v>
      </c>
      <c r="F121" t="s">
        <v>10367</v>
      </c>
      <c r="G121" t="s">
        <v>446</v>
      </c>
      <c r="H121" s="121" t="s">
        <v>10368</v>
      </c>
    </row>
    <row r="122" spans="1:8" x14ac:dyDescent="0.25">
      <c r="A122">
        <v>1530895</v>
      </c>
      <c r="B122" s="121" t="s">
        <v>10361</v>
      </c>
      <c r="C122" t="s">
        <v>32</v>
      </c>
      <c r="D122" t="s">
        <v>21</v>
      </c>
      <c r="E122" t="s">
        <v>439</v>
      </c>
      <c r="F122" t="s">
        <v>445</v>
      </c>
      <c r="G122" t="s">
        <v>10369</v>
      </c>
      <c r="H122" s="121" t="s">
        <v>10370</v>
      </c>
    </row>
    <row r="123" spans="1:8" x14ac:dyDescent="0.25">
      <c r="A123">
        <v>1536322</v>
      </c>
      <c r="B123" s="121" t="s">
        <v>10361</v>
      </c>
      <c r="C123" t="s">
        <v>32</v>
      </c>
      <c r="D123" t="s">
        <v>377</v>
      </c>
      <c r="E123" t="s">
        <v>7794</v>
      </c>
      <c r="F123" t="s">
        <v>10371</v>
      </c>
      <c r="G123" t="s">
        <v>10372</v>
      </c>
      <c r="H123" s="121" t="s">
        <v>10373</v>
      </c>
    </row>
    <row r="124" spans="1:8" x14ac:dyDescent="0.25">
      <c r="A124">
        <v>1536759</v>
      </c>
      <c r="B124" s="121" t="s">
        <v>10361</v>
      </c>
      <c r="C124" t="s">
        <v>32</v>
      </c>
      <c r="D124" t="s">
        <v>377</v>
      </c>
      <c r="E124" t="s">
        <v>10374</v>
      </c>
      <c r="F124" t="s">
        <v>10375</v>
      </c>
      <c r="G124" t="s">
        <v>10376</v>
      </c>
      <c r="H124" s="121" t="s">
        <v>10377</v>
      </c>
    </row>
    <row r="125" spans="1:8" x14ac:dyDescent="0.25">
      <c r="A125">
        <v>1540119</v>
      </c>
      <c r="B125" s="121" t="s">
        <v>10361</v>
      </c>
      <c r="C125" t="s">
        <v>32</v>
      </c>
      <c r="D125" t="s">
        <v>2803</v>
      </c>
      <c r="E125" t="s">
        <v>2804</v>
      </c>
      <c r="F125" t="s">
        <v>10378</v>
      </c>
      <c r="G125" t="s">
        <v>10379</v>
      </c>
      <c r="H125" s="121" t="s">
        <v>10380</v>
      </c>
    </row>
    <row r="126" spans="1:8" x14ac:dyDescent="0.25">
      <c r="A126">
        <v>1477381</v>
      </c>
      <c r="B126" s="121" t="s">
        <v>10381</v>
      </c>
      <c r="C126" t="s">
        <v>32</v>
      </c>
      <c r="D126" t="s">
        <v>381</v>
      </c>
      <c r="E126" t="s">
        <v>397</v>
      </c>
      <c r="F126" t="s">
        <v>10382</v>
      </c>
      <c r="G126" t="s">
        <v>5834</v>
      </c>
      <c r="H126" s="121" t="s">
        <v>10383</v>
      </c>
    </row>
    <row r="127" spans="1:8" x14ac:dyDescent="0.25">
      <c r="A127">
        <v>1487386</v>
      </c>
      <c r="B127" s="121" t="s">
        <v>10381</v>
      </c>
      <c r="C127" t="s">
        <v>32</v>
      </c>
      <c r="D127" t="s">
        <v>381</v>
      </c>
      <c r="E127" t="s">
        <v>548</v>
      </c>
      <c r="F127" t="s">
        <v>883</v>
      </c>
      <c r="G127" t="s">
        <v>10384</v>
      </c>
      <c r="H127" s="121" t="s">
        <v>10385</v>
      </c>
    </row>
    <row r="128" spans="1:8" x14ac:dyDescent="0.25">
      <c r="A128">
        <v>1487389</v>
      </c>
      <c r="B128" s="121" t="s">
        <v>10381</v>
      </c>
      <c r="C128" t="s">
        <v>32</v>
      </c>
      <c r="D128" t="s">
        <v>381</v>
      </c>
      <c r="E128" t="s">
        <v>548</v>
      </c>
      <c r="F128" t="s">
        <v>880</v>
      </c>
      <c r="G128" t="s">
        <v>3978</v>
      </c>
      <c r="H128" s="121" t="s">
        <v>10386</v>
      </c>
    </row>
    <row r="129" spans="1:8" x14ac:dyDescent="0.25">
      <c r="A129">
        <v>1487390</v>
      </c>
      <c r="B129" s="121" t="s">
        <v>10381</v>
      </c>
      <c r="C129" t="s">
        <v>32</v>
      </c>
      <c r="D129" t="s">
        <v>381</v>
      </c>
      <c r="E129" t="s">
        <v>548</v>
      </c>
      <c r="F129" t="s">
        <v>904</v>
      </c>
      <c r="G129" t="s">
        <v>882</v>
      </c>
      <c r="H129" s="121" t="s">
        <v>10387</v>
      </c>
    </row>
    <row r="130" spans="1:8" x14ac:dyDescent="0.25">
      <c r="A130">
        <v>1487546</v>
      </c>
      <c r="B130" s="121" t="s">
        <v>10381</v>
      </c>
      <c r="C130" t="s">
        <v>32</v>
      </c>
      <c r="D130" t="s">
        <v>381</v>
      </c>
      <c r="E130" t="s">
        <v>571</v>
      </c>
      <c r="F130" t="s">
        <v>10388</v>
      </c>
      <c r="G130" t="s">
        <v>1576</v>
      </c>
      <c r="H130" s="121" t="s">
        <v>10389</v>
      </c>
    </row>
    <row r="131" spans="1:8" x14ac:dyDescent="0.25">
      <c r="A131">
        <v>1487655</v>
      </c>
      <c r="B131" s="121" t="s">
        <v>10381</v>
      </c>
      <c r="C131" t="s">
        <v>32</v>
      </c>
      <c r="D131" t="s">
        <v>381</v>
      </c>
      <c r="E131" t="s">
        <v>624</v>
      </c>
      <c r="F131" t="s">
        <v>4750</v>
      </c>
      <c r="G131" t="s">
        <v>10390</v>
      </c>
      <c r="H131" s="121" t="s">
        <v>10391</v>
      </c>
    </row>
    <row r="132" spans="1:8" x14ac:dyDescent="0.25">
      <c r="A132">
        <v>1487767</v>
      </c>
      <c r="B132" s="121" t="s">
        <v>10381</v>
      </c>
      <c r="C132" t="s">
        <v>32</v>
      </c>
      <c r="D132" t="s">
        <v>381</v>
      </c>
      <c r="E132" t="s">
        <v>572</v>
      </c>
      <c r="F132" t="s">
        <v>886</v>
      </c>
      <c r="G132" t="s">
        <v>2989</v>
      </c>
      <c r="H132" s="121" t="s">
        <v>10392</v>
      </c>
    </row>
    <row r="133" spans="1:8" x14ac:dyDescent="0.25">
      <c r="A133">
        <v>1487768</v>
      </c>
      <c r="B133" s="121" t="s">
        <v>10381</v>
      </c>
      <c r="C133" t="s">
        <v>32</v>
      </c>
      <c r="D133" t="s">
        <v>381</v>
      </c>
      <c r="E133" t="s">
        <v>572</v>
      </c>
      <c r="F133" t="s">
        <v>1762</v>
      </c>
      <c r="G133" t="s">
        <v>1582</v>
      </c>
      <c r="H133" s="121" t="s">
        <v>10393</v>
      </c>
    </row>
    <row r="134" spans="1:8" x14ac:dyDescent="0.25">
      <c r="A134">
        <v>1489526</v>
      </c>
      <c r="B134" s="121" t="s">
        <v>10381</v>
      </c>
      <c r="C134" t="s">
        <v>32</v>
      </c>
      <c r="D134" t="s">
        <v>381</v>
      </c>
      <c r="E134" t="s">
        <v>573</v>
      </c>
      <c r="F134" t="s">
        <v>1591</v>
      </c>
      <c r="G134" t="s">
        <v>1589</v>
      </c>
      <c r="H134" s="121" t="s">
        <v>10394</v>
      </c>
    </row>
    <row r="135" spans="1:8" x14ac:dyDescent="0.25">
      <c r="A135">
        <v>1489528</v>
      </c>
      <c r="B135" s="121" t="s">
        <v>10381</v>
      </c>
      <c r="C135" t="s">
        <v>32</v>
      </c>
      <c r="D135" t="s">
        <v>381</v>
      </c>
      <c r="E135" t="s">
        <v>573</v>
      </c>
      <c r="F135" t="s">
        <v>10395</v>
      </c>
      <c r="G135" t="s">
        <v>1588</v>
      </c>
      <c r="H135" s="121" t="s">
        <v>10396</v>
      </c>
    </row>
    <row r="136" spans="1:8" x14ac:dyDescent="0.25">
      <c r="A136">
        <v>1489660</v>
      </c>
      <c r="B136" s="121" t="s">
        <v>10381</v>
      </c>
      <c r="C136" t="s">
        <v>32</v>
      </c>
      <c r="D136" t="s">
        <v>381</v>
      </c>
      <c r="E136" t="s">
        <v>568</v>
      </c>
      <c r="F136" t="s">
        <v>888</v>
      </c>
      <c r="G136" t="s">
        <v>2940</v>
      </c>
      <c r="H136" s="121" t="s">
        <v>10397</v>
      </c>
    </row>
    <row r="137" spans="1:8" x14ac:dyDescent="0.25">
      <c r="A137">
        <v>1489661</v>
      </c>
      <c r="B137" s="121" t="s">
        <v>10381</v>
      </c>
      <c r="C137" t="s">
        <v>32</v>
      </c>
      <c r="D137" t="s">
        <v>381</v>
      </c>
      <c r="E137" t="s">
        <v>568</v>
      </c>
      <c r="F137" t="s">
        <v>889</v>
      </c>
      <c r="G137" t="s">
        <v>10398</v>
      </c>
      <c r="H137" s="121" t="s">
        <v>10399</v>
      </c>
    </row>
    <row r="138" spans="1:8" x14ac:dyDescent="0.25">
      <c r="A138">
        <v>1391820</v>
      </c>
      <c r="B138" s="121" t="s">
        <v>10400</v>
      </c>
      <c r="C138" t="s">
        <v>32</v>
      </c>
      <c r="D138" t="s">
        <v>332</v>
      </c>
      <c r="E138" t="s">
        <v>333</v>
      </c>
      <c r="F138" t="s">
        <v>10401</v>
      </c>
      <c r="G138" t="s">
        <v>4194</v>
      </c>
      <c r="H138" s="121" t="s">
        <v>10402</v>
      </c>
    </row>
    <row r="139" spans="1:8" x14ac:dyDescent="0.25">
      <c r="A139">
        <v>1394928</v>
      </c>
      <c r="B139" s="121" t="s">
        <v>10400</v>
      </c>
      <c r="C139" t="s">
        <v>32</v>
      </c>
      <c r="D139" t="s">
        <v>268</v>
      </c>
      <c r="E139" t="s">
        <v>392</v>
      </c>
      <c r="F139" t="s">
        <v>10403</v>
      </c>
      <c r="G139" t="s">
        <v>4464</v>
      </c>
      <c r="H139" s="121" t="s">
        <v>10404</v>
      </c>
    </row>
    <row r="140" spans="1:8" x14ac:dyDescent="0.25">
      <c r="A140">
        <v>1394929</v>
      </c>
      <c r="B140" s="121" t="s">
        <v>10400</v>
      </c>
      <c r="C140" t="s">
        <v>32</v>
      </c>
      <c r="D140" t="s">
        <v>268</v>
      </c>
      <c r="E140" t="s">
        <v>392</v>
      </c>
      <c r="F140" t="s">
        <v>10405</v>
      </c>
      <c r="G140" t="s">
        <v>913</v>
      </c>
      <c r="H140" s="121" t="s">
        <v>10406</v>
      </c>
    </row>
    <row r="141" spans="1:8" x14ac:dyDescent="0.25">
      <c r="A141">
        <v>1394930</v>
      </c>
      <c r="B141" s="121" t="s">
        <v>10400</v>
      </c>
      <c r="C141" t="s">
        <v>32</v>
      </c>
      <c r="D141" t="s">
        <v>268</v>
      </c>
      <c r="E141" t="s">
        <v>392</v>
      </c>
      <c r="F141" t="s">
        <v>4461</v>
      </c>
      <c r="G141" t="s">
        <v>10407</v>
      </c>
      <c r="H141" s="121" t="s">
        <v>10408</v>
      </c>
    </row>
    <row r="142" spans="1:8" x14ac:dyDescent="0.25">
      <c r="A142">
        <v>1398882</v>
      </c>
      <c r="B142" s="121" t="s">
        <v>10400</v>
      </c>
      <c r="C142" t="s">
        <v>32</v>
      </c>
      <c r="D142" t="s">
        <v>332</v>
      </c>
      <c r="E142" t="s">
        <v>396</v>
      </c>
      <c r="F142" t="s">
        <v>10409</v>
      </c>
      <c r="G142" t="s">
        <v>4504</v>
      </c>
      <c r="H142" s="121" t="s">
        <v>10410</v>
      </c>
    </row>
    <row r="143" spans="1:8" x14ac:dyDescent="0.25">
      <c r="A143">
        <v>1403802</v>
      </c>
      <c r="B143" s="121" t="s">
        <v>10400</v>
      </c>
      <c r="C143" t="s">
        <v>32</v>
      </c>
      <c r="D143" t="s">
        <v>38</v>
      </c>
      <c r="E143" t="s">
        <v>39</v>
      </c>
      <c r="F143" t="s">
        <v>10411</v>
      </c>
      <c r="G143" t="s">
        <v>2478</v>
      </c>
      <c r="H143" s="121" t="s">
        <v>10412</v>
      </c>
    </row>
    <row r="144" spans="1:8" x14ac:dyDescent="0.25">
      <c r="A144">
        <v>1422067</v>
      </c>
      <c r="B144" s="121" t="s">
        <v>10400</v>
      </c>
      <c r="C144" t="s">
        <v>32</v>
      </c>
      <c r="D144" t="s">
        <v>268</v>
      </c>
      <c r="E144" t="s">
        <v>601</v>
      </c>
      <c r="F144" t="s">
        <v>899</v>
      </c>
      <c r="G144" t="s">
        <v>4598</v>
      </c>
      <c r="H144" s="121" t="s">
        <v>10413</v>
      </c>
    </row>
    <row r="145" spans="1:8" x14ac:dyDescent="0.25">
      <c r="A145">
        <v>1422068</v>
      </c>
      <c r="B145" s="121" t="s">
        <v>10400</v>
      </c>
      <c r="C145" t="s">
        <v>32</v>
      </c>
      <c r="D145" t="s">
        <v>268</v>
      </c>
      <c r="E145" t="s">
        <v>601</v>
      </c>
      <c r="F145" t="s">
        <v>898</v>
      </c>
      <c r="G145" t="s">
        <v>1700</v>
      </c>
      <c r="H145" s="121" t="s">
        <v>10414</v>
      </c>
    </row>
    <row r="146" spans="1:8" x14ac:dyDescent="0.25">
      <c r="A146">
        <v>1422453</v>
      </c>
      <c r="B146" s="121" t="s">
        <v>10400</v>
      </c>
      <c r="C146" t="s">
        <v>32</v>
      </c>
      <c r="D146" t="s">
        <v>268</v>
      </c>
      <c r="E146" t="s">
        <v>620</v>
      </c>
      <c r="F146" t="s">
        <v>10415</v>
      </c>
      <c r="G146" t="s">
        <v>4620</v>
      </c>
      <c r="H146" s="121" t="s">
        <v>10416</v>
      </c>
    </row>
    <row r="147" spans="1:8" x14ac:dyDescent="0.25">
      <c r="A147">
        <v>1422454</v>
      </c>
      <c r="B147" s="121" t="s">
        <v>10400</v>
      </c>
      <c r="C147" t="s">
        <v>32</v>
      </c>
      <c r="D147" t="s">
        <v>268</v>
      </c>
      <c r="E147" t="s">
        <v>620</v>
      </c>
      <c r="F147" t="s">
        <v>1541</v>
      </c>
      <c r="G147" t="s">
        <v>4624</v>
      </c>
      <c r="H147" s="121" t="s">
        <v>10417</v>
      </c>
    </row>
    <row r="148" spans="1:8" x14ac:dyDescent="0.25">
      <c r="A148">
        <v>1489666</v>
      </c>
      <c r="B148" s="121" t="s">
        <v>10400</v>
      </c>
      <c r="C148" t="s">
        <v>32</v>
      </c>
      <c r="D148" t="s">
        <v>381</v>
      </c>
      <c r="E148" t="s">
        <v>568</v>
      </c>
      <c r="F148" t="s">
        <v>907</v>
      </c>
      <c r="G148" t="s">
        <v>4766</v>
      </c>
      <c r="H148" s="121" t="s">
        <v>10418</v>
      </c>
    </row>
    <row r="149" spans="1:8" x14ac:dyDescent="0.25">
      <c r="A149">
        <v>1489798</v>
      </c>
      <c r="B149" s="121" t="s">
        <v>10400</v>
      </c>
      <c r="C149" t="s">
        <v>32</v>
      </c>
      <c r="D149" t="s">
        <v>381</v>
      </c>
      <c r="E149" t="s">
        <v>550</v>
      </c>
      <c r="F149" t="s">
        <v>909</v>
      </c>
      <c r="G149" t="s">
        <v>4774</v>
      </c>
      <c r="H149" s="121" t="s">
        <v>10419</v>
      </c>
    </row>
    <row r="150" spans="1:8" x14ac:dyDescent="0.25">
      <c r="A150">
        <v>1518948</v>
      </c>
      <c r="B150" s="121" t="s">
        <v>10400</v>
      </c>
      <c r="C150" t="s">
        <v>32</v>
      </c>
      <c r="D150" t="s">
        <v>38</v>
      </c>
      <c r="E150" t="s">
        <v>7457</v>
      </c>
      <c r="F150" t="s">
        <v>10420</v>
      </c>
      <c r="G150" t="s">
        <v>10421</v>
      </c>
      <c r="H150" s="121" t="s">
        <v>10422</v>
      </c>
    </row>
    <row r="151" spans="1:8" x14ac:dyDescent="0.25">
      <c r="A151">
        <v>1518953</v>
      </c>
      <c r="B151" s="121" t="s">
        <v>10400</v>
      </c>
      <c r="C151" t="s">
        <v>32</v>
      </c>
      <c r="D151" t="s">
        <v>38</v>
      </c>
      <c r="E151" t="s">
        <v>7457</v>
      </c>
      <c r="F151" t="s">
        <v>10423</v>
      </c>
      <c r="G151" t="s">
        <v>10424</v>
      </c>
      <c r="H151" s="121" t="s">
        <v>10425</v>
      </c>
    </row>
    <row r="152" spans="1:8" x14ac:dyDescent="0.25">
      <c r="A152">
        <v>1518954</v>
      </c>
      <c r="B152" s="121" t="s">
        <v>10400</v>
      </c>
      <c r="C152" t="s">
        <v>32</v>
      </c>
      <c r="D152" t="s">
        <v>38</v>
      </c>
      <c r="E152" t="s">
        <v>7457</v>
      </c>
      <c r="F152" t="s">
        <v>10426</v>
      </c>
      <c r="G152" t="s">
        <v>10427</v>
      </c>
      <c r="H152" s="121" t="s">
        <v>10428</v>
      </c>
    </row>
    <row r="153" spans="1:8" x14ac:dyDescent="0.25">
      <c r="A153">
        <v>1408024</v>
      </c>
      <c r="B153" s="121" t="s">
        <v>10429</v>
      </c>
      <c r="C153" t="s">
        <v>32</v>
      </c>
      <c r="D153" t="s">
        <v>43</v>
      </c>
      <c r="E153" t="s">
        <v>341</v>
      </c>
      <c r="F153" t="s">
        <v>911</v>
      </c>
      <c r="G153" t="s">
        <v>10430</v>
      </c>
      <c r="H153" s="121" t="s">
        <v>10431</v>
      </c>
    </row>
    <row r="154" spans="1:8" x14ac:dyDescent="0.25">
      <c r="A154">
        <v>1404611</v>
      </c>
      <c r="B154" s="121" t="s">
        <v>10432</v>
      </c>
      <c r="C154" t="s">
        <v>32</v>
      </c>
      <c r="D154" t="s">
        <v>41</v>
      </c>
      <c r="E154" t="s">
        <v>262</v>
      </c>
      <c r="F154" t="s">
        <v>917</v>
      </c>
      <c r="G154" t="s">
        <v>3385</v>
      </c>
      <c r="H154" s="121" t="s">
        <v>10433</v>
      </c>
    </row>
    <row r="155" spans="1:8" x14ac:dyDescent="0.25">
      <c r="A155">
        <v>1414275</v>
      </c>
      <c r="B155" s="121" t="s">
        <v>10432</v>
      </c>
      <c r="C155" t="s">
        <v>32</v>
      </c>
      <c r="D155" t="s">
        <v>43</v>
      </c>
      <c r="E155" t="s">
        <v>592</v>
      </c>
      <c r="F155" t="s">
        <v>918</v>
      </c>
      <c r="G155" t="s">
        <v>3849</v>
      </c>
      <c r="H155" s="121" t="s">
        <v>10434</v>
      </c>
    </row>
    <row r="156" spans="1:8" x14ac:dyDescent="0.25">
      <c r="A156">
        <v>1416387</v>
      </c>
      <c r="B156" s="121" t="s">
        <v>10432</v>
      </c>
      <c r="C156" t="s">
        <v>32</v>
      </c>
      <c r="D156" t="s">
        <v>319</v>
      </c>
      <c r="E156" t="s">
        <v>320</v>
      </c>
      <c r="F156" t="s">
        <v>1031</v>
      </c>
      <c r="G156" t="s">
        <v>2934</v>
      </c>
      <c r="H156" s="121" t="s">
        <v>10435</v>
      </c>
    </row>
    <row r="157" spans="1:8" x14ac:dyDescent="0.25">
      <c r="A157">
        <v>1462809</v>
      </c>
      <c r="B157" s="121" t="s">
        <v>10432</v>
      </c>
      <c r="C157" t="s">
        <v>32</v>
      </c>
      <c r="D157" t="s">
        <v>40</v>
      </c>
      <c r="E157" t="s">
        <v>667</v>
      </c>
      <c r="F157" t="s">
        <v>1136</v>
      </c>
      <c r="G157" t="s">
        <v>10436</v>
      </c>
      <c r="H157" s="121" t="s">
        <v>10437</v>
      </c>
    </row>
    <row r="158" spans="1:8" x14ac:dyDescent="0.25">
      <c r="A158">
        <v>1469699</v>
      </c>
      <c r="B158" s="121" t="s">
        <v>10432</v>
      </c>
      <c r="C158" t="s">
        <v>32</v>
      </c>
      <c r="D158" t="s">
        <v>35</v>
      </c>
      <c r="E158" t="s">
        <v>36</v>
      </c>
      <c r="F158" t="s">
        <v>757</v>
      </c>
      <c r="G158" t="s">
        <v>2654</v>
      </c>
      <c r="H158" s="121" t="s">
        <v>10438</v>
      </c>
    </row>
    <row r="159" spans="1:8" x14ac:dyDescent="0.25">
      <c r="A159">
        <v>1481939</v>
      </c>
      <c r="B159" s="121" t="s">
        <v>10432</v>
      </c>
      <c r="C159" t="s">
        <v>32</v>
      </c>
      <c r="D159" t="s">
        <v>51</v>
      </c>
      <c r="E159" t="s">
        <v>383</v>
      </c>
      <c r="F159" t="s">
        <v>3222</v>
      </c>
      <c r="G159" t="s">
        <v>10439</v>
      </c>
      <c r="H159" s="121" t="s">
        <v>10440</v>
      </c>
    </row>
    <row r="160" spans="1:8" x14ac:dyDescent="0.25">
      <c r="A160">
        <v>1518126</v>
      </c>
      <c r="B160" s="121" t="s">
        <v>10432</v>
      </c>
      <c r="C160" t="s">
        <v>32</v>
      </c>
      <c r="D160" t="s">
        <v>379</v>
      </c>
      <c r="E160" t="s">
        <v>380</v>
      </c>
      <c r="F160" t="s">
        <v>866</v>
      </c>
      <c r="G160" t="s">
        <v>10441</v>
      </c>
      <c r="H160" s="121" t="s">
        <v>10442</v>
      </c>
    </row>
    <row r="161" spans="1:8" x14ac:dyDescent="0.25">
      <c r="A161">
        <v>1518373</v>
      </c>
      <c r="B161" s="121" t="s">
        <v>10432</v>
      </c>
      <c r="C161" t="s">
        <v>32</v>
      </c>
      <c r="D161" t="s">
        <v>43</v>
      </c>
      <c r="E161" t="s">
        <v>576</v>
      </c>
      <c r="F161" t="s">
        <v>3254</v>
      </c>
      <c r="G161" t="s">
        <v>3054</v>
      </c>
      <c r="H161" s="121" t="s">
        <v>10443</v>
      </c>
    </row>
    <row r="162" spans="1:8" x14ac:dyDescent="0.25">
      <c r="A162">
        <v>1518378</v>
      </c>
      <c r="B162" s="121" t="s">
        <v>10432</v>
      </c>
      <c r="C162" t="s">
        <v>32</v>
      </c>
      <c r="D162" t="s">
        <v>43</v>
      </c>
      <c r="E162" t="s">
        <v>576</v>
      </c>
      <c r="F162" t="s">
        <v>10444</v>
      </c>
      <c r="G162" t="s">
        <v>949</v>
      </c>
      <c r="H162" s="121" t="s">
        <v>10445</v>
      </c>
    </row>
    <row r="163" spans="1:8" x14ac:dyDescent="0.25">
      <c r="A163">
        <v>1518384</v>
      </c>
      <c r="B163" s="121" t="s">
        <v>10432</v>
      </c>
      <c r="C163" t="s">
        <v>32</v>
      </c>
      <c r="D163" t="s">
        <v>43</v>
      </c>
      <c r="E163" t="s">
        <v>576</v>
      </c>
      <c r="F163" t="s">
        <v>955</v>
      </c>
      <c r="G163" t="s">
        <v>1221</v>
      </c>
      <c r="H163" s="121" t="s">
        <v>10446</v>
      </c>
    </row>
    <row r="164" spans="1:8" x14ac:dyDescent="0.25">
      <c r="A164">
        <v>1518398</v>
      </c>
      <c r="B164" s="121" t="s">
        <v>10432</v>
      </c>
      <c r="C164" t="s">
        <v>32</v>
      </c>
      <c r="D164" t="s">
        <v>43</v>
      </c>
      <c r="E164" t="s">
        <v>576</v>
      </c>
      <c r="F164" t="s">
        <v>1275</v>
      </c>
      <c r="G164" t="s">
        <v>10447</v>
      </c>
      <c r="H164" s="121" t="s">
        <v>10448</v>
      </c>
    </row>
    <row r="165" spans="1:8" x14ac:dyDescent="0.25">
      <c r="A165">
        <v>1526983</v>
      </c>
      <c r="B165" s="121" t="s">
        <v>10432</v>
      </c>
      <c r="C165" t="s">
        <v>2909</v>
      </c>
      <c r="D165" t="s">
        <v>21</v>
      </c>
      <c r="E165" t="s">
        <v>7468</v>
      </c>
      <c r="F165" t="s">
        <v>10449</v>
      </c>
      <c r="G165" t="s">
        <v>10450</v>
      </c>
      <c r="H165" s="121" t="s">
        <v>10451</v>
      </c>
    </row>
    <row r="166" spans="1:8" x14ac:dyDescent="0.25">
      <c r="A166">
        <v>1527801</v>
      </c>
      <c r="B166" s="121" t="s">
        <v>10432</v>
      </c>
      <c r="C166" t="s">
        <v>32</v>
      </c>
      <c r="D166" t="s">
        <v>377</v>
      </c>
      <c r="E166" t="s">
        <v>870</v>
      </c>
      <c r="F166" t="s">
        <v>1153</v>
      </c>
      <c r="G166" t="s">
        <v>1493</v>
      </c>
      <c r="H166" s="121" t="s">
        <v>10452</v>
      </c>
    </row>
    <row r="167" spans="1:8" x14ac:dyDescent="0.25">
      <c r="A167">
        <v>1527929</v>
      </c>
      <c r="B167" s="121" t="s">
        <v>10432</v>
      </c>
      <c r="C167" t="s">
        <v>32</v>
      </c>
      <c r="D167" t="s">
        <v>569</v>
      </c>
      <c r="E167" t="s">
        <v>49</v>
      </c>
      <c r="F167" t="s">
        <v>2956</v>
      </c>
      <c r="G167" t="s">
        <v>10453</v>
      </c>
      <c r="H167" s="121" t="s">
        <v>10454</v>
      </c>
    </row>
    <row r="168" spans="1:8" x14ac:dyDescent="0.25">
      <c r="A168">
        <v>1539759</v>
      </c>
      <c r="B168" s="121" t="s">
        <v>10432</v>
      </c>
      <c r="C168" t="s">
        <v>32</v>
      </c>
      <c r="D168" t="s">
        <v>5924</v>
      </c>
      <c r="E168" t="s">
        <v>7410</v>
      </c>
      <c r="F168" t="s">
        <v>10455</v>
      </c>
      <c r="G168" t="s">
        <v>10456</v>
      </c>
      <c r="H168" s="121" t="s">
        <v>10457</v>
      </c>
    </row>
    <row r="169" spans="1:8" x14ac:dyDescent="0.25">
      <c r="A169">
        <v>1540066</v>
      </c>
      <c r="B169" s="121" t="s">
        <v>10432</v>
      </c>
      <c r="C169" t="s">
        <v>32</v>
      </c>
      <c r="D169" t="s">
        <v>21</v>
      </c>
      <c r="E169" t="s">
        <v>7529</v>
      </c>
      <c r="F169" t="s">
        <v>10458</v>
      </c>
      <c r="G169" t="s">
        <v>10459</v>
      </c>
      <c r="H169" s="121" t="s">
        <v>10460</v>
      </c>
    </row>
    <row r="170" spans="1:8" x14ac:dyDescent="0.25">
      <c r="A170">
        <v>1459075</v>
      </c>
      <c r="B170" s="121" t="s">
        <v>10461</v>
      </c>
      <c r="C170" t="s">
        <v>32</v>
      </c>
      <c r="D170" t="s">
        <v>40</v>
      </c>
      <c r="E170" t="s">
        <v>639</v>
      </c>
      <c r="F170" t="s">
        <v>6215</v>
      </c>
      <c r="G170" t="s">
        <v>10462</v>
      </c>
      <c r="H170" s="121" t="s">
        <v>10463</v>
      </c>
    </row>
    <row r="171" spans="1:8" x14ac:dyDescent="0.25">
      <c r="A171">
        <v>1432466</v>
      </c>
      <c r="B171" s="121" t="s">
        <v>10464</v>
      </c>
      <c r="C171" t="s">
        <v>32</v>
      </c>
      <c r="D171" t="s">
        <v>40</v>
      </c>
      <c r="E171" t="s">
        <v>645</v>
      </c>
      <c r="F171" t="s">
        <v>1045</v>
      </c>
      <c r="G171" t="s">
        <v>2097</v>
      </c>
      <c r="H171" s="121" t="s">
        <v>10465</v>
      </c>
    </row>
    <row r="172" spans="1:8" x14ac:dyDescent="0.25">
      <c r="A172">
        <v>1433082</v>
      </c>
      <c r="B172" s="121" t="s">
        <v>10464</v>
      </c>
      <c r="C172" t="s">
        <v>32</v>
      </c>
      <c r="D172" t="s">
        <v>40</v>
      </c>
      <c r="E172" t="s">
        <v>1046</v>
      </c>
      <c r="F172" t="s">
        <v>1055</v>
      </c>
      <c r="G172" t="s">
        <v>2250</v>
      </c>
      <c r="H172" s="121" t="s">
        <v>10466</v>
      </c>
    </row>
    <row r="173" spans="1:8" x14ac:dyDescent="0.25">
      <c r="A173">
        <v>1452778</v>
      </c>
      <c r="B173" s="121" t="s">
        <v>10464</v>
      </c>
      <c r="C173" t="s">
        <v>32</v>
      </c>
      <c r="D173" t="s">
        <v>40</v>
      </c>
      <c r="E173" t="s">
        <v>997</v>
      </c>
      <c r="F173" t="s">
        <v>1073</v>
      </c>
      <c r="G173" t="s">
        <v>1075</v>
      </c>
      <c r="H173" s="121" t="s">
        <v>10467</v>
      </c>
    </row>
    <row r="174" spans="1:8" x14ac:dyDescent="0.25">
      <c r="A174">
        <v>1459076</v>
      </c>
      <c r="B174" s="121" t="s">
        <v>10464</v>
      </c>
      <c r="C174" t="s">
        <v>32</v>
      </c>
      <c r="D174" t="s">
        <v>40</v>
      </c>
      <c r="E174" t="s">
        <v>639</v>
      </c>
      <c r="F174" t="s">
        <v>2191</v>
      </c>
      <c r="G174" t="s">
        <v>10468</v>
      </c>
      <c r="H174" s="121" t="s">
        <v>10469</v>
      </c>
    </row>
    <row r="175" spans="1:8" x14ac:dyDescent="0.25">
      <c r="A175">
        <v>1460062</v>
      </c>
      <c r="B175" s="121" t="s">
        <v>10464</v>
      </c>
      <c r="C175" t="s">
        <v>32</v>
      </c>
      <c r="D175" t="s">
        <v>40</v>
      </c>
      <c r="E175" t="s">
        <v>1005</v>
      </c>
      <c r="F175" t="s">
        <v>1007</v>
      </c>
      <c r="G175" t="s">
        <v>1016</v>
      </c>
      <c r="H175" s="121" t="s">
        <v>10470</v>
      </c>
    </row>
    <row r="176" spans="1:8" x14ac:dyDescent="0.25">
      <c r="A176">
        <v>1460064</v>
      </c>
      <c r="B176" s="121" t="s">
        <v>10464</v>
      </c>
      <c r="C176" t="s">
        <v>32</v>
      </c>
      <c r="D176" t="s">
        <v>40</v>
      </c>
      <c r="E176" t="s">
        <v>1005</v>
      </c>
      <c r="F176" t="s">
        <v>1099</v>
      </c>
      <c r="G176" t="s">
        <v>2048</v>
      </c>
      <c r="H176" s="121" t="s">
        <v>10471</v>
      </c>
    </row>
    <row r="177" spans="1:8" x14ac:dyDescent="0.25">
      <c r="A177">
        <v>1460068</v>
      </c>
      <c r="B177" s="121" t="s">
        <v>10464</v>
      </c>
      <c r="C177" t="s">
        <v>32</v>
      </c>
      <c r="D177" t="s">
        <v>40</v>
      </c>
      <c r="E177" t="s">
        <v>1005</v>
      </c>
      <c r="F177" t="s">
        <v>1101</v>
      </c>
      <c r="G177" t="s">
        <v>1017</v>
      </c>
      <c r="H177" s="121" t="s">
        <v>10472</v>
      </c>
    </row>
    <row r="178" spans="1:8" x14ac:dyDescent="0.25">
      <c r="A178">
        <v>1460069</v>
      </c>
      <c r="B178" s="121" t="s">
        <v>10464</v>
      </c>
      <c r="C178" t="s">
        <v>32</v>
      </c>
      <c r="D178" t="s">
        <v>40</v>
      </c>
      <c r="E178" t="s">
        <v>1005</v>
      </c>
      <c r="F178" t="s">
        <v>1006</v>
      </c>
      <c r="G178" t="s">
        <v>2047</v>
      </c>
      <c r="H178" s="121" t="s">
        <v>10473</v>
      </c>
    </row>
    <row r="179" spans="1:8" x14ac:dyDescent="0.25">
      <c r="A179">
        <v>1461893</v>
      </c>
      <c r="B179" s="121" t="s">
        <v>10464</v>
      </c>
      <c r="C179" t="s">
        <v>32</v>
      </c>
      <c r="D179" t="s">
        <v>40</v>
      </c>
      <c r="E179" t="s">
        <v>649</v>
      </c>
      <c r="F179" t="s">
        <v>10474</v>
      </c>
      <c r="G179" t="s">
        <v>1008</v>
      </c>
      <c r="H179" s="121" t="s">
        <v>10475</v>
      </c>
    </row>
    <row r="180" spans="1:8" x14ac:dyDescent="0.25">
      <c r="A180">
        <v>1461899</v>
      </c>
      <c r="B180" s="121" t="s">
        <v>10464</v>
      </c>
      <c r="C180" t="s">
        <v>32</v>
      </c>
      <c r="D180" t="s">
        <v>40</v>
      </c>
      <c r="E180" t="s">
        <v>649</v>
      </c>
      <c r="F180" t="s">
        <v>2121</v>
      </c>
      <c r="G180" t="s">
        <v>6045</v>
      </c>
      <c r="H180" s="121" t="s">
        <v>10476</v>
      </c>
    </row>
    <row r="181" spans="1:8" x14ac:dyDescent="0.25">
      <c r="A181">
        <v>1462810</v>
      </c>
      <c r="B181" s="121" t="s">
        <v>10464</v>
      </c>
      <c r="C181" t="s">
        <v>32</v>
      </c>
      <c r="D181" t="s">
        <v>40</v>
      </c>
      <c r="E181" t="s">
        <v>667</v>
      </c>
      <c r="F181" t="s">
        <v>1134</v>
      </c>
      <c r="G181" t="s">
        <v>2133</v>
      </c>
      <c r="H181" s="121" t="s">
        <v>10477</v>
      </c>
    </row>
    <row r="182" spans="1:8" x14ac:dyDescent="0.25">
      <c r="A182">
        <v>1463115</v>
      </c>
      <c r="B182" s="121" t="s">
        <v>10464</v>
      </c>
      <c r="C182" t="s">
        <v>32</v>
      </c>
      <c r="D182" t="s">
        <v>40</v>
      </c>
      <c r="E182" t="s">
        <v>651</v>
      </c>
      <c r="F182" t="s">
        <v>2056</v>
      </c>
      <c r="G182" t="s">
        <v>10478</v>
      </c>
      <c r="H182" s="121" t="s">
        <v>10479</v>
      </c>
    </row>
    <row r="183" spans="1:8" x14ac:dyDescent="0.25">
      <c r="A183">
        <v>1497114</v>
      </c>
      <c r="B183" s="121" t="s">
        <v>10464</v>
      </c>
      <c r="C183" t="s">
        <v>32</v>
      </c>
      <c r="D183" t="s">
        <v>85</v>
      </c>
      <c r="E183" t="s">
        <v>8328</v>
      </c>
      <c r="F183" t="s">
        <v>10480</v>
      </c>
      <c r="G183" t="s">
        <v>10481</v>
      </c>
      <c r="H183" s="121" t="s">
        <v>10482</v>
      </c>
    </row>
    <row r="184" spans="1:8" x14ac:dyDescent="0.25">
      <c r="A184">
        <v>1519526</v>
      </c>
      <c r="B184" s="121" t="s">
        <v>10464</v>
      </c>
      <c r="C184" t="s">
        <v>32</v>
      </c>
      <c r="D184" t="s">
        <v>546</v>
      </c>
      <c r="E184" t="s">
        <v>547</v>
      </c>
      <c r="F184" t="s">
        <v>10483</v>
      </c>
      <c r="G184" t="s">
        <v>2022</v>
      </c>
      <c r="H184" s="121" t="s">
        <v>10484</v>
      </c>
    </row>
    <row r="185" spans="1:8" x14ac:dyDescent="0.25">
      <c r="A185">
        <v>1521573</v>
      </c>
      <c r="B185" s="121" t="s">
        <v>10464</v>
      </c>
      <c r="C185" t="s">
        <v>32</v>
      </c>
      <c r="D185" t="s">
        <v>546</v>
      </c>
      <c r="E185" t="s">
        <v>638</v>
      </c>
      <c r="F185" t="s">
        <v>10485</v>
      </c>
      <c r="G185" t="s">
        <v>10486</v>
      </c>
      <c r="H185" s="121" t="s">
        <v>10487</v>
      </c>
    </row>
    <row r="186" spans="1:8" x14ac:dyDescent="0.25">
      <c r="A186">
        <v>1459450</v>
      </c>
      <c r="B186" s="121" t="s">
        <v>10488</v>
      </c>
      <c r="C186" t="s">
        <v>32</v>
      </c>
      <c r="D186" t="s">
        <v>40</v>
      </c>
      <c r="E186" t="s">
        <v>666</v>
      </c>
      <c r="F186" t="s">
        <v>1089</v>
      </c>
      <c r="G186" t="s">
        <v>1207</v>
      </c>
      <c r="H186" s="121" t="s">
        <v>10489</v>
      </c>
    </row>
    <row r="187" spans="1:8" x14ac:dyDescent="0.25">
      <c r="A187">
        <v>1459451</v>
      </c>
      <c r="B187" s="121" t="s">
        <v>10488</v>
      </c>
      <c r="C187" t="s">
        <v>32</v>
      </c>
      <c r="D187" t="s">
        <v>40</v>
      </c>
      <c r="E187" t="s">
        <v>666</v>
      </c>
      <c r="F187" t="s">
        <v>10490</v>
      </c>
      <c r="G187" t="s">
        <v>2108</v>
      </c>
      <c r="H187" s="121" t="s">
        <v>10491</v>
      </c>
    </row>
    <row r="188" spans="1:8" x14ac:dyDescent="0.25">
      <c r="A188">
        <v>1531667</v>
      </c>
      <c r="B188" s="121" t="s">
        <v>10488</v>
      </c>
      <c r="C188" t="s">
        <v>32</v>
      </c>
      <c r="D188" t="s">
        <v>566</v>
      </c>
      <c r="E188" t="s">
        <v>567</v>
      </c>
      <c r="F188" t="s">
        <v>1166</v>
      </c>
      <c r="G188" t="s">
        <v>2832</v>
      </c>
      <c r="H188" s="121" t="s">
        <v>10492</v>
      </c>
    </row>
    <row r="189" spans="1:8" x14ac:dyDescent="0.25">
      <c r="A189">
        <v>1381764</v>
      </c>
      <c r="B189" s="121" t="s">
        <v>10493</v>
      </c>
      <c r="C189" t="s">
        <v>32</v>
      </c>
      <c r="D189" t="s">
        <v>51</v>
      </c>
      <c r="E189" t="s">
        <v>52</v>
      </c>
      <c r="F189" t="s">
        <v>10494</v>
      </c>
      <c r="G189" t="s">
        <v>6701</v>
      </c>
      <c r="H189" s="121" t="s">
        <v>10495</v>
      </c>
    </row>
    <row r="190" spans="1:8" x14ac:dyDescent="0.25">
      <c r="A190">
        <v>1391591</v>
      </c>
      <c r="B190" s="121" t="s">
        <v>10493</v>
      </c>
      <c r="C190" t="s">
        <v>32</v>
      </c>
      <c r="D190" t="s">
        <v>319</v>
      </c>
      <c r="E190" t="s">
        <v>49</v>
      </c>
      <c r="F190" t="s">
        <v>451</v>
      </c>
      <c r="G190" t="s">
        <v>3124</v>
      </c>
      <c r="H190" s="121" t="s">
        <v>10496</v>
      </c>
    </row>
    <row r="191" spans="1:8" x14ac:dyDescent="0.25">
      <c r="A191">
        <v>1398223</v>
      </c>
      <c r="B191" s="121" t="s">
        <v>10493</v>
      </c>
      <c r="C191" t="s">
        <v>32</v>
      </c>
      <c r="D191" t="s">
        <v>53</v>
      </c>
      <c r="E191" t="s">
        <v>264</v>
      </c>
      <c r="F191" t="s">
        <v>467</v>
      </c>
      <c r="G191" t="s">
        <v>1024</v>
      </c>
      <c r="H191" s="121" t="s">
        <v>10497</v>
      </c>
    </row>
    <row r="192" spans="1:8" x14ac:dyDescent="0.25">
      <c r="A192">
        <v>1400592</v>
      </c>
      <c r="B192" s="121" t="s">
        <v>10493</v>
      </c>
      <c r="C192" t="s">
        <v>32</v>
      </c>
      <c r="D192" t="s">
        <v>319</v>
      </c>
      <c r="E192" t="s">
        <v>2929</v>
      </c>
      <c r="F192" t="s">
        <v>10498</v>
      </c>
      <c r="G192" t="s">
        <v>10499</v>
      </c>
      <c r="H192" s="121" t="s">
        <v>10500</v>
      </c>
    </row>
    <row r="193" spans="1:8" x14ac:dyDescent="0.25">
      <c r="A193">
        <v>1431447</v>
      </c>
      <c r="B193" s="121" t="s">
        <v>10493</v>
      </c>
      <c r="C193" t="s">
        <v>32</v>
      </c>
      <c r="D193" t="s">
        <v>40</v>
      </c>
      <c r="E193" t="s">
        <v>349</v>
      </c>
      <c r="F193" t="s">
        <v>10501</v>
      </c>
      <c r="G193" t="s">
        <v>1034</v>
      </c>
      <c r="H193" s="121" t="s">
        <v>10502</v>
      </c>
    </row>
    <row r="194" spans="1:8" x14ac:dyDescent="0.25">
      <c r="A194">
        <v>1431448</v>
      </c>
      <c r="B194" s="121" t="s">
        <v>10493</v>
      </c>
      <c r="C194" t="s">
        <v>32</v>
      </c>
      <c r="D194" t="s">
        <v>40</v>
      </c>
      <c r="E194" t="s">
        <v>349</v>
      </c>
      <c r="F194" t="s">
        <v>1033</v>
      </c>
      <c r="G194" t="s">
        <v>10503</v>
      </c>
      <c r="H194" s="121" t="s">
        <v>10504</v>
      </c>
    </row>
    <row r="195" spans="1:8" x14ac:dyDescent="0.25">
      <c r="A195">
        <v>1432161</v>
      </c>
      <c r="B195" s="121" t="s">
        <v>10493</v>
      </c>
      <c r="C195" t="s">
        <v>32</v>
      </c>
      <c r="D195" t="s">
        <v>40</v>
      </c>
      <c r="E195" t="s">
        <v>660</v>
      </c>
      <c r="F195" t="s">
        <v>10505</v>
      </c>
      <c r="G195" t="s">
        <v>2088</v>
      </c>
      <c r="H195" s="121" t="s">
        <v>10506</v>
      </c>
    </row>
    <row r="196" spans="1:8" x14ac:dyDescent="0.25">
      <c r="A196">
        <v>1432473</v>
      </c>
      <c r="B196" s="121" t="s">
        <v>10493</v>
      </c>
      <c r="C196" t="s">
        <v>32</v>
      </c>
      <c r="D196" t="s">
        <v>40</v>
      </c>
      <c r="E196" t="s">
        <v>645</v>
      </c>
      <c r="F196" t="s">
        <v>1044</v>
      </c>
      <c r="G196" t="s">
        <v>1038</v>
      </c>
      <c r="H196" s="121" t="s">
        <v>10507</v>
      </c>
    </row>
    <row r="197" spans="1:8" x14ac:dyDescent="0.25">
      <c r="A197">
        <v>1433078</v>
      </c>
      <c r="B197" s="121" t="s">
        <v>10493</v>
      </c>
      <c r="C197" t="s">
        <v>32</v>
      </c>
      <c r="D197" t="s">
        <v>40</v>
      </c>
      <c r="E197" t="s">
        <v>1046</v>
      </c>
      <c r="F197" t="s">
        <v>1056</v>
      </c>
      <c r="G197" t="s">
        <v>2177</v>
      </c>
      <c r="H197" s="121" t="s">
        <v>10508</v>
      </c>
    </row>
    <row r="198" spans="1:8" x14ac:dyDescent="0.25">
      <c r="A198">
        <v>1433083</v>
      </c>
      <c r="B198" s="121" t="s">
        <v>10493</v>
      </c>
      <c r="C198" t="s">
        <v>32</v>
      </c>
      <c r="D198" t="s">
        <v>40</v>
      </c>
      <c r="E198" t="s">
        <v>1046</v>
      </c>
      <c r="F198" t="s">
        <v>2251</v>
      </c>
      <c r="G198" t="s">
        <v>1051</v>
      </c>
      <c r="H198" s="121" t="s">
        <v>10509</v>
      </c>
    </row>
    <row r="199" spans="1:8" x14ac:dyDescent="0.25">
      <c r="A199">
        <v>1433085</v>
      </c>
      <c r="B199" s="121" t="s">
        <v>10493</v>
      </c>
      <c r="C199" t="s">
        <v>32</v>
      </c>
      <c r="D199" t="s">
        <v>40</v>
      </c>
      <c r="E199" t="s">
        <v>1046</v>
      </c>
      <c r="F199" t="s">
        <v>2216</v>
      </c>
      <c r="G199" t="s">
        <v>1053</v>
      </c>
      <c r="H199" s="121" t="s">
        <v>10510</v>
      </c>
    </row>
    <row r="200" spans="1:8" x14ac:dyDescent="0.25">
      <c r="A200">
        <v>1433390</v>
      </c>
      <c r="B200" s="121" t="s">
        <v>10493</v>
      </c>
      <c r="C200" t="s">
        <v>32</v>
      </c>
      <c r="D200" t="s">
        <v>40</v>
      </c>
      <c r="E200" t="s">
        <v>661</v>
      </c>
      <c r="F200" t="s">
        <v>1064</v>
      </c>
      <c r="G200" t="s">
        <v>10511</v>
      </c>
      <c r="H200" s="121" t="s">
        <v>10512</v>
      </c>
    </row>
    <row r="201" spans="1:8" x14ac:dyDescent="0.25">
      <c r="A201">
        <v>1433391</v>
      </c>
      <c r="B201" s="121" t="s">
        <v>10493</v>
      </c>
      <c r="C201" t="s">
        <v>32</v>
      </c>
      <c r="D201" t="s">
        <v>40</v>
      </c>
      <c r="E201" t="s">
        <v>661</v>
      </c>
      <c r="F201" t="s">
        <v>10513</v>
      </c>
      <c r="G201" t="s">
        <v>10514</v>
      </c>
      <c r="H201" s="121" t="s">
        <v>10515</v>
      </c>
    </row>
    <row r="202" spans="1:8" x14ac:dyDescent="0.25">
      <c r="A202">
        <v>1449274</v>
      </c>
      <c r="B202" s="121" t="s">
        <v>10493</v>
      </c>
      <c r="C202" t="s">
        <v>32</v>
      </c>
      <c r="D202" t="s">
        <v>564</v>
      </c>
      <c r="E202" t="s">
        <v>49</v>
      </c>
      <c r="F202" t="s">
        <v>2824</v>
      </c>
      <c r="G202" t="s">
        <v>838</v>
      </c>
      <c r="H202" s="121" t="s">
        <v>10516</v>
      </c>
    </row>
    <row r="203" spans="1:8" x14ac:dyDescent="0.25">
      <c r="A203">
        <v>1452777</v>
      </c>
      <c r="B203" s="121" t="s">
        <v>10493</v>
      </c>
      <c r="C203" t="s">
        <v>32</v>
      </c>
      <c r="D203" t="s">
        <v>40</v>
      </c>
      <c r="E203" t="s">
        <v>997</v>
      </c>
      <c r="F203" t="s">
        <v>1069</v>
      </c>
      <c r="G203" t="s">
        <v>1070</v>
      </c>
      <c r="H203" s="121" t="s">
        <v>10517</v>
      </c>
    </row>
    <row r="204" spans="1:8" x14ac:dyDescent="0.25">
      <c r="A204">
        <v>1452779</v>
      </c>
      <c r="B204" s="121" t="s">
        <v>10493</v>
      </c>
      <c r="C204" t="s">
        <v>32</v>
      </c>
      <c r="D204" t="s">
        <v>40</v>
      </c>
      <c r="E204" t="s">
        <v>997</v>
      </c>
      <c r="F204" t="s">
        <v>1071</v>
      </c>
      <c r="G204" t="s">
        <v>1204</v>
      </c>
      <c r="H204" s="121" t="s">
        <v>10518</v>
      </c>
    </row>
    <row r="205" spans="1:8" x14ac:dyDescent="0.25">
      <c r="A205">
        <v>1452781</v>
      </c>
      <c r="B205" s="121" t="s">
        <v>10493</v>
      </c>
      <c r="C205" t="s">
        <v>32</v>
      </c>
      <c r="D205" t="s">
        <v>40</v>
      </c>
      <c r="E205" t="s">
        <v>997</v>
      </c>
      <c r="F205" t="s">
        <v>999</v>
      </c>
      <c r="G205" t="s">
        <v>1074</v>
      </c>
      <c r="H205" s="121" t="s">
        <v>10519</v>
      </c>
    </row>
    <row r="206" spans="1:8" x14ac:dyDescent="0.25">
      <c r="A206">
        <v>1452782</v>
      </c>
      <c r="B206" s="121" t="s">
        <v>10493</v>
      </c>
      <c r="C206" t="s">
        <v>32</v>
      </c>
      <c r="D206" t="s">
        <v>40</v>
      </c>
      <c r="E206" t="s">
        <v>997</v>
      </c>
      <c r="F206" t="s">
        <v>2100</v>
      </c>
      <c r="G206" t="s">
        <v>1072</v>
      </c>
      <c r="H206" s="121" t="s">
        <v>10520</v>
      </c>
    </row>
    <row r="207" spans="1:8" x14ac:dyDescent="0.25">
      <c r="A207">
        <v>1452784</v>
      </c>
      <c r="B207" s="121" t="s">
        <v>10493</v>
      </c>
      <c r="C207" t="s">
        <v>32</v>
      </c>
      <c r="D207" t="s">
        <v>40</v>
      </c>
      <c r="E207" t="s">
        <v>997</v>
      </c>
      <c r="F207" t="s">
        <v>1068</v>
      </c>
      <c r="G207" t="s">
        <v>2220</v>
      </c>
      <c r="H207" s="121" t="s">
        <v>10521</v>
      </c>
    </row>
    <row r="208" spans="1:8" x14ac:dyDescent="0.25">
      <c r="A208">
        <v>1453118</v>
      </c>
      <c r="B208" s="121" t="s">
        <v>10493</v>
      </c>
      <c r="C208" t="s">
        <v>32</v>
      </c>
      <c r="D208" t="s">
        <v>37</v>
      </c>
      <c r="E208" t="s">
        <v>565</v>
      </c>
      <c r="F208" t="s">
        <v>3044</v>
      </c>
      <c r="G208" t="s">
        <v>10522</v>
      </c>
      <c r="H208" s="121" t="s">
        <v>10523</v>
      </c>
    </row>
    <row r="209" spans="1:8" x14ac:dyDescent="0.25">
      <c r="A209">
        <v>1458188</v>
      </c>
      <c r="B209" s="121" t="s">
        <v>10493</v>
      </c>
      <c r="C209" t="s">
        <v>32</v>
      </c>
      <c r="D209" t="s">
        <v>40</v>
      </c>
      <c r="E209" t="s">
        <v>662</v>
      </c>
      <c r="F209" t="s">
        <v>10524</v>
      </c>
      <c r="G209" t="s">
        <v>1077</v>
      </c>
      <c r="H209" s="121" t="s">
        <v>10525</v>
      </c>
    </row>
    <row r="210" spans="1:8" x14ac:dyDescent="0.25">
      <c r="A210">
        <v>1458191</v>
      </c>
      <c r="B210" s="121" t="s">
        <v>10493</v>
      </c>
      <c r="C210" t="s">
        <v>32</v>
      </c>
      <c r="D210" t="s">
        <v>40</v>
      </c>
      <c r="E210" t="s">
        <v>662</v>
      </c>
      <c r="F210" t="s">
        <v>1078</v>
      </c>
      <c r="G210" t="s">
        <v>1205</v>
      </c>
      <c r="H210" s="121" t="s">
        <v>10526</v>
      </c>
    </row>
    <row r="211" spans="1:8" x14ac:dyDescent="0.25">
      <c r="A211">
        <v>1458492</v>
      </c>
      <c r="B211" s="121" t="s">
        <v>10493</v>
      </c>
      <c r="C211" t="s">
        <v>32</v>
      </c>
      <c r="D211" t="s">
        <v>40</v>
      </c>
      <c r="E211" t="s">
        <v>663</v>
      </c>
      <c r="F211" t="s">
        <v>1084</v>
      </c>
      <c r="G211" t="s">
        <v>2188</v>
      </c>
      <c r="H211" s="121" t="s">
        <v>10527</v>
      </c>
    </row>
    <row r="212" spans="1:8" x14ac:dyDescent="0.25">
      <c r="A212">
        <v>1458493</v>
      </c>
      <c r="B212" s="121" t="s">
        <v>10493</v>
      </c>
      <c r="C212" t="s">
        <v>32</v>
      </c>
      <c r="D212" t="s">
        <v>40</v>
      </c>
      <c r="E212" t="s">
        <v>663</v>
      </c>
      <c r="F212" t="s">
        <v>1083</v>
      </c>
      <c r="G212" t="s">
        <v>2184</v>
      </c>
      <c r="H212" s="121" t="s">
        <v>10528</v>
      </c>
    </row>
    <row r="213" spans="1:8" x14ac:dyDescent="0.25">
      <c r="A213">
        <v>1458494</v>
      </c>
      <c r="B213" s="121" t="s">
        <v>10493</v>
      </c>
      <c r="C213" t="s">
        <v>32</v>
      </c>
      <c r="D213" t="s">
        <v>40</v>
      </c>
      <c r="E213" t="s">
        <v>663</v>
      </c>
      <c r="F213" t="s">
        <v>10529</v>
      </c>
      <c r="G213" t="s">
        <v>2185</v>
      </c>
      <c r="H213" s="121" t="s">
        <v>10530</v>
      </c>
    </row>
    <row r="214" spans="1:8" x14ac:dyDescent="0.25">
      <c r="A214">
        <v>1458495</v>
      </c>
      <c r="B214" s="121" t="s">
        <v>10493</v>
      </c>
      <c r="C214" t="s">
        <v>32</v>
      </c>
      <c r="D214" t="s">
        <v>40</v>
      </c>
      <c r="E214" t="s">
        <v>663</v>
      </c>
      <c r="F214" t="s">
        <v>1086</v>
      </c>
      <c r="G214" t="s">
        <v>2104</v>
      </c>
      <c r="H214" s="121" t="s">
        <v>10531</v>
      </c>
    </row>
    <row r="215" spans="1:8" x14ac:dyDescent="0.25">
      <c r="A215">
        <v>1458498</v>
      </c>
      <c r="B215" s="121" t="s">
        <v>10493</v>
      </c>
      <c r="C215" t="s">
        <v>32</v>
      </c>
      <c r="D215" t="s">
        <v>40</v>
      </c>
      <c r="E215" t="s">
        <v>663</v>
      </c>
      <c r="F215" t="s">
        <v>1087</v>
      </c>
      <c r="G215" t="s">
        <v>1080</v>
      </c>
      <c r="H215" s="121" t="s">
        <v>10532</v>
      </c>
    </row>
    <row r="216" spans="1:8" x14ac:dyDescent="0.25">
      <c r="A216">
        <v>1458499</v>
      </c>
      <c r="B216" s="121" t="s">
        <v>10493</v>
      </c>
      <c r="C216" t="s">
        <v>32</v>
      </c>
      <c r="D216" t="s">
        <v>40</v>
      </c>
      <c r="E216" t="s">
        <v>663</v>
      </c>
      <c r="F216" t="s">
        <v>2187</v>
      </c>
      <c r="G216" t="s">
        <v>2105</v>
      </c>
      <c r="H216" s="121" t="s">
        <v>10533</v>
      </c>
    </row>
    <row r="217" spans="1:8" x14ac:dyDescent="0.25">
      <c r="A217">
        <v>1458775</v>
      </c>
      <c r="B217" s="121" t="s">
        <v>10493</v>
      </c>
      <c r="C217" t="s">
        <v>32</v>
      </c>
      <c r="D217" t="s">
        <v>40</v>
      </c>
      <c r="E217" t="s">
        <v>658</v>
      </c>
      <c r="F217" t="s">
        <v>10534</v>
      </c>
      <c r="G217" t="s">
        <v>10535</v>
      </c>
      <c r="H217" s="121" t="s">
        <v>10536</v>
      </c>
    </row>
    <row r="218" spans="1:8" x14ac:dyDescent="0.25">
      <c r="A218">
        <v>1459453</v>
      </c>
      <c r="B218" s="121" t="s">
        <v>10493</v>
      </c>
      <c r="C218" t="s">
        <v>32</v>
      </c>
      <c r="D218" t="s">
        <v>40</v>
      </c>
      <c r="E218" t="s">
        <v>666</v>
      </c>
      <c r="F218" t="s">
        <v>1090</v>
      </c>
      <c r="G218" t="s">
        <v>1096</v>
      </c>
      <c r="H218" s="121" t="s">
        <v>10537</v>
      </c>
    </row>
    <row r="219" spans="1:8" x14ac:dyDescent="0.25">
      <c r="A219">
        <v>1459454</v>
      </c>
      <c r="B219" s="121" t="s">
        <v>10493</v>
      </c>
      <c r="C219" t="s">
        <v>32</v>
      </c>
      <c r="D219" t="s">
        <v>40</v>
      </c>
      <c r="E219" t="s">
        <v>666</v>
      </c>
      <c r="F219" t="s">
        <v>1093</v>
      </c>
      <c r="G219" t="s">
        <v>2109</v>
      </c>
      <c r="H219" s="121" t="s">
        <v>10538</v>
      </c>
    </row>
    <row r="220" spans="1:8" x14ac:dyDescent="0.25">
      <c r="A220">
        <v>1459455</v>
      </c>
      <c r="B220" s="121" t="s">
        <v>10493</v>
      </c>
      <c r="C220" t="s">
        <v>32</v>
      </c>
      <c r="D220" t="s">
        <v>40</v>
      </c>
      <c r="E220" t="s">
        <v>666</v>
      </c>
      <c r="F220" t="s">
        <v>10539</v>
      </c>
      <c r="G220" t="s">
        <v>2045</v>
      </c>
      <c r="H220" s="121" t="s">
        <v>10540</v>
      </c>
    </row>
    <row r="221" spans="1:8" x14ac:dyDescent="0.25">
      <c r="A221">
        <v>1459457</v>
      </c>
      <c r="B221" s="121" t="s">
        <v>10493</v>
      </c>
      <c r="C221" t="s">
        <v>32</v>
      </c>
      <c r="D221" t="s">
        <v>40</v>
      </c>
      <c r="E221" t="s">
        <v>666</v>
      </c>
      <c r="F221" t="s">
        <v>1091</v>
      </c>
      <c r="G221" t="s">
        <v>1092</v>
      </c>
      <c r="H221" s="121" t="s">
        <v>10541</v>
      </c>
    </row>
    <row r="222" spans="1:8" x14ac:dyDescent="0.25">
      <c r="A222">
        <v>1460065</v>
      </c>
      <c r="B222" s="121" t="s">
        <v>10493</v>
      </c>
      <c r="C222" t="s">
        <v>32</v>
      </c>
      <c r="D222" t="s">
        <v>40</v>
      </c>
      <c r="E222" t="s">
        <v>1005</v>
      </c>
      <c r="F222" t="s">
        <v>2268</v>
      </c>
      <c r="G222" t="s">
        <v>1251</v>
      </c>
      <c r="H222" s="121" t="s">
        <v>10542</v>
      </c>
    </row>
    <row r="223" spans="1:8" x14ac:dyDescent="0.25">
      <c r="A223">
        <v>1460070</v>
      </c>
      <c r="B223" s="121" t="s">
        <v>10493</v>
      </c>
      <c r="C223" t="s">
        <v>32</v>
      </c>
      <c r="D223" t="s">
        <v>40</v>
      </c>
      <c r="E223" t="s">
        <v>1005</v>
      </c>
      <c r="F223" t="s">
        <v>2115</v>
      </c>
      <c r="G223" t="s">
        <v>2297</v>
      </c>
      <c r="H223" s="121" t="s">
        <v>10543</v>
      </c>
    </row>
    <row r="224" spans="1:8" x14ac:dyDescent="0.25">
      <c r="A224">
        <v>1460674</v>
      </c>
      <c r="B224" s="121" t="s">
        <v>10493</v>
      </c>
      <c r="C224" t="s">
        <v>32</v>
      </c>
      <c r="D224" t="s">
        <v>40</v>
      </c>
      <c r="E224" t="s">
        <v>678</v>
      </c>
      <c r="F224" t="s">
        <v>1211</v>
      </c>
      <c r="G224" t="s">
        <v>2223</v>
      </c>
      <c r="H224" s="121" t="s">
        <v>10544</v>
      </c>
    </row>
    <row r="225" spans="1:8" x14ac:dyDescent="0.25">
      <c r="A225">
        <v>1460676</v>
      </c>
      <c r="B225" s="121" t="s">
        <v>10493</v>
      </c>
      <c r="C225" t="s">
        <v>32</v>
      </c>
      <c r="D225" t="s">
        <v>40</v>
      </c>
      <c r="E225" t="s">
        <v>678</v>
      </c>
      <c r="F225" t="s">
        <v>1106</v>
      </c>
      <c r="G225" t="s">
        <v>1104</v>
      </c>
      <c r="H225" s="121" t="s">
        <v>10545</v>
      </c>
    </row>
    <row r="226" spans="1:8" x14ac:dyDescent="0.25">
      <c r="A226">
        <v>1460677</v>
      </c>
      <c r="B226" s="121" t="s">
        <v>10493</v>
      </c>
      <c r="C226" t="s">
        <v>32</v>
      </c>
      <c r="D226" t="s">
        <v>40</v>
      </c>
      <c r="E226" t="s">
        <v>678</v>
      </c>
      <c r="F226" t="s">
        <v>1212</v>
      </c>
      <c r="G226" t="s">
        <v>10546</v>
      </c>
      <c r="H226" s="121" t="s">
        <v>10547</v>
      </c>
    </row>
    <row r="227" spans="1:8" x14ac:dyDescent="0.25">
      <c r="A227">
        <v>1460978</v>
      </c>
      <c r="B227" s="121" t="s">
        <v>10493</v>
      </c>
      <c r="C227" t="s">
        <v>32</v>
      </c>
      <c r="D227" t="s">
        <v>40</v>
      </c>
      <c r="E227" t="s">
        <v>664</v>
      </c>
      <c r="F227" t="s">
        <v>1214</v>
      </c>
      <c r="G227" t="s">
        <v>1115</v>
      </c>
      <c r="H227" s="121" t="s">
        <v>10548</v>
      </c>
    </row>
    <row r="228" spans="1:8" x14ac:dyDescent="0.25">
      <c r="A228">
        <v>1460980</v>
      </c>
      <c r="B228" s="121" t="s">
        <v>10493</v>
      </c>
      <c r="C228" t="s">
        <v>32</v>
      </c>
      <c r="D228" t="s">
        <v>40</v>
      </c>
      <c r="E228" t="s">
        <v>664</v>
      </c>
      <c r="F228" t="s">
        <v>1112</v>
      </c>
      <c r="G228" t="s">
        <v>1114</v>
      </c>
      <c r="H228" s="121" t="s">
        <v>10549</v>
      </c>
    </row>
    <row r="229" spans="1:8" x14ac:dyDescent="0.25">
      <c r="A229">
        <v>1460981</v>
      </c>
      <c r="B229" s="121" t="s">
        <v>10493</v>
      </c>
      <c r="C229" t="s">
        <v>32</v>
      </c>
      <c r="D229" t="s">
        <v>40</v>
      </c>
      <c r="E229" t="s">
        <v>664</v>
      </c>
      <c r="F229" t="s">
        <v>2228</v>
      </c>
      <c r="G229" t="s">
        <v>1109</v>
      </c>
      <c r="H229" s="121" t="s">
        <v>10550</v>
      </c>
    </row>
    <row r="230" spans="1:8" x14ac:dyDescent="0.25">
      <c r="A230">
        <v>1460982</v>
      </c>
      <c r="B230" s="121" t="s">
        <v>10493</v>
      </c>
      <c r="C230" t="s">
        <v>32</v>
      </c>
      <c r="D230" t="s">
        <v>40</v>
      </c>
      <c r="E230" t="s">
        <v>664</v>
      </c>
      <c r="F230" t="s">
        <v>1213</v>
      </c>
      <c r="G230" t="s">
        <v>2227</v>
      </c>
      <c r="H230" s="121" t="s">
        <v>10551</v>
      </c>
    </row>
    <row r="231" spans="1:8" x14ac:dyDescent="0.25">
      <c r="A231">
        <v>1460984</v>
      </c>
      <c r="B231" s="121" t="s">
        <v>10493</v>
      </c>
      <c r="C231" t="s">
        <v>32</v>
      </c>
      <c r="D231" t="s">
        <v>40</v>
      </c>
      <c r="E231" t="s">
        <v>664</v>
      </c>
      <c r="F231" t="s">
        <v>1110</v>
      </c>
      <c r="G231" t="s">
        <v>10552</v>
      </c>
      <c r="H231" s="121" t="s">
        <v>10553</v>
      </c>
    </row>
    <row r="232" spans="1:8" x14ac:dyDescent="0.25">
      <c r="A232">
        <v>1461287</v>
      </c>
      <c r="B232" s="121" t="s">
        <v>10493</v>
      </c>
      <c r="C232" t="s">
        <v>32</v>
      </c>
      <c r="D232" t="s">
        <v>40</v>
      </c>
      <c r="E232" t="s">
        <v>648</v>
      </c>
      <c r="F232" t="s">
        <v>1939</v>
      </c>
      <c r="G232" t="s">
        <v>1117</v>
      </c>
      <c r="H232" s="121" t="s">
        <v>10554</v>
      </c>
    </row>
    <row r="233" spans="1:8" x14ac:dyDescent="0.25">
      <c r="A233">
        <v>1462198</v>
      </c>
      <c r="B233" s="121" t="s">
        <v>10493</v>
      </c>
      <c r="C233" t="s">
        <v>32</v>
      </c>
      <c r="D233" t="s">
        <v>40</v>
      </c>
      <c r="E233" t="s">
        <v>1126</v>
      </c>
      <c r="F233" t="s">
        <v>1218</v>
      </c>
      <c r="G233" t="s">
        <v>1127</v>
      </c>
      <c r="H233" s="121" t="s">
        <v>10555</v>
      </c>
    </row>
    <row r="234" spans="1:8" x14ac:dyDescent="0.25">
      <c r="A234">
        <v>1462199</v>
      </c>
      <c r="B234" s="121" t="s">
        <v>10493</v>
      </c>
      <c r="C234" t="s">
        <v>32</v>
      </c>
      <c r="D234" t="s">
        <v>40</v>
      </c>
      <c r="E234" t="s">
        <v>1126</v>
      </c>
      <c r="F234" t="s">
        <v>2125</v>
      </c>
      <c r="G234" t="s">
        <v>2254</v>
      </c>
      <c r="H234" s="121" t="s">
        <v>10556</v>
      </c>
    </row>
    <row r="235" spans="1:8" x14ac:dyDescent="0.25">
      <c r="A235">
        <v>1462200</v>
      </c>
      <c r="B235" s="121" t="s">
        <v>10493</v>
      </c>
      <c r="C235" t="s">
        <v>32</v>
      </c>
      <c r="D235" t="s">
        <v>40</v>
      </c>
      <c r="E235" t="s">
        <v>1126</v>
      </c>
      <c r="F235" t="s">
        <v>2193</v>
      </c>
      <c r="G235" t="s">
        <v>1128</v>
      </c>
      <c r="H235" s="121" t="s">
        <v>10557</v>
      </c>
    </row>
    <row r="236" spans="1:8" x14ac:dyDescent="0.25">
      <c r="A236">
        <v>1462201</v>
      </c>
      <c r="B236" s="121" t="s">
        <v>10493</v>
      </c>
      <c r="C236" t="s">
        <v>32</v>
      </c>
      <c r="D236" t="s">
        <v>40</v>
      </c>
      <c r="E236" t="s">
        <v>1126</v>
      </c>
      <c r="F236" t="s">
        <v>1132</v>
      </c>
      <c r="G236" t="s">
        <v>1216</v>
      </c>
      <c r="H236" s="121" t="s">
        <v>10558</v>
      </c>
    </row>
    <row r="237" spans="1:8" x14ac:dyDescent="0.25">
      <c r="A237">
        <v>1462202</v>
      </c>
      <c r="B237" s="121" t="s">
        <v>10493</v>
      </c>
      <c r="C237" t="s">
        <v>32</v>
      </c>
      <c r="D237" t="s">
        <v>40</v>
      </c>
      <c r="E237" t="s">
        <v>1126</v>
      </c>
      <c r="F237" t="s">
        <v>2127</v>
      </c>
      <c r="G237" t="s">
        <v>2255</v>
      </c>
      <c r="H237" s="121" t="s">
        <v>10559</v>
      </c>
    </row>
    <row r="238" spans="1:8" x14ac:dyDescent="0.25">
      <c r="A238">
        <v>1462816</v>
      </c>
      <c r="B238" s="121" t="s">
        <v>10493</v>
      </c>
      <c r="C238" t="s">
        <v>32</v>
      </c>
      <c r="D238" t="s">
        <v>40</v>
      </c>
      <c r="E238" t="s">
        <v>667</v>
      </c>
      <c r="F238" t="s">
        <v>2129</v>
      </c>
      <c r="G238" t="s">
        <v>6218</v>
      </c>
      <c r="H238" s="121" t="s">
        <v>10560</v>
      </c>
    </row>
    <row r="239" spans="1:8" x14ac:dyDescent="0.25">
      <c r="A239">
        <v>1463421</v>
      </c>
      <c r="B239" s="121" t="s">
        <v>10493</v>
      </c>
      <c r="C239" t="s">
        <v>32</v>
      </c>
      <c r="D239" t="s">
        <v>40</v>
      </c>
      <c r="E239" t="s">
        <v>652</v>
      </c>
      <c r="F239" t="s">
        <v>1141</v>
      </c>
      <c r="G239" t="s">
        <v>6450</v>
      </c>
      <c r="H239" s="121" t="s">
        <v>10561</v>
      </c>
    </row>
    <row r="240" spans="1:8" x14ac:dyDescent="0.25">
      <c r="A240">
        <v>1481938</v>
      </c>
      <c r="B240" s="121" t="s">
        <v>10493</v>
      </c>
      <c r="C240" t="s">
        <v>32</v>
      </c>
      <c r="D240" t="s">
        <v>51</v>
      </c>
      <c r="E240" t="s">
        <v>383</v>
      </c>
      <c r="F240" t="s">
        <v>10562</v>
      </c>
      <c r="G240" t="s">
        <v>3225</v>
      </c>
      <c r="H240" s="121" t="s">
        <v>10563</v>
      </c>
    </row>
    <row r="241" spans="1:8" x14ac:dyDescent="0.25">
      <c r="A241">
        <v>1498022</v>
      </c>
      <c r="B241" s="121" t="s">
        <v>10493</v>
      </c>
      <c r="C241" t="s">
        <v>32</v>
      </c>
      <c r="D241" t="s">
        <v>53</v>
      </c>
      <c r="E241" t="s">
        <v>54</v>
      </c>
      <c r="F241" t="s">
        <v>3240</v>
      </c>
      <c r="G241" t="s">
        <v>10564</v>
      </c>
      <c r="H241" s="121" t="s">
        <v>10565</v>
      </c>
    </row>
    <row r="242" spans="1:8" x14ac:dyDescent="0.25">
      <c r="A242">
        <v>1518127</v>
      </c>
      <c r="B242" s="121" t="s">
        <v>10493</v>
      </c>
      <c r="C242" t="s">
        <v>32</v>
      </c>
      <c r="D242" t="s">
        <v>379</v>
      </c>
      <c r="E242" t="s">
        <v>380</v>
      </c>
      <c r="F242" t="s">
        <v>10566</v>
      </c>
      <c r="G242" t="s">
        <v>867</v>
      </c>
      <c r="H242" s="121" t="s">
        <v>10567</v>
      </c>
    </row>
    <row r="243" spans="1:8" x14ac:dyDescent="0.25">
      <c r="A243">
        <v>1527798</v>
      </c>
      <c r="B243" s="121" t="s">
        <v>10493</v>
      </c>
      <c r="C243" t="s">
        <v>32</v>
      </c>
      <c r="D243" t="s">
        <v>377</v>
      </c>
      <c r="E243" t="s">
        <v>870</v>
      </c>
      <c r="F243" t="s">
        <v>871</v>
      </c>
      <c r="G243" t="s">
        <v>1154</v>
      </c>
      <c r="H243" s="121" t="s">
        <v>10568</v>
      </c>
    </row>
    <row r="244" spans="1:8" x14ac:dyDescent="0.25">
      <c r="A244">
        <v>1527925</v>
      </c>
      <c r="B244" s="121" t="s">
        <v>10493</v>
      </c>
      <c r="C244" t="s">
        <v>32</v>
      </c>
      <c r="D244" t="s">
        <v>569</v>
      </c>
      <c r="E244" t="s">
        <v>49</v>
      </c>
      <c r="F244" t="s">
        <v>590</v>
      </c>
      <c r="G244" t="s">
        <v>967</v>
      </c>
      <c r="H244" s="121" t="s">
        <v>10569</v>
      </c>
    </row>
    <row r="245" spans="1:8" x14ac:dyDescent="0.25">
      <c r="A245">
        <v>1535812</v>
      </c>
      <c r="B245" s="121" t="s">
        <v>10493</v>
      </c>
      <c r="C245" t="s">
        <v>32</v>
      </c>
      <c r="D245" t="s">
        <v>377</v>
      </c>
      <c r="E245" t="s">
        <v>45</v>
      </c>
      <c r="F245" t="s">
        <v>2455</v>
      </c>
      <c r="G245" t="s">
        <v>2457</v>
      </c>
      <c r="H245" s="121" t="s">
        <v>10570</v>
      </c>
    </row>
    <row r="246" spans="1:8" x14ac:dyDescent="0.25">
      <c r="A246">
        <v>1536321</v>
      </c>
      <c r="B246" s="121" t="s">
        <v>10493</v>
      </c>
      <c r="C246" t="s">
        <v>32</v>
      </c>
      <c r="D246" t="s">
        <v>377</v>
      </c>
      <c r="E246" t="s">
        <v>7794</v>
      </c>
      <c r="F246" t="s">
        <v>10571</v>
      </c>
      <c r="G246" t="s">
        <v>10572</v>
      </c>
      <c r="H246" s="121" t="s">
        <v>10573</v>
      </c>
    </row>
    <row r="247" spans="1:8" x14ac:dyDescent="0.25">
      <c r="A247">
        <v>1536529</v>
      </c>
      <c r="B247" s="121" t="s">
        <v>10493</v>
      </c>
      <c r="C247" t="s">
        <v>32</v>
      </c>
      <c r="D247" t="s">
        <v>377</v>
      </c>
      <c r="E247" t="s">
        <v>7242</v>
      </c>
      <c r="F247" t="s">
        <v>10574</v>
      </c>
      <c r="G247" t="s">
        <v>10575</v>
      </c>
      <c r="H247" s="121" t="s">
        <v>10576</v>
      </c>
    </row>
    <row r="248" spans="1:8" x14ac:dyDescent="0.25">
      <c r="A248">
        <v>1380627</v>
      </c>
      <c r="B248" s="121" t="s">
        <v>10577</v>
      </c>
      <c r="C248" t="s">
        <v>32</v>
      </c>
      <c r="D248" t="s">
        <v>51</v>
      </c>
      <c r="E248" t="s">
        <v>57</v>
      </c>
      <c r="F248" t="s">
        <v>2321</v>
      </c>
      <c r="G248" t="s">
        <v>2512</v>
      </c>
      <c r="H248" s="121" t="s">
        <v>10578</v>
      </c>
    </row>
    <row r="249" spans="1:8" x14ac:dyDescent="0.25">
      <c r="A249">
        <v>1381132</v>
      </c>
      <c r="B249" s="121" t="s">
        <v>10577</v>
      </c>
      <c r="C249" t="s">
        <v>32</v>
      </c>
      <c r="D249" t="s">
        <v>58</v>
      </c>
      <c r="E249" t="s">
        <v>59</v>
      </c>
      <c r="F249" t="s">
        <v>1522</v>
      </c>
      <c r="G249" t="s">
        <v>2065</v>
      </c>
      <c r="H249" s="121" t="s">
        <v>10579</v>
      </c>
    </row>
    <row r="250" spans="1:8" x14ac:dyDescent="0.25">
      <c r="A250">
        <v>1382269</v>
      </c>
      <c r="B250" s="121" t="s">
        <v>10577</v>
      </c>
      <c r="C250" t="s">
        <v>32</v>
      </c>
      <c r="D250" t="s">
        <v>58</v>
      </c>
      <c r="E250" t="s">
        <v>88</v>
      </c>
      <c r="F250" t="s">
        <v>10580</v>
      </c>
      <c r="G250" t="s">
        <v>10581</v>
      </c>
      <c r="H250" s="121" t="s">
        <v>10582</v>
      </c>
    </row>
    <row r="251" spans="1:8" x14ac:dyDescent="0.25">
      <c r="A251">
        <v>1460673</v>
      </c>
      <c r="B251" s="121" t="s">
        <v>10577</v>
      </c>
      <c r="C251" t="s">
        <v>32</v>
      </c>
      <c r="D251" t="s">
        <v>40</v>
      </c>
      <c r="E251" t="s">
        <v>678</v>
      </c>
      <c r="F251" t="s">
        <v>1187</v>
      </c>
      <c r="G251" t="s">
        <v>1255</v>
      </c>
      <c r="H251" s="121" t="s">
        <v>10583</v>
      </c>
    </row>
    <row r="252" spans="1:8" x14ac:dyDescent="0.25">
      <c r="A252">
        <v>1521768</v>
      </c>
      <c r="B252" s="121" t="s">
        <v>10577</v>
      </c>
      <c r="C252" t="s">
        <v>32</v>
      </c>
      <c r="D252" t="s">
        <v>319</v>
      </c>
      <c r="E252" t="s">
        <v>3037</v>
      </c>
      <c r="F252" t="s">
        <v>3286</v>
      </c>
      <c r="G252" t="s">
        <v>10584</v>
      </c>
      <c r="H252" s="121" t="s">
        <v>10585</v>
      </c>
    </row>
    <row r="253" spans="1:8" x14ac:dyDescent="0.25">
      <c r="A253">
        <v>1378179</v>
      </c>
      <c r="B253" s="121" t="s">
        <v>10586</v>
      </c>
      <c r="C253" t="s">
        <v>32</v>
      </c>
      <c r="D253" t="s">
        <v>41</v>
      </c>
      <c r="E253" t="s">
        <v>60</v>
      </c>
      <c r="F253" t="s">
        <v>2208</v>
      </c>
      <c r="G253" t="s">
        <v>2548</v>
      </c>
      <c r="H253" s="121" t="s">
        <v>10587</v>
      </c>
    </row>
    <row r="254" spans="1:8" x14ac:dyDescent="0.25">
      <c r="A254">
        <v>1398664</v>
      </c>
      <c r="B254" s="121" t="s">
        <v>10586</v>
      </c>
      <c r="C254" t="s">
        <v>32</v>
      </c>
      <c r="D254" t="s">
        <v>42</v>
      </c>
      <c r="E254" t="s">
        <v>50</v>
      </c>
      <c r="F254" t="s">
        <v>10588</v>
      </c>
      <c r="G254" t="s">
        <v>3695</v>
      </c>
      <c r="H254" s="121" t="s">
        <v>10589</v>
      </c>
    </row>
    <row r="255" spans="1:8" x14ac:dyDescent="0.25">
      <c r="A255">
        <v>1432166</v>
      </c>
      <c r="B255" s="121" t="s">
        <v>10586</v>
      </c>
      <c r="C255" t="s">
        <v>32</v>
      </c>
      <c r="D255" t="s">
        <v>40</v>
      </c>
      <c r="E255" t="s">
        <v>660</v>
      </c>
      <c r="F255" t="s">
        <v>6192</v>
      </c>
      <c r="G255" t="s">
        <v>6096</v>
      </c>
      <c r="H255" s="121" t="s">
        <v>10590</v>
      </c>
    </row>
    <row r="256" spans="1:8" x14ac:dyDescent="0.25">
      <c r="A256">
        <v>1435679</v>
      </c>
      <c r="B256" s="121" t="s">
        <v>10586</v>
      </c>
      <c r="C256" t="s">
        <v>32</v>
      </c>
      <c r="D256" t="s">
        <v>840</v>
      </c>
      <c r="E256" t="s">
        <v>841</v>
      </c>
      <c r="F256" t="s">
        <v>975</v>
      </c>
      <c r="G256" t="s">
        <v>844</v>
      </c>
      <c r="H256" s="121" t="s">
        <v>10591</v>
      </c>
    </row>
    <row r="257" spans="1:8" x14ac:dyDescent="0.25">
      <c r="A257">
        <v>1435680</v>
      </c>
      <c r="B257" s="121" t="s">
        <v>10586</v>
      </c>
      <c r="C257" t="s">
        <v>32</v>
      </c>
      <c r="D257" t="s">
        <v>840</v>
      </c>
      <c r="E257" t="s">
        <v>841</v>
      </c>
      <c r="F257" t="s">
        <v>842</v>
      </c>
      <c r="G257" t="s">
        <v>845</v>
      </c>
      <c r="H257" s="121" t="s">
        <v>10592</v>
      </c>
    </row>
    <row r="258" spans="1:8" x14ac:dyDescent="0.25">
      <c r="A258">
        <v>1439710</v>
      </c>
      <c r="B258" s="121" t="s">
        <v>10586</v>
      </c>
      <c r="C258" t="s">
        <v>32</v>
      </c>
      <c r="D258" t="s">
        <v>41</v>
      </c>
      <c r="E258" t="s">
        <v>1198</v>
      </c>
      <c r="F258" t="s">
        <v>1199</v>
      </c>
      <c r="G258" t="s">
        <v>2179</v>
      </c>
      <c r="H258" s="121" t="s">
        <v>10593</v>
      </c>
    </row>
    <row r="259" spans="1:8" x14ac:dyDescent="0.25">
      <c r="A259">
        <v>1439715</v>
      </c>
      <c r="B259" s="121" t="s">
        <v>10586</v>
      </c>
      <c r="C259" t="s">
        <v>32</v>
      </c>
      <c r="D259" t="s">
        <v>41</v>
      </c>
      <c r="E259" t="s">
        <v>1198</v>
      </c>
      <c r="F259" t="s">
        <v>2325</v>
      </c>
      <c r="G259" t="s">
        <v>2539</v>
      </c>
      <c r="H259" s="121" t="s">
        <v>10594</v>
      </c>
    </row>
    <row r="260" spans="1:8" x14ac:dyDescent="0.25">
      <c r="A260">
        <v>1452780</v>
      </c>
      <c r="B260" s="121" t="s">
        <v>10586</v>
      </c>
      <c r="C260" t="s">
        <v>32</v>
      </c>
      <c r="D260" t="s">
        <v>40</v>
      </c>
      <c r="E260" t="s">
        <v>997</v>
      </c>
      <c r="F260" t="s">
        <v>1144</v>
      </c>
      <c r="G260" t="s">
        <v>998</v>
      </c>
      <c r="H260" s="121" t="s">
        <v>10595</v>
      </c>
    </row>
    <row r="261" spans="1:8" x14ac:dyDescent="0.25">
      <c r="A261">
        <v>1458194</v>
      </c>
      <c r="B261" s="121" t="s">
        <v>10586</v>
      </c>
      <c r="C261" t="s">
        <v>32</v>
      </c>
      <c r="D261" t="s">
        <v>40</v>
      </c>
      <c r="E261" t="s">
        <v>662</v>
      </c>
      <c r="F261" t="s">
        <v>10596</v>
      </c>
      <c r="G261" t="s">
        <v>1079</v>
      </c>
      <c r="H261" s="121" t="s">
        <v>10597</v>
      </c>
    </row>
    <row r="262" spans="1:8" x14ac:dyDescent="0.25">
      <c r="A262">
        <v>1462203</v>
      </c>
      <c r="B262" s="121" t="s">
        <v>10586</v>
      </c>
      <c r="C262" t="s">
        <v>32</v>
      </c>
      <c r="D262" t="s">
        <v>40</v>
      </c>
      <c r="E262" t="s">
        <v>1126</v>
      </c>
      <c r="F262" t="s">
        <v>1217</v>
      </c>
      <c r="G262" t="s">
        <v>1215</v>
      </c>
      <c r="H262" s="121" t="s">
        <v>10598</v>
      </c>
    </row>
    <row r="263" spans="1:8" x14ac:dyDescent="0.25">
      <c r="A263">
        <v>1496205</v>
      </c>
      <c r="B263" s="121" t="s">
        <v>10586</v>
      </c>
      <c r="C263" t="s">
        <v>32</v>
      </c>
      <c r="D263" t="s">
        <v>85</v>
      </c>
      <c r="E263" t="s">
        <v>7671</v>
      </c>
      <c r="F263" t="s">
        <v>10599</v>
      </c>
      <c r="G263" t="s">
        <v>10600</v>
      </c>
      <c r="H263" s="121" t="s">
        <v>10601</v>
      </c>
    </row>
    <row r="264" spans="1:8" x14ac:dyDescent="0.25">
      <c r="A264">
        <v>1515692</v>
      </c>
      <c r="B264" s="121" t="s">
        <v>10586</v>
      </c>
      <c r="C264" t="s">
        <v>32</v>
      </c>
      <c r="D264" t="s">
        <v>275</v>
      </c>
      <c r="E264" t="s">
        <v>7737</v>
      </c>
      <c r="F264" t="s">
        <v>10602</v>
      </c>
      <c r="G264" t="s">
        <v>10603</v>
      </c>
      <c r="H264" s="121" t="s">
        <v>10604</v>
      </c>
    </row>
    <row r="265" spans="1:8" x14ac:dyDescent="0.25">
      <c r="A265">
        <v>1527483</v>
      </c>
      <c r="B265" s="121" t="s">
        <v>10586</v>
      </c>
      <c r="C265" t="s">
        <v>32</v>
      </c>
      <c r="D265" t="s">
        <v>260</v>
      </c>
      <c r="E265" t="s">
        <v>399</v>
      </c>
      <c r="F265" t="s">
        <v>1511</v>
      </c>
      <c r="G265" t="s">
        <v>10605</v>
      </c>
      <c r="H265" s="121" t="s">
        <v>10606</v>
      </c>
    </row>
    <row r="266" spans="1:8" x14ac:dyDescent="0.25">
      <c r="A266">
        <v>1461283</v>
      </c>
      <c r="B266" s="121" t="s">
        <v>10607</v>
      </c>
      <c r="C266" t="s">
        <v>32</v>
      </c>
      <c r="D266" t="s">
        <v>40</v>
      </c>
      <c r="E266" t="s">
        <v>648</v>
      </c>
      <c r="F266" t="s">
        <v>1120</v>
      </c>
      <c r="G266" t="s">
        <v>1189</v>
      </c>
      <c r="H266" s="121" t="s">
        <v>10608</v>
      </c>
    </row>
    <row r="267" spans="1:8" x14ac:dyDescent="0.25">
      <c r="A267">
        <v>1521765</v>
      </c>
      <c r="B267" s="121" t="s">
        <v>10607</v>
      </c>
      <c r="C267" t="s">
        <v>32</v>
      </c>
      <c r="D267" t="s">
        <v>319</v>
      </c>
      <c r="E267" t="s">
        <v>3037</v>
      </c>
      <c r="F267" t="s">
        <v>10609</v>
      </c>
      <c r="G267" t="s">
        <v>10610</v>
      </c>
      <c r="H267" s="121" t="s">
        <v>10611</v>
      </c>
    </row>
    <row r="268" spans="1:8" x14ac:dyDescent="0.25">
      <c r="A268">
        <v>1382861</v>
      </c>
      <c r="B268" s="121" t="s">
        <v>10612</v>
      </c>
      <c r="C268" t="s">
        <v>32</v>
      </c>
      <c r="D268" t="s">
        <v>92</v>
      </c>
      <c r="E268" t="s">
        <v>5083</v>
      </c>
      <c r="F268" t="s">
        <v>5084</v>
      </c>
      <c r="G268" t="s">
        <v>1505</v>
      </c>
      <c r="H268" s="121" t="s">
        <v>10613</v>
      </c>
    </row>
    <row r="269" spans="1:8" x14ac:dyDescent="0.25">
      <c r="A269">
        <v>1384878</v>
      </c>
      <c r="B269" s="121" t="s">
        <v>10612</v>
      </c>
      <c r="C269" t="s">
        <v>32</v>
      </c>
      <c r="D269" t="s">
        <v>381</v>
      </c>
      <c r="E269" t="s">
        <v>401</v>
      </c>
      <c r="F269" t="s">
        <v>1794</v>
      </c>
      <c r="G269" t="s">
        <v>10614</v>
      </c>
      <c r="H269" s="121" t="s">
        <v>10615</v>
      </c>
    </row>
    <row r="270" spans="1:8" x14ac:dyDescent="0.25">
      <c r="A270">
        <v>1387044</v>
      </c>
      <c r="B270" s="121" t="s">
        <v>10612</v>
      </c>
      <c r="C270" t="s">
        <v>32</v>
      </c>
      <c r="D270" t="s">
        <v>65</v>
      </c>
      <c r="E270" t="s">
        <v>70</v>
      </c>
      <c r="F270" t="s">
        <v>3574</v>
      </c>
      <c r="G270" t="s">
        <v>5205</v>
      </c>
      <c r="H270" s="121" t="s">
        <v>10616</v>
      </c>
    </row>
    <row r="271" spans="1:8" x14ac:dyDescent="0.25">
      <c r="A271">
        <v>1400217</v>
      </c>
      <c r="B271" s="121" t="s">
        <v>10612</v>
      </c>
      <c r="C271" t="s">
        <v>32</v>
      </c>
      <c r="D271" t="s">
        <v>377</v>
      </c>
      <c r="E271" t="s">
        <v>49</v>
      </c>
      <c r="F271" t="s">
        <v>2176</v>
      </c>
      <c r="G271" t="s">
        <v>6530</v>
      </c>
      <c r="H271" s="121" t="s">
        <v>10617</v>
      </c>
    </row>
    <row r="272" spans="1:8" x14ac:dyDescent="0.25">
      <c r="A272">
        <v>1400591</v>
      </c>
      <c r="B272" s="121" t="s">
        <v>10612</v>
      </c>
      <c r="C272" t="s">
        <v>32</v>
      </c>
      <c r="D272" t="s">
        <v>319</v>
      </c>
      <c r="E272" t="s">
        <v>2929</v>
      </c>
      <c r="F272" t="s">
        <v>10618</v>
      </c>
      <c r="G272" t="s">
        <v>2931</v>
      </c>
      <c r="H272" s="121" t="s">
        <v>10619</v>
      </c>
    </row>
    <row r="273" spans="1:8" x14ac:dyDescent="0.25">
      <c r="A273">
        <v>1404606</v>
      </c>
      <c r="B273" s="121" t="s">
        <v>10612</v>
      </c>
      <c r="C273" t="s">
        <v>32</v>
      </c>
      <c r="D273" t="s">
        <v>41</v>
      </c>
      <c r="E273" t="s">
        <v>262</v>
      </c>
      <c r="F273" t="s">
        <v>1231</v>
      </c>
      <c r="G273" t="s">
        <v>4520</v>
      </c>
      <c r="H273" s="121" t="s">
        <v>10620</v>
      </c>
    </row>
    <row r="274" spans="1:8" x14ac:dyDescent="0.25">
      <c r="A274">
        <v>1404612</v>
      </c>
      <c r="B274" s="121" t="s">
        <v>10612</v>
      </c>
      <c r="C274" t="s">
        <v>32</v>
      </c>
      <c r="D274" t="s">
        <v>41</v>
      </c>
      <c r="E274" t="s">
        <v>262</v>
      </c>
      <c r="F274" t="s">
        <v>915</v>
      </c>
      <c r="G274" t="s">
        <v>1632</v>
      </c>
      <c r="H274" s="121" t="s">
        <v>10621</v>
      </c>
    </row>
    <row r="275" spans="1:8" x14ac:dyDescent="0.25">
      <c r="A275">
        <v>1410389</v>
      </c>
      <c r="B275" s="121" t="s">
        <v>10612</v>
      </c>
      <c r="C275" t="s">
        <v>32</v>
      </c>
      <c r="D275" t="s">
        <v>51</v>
      </c>
      <c r="E275" t="s">
        <v>3147</v>
      </c>
      <c r="F275" t="s">
        <v>3822</v>
      </c>
      <c r="G275" t="s">
        <v>4554</v>
      </c>
      <c r="H275" s="121" t="s">
        <v>10622</v>
      </c>
    </row>
    <row r="276" spans="1:8" x14ac:dyDescent="0.25">
      <c r="A276">
        <v>1413952</v>
      </c>
      <c r="B276" s="121" t="s">
        <v>10612</v>
      </c>
      <c r="C276" t="s">
        <v>32</v>
      </c>
      <c r="D276" t="s">
        <v>53</v>
      </c>
      <c r="E276" t="s">
        <v>643</v>
      </c>
      <c r="F276" t="s">
        <v>1029</v>
      </c>
      <c r="G276" t="s">
        <v>1888</v>
      </c>
      <c r="H276" s="121" t="s">
        <v>10623</v>
      </c>
    </row>
    <row r="277" spans="1:8" x14ac:dyDescent="0.25">
      <c r="A277">
        <v>1422241</v>
      </c>
      <c r="B277" s="121" t="s">
        <v>10612</v>
      </c>
      <c r="C277" t="s">
        <v>32</v>
      </c>
      <c r="D277" t="s">
        <v>268</v>
      </c>
      <c r="E277" t="s">
        <v>619</v>
      </c>
      <c r="F277" t="s">
        <v>935</v>
      </c>
      <c r="G277" t="s">
        <v>4608</v>
      </c>
      <c r="H277" s="121" t="s">
        <v>10624</v>
      </c>
    </row>
    <row r="278" spans="1:8" x14ac:dyDescent="0.25">
      <c r="A278">
        <v>1434588</v>
      </c>
      <c r="B278" s="121" t="s">
        <v>10612</v>
      </c>
      <c r="C278" t="s">
        <v>32</v>
      </c>
      <c r="D278" t="s">
        <v>65</v>
      </c>
      <c r="E278" t="s">
        <v>77</v>
      </c>
      <c r="F278" t="s">
        <v>2531</v>
      </c>
      <c r="G278" t="s">
        <v>10625</v>
      </c>
      <c r="H278" s="121" t="s">
        <v>10626</v>
      </c>
    </row>
    <row r="279" spans="1:8" x14ac:dyDescent="0.25">
      <c r="A279">
        <v>1448676</v>
      </c>
      <c r="B279" s="121" t="s">
        <v>10612</v>
      </c>
      <c r="C279" t="s">
        <v>32</v>
      </c>
      <c r="D279" t="s">
        <v>42</v>
      </c>
      <c r="E279" t="s">
        <v>578</v>
      </c>
      <c r="F279" t="s">
        <v>979</v>
      </c>
      <c r="G279" t="s">
        <v>10627</v>
      </c>
      <c r="H279" s="121" t="s">
        <v>10628</v>
      </c>
    </row>
    <row r="280" spans="1:8" x14ac:dyDescent="0.25">
      <c r="A280">
        <v>1448677</v>
      </c>
      <c r="B280" s="121" t="s">
        <v>10612</v>
      </c>
      <c r="C280" t="s">
        <v>32</v>
      </c>
      <c r="D280" t="s">
        <v>42</v>
      </c>
      <c r="E280" t="s">
        <v>578</v>
      </c>
      <c r="F280" t="s">
        <v>984</v>
      </c>
      <c r="G280" t="s">
        <v>10629</v>
      </c>
      <c r="H280" s="121" t="s">
        <v>10630</v>
      </c>
    </row>
    <row r="281" spans="1:8" x14ac:dyDescent="0.25">
      <c r="A281">
        <v>1448678</v>
      </c>
      <c r="B281" s="121" t="s">
        <v>10612</v>
      </c>
      <c r="C281" t="s">
        <v>32</v>
      </c>
      <c r="D281" t="s">
        <v>42</v>
      </c>
      <c r="E281" t="s">
        <v>578</v>
      </c>
      <c r="F281" t="s">
        <v>980</v>
      </c>
      <c r="G281" t="s">
        <v>10631</v>
      </c>
      <c r="H281" s="121" t="s">
        <v>10632</v>
      </c>
    </row>
    <row r="282" spans="1:8" x14ac:dyDescent="0.25">
      <c r="A282">
        <v>1448679</v>
      </c>
      <c r="B282" s="121" t="s">
        <v>10612</v>
      </c>
      <c r="C282" t="s">
        <v>32</v>
      </c>
      <c r="D282" t="s">
        <v>42</v>
      </c>
      <c r="E282" t="s">
        <v>578</v>
      </c>
      <c r="F282" t="s">
        <v>983</v>
      </c>
      <c r="G282" t="s">
        <v>981</v>
      </c>
      <c r="H282" s="121" t="s">
        <v>10633</v>
      </c>
    </row>
    <row r="283" spans="1:8" x14ac:dyDescent="0.25">
      <c r="A283">
        <v>1448680</v>
      </c>
      <c r="B283" s="121" t="s">
        <v>10612</v>
      </c>
      <c r="C283" t="s">
        <v>32</v>
      </c>
      <c r="D283" t="s">
        <v>42</v>
      </c>
      <c r="E283" t="s">
        <v>578</v>
      </c>
      <c r="F283" t="s">
        <v>10634</v>
      </c>
      <c r="G283" t="s">
        <v>10635</v>
      </c>
      <c r="H283" s="121" t="s">
        <v>10636</v>
      </c>
    </row>
    <row r="284" spans="1:8" x14ac:dyDescent="0.25">
      <c r="A284">
        <v>1448681</v>
      </c>
      <c r="B284" s="121" t="s">
        <v>10612</v>
      </c>
      <c r="C284" t="s">
        <v>32</v>
      </c>
      <c r="D284" t="s">
        <v>42</v>
      </c>
      <c r="E284" t="s">
        <v>578</v>
      </c>
      <c r="F284" t="s">
        <v>10637</v>
      </c>
      <c r="G284" t="s">
        <v>10638</v>
      </c>
      <c r="H284" s="121" t="s">
        <v>10639</v>
      </c>
    </row>
    <row r="285" spans="1:8" x14ac:dyDescent="0.25">
      <c r="A285">
        <v>1448682</v>
      </c>
      <c r="B285" s="121" t="s">
        <v>10612</v>
      </c>
      <c r="C285" t="s">
        <v>32</v>
      </c>
      <c r="D285" t="s">
        <v>42</v>
      </c>
      <c r="E285" t="s">
        <v>578</v>
      </c>
      <c r="F285" t="s">
        <v>10640</v>
      </c>
      <c r="G285" t="s">
        <v>10641</v>
      </c>
      <c r="H285" s="121" t="s">
        <v>10642</v>
      </c>
    </row>
    <row r="286" spans="1:8" x14ac:dyDescent="0.25">
      <c r="A286">
        <v>1448683</v>
      </c>
      <c r="B286" s="121" t="s">
        <v>10612</v>
      </c>
      <c r="C286" t="s">
        <v>32</v>
      </c>
      <c r="D286" t="s">
        <v>42</v>
      </c>
      <c r="E286" t="s">
        <v>578</v>
      </c>
      <c r="F286" t="s">
        <v>982</v>
      </c>
      <c r="G286" t="s">
        <v>10643</v>
      </c>
      <c r="H286" s="121" t="s">
        <v>10644</v>
      </c>
    </row>
    <row r="287" spans="1:8" x14ac:dyDescent="0.25">
      <c r="A287">
        <v>1448910</v>
      </c>
      <c r="B287" s="121" t="s">
        <v>10612</v>
      </c>
      <c r="C287" t="s">
        <v>32</v>
      </c>
      <c r="D287" t="s">
        <v>42</v>
      </c>
      <c r="E287" t="s">
        <v>579</v>
      </c>
      <c r="F287" t="s">
        <v>996</v>
      </c>
      <c r="G287" t="s">
        <v>10645</v>
      </c>
      <c r="H287" s="121" t="s">
        <v>10646</v>
      </c>
    </row>
    <row r="288" spans="1:8" x14ac:dyDescent="0.25">
      <c r="A288">
        <v>1448911</v>
      </c>
      <c r="B288" s="121" t="s">
        <v>10612</v>
      </c>
      <c r="C288" t="s">
        <v>32</v>
      </c>
      <c r="D288" t="s">
        <v>42</v>
      </c>
      <c r="E288" t="s">
        <v>579</v>
      </c>
      <c r="F288" t="s">
        <v>994</v>
      </c>
      <c r="G288" t="s">
        <v>991</v>
      </c>
      <c r="H288" s="121" t="s">
        <v>10647</v>
      </c>
    </row>
    <row r="289" spans="1:8" x14ac:dyDescent="0.25">
      <c r="A289">
        <v>1448912</v>
      </c>
      <c r="B289" s="121" t="s">
        <v>10612</v>
      </c>
      <c r="C289" t="s">
        <v>32</v>
      </c>
      <c r="D289" t="s">
        <v>42</v>
      </c>
      <c r="E289" t="s">
        <v>579</v>
      </c>
      <c r="F289" t="s">
        <v>10648</v>
      </c>
      <c r="G289" t="s">
        <v>10649</v>
      </c>
      <c r="H289" s="121" t="s">
        <v>10650</v>
      </c>
    </row>
    <row r="290" spans="1:8" x14ac:dyDescent="0.25">
      <c r="A290">
        <v>1448913</v>
      </c>
      <c r="B290" s="121" t="s">
        <v>10612</v>
      </c>
      <c r="C290" t="s">
        <v>32</v>
      </c>
      <c r="D290" t="s">
        <v>42</v>
      </c>
      <c r="E290" t="s">
        <v>579</v>
      </c>
      <c r="F290" t="s">
        <v>10651</v>
      </c>
      <c r="G290" t="s">
        <v>995</v>
      </c>
      <c r="H290" s="121" t="s">
        <v>10652</v>
      </c>
    </row>
    <row r="291" spans="1:8" x14ac:dyDescent="0.25">
      <c r="A291">
        <v>1448914</v>
      </c>
      <c r="B291" s="121" t="s">
        <v>10612</v>
      </c>
      <c r="C291" t="s">
        <v>32</v>
      </c>
      <c r="D291" t="s">
        <v>42</v>
      </c>
      <c r="E291" t="s">
        <v>579</v>
      </c>
      <c r="F291" t="s">
        <v>985</v>
      </c>
      <c r="G291" t="s">
        <v>988</v>
      </c>
      <c r="H291" s="121" t="s">
        <v>10653</v>
      </c>
    </row>
    <row r="292" spans="1:8" x14ac:dyDescent="0.25">
      <c r="A292">
        <v>1448915</v>
      </c>
      <c r="B292" s="121" t="s">
        <v>10612</v>
      </c>
      <c r="C292" t="s">
        <v>32</v>
      </c>
      <c r="D292" t="s">
        <v>42</v>
      </c>
      <c r="E292" t="s">
        <v>579</v>
      </c>
      <c r="F292" t="s">
        <v>990</v>
      </c>
      <c r="G292" t="s">
        <v>992</v>
      </c>
      <c r="H292" s="121" t="s">
        <v>10654</v>
      </c>
    </row>
    <row r="293" spans="1:8" x14ac:dyDescent="0.25">
      <c r="A293">
        <v>1448916</v>
      </c>
      <c r="B293" s="121" t="s">
        <v>10612</v>
      </c>
      <c r="C293" t="s">
        <v>32</v>
      </c>
      <c r="D293" t="s">
        <v>42</v>
      </c>
      <c r="E293" t="s">
        <v>579</v>
      </c>
      <c r="F293" t="s">
        <v>993</v>
      </c>
      <c r="G293" t="s">
        <v>989</v>
      </c>
      <c r="H293" s="121" t="s">
        <v>10655</v>
      </c>
    </row>
    <row r="294" spans="1:8" x14ac:dyDescent="0.25">
      <c r="A294">
        <v>1448917</v>
      </c>
      <c r="B294" s="121" t="s">
        <v>10612</v>
      </c>
      <c r="C294" t="s">
        <v>32</v>
      </c>
      <c r="D294" t="s">
        <v>42</v>
      </c>
      <c r="E294" t="s">
        <v>579</v>
      </c>
      <c r="F294" t="s">
        <v>986</v>
      </c>
      <c r="G294" t="s">
        <v>987</v>
      </c>
      <c r="H294" s="121" t="s">
        <v>10656</v>
      </c>
    </row>
    <row r="295" spans="1:8" x14ac:dyDescent="0.25">
      <c r="A295">
        <v>1461591</v>
      </c>
      <c r="B295" s="121" t="s">
        <v>10612</v>
      </c>
      <c r="C295" t="s">
        <v>32</v>
      </c>
      <c r="D295" t="s">
        <v>40</v>
      </c>
      <c r="E295" t="s">
        <v>584</v>
      </c>
      <c r="F295" t="s">
        <v>3607</v>
      </c>
      <c r="G295" t="s">
        <v>1259</v>
      </c>
      <c r="H295" s="121" t="s">
        <v>10657</v>
      </c>
    </row>
    <row r="296" spans="1:8" x14ac:dyDescent="0.25">
      <c r="A296">
        <v>1461592</v>
      </c>
      <c r="B296" s="121" t="s">
        <v>10612</v>
      </c>
      <c r="C296" t="s">
        <v>32</v>
      </c>
      <c r="D296" t="s">
        <v>40</v>
      </c>
      <c r="E296" t="s">
        <v>584</v>
      </c>
      <c r="F296" t="s">
        <v>1262</v>
      </c>
      <c r="G296" t="s">
        <v>1260</v>
      </c>
      <c r="H296" s="121" t="s">
        <v>10658</v>
      </c>
    </row>
    <row r="297" spans="1:8" x14ac:dyDescent="0.25">
      <c r="A297">
        <v>1461593</v>
      </c>
      <c r="B297" s="121" t="s">
        <v>10612</v>
      </c>
      <c r="C297" t="s">
        <v>32</v>
      </c>
      <c r="D297" t="s">
        <v>40</v>
      </c>
      <c r="E297" t="s">
        <v>584</v>
      </c>
      <c r="F297" t="s">
        <v>3205</v>
      </c>
      <c r="G297" t="s">
        <v>6443</v>
      </c>
      <c r="H297" s="121" t="s">
        <v>10659</v>
      </c>
    </row>
    <row r="298" spans="1:8" x14ac:dyDescent="0.25">
      <c r="A298">
        <v>1461594</v>
      </c>
      <c r="B298" s="121" t="s">
        <v>10612</v>
      </c>
      <c r="C298" t="s">
        <v>32</v>
      </c>
      <c r="D298" t="s">
        <v>40</v>
      </c>
      <c r="E298" t="s">
        <v>584</v>
      </c>
      <c r="F298" t="s">
        <v>1258</v>
      </c>
      <c r="G298" t="s">
        <v>1261</v>
      </c>
      <c r="H298" s="121" t="s">
        <v>10660</v>
      </c>
    </row>
    <row r="299" spans="1:8" x14ac:dyDescent="0.25">
      <c r="A299">
        <v>1496027</v>
      </c>
      <c r="B299" s="121" t="s">
        <v>10612</v>
      </c>
      <c r="C299" t="s">
        <v>32</v>
      </c>
      <c r="D299" t="s">
        <v>85</v>
      </c>
      <c r="E299" t="s">
        <v>7989</v>
      </c>
      <c r="F299" t="s">
        <v>4068</v>
      </c>
      <c r="G299" t="s">
        <v>10661</v>
      </c>
      <c r="H299" s="121" t="s">
        <v>10662</v>
      </c>
    </row>
    <row r="300" spans="1:8" x14ac:dyDescent="0.25">
      <c r="A300">
        <v>1497817</v>
      </c>
      <c r="B300" s="121" t="s">
        <v>10612</v>
      </c>
      <c r="C300" t="s">
        <v>32</v>
      </c>
      <c r="D300" t="s">
        <v>608</v>
      </c>
      <c r="E300" t="s">
        <v>232</v>
      </c>
      <c r="F300" t="s">
        <v>1766</v>
      </c>
      <c r="G300" t="s">
        <v>1472</v>
      </c>
      <c r="H300" s="121" t="s">
        <v>10663</v>
      </c>
    </row>
    <row r="301" spans="1:8" x14ac:dyDescent="0.25">
      <c r="A301">
        <v>1500345</v>
      </c>
      <c r="B301" s="121" t="s">
        <v>10612</v>
      </c>
      <c r="C301" t="s">
        <v>32</v>
      </c>
      <c r="D301" t="s">
        <v>324</v>
      </c>
      <c r="E301" t="s">
        <v>325</v>
      </c>
      <c r="F301" t="s">
        <v>10664</v>
      </c>
      <c r="G301" t="s">
        <v>10665</v>
      </c>
      <c r="H301" s="121" t="s">
        <v>10666</v>
      </c>
    </row>
    <row r="302" spans="1:8" x14ac:dyDescent="0.25">
      <c r="A302">
        <v>1505105</v>
      </c>
      <c r="B302" s="121" t="s">
        <v>10612</v>
      </c>
      <c r="C302" t="s">
        <v>32</v>
      </c>
      <c r="D302" t="s">
        <v>275</v>
      </c>
      <c r="E302" t="s">
        <v>8943</v>
      </c>
      <c r="F302" t="s">
        <v>5868</v>
      </c>
      <c r="G302" t="s">
        <v>10667</v>
      </c>
      <c r="H302" s="121" t="s">
        <v>10668</v>
      </c>
    </row>
    <row r="303" spans="1:8" x14ac:dyDescent="0.25">
      <c r="A303">
        <v>1510724</v>
      </c>
      <c r="B303" s="121" t="s">
        <v>10612</v>
      </c>
      <c r="C303" t="s">
        <v>32</v>
      </c>
      <c r="D303" t="s">
        <v>275</v>
      </c>
      <c r="E303" t="s">
        <v>7588</v>
      </c>
      <c r="F303" t="s">
        <v>10669</v>
      </c>
      <c r="G303" t="s">
        <v>10670</v>
      </c>
      <c r="H303" s="121" t="s">
        <v>10671</v>
      </c>
    </row>
    <row r="304" spans="1:8" x14ac:dyDescent="0.25">
      <c r="A304">
        <v>1511088</v>
      </c>
      <c r="B304" s="121" t="s">
        <v>10612</v>
      </c>
      <c r="C304" t="s">
        <v>32</v>
      </c>
      <c r="D304" t="s">
        <v>275</v>
      </c>
      <c r="E304" t="s">
        <v>7592</v>
      </c>
      <c r="F304" t="s">
        <v>10672</v>
      </c>
      <c r="G304" t="s">
        <v>10673</v>
      </c>
      <c r="H304" s="121" t="s">
        <v>10674</v>
      </c>
    </row>
    <row r="305" spans="1:8" x14ac:dyDescent="0.25">
      <c r="A305">
        <v>1511270</v>
      </c>
      <c r="B305" s="121" t="s">
        <v>10612</v>
      </c>
      <c r="C305" t="s">
        <v>32</v>
      </c>
      <c r="D305" t="s">
        <v>275</v>
      </c>
      <c r="E305" t="s">
        <v>7733</v>
      </c>
      <c r="F305" t="s">
        <v>10675</v>
      </c>
      <c r="G305" t="s">
        <v>10676</v>
      </c>
      <c r="H305" s="121" t="s">
        <v>10677</v>
      </c>
    </row>
    <row r="306" spans="1:8" x14ac:dyDescent="0.25">
      <c r="A306">
        <v>1514614</v>
      </c>
      <c r="B306" s="121" t="s">
        <v>10612</v>
      </c>
      <c r="C306" t="s">
        <v>32</v>
      </c>
      <c r="D306" t="s">
        <v>67</v>
      </c>
      <c r="E306" t="s">
        <v>81</v>
      </c>
      <c r="F306" t="s">
        <v>1266</v>
      </c>
      <c r="G306" t="s">
        <v>1268</v>
      </c>
      <c r="H306" s="121" t="s">
        <v>10678</v>
      </c>
    </row>
    <row r="307" spans="1:8" x14ac:dyDescent="0.25">
      <c r="A307">
        <v>1514617</v>
      </c>
      <c r="B307" s="121" t="s">
        <v>10612</v>
      </c>
      <c r="C307" t="s">
        <v>32</v>
      </c>
      <c r="D307" t="s">
        <v>67</v>
      </c>
      <c r="E307" t="s">
        <v>81</v>
      </c>
      <c r="F307" t="s">
        <v>10679</v>
      </c>
      <c r="G307" t="s">
        <v>10680</v>
      </c>
      <c r="H307" s="121" t="s">
        <v>10681</v>
      </c>
    </row>
    <row r="308" spans="1:8" x14ac:dyDescent="0.25">
      <c r="A308">
        <v>1515799</v>
      </c>
      <c r="B308" s="121" t="s">
        <v>10612</v>
      </c>
      <c r="C308" t="s">
        <v>32</v>
      </c>
      <c r="D308" t="s">
        <v>544</v>
      </c>
      <c r="E308" t="s">
        <v>545</v>
      </c>
      <c r="F308" t="s">
        <v>1777</v>
      </c>
      <c r="G308" t="s">
        <v>4848</v>
      </c>
      <c r="H308" s="121" t="s">
        <v>10682</v>
      </c>
    </row>
    <row r="309" spans="1:8" x14ac:dyDescent="0.25">
      <c r="A309">
        <v>1516021</v>
      </c>
      <c r="B309" s="121" t="s">
        <v>10612</v>
      </c>
      <c r="C309" t="s">
        <v>32</v>
      </c>
      <c r="D309" t="s">
        <v>7779</v>
      </c>
      <c r="E309" t="s">
        <v>81</v>
      </c>
      <c r="F309" t="s">
        <v>10683</v>
      </c>
      <c r="G309" t="s">
        <v>10684</v>
      </c>
      <c r="H309" s="121" t="s">
        <v>10685</v>
      </c>
    </row>
    <row r="310" spans="1:8" x14ac:dyDescent="0.25">
      <c r="A310">
        <v>1518051</v>
      </c>
      <c r="B310" s="121" t="s">
        <v>10612</v>
      </c>
      <c r="C310" t="s">
        <v>32</v>
      </c>
      <c r="D310" t="s">
        <v>379</v>
      </c>
      <c r="E310" t="s">
        <v>387</v>
      </c>
      <c r="F310" t="s">
        <v>1158</v>
      </c>
      <c r="G310" t="s">
        <v>3250</v>
      </c>
      <c r="H310" s="121" t="s">
        <v>10686</v>
      </c>
    </row>
    <row r="311" spans="1:8" x14ac:dyDescent="0.25">
      <c r="A311">
        <v>1518052</v>
      </c>
      <c r="B311" s="121" t="s">
        <v>10612</v>
      </c>
      <c r="C311" t="s">
        <v>32</v>
      </c>
      <c r="D311" t="s">
        <v>379</v>
      </c>
      <c r="E311" t="s">
        <v>387</v>
      </c>
      <c r="F311" t="s">
        <v>1160</v>
      </c>
      <c r="G311" t="s">
        <v>1310</v>
      </c>
      <c r="H311" s="121" t="s">
        <v>10687</v>
      </c>
    </row>
    <row r="312" spans="1:8" x14ac:dyDescent="0.25">
      <c r="A312">
        <v>1523096</v>
      </c>
      <c r="B312" s="121" t="s">
        <v>10612</v>
      </c>
      <c r="C312" t="s">
        <v>32</v>
      </c>
      <c r="D312" t="s">
        <v>419</v>
      </c>
      <c r="E312" t="s">
        <v>81</v>
      </c>
      <c r="F312" t="s">
        <v>2872</v>
      </c>
      <c r="G312" t="s">
        <v>10688</v>
      </c>
      <c r="H312" s="121" t="s">
        <v>10689</v>
      </c>
    </row>
    <row r="313" spans="1:8" x14ac:dyDescent="0.25">
      <c r="A313">
        <v>1526293</v>
      </c>
      <c r="B313" s="121" t="s">
        <v>10612</v>
      </c>
      <c r="C313" t="s">
        <v>32</v>
      </c>
      <c r="D313" t="s">
        <v>587</v>
      </c>
      <c r="E313" t="s">
        <v>588</v>
      </c>
      <c r="F313" t="s">
        <v>1172</v>
      </c>
      <c r="G313" t="s">
        <v>1170</v>
      </c>
      <c r="H313" s="121" t="s">
        <v>10690</v>
      </c>
    </row>
    <row r="314" spans="1:8" x14ac:dyDescent="0.25">
      <c r="A314">
        <v>1526294</v>
      </c>
      <c r="B314" s="121" t="s">
        <v>10612</v>
      </c>
      <c r="C314" t="s">
        <v>32</v>
      </c>
      <c r="D314" t="s">
        <v>587</v>
      </c>
      <c r="E314" t="s">
        <v>588</v>
      </c>
      <c r="F314" t="s">
        <v>1169</v>
      </c>
      <c r="G314" t="s">
        <v>1167</v>
      </c>
      <c r="H314" s="121" t="s">
        <v>10691</v>
      </c>
    </row>
    <row r="315" spans="1:8" x14ac:dyDescent="0.25">
      <c r="A315">
        <v>1526295</v>
      </c>
      <c r="B315" s="121" t="s">
        <v>10612</v>
      </c>
      <c r="C315" t="s">
        <v>32</v>
      </c>
      <c r="D315" t="s">
        <v>587</v>
      </c>
      <c r="E315" t="s">
        <v>588</v>
      </c>
      <c r="F315" t="s">
        <v>1171</v>
      </c>
      <c r="G315" t="s">
        <v>1168</v>
      </c>
      <c r="H315" s="121" t="s">
        <v>10692</v>
      </c>
    </row>
    <row r="316" spans="1:8" x14ac:dyDescent="0.25">
      <c r="A316">
        <v>1527659</v>
      </c>
      <c r="B316" s="121" t="s">
        <v>10612</v>
      </c>
      <c r="C316" t="s">
        <v>32</v>
      </c>
      <c r="D316" t="s">
        <v>537</v>
      </c>
      <c r="E316" t="s">
        <v>538</v>
      </c>
      <c r="F316" t="s">
        <v>10693</v>
      </c>
      <c r="G316" t="s">
        <v>10694</v>
      </c>
      <c r="H316" s="121" t="s">
        <v>10695</v>
      </c>
    </row>
    <row r="317" spans="1:8" x14ac:dyDescent="0.25">
      <c r="A317">
        <v>1527797</v>
      </c>
      <c r="B317" s="121" t="s">
        <v>10612</v>
      </c>
      <c r="C317" t="s">
        <v>32</v>
      </c>
      <c r="D317" t="s">
        <v>377</v>
      </c>
      <c r="E317" t="s">
        <v>870</v>
      </c>
      <c r="F317" t="s">
        <v>1150</v>
      </c>
      <c r="G317" t="s">
        <v>1152</v>
      </c>
      <c r="H317" s="121" t="s">
        <v>10696</v>
      </c>
    </row>
    <row r="318" spans="1:8" x14ac:dyDescent="0.25">
      <c r="A318">
        <v>1527799</v>
      </c>
      <c r="B318" s="121" t="s">
        <v>10612</v>
      </c>
      <c r="C318" t="s">
        <v>32</v>
      </c>
      <c r="D318" t="s">
        <v>377</v>
      </c>
      <c r="E318" t="s">
        <v>870</v>
      </c>
      <c r="F318" t="s">
        <v>872</v>
      </c>
      <c r="G318" t="s">
        <v>1155</v>
      </c>
      <c r="H318" s="121" t="s">
        <v>10697</v>
      </c>
    </row>
    <row r="319" spans="1:8" x14ac:dyDescent="0.25">
      <c r="A319">
        <v>1529503</v>
      </c>
      <c r="B319" s="121" t="s">
        <v>10612</v>
      </c>
      <c r="C319" t="s">
        <v>32</v>
      </c>
      <c r="D319" t="s">
        <v>544</v>
      </c>
      <c r="E319" t="s">
        <v>4863</v>
      </c>
      <c r="F319" t="s">
        <v>6164</v>
      </c>
      <c r="G319" t="s">
        <v>10698</v>
      </c>
      <c r="H319" s="121" t="s">
        <v>10699</v>
      </c>
    </row>
    <row r="320" spans="1:8" x14ac:dyDescent="0.25">
      <c r="A320">
        <v>1530951</v>
      </c>
      <c r="B320" s="121" t="s">
        <v>10612</v>
      </c>
      <c r="C320" t="s">
        <v>32</v>
      </c>
      <c r="D320" t="s">
        <v>7779</v>
      </c>
      <c r="E320" t="s">
        <v>7780</v>
      </c>
      <c r="F320" t="s">
        <v>10700</v>
      </c>
      <c r="G320" t="s">
        <v>10701</v>
      </c>
      <c r="H320" s="121" t="s">
        <v>10702</v>
      </c>
    </row>
    <row r="321" spans="1:8" x14ac:dyDescent="0.25">
      <c r="A321">
        <v>1530952</v>
      </c>
      <c r="B321" s="121" t="s">
        <v>10612</v>
      </c>
      <c r="C321" t="s">
        <v>32</v>
      </c>
      <c r="D321" t="s">
        <v>7779</v>
      </c>
      <c r="E321" t="s">
        <v>7780</v>
      </c>
      <c r="F321" t="s">
        <v>10703</v>
      </c>
      <c r="G321" t="s">
        <v>10704</v>
      </c>
      <c r="H321" s="121" t="s">
        <v>10705</v>
      </c>
    </row>
    <row r="322" spans="1:8" x14ac:dyDescent="0.25">
      <c r="A322">
        <v>1531024</v>
      </c>
      <c r="B322" s="121" t="s">
        <v>10612</v>
      </c>
      <c r="C322" t="s">
        <v>32</v>
      </c>
      <c r="D322" t="s">
        <v>7779</v>
      </c>
      <c r="E322" t="s">
        <v>7780</v>
      </c>
      <c r="F322" t="s">
        <v>10706</v>
      </c>
      <c r="G322" t="s">
        <v>10707</v>
      </c>
      <c r="H322" s="121" t="s">
        <v>10708</v>
      </c>
    </row>
    <row r="323" spans="1:8" x14ac:dyDescent="0.25">
      <c r="A323">
        <v>1536318</v>
      </c>
      <c r="B323" s="121" t="s">
        <v>10612</v>
      </c>
      <c r="C323" t="s">
        <v>32</v>
      </c>
      <c r="D323" t="s">
        <v>377</v>
      </c>
      <c r="E323" t="s">
        <v>7794</v>
      </c>
      <c r="F323" t="s">
        <v>10709</v>
      </c>
      <c r="G323" t="s">
        <v>10710</v>
      </c>
      <c r="H323" s="121" t="s">
        <v>10711</v>
      </c>
    </row>
    <row r="324" spans="1:8" x14ac:dyDescent="0.25">
      <c r="A324">
        <v>1536320</v>
      </c>
      <c r="B324" s="121" t="s">
        <v>10612</v>
      </c>
      <c r="C324" t="s">
        <v>32</v>
      </c>
      <c r="D324" t="s">
        <v>377</v>
      </c>
      <c r="E324" t="s">
        <v>7794</v>
      </c>
      <c r="F324" t="s">
        <v>10712</v>
      </c>
      <c r="G324" t="s">
        <v>10713</v>
      </c>
      <c r="H324" s="121" t="s">
        <v>10714</v>
      </c>
    </row>
    <row r="325" spans="1:8" x14ac:dyDescent="0.25">
      <c r="A325">
        <v>1536535</v>
      </c>
      <c r="B325" s="121" t="s">
        <v>10612</v>
      </c>
      <c r="C325" t="s">
        <v>32</v>
      </c>
      <c r="D325" t="s">
        <v>377</v>
      </c>
      <c r="E325" t="s">
        <v>7242</v>
      </c>
      <c r="F325" t="s">
        <v>10715</v>
      </c>
      <c r="G325" t="s">
        <v>10716</v>
      </c>
      <c r="H325" s="121" t="s">
        <v>10717</v>
      </c>
    </row>
    <row r="326" spans="1:8" x14ac:dyDescent="0.25">
      <c r="A326">
        <v>1536761</v>
      </c>
      <c r="B326" s="121" t="s">
        <v>10612</v>
      </c>
      <c r="C326" t="s">
        <v>32</v>
      </c>
      <c r="D326" t="s">
        <v>377</v>
      </c>
      <c r="E326" t="s">
        <v>10374</v>
      </c>
      <c r="F326" t="s">
        <v>10718</v>
      </c>
      <c r="G326" t="s">
        <v>10719</v>
      </c>
      <c r="H326" s="121" t="s">
        <v>10720</v>
      </c>
    </row>
    <row r="327" spans="1:8" x14ac:dyDescent="0.25">
      <c r="A327">
        <v>1539387</v>
      </c>
      <c r="B327" s="121" t="s">
        <v>10612</v>
      </c>
      <c r="C327" t="s">
        <v>32</v>
      </c>
      <c r="D327" t="s">
        <v>21</v>
      </c>
      <c r="E327" t="s">
        <v>7468</v>
      </c>
      <c r="F327" t="s">
        <v>10721</v>
      </c>
      <c r="G327" t="s">
        <v>10722</v>
      </c>
      <c r="H327" s="121" t="s">
        <v>10723</v>
      </c>
    </row>
    <row r="328" spans="1:8" x14ac:dyDescent="0.25">
      <c r="A328">
        <v>1539731</v>
      </c>
      <c r="B328" s="121" t="s">
        <v>10612</v>
      </c>
      <c r="C328" t="s">
        <v>32</v>
      </c>
      <c r="D328" t="s">
        <v>21</v>
      </c>
      <c r="E328" t="s">
        <v>7468</v>
      </c>
      <c r="F328" t="s">
        <v>10724</v>
      </c>
      <c r="G328" t="s">
        <v>10725</v>
      </c>
      <c r="H328" s="121" t="s">
        <v>10726</v>
      </c>
    </row>
    <row r="329" spans="1:8" x14ac:dyDescent="0.25">
      <c r="A329">
        <v>1539773</v>
      </c>
      <c r="B329" s="121" t="s">
        <v>10612</v>
      </c>
      <c r="C329" t="s">
        <v>32</v>
      </c>
      <c r="D329" t="s">
        <v>5924</v>
      </c>
      <c r="E329" t="s">
        <v>7410</v>
      </c>
      <c r="F329" t="s">
        <v>10727</v>
      </c>
      <c r="G329" t="s">
        <v>10728</v>
      </c>
      <c r="H329" s="121" t="s">
        <v>10729</v>
      </c>
    </row>
    <row r="330" spans="1:8" x14ac:dyDescent="0.25">
      <c r="A330">
        <v>1540040</v>
      </c>
      <c r="B330" s="121" t="s">
        <v>10612</v>
      </c>
      <c r="C330" t="s">
        <v>32</v>
      </c>
      <c r="D330" t="s">
        <v>570</v>
      </c>
      <c r="E330" t="s">
        <v>49</v>
      </c>
      <c r="F330" t="s">
        <v>10730</v>
      </c>
      <c r="G330" t="s">
        <v>1178</v>
      </c>
      <c r="H330" s="121" t="s">
        <v>10731</v>
      </c>
    </row>
    <row r="331" spans="1:8" x14ac:dyDescent="0.25">
      <c r="A331">
        <v>1396747</v>
      </c>
      <c r="B331" s="121" t="s">
        <v>10732</v>
      </c>
      <c r="C331" t="s">
        <v>32</v>
      </c>
      <c r="D331" t="s">
        <v>682</v>
      </c>
      <c r="E331" t="s">
        <v>683</v>
      </c>
      <c r="F331" t="s">
        <v>2261</v>
      </c>
      <c r="G331" t="s">
        <v>1308</v>
      </c>
      <c r="H331" s="121" t="s">
        <v>10733</v>
      </c>
    </row>
    <row r="332" spans="1:8" x14ac:dyDescent="0.25">
      <c r="A332">
        <v>1414276</v>
      </c>
      <c r="B332" s="121" t="s">
        <v>10732</v>
      </c>
      <c r="C332" t="s">
        <v>32</v>
      </c>
      <c r="D332" t="s">
        <v>43</v>
      </c>
      <c r="E332" t="s">
        <v>592</v>
      </c>
      <c r="F332" t="s">
        <v>1400</v>
      </c>
      <c r="G332" t="s">
        <v>1328</v>
      </c>
      <c r="H332" s="121" t="s">
        <v>10734</v>
      </c>
    </row>
    <row r="333" spans="1:8" x14ac:dyDescent="0.25">
      <c r="A333">
        <v>1522780</v>
      </c>
      <c r="B333" s="121" t="s">
        <v>10732</v>
      </c>
      <c r="C333" t="s">
        <v>32</v>
      </c>
      <c r="D333" t="s">
        <v>585</v>
      </c>
      <c r="E333" t="s">
        <v>586</v>
      </c>
      <c r="F333" t="s">
        <v>10735</v>
      </c>
      <c r="G333" t="s">
        <v>5010</v>
      </c>
      <c r="H333" s="121" t="s">
        <v>10736</v>
      </c>
    </row>
    <row r="334" spans="1:8" x14ac:dyDescent="0.25">
      <c r="A334">
        <v>1534178</v>
      </c>
      <c r="B334" s="121" t="s">
        <v>10732</v>
      </c>
      <c r="C334" t="s">
        <v>32</v>
      </c>
      <c r="D334" t="s">
        <v>326</v>
      </c>
      <c r="E334" t="s">
        <v>327</v>
      </c>
      <c r="F334" t="s">
        <v>10737</v>
      </c>
      <c r="G334" t="s">
        <v>10738</v>
      </c>
      <c r="H334" s="121" t="s">
        <v>10739</v>
      </c>
    </row>
    <row r="335" spans="1:8" x14ac:dyDescent="0.25">
      <c r="A335">
        <v>1388866</v>
      </c>
      <c r="B335" s="121" t="s">
        <v>10740</v>
      </c>
      <c r="C335" t="s">
        <v>32</v>
      </c>
      <c r="D335" t="s">
        <v>43</v>
      </c>
      <c r="E335" t="s">
        <v>337</v>
      </c>
      <c r="F335" t="s">
        <v>10741</v>
      </c>
      <c r="G335" t="s">
        <v>10742</v>
      </c>
      <c r="H335" s="121" t="s">
        <v>10743</v>
      </c>
    </row>
    <row r="336" spans="1:8" x14ac:dyDescent="0.25">
      <c r="A336">
        <v>1388869</v>
      </c>
      <c r="B336" s="121" t="s">
        <v>10740</v>
      </c>
      <c r="C336" t="s">
        <v>32</v>
      </c>
      <c r="D336" t="s">
        <v>43</v>
      </c>
      <c r="E336" t="s">
        <v>337</v>
      </c>
      <c r="F336" t="s">
        <v>3354</v>
      </c>
      <c r="G336" t="s">
        <v>6883</v>
      </c>
      <c r="H336" s="121" t="s">
        <v>10744</v>
      </c>
    </row>
    <row r="337" spans="1:8" x14ac:dyDescent="0.25">
      <c r="A337">
        <v>1388873</v>
      </c>
      <c r="B337" s="121" t="s">
        <v>10740</v>
      </c>
      <c r="C337" t="s">
        <v>32</v>
      </c>
      <c r="D337" t="s">
        <v>43</v>
      </c>
      <c r="E337" t="s">
        <v>337</v>
      </c>
      <c r="F337" t="s">
        <v>3360</v>
      </c>
      <c r="G337" t="s">
        <v>10745</v>
      </c>
      <c r="H337" s="121" t="s">
        <v>10746</v>
      </c>
    </row>
    <row r="338" spans="1:8" x14ac:dyDescent="0.25">
      <c r="A338">
        <v>1394381</v>
      </c>
      <c r="B338" s="121" t="s">
        <v>10740</v>
      </c>
      <c r="C338" t="s">
        <v>32</v>
      </c>
      <c r="D338" t="s">
        <v>43</v>
      </c>
      <c r="E338" t="s">
        <v>339</v>
      </c>
      <c r="F338" t="s">
        <v>10747</v>
      </c>
      <c r="G338" t="s">
        <v>3671</v>
      </c>
      <c r="H338" s="121" t="s">
        <v>10748</v>
      </c>
    </row>
    <row r="339" spans="1:8" x14ac:dyDescent="0.25">
      <c r="A339">
        <v>1394692</v>
      </c>
      <c r="B339" s="121" t="s">
        <v>10740</v>
      </c>
      <c r="C339" t="s">
        <v>32</v>
      </c>
      <c r="D339" t="s">
        <v>42</v>
      </c>
      <c r="E339" t="s">
        <v>61</v>
      </c>
      <c r="F339" t="s">
        <v>1367</v>
      </c>
      <c r="G339" t="s">
        <v>491</v>
      </c>
      <c r="H339" s="121" t="s">
        <v>10749</v>
      </c>
    </row>
    <row r="340" spans="1:8" x14ac:dyDescent="0.25">
      <c r="A340">
        <v>1404236</v>
      </c>
      <c r="B340" s="121" t="s">
        <v>10740</v>
      </c>
      <c r="C340" t="s">
        <v>32</v>
      </c>
      <c r="D340" t="s">
        <v>56</v>
      </c>
      <c r="E340" t="s">
        <v>81</v>
      </c>
      <c r="F340" t="s">
        <v>10750</v>
      </c>
      <c r="G340" t="s">
        <v>10751</v>
      </c>
      <c r="H340" s="121" t="s">
        <v>10752</v>
      </c>
    </row>
    <row r="341" spans="1:8" x14ac:dyDescent="0.25">
      <c r="A341">
        <v>1414277</v>
      </c>
      <c r="B341" s="121" t="s">
        <v>10740</v>
      </c>
      <c r="C341" t="s">
        <v>32</v>
      </c>
      <c r="D341" t="s">
        <v>43</v>
      </c>
      <c r="E341" t="s">
        <v>592</v>
      </c>
      <c r="F341" t="s">
        <v>1327</v>
      </c>
      <c r="G341" t="s">
        <v>10753</v>
      </c>
      <c r="H341" s="121" t="s">
        <v>10754</v>
      </c>
    </row>
    <row r="342" spans="1:8" x14ac:dyDescent="0.25">
      <c r="A342">
        <v>1421859</v>
      </c>
      <c r="B342" s="121" t="s">
        <v>10740</v>
      </c>
      <c r="C342" t="s">
        <v>32</v>
      </c>
      <c r="D342" t="s">
        <v>323</v>
      </c>
      <c r="E342" t="s">
        <v>49</v>
      </c>
      <c r="F342" t="s">
        <v>10755</v>
      </c>
      <c r="G342" t="s">
        <v>2464</v>
      </c>
      <c r="H342" s="121" t="s">
        <v>10756</v>
      </c>
    </row>
    <row r="343" spans="1:8" x14ac:dyDescent="0.25">
      <c r="A343">
        <v>1445922</v>
      </c>
      <c r="B343" s="121" t="s">
        <v>10740</v>
      </c>
      <c r="C343" t="s">
        <v>32</v>
      </c>
      <c r="D343" t="s">
        <v>66</v>
      </c>
      <c r="E343" t="s">
        <v>582</v>
      </c>
      <c r="F343" t="s">
        <v>3446</v>
      </c>
      <c r="G343" t="s">
        <v>10757</v>
      </c>
      <c r="H343" s="121" t="s">
        <v>10758</v>
      </c>
    </row>
    <row r="344" spans="1:8" x14ac:dyDescent="0.25">
      <c r="A344">
        <v>1461289</v>
      </c>
      <c r="B344" s="121" t="s">
        <v>10740</v>
      </c>
      <c r="C344" t="s">
        <v>32</v>
      </c>
      <c r="D344" t="s">
        <v>40</v>
      </c>
      <c r="E344" t="s">
        <v>648</v>
      </c>
      <c r="F344" t="s">
        <v>1119</v>
      </c>
      <c r="G344" t="s">
        <v>10759</v>
      </c>
      <c r="H344" s="121" t="s">
        <v>10760</v>
      </c>
    </row>
    <row r="345" spans="1:8" x14ac:dyDescent="0.25">
      <c r="A345">
        <v>1512056</v>
      </c>
      <c r="B345" s="121" t="s">
        <v>10740</v>
      </c>
      <c r="C345" t="s">
        <v>32</v>
      </c>
      <c r="D345" t="s">
        <v>595</v>
      </c>
      <c r="E345" t="s">
        <v>49</v>
      </c>
      <c r="F345" t="s">
        <v>614</v>
      </c>
      <c r="G345" t="s">
        <v>1494</v>
      </c>
      <c r="H345" s="121" t="s">
        <v>10761</v>
      </c>
    </row>
    <row r="346" spans="1:8" x14ac:dyDescent="0.25">
      <c r="A346">
        <v>1513521</v>
      </c>
      <c r="B346" s="121" t="s">
        <v>10740</v>
      </c>
      <c r="C346" t="s">
        <v>32</v>
      </c>
      <c r="D346" t="s">
        <v>546</v>
      </c>
      <c r="E346" t="s">
        <v>580</v>
      </c>
      <c r="F346" t="s">
        <v>1353</v>
      </c>
      <c r="G346" t="s">
        <v>1010</v>
      </c>
      <c r="H346" s="121" t="s">
        <v>10762</v>
      </c>
    </row>
    <row r="347" spans="1:8" x14ac:dyDescent="0.25">
      <c r="A347">
        <v>1513522</v>
      </c>
      <c r="B347" s="121" t="s">
        <v>10740</v>
      </c>
      <c r="C347" t="s">
        <v>32</v>
      </c>
      <c r="D347" t="s">
        <v>546</v>
      </c>
      <c r="E347" t="s">
        <v>580</v>
      </c>
      <c r="F347" t="s">
        <v>1352</v>
      </c>
      <c r="G347" t="s">
        <v>10763</v>
      </c>
      <c r="H347" s="121" t="s">
        <v>10764</v>
      </c>
    </row>
    <row r="348" spans="1:8" x14ac:dyDescent="0.25">
      <c r="A348">
        <v>1521326</v>
      </c>
      <c r="B348" s="121" t="s">
        <v>10740</v>
      </c>
      <c r="C348" t="s">
        <v>32</v>
      </c>
      <c r="D348" t="s">
        <v>260</v>
      </c>
      <c r="E348" t="s">
        <v>261</v>
      </c>
      <c r="F348" t="s">
        <v>10765</v>
      </c>
      <c r="G348" t="s">
        <v>10766</v>
      </c>
      <c r="H348" s="121" t="s">
        <v>10767</v>
      </c>
    </row>
    <row r="349" spans="1:8" x14ac:dyDescent="0.25">
      <c r="A349">
        <v>1521764</v>
      </c>
      <c r="B349" s="121" t="s">
        <v>10740</v>
      </c>
      <c r="C349" t="s">
        <v>32</v>
      </c>
      <c r="D349" t="s">
        <v>319</v>
      </c>
      <c r="E349" t="s">
        <v>3037</v>
      </c>
      <c r="F349" t="s">
        <v>5385</v>
      </c>
      <c r="G349" t="s">
        <v>10768</v>
      </c>
      <c r="H349" s="121" t="s">
        <v>10769</v>
      </c>
    </row>
    <row r="350" spans="1:8" x14ac:dyDescent="0.25">
      <c r="A350">
        <v>1528579</v>
      </c>
      <c r="B350" s="121" t="s">
        <v>10740</v>
      </c>
      <c r="C350" t="s">
        <v>32</v>
      </c>
      <c r="D350" t="s">
        <v>419</v>
      </c>
      <c r="E350" t="s">
        <v>266</v>
      </c>
      <c r="F350" t="s">
        <v>3307</v>
      </c>
      <c r="G350" t="s">
        <v>3316</v>
      </c>
      <c r="H350" s="121" t="s">
        <v>10770</v>
      </c>
    </row>
    <row r="351" spans="1:8" x14ac:dyDescent="0.25">
      <c r="A351">
        <v>1528580</v>
      </c>
      <c r="B351" s="121" t="s">
        <v>10740</v>
      </c>
      <c r="C351" t="s">
        <v>32</v>
      </c>
      <c r="D351" t="s">
        <v>419</v>
      </c>
      <c r="E351" t="s">
        <v>266</v>
      </c>
      <c r="F351" t="s">
        <v>3319</v>
      </c>
      <c r="G351" t="s">
        <v>3310</v>
      </c>
      <c r="H351" s="121" t="s">
        <v>10771</v>
      </c>
    </row>
    <row r="352" spans="1:8" x14ac:dyDescent="0.25">
      <c r="A352">
        <v>1536981</v>
      </c>
      <c r="B352" s="121" t="s">
        <v>10740</v>
      </c>
      <c r="C352" t="s">
        <v>32</v>
      </c>
      <c r="D352" t="s">
        <v>71</v>
      </c>
      <c r="E352" t="s">
        <v>350</v>
      </c>
      <c r="F352" t="s">
        <v>1827</v>
      </c>
      <c r="G352" t="s">
        <v>10772</v>
      </c>
      <c r="H352" s="121" t="s">
        <v>10773</v>
      </c>
    </row>
    <row r="353" spans="1:8" x14ac:dyDescent="0.25">
      <c r="A353">
        <v>1537524</v>
      </c>
      <c r="B353" s="121" t="s">
        <v>10740</v>
      </c>
      <c r="C353" t="s">
        <v>32</v>
      </c>
      <c r="D353" t="s">
        <v>452</v>
      </c>
      <c r="E353" t="s">
        <v>49</v>
      </c>
      <c r="F353" t="s">
        <v>1504</v>
      </c>
      <c r="G353" t="s">
        <v>2453</v>
      </c>
      <c r="H353" s="121" t="s">
        <v>10774</v>
      </c>
    </row>
    <row r="354" spans="1:8" x14ac:dyDescent="0.25">
      <c r="A354">
        <v>1523097</v>
      </c>
      <c r="B354" s="121" t="s">
        <v>10775</v>
      </c>
      <c r="C354" t="s">
        <v>32</v>
      </c>
      <c r="D354" t="s">
        <v>419</v>
      </c>
      <c r="E354" t="s">
        <v>81</v>
      </c>
      <c r="F354" t="s">
        <v>1164</v>
      </c>
      <c r="G354" t="s">
        <v>3329</v>
      </c>
      <c r="H354" s="121" t="s">
        <v>10776</v>
      </c>
    </row>
    <row r="355" spans="1:8" x14ac:dyDescent="0.25">
      <c r="A355">
        <v>1391125</v>
      </c>
      <c r="B355" s="121" t="s">
        <v>10777</v>
      </c>
      <c r="C355" t="s">
        <v>32</v>
      </c>
      <c r="D355" t="s">
        <v>40</v>
      </c>
      <c r="E355" t="s">
        <v>74</v>
      </c>
      <c r="F355" t="s">
        <v>6520</v>
      </c>
      <c r="G355" t="s">
        <v>2031</v>
      </c>
      <c r="H355" s="121" t="s">
        <v>10778</v>
      </c>
    </row>
    <row r="356" spans="1:8" x14ac:dyDescent="0.25">
      <c r="A356">
        <v>1392147</v>
      </c>
      <c r="B356" s="121" t="s">
        <v>10777</v>
      </c>
      <c r="C356" t="s">
        <v>32</v>
      </c>
      <c r="D356" t="s">
        <v>40</v>
      </c>
      <c r="E356" t="s">
        <v>75</v>
      </c>
      <c r="F356" t="s">
        <v>2341</v>
      </c>
      <c r="G356" t="s">
        <v>2533</v>
      </c>
      <c r="H356" s="121" t="s">
        <v>10779</v>
      </c>
    </row>
    <row r="357" spans="1:8" x14ac:dyDescent="0.25">
      <c r="A357">
        <v>1400593</v>
      </c>
      <c r="B357" s="121" t="s">
        <v>10777</v>
      </c>
      <c r="C357" t="s">
        <v>32</v>
      </c>
      <c r="D357" t="s">
        <v>319</v>
      </c>
      <c r="E357" t="s">
        <v>2929</v>
      </c>
      <c r="F357" t="s">
        <v>10780</v>
      </c>
      <c r="G357" t="s">
        <v>4517</v>
      </c>
      <c r="H357" s="121" t="s">
        <v>10781</v>
      </c>
    </row>
    <row r="358" spans="1:8" x14ac:dyDescent="0.25">
      <c r="A358">
        <v>1403803</v>
      </c>
      <c r="B358" s="121" t="s">
        <v>10777</v>
      </c>
      <c r="C358" t="s">
        <v>32</v>
      </c>
      <c r="D358" t="s">
        <v>38</v>
      </c>
      <c r="E358" t="s">
        <v>39</v>
      </c>
      <c r="F358" t="s">
        <v>10782</v>
      </c>
      <c r="G358" t="s">
        <v>10783</v>
      </c>
      <c r="H358" s="121" t="s">
        <v>10784</v>
      </c>
    </row>
    <row r="359" spans="1:8" x14ac:dyDescent="0.25">
      <c r="A359">
        <v>1403804</v>
      </c>
      <c r="B359" s="121" t="s">
        <v>10777</v>
      </c>
      <c r="C359" t="s">
        <v>32</v>
      </c>
      <c r="D359" t="s">
        <v>38</v>
      </c>
      <c r="E359" t="s">
        <v>39</v>
      </c>
      <c r="F359" t="s">
        <v>300</v>
      </c>
      <c r="G359" t="s">
        <v>10785</v>
      </c>
      <c r="H359" s="121" t="s">
        <v>10786</v>
      </c>
    </row>
    <row r="360" spans="1:8" x14ac:dyDescent="0.25">
      <c r="A360">
        <v>1406316</v>
      </c>
      <c r="B360" s="121" t="s">
        <v>10777</v>
      </c>
      <c r="C360" t="s">
        <v>32</v>
      </c>
      <c r="D360" t="s">
        <v>43</v>
      </c>
      <c r="E360" t="s">
        <v>393</v>
      </c>
      <c r="F360" t="s">
        <v>4528</v>
      </c>
      <c r="G360" t="s">
        <v>3713</v>
      </c>
      <c r="H360" s="121" t="s">
        <v>10787</v>
      </c>
    </row>
    <row r="361" spans="1:8" x14ac:dyDescent="0.25">
      <c r="A361">
        <v>1406867</v>
      </c>
      <c r="B361" s="121" t="s">
        <v>10777</v>
      </c>
      <c r="C361" t="s">
        <v>32</v>
      </c>
      <c r="D361" t="s">
        <v>43</v>
      </c>
      <c r="E361" t="s">
        <v>345</v>
      </c>
      <c r="F361" t="s">
        <v>10788</v>
      </c>
      <c r="G361" t="s">
        <v>1025</v>
      </c>
      <c r="H361" s="121" t="s">
        <v>10789</v>
      </c>
    </row>
    <row r="362" spans="1:8" x14ac:dyDescent="0.25">
      <c r="A362">
        <v>1406868</v>
      </c>
      <c r="B362" s="121" t="s">
        <v>10777</v>
      </c>
      <c r="C362" t="s">
        <v>32</v>
      </c>
      <c r="D362" t="s">
        <v>43</v>
      </c>
      <c r="E362" t="s">
        <v>345</v>
      </c>
      <c r="F362" t="s">
        <v>1370</v>
      </c>
      <c r="G362" t="s">
        <v>1026</v>
      </c>
      <c r="H362" s="121" t="s">
        <v>10790</v>
      </c>
    </row>
    <row r="363" spans="1:8" x14ac:dyDescent="0.25">
      <c r="A363">
        <v>1406869</v>
      </c>
      <c r="B363" s="121" t="s">
        <v>10777</v>
      </c>
      <c r="C363" t="s">
        <v>32</v>
      </c>
      <c r="D363" t="s">
        <v>43</v>
      </c>
      <c r="E363" t="s">
        <v>345</v>
      </c>
      <c r="F363" t="s">
        <v>1237</v>
      </c>
      <c r="G363" t="s">
        <v>10791</v>
      </c>
      <c r="H363" s="121" t="s">
        <v>10792</v>
      </c>
    </row>
    <row r="364" spans="1:8" x14ac:dyDescent="0.25">
      <c r="A364">
        <v>1406871</v>
      </c>
      <c r="B364" s="121" t="s">
        <v>10777</v>
      </c>
      <c r="C364" t="s">
        <v>32</v>
      </c>
      <c r="D364" t="s">
        <v>43</v>
      </c>
      <c r="E364" t="s">
        <v>345</v>
      </c>
      <c r="F364" t="s">
        <v>1234</v>
      </c>
      <c r="G364" t="s">
        <v>10793</v>
      </c>
      <c r="H364" s="121" t="s">
        <v>10794</v>
      </c>
    </row>
    <row r="365" spans="1:8" x14ac:dyDescent="0.25">
      <c r="A365">
        <v>1406874</v>
      </c>
      <c r="B365" s="121" t="s">
        <v>10777</v>
      </c>
      <c r="C365" t="s">
        <v>32</v>
      </c>
      <c r="D365" t="s">
        <v>43</v>
      </c>
      <c r="E365" t="s">
        <v>345</v>
      </c>
      <c r="F365" t="s">
        <v>1235</v>
      </c>
      <c r="G365" t="s">
        <v>1371</v>
      </c>
      <c r="H365" s="121" t="s">
        <v>10795</v>
      </c>
    </row>
    <row r="366" spans="1:8" x14ac:dyDescent="0.25">
      <c r="A366">
        <v>1407099</v>
      </c>
      <c r="B366" s="121" t="s">
        <v>10777</v>
      </c>
      <c r="C366" t="s">
        <v>32</v>
      </c>
      <c r="D366" t="s">
        <v>43</v>
      </c>
      <c r="E366" t="s">
        <v>605</v>
      </c>
      <c r="F366" t="s">
        <v>3716</v>
      </c>
      <c r="G366" t="s">
        <v>1377</v>
      </c>
      <c r="H366" s="121" t="s">
        <v>10796</v>
      </c>
    </row>
    <row r="367" spans="1:8" x14ac:dyDescent="0.25">
      <c r="A367">
        <v>1407101</v>
      </c>
      <c r="B367" s="121" t="s">
        <v>10777</v>
      </c>
      <c r="C367" t="s">
        <v>32</v>
      </c>
      <c r="D367" t="s">
        <v>43</v>
      </c>
      <c r="E367" t="s">
        <v>605</v>
      </c>
      <c r="F367" t="s">
        <v>1376</v>
      </c>
      <c r="G367" t="s">
        <v>3722</v>
      </c>
      <c r="H367" s="121" t="s">
        <v>10797</v>
      </c>
    </row>
    <row r="368" spans="1:8" x14ac:dyDescent="0.25">
      <c r="A368">
        <v>1407102</v>
      </c>
      <c r="B368" s="121" t="s">
        <v>10777</v>
      </c>
      <c r="C368" t="s">
        <v>32</v>
      </c>
      <c r="D368" t="s">
        <v>43</v>
      </c>
      <c r="E368" t="s">
        <v>605</v>
      </c>
      <c r="F368" t="s">
        <v>1372</v>
      </c>
      <c r="G368" t="s">
        <v>10798</v>
      </c>
      <c r="H368" s="121" t="s">
        <v>10799</v>
      </c>
    </row>
    <row r="369" spans="1:8" x14ac:dyDescent="0.25">
      <c r="A369">
        <v>1407103</v>
      </c>
      <c r="B369" s="121" t="s">
        <v>10777</v>
      </c>
      <c r="C369" t="s">
        <v>32</v>
      </c>
      <c r="D369" t="s">
        <v>43</v>
      </c>
      <c r="E369" t="s">
        <v>605</v>
      </c>
      <c r="F369" t="s">
        <v>3724</v>
      </c>
      <c r="G369" t="s">
        <v>1373</v>
      </c>
      <c r="H369" s="121" t="s">
        <v>10800</v>
      </c>
    </row>
    <row r="370" spans="1:8" x14ac:dyDescent="0.25">
      <c r="A370">
        <v>1407104</v>
      </c>
      <c r="B370" s="121" t="s">
        <v>10777</v>
      </c>
      <c r="C370" t="s">
        <v>32</v>
      </c>
      <c r="D370" t="s">
        <v>43</v>
      </c>
      <c r="E370" t="s">
        <v>605</v>
      </c>
      <c r="F370" t="s">
        <v>10801</v>
      </c>
      <c r="G370" t="s">
        <v>1375</v>
      </c>
      <c r="H370" s="121" t="s">
        <v>10802</v>
      </c>
    </row>
    <row r="371" spans="1:8" x14ac:dyDescent="0.25">
      <c r="A371">
        <v>1407705</v>
      </c>
      <c r="B371" s="121" t="s">
        <v>10777</v>
      </c>
      <c r="C371" t="s">
        <v>32</v>
      </c>
      <c r="D371" t="s">
        <v>43</v>
      </c>
      <c r="E371" t="s">
        <v>76</v>
      </c>
      <c r="F371" t="s">
        <v>10803</v>
      </c>
      <c r="G371" t="s">
        <v>511</v>
      </c>
      <c r="H371" s="121" t="s">
        <v>10804</v>
      </c>
    </row>
    <row r="372" spans="1:8" x14ac:dyDescent="0.25">
      <c r="A372">
        <v>1407710</v>
      </c>
      <c r="B372" s="121" t="s">
        <v>10777</v>
      </c>
      <c r="C372" t="s">
        <v>32</v>
      </c>
      <c r="D372" t="s">
        <v>43</v>
      </c>
      <c r="E372" t="s">
        <v>76</v>
      </c>
      <c r="F372" t="s">
        <v>1382</v>
      </c>
      <c r="G372" t="s">
        <v>1383</v>
      </c>
      <c r="H372" s="121" t="s">
        <v>10805</v>
      </c>
    </row>
    <row r="373" spans="1:8" x14ac:dyDescent="0.25">
      <c r="A373">
        <v>1407712</v>
      </c>
      <c r="B373" s="121" t="s">
        <v>10777</v>
      </c>
      <c r="C373" t="s">
        <v>32</v>
      </c>
      <c r="D373" t="s">
        <v>43</v>
      </c>
      <c r="E373" t="s">
        <v>76</v>
      </c>
      <c r="F373" t="s">
        <v>3729</v>
      </c>
      <c r="G373" t="s">
        <v>10806</v>
      </c>
      <c r="H373" s="121" t="s">
        <v>10807</v>
      </c>
    </row>
    <row r="374" spans="1:8" x14ac:dyDescent="0.25">
      <c r="A374">
        <v>1408026</v>
      </c>
      <c r="B374" s="121" t="s">
        <v>10777</v>
      </c>
      <c r="C374" t="s">
        <v>32</v>
      </c>
      <c r="D374" t="s">
        <v>43</v>
      </c>
      <c r="E374" t="s">
        <v>341</v>
      </c>
      <c r="F374" t="s">
        <v>1197</v>
      </c>
      <c r="G374" t="s">
        <v>10808</v>
      </c>
      <c r="H374" s="121" t="s">
        <v>10809</v>
      </c>
    </row>
    <row r="375" spans="1:8" x14ac:dyDescent="0.25">
      <c r="A375">
        <v>1408165</v>
      </c>
      <c r="B375" s="121" t="s">
        <v>10777</v>
      </c>
      <c r="C375" t="s">
        <v>32</v>
      </c>
      <c r="D375" t="s">
        <v>43</v>
      </c>
      <c r="E375" t="s">
        <v>591</v>
      </c>
      <c r="F375" t="s">
        <v>10810</v>
      </c>
      <c r="G375" t="s">
        <v>3735</v>
      </c>
      <c r="H375" s="121" t="s">
        <v>10811</v>
      </c>
    </row>
    <row r="376" spans="1:8" x14ac:dyDescent="0.25">
      <c r="A376">
        <v>1408317</v>
      </c>
      <c r="B376" s="121" t="s">
        <v>10777</v>
      </c>
      <c r="C376" t="s">
        <v>32</v>
      </c>
      <c r="D376" t="s">
        <v>43</v>
      </c>
      <c r="E376" t="s">
        <v>591</v>
      </c>
      <c r="F376" t="s">
        <v>1386</v>
      </c>
      <c r="G376" t="s">
        <v>10812</v>
      </c>
      <c r="H376" s="121" t="s">
        <v>10813</v>
      </c>
    </row>
    <row r="377" spans="1:8" x14ac:dyDescent="0.25">
      <c r="A377">
        <v>1408918</v>
      </c>
      <c r="B377" s="121" t="s">
        <v>10777</v>
      </c>
      <c r="C377" t="s">
        <v>32</v>
      </c>
      <c r="D377" t="s">
        <v>43</v>
      </c>
      <c r="E377" t="s">
        <v>395</v>
      </c>
      <c r="F377" t="s">
        <v>3758</v>
      </c>
      <c r="G377" t="s">
        <v>3761</v>
      </c>
      <c r="H377" s="121" t="s">
        <v>10814</v>
      </c>
    </row>
    <row r="378" spans="1:8" x14ac:dyDescent="0.25">
      <c r="A378">
        <v>1409423</v>
      </c>
      <c r="B378" s="121" t="s">
        <v>10777</v>
      </c>
      <c r="C378" t="s">
        <v>32</v>
      </c>
      <c r="D378" t="s">
        <v>43</v>
      </c>
      <c r="E378" t="s">
        <v>600</v>
      </c>
      <c r="F378" t="s">
        <v>1850</v>
      </c>
      <c r="G378" t="s">
        <v>3841</v>
      </c>
      <c r="H378" s="121" t="s">
        <v>10815</v>
      </c>
    </row>
    <row r="379" spans="1:8" x14ac:dyDescent="0.25">
      <c r="A379">
        <v>1409947</v>
      </c>
      <c r="B379" s="121" t="s">
        <v>10777</v>
      </c>
      <c r="C379" t="s">
        <v>32</v>
      </c>
      <c r="D379" t="s">
        <v>43</v>
      </c>
      <c r="E379" t="s">
        <v>396</v>
      </c>
      <c r="F379" t="s">
        <v>3813</v>
      </c>
      <c r="G379" t="s">
        <v>3797</v>
      </c>
      <c r="H379" s="121" t="s">
        <v>10816</v>
      </c>
    </row>
    <row r="380" spans="1:8" x14ac:dyDescent="0.25">
      <c r="A380">
        <v>1409951</v>
      </c>
      <c r="B380" s="121" t="s">
        <v>10777</v>
      </c>
      <c r="C380" t="s">
        <v>32</v>
      </c>
      <c r="D380" t="s">
        <v>43</v>
      </c>
      <c r="E380" t="s">
        <v>396</v>
      </c>
      <c r="F380" t="s">
        <v>3810</v>
      </c>
      <c r="G380" t="s">
        <v>3800</v>
      </c>
      <c r="H380" s="121" t="s">
        <v>10817</v>
      </c>
    </row>
    <row r="381" spans="1:8" x14ac:dyDescent="0.25">
      <c r="A381">
        <v>1409953</v>
      </c>
      <c r="B381" s="121" t="s">
        <v>10777</v>
      </c>
      <c r="C381" t="s">
        <v>32</v>
      </c>
      <c r="D381" t="s">
        <v>43</v>
      </c>
      <c r="E381" t="s">
        <v>396</v>
      </c>
      <c r="F381" t="s">
        <v>3816</v>
      </c>
      <c r="G381" t="s">
        <v>3814</v>
      </c>
      <c r="H381" s="121" t="s">
        <v>10818</v>
      </c>
    </row>
    <row r="382" spans="1:8" x14ac:dyDescent="0.25">
      <c r="A382">
        <v>1410690</v>
      </c>
      <c r="B382" s="121" t="s">
        <v>10777</v>
      </c>
      <c r="C382" t="s">
        <v>32</v>
      </c>
      <c r="D382" t="s">
        <v>51</v>
      </c>
      <c r="E382" t="s">
        <v>386</v>
      </c>
      <c r="F382" t="s">
        <v>10819</v>
      </c>
      <c r="G382" t="s">
        <v>3829</v>
      </c>
      <c r="H382" s="121" t="s">
        <v>10820</v>
      </c>
    </row>
    <row r="383" spans="1:8" x14ac:dyDescent="0.25">
      <c r="A383">
        <v>1410694</v>
      </c>
      <c r="B383" s="121" t="s">
        <v>10777</v>
      </c>
      <c r="C383" t="s">
        <v>32</v>
      </c>
      <c r="D383" t="s">
        <v>51</v>
      </c>
      <c r="E383" t="s">
        <v>386</v>
      </c>
      <c r="F383" t="s">
        <v>10821</v>
      </c>
      <c r="G383" t="s">
        <v>3826</v>
      </c>
      <c r="H383" s="121" t="s">
        <v>10822</v>
      </c>
    </row>
    <row r="384" spans="1:8" x14ac:dyDescent="0.25">
      <c r="A384">
        <v>1412277</v>
      </c>
      <c r="B384" s="121" t="s">
        <v>10777</v>
      </c>
      <c r="C384" t="s">
        <v>32</v>
      </c>
      <c r="D384" t="s">
        <v>43</v>
      </c>
      <c r="E384" t="s">
        <v>600</v>
      </c>
      <c r="F384" t="s">
        <v>1392</v>
      </c>
      <c r="G384" t="s">
        <v>3589</v>
      </c>
      <c r="H384" s="121" t="s">
        <v>10823</v>
      </c>
    </row>
    <row r="385" spans="1:8" x14ac:dyDescent="0.25">
      <c r="A385">
        <v>1412947</v>
      </c>
      <c r="B385" s="121" t="s">
        <v>10777</v>
      </c>
      <c r="C385" t="s">
        <v>32</v>
      </c>
      <c r="D385" t="s">
        <v>43</v>
      </c>
      <c r="E385" t="s">
        <v>606</v>
      </c>
      <c r="F385" t="s">
        <v>1397</v>
      </c>
      <c r="G385" t="s">
        <v>10824</v>
      </c>
      <c r="H385" s="121" t="s">
        <v>10825</v>
      </c>
    </row>
    <row r="386" spans="1:8" x14ac:dyDescent="0.25">
      <c r="A386">
        <v>1414272</v>
      </c>
      <c r="B386" s="121" t="s">
        <v>10777</v>
      </c>
      <c r="C386" t="s">
        <v>32</v>
      </c>
      <c r="D386" t="s">
        <v>43</v>
      </c>
      <c r="E386" t="s">
        <v>592</v>
      </c>
      <c r="F386" t="s">
        <v>1399</v>
      </c>
      <c r="G386" t="s">
        <v>1807</v>
      </c>
      <c r="H386" s="121" t="s">
        <v>10826</v>
      </c>
    </row>
    <row r="387" spans="1:8" x14ac:dyDescent="0.25">
      <c r="A387">
        <v>1425592</v>
      </c>
      <c r="B387" s="121" t="s">
        <v>10777</v>
      </c>
      <c r="C387" t="s">
        <v>32</v>
      </c>
      <c r="D387" t="s">
        <v>89</v>
      </c>
      <c r="E387" t="s">
        <v>552</v>
      </c>
      <c r="F387" t="s">
        <v>6303</v>
      </c>
      <c r="G387" t="s">
        <v>6295</v>
      </c>
      <c r="H387" s="121" t="s">
        <v>10827</v>
      </c>
    </row>
    <row r="388" spans="1:8" x14ac:dyDescent="0.25">
      <c r="A388">
        <v>1430360</v>
      </c>
      <c r="B388" s="121" t="s">
        <v>10777</v>
      </c>
      <c r="C388" t="s">
        <v>32</v>
      </c>
      <c r="D388" t="s">
        <v>80</v>
      </c>
      <c r="E388" t="s">
        <v>628</v>
      </c>
      <c r="F388" t="s">
        <v>4626</v>
      </c>
      <c r="G388" t="s">
        <v>1448</v>
      </c>
      <c r="H388" s="121" t="s">
        <v>10828</v>
      </c>
    </row>
    <row r="389" spans="1:8" x14ac:dyDescent="0.25">
      <c r="A389">
        <v>1430572</v>
      </c>
      <c r="B389" s="121" t="s">
        <v>10777</v>
      </c>
      <c r="C389" t="s">
        <v>32</v>
      </c>
      <c r="D389" t="s">
        <v>80</v>
      </c>
      <c r="E389" t="s">
        <v>629</v>
      </c>
      <c r="F389" t="s">
        <v>1449</v>
      </c>
      <c r="G389" t="s">
        <v>5549</v>
      </c>
      <c r="H389" s="121" t="s">
        <v>10829</v>
      </c>
    </row>
    <row r="390" spans="1:8" x14ac:dyDescent="0.25">
      <c r="A390">
        <v>1434436</v>
      </c>
      <c r="B390" s="121" t="s">
        <v>10777</v>
      </c>
      <c r="C390" t="s">
        <v>32</v>
      </c>
      <c r="D390" t="s">
        <v>65</v>
      </c>
      <c r="E390" t="s">
        <v>77</v>
      </c>
      <c r="F390" t="s">
        <v>2530</v>
      </c>
      <c r="G390" t="s">
        <v>10830</v>
      </c>
      <c r="H390" s="121" t="s">
        <v>10831</v>
      </c>
    </row>
    <row r="391" spans="1:8" x14ac:dyDescent="0.25">
      <c r="A391">
        <v>1438408</v>
      </c>
      <c r="B391" s="121" t="s">
        <v>10777</v>
      </c>
      <c r="C391" t="s">
        <v>32</v>
      </c>
      <c r="D391" t="s">
        <v>58</v>
      </c>
      <c r="E391" t="s">
        <v>622</v>
      </c>
      <c r="F391" t="s">
        <v>10832</v>
      </c>
      <c r="G391" t="s">
        <v>4650</v>
      </c>
      <c r="H391" s="121" t="s">
        <v>10833</v>
      </c>
    </row>
    <row r="392" spans="1:8" x14ac:dyDescent="0.25">
      <c r="A392">
        <v>1438409</v>
      </c>
      <c r="B392" s="121" t="s">
        <v>10777</v>
      </c>
      <c r="C392" t="s">
        <v>32</v>
      </c>
      <c r="D392" t="s">
        <v>58</v>
      </c>
      <c r="E392" t="s">
        <v>622</v>
      </c>
      <c r="F392" t="s">
        <v>4248</v>
      </c>
      <c r="G392" t="s">
        <v>10834</v>
      </c>
      <c r="H392" s="121" t="s">
        <v>10835</v>
      </c>
    </row>
    <row r="393" spans="1:8" x14ac:dyDescent="0.25">
      <c r="A393">
        <v>1438410</v>
      </c>
      <c r="B393" s="121" t="s">
        <v>10777</v>
      </c>
      <c r="C393" t="s">
        <v>32</v>
      </c>
      <c r="D393" t="s">
        <v>58</v>
      </c>
      <c r="E393" t="s">
        <v>622</v>
      </c>
      <c r="F393" t="s">
        <v>4649</v>
      </c>
      <c r="G393" t="s">
        <v>1549</v>
      </c>
      <c r="H393" s="121" t="s">
        <v>10836</v>
      </c>
    </row>
    <row r="394" spans="1:8" x14ac:dyDescent="0.25">
      <c r="A394">
        <v>1442025</v>
      </c>
      <c r="B394" s="121" t="s">
        <v>10777</v>
      </c>
      <c r="C394" t="s">
        <v>32</v>
      </c>
      <c r="D394" t="s">
        <v>42</v>
      </c>
      <c r="E394" t="s">
        <v>263</v>
      </c>
      <c r="F394" t="s">
        <v>10837</v>
      </c>
      <c r="G394" t="s">
        <v>10838</v>
      </c>
      <c r="H394" s="121" t="s">
        <v>10839</v>
      </c>
    </row>
    <row r="395" spans="1:8" x14ac:dyDescent="0.25">
      <c r="A395">
        <v>1442026</v>
      </c>
      <c r="B395" s="121" t="s">
        <v>10777</v>
      </c>
      <c r="C395" t="s">
        <v>32</v>
      </c>
      <c r="D395" t="s">
        <v>42</v>
      </c>
      <c r="E395" t="s">
        <v>263</v>
      </c>
      <c r="F395" t="s">
        <v>10840</v>
      </c>
      <c r="G395" t="s">
        <v>10841</v>
      </c>
      <c r="H395" s="121" t="s">
        <v>10842</v>
      </c>
    </row>
    <row r="396" spans="1:8" x14ac:dyDescent="0.25">
      <c r="A396">
        <v>1442027</v>
      </c>
      <c r="B396" s="121" t="s">
        <v>10777</v>
      </c>
      <c r="C396" t="s">
        <v>32</v>
      </c>
      <c r="D396" t="s">
        <v>42</v>
      </c>
      <c r="E396" t="s">
        <v>263</v>
      </c>
      <c r="F396" t="s">
        <v>10843</v>
      </c>
      <c r="G396" t="s">
        <v>10844</v>
      </c>
      <c r="H396" s="121" t="s">
        <v>10845</v>
      </c>
    </row>
    <row r="397" spans="1:8" x14ac:dyDescent="0.25">
      <c r="A397">
        <v>1442028</v>
      </c>
      <c r="B397" s="121" t="s">
        <v>10777</v>
      </c>
      <c r="C397" t="s">
        <v>32</v>
      </c>
      <c r="D397" t="s">
        <v>42</v>
      </c>
      <c r="E397" t="s">
        <v>263</v>
      </c>
      <c r="F397" t="s">
        <v>10846</v>
      </c>
      <c r="G397" t="s">
        <v>10847</v>
      </c>
      <c r="H397" s="121" t="s">
        <v>10848</v>
      </c>
    </row>
    <row r="398" spans="1:8" x14ac:dyDescent="0.25">
      <c r="A398">
        <v>1442029</v>
      </c>
      <c r="B398" s="121" t="s">
        <v>10777</v>
      </c>
      <c r="C398" t="s">
        <v>32</v>
      </c>
      <c r="D398" t="s">
        <v>42</v>
      </c>
      <c r="E398" t="s">
        <v>263</v>
      </c>
      <c r="F398" t="s">
        <v>10849</v>
      </c>
      <c r="G398" t="s">
        <v>10850</v>
      </c>
      <c r="H398" s="121" t="s">
        <v>10851</v>
      </c>
    </row>
    <row r="399" spans="1:8" x14ac:dyDescent="0.25">
      <c r="A399">
        <v>1442030</v>
      </c>
      <c r="B399" s="121" t="s">
        <v>10777</v>
      </c>
      <c r="C399" t="s">
        <v>32</v>
      </c>
      <c r="D399" t="s">
        <v>42</v>
      </c>
      <c r="E399" t="s">
        <v>263</v>
      </c>
      <c r="F399" t="s">
        <v>10852</v>
      </c>
      <c r="G399" t="s">
        <v>10853</v>
      </c>
      <c r="H399" s="121" t="s">
        <v>10854</v>
      </c>
    </row>
    <row r="400" spans="1:8" x14ac:dyDescent="0.25">
      <c r="A400">
        <v>1442031</v>
      </c>
      <c r="B400" s="121" t="s">
        <v>10777</v>
      </c>
      <c r="C400" t="s">
        <v>32</v>
      </c>
      <c r="D400" t="s">
        <v>42</v>
      </c>
      <c r="E400" t="s">
        <v>263</v>
      </c>
      <c r="F400" t="s">
        <v>10855</v>
      </c>
      <c r="G400" t="s">
        <v>10856</v>
      </c>
      <c r="H400" s="121" t="s">
        <v>10857</v>
      </c>
    </row>
    <row r="401" spans="1:8" x14ac:dyDescent="0.25">
      <c r="A401">
        <v>1442032</v>
      </c>
      <c r="B401" s="121" t="s">
        <v>10777</v>
      </c>
      <c r="C401" t="s">
        <v>32</v>
      </c>
      <c r="D401" t="s">
        <v>42</v>
      </c>
      <c r="E401" t="s">
        <v>263</v>
      </c>
      <c r="F401" t="s">
        <v>10858</v>
      </c>
      <c r="G401" t="s">
        <v>10859</v>
      </c>
      <c r="H401" s="121" t="s">
        <v>10860</v>
      </c>
    </row>
    <row r="402" spans="1:8" x14ac:dyDescent="0.25">
      <c r="A402">
        <v>1442033</v>
      </c>
      <c r="B402" s="121" t="s">
        <v>10777</v>
      </c>
      <c r="C402" t="s">
        <v>32</v>
      </c>
      <c r="D402" t="s">
        <v>42</v>
      </c>
      <c r="E402" t="s">
        <v>263</v>
      </c>
      <c r="F402" t="s">
        <v>937</v>
      </c>
      <c r="G402" t="s">
        <v>10861</v>
      </c>
      <c r="H402" s="121" t="s">
        <v>10862</v>
      </c>
    </row>
    <row r="403" spans="1:8" x14ac:dyDescent="0.25">
      <c r="A403">
        <v>1442034</v>
      </c>
      <c r="B403" s="121" t="s">
        <v>10777</v>
      </c>
      <c r="C403" t="s">
        <v>32</v>
      </c>
      <c r="D403" t="s">
        <v>42</v>
      </c>
      <c r="E403" t="s">
        <v>263</v>
      </c>
      <c r="F403" t="s">
        <v>1248</v>
      </c>
      <c r="G403" t="s">
        <v>976</v>
      </c>
      <c r="H403" s="121" t="s">
        <v>10863</v>
      </c>
    </row>
    <row r="404" spans="1:8" x14ac:dyDescent="0.25">
      <c r="A404">
        <v>1442037</v>
      </c>
      <c r="B404" s="121" t="s">
        <v>10777</v>
      </c>
      <c r="C404" t="s">
        <v>32</v>
      </c>
      <c r="D404" t="s">
        <v>42</v>
      </c>
      <c r="E404" t="s">
        <v>263</v>
      </c>
      <c r="F404" t="s">
        <v>1331</v>
      </c>
      <c r="G404" t="s">
        <v>977</v>
      </c>
      <c r="H404" s="121" t="s">
        <v>10864</v>
      </c>
    </row>
    <row r="405" spans="1:8" x14ac:dyDescent="0.25">
      <c r="A405">
        <v>1442038</v>
      </c>
      <c r="B405" s="121" t="s">
        <v>10777</v>
      </c>
      <c r="C405" t="s">
        <v>32</v>
      </c>
      <c r="D405" t="s">
        <v>42</v>
      </c>
      <c r="E405" t="s">
        <v>263</v>
      </c>
      <c r="F405" t="s">
        <v>1922</v>
      </c>
      <c r="G405" t="s">
        <v>938</v>
      </c>
      <c r="H405" s="121" t="s">
        <v>10865</v>
      </c>
    </row>
    <row r="406" spans="1:8" x14ac:dyDescent="0.25">
      <c r="A406">
        <v>1442039</v>
      </c>
      <c r="B406" s="121" t="s">
        <v>10777</v>
      </c>
      <c r="C406" t="s">
        <v>32</v>
      </c>
      <c r="D406" t="s">
        <v>42</v>
      </c>
      <c r="E406" t="s">
        <v>263</v>
      </c>
      <c r="F406" t="s">
        <v>10866</v>
      </c>
      <c r="G406" t="s">
        <v>490</v>
      </c>
      <c r="H406" s="121" t="s">
        <v>10867</v>
      </c>
    </row>
    <row r="407" spans="1:8" x14ac:dyDescent="0.25">
      <c r="A407">
        <v>1442040</v>
      </c>
      <c r="B407" s="121" t="s">
        <v>10777</v>
      </c>
      <c r="C407" t="s">
        <v>32</v>
      </c>
      <c r="D407" t="s">
        <v>42</v>
      </c>
      <c r="E407" t="s">
        <v>263</v>
      </c>
      <c r="F407" t="s">
        <v>1924</v>
      </c>
      <c r="G407" t="s">
        <v>10868</v>
      </c>
      <c r="H407" s="121" t="s">
        <v>10869</v>
      </c>
    </row>
    <row r="408" spans="1:8" x14ac:dyDescent="0.25">
      <c r="A408">
        <v>1442041</v>
      </c>
      <c r="B408" s="121" t="s">
        <v>10777</v>
      </c>
      <c r="C408" t="s">
        <v>32</v>
      </c>
      <c r="D408" t="s">
        <v>42</v>
      </c>
      <c r="E408" t="s">
        <v>263</v>
      </c>
      <c r="F408" t="s">
        <v>10870</v>
      </c>
      <c r="G408" t="s">
        <v>1330</v>
      </c>
      <c r="H408" s="121" t="s">
        <v>10871</v>
      </c>
    </row>
    <row r="409" spans="1:8" x14ac:dyDescent="0.25">
      <c r="A409">
        <v>1442042</v>
      </c>
      <c r="B409" s="121" t="s">
        <v>10777</v>
      </c>
      <c r="C409" t="s">
        <v>32</v>
      </c>
      <c r="D409" t="s">
        <v>42</v>
      </c>
      <c r="E409" t="s">
        <v>263</v>
      </c>
      <c r="F409" t="s">
        <v>10872</v>
      </c>
      <c r="G409" t="s">
        <v>978</v>
      </c>
      <c r="H409" s="121" t="s">
        <v>10873</v>
      </c>
    </row>
    <row r="410" spans="1:8" x14ac:dyDescent="0.25">
      <c r="A410">
        <v>1491224</v>
      </c>
      <c r="B410" s="121" t="s">
        <v>10777</v>
      </c>
      <c r="C410" t="s">
        <v>32</v>
      </c>
      <c r="D410" t="s">
        <v>105</v>
      </c>
      <c r="E410" t="s">
        <v>321</v>
      </c>
      <c r="F410" t="s">
        <v>10874</v>
      </c>
      <c r="G410" t="s">
        <v>3233</v>
      </c>
      <c r="H410" s="121" t="s">
        <v>10875</v>
      </c>
    </row>
    <row r="411" spans="1:8" x14ac:dyDescent="0.25">
      <c r="A411">
        <v>1494122</v>
      </c>
      <c r="B411" s="121" t="s">
        <v>10777</v>
      </c>
      <c r="C411" t="s">
        <v>32</v>
      </c>
      <c r="D411" t="s">
        <v>275</v>
      </c>
      <c r="E411" t="s">
        <v>8304</v>
      </c>
      <c r="F411" t="s">
        <v>1278</v>
      </c>
      <c r="G411" t="s">
        <v>10876</v>
      </c>
      <c r="H411" s="121" t="s">
        <v>10877</v>
      </c>
    </row>
    <row r="412" spans="1:8" x14ac:dyDescent="0.25">
      <c r="A412">
        <v>1494124</v>
      </c>
      <c r="B412" s="121" t="s">
        <v>10777</v>
      </c>
      <c r="C412" t="s">
        <v>32</v>
      </c>
      <c r="D412" t="s">
        <v>275</v>
      </c>
      <c r="E412" t="s">
        <v>8304</v>
      </c>
      <c r="F412" t="s">
        <v>2150</v>
      </c>
      <c r="G412" t="s">
        <v>1779</v>
      </c>
      <c r="H412" s="121" t="s">
        <v>10878</v>
      </c>
    </row>
    <row r="413" spans="1:8" x14ac:dyDescent="0.25">
      <c r="A413">
        <v>1496573</v>
      </c>
      <c r="B413" s="121" t="s">
        <v>10777</v>
      </c>
      <c r="C413" t="s">
        <v>32</v>
      </c>
      <c r="D413" t="s">
        <v>85</v>
      </c>
      <c r="E413" t="s">
        <v>7681</v>
      </c>
      <c r="F413" t="s">
        <v>10879</v>
      </c>
      <c r="G413" t="s">
        <v>10880</v>
      </c>
      <c r="H413" s="121" t="s">
        <v>10881</v>
      </c>
    </row>
    <row r="414" spans="1:8" x14ac:dyDescent="0.25">
      <c r="A414">
        <v>1496751</v>
      </c>
      <c r="B414" s="121" t="s">
        <v>10777</v>
      </c>
      <c r="C414" t="s">
        <v>32</v>
      </c>
      <c r="D414" t="s">
        <v>85</v>
      </c>
      <c r="E414" t="s">
        <v>8003</v>
      </c>
      <c r="F414" t="s">
        <v>10882</v>
      </c>
      <c r="G414" t="s">
        <v>4850</v>
      </c>
      <c r="H414" s="121" t="s">
        <v>10883</v>
      </c>
    </row>
    <row r="415" spans="1:8" x14ac:dyDescent="0.25">
      <c r="A415">
        <v>1496934</v>
      </c>
      <c r="B415" s="121" t="s">
        <v>10777</v>
      </c>
      <c r="C415" t="s">
        <v>32</v>
      </c>
      <c r="D415" t="s">
        <v>85</v>
      </c>
      <c r="E415" t="s">
        <v>7685</v>
      </c>
      <c r="F415" t="s">
        <v>10884</v>
      </c>
      <c r="G415" t="s">
        <v>10885</v>
      </c>
      <c r="H415" s="121" t="s">
        <v>10886</v>
      </c>
    </row>
    <row r="416" spans="1:8" x14ac:dyDescent="0.25">
      <c r="A416">
        <v>1496937</v>
      </c>
      <c r="B416" s="121" t="s">
        <v>10777</v>
      </c>
      <c r="C416" t="s">
        <v>32</v>
      </c>
      <c r="D416" t="s">
        <v>85</v>
      </c>
      <c r="E416" t="s">
        <v>7685</v>
      </c>
      <c r="F416" t="s">
        <v>10887</v>
      </c>
      <c r="G416" t="s">
        <v>10888</v>
      </c>
      <c r="H416" s="121" t="s">
        <v>10889</v>
      </c>
    </row>
    <row r="417" spans="1:8" x14ac:dyDescent="0.25">
      <c r="A417">
        <v>1497119</v>
      </c>
      <c r="B417" s="121" t="s">
        <v>10777</v>
      </c>
      <c r="C417" t="s">
        <v>32</v>
      </c>
      <c r="D417" t="s">
        <v>85</v>
      </c>
      <c r="E417" t="s">
        <v>8328</v>
      </c>
      <c r="F417" t="s">
        <v>10890</v>
      </c>
      <c r="G417" t="s">
        <v>10891</v>
      </c>
      <c r="H417" s="121" t="s">
        <v>10892</v>
      </c>
    </row>
    <row r="418" spans="1:8" x14ac:dyDescent="0.25">
      <c r="A418">
        <v>1497120</v>
      </c>
      <c r="B418" s="121" t="s">
        <v>10777</v>
      </c>
      <c r="C418" t="s">
        <v>32</v>
      </c>
      <c r="D418" t="s">
        <v>85</v>
      </c>
      <c r="E418" t="s">
        <v>8328</v>
      </c>
      <c r="F418" t="s">
        <v>10893</v>
      </c>
      <c r="G418" t="s">
        <v>10894</v>
      </c>
      <c r="H418" s="121" t="s">
        <v>10895</v>
      </c>
    </row>
    <row r="419" spans="1:8" x14ac:dyDescent="0.25">
      <c r="A419">
        <v>1497301</v>
      </c>
      <c r="B419" s="121" t="s">
        <v>10777</v>
      </c>
      <c r="C419" t="s">
        <v>32</v>
      </c>
      <c r="D419" t="s">
        <v>85</v>
      </c>
      <c r="E419" t="s">
        <v>8016</v>
      </c>
      <c r="F419" t="s">
        <v>10896</v>
      </c>
      <c r="G419" t="s">
        <v>10897</v>
      </c>
      <c r="H419" s="121" t="s">
        <v>10898</v>
      </c>
    </row>
    <row r="420" spans="1:8" x14ac:dyDescent="0.25">
      <c r="A420">
        <v>1497913</v>
      </c>
      <c r="B420" s="121" t="s">
        <v>10777</v>
      </c>
      <c r="C420" t="s">
        <v>32</v>
      </c>
      <c r="D420" t="s">
        <v>608</v>
      </c>
      <c r="E420" t="s">
        <v>45</v>
      </c>
      <c r="F420" t="s">
        <v>4046</v>
      </c>
      <c r="G420" t="s">
        <v>4044</v>
      </c>
      <c r="H420" s="121" t="s">
        <v>10899</v>
      </c>
    </row>
    <row r="421" spans="1:8" x14ac:dyDescent="0.25">
      <c r="A421">
        <v>1503025</v>
      </c>
      <c r="B421" s="121" t="s">
        <v>10777</v>
      </c>
      <c r="C421" t="s">
        <v>32</v>
      </c>
      <c r="D421" t="s">
        <v>10900</v>
      </c>
      <c r="E421" t="s">
        <v>49</v>
      </c>
      <c r="F421" t="s">
        <v>10901</v>
      </c>
      <c r="G421" t="s">
        <v>10902</v>
      </c>
      <c r="H421" s="121" t="s">
        <v>10903</v>
      </c>
    </row>
    <row r="422" spans="1:8" x14ac:dyDescent="0.25">
      <c r="A422">
        <v>1505102</v>
      </c>
      <c r="B422" s="121" t="s">
        <v>10777</v>
      </c>
      <c r="C422" t="s">
        <v>32</v>
      </c>
      <c r="D422" t="s">
        <v>275</v>
      </c>
      <c r="E422" t="s">
        <v>8943</v>
      </c>
      <c r="F422" t="s">
        <v>10904</v>
      </c>
      <c r="G422" t="s">
        <v>10905</v>
      </c>
      <c r="H422" s="121" t="s">
        <v>10906</v>
      </c>
    </row>
    <row r="423" spans="1:8" x14ac:dyDescent="0.25">
      <c r="A423">
        <v>1510542</v>
      </c>
      <c r="B423" s="121" t="s">
        <v>10777</v>
      </c>
      <c r="C423" t="s">
        <v>32</v>
      </c>
      <c r="D423" t="s">
        <v>275</v>
      </c>
      <c r="E423" t="s">
        <v>7708</v>
      </c>
      <c r="F423" t="s">
        <v>10907</v>
      </c>
      <c r="G423" t="s">
        <v>10908</v>
      </c>
      <c r="H423" s="121" t="s">
        <v>10909</v>
      </c>
    </row>
    <row r="424" spans="1:8" x14ac:dyDescent="0.25">
      <c r="A424">
        <v>1511265</v>
      </c>
      <c r="B424" s="121" t="s">
        <v>10777</v>
      </c>
      <c r="C424" t="s">
        <v>32</v>
      </c>
      <c r="D424" t="s">
        <v>275</v>
      </c>
      <c r="E424" t="s">
        <v>7733</v>
      </c>
      <c r="F424" t="s">
        <v>3484</v>
      </c>
      <c r="G424" t="s">
        <v>10910</v>
      </c>
      <c r="H424" s="121" t="s">
        <v>10911</v>
      </c>
    </row>
    <row r="425" spans="1:8" x14ac:dyDescent="0.25">
      <c r="A425">
        <v>1514611</v>
      </c>
      <c r="B425" s="121" t="s">
        <v>10777</v>
      </c>
      <c r="C425" t="s">
        <v>32</v>
      </c>
      <c r="D425" t="s">
        <v>67</v>
      </c>
      <c r="E425" t="s">
        <v>81</v>
      </c>
      <c r="F425" t="s">
        <v>1267</v>
      </c>
      <c r="G425" t="s">
        <v>3501</v>
      </c>
      <c r="H425" s="121" t="s">
        <v>10912</v>
      </c>
    </row>
    <row r="426" spans="1:8" x14ac:dyDescent="0.25">
      <c r="A426">
        <v>1514615</v>
      </c>
      <c r="B426" s="121" t="s">
        <v>10777</v>
      </c>
      <c r="C426" t="s">
        <v>34</v>
      </c>
      <c r="D426" t="s">
        <v>67</v>
      </c>
      <c r="E426" t="s">
        <v>81</v>
      </c>
      <c r="F426" t="s">
        <v>3051</v>
      </c>
      <c r="G426" t="s">
        <v>10913</v>
      </c>
      <c r="H426" s="121" t="s">
        <v>10914</v>
      </c>
    </row>
    <row r="427" spans="1:8" x14ac:dyDescent="0.25">
      <c r="A427">
        <v>1514618</v>
      </c>
      <c r="B427" s="121" t="s">
        <v>10777</v>
      </c>
      <c r="C427" t="s">
        <v>32</v>
      </c>
      <c r="D427" t="s">
        <v>67</v>
      </c>
      <c r="E427" t="s">
        <v>81</v>
      </c>
      <c r="F427" t="s">
        <v>942</v>
      </c>
      <c r="G427" t="s">
        <v>10915</v>
      </c>
      <c r="H427" s="121" t="s">
        <v>10916</v>
      </c>
    </row>
    <row r="428" spans="1:8" x14ac:dyDescent="0.25">
      <c r="A428">
        <v>1514619</v>
      </c>
      <c r="B428" s="121" t="s">
        <v>10777</v>
      </c>
      <c r="C428" t="s">
        <v>32</v>
      </c>
      <c r="D428" t="s">
        <v>67</v>
      </c>
      <c r="E428" t="s">
        <v>81</v>
      </c>
      <c r="F428" t="s">
        <v>944</v>
      </c>
      <c r="G428" t="s">
        <v>943</v>
      </c>
      <c r="H428" s="121" t="s">
        <v>10917</v>
      </c>
    </row>
    <row r="429" spans="1:8" x14ac:dyDescent="0.25">
      <c r="A429">
        <v>1516019</v>
      </c>
      <c r="B429" s="121" t="s">
        <v>10777</v>
      </c>
      <c r="C429" t="s">
        <v>32</v>
      </c>
      <c r="D429" t="s">
        <v>7779</v>
      </c>
      <c r="E429" t="s">
        <v>81</v>
      </c>
      <c r="F429" t="s">
        <v>10918</v>
      </c>
      <c r="G429" t="s">
        <v>2474</v>
      </c>
      <c r="H429" s="121" t="s">
        <v>10919</v>
      </c>
    </row>
    <row r="430" spans="1:8" x14ac:dyDescent="0.25">
      <c r="A430">
        <v>1518389</v>
      </c>
      <c r="B430" s="121" t="s">
        <v>10777</v>
      </c>
      <c r="C430" t="s">
        <v>32</v>
      </c>
      <c r="D430" t="s">
        <v>43</v>
      </c>
      <c r="E430" t="s">
        <v>576</v>
      </c>
      <c r="F430" t="s">
        <v>956</v>
      </c>
      <c r="G430" t="s">
        <v>10920</v>
      </c>
      <c r="H430" s="121" t="s">
        <v>10921</v>
      </c>
    </row>
    <row r="431" spans="1:8" x14ac:dyDescent="0.25">
      <c r="A431">
        <v>1518391</v>
      </c>
      <c r="B431" s="121" t="s">
        <v>10777</v>
      </c>
      <c r="C431" t="s">
        <v>32</v>
      </c>
      <c r="D431" t="s">
        <v>43</v>
      </c>
      <c r="E431" t="s">
        <v>576</v>
      </c>
      <c r="F431" t="s">
        <v>10922</v>
      </c>
      <c r="G431" t="s">
        <v>964</v>
      </c>
      <c r="H431" s="121" t="s">
        <v>10923</v>
      </c>
    </row>
    <row r="432" spans="1:8" x14ac:dyDescent="0.25">
      <c r="A432">
        <v>1518955</v>
      </c>
      <c r="B432" s="121" t="s">
        <v>10777</v>
      </c>
      <c r="C432" t="s">
        <v>32</v>
      </c>
      <c r="D432" t="s">
        <v>38</v>
      </c>
      <c r="E432" t="s">
        <v>7457</v>
      </c>
      <c r="F432" t="s">
        <v>10924</v>
      </c>
      <c r="G432" t="s">
        <v>10925</v>
      </c>
      <c r="H432" s="121" t="s">
        <v>10926</v>
      </c>
    </row>
    <row r="433" spans="1:8" x14ac:dyDescent="0.25">
      <c r="A433">
        <v>1518956</v>
      </c>
      <c r="B433" s="121" t="s">
        <v>10777</v>
      </c>
      <c r="C433" t="s">
        <v>32</v>
      </c>
      <c r="D433" t="s">
        <v>38</v>
      </c>
      <c r="E433" t="s">
        <v>7457</v>
      </c>
      <c r="F433" t="s">
        <v>10927</v>
      </c>
      <c r="G433" t="s">
        <v>10928</v>
      </c>
      <c r="H433" s="121" t="s">
        <v>10929</v>
      </c>
    </row>
    <row r="434" spans="1:8" x14ac:dyDescent="0.25">
      <c r="A434">
        <v>1518957</v>
      </c>
      <c r="B434" s="121" t="s">
        <v>10777</v>
      </c>
      <c r="C434" t="s">
        <v>32</v>
      </c>
      <c r="D434" t="s">
        <v>38</v>
      </c>
      <c r="E434" t="s">
        <v>7457</v>
      </c>
      <c r="F434" t="s">
        <v>10930</v>
      </c>
      <c r="G434" t="s">
        <v>10931</v>
      </c>
      <c r="H434" s="121" t="s">
        <v>10932</v>
      </c>
    </row>
    <row r="435" spans="1:8" x14ac:dyDescent="0.25">
      <c r="A435">
        <v>1523098</v>
      </c>
      <c r="B435" s="121" t="s">
        <v>10777</v>
      </c>
      <c r="C435" t="s">
        <v>32</v>
      </c>
      <c r="D435" t="s">
        <v>419</v>
      </c>
      <c r="E435" t="s">
        <v>81</v>
      </c>
      <c r="F435" t="s">
        <v>3331</v>
      </c>
      <c r="G435" t="s">
        <v>3510</v>
      </c>
      <c r="H435" s="121" t="s">
        <v>10933</v>
      </c>
    </row>
    <row r="436" spans="1:8" x14ac:dyDescent="0.25">
      <c r="A436">
        <v>1524321</v>
      </c>
      <c r="B436" s="121" t="s">
        <v>10777</v>
      </c>
      <c r="C436" t="s">
        <v>32</v>
      </c>
      <c r="D436" t="s">
        <v>48</v>
      </c>
      <c r="E436" t="s">
        <v>342</v>
      </c>
      <c r="F436" t="s">
        <v>10934</v>
      </c>
      <c r="G436" t="s">
        <v>1820</v>
      </c>
      <c r="H436" s="121" t="s">
        <v>10935</v>
      </c>
    </row>
    <row r="437" spans="1:8" x14ac:dyDescent="0.25">
      <c r="A437">
        <v>1527800</v>
      </c>
      <c r="B437" s="121" t="s">
        <v>10777</v>
      </c>
      <c r="C437" t="s">
        <v>32</v>
      </c>
      <c r="D437" t="s">
        <v>377</v>
      </c>
      <c r="E437" t="s">
        <v>870</v>
      </c>
      <c r="F437" t="s">
        <v>1151</v>
      </c>
      <c r="G437" t="s">
        <v>1492</v>
      </c>
      <c r="H437" s="121" t="s">
        <v>10936</v>
      </c>
    </row>
    <row r="438" spans="1:8" x14ac:dyDescent="0.25">
      <c r="A438">
        <v>1527928</v>
      </c>
      <c r="B438" s="121" t="s">
        <v>10777</v>
      </c>
      <c r="C438" t="s">
        <v>32</v>
      </c>
      <c r="D438" t="s">
        <v>569</v>
      </c>
      <c r="E438" t="s">
        <v>49</v>
      </c>
      <c r="F438" t="s">
        <v>875</v>
      </c>
      <c r="G438" t="s">
        <v>1176</v>
      </c>
      <c r="H438" s="121" t="s">
        <v>10937</v>
      </c>
    </row>
    <row r="439" spans="1:8" x14ac:dyDescent="0.25">
      <c r="A439">
        <v>1529156</v>
      </c>
      <c r="B439" s="121" t="s">
        <v>10777</v>
      </c>
      <c r="C439" t="s">
        <v>32</v>
      </c>
      <c r="D439" t="s">
        <v>585</v>
      </c>
      <c r="E439" t="s">
        <v>3517</v>
      </c>
      <c r="F439" t="s">
        <v>10938</v>
      </c>
      <c r="G439" t="s">
        <v>10939</v>
      </c>
      <c r="H439" s="121" t="s">
        <v>10940</v>
      </c>
    </row>
    <row r="440" spans="1:8" x14ac:dyDescent="0.25">
      <c r="A440">
        <v>1530538</v>
      </c>
      <c r="B440" s="121" t="s">
        <v>10777</v>
      </c>
      <c r="C440" t="s">
        <v>32</v>
      </c>
      <c r="D440" t="s">
        <v>78</v>
      </c>
      <c r="E440" t="s">
        <v>69</v>
      </c>
      <c r="F440" t="s">
        <v>10941</v>
      </c>
      <c r="G440" t="s">
        <v>10942</v>
      </c>
      <c r="H440" s="121" t="s">
        <v>10943</v>
      </c>
    </row>
    <row r="441" spans="1:8" x14ac:dyDescent="0.25">
      <c r="A441">
        <v>1530569</v>
      </c>
      <c r="B441" s="121" t="s">
        <v>10777</v>
      </c>
      <c r="C441" t="s">
        <v>32</v>
      </c>
      <c r="D441" t="s">
        <v>78</v>
      </c>
      <c r="E441" t="s">
        <v>69</v>
      </c>
      <c r="F441" t="s">
        <v>10944</v>
      </c>
      <c r="G441" t="s">
        <v>10945</v>
      </c>
      <c r="H441" s="121" t="s">
        <v>10946</v>
      </c>
    </row>
    <row r="442" spans="1:8" x14ac:dyDescent="0.25">
      <c r="A442">
        <v>1530795</v>
      </c>
      <c r="B442" s="121" t="s">
        <v>10777</v>
      </c>
      <c r="C442" t="s">
        <v>32</v>
      </c>
      <c r="D442" t="s">
        <v>20</v>
      </c>
      <c r="E442" t="s">
        <v>3524</v>
      </c>
      <c r="F442" t="s">
        <v>6663</v>
      </c>
      <c r="G442" t="s">
        <v>3531</v>
      </c>
      <c r="H442" s="121" t="s">
        <v>10947</v>
      </c>
    </row>
    <row r="443" spans="1:8" x14ac:dyDescent="0.25">
      <c r="A443">
        <v>1535811</v>
      </c>
      <c r="B443" s="121" t="s">
        <v>10777</v>
      </c>
      <c r="C443" t="s">
        <v>32</v>
      </c>
      <c r="D443" t="s">
        <v>377</v>
      </c>
      <c r="E443" t="s">
        <v>45</v>
      </c>
      <c r="F443" t="s">
        <v>2484</v>
      </c>
      <c r="G443" t="s">
        <v>462</v>
      </c>
      <c r="H443" s="121" t="s">
        <v>10948</v>
      </c>
    </row>
    <row r="444" spans="1:8" x14ac:dyDescent="0.25">
      <c r="A444">
        <v>1536185</v>
      </c>
      <c r="B444" s="121" t="s">
        <v>10777</v>
      </c>
      <c r="C444" t="s">
        <v>32</v>
      </c>
      <c r="D444" t="s">
        <v>377</v>
      </c>
      <c r="E444" t="s">
        <v>7790</v>
      </c>
      <c r="F444" t="s">
        <v>10949</v>
      </c>
      <c r="G444" t="s">
        <v>10950</v>
      </c>
      <c r="H444" s="121" t="s">
        <v>10951</v>
      </c>
    </row>
    <row r="445" spans="1:8" x14ac:dyDescent="0.25">
      <c r="A445">
        <v>1536317</v>
      </c>
      <c r="B445" s="121" t="s">
        <v>10777</v>
      </c>
      <c r="C445" t="s">
        <v>32</v>
      </c>
      <c r="D445" t="s">
        <v>377</v>
      </c>
      <c r="E445" t="s">
        <v>7794</v>
      </c>
      <c r="F445" t="s">
        <v>10952</v>
      </c>
      <c r="G445" t="s">
        <v>10953</v>
      </c>
      <c r="H445" s="121" t="s">
        <v>10954</v>
      </c>
    </row>
    <row r="446" spans="1:8" x14ac:dyDescent="0.25">
      <c r="A446">
        <v>1536760</v>
      </c>
      <c r="B446" s="121" t="s">
        <v>10777</v>
      </c>
      <c r="C446" t="s">
        <v>32</v>
      </c>
      <c r="D446" t="s">
        <v>377</v>
      </c>
      <c r="E446" t="s">
        <v>10374</v>
      </c>
      <c r="F446" t="s">
        <v>10955</v>
      </c>
      <c r="G446" t="s">
        <v>10956</v>
      </c>
      <c r="H446" s="121" t="s">
        <v>10957</v>
      </c>
    </row>
    <row r="447" spans="1:8" x14ac:dyDescent="0.25">
      <c r="A447">
        <v>1518053</v>
      </c>
      <c r="B447" s="121" t="s">
        <v>10958</v>
      </c>
      <c r="C447" t="s">
        <v>32</v>
      </c>
      <c r="D447" t="s">
        <v>379</v>
      </c>
      <c r="E447" t="s">
        <v>387</v>
      </c>
      <c r="F447" t="s">
        <v>1309</v>
      </c>
      <c r="G447" t="s">
        <v>10959</v>
      </c>
      <c r="H447" s="121" t="s">
        <v>10960</v>
      </c>
    </row>
    <row r="448" spans="1:8" x14ac:dyDescent="0.25">
      <c r="A448">
        <v>1381131</v>
      </c>
      <c r="B448" s="121" t="s">
        <v>10961</v>
      </c>
      <c r="C448" t="s">
        <v>32</v>
      </c>
      <c r="D448" t="s">
        <v>58</v>
      </c>
      <c r="E448" t="s">
        <v>59</v>
      </c>
      <c r="F448" t="s">
        <v>513</v>
      </c>
      <c r="G448" t="s">
        <v>2066</v>
      </c>
      <c r="H448" s="121" t="s">
        <v>10962</v>
      </c>
    </row>
    <row r="449" spans="1:8" x14ac:dyDescent="0.25">
      <c r="A449">
        <v>1381136</v>
      </c>
      <c r="B449" s="121" t="s">
        <v>10961</v>
      </c>
      <c r="C449" t="s">
        <v>32</v>
      </c>
      <c r="D449" t="s">
        <v>58</v>
      </c>
      <c r="E449" t="s">
        <v>59</v>
      </c>
      <c r="F449" t="s">
        <v>1183</v>
      </c>
      <c r="G449" t="s">
        <v>10963</v>
      </c>
      <c r="H449" s="121" t="s">
        <v>10964</v>
      </c>
    </row>
    <row r="450" spans="1:8" x14ac:dyDescent="0.25">
      <c r="A450">
        <v>1381765</v>
      </c>
      <c r="B450" s="121" t="s">
        <v>10961</v>
      </c>
      <c r="C450" t="s">
        <v>32</v>
      </c>
      <c r="D450" t="s">
        <v>51</v>
      </c>
      <c r="E450" t="s">
        <v>52</v>
      </c>
      <c r="F450" t="s">
        <v>1524</v>
      </c>
      <c r="G450" t="s">
        <v>3639</v>
      </c>
      <c r="H450" s="121" t="s">
        <v>10965</v>
      </c>
    </row>
    <row r="451" spans="1:8" x14ac:dyDescent="0.25">
      <c r="A451">
        <v>1391595</v>
      </c>
      <c r="B451" s="121" t="s">
        <v>10961</v>
      </c>
      <c r="C451" t="s">
        <v>32</v>
      </c>
      <c r="D451" t="s">
        <v>319</v>
      </c>
      <c r="E451" t="s">
        <v>49</v>
      </c>
      <c r="F451" t="s">
        <v>1022</v>
      </c>
      <c r="G451" t="s">
        <v>3125</v>
      </c>
      <c r="H451" s="121" t="s">
        <v>10966</v>
      </c>
    </row>
    <row r="452" spans="1:8" x14ac:dyDescent="0.25">
      <c r="A452">
        <v>1395892</v>
      </c>
      <c r="B452" s="121" t="s">
        <v>10961</v>
      </c>
      <c r="C452" t="s">
        <v>32</v>
      </c>
      <c r="D452" t="s">
        <v>51</v>
      </c>
      <c r="E452" t="s">
        <v>385</v>
      </c>
      <c r="F452" t="s">
        <v>10967</v>
      </c>
      <c r="G452" t="s">
        <v>10968</v>
      </c>
      <c r="H452" s="121" t="s">
        <v>10969</v>
      </c>
    </row>
    <row r="453" spans="1:8" x14ac:dyDescent="0.25">
      <c r="A453">
        <v>1412188</v>
      </c>
      <c r="B453" s="121" t="s">
        <v>10961</v>
      </c>
      <c r="C453" t="s">
        <v>32</v>
      </c>
      <c r="D453" t="s">
        <v>43</v>
      </c>
      <c r="E453" t="s">
        <v>1533</v>
      </c>
      <c r="F453" t="s">
        <v>1534</v>
      </c>
      <c r="G453" t="s">
        <v>1802</v>
      </c>
      <c r="H453" s="121" t="s">
        <v>10970</v>
      </c>
    </row>
    <row r="454" spans="1:8" x14ac:dyDescent="0.25">
      <c r="A454">
        <v>1413334</v>
      </c>
      <c r="B454" s="121" t="s">
        <v>10961</v>
      </c>
      <c r="C454" t="s">
        <v>32</v>
      </c>
      <c r="D454" t="s">
        <v>43</v>
      </c>
      <c r="E454" t="s">
        <v>592</v>
      </c>
      <c r="F454" t="s">
        <v>1806</v>
      </c>
      <c r="G454" t="s">
        <v>3848</v>
      </c>
      <c r="H454" s="121" t="s">
        <v>10971</v>
      </c>
    </row>
    <row r="455" spans="1:8" x14ac:dyDescent="0.25">
      <c r="A455">
        <v>1430151</v>
      </c>
      <c r="B455" s="121" t="s">
        <v>10961</v>
      </c>
      <c r="C455" t="s">
        <v>32</v>
      </c>
      <c r="D455" t="s">
        <v>80</v>
      </c>
      <c r="E455" t="s">
        <v>607</v>
      </c>
      <c r="F455" t="s">
        <v>10972</v>
      </c>
      <c r="G455" t="s">
        <v>10973</v>
      </c>
      <c r="H455" s="121" t="s">
        <v>10974</v>
      </c>
    </row>
    <row r="456" spans="1:8" x14ac:dyDescent="0.25">
      <c r="A456">
        <v>1430152</v>
      </c>
      <c r="B456" s="121" t="s">
        <v>10961</v>
      </c>
      <c r="C456" t="s">
        <v>32</v>
      </c>
      <c r="D456" t="s">
        <v>80</v>
      </c>
      <c r="E456" t="s">
        <v>607</v>
      </c>
      <c r="F456" t="s">
        <v>10975</v>
      </c>
      <c r="G456" t="s">
        <v>5538</v>
      </c>
      <c r="H456" s="121" t="s">
        <v>10976</v>
      </c>
    </row>
    <row r="457" spans="1:8" x14ac:dyDescent="0.25">
      <c r="A457">
        <v>1438105</v>
      </c>
      <c r="B457" s="121" t="s">
        <v>10961</v>
      </c>
      <c r="C457" t="s">
        <v>32</v>
      </c>
      <c r="D457" t="s">
        <v>58</v>
      </c>
      <c r="E457" t="s">
        <v>621</v>
      </c>
      <c r="F457" t="s">
        <v>1452</v>
      </c>
      <c r="G457" t="s">
        <v>4242</v>
      </c>
      <c r="H457" s="121" t="s">
        <v>10977</v>
      </c>
    </row>
    <row r="458" spans="1:8" x14ac:dyDescent="0.25">
      <c r="A458">
        <v>1438411</v>
      </c>
      <c r="B458" s="121" t="s">
        <v>10961</v>
      </c>
      <c r="C458" t="s">
        <v>32</v>
      </c>
      <c r="D458" t="s">
        <v>58</v>
      </c>
      <c r="E458" t="s">
        <v>622</v>
      </c>
      <c r="F458" t="s">
        <v>1548</v>
      </c>
      <c r="G458" t="s">
        <v>4245</v>
      </c>
      <c r="H458" s="121" t="s">
        <v>10978</v>
      </c>
    </row>
    <row r="459" spans="1:8" x14ac:dyDescent="0.25">
      <c r="A459">
        <v>1440088</v>
      </c>
      <c r="B459" s="121" t="s">
        <v>10961</v>
      </c>
      <c r="C459" t="s">
        <v>32</v>
      </c>
      <c r="D459" t="s">
        <v>41</v>
      </c>
      <c r="E459" t="s">
        <v>1554</v>
      </c>
      <c r="F459" t="s">
        <v>1559</v>
      </c>
      <c r="G459" t="s">
        <v>2544</v>
      </c>
      <c r="H459" s="121" t="s">
        <v>10979</v>
      </c>
    </row>
    <row r="460" spans="1:8" x14ac:dyDescent="0.25">
      <c r="A460">
        <v>1440090</v>
      </c>
      <c r="B460" s="121" t="s">
        <v>10961</v>
      </c>
      <c r="C460" t="s">
        <v>32</v>
      </c>
      <c r="D460" t="s">
        <v>41</v>
      </c>
      <c r="E460" t="s">
        <v>1554</v>
      </c>
      <c r="F460" t="s">
        <v>1560</v>
      </c>
      <c r="G460" t="s">
        <v>1558</v>
      </c>
      <c r="H460" s="121" t="s">
        <v>10980</v>
      </c>
    </row>
    <row r="461" spans="1:8" x14ac:dyDescent="0.25">
      <c r="A461">
        <v>1440091</v>
      </c>
      <c r="B461" s="121" t="s">
        <v>10961</v>
      </c>
      <c r="C461" t="s">
        <v>32</v>
      </c>
      <c r="D461" t="s">
        <v>41</v>
      </c>
      <c r="E461" t="s">
        <v>1554</v>
      </c>
      <c r="F461" t="s">
        <v>2546</v>
      </c>
      <c r="G461" t="s">
        <v>2543</v>
      </c>
      <c r="H461" s="121" t="s">
        <v>10981</v>
      </c>
    </row>
    <row r="462" spans="1:8" x14ac:dyDescent="0.25">
      <c r="A462">
        <v>1440093</v>
      </c>
      <c r="B462" s="121" t="s">
        <v>10961</v>
      </c>
      <c r="C462" t="s">
        <v>32</v>
      </c>
      <c r="D462" t="s">
        <v>41</v>
      </c>
      <c r="E462" t="s">
        <v>1554</v>
      </c>
      <c r="F462" t="s">
        <v>1555</v>
      </c>
      <c r="G462" t="s">
        <v>1557</v>
      </c>
      <c r="H462" s="121" t="s">
        <v>10982</v>
      </c>
    </row>
    <row r="463" spans="1:8" x14ac:dyDescent="0.25">
      <c r="A463">
        <v>1440094</v>
      </c>
      <c r="B463" s="121" t="s">
        <v>10961</v>
      </c>
      <c r="C463" t="s">
        <v>32</v>
      </c>
      <c r="D463" t="s">
        <v>41</v>
      </c>
      <c r="E463" t="s">
        <v>1554</v>
      </c>
      <c r="F463" t="s">
        <v>2180</v>
      </c>
      <c r="G463" t="s">
        <v>1556</v>
      </c>
      <c r="H463" s="121" t="s">
        <v>10983</v>
      </c>
    </row>
    <row r="464" spans="1:8" x14ac:dyDescent="0.25">
      <c r="A464">
        <v>1440097</v>
      </c>
      <c r="B464" s="121" t="s">
        <v>10961</v>
      </c>
      <c r="C464" t="s">
        <v>32</v>
      </c>
      <c r="D464" t="s">
        <v>41</v>
      </c>
      <c r="E464" t="s">
        <v>1554</v>
      </c>
      <c r="F464" t="s">
        <v>2545</v>
      </c>
      <c r="G464" t="s">
        <v>2547</v>
      </c>
      <c r="H464" s="121" t="s">
        <v>10984</v>
      </c>
    </row>
    <row r="465" spans="1:8" x14ac:dyDescent="0.25">
      <c r="A465">
        <v>1455783</v>
      </c>
      <c r="B465" s="121" t="s">
        <v>10961</v>
      </c>
      <c r="C465" t="s">
        <v>32</v>
      </c>
      <c r="D465" t="s">
        <v>41</v>
      </c>
      <c r="E465" t="s">
        <v>10985</v>
      </c>
      <c r="F465" t="s">
        <v>10986</v>
      </c>
      <c r="G465" t="s">
        <v>10987</v>
      </c>
      <c r="H465" s="121" t="s">
        <v>10988</v>
      </c>
    </row>
    <row r="466" spans="1:8" x14ac:dyDescent="0.25">
      <c r="A466">
        <v>1455789</v>
      </c>
      <c r="B466" s="121" t="s">
        <v>10961</v>
      </c>
      <c r="C466" t="s">
        <v>32</v>
      </c>
      <c r="D466" t="s">
        <v>41</v>
      </c>
      <c r="E466" t="s">
        <v>10985</v>
      </c>
      <c r="F466" t="s">
        <v>10989</v>
      </c>
      <c r="G466" t="s">
        <v>10990</v>
      </c>
      <c r="H466" s="121" t="s">
        <v>10991</v>
      </c>
    </row>
    <row r="467" spans="1:8" x14ac:dyDescent="0.25">
      <c r="A467">
        <v>1494623</v>
      </c>
      <c r="B467" s="121" t="s">
        <v>10961</v>
      </c>
      <c r="C467" t="s">
        <v>32</v>
      </c>
      <c r="D467" t="s">
        <v>85</v>
      </c>
      <c r="E467" t="s">
        <v>5853</v>
      </c>
      <c r="F467" t="s">
        <v>1971</v>
      </c>
      <c r="G467" t="s">
        <v>2232</v>
      </c>
      <c r="H467" s="121" t="s">
        <v>10992</v>
      </c>
    </row>
    <row r="468" spans="1:8" x14ac:dyDescent="0.25">
      <c r="A468">
        <v>1527565</v>
      </c>
      <c r="B468" s="121" t="s">
        <v>10961</v>
      </c>
      <c r="C468" t="s">
        <v>32</v>
      </c>
      <c r="D468" t="s">
        <v>422</v>
      </c>
      <c r="E468" t="s">
        <v>49</v>
      </c>
      <c r="F468" t="s">
        <v>312</v>
      </c>
      <c r="G468" t="s">
        <v>1785</v>
      </c>
      <c r="H468" s="121" t="s">
        <v>10993</v>
      </c>
    </row>
    <row r="469" spans="1:8" x14ac:dyDescent="0.25">
      <c r="A469">
        <v>1531240</v>
      </c>
      <c r="B469" s="121" t="s">
        <v>10961</v>
      </c>
      <c r="C469" t="s">
        <v>32</v>
      </c>
      <c r="D469" t="s">
        <v>332</v>
      </c>
      <c r="E469" t="s">
        <v>347</v>
      </c>
      <c r="F469" t="s">
        <v>2076</v>
      </c>
      <c r="G469" t="s">
        <v>2070</v>
      </c>
      <c r="H469" s="121" t="s">
        <v>10994</v>
      </c>
    </row>
    <row r="470" spans="1:8" x14ac:dyDescent="0.25">
      <c r="A470">
        <v>1531669</v>
      </c>
      <c r="B470" s="121" t="s">
        <v>10961</v>
      </c>
      <c r="C470" t="s">
        <v>32</v>
      </c>
      <c r="D470" t="s">
        <v>566</v>
      </c>
      <c r="E470" t="s">
        <v>567</v>
      </c>
      <c r="F470" t="s">
        <v>861</v>
      </c>
      <c r="G470" t="s">
        <v>1165</v>
      </c>
      <c r="H470" s="121" t="s">
        <v>10995</v>
      </c>
    </row>
    <row r="471" spans="1:8" x14ac:dyDescent="0.25">
      <c r="A471">
        <v>1534150</v>
      </c>
      <c r="B471" s="121" t="s">
        <v>10961</v>
      </c>
      <c r="C471" t="s">
        <v>32</v>
      </c>
      <c r="D471" t="s">
        <v>48</v>
      </c>
      <c r="E471" t="s">
        <v>49</v>
      </c>
      <c r="F471" t="s">
        <v>2009</v>
      </c>
      <c r="G471" t="s">
        <v>10996</v>
      </c>
      <c r="H471" s="121" t="s">
        <v>10997</v>
      </c>
    </row>
    <row r="472" spans="1:8" x14ac:dyDescent="0.25">
      <c r="A472">
        <v>1540205</v>
      </c>
      <c r="B472" s="121" t="s">
        <v>10961</v>
      </c>
      <c r="C472" t="s">
        <v>32</v>
      </c>
      <c r="D472" t="s">
        <v>20</v>
      </c>
      <c r="E472" t="s">
        <v>8123</v>
      </c>
      <c r="F472" t="s">
        <v>10998</v>
      </c>
      <c r="G472" t="s">
        <v>10999</v>
      </c>
      <c r="H472" s="121" t="s">
        <v>11000</v>
      </c>
    </row>
    <row r="473" spans="1:8" x14ac:dyDescent="0.25">
      <c r="A473">
        <v>1380631</v>
      </c>
      <c r="B473" s="121" t="s">
        <v>11001</v>
      </c>
      <c r="C473" t="s">
        <v>32</v>
      </c>
      <c r="D473" t="s">
        <v>51</v>
      </c>
      <c r="E473" t="s">
        <v>57</v>
      </c>
      <c r="F473" t="s">
        <v>1180</v>
      </c>
      <c r="G473" t="s">
        <v>2169</v>
      </c>
      <c r="H473" s="121" t="s">
        <v>11002</v>
      </c>
    </row>
    <row r="474" spans="1:8" x14ac:dyDescent="0.25">
      <c r="A474">
        <v>1378181</v>
      </c>
      <c r="B474" s="121" t="s">
        <v>11003</v>
      </c>
      <c r="C474" t="s">
        <v>32</v>
      </c>
      <c r="D474" t="s">
        <v>41</v>
      </c>
      <c r="E474" t="s">
        <v>60</v>
      </c>
      <c r="F474" t="s">
        <v>1612</v>
      </c>
      <c r="G474" t="s">
        <v>7142</v>
      </c>
      <c r="H474" s="121" t="s">
        <v>11004</v>
      </c>
    </row>
    <row r="475" spans="1:8" x14ac:dyDescent="0.25">
      <c r="A475">
        <v>1379283</v>
      </c>
      <c r="B475" s="121" t="s">
        <v>11003</v>
      </c>
      <c r="C475" t="s">
        <v>32</v>
      </c>
      <c r="D475" t="s">
        <v>65</v>
      </c>
      <c r="E475" t="s">
        <v>49</v>
      </c>
      <c r="F475" t="s">
        <v>5057</v>
      </c>
      <c r="G475" t="s">
        <v>11005</v>
      </c>
      <c r="H475" s="121" t="s">
        <v>11006</v>
      </c>
    </row>
    <row r="476" spans="1:8" x14ac:dyDescent="0.25">
      <c r="A476">
        <v>1379286</v>
      </c>
      <c r="B476" s="121" t="s">
        <v>11003</v>
      </c>
      <c r="C476" t="s">
        <v>32</v>
      </c>
      <c r="D476" t="s">
        <v>65</v>
      </c>
      <c r="E476" t="s">
        <v>49</v>
      </c>
      <c r="F476" t="s">
        <v>11007</v>
      </c>
      <c r="G476" t="s">
        <v>2364</v>
      </c>
      <c r="H476" s="121" t="s">
        <v>11008</v>
      </c>
    </row>
    <row r="477" spans="1:8" x14ac:dyDescent="0.25">
      <c r="A477">
        <v>1379287</v>
      </c>
      <c r="B477" s="121" t="s">
        <v>11003</v>
      </c>
      <c r="C477" t="s">
        <v>32</v>
      </c>
      <c r="D477" t="s">
        <v>65</v>
      </c>
      <c r="E477" t="s">
        <v>49</v>
      </c>
      <c r="F477" t="s">
        <v>517</v>
      </c>
      <c r="G477" t="s">
        <v>11009</v>
      </c>
      <c r="H477" s="121" t="s">
        <v>11010</v>
      </c>
    </row>
    <row r="478" spans="1:8" x14ac:dyDescent="0.25">
      <c r="A478">
        <v>1388248</v>
      </c>
      <c r="B478" s="121" t="s">
        <v>11003</v>
      </c>
      <c r="C478" t="s">
        <v>32</v>
      </c>
      <c r="D478" t="s">
        <v>267</v>
      </c>
      <c r="E478" t="s">
        <v>402</v>
      </c>
      <c r="F478" t="s">
        <v>4937</v>
      </c>
      <c r="G478" t="s">
        <v>3644</v>
      </c>
      <c r="H478" s="121" t="s">
        <v>11011</v>
      </c>
    </row>
    <row r="479" spans="1:8" x14ac:dyDescent="0.25">
      <c r="A479">
        <v>1398227</v>
      </c>
      <c r="B479" s="121" t="s">
        <v>11003</v>
      </c>
      <c r="C479" t="s">
        <v>32</v>
      </c>
      <c r="D479" t="s">
        <v>53</v>
      </c>
      <c r="E479" t="s">
        <v>264</v>
      </c>
      <c r="F479" t="s">
        <v>2038</v>
      </c>
      <c r="G479" t="s">
        <v>6584</v>
      </c>
      <c r="H479" s="121" t="s">
        <v>11012</v>
      </c>
    </row>
    <row r="480" spans="1:8" x14ac:dyDescent="0.25">
      <c r="A480">
        <v>1398655</v>
      </c>
      <c r="B480" s="121" t="s">
        <v>11003</v>
      </c>
      <c r="C480" t="s">
        <v>32</v>
      </c>
      <c r="D480" t="s">
        <v>42</v>
      </c>
      <c r="E480" t="s">
        <v>50</v>
      </c>
      <c r="F480" t="s">
        <v>3693</v>
      </c>
      <c r="G480" t="s">
        <v>1369</v>
      </c>
      <c r="H480" s="121" t="s">
        <v>11013</v>
      </c>
    </row>
    <row r="481" spans="1:8" x14ac:dyDescent="0.25">
      <c r="A481">
        <v>1398879</v>
      </c>
      <c r="B481" s="121" t="s">
        <v>11003</v>
      </c>
      <c r="C481" t="s">
        <v>32</v>
      </c>
      <c r="D481" t="s">
        <v>332</v>
      </c>
      <c r="E481" t="s">
        <v>396</v>
      </c>
      <c r="F481" t="s">
        <v>4502</v>
      </c>
      <c r="G481" t="s">
        <v>4505</v>
      </c>
      <c r="H481" s="121" t="s">
        <v>11014</v>
      </c>
    </row>
    <row r="482" spans="1:8" x14ac:dyDescent="0.25">
      <c r="A482">
        <v>1400594</v>
      </c>
      <c r="B482" s="121" t="s">
        <v>11003</v>
      </c>
      <c r="C482" t="s">
        <v>32</v>
      </c>
      <c r="D482" t="s">
        <v>319</v>
      </c>
      <c r="E482" t="s">
        <v>2929</v>
      </c>
      <c r="F482" t="s">
        <v>11015</v>
      </c>
      <c r="G482" t="s">
        <v>4516</v>
      </c>
      <c r="H482" s="121" t="s">
        <v>11016</v>
      </c>
    </row>
    <row r="483" spans="1:8" x14ac:dyDescent="0.25">
      <c r="A483">
        <v>1404237</v>
      </c>
      <c r="B483" s="121" t="s">
        <v>11003</v>
      </c>
      <c r="C483" t="s">
        <v>32</v>
      </c>
      <c r="D483" t="s">
        <v>56</v>
      </c>
      <c r="E483" t="s">
        <v>81</v>
      </c>
      <c r="F483" t="s">
        <v>11017</v>
      </c>
      <c r="G483" t="s">
        <v>11018</v>
      </c>
      <c r="H483" s="121" t="s">
        <v>11019</v>
      </c>
    </row>
    <row r="484" spans="1:8" x14ac:dyDescent="0.25">
      <c r="A484">
        <v>1406012</v>
      </c>
      <c r="B484" s="121" t="s">
        <v>11003</v>
      </c>
      <c r="C484" t="s">
        <v>32</v>
      </c>
      <c r="D484" t="s">
        <v>43</v>
      </c>
      <c r="E484" t="s">
        <v>425</v>
      </c>
      <c r="F484" t="s">
        <v>1635</v>
      </c>
      <c r="G484" t="s">
        <v>1642</v>
      </c>
      <c r="H484" s="121" t="s">
        <v>11020</v>
      </c>
    </row>
    <row r="485" spans="1:8" x14ac:dyDescent="0.25">
      <c r="A485">
        <v>1406013</v>
      </c>
      <c r="B485" s="121" t="s">
        <v>11003</v>
      </c>
      <c r="C485" t="s">
        <v>32</v>
      </c>
      <c r="D485" t="s">
        <v>43</v>
      </c>
      <c r="E485" t="s">
        <v>425</v>
      </c>
      <c r="F485" t="s">
        <v>1643</v>
      </c>
      <c r="G485" t="s">
        <v>1801</v>
      </c>
      <c r="H485" s="121" t="s">
        <v>11021</v>
      </c>
    </row>
    <row r="486" spans="1:8" x14ac:dyDescent="0.25">
      <c r="A486">
        <v>1406014</v>
      </c>
      <c r="B486" s="121" t="s">
        <v>11003</v>
      </c>
      <c r="C486" t="s">
        <v>32</v>
      </c>
      <c r="D486" t="s">
        <v>43</v>
      </c>
      <c r="E486" t="s">
        <v>425</v>
      </c>
      <c r="F486" t="s">
        <v>1637</v>
      </c>
      <c r="G486" t="s">
        <v>11022</v>
      </c>
      <c r="H486" s="121" t="s">
        <v>11023</v>
      </c>
    </row>
    <row r="487" spans="1:8" x14ac:dyDescent="0.25">
      <c r="A487">
        <v>1406016</v>
      </c>
      <c r="B487" s="121" t="s">
        <v>11003</v>
      </c>
      <c r="C487" t="s">
        <v>32</v>
      </c>
      <c r="D487" t="s">
        <v>43</v>
      </c>
      <c r="E487" t="s">
        <v>425</v>
      </c>
      <c r="F487" t="s">
        <v>1636</v>
      </c>
      <c r="G487" t="s">
        <v>1638</v>
      </c>
      <c r="H487" s="121" t="s">
        <v>11024</v>
      </c>
    </row>
    <row r="488" spans="1:8" x14ac:dyDescent="0.25">
      <c r="A488">
        <v>1406017</v>
      </c>
      <c r="B488" s="121" t="s">
        <v>11003</v>
      </c>
      <c r="C488" t="s">
        <v>32</v>
      </c>
      <c r="D488" t="s">
        <v>43</v>
      </c>
      <c r="E488" t="s">
        <v>425</v>
      </c>
      <c r="F488" t="s">
        <v>1639</v>
      </c>
      <c r="G488" t="s">
        <v>1791</v>
      </c>
      <c r="H488" s="121" t="s">
        <v>11025</v>
      </c>
    </row>
    <row r="489" spans="1:8" x14ac:dyDescent="0.25">
      <c r="A489">
        <v>1406587</v>
      </c>
      <c r="B489" s="121" t="s">
        <v>11003</v>
      </c>
      <c r="C489" t="s">
        <v>32</v>
      </c>
      <c r="D489" t="s">
        <v>43</v>
      </c>
      <c r="E489" t="s">
        <v>551</v>
      </c>
      <c r="F489" t="s">
        <v>1644</v>
      </c>
      <c r="G489" t="s">
        <v>4957</v>
      </c>
      <c r="H489" s="121" t="s">
        <v>11026</v>
      </c>
    </row>
    <row r="490" spans="1:8" x14ac:dyDescent="0.25">
      <c r="A490">
        <v>1407391</v>
      </c>
      <c r="B490" s="121" t="s">
        <v>11003</v>
      </c>
      <c r="C490" t="s">
        <v>32</v>
      </c>
      <c r="D490" t="s">
        <v>43</v>
      </c>
      <c r="E490" t="s">
        <v>394</v>
      </c>
      <c r="F490" t="s">
        <v>1650</v>
      </c>
      <c r="G490" t="s">
        <v>4539</v>
      </c>
      <c r="H490" s="121" t="s">
        <v>11027</v>
      </c>
    </row>
    <row r="491" spans="1:8" x14ac:dyDescent="0.25">
      <c r="A491">
        <v>1407392</v>
      </c>
      <c r="B491" s="121" t="s">
        <v>11003</v>
      </c>
      <c r="C491" t="s">
        <v>32</v>
      </c>
      <c r="D491" t="s">
        <v>43</v>
      </c>
      <c r="E491" t="s">
        <v>394</v>
      </c>
      <c r="F491" t="s">
        <v>1652</v>
      </c>
      <c r="G491" t="s">
        <v>11028</v>
      </c>
      <c r="H491" s="121" t="s">
        <v>11029</v>
      </c>
    </row>
    <row r="492" spans="1:8" x14ac:dyDescent="0.25">
      <c r="A492">
        <v>1410392</v>
      </c>
      <c r="B492" s="121" t="s">
        <v>11003</v>
      </c>
      <c r="C492" t="s">
        <v>32</v>
      </c>
      <c r="D492" t="s">
        <v>51</v>
      </c>
      <c r="E492" t="s">
        <v>3147</v>
      </c>
      <c r="F492" t="s">
        <v>3823</v>
      </c>
      <c r="G492" t="s">
        <v>11030</v>
      </c>
      <c r="H492" s="121" t="s">
        <v>11031</v>
      </c>
    </row>
    <row r="493" spans="1:8" x14ac:dyDescent="0.25">
      <c r="A493">
        <v>1412189</v>
      </c>
      <c r="B493" s="121" t="s">
        <v>11003</v>
      </c>
      <c r="C493" t="s">
        <v>32</v>
      </c>
      <c r="D493" t="s">
        <v>43</v>
      </c>
      <c r="E493" t="s">
        <v>1533</v>
      </c>
      <c r="F493" t="s">
        <v>11032</v>
      </c>
      <c r="G493" t="s">
        <v>1661</v>
      </c>
      <c r="H493" s="121" t="s">
        <v>11033</v>
      </c>
    </row>
    <row r="494" spans="1:8" x14ac:dyDescent="0.25">
      <c r="A494">
        <v>1412190</v>
      </c>
      <c r="B494" s="121" t="s">
        <v>11003</v>
      </c>
      <c r="C494" t="s">
        <v>32</v>
      </c>
      <c r="D494" t="s">
        <v>43</v>
      </c>
      <c r="E494" t="s">
        <v>1533</v>
      </c>
      <c r="F494" t="s">
        <v>1660</v>
      </c>
      <c r="G494" t="s">
        <v>1658</v>
      </c>
      <c r="H494" s="121" t="s">
        <v>11034</v>
      </c>
    </row>
    <row r="495" spans="1:8" x14ac:dyDescent="0.25">
      <c r="A495">
        <v>1412191</v>
      </c>
      <c r="B495" s="121" t="s">
        <v>11003</v>
      </c>
      <c r="C495" t="s">
        <v>32</v>
      </c>
      <c r="D495" t="s">
        <v>43</v>
      </c>
      <c r="E495" t="s">
        <v>1533</v>
      </c>
      <c r="F495" t="s">
        <v>1662</v>
      </c>
      <c r="G495" t="s">
        <v>1804</v>
      </c>
      <c r="H495" s="121" t="s">
        <v>11035</v>
      </c>
    </row>
    <row r="496" spans="1:8" x14ac:dyDescent="0.25">
      <c r="A496">
        <v>1412192</v>
      </c>
      <c r="B496" s="121" t="s">
        <v>11003</v>
      </c>
      <c r="C496" t="s">
        <v>32</v>
      </c>
      <c r="D496" t="s">
        <v>43</v>
      </c>
      <c r="E496" t="s">
        <v>1533</v>
      </c>
      <c r="F496" t="s">
        <v>1659</v>
      </c>
      <c r="G496" t="s">
        <v>1535</v>
      </c>
      <c r="H496" s="121" t="s">
        <v>11036</v>
      </c>
    </row>
    <row r="497" spans="1:8" x14ac:dyDescent="0.25">
      <c r="A497">
        <v>1412194</v>
      </c>
      <c r="B497" s="121" t="s">
        <v>11003</v>
      </c>
      <c r="C497" t="s">
        <v>32</v>
      </c>
      <c r="D497" t="s">
        <v>43</v>
      </c>
      <c r="E497" t="s">
        <v>1533</v>
      </c>
      <c r="F497" t="s">
        <v>1657</v>
      </c>
      <c r="G497" t="s">
        <v>1805</v>
      </c>
      <c r="H497" s="121" t="s">
        <v>11037</v>
      </c>
    </row>
    <row r="498" spans="1:8" x14ac:dyDescent="0.25">
      <c r="A498">
        <v>1412195</v>
      </c>
      <c r="B498" s="121" t="s">
        <v>11003</v>
      </c>
      <c r="C498" t="s">
        <v>32</v>
      </c>
      <c r="D498" t="s">
        <v>43</v>
      </c>
      <c r="E498" t="s">
        <v>1533</v>
      </c>
      <c r="F498" t="s">
        <v>1852</v>
      </c>
      <c r="G498" t="s">
        <v>1663</v>
      </c>
      <c r="H498" s="121" t="s">
        <v>11038</v>
      </c>
    </row>
    <row r="499" spans="1:8" x14ac:dyDescent="0.25">
      <c r="A499">
        <v>1412196</v>
      </c>
      <c r="B499" s="121" t="s">
        <v>11003</v>
      </c>
      <c r="C499" t="s">
        <v>32</v>
      </c>
      <c r="D499" t="s">
        <v>43</v>
      </c>
      <c r="E499" t="s">
        <v>1533</v>
      </c>
      <c r="F499" t="s">
        <v>1851</v>
      </c>
      <c r="G499" t="s">
        <v>1803</v>
      </c>
      <c r="H499" s="121" t="s">
        <v>11039</v>
      </c>
    </row>
    <row r="500" spans="1:8" x14ac:dyDescent="0.25">
      <c r="A500">
        <v>1412945</v>
      </c>
      <c r="B500" s="121" t="s">
        <v>11003</v>
      </c>
      <c r="C500" t="s">
        <v>32</v>
      </c>
      <c r="D500" t="s">
        <v>43</v>
      </c>
      <c r="E500" t="s">
        <v>606</v>
      </c>
      <c r="F500" t="s">
        <v>1666</v>
      </c>
      <c r="G500" t="s">
        <v>1670</v>
      </c>
      <c r="H500" s="121" t="s">
        <v>11040</v>
      </c>
    </row>
    <row r="501" spans="1:8" x14ac:dyDescent="0.25">
      <c r="A501">
        <v>1412946</v>
      </c>
      <c r="B501" s="121" t="s">
        <v>11003</v>
      </c>
      <c r="C501" t="s">
        <v>32</v>
      </c>
      <c r="D501" t="s">
        <v>43</v>
      </c>
      <c r="E501" t="s">
        <v>606</v>
      </c>
      <c r="F501" t="s">
        <v>1664</v>
      </c>
      <c r="G501" t="s">
        <v>1669</v>
      </c>
      <c r="H501" s="121" t="s">
        <v>11041</v>
      </c>
    </row>
    <row r="502" spans="1:8" x14ac:dyDescent="0.25">
      <c r="A502">
        <v>1416152</v>
      </c>
      <c r="B502" s="121" t="s">
        <v>11003</v>
      </c>
      <c r="C502" t="s">
        <v>32</v>
      </c>
      <c r="D502" t="s">
        <v>593</v>
      </c>
      <c r="E502" t="s">
        <v>81</v>
      </c>
      <c r="F502" t="s">
        <v>11042</v>
      </c>
      <c r="G502" t="s">
        <v>11043</v>
      </c>
      <c r="H502" s="121" t="s">
        <v>11044</v>
      </c>
    </row>
    <row r="503" spans="1:8" x14ac:dyDescent="0.25">
      <c r="A503">
        <v>1416153</v>
      </c>
      <c r="B503" s="121" t="s">
        <v>11003</v>
      </c>
      <c r="C503" t="s">
        <v>32</v>
      </c>
      <c r="D503" t="s">
        <v>593</v>
      </c>
      <c r="E503" t="s">
        <v>81</v>
      </c>
      <c r="F503" t="s">
        <v>11045</v>
      </c>
      <c r="G503" t="s">
        <v>11046</v>
      </c>
      <c r="H503" s="121" t="s">
        <v>11047</v>
      </c>
    </row>
    <row r="504" spans="1:8" x14ac:dyDescent="0.25">
      <c r="A504">
        <v>1416154</v>
      </c>
      <c r="B504" s="121" t="s">
        <v>11003</v>
      </c>
      <c r="C504" t="s">
        <v>32</v>
      </c>
      <c r="D504" t="s">
        <v>593</v>
      </c>
      <c r="E504" t="s">
        <v>81</v>
      </c>
      <c r="F504" t="s">
        <v>1442</v>
      </c>
      <c r="G504" t="s">
        <v>11048</v>
      </c>
      <c r="H504" s="121" t="s">
        <v>11049</v>
      </c>
    </row>
    <row r="505" spans="1:8" x14ac:dyDescent="0.25">
      <c r="A505">
        <v>1416155</v>
      </c>
      <c r="B505" s="121" t="s">
        <v>11003</v>
      </c>
      <c r="C505" t="s">
        <v>32</v>
      </c>
      <c r="D505" t="s">
        <v>593</v>
      </c>
      <c r="E505" t="s">
        <v>81</v>
      </c>
      <c r="F505" t="s">
        <v>11050</v>
      </c>
      <c r="G505" t="s">
        <v>11051</v>
      </c>
      <c r="H505" s="121" t="s">
        <v>11052</v>
      </c>
    </row>
    <row r="506" spans="1:8" x14ac:dyDescent="0.25">
      <c r="A506">
        <v>1416156</v>
      </c>
      <c r="B506" s="121" t="s">
        <v>11003</v>
      </c>
      <c r="C506" t="s">
        <v>32</v>
      </c>
      <c r="D506" t="s">
        <v>593</v>
      </c>
      <c r="E506" t="s">
        <v>81</v>
      </c>
      <c r="F506" t="s">
        <v>11053</v>
      </c>
      <c r="G506" t="s">
        <v>11054</v>
      </c>
      <c r="H506" s="121" t="s">
        <v>11055</v>
      </c>
    </row>
    <row r="507" spans="1:8" x14ac:dyDescent="0.25">
      <c r="A507">
        <v>1416947</v>
      </c>
      <c r="B507" s="121" t="s">
        <v>11003</v>
      </c>
      <c r="C507" t="s">
        <v>32</v>
      </c>
      <c r="D507" t="s">
        <v>71</v>
      </c>
      <c r="E507" t="s">
        <v>346</v>
      </c>
      <c r="F507" t="s">
        <v>1677</v>
      </c>
      <c r="G507" t="s">
        <v>1675</v>
      </c>
      <c r="H507" s="121" t="s">
        <v>11056</v>
      </c>
    </row>
    <row r="508" spans="1:8" x14ac:dyDescent="0.25">
      <c r="A508">
        <v>1416949</v>
      </c>
      <c r="B508" s="121" t="s">
        <v>11003</v>
      </c>
      <c r="C508" t="s">
        <v>32</v>
      </c>
      <c r="D508" t="s">
        <v>71</v>
      </c>
      <c r="E508" t="s">
        <v>346</v>
      </c>
      <c r="F508" t="s">
        <v>11057</v>
      </c>
      <c r="G508" t="s">
        <v>1679</v>
      </c>
      <c r="H508" s="121" t="s">
        <v>11058</v>
      </c>
    </row>
    <row r="509" spans="1:8" x14ac:dyDescent="0.25">
      <c r="A509">
        <v>1416950</v>
      </c>
      <c r="B509" s="121" t="s">
        <v>11003</v>
      </c>
      <c r="C509" t="s">
        <v>32</v>
      </c>
      <c r="D509" t="s">
        <v>71</v>
      </c>
      <c r="E509" t="s">
        <v>346</v>
      </c>
      <c r="F509" t="s">
        <v>1681</v>
      </c>
      <c r="G509" t="s">
        <v>6710</v>
      </c>
      <c r="H509" s="121" t="s">
        <v>11059</v>
      </c>
    </row>
    <row r="510" spans="1:8" x14ac:dyDescent="0.25">
      <c r="A510">
        <v>1417586</v>
      </c>
      <c r="B510" s="121" t="s">
        <v>11003</v>
      </c>
      <c r="C510" t="s">
        <v>32</v>
      </c>
      <c r="D510" t="s">
        <v>403</v>
      </c>
      <c r="E510" t="s">
        <v>404</v>
      </c>
      <c r="F510" t="s">
        <v>4569</v>
      </c>
      <c r="G510" t="s">
        <v>6503</v>
      </c>
      <c r="H510" s="121" t="s">
        <v>11060</v>
      </c>
    </row>
    <row r="511" spans="1:8" x14ac:dyDescent="0.25">
      <c r="A511">
        <v>1417589</v>
      </c>
      <c r="B511" s="121" t="s">
        <v>11003</v>
      </c>
      <c r="C511" t="s">
        <v>32</v>
      </c>
      <c r="D511" t="s">
        <v>403</v>
      </c>
      <c r="E511" t="s">
        <v>404</v>
      </c>
      <c r="F511" t="s">
        <v>1692</v>
      </c>
      <c r="G511" t="s">
        <v>1687</v>
      </c>
      <c r="H511" s="121" t="s">
        <v>11061</v>
      </c>
    </row>
    <row r="512" spans="1:8" x14ac:dyDescent="0.25">
      <c r="A512">
        <v>1417591</v>
      </c>
      <c r="B512" s="121" t="s">
        <v>11003</v>
      </c>
      <c r="C512" t="s">
        <v>32</v>
      </c>
      <c r="D512" t="s">
        <v>403</v>
      </c>
      <c r="E512" t="s">
        <v>404</v>
      </c>
      <c r="F512" t="s">
        <v>1689</v>
      </c>
      <c r="G512" t="s">
        <v>4572</v>
      </c>
      <c r="H512" s="121" t="s">
        <v>11062</v>
      </c>
    </row>
    <row r="513" spans="1:8" x14ac:dyDescent="0.25">
      <c r="A513">
        <v>1417593</v>
      </c>
      <c r="B513" s="121" t="s">
        <v>11003</v>
      </c>
      <c r="C513" t="s">
        <v>32</v>
      </c>
      <c r="D513" t="s">
        <v>403</v>
      </c>
      <c r="E513" t="s">
        <v>404</v>
      </c>
      <c r="F513" t="s">
        <v>1691</v>
      </c>
      <c r="G513" t="s">
        <v>6504</v>
      </c>
      <c r="H513" s="121" t="s">
        <v>11063</v>
      </c>
    </row>
    <row r="514" spans="1:8" x14ac:dyDescent="0.25">
      <c r="A514">
        <v>1419921</v>
      </c>
      <c r="B514" s="121" t="s">
        <v>11003</v>
      </c>
      <c r="C514" t="s">
        <v>32</v>
      </c>
      <c r="D514" t="s">
        <v>41</v>
      </c>
      <c r="E514" t="s">
        <v>348</v>
      </c>
      <c r="F514" t="s">
        <v>4583</v>
      </c>
      <c r="G514" t="s">
        <v>1697</v>
      </c>
      <c r="H514" s="121" t="s">
        <v>11064</v>
      </c>
    </row>
    <row r="515" spans="1:8" x14ac:dyDescent="0.25">
      <c r="A515">
        <v>1425084</v>
      </c>
      <c r="B515" s="121" t="s">
        <v>11003</v>
      </c>
      <c r="C515" t="s">
        <v>32</v>
      </c>
      <c r="D515" t="s">
        <v>43</v>
      </c>
      <c r="E515" t="s">
        <v>627</v>
      </c>
      <c r="F515" t="s">
        <v>1702</v>
      </c>
      <c r="G515" t="s">
        <v>11065</v>
      </c>
      <c r="H515" s="121" t="s">
        <v>11066</v>
      </c>
    </row>
    <row r="516" spans="1:8" x14ac:dyDescent="0.25">
      <c r="A516">
        <v>1425821</v>
      </c>
      <c r="B516" s="121" t="s">
        <v>11003</v>
      </c>
      <c r="C516" t="s">
        <v>32</v>
      </c>
      <c r="D516" t="s">
        <v>89</v>
      </c>
      <c r="E516" t="s">
        <v>6308</v>
      </c>
      <c r="F516" t="s">
        <v>11067</v>
      </c>
      <c r="G516" t="s">
        <v>6309</v>
      </c>
      <c r="H516" s="121" t="s">
        <v>11068</v>
      </c>
    </row>
    <row r="517" spans="1:8" x14ac:dyDescent="0.25">
      <c r="A517">
        <v>1425825</v>
      </c>
      <c r="B517" s="121" t="s">
        <v>11003</v>
      </c>
      <c r="C517" t="s">
        <v>32</v>
      </c>
      <c r="D517" t="s">
        <v>89</v>
      </c>
      <c r="E517" t="s">
        <v>6308</v>
      </c>
      <c r="F517" t="s">
        <v>6318</v>
      </c>
      <c r="G517" t="s">
        <v>11069</v>
      </c>
      <c r="H517" s="121" t="s">
        <v>11070</v>
      </c>
    </row>
    <row r="518" spans="1:8" x14ac:dyDescent="0.25">
      <c r="A518">
        <v>1425827</v>
      </c>
      <c r="B518" s="121" t="s">
        <v>11003</v>
      </c>
      <c r="C518" t="s">
        <v>32</v>
      </c>
      <c r="D518" t="s">
        <v>89</v>
      </c>
      <c r="E518" t="s">
        <v>6308</v>
      </c>
      <c r="F518" t="s">
        <v>11071</v>
      </c>
      <c r="G518" t="s">
        <v>11072</v>
      </c>
      <c r="H518" s="121" t="s">
        <v>11073</v>
      </c>
    </row>
    <row r="519" spans="1:8" x14ac:dyDescent="0.25">
      <c r="A519">
        <v>1426016</v>
      </c>
      <c r="B519" s="121" t="s">
        <v>11003</v>
      </c>
      <c r="C519" t="s">
        <v>32</v>
      </c>
      <c r="D519" t="s">
        <v>89</v>
      </c>
      <c r="E519" t="s">
        <v>670</v>
      </c>
      <c r="F519" t="s">
        <v>1704</v>
      </c>
      <c r="G519" t="s">
        <v>6327</v>
      </c>
      <c r="H519" s="121" t="s">
        <v>11074</v>
      </c>
    </row>
    <row r="520" spans="1:8" x14ac:dyDescent="0.25">
      <c r="A520">
        <v>1426332</v>
      </c>
      <c r="B520" s="121" t="s">
        <v>11003</v>
      </c>
      <c r="C520" t="s">
        <v>32</v>
      </c>
      <c r="D520" t="s">
        <v>89</v>
      </c>
      <c r="E520" t="s">
        <v>672</v>
      </c>
      <c r="F520" t="s">
        <v>11075</v>
      </c>
      <c r="G520" t="s">
        <v>6344</v>
      </c>
      <c r="H520" s="121" t="s">
        <v>11076</v>
      </c>
    </row>
    <row r="521" spans="1:8" x14ac:dyDescent="0.25">
      <c r="A521">
        <v>1426703</v>
      </c>
      <c r="B521" s="121" t="s">
        <v>11003</v>
      </c>
      <c r="C521" t="s">
        <v>32</v>
      </c>
      <c r="D521" t="s">
        <v>89</v>
      </c>
      <c r="E521" t="s">
        <v>644</v>
      </c>
      <c r="F521" t="s">
        <v>1710</v>
      </c>
      <c r="G521" t="s">
        <v>6379</v>
      </c>
      <c r="H521" s="121" t="s">
        <v>11077</v>
      </c>
    </row>
    <row r="522" spans="1:8" x14ac:dyDescent="0.25">
      <c r="A522">
        <v>1426877</v>
      </c>
      <c r="B522" s="121" t="s">
        <v>11003</v>
      </c>
      <c r="C522" t="s">
        <v>32</v>
      </c>
      <c r="D522" t="s">
        <v>89</v>
      </c>
      <c r="E522" t="s">
        <v>673</v>
      </c>
      <c r="F522" t="s">
        <v>1714</v>
      </c>
      <c r="G522" t="s">
        <v>6392</v>
      </c>
      <c r="H522" s="121" t="s">
        <v>11078</v>
      </c>
    </row>
    <row r="523" spans="1:8" x14ac:dyDescent="0.25">
      <c r="A523">
        <v>1426878</v>
      </c>
      <c r="B523" s="121" t="s">
        <v>11003</v>
      </c>
      <c r="C523" t="s">
        <v>32</v>
      </c>
      <c r="D523" t="s">
        <v>89</v>
      </c>
      <c r="E523" t="s">
        <v>673</v>
      </c>
      <c r="F523" t="s">
        <v>6398</v>
      </c>
      <c r="G523" t="s">
        <v>6395</v>
      </c>
      <c r="H523" s="121" t="s">
        <v>11079</v>
      </c>
    </row>
    <row r="524" spans="1:8" x14ac:dyDescent="0.25">
      <c r="A524">
        <v>1427052</v>
      </c>
      <c r="B524" s="121" t="s">
        <v>11003</v>
      </c>
      <c r="C524" t="s">
        <v>32</v>
      </c>
      <c r="D524" t="s">
        <v>89</v>
      </c>
      <c r="E524" t="s">
        <v>674</v>
      </c>
      <c r="F524" t="s">
        <v>1716</v>
      </c>
      <c r="G524" t="s">
        <v>11080</v>
      </c>
      <c r="H524" s="121" t="s">
        <v>11081</v>
      </c>
    </row>
    <row r="525" spans="1:8" x14ac:dyDescent="0.25">
      <c r="A525">
        <v>1427053</v>
      </c>
      <c r="B525" s="121" t="s">
        <v>11003</v>
      </c>
      <c r="C525" t="s">
        <v>32</v>
      </c>
      <c r="D525" t="s">
        <v>89</v>
      </c>
      <c r="E525" t="s">
        <v>674</v>
      </c>
      <c r="F525" t="s">
        <v>1718</v>
      </c>
      <c r="G525" t="s">
        <v>6409</v>
      </c>
      <c r="H525" s="121" t="s">
        <v>11082</v>
      </c>
    </row>
    <row r="526" spans="1:8" x14ac:dyDescent="0.25">
      <c r="A526">
        <v>1427221</v>
      </c>
      <c r="B526" s="121" t="s">
        <v>11003</v>
      </c>
      <c r="C526" t="s">
        <v>32</v>
      </c>
      <c r="D526" t="s">
        <v>89</v>
      </c>
      <c r="E526" t="s">
        <v>675</v>
      </c>
      <c r="F526" t="s">
        <v>1720</v>
      </c>
      <c r="G526" t="s">
        <v>11083</v>
      </c>
      <c r="H526" s="121" t="s">
        <v>11084</v>
      </c>
    </row>
    <row r="527" spans="1:8" x14ac:dyDescent="0.25">
      <c r="A527">
        <v>1429663</v>
      </c>
      <c r="B527" s="121" t="s">
        <v>11003</v>
      </c>
      <c r="C527" t="s">
        <v>32</v>
      </c>
      <c r="D527" t="s">
        <v>37</v>
      </c>
      <c r="E527" t="s">
        <v>238</v>
      </c>
      <c r="F527" t="s">
        <v>6085</v>
      </c>
      <c r="G527" t="s">
        <v>507</v>
      </c>
      <c r="H527" s="121" t="s">
        <v>11085</v>
      </c>
    </row>
    <row r="528" spans="1:8" x14ac:dyDescent="0.25">
      <c r="A528">
        <v>1430148</v>
      </c>
      <c r="B528" s="121" t="s">
        <v>11003</v>
      </c>
      <c r="C528" t="s">
        <v>32</v>
      </c>
      <c r="D528" t="s">
        <v>80</v>
      </c>
      <c r="E528" t="s">
        <v>607</v>
      </c>
      <c r="F528" t="s">
        <v>6083</v>
      </c>
      <c r="G528" t="s">
        <v>11086</v>
      </c>
      <c r="H528" s="121" t="s">
        <v>11087</v>
      </c>
    </row>
    <row r="529" spans="1:8" x14ac:dyDescent="0.25">
      <c r="A529">
        <v>1430361</v>
      </c>
      <c r="B529" s="121" t="s">
        <v>11003</v>
      </c>
      <c r="C529" t="s">
        <v>32</v>
      </c>
      <c r="D529" t="s">
        <v>80</v>
      </c>
      <c r="E529" t="s">
        <v>628</v>
      </c>
      <c r="F529" t="s">
        <v>11088</v>
      </c>
      <c r="G529" t="s">
        <v>1545</v>
      </c>
      <c r="H529" s="121" t="s">
        <v>11089</v>
      </c>
    </row>
    <row r="530" spans="1:8" x14ac:dyDescent="0.25">
      <c r="A530">
        <v>1446393</v>
      </c>
      <c r="B530" s="121" t="s">
        <v>11003</v>
      </c>
      <c r="C530" t="s">
        <v>32</v>
      </c>
      <c r="D530" t="s">
        <v>37</v>
      </c>
      <c r="E530" t="s">
        <v>617</v>
      </c>
      <c r="F530" t="s">
        <v>1566</v>
      </c>
      <c r="G530" t="s">
        <v>11090</v>
      </c>
      <c r="H530" s="121" t="s">
        <v>11091</v>
      </c>
    </row>
    <row r="531" spans="1:8" x14ac:dyDescent="0.25">
      <c r="A531">
        <v>1446394</v>
      </c>
      <c r="B531" s="121" t="s">
        <v>11003</v>
      </c>
      <c r="C531" t="s">
        <v>32</v>
      </c>
      <c r="D531" t="s">
        <v>37</v>
      </c>
      <c r="E531" t="s">
        <v>617</v>
      </c>
      <c r="F531" t="s">
        <v>11092</v>
      </c>
      <c r="G531" t="s">
        <v>4304</v>
      </c>
      <c r="H531" s="121" t="s">
        <v>11093</v>
      </c>
    </row>
    <row r="532" spans="1:8" x14ac:dyDescent="0.25">
      <c r="A532">
        <v>1448442</v>
      </c>
      <c r="B532" s="121" t="s">
        <v>11003</v>
      </c>
      <c r="C532" t="s">
        <v>32</v>
      </c>
      <c r="D532" t="s">
        <v>42</v>
      </c>
      <c r="E532" t="s">
        <v>577</v>
      </c>
      <c r="F532" t="s">
        <v>11094</v>
      </c>
      <c r="G532" t="s">
        <v>1336</v>
      </c>
      <c r="H532" s="121" t="s">
        <v>11095</v>
      </c>
    </row>
    <row r="533" spans="1:8" x14ac:dyDescent="0.25">
      <c r="A533">
        <v>1448443</v>
      </c>
      <c r="B533" s="121" t="s">
        <v>11003</v>
      </c>
      <c r="C533" t="s">
        <v>32</v>
      </c>
      <c r="D533" t="s">
        <v>42</v>
      </c>
      <c r="E533" t="s">
        <v>577</v>
      </c>
      <c r="F533" t="s">
        <v>1333</v>
      </c>
      <c r="G533" t="s">
        <v>11096</v>
      </c>
      <c r="H533" s="121" t="s">
        <v>11097</v>
      </c>
    </row>
    <row r="534" spans="1:8" x14ac:dyDescent="0.25">
      <c r="A534">
        <v>1448444</v>
      </c>
      <c r="B534" s="121" t="s">
        <v>11003</v>
      </c>
      <c r="C534" t="s">
        <v>32</v>
      </c>
      <c r="D534" t="s">
        <v>42</v>
      </c>
      <c r="E534" t="s">
        <v>577</v>
      </c>
      <c r="F534" t="s">
        <v>1335</v>
      </c>
      <c r="G534" t="s">
        <v>11098</v>
      </c>
      <c r="H534" s="121" t="s">
        <v>11099</v>
      </c>
    </row>
    <row r="535" spans="1:8" x14ac:dyDescent="0.25">
      <c r="A535">
        <v>1448445</v>
      </c>
      <c r="B535" s="121" t="s">
        <v>11003</v>
      </c>
      <c r="C535" t="s">
        <v>32</v>
      </c>
      <c r="D535" t="s">
        <v>42</v>
      </c>
      <c r="E535" t="s">
        <v>577</v>
      </c>
      <c r="F535" t="s">
        <v>11100</v>
      </c>
      <c r="G535" t="s">
        <v>11101</v>
      </c>
      <c r="H535" s="121" t="s">
        <v>11102</v>
      </c>
    </row>
    <row r="536" spans="1:8" x14ac:dyDescent="0.25">
      <c r="A536">
        <v>1448446</v>
      </c>
      <c r="B536" s="121" t="s">
        <v>11003</v>
      </c>
      <c r="C536" t="s">
        <v>32</v>
      </c>
      <c r="D536" t="s">
        <v>42</v>
      </c>
      <c r="E536" t="s">
        <v>577</v>
      </c>
      <c r="F536" t="s">
        <v>1337</v>
      </c>
      <c r="G536" t="s">
        <v>11103</v>
      </c>
      <c r="H536" s="121" t="s">
        <v>11104</v>
      </c>
    </row>
    <row r="537" spans="1:8" x14ac:dyDescent="0.25">
      <c r="A537">
        <v>1448447</v>
      </c>
      <c r="B537" s="121" t="s">
        <v>11003</v>
      </c>
      <c r="C537" t="s">
        <v>32</v>
      </c>
      <c r="D537" t="s">
        <v>42</v>
      </c>
      <c r="E537" t="s">
        <v>577</v>
      </c>
      <c r="F537" t="s">
        <v>11105</v>
      </c>
      <c r="G537" t="s">
        <v>1250</v>
      </c>
      <c r="H537" s="121" t="s">
        <v>11106</v>
      </c>
    </row>
    <row r="538" spans="1:8" x14ac:dyDescent="0.25">
      <c r="A538">
        <v>1448448</v>
      </c>
      <c r="B538" s="121" t="s">
        <v>11003</v>
      </c>
      <c r="C538" t="s">
        <v>32</v>
      </c>
      <c r="D538" t="s">
        <v>42</v>
      </c>
      <c r="E538" t="s">
        <v>577</v>
      </c>
      <c r="F538" t="s">
        <v>1334</v>
      </c>
      <c r="G538" t="s">
        <v>1332</v>
      </c>
      <c r="H538" s="121" t="s">
        <v>11107</v>
      </c>
    </row>
    <row r="539" spans="1:8" x14ac:dyDescent="0.25">
      <c r="A539">
        <v>1448449</v>
      </c>
      <c r="B539" s="121" t="s">
        <v>11003</v>
      </c>
      <c r="C539" t="s">
        <v>32</v>
      </c>
      <c r="D539" t="s">
        <v>42</v>
      </c>
      <c r="E539" t="s">
        <v>577</v>
      </c>
      <c r="F539" t="s">
        <v>11108</v>
      </c>
      <c r="G539" t="s">
        <v>1249</v>
      </c>
      <c r="H539" s="121" t="s">
        <v>11109</v>
      </c>
    </row>
    <row r="540" spans="1:8" x14ac:dyDescent="0.25">
      <c r="A540">
        <v>1449142</v>
      </c>
      <c r="B540" s="121" t="s">
        <v>11003</v>
      </c>
      <c r="C540" t="s">
        <v>32</v>
      </c>
      <c r="D540" t="s">
        <v>42</v>
      </c>
      <c r="E540" t="s">
        <v>583</v>
      </c>
      <c r="F540" t="s">
        <v>11110</v>
      </c>
      <c r="G540" t="s">
        <v>1339</v>
      </c>
      <c r="H540" s="121" t="s">
        <v>11111</v>
      </c>
    </row>
    <row r="541" spans="1:8" x14ac:dyDescent="0.25">
      <c r="A541">
        <v>1449143</v>
      </c>
      <c r="B541" s="121" t="s">
        <v>11003</v>
      </c>
      <c r="C541" t="s">
        <v>32</v>
      </c>
      <c r="D541" t="s">
        <v>42</v>
      </c>
      <c r="E541" t="s">
        <v>583</v>
      </c>
      <c r="F541" t="s">
        <v>1344</v>
      </c>
      <c r="G541" t="s">
        <v>11112</v>
      </c>
      <c r="H541" s="121" t="s">
        <v>11113</v>
      </c>
    </row>
    <row r="542" spans="1:8" x14ac:dyDescent="0.25">
      <c r="A542">
        <v>1449144</v>
      </c>
      <c r="B542" s="121" t="s">
        <v>11003</v>
      </c>
      <c r="C542" t="s">
        <v>32</v>
      </c>
      <c r="D542" t="s">
        <v>42</v>
      </c>
      <c r="E542" t="s">
        <v>583</v>
      </c>
      <c r="F542" t="s">
        <v>1348</v>
      </c>
      <c r="G542" t="s">
        <v>1343</v>
      </c>
      <c r="H542" s="121" t="s">
        <v>11114</v>
      </c>
    </row>
    <row r="543" spans="1:8" x14ac:dyDescent="0.25">
      <c r="A543">
        <v>1449145</v>
      </c>
      <c r="B543" s="121" t="s">
        <v>11003</v>
      </c>
      <c r="C543" t="s">
        <v>32</v>
      </c>
      <c r="D543" t="s">
        <v>42</v>
      </c>
      <c r="E543" t="s">
        <v>583</v>
      </c>
      <c r="F543" t="s">
        <v>1347</v>
      </c>
      <c r="G543" t="s">
        <v>11115</v>
      </c>
      <c r="H543" s="121" t="s">
        <v>11116</v>
      </c>
    </row>
    <row r="544" spans="1:8" x14ac:dyDescent="0.25">
      <c r="A544">
        <v>1449146</v>
      </c>
      <c r="B544" s="121" t="s">
        <v>11003</v>
      </c>
      <c r="C544" t="s">
        <v>32</v>
      </c>
      <c r="D544" t="s">
        <v>42</v>
      </c>
      <c r="E544" t="s">
        <v>583</v>
      </c>
      <c r="F544" t="s">
        <v>1346</v>
      </c>
      <c r="G544" t="s">
        <v>11117</v>
      </c>
      <c r="H544" s="121" t="s">
        <v>11118</v>
      </c>
    </row>
    <row r="545" spans="1:8" x14ac:dyDescent="0.25">
      <c r="A545">
        <v>1449147</v>
      </c>
      <c r="B545" s="121" t="s">
        <v>11003</v>
      </c>
      <c r="C545" t="s">
        <v>32</v>
      </c>
      <c r="D545" t="s">
        <v>42</v>
      </c>
      <c r="E545" t="s">
        <v>583</v>
      </c>
      <c r="F545" t="s">
        <v>1340</v>
      </c>
      <c r="G545" t="s">
        <v>590</v>
      </c>
      <c r="H545" s="121" t="s">
        <v>11119</v>
      </c>
    </row>
    <row r="546" spans="1:8" x14ac:dyDescent="0.25">
      <c r="A546">
        <v>1449148</v>
      </c>
      <c r="B546" s="121" t="s">
        <v>11003</v>
      </c>
      <c r="C546" t="s">
        <v>32</v>
      </c>
      <c r="D546" t="s">
        <v>42</v>
      </c>
      <c r="E546" t="s">
        <v>583</v>
      </c>
      <c r="F546" t="s">
        <v>1341</v>
      </c>
      <c r="G546" t="s">
        <v>1342</v>
      </c>
      <c r="H546" s="121" t="s">
        <v>11120</v>
      </c>
    </row>
    <row r="547" spans="1:8" x14ac:dyDescent="0.25">
      <c r="A547">
        <v>1449149</v>
      </c>
      <c r="B547" s="121" t="s">
        <v>11003</v>
      </c>
      <c r="C547" t="s">
        <v>32</v>
      </c>
      <c r="D547" t="s">
        <v>42</v>
      </c>
      <c r="E547" t="s">
        <v>583</v>
      </c>
      <c r="F547" t="s">
        <v>1345</v>
      </c>
      <c r="G547" t="s">
        <v>1338</v>
      </c>
      <c r="H547" s="121" t="s">
        <v>11121</v>
      </c>
    </row>
    <row r="548" spans="1:8" x14ac:dyDescent="0.25">
      <c r="A548">
        <v>1450316</v>
      </c>
      <c r="B548" s="121" t="s">
        <v>11003</v>
      </c>
      <c r="C548" t="s">
        <v>32</v>
      </c>
      <c r="D548" t="s">
        <v>71</v>
      </c>
      <c r="E548" t="s">
        <v>684</v>
      </c>
      <c r="F548" t="s">
        <v>1726</v>
      </c>
      <c r="G548" t="s">
        <v>6721</v>
      </c>
      <c r="H548" s="121" t="s">
        <v>11122</v>
      </c>
    </row>
    <row r="549" spans="1:8" x14ac:dyDescent="0.25">
      <c r="A549">
        <v>1450317</v>
      </c>
      <c r="B549" s="121" t="s">
        <v>11003</v>
      </c>
      <c r="C549" t="s">
        <v>32</v>
      </c>
      <c r="D549" t="s">
        <v>71</v>
      </c>
      <c r="E549" t="s">
        <v>684</v>
      </c>
      <c r="F549" t="s">
        <v>11123</v>
      </c>
      <c r="G549" t="s">
        <v>11124</v>
      </c>
      <c r="H549" s="121" t="s">
        <v>11125</v>
      </c>
    </row>
    <row r="550" spans="1:8" x14ac:dyDescent="0.25">
      <c r="A550">
        <v>1450318</v>
      </c>
      <c r="B550" s="121" t="s">
        <v>11003</v>
      </c>
      <c r="C550" t="s">
        <v>32</v>
      </c>
      <c r="D550" t="s">
        <v>71</v>
      </c>
      <c r="E550" t="s">
        <v>684</v>
      </c>
      <c r="F550" t="s">
        <v>1725</v>
      </c>
      <c r="G550" t="s">
        <v>6723</v>
      </c>
      <c r="H550" s="121" t="s">
        <v>11126</v>
      </c>
    </row>
    <row r="551" spans="1:8" x14ac:dyDescent="0.25">
      <c r="A551">
        <v>1450319</v>
      </c>
      <c r="B551" s="121" t="s">
        <v>11003</v>
      </c>
      <c r="C551" t="s">
        <v>32</v>
      </c>
      <c r="D551" t="s">
        <v>71</v>
      </c>
      <c r="E551" t="s">
        <v>684</v>
      </c>
      <c r="F551" t="s">
        <v>11127</v>
      </c>
      <c r="G551" t="s">
        <v>1728</v>
      </c>
      <c r="H551" s="121" t="s">
        <v>11128</v>
      </c>
    </row>
    <row r="552" spans="1:8" x14ac:dyDescent="0.25">
      <c r="A552">
        <v>1450320</v>
      </c>
      <c r="B552" s="121" t="s">
        <v>11003</v>
      </c>
      <c r="C552" t="s">
        <v>32</v>
      </c>
      <c r="D552" t="s">
        <v>71</v>
      </c>
      <c r="E552" t="s">
        <v>684</v>
      </c>
      <c r="F552" t="s">
        <v>1729</v>
      </c>
      <c r="G552" t="s">
        <v>6726</v>
      </c>
      <c r="H552" s="121" t="s">
        <v>11129</v>
      </c>
    </row>
    <row r="553" spans="1:8" x14ac:dyDescent="0.25">
      <c r="A553">
        <v>1450321</v>
      </c>
      <c r="B553" s="121" t="s">
        <v>11003</v>
      </c>
      <c r="C553" t="s">
        <v>32</v>
      </c>
      <c r="D553" t="s">
        <v>71</v>
      </c>
      <c r="E553" t="s">
        <v>684</v>
      </c>
      <c r="F553" t="s">
        <v>11130</v>
      </c>
      <c r="G553" t="s">
        <v>1731</v>
      </c>
      <c r="H553" s="121" t="s">
        <v>11131</v>
      </c>
    </row>
    <row r="554" spans="1:8" x14ac:dyDescent="0.25">
      <c r="A554">
        <v>1450322</v>
      </c>
      <c r="B554" s="121" t="s">
        <v>11003</v>
      </c>
      <c r="C554" t="s">
        <v>32</v>
      </c>
      <c r="D554" t="s">
        <v>71</v>
      </c>
      <c r="E554" t="s">
        <v>684</v>
      </c>
      <c r="F554" t="s">
        <v>1732</v>
      </c>
      <c r="G554" t="s">
        <v>1730</v>
      </c>
      <c r="H554" s="121" t="s">
        <v>11132</v>
      </c>
    </row>
    <row r="555" spans="1:8" x14ac:dyDescent="0.25">
      <c r="A555">
        <v>1450554</v>
      </c>
      <c r="B555" s="121" t="s">
        <v>11003</v>
      </c>
      <c r="C555" t="s">
        <v>32</v>
      </c>
      <c r="D555" t="s">
        <v>71</v>
      </c>
      <c r="E555" t="s">
        <v>410</v>
      </c>
      <c r="F555" t="s">
        <v>11133</v>
      </c>
      <c r="G555" t="s">
        <v>11134</v>
      </c>
      <c r="H555" s="121" t="s">
        <v>11135</v>
      </c>
    </row>
    <row r="556" spans="1:8" x14ac:dyDescent="0.25">
      <c r="A556">
        <v>1453960</v>
      </c>
      <c r="B556" s="121" t="s">
        <v>11003</v>
      </c>
      <c r="C556" t="s">
        <v>32</v>
      </c>
      <c r="D556" t="s">
        <v>41</v>
      </c>
      <c r="E556" t="s">
        <v>11136</v>
      </c>
      <c r="F556" t="s">
        <v>11137</v>
      </c>
      <c r="G556" t="s">
        <v>11138</v>
      </c>
      <c r="H556" s="121" t="s">
        <v>11139</v>
      </c>
    </row>
    <row r="557" spans="1:8" x14ac:dyDescent="0.25">
      <c r="A557">
        <v>1453961</v>
      </c>
      <c r="B557" s="121" t="s">
        <v>11003</v>
      </c>
      <c r="C557" t="s">
        <v>32</v>
      </c>
      <c r="D557" t="s">
        <v>41</v>
      </c>
      <c r="E557" t="s">
        <v>11136</v>
      </c>
      <c r="F557" t="s">
        <v>11140</v>
      </c>
      <c r="G557" t="s">
        <v>11141</v>
      </c>
      <c r="H557" s="121" t="s">
        <v>11142</v>
      </c>
    </row>
    <row r="558" spans="1:8" x14ac:dyDescent="0.25">
      <c r="A558">
        <v>1453962</v>
      </c>
      <c r="B558" s="121" t="s">
        <v>11003</v>
      </c>
      <c r="C558" t="s">
        <v>32</v>
      </c>
      <c r="D558" t="s">
        <v>41</v>
      </c>
      <c r="E558" t="s">
        <v>11136</v>
      </c>
      <c r="F558" t="s">
        <v>11143</v>
      </c>
      <c r="G558" t="s">
        <v>11144</v>
      </c>
      <c r="H558" s="121" t="s">
        <v>11145</v>
      </c>
    </row>
    <row r="559" spans="1:8" x14ac:dyDescent="0.25">
      <c r="A559">
        <v>1453963</v>
      </c>
      <c r="B559" s="121" t="s">
        <v>11003</v>
      </c>
      <c r="C559" t="s">
        <v>32</v>
      </c>
      <c r="D559" t="s">
        <v>41</v>
      </c>
      <c r="E559" t="s">
        <v>11136</v>
      </c>
      <c r="F559" t="s">
        <v>11146</v>
      </c>
      <c r="G559" t="s">
        <v>11147</v>
      </c>
      <c r="H559" s="121" t="s">
        <v>11148</v>
      </c>
    </row>
    <row r="560" spans="1:8" x14ac:dyDescent="0.25">
      <c r="A560">
        <v>1453964</v>
      </c>
      <c r="B560" s="121" t="s">
        <v>11003</v>
      </c>
      <c r="C560" t="s">
        <v>32</v>
      </c>
      <c r="D560" t="s">
        <v>41</v>
      </c>
      <c r="E560" t="s">
        <v>11136</v>
      </c>
      <c r="F560" t="s">
        <v>11149</v>
      </c>
      <c r="G560" t="s">
        <v>11150</v>
      </c>
      <c r="H560" s="121" t="s">
        <v>11151</v>
      </c>
    </row>
    <row r="561" spans="1:8" x14ac:dyDescent="0.25">
      <c r="A561">
        <v>1453965</v>
      </c>
      <c r="B561" s="121" t="s">
        <v>11003</v>
      </c>
      <c r="C561" t="s">
        <v>32</v>
      </c>
      <c r="D561" t="s">
        <v>41</v>
      </c>
      <c r="E561" t="s">
        <v>11136</v>
      </c>
      <c r="F561" t="s">
        <v>11152</v>
      </c>
      <c r="G561" t="s">
        <v>11153</v>
      </c>
      <c r="H561" s="121" t="s">
        <v>11154</v>
      </c>
    </row>
    <row r="562" spans="1:8" x14ac:dyDescent="0.25">
      <c r="A562">
        <v>1453966</v>
      </c>
      <c r="B562" s="121" t="s">
        <v>11003</v>
      </c>
      <c r="C562" t="s">
        <v>32</v>
      </c>
      <c r="D562" t="s">
        <v>41</v>
      </c>
      <c r="E562" t="s">
        <v>11136</v>
      </c>
      <c r="F562" t="s">
        <v>11155</v>
      </c>
      <c r="G562" t="s">
        <v>11156</v>
      </c>
      <c r="H562" s="121" t="s">
        <v>11157</v>
      </c>
    </row>
    <row r="563" spans="1:8" x14ac:dyDescent="0.25">
      <c r="A563">
        <v>1453967</v>
      </c>
      <c r="B563" s="121" t="s">
        <v>11003</v>
      </c>
      <c r="C563" t="s">
        <v>32</v>
      </c>
      <c r="D563" t="s">
        <v>41</v>
      </c>
      <c r="E563" t="s">
        <v>11136</v>
      </c>
      <c r="F563" t="s">
        <v>11158</v>
      </c>
      <c r="G563" t="s">
        <v>11159</v>
      </c>
      <c r="H563" s="121" t="s">
        <v>11160</v>
      </c>
    </row>
    <row r="564" spans="1:8" x14ac:dyDescent="0.25">
      <c r="A564">
        <v>1453968</v>
      </c>
      <c r="B564" s="121" t="s">
        <v>11003</v>
      </c>
      <c r="C564" t="s">
        <v>32</v>
      </c>
      <c r="D564" t="s">
        <v>41</v>
      </c>
      <c r="E564" t="s">
        <v>11136</v>
      </c>
      <c r="F564" t="s">
        <v>11161</v>
      </c>
      <c r="G564" t="s">
        <v>11162</v>
      </c>
      <c r="H564" s="121" t="s">
        <v>11163</v>
      </c>
    </row>
    <row r="565" spans="1:8" x14ac:dyDescent="0.25">
      <c r="A565">
        <v>1454266</v>
      </c>
      <c r="B565" s="121" t="s">
        <v>11003</v>
      </c>
      <c r="C565" t="s">
        <v>32</v>
      </c>
      <c r="D565" t="s">
        <v>41</v>
      </c>
      <c r="E565" t="s">
        <v>4339</v>
      </c>
      <c r="F565" t="s">
        <v>11164</v>
      </c>
      <c r="G565" t="s">
        <v>4340</v>
      </c>
      <c r="H565" s="121" t="s">
        <v>11165</v>
      </c>
    </row>
    <row r="566" spans="1:8" x14ac:dyDescent="0.25">
      <c r="A566">
        <v>1454267</v>
      </c>
      <c r="B566" s="121" t="s">
        <v>11003</v>
      </c>
      <c r="C566" t="s">
        <v>32</v>
      </c>
      <c r="D566" t="s">
        <v>41</v>
      </c>
      <c r="E566" t="s">
        <v>4339</v>
      </c>
      <c r="F566" t="s">
        <v>11166</v>
      </c>
      <c r="G566" t="s">
        <v>11167</v>
      </c>
      <c r="H566" s="121" t="s">
        <v>11168</v>
      </c>
    </row>
    <row r="567" spans="1:8" x14ac:dyDescent="0.25">
      <c r="A567">
        <v>1454269</v>
      </c>
      <c r="B567" s="121" t="s">
        <v>11003</v>
      </c>
      <c r="C567" t="s">
        <v>32</v>
      </c>
      <c r="D567" t="s">
        <v>41</v>
      </c>
      <c r="E567" t="s">
        <v>4339</v>
      </c>
      <c r="F567" t="s">
        <v>4341</v>
      </c>
      <c r="G567" t="s">
        <v>11169</v>
      </c>
      <c r="H567" s="121" t="s">
        <v>11170</v>
      </c>
    </row>
    <row r="568" spans="1:8" x14ac:dyDescent="0.25">
      <c r="A568">
        <v>1454270</v>
      </c>
      <c r="B568" s="121" t="s">
        <v>11003</v>
      </c>
      <c r="C568" t="s">
        <v>32</v>
      </c>
      <c r="D568" t="s">
        <v>41</v>
      </c>
      <c r="E568" t="s">
        <v>4339</v>
      </c>
      <c r="F568" t="s">
        <v>11171</v>
      </c>
      <c r="G568" t="s">
        <v>11172</v>
      </c>
      <c r="H568" s="121" t="s">
        <v>11173</v>
      </c>
    </row>
    <row r="569" spans="1:8" x14ac:dyDescent="0.25">
      <c r="A569">
        <v>1454271</v>
      </c>
      <c r="B569" s="121" t="s">
        <v>11003</v>
      </c>
      <c r="C569" t="s">
        <v>32</v>
      </c>
      <c r="D569" t="s">
        <v>41</v>
      </c>
      <c r="E569" t="s">
        <v>4339</v>
      </c>
      <c r="F569" t="s">
        <v>11174</v>
      </c>
      <c r="G569" t="s">
        <v>11175</v>
      </c>
      <c r="H569" s="121" t="s">
        <v>11176</v>
      </c>
    </row>
    <row r="570" spans="1:8" x14ac:dyDescent="0.25">
      <c r="A570">
        <v>1454272</v>
      </c>
      <c r="B570" s="121" t="s">
        <v>11003</v>
      </c>
      <c r="C570" t="s">
        <v>32</v>
      </c>
      <c r="D570" t="s">
        <v>41</v>
      </c>
      <c r="E570" t="s">
        <v>4339</v>
      </c>
      <c r="F570" t="s">
        <v>11177</v>
      </c>
      <c r="G570" t="s">
        <v>11178</v>
      </c>
      <c r="H570" s="121" t="s">
        <v>11179</v>
      </c>
    </row>
    <row r="571" spans="1:8" x14ac:dyDescent="0.25">
      <c r="A571">
        <v>1454273</v>
      </c>
      <c r="B571" s="121" t="s">
        <v>11003</v>
      </c>
      <c r="C571" t="s">
        <v>32</v>
      </c>
      <c r="D571" t="s">
        <v>41</v>
      </c>
      <c r="E571" t="s">
        <v>4339</v>
      </c>
      <c r="F571" t="s">
        <v>11180</v>
      </c>
      <c r="G571" t="s">
        <v>11181</v>
      </c>
      <c r="H571" s="121" t="s">
        <v>11182</v>
      </c>
    </row>
    <row r="572" spans="1:8" x14ac:dyDescent="0.25">
      <c r="A572">
        <v>1454572</v>
      </c>
      <c r="B572" s="121" t="s">
        <v>11003</v>
      </c>
      <c r="C572" t="s">
        <v>32</v>
      </c>
      <c r="D572" t="s">
        <v>41</v>
      </c>
      <c r="E572" t="s">
        <v>4652</v>
      </c>
      <c r="F572" t="s">
        <v>11183</v>
      </c>
      <c r="G572" t="s">
        <v>11184</v>
      </c>
      <c r="H572" s="121" t="s">
        <v>11185</v>
      </c>
    </row>
    <row r="573" spans="1:8" x14ac:dyDescent="0.25">
      <c r="A573">
        <v>1454573</v>
      </c>
      <c r="B573" s="121" t="s">
        <v>11003</v>
      </c>
      <c r="C573" t="s">
        <v>32</v>
      </c>
      <c r="D573" t="s">
        <v>41</v>
      </c>
      <c r="E573" t="s">
        <v>4652</v>
      </c>
      <c r="F573" t="s">
        <v>11186</v>
      </c>
      <c r="G573" t="s">
        <v>11187</v>
      </c>
      <c r="H573" s="121" t="s">
        <v>11188</v>
      </c>
    </row>
    <row r="574" spans="1:8" x14ac:dyDescent="0.25">
      <c r="A574">
        <v>1454574</v>
      </c>
      <c r="B574" s="121" t="s">
        <v>11003</v>
      </c>
      <c r="C574" t="s">
        <v>32</v>
      </c>
      <c r="D574" t="s">
        <v>41</v>
      </c>
      <c r="E574" t="s">
        <v>4652</v>
      </c>
      <c r="F574" t="s">
        <v>11189</v>
      </c>
      <c r="G574" t="s">
        <v>4653</v>
      </c>
      <c r="H574" s="121" t="s">
        <v>11190</v>
      </c>
    </row>
    <row r="575" spans="1:8" x14ac:dyDescent="0.25">
      <c r="A575">
        <v>1454575</v>
      </c>
      <c r="B575" s="121" t="s">
        <v>11003</v>
      </c>
      <c r="C575" t="s">
        <v>32</v>
      </c>
      <c r="D575" t="s">
        <v>41</v>
      </c>
      <c r="E575" t="s">
        <v>4652</v>
      </c>
      <c r="F575" t="s">
        <v>11191</v>
      </c>
      <c r="G575" t="s">
        <v>11192</v>
      </c>
      <c r="H575" s="121" t="s">
        <v>11193</v>
      </c>
    </row>
    <row r="576" spans="1:8" x14ac:dyDescent="0.25">
      <c r="A576">
        <v>1454576</v>
      </c>
      <c r="B576" s="121" t="s">
        <v>11003</v>
      </c>
      <c r="C576" t="s">
        <v>32</v>
      </c>
      <c r="D576" t="s">
        <v>41</v>
      </c>
      <c r="E576" t="s">
        <v>4652</v>
      </c>
      <c r="F576" t="s">
        <v>11194</v>
      </c>
      <c r="G576" t="s">
        <v>11195</v>
      </c>
      <c r="H576" s="121" t="s">
        <v>11196</v>
      </c>
    </row>
    <row r="577" spans="1:8" x14ac:dyDescent="0.25">
      <c r="A577">
        <v>1454580</v>
      </c>
      <c r="B577" s="121" t="s">
        <v>11003</v>
      </c>
      <c r="C577" t="s">
        <v>32</v>
      </c>
      <c r="D577" t="s">
        <v>41</v>
      </c>
      <c r="E577" t="s">
        <v>4652</v>
      </c>
      <c r="F577" t="s">
        <v>11197</v>
      </c>
      <c r="G577" t="s">
        <v>11198</v>
      </c>
      <c r="H577" s="121" t="s">
        <v>11199</v>
      </c>
    </row>
    <row r="578" spans="1:8" x14ac:dyDescent="0.25">
      <c r="A578">
        <v>1454871</v>
      </c>
      <c r="B578" s="121" t="s">
        <v>11003</v>
      </c>
      <c r="C578" t="s">
        <v>32</v>
      </c>
      <c r="D578" t="s">
        <v>41</v>
      </c>
      <c r="E578" t="s">
        <v>4656</v>
      </c>
      <c r="F578" t="s">
        <v>11200</v>
      </c>
      <c r="G578" t="s">
        <v>11201</v>
      </c>
      <c r="H578" s="121" t="s">
        <v>11202</v>
      </c>
    </row>
    <row r="579" spans="1:8" x14ac:dyDescent="0.25">
      <c r="A579">
        <v>1454872</v>
      </c>
      <c r="B579" s="121" t="s">
        <v>11003</v>
      </c>
      <c r="C579" t="s">
        <v>32</v>
      </c>
      <c r="D579" t="s">
        <v>41</v>
      </c>
      <c r="E579" t="s">
        <v>4656</v>
      </c>
      <c r="F579" t="s">
        <v>11203</v>
      </c>
      <c r="G579" t="s">
        <v>11204</v>
      </c>
      <c r="H579" s="121" t="s">
        <v>11205</v>
      </c>
    </row>
    <row r="580" spans="1:8" x14ac:dyDescent="0.25">
      <c r="A580">
        <v>1454873</v>
      </c>
      <c r="B580" s="121" t="s">
        <v>11003</v>
      </c>
      <c r="C580" t="s">
        <v>32</v>
      </c>
      <c r="D580" t="s">
        <v>41</v>
      </c>
      <c r="E580" t="s">
        <v>4656</v>
      </c>
      <c r="F580" t="s">
        <v>11206</v>
      </c>
      <c r="G580" t="s">
        <v>6735</v>
      </c>
      <c r="H580" s="121" t="s">
        <v>11207</v>
      </c>
    </row>
    <row r="581" spans="1:8" x14ac:dyDescent="0.25">
      <c r="A581">
        <v>1454874</v>
      </c>
      <c r="B581" s="121" t="s">
        <v>11003</v>
      </c>
      <c r="C581" t="s">
        <v>32</v>
      </c>
      <c r="D581" t="s">
        <v>41</v>
      </c>
      <c r="E581" t="s">
        <v>4656</v>
      </c>
      <c r="F581" t="s">
        <v>11208</v>
      </c>
      <c r="G581" t="s">
        <v>4657</v>
      </c>
      <c r="H581" s="121" t="s">
        <v>11209</v>
      </c>
    </row>
    <row r="582" spans="1:8" x14ac:dyDescent="0.25">
      <c r="A582">
        <v>1454875</v>
      </c>
      <c r="B582" s="121" t="s">
        <v>11003</v>
      </c>
      <c r="C582" t="s">
        <v>32</v>
      </c>
      <c r="D582" t="s">
        <v>41</v>
      </c>
      <c r="E582" t="s">
        <v>4656</v>
      </c>
      <c r="F582" t="s">
        <v>11210</v>
      </c>
      <c r="G582" t="s">
        <v>11211</v>
      </c>
      <c r="H582" s="121" t="s">
        <v>11212</v>
      </c>
    </row>
    <row r="583" spans="1:8" x14ac:dyDescent="0.25">
      <c r="A583">
        <v>1454876</v>
      </c>
      <c r="B583" s="121" t="s">
        <v>11003</v>
      </c>
      <c r="C583" t="s">
        <v>32</v>
      </c>
      <c r="D583" t="s">
        <v>41</v>
      </c>
      <c r="E583" t="s">
        <v>4656</v>
      </c>
      <c r="F583" t="s">
        <v>4658</v>
      </c>
      <c r="G583" t="s">
        <v>11213</v>
      </c>
      <c r="H583" s="121" t="s">
        <v>11214</v>
      </c>
    </row>
    <row r="584" spans="1:8" x14ac:dyDescent="0.25">
      <c r="A584">
        <v>1454877</v>
      </c>
      <c r="B584" s="121" t="s">
        <v>11003</v>
      </c>
      <c r="C584" t="s">
        <v>32</v>
      </c>
      <c r="D584" t="s">
        <v>41</v>
      </c>
      <c r="E584" t="s">
        <v>4656</v>
      </c>
      <c r="F584" t="s">
        <v>6736</v>
      </c>
      <c r="G584" t="s">
        <v>11215</v>
      </c>
      <c r="H584" s="121" t="s">
        <v>11216</v>
      </c>
    </row>
    <row r="585" spans="1:8" x14ac:dyDescent="0.25">
      <c r="A585">
        <v>1454879</v>
      </c>
      <c r="B585" s="121" t="s">
        <v>11003</v>
      </c>
      <c r="C585" t="s">
        <v>32</v>
      </c>
      <c r="D585" t="s">
        <v>41</v>
      </c>
      <c r="E585" t="s">
        <v>4656</v>
      </c>
      <c r="F585" t="s">
        <v>11217</v>
      </c>
      <c r="G585" t="s">
        <v>11218</v>
      </c>
      <c r="H585" s="121" t="s">
        <v>11219</v>
      </c>
    </row>
    <row r="586" spans="1:8" x14ac:dyDescent="0.25">
      <c r="A586">
        <v>1455177</v>
      </c>
      <c r="B586" s="121" t="s">
        <v>11003</v>
      </c>
      <c r="C586" t="s">
        <v>32</v>
      </c>
      <c r="D586" t="s">
        <v>41</v>
      </c>
      <c r="E586" t="s">
        <v>11220</v>
      </c>
      <c r="F586" t="s">
        <v>11221</v>
      </c>
      <c r="G586" t="s">
        <v>11222</v>
      </c>
      <c r="H586" s="121" t="s">
        <v>11223</v>
      </c>
    </row>
    <row r="587" spans="1:8" x14ac:dyDescent="0.25">
      <c r="A587">
        <v>1455178</v>
      </c>
      <c r="B587" s="121" t="s">
        <v>11003</v>
      </c>
      <c r="C587" t="s">
        <v>32</v>
      </c>
      <c r="D587" t="s">
        <v>41</v>
      </c>
      <c r="E587" t="s">
        <v>11220</v>
      </c>
      <c r="F587" t="s">
        <v>11224</v>
      </c>
      <c r="G587" t="s">
        <v>11225</v>
      </c>
      <c r="H587" s="121" t="s">
        <v>11226</v>
      </c>
    </row>
    <row r="588" spans="1:8" x14ac:dyDescent="0.25">
      <c r="A588">
        <v>1455179</v>
      </c>
      <c r="B588" s="121" t="s">
        <v>11003</v>
      </c>
      <c r="C588" t="s">
        <v>32</v>
      </c>
      <c r="D588" t="s">
        <v>41</v>
      </c>
      <c r="E588" t="s">
        <v>11220</v>
      </c>
      <c r="F588" t="s">
        <v>11227</v>
      </c>
      <c r="G588" t="s">
        <v>11228</v>
      </c>
      <c r="H588" s="121" t="s">
        <v>11229</v>
      </c>
    </row>
    <row r="589" spans="1:8" x14ac:dyDescent="0.25">
      <c r="A589">
        <v>1455180</v>
      </c>
      <c r="B589" s="121" t="s">
        <v>11003</v>
      </c>
      <c r="C589" t="s">
        <v>32</v>
      </c>
      <c r="D589" t="s">
        <v>41</v>
      </c>
      <c r="E589" t="s">
        <v>11220</v>
      </c>
      <c r="F589" t="s">
        <v>11230</v>
      </c>
      <c r="G589" t="s">
        <v>11231</v>
      </c>
      <c r="H589" s="121" t="s">
        <v>11232</v>
      </c>
    </row>
    <row r="590" spans="1:8" x14ac:dyDescent="0.25">
      <c r="A590">
        <v>1455181</v>
      </c>
      <c r="B590" s="121" t="s">
        <v>11003</v>
      </c>
      <c r="C590" t="s">
        <v>32</v>
      </c>
      <c r="D590" t="s">
        <v>41</v>
      </c>
      <c r="E590" t="s">
        <v>11220</v>
      </c>
      <c r="F590" t="s">
        <v>11233</v>
      </c>
      <c r="G590" t="s">
        <v>11234</v>
      </c>
      <c r="H590" s="121" t="s">
        <v>11235</v>
      </c>
    </row>
    <row r="591" spans="1:8" x14ac:dyDescent="0.25">
      <c r="A591">
        <v>1455182</v>
      </c>
      <c r="B591" s="121" t="s">
        <v>11003</v>
      </c>
      <c r="C591" t="s">
        <v>32</v>
      </c>
      <c r="D591" t="s">
        <v>41</v>
      </c>
      <c r="E591" t="s">
        <v>11220</v>
      </c>
      <c r="F591" t="s">
        <v>11236</v>
      </c>
      <c r="G591" t="s">
        <v>11237</v>
      </c>
      <c r="H591" s="121" t="s">
        <v>11238</v>
      </c>
    </row>
    <row r="592" spans="1:8" x14ac:dyDescent="0.25">
      <c r="A592">
        <v>1455183</v>
      </c>
      <c r="B592" s="121" t="s">
        <v>11003</v>
      </c>
      <c r="C592" t="s">
        <v>32</v>
      </c>
      <c r="D592" t="s">
        <v>41</v>
      </c>
      <c r="E592" t="s">
        <v>11220</v>
      </c>
      <c r="F592" t="s">
        <v>11239</v>
      </c>
      <c r="G592" t="s">
        <v>11240</v>
      </c>
      <c r="H592" s="121" t="s">
        <v>11241</v>
      </c>
    </row>
    <row r="593" spans="1:8" x14ac:dyDescent="0.25">
      <c r="A593">
        <v>1455184</v>
      </c>
      <c r="B593" s="121" t="s">
        <v>11003</v>
      </c>
      <c r="C593" t="s">
        <v>32</v>
      </c>
      <c r="D593" t="s">
        <v>41</v>
      </c>
      <c r="E593" t="s">
        <v>11220</v>
      </c>
      <c r="F593" t="s">
        <v>11242</v>
      </c>
      <c r="G593" t="s">
        <v>11243</v>
      </c>
      <c r="H593" s="121" t="s">
        <v>11244</v>
      </c>
    </row>
    <row r="594" spans="1:8" x14ac:dyDescent="0.25">
      <c r="A594">
        <v>1455185</v>
      </c>
      <c r="B594" s="121" t="s">
        <v>11003</v>
      </c>
      <c r="C594" t="s">
        <v>32</v>
      </c>
      <c r="D594" t="s">
        <v>41</v>
      </c>
      <c r="E594" t="s">
        <v>11220</v>
      </c>
      <c r="F594" t="s">
        <v>11245</v>
      </c>
      <c r="G594" t="s">
        <v>11246</v>
      </c>
      <c r="H594" s="121" t="s">
        <v>11247</v>
      </c>
    </row>
    <row r="595" spans="1:8" x14ac:dyDescent="0.25">
      <c r="A595">
        <v>1455482</v>
      </c>
      <c r="B595" s="121" t="s">
        <v>11003</v>
      </c>
      <c r="C595" t="s">
        <v>32</v>
      </c>
      <c r="D595" t="s">
        <v>41</v>
      </c>
      <c r="E595" t="s">
        <v>11248</v>
      </c>
      <c r="F595" t="s">
        <v>11249</v>
      </c>
      <c r="G595" t="s">
        <v>11250</v>
      </c>
      <c r="H595" s="121" t="s">
        <v>11251</v>
      </c>
    </row>
    <row r="596" spans="1:8" x14ac:dyDescent="0.25">
      <c r="A596">
        <v>1455483</v>
      </c>
      <c r="B596" s="121" t="s">
        <v>11003</v>
      </c>
      <c r="C596" t="s">
        <v>32</v>
      </c>
      <c r="D596" t="s">
        <v>41</v>
      </c>
      <c r="E596" t="s">
        <v>11248</v>
      </c>
      <c r="F596" t="s">
        <v>11252</v>
      </c>
      <c r="G596" t="s">
        <v>11253</v>
      </c>
      <c r="H596" s="121" t="s">
        <v>11254</v>
      </c>
    </row>
    <row r="597" spans="1:8" x14ac:dyDescent="0.25">
      <c r="A597">
        <v>1455484</v>
      </c>
      <c r="B597" s="121" t="s">
        <v>11003</v>
      </c>
      <c r="C597" t="s">
        <v>32</v>
      </c>
      <c r="D597" t="s">
        <v>41</v>
      </c>
      <c r="E597" t="s">
        <v>11248</v>
      </c>
      <c r="F597" t="s">
        <v>11255</v>
      </c>
      <c r="G597" t="s">
        <v>11256</v>
      </c>
      <c r="H597" s="121" t="s">
        <v>11257</v>
      </c>
    </row>
    <row r="598" spans="1:8" x14ac:dyDescent="0.25">
      <c r="A598">
        <v>1455485</v>
      </c>
      <c r="B598" s="121" t="s">
        <v>11003</v>
      </c>
      <c r="C598" t="s">
        <v>32</v>
      </c>
      <c r="D598" t="s">
        <v>41</v>
      </c>
      <c r="E598" t="s">
        <v>11248</v>
      </c>
      <c r="F598" t="s">
        <v>11258</v>
      </c>
      <c r="G598" t="s">
        <v>11259</v>
      </c>
      <c r="H598" s="121" t="s">
        <v>11260</v>
      </c>
    </row>
    <row r="599" spans="1:8" x14ac:dyDescent="0.25">
      <c r="A599">
        <v>1455487</v>
      </c>
      <c r="B599" s="121" t="s">
        <v>11003</v>
      </c>
      <c r="C599" t="s">
        <v>32</v>
      </c>
      <c r="D599" t="s">
        <v>41</v>
      </c>
      <c r="E599" t="s">
        <v>11248</v>
      </c>
      <c r="F599" t="s">
        <v>11261</v>
      </c>
      <c r="G599" t="s">
        <v>11262</v>
      </c>
      <c r="H599" s="121" t="s">
        <v>11263</v>
      </c>
    </row>
    <row r="600" spans="1:8" x14ac:dyDescent="0.25">
      <c r="A600">
        <v>1455488</v>
      </c>
      <c r="B600" s="121" t="s">
        <v>11003</v>
      </c>
      <c r="C600" t="s">
        <v>32</v>
      </c>
      <c r="D600" t="s">
        <v>41</v>
      </c>
      <c r="E600" t="s">
        <v>11248</v>
      </c>
      <c r="F600" t="s">
        <v>11264</v>
      </c>
      <c r="G600" t="s">
        <v>11265</v>
      </c>
      <c r="H600" s="121" t="s">
        <v>11266</v>
      </c>
    </row>
    <row r="601" spans="1:8" x14ac:dyDescent="0.25">
      <c r="A601">
        <v>1455489</v>
      </c>
      <c r="B601" s="121" t="s">
        <v>11003</v>
      </c>
      <c r="C601" t="s">
        <v>32</v>
      </c>
      <c r="D601" t="s">
        <v>41</v>
      </c>
      <c r="E601" t="s">
        <v>11248</v>
      </c>
      <c r="F601" t="s">
        <v>11267</v>
      </c>
      <c r="G601" t="s">
        <v>11268</v>
      </c>
      <c r="H601" s="121" t="s">
        <v>11269</v>
      </c>
    </row>
    <row r="602" spans="1:8" x14ac:dyDescent="0.25">
      <c r="A602">
        <v>1455490</v>
      </c>
      <c r="B602" s="121" t="s">
        <v>11003</v>
      </c>
      <c r="C602" t="s">
        <v>32</v>
      </c>
      <c r="D602" t="s">
        <v>41</v>
      </c>
      <c r="E602" t="s">
        <v>11248</v>
      </c>
      <c r="F602" t="s">
        <v>11270</v>
      </c>
      <c r="G602" t="s">
        <v>11271</v>
      </c>
      <c r="H602" s="121" t="s">
        <v>11272</v>
      </c>
    </row>
    <row r="603" spans="1:8" x14ac:dyDescent="0.25">
      <c r="A603">
        <v>1455782</v>
      </c>
      <c r="B603" s="121" t="s">
        <v>11003</v>
      </c>
      <c r="C603" t="s">
        <v>32</v>
      </c>
      <c r="D603" t="s">
        <v>41</v>
      </c>
      <c r="E603" t="s">
        <v>10985</v>
      </c>
      <c r="F603" t="s">
        <v>11273</v>
      </c>
      <c r="G603" t="s">
        <v>11274</v>
      </c>
      <c r="H603" s="121" t="s">
        <v>11275</v>
      </c>
    </row>
    <row r="604" spans="1:8" x14ac:dyDescent="0.25">
      <c r="A604">
        <v>1455784</v>
      </c>
      <c r="B604" s="121" t="s">
        <v>11003</v>
      </c>
      <c r="C604" t="s">
        <v>32</v>
      </c>
      <c r="D604" t="s">
        <v>41</v>
      </c>
      <c r="E604" t="s">
        <v>10985</v>
      </c>
      <c r="F604" t="s">
        <v>11276</v>
      </c>
      <c r="G604" t="s">
        <v>11277</v>
      </c>
      <c r="H604" s="121" t="s">
        <v>11278</v>
      </c>
    </row>
    <row r="605" spans="1:8" x14ac:dyDescent="0.25">
      <c r="A605">
        <v>1455785</v>
      </c>
      <c r="B605" s="121" t="s">
        <v>11003</v>
      </c>
      <c r="C605" t="s">
        <v>32</v>
      </c>
      <c r="D605" t="s">
        <v>41</v>
      </c>
      <c r="E605" t="s">
        <v>10985</v>
      </c>
      <c r="F605" t="s">
        <v>11279</v>
      </c>
      <c r="G605" t="s">
        <v>11280</v>
      </c>
      <c r="H605" s="121" t="s">
        <v>11281</v>
      </c>
    </row>
    <row r="606" spans="1:8" x14ac:dyDescent="0.25">
      <c r="A606">
        <v>1455786</v>
      </c>
      <c r="B606" s="121" t="s">
        <v>11003</v>
      </c>
      <c r="C606" t="s">
        <v>32</v>
      </c>
      <c r="D606" t="s">
        <v>41</v>
      </c>
      <c r="E606" t="s">
        <v>10985</v>
      </c>
      <c r="F606" t="s">
        <v>11282</v>
      </c>
      <c r="G606" t="s">
        <v>11283</v>
      </c>
      <c r="H606" s="121" t="s">
        <v>11284</v>
      </c>
    </row>
    <row r="607" spans="1:8" x14ac:dyDescent="0.25">
      <c r="A607">
        <v>1455787</v>
      </c>
      <c r="B607" s="121" t="s">
        <v>11003</v>
      </c>
      <c r="C607" t="s">
        <v>32</v>
      </c>
      <c r="D607" t="s">
        <v>41</v>
      </c>
      <c r="E607" t="s">
        <v>10985</v>
      </c>
      <c r="F607" t="s">
        <v>11285</v>
      </c>
      <c r="G607" t="s">
        <v>11286</v>
      </c>
      <c r="H607" s="121" t="s">
        <v>11287</v>
      </c>
    </row>
    <row r="608" spans="1:8" x14ac:dyDescent="0.25">
      <c r="A608">
        <v>1455788</v>
      </c>
      <c r="B608" s="121" t="s">
        <v>11003</v>
      </c>
      <c r="C608" t="s">
        <v>32</v>
      </c>
      <c r="D608" t="s">
        <v>41</v>
      </c>
      <c r="E608" t="s">
        <v>10985</v>
      </c>
      <c r="F608" t="s">
        <v>11288</v>
      </c>
      <c r="G608" t="s">
        <v>11289</v>
      </c>
      <c r="H608" s="121" t="s">
        <v>11290</v>
      </c>
    </row>
    <row r="609" spans="1:8" x14ac:dyDescent="0.25">
      <c r="A609">
        <v>1455790</v>
      </c>
      <c r="B609" s="121" t="s">
        <v>11003</v>
      </c>
      <c r="C609" t="s">
        <v>32</v>
      </c>
      <c r="D609" t="s">
        <v>41</v>
      </c>
      <c r="E609" t="s">
        <v>10985</v>
      </c>
      <c r="F609" t="s">
        <v>11291</v>
      </c>
      <c r="G609" t="s">
        <v>11292</v>
      </c>
      <c r="H609" s="121" t="s">
        <v>11293</v>
      </c>
    </row>
    <row r="610" spans="1:8" x14ac:dyDescent="0.25">
      <c r="A610">
        <v>1456086</v>
      </c>
      <c r="B610" s="121" t="s">
        <v>11003</v>
      </c>
      <c r="C610" t="s">
        <v>32</v>
      </c>
      <c r="D610" t="s">
        <v>41</v>
      </c>
      <c r="E610" t="s">
        <v>8284</v>
      </c>
      <c r="F610" t="s">
        <v>11294</v>
      </c>
      <c r="G610" t="s">
        <v>11295</v>
      </c>
      <c r="H610" s="121" t="s">
        <v>11296</v>
      </c>
    </row>
    <row r="611" spans="1:8" x14ac:dyDescent="0.25">
      <c r="A611">
        <v>1456088</v>
      </c>
      <c r="B611" s="121" t="s">
        <v>11003</v>
      </c>
      <c r="C611" t="s">
        <v>32</v>
      </c>
      <c r="D611" t="s">
        <v>41</v>
      </c>
      <c r="E611" t="s">
        <v>8284</v>
      </c>
      <c r="F611" t="s">
        <v>11297</v>
      </c>
      <c r="G611" t="s">
        <v>11298</v>
      </c>
      <c r="H611" s="121" t="s">
        <v>11299</v>
      </c>
    </row>
    <row r="612" spans="1:8" x14ac:dyDescent="0.25">
      <c r="A612">
        <v>1456089</v>
      </c>
      <c r="B612" s="121" t="s">
        <v>11003</v>
      </c>
      <c r="C612" t="s">
        <v>32</v>
      </c>
      <c r="D612" t="s">
        <v>41</v>
      </c>
      <c r="E612" t="s">
        <v>8284</v>
      </c>
      <c r="F612" t="s">
        <v>11300</v>
      </c>
      <c r="G612" t="s">
        <v>11301</v>
      </c>
      <c r="H612" s="121" t="s">
        <v>11302</v>
      </c>
    </row>
    <row r="613" spans="1:8" x14ac:dyDescent="0.25">
      <c r="A613">
        <v>1456387</v>
      </c>
      <c r="B613" s="121" t="s">
        <v>11003</v>
      </c>
      <c r="C613" t="s">
        <v>32</v>
      </c>
      <c r="D613" t="s">
        <v>41</v>
      </c>
      <c r="E613" t="s">
        <v>4343</v>
      </c>
      <c r="F613" t="s">
        <v>11303</v>
      </c>
      <c r="G613" t="s">
        <v>11304</v>
      </c>
      <c r="H613" s="121" t="s">
        <v>11305</v>
      </c>
    </row>
    <row r="614" spans="1:8" x14ac:dyDescent="0.25">
      <c r="A614">
        <v>1456388</v>
      </c>
      <c r="B614" s="121" t="s">
        <v>11003</v>
      </c>
      <c r="C614" t="s">
        <v>32</v>
      </c>
      <c r="D614" t="s">
        <v>41</v>
      </c>
      <c r="E614" t="s">
        <v>4343</v>
      </c>
      <c r="F614" t="s">
        <v>11306</v>
      </c>
      <c r="G614" t="s">
        <v>11307</v>
      </c>
      <c r="H614" s="121" t="s">
        <v>11308</v>
      </c>
    </row>
    <row r="615" spans="1:8" x14ac:dyDescent="0.25">
      <c r="A615">
        <v>1456389</v>
      </c>
      <c r="B615" s="121" t="s">
        <v>11003</v>
      </c>
      <c r="C615" t="s">
        <v>32</v>
      </c>
      <c r="D615" t="s">
        <v>41</v>
      </c>
      <c r="E615" t="s">
        <v>4343</v>
      </c>
      <c r="F615" t="s">
        <v>11309</v>
      </c>
      <c r="G615" t="s">
        <v>11310</v>
      </c>
      <c r="H615" s="121" t="s">
        <v>11311</v>
      </c>
    </row>
    <row r="616" spans="1:8" x14ac:dyDescent="0.25">
      <c r="A616">
        <v>1456391</v>
      </c>
      <c r="B616" s="121" t="s">
        <v>11003</v>
      </c>
      <c r="C616" t="s">
        <v>32</v>
      </c>
      <c r="D616" t="s">
        <v>41</v>
      </c>
      <c r="E616" t="s">
        <v>4343</v>
      </c>
      <c r="F616" t="s">
        <v>4345</v>
      </c>
      <c r="G616" t="s">
        <v>11312</v>
      </c>
      <c r="H616" s="121" t="s">
        <v>11313</v>
      </c>
    </row>
    <row r="617" spans="1:8" x14ac:dyDescent="0.25">
      <c r="A617">
        <v>1456392</v>
      </c>
      <c r="B617" s="121" t="s">
        <v>11003</v>
      </c>
      <c r="C617" t="s">
        <v>32</v>
      </c>
      <c r="D617" t="s">
        <v>41</v>
      </c>
      <c r="E617" t="s">
        <v>4343</v>
      </c>
      <c r="F617" t="s">
        <v>11314</v>
      </c>
      <c r="G617" t="s">
        <v>11315</v>
      </c>
      <c r="H617" s="121" t="s">
        <v>11316</v>
      </c>
    </row>
    <row r="618" spans="1:8" x14ac:dyDescent="0.25">
      <c r="A618">
        <v>1456393</v>
      </c>
      <c r="B618" s="121" t="s">
        <v>11003</v>
      </c>
      <c r="C618" t="s">
        <v>32</v>
      </c>
      <c r="D618" t="s">
        <v>41</v>
      </c>
      <c r="E618" t="s">
        <v>4343</v>
      </c>
      <c r="F618" t="s">
        <v>11317</v>
      </c>
      <c r="G618" t="s">
        <v>4344</v>
      </c>
      <c r="H618" s="121" t="s">
        <v>11318</v>
      </c>
    </row>
    <row r="619" spans="1:8" x14ac:dyDescent="0.25">
      <c r="A619">
        <v>1456394</v>
      </c>
      <c r="B619" s="121" t="s">
        <v>11003</v>
      </c>
      <c r="C619" t="s">
        <v>32</v>
      </c>
      <c r="D619" t="s">
        <v>41</v>
      </c>
      <c r="E619" t="s">
        <v>4343</v>
      </c>
      <c r="F619" t="s">
        <v>11319</v>
      </c>
      <c r="G619" t="s">
        <v>11320</v>
      </c>
      <c r="H619" s="121" t="s">
        <v>11321</v>
      </c>
    </row>
    <row r="620" spans="1:8" x14ac:dyDescent="0.25">
      <c r="A620">
        <v>1456395</v>
      </c>
      <c r="B620" s="121" t="s">
        <v>11003</v>
      </c>
      <c r="C620" t="s">
        <v>32</v>
      </c>
      <c r="D620" t="s">
        <v>41</v>
      </c>
      <c r="E620" t="s">
        <v>4343</v>
      </c>
      <c r="F620" t="s">
        <v>11322</v>
      </c>
      <c r="G620" t="s">
        <v>11323</v>
      </c>
      <c r="H620" s="121" t="s">
        <v>11324</v>
      </c>
    </row>
    <row r="621" spans="1:8" x14ac:dyDescent="0.25">
      <c r="A621">
        <v>1489919</v>
      </c>
      <c r="B621" s="121" t="s">
        <v>11003</v>
      </c>
      <c r="C621" t="s">
        <v>32</v>
      </c>
      <c r="D621" t="s">
        <v>381</v>
      </c>
      <c r="E621" t="s">
        <v>574</v>
      </c>
      <c r="F621" t="s">
        <v>1595</v>
      </c>
      <c r="G621" t="s">
        <v>891</v>
      </c>
      <c r="H621" s="121" t="s">
        <v>11325</v>
      </c>
    </row>
    <row r="622" spans="1:8" x14ac:dyDescent="0.25">
      <c r="A622">
        <v>1495202</v>
      </c>
      <c r="B622" s="121" t="s">
        <v>11003</v>
      </c>
      <c r="C622" t="s">
        <v>32</v>
      </c>
      <c r="D622" t="s">
        <v>541</v>
      </c>
      <c r="E622" t="s">
        <v>238</v>
      </c>
      <c r="F622" t="s">
        <v>11326</v>
      </c>
      <c r="G622" t="s">
        <v>4026</v>
      </c>
      <c r="H622" s="121" t="s">
        <v>11327</v>
      </c>
    </row>
    <row r="623" spans="1:8" x14ac:dyDescent="0.25">
      <c r="A623">
        <v>1495204</v>
      </c>
      <c r="B623" s="121" t="s">
        <v>11003</v>
      </c>
      <c r="C623" t="s">
        <v>32</v>
      </c>
      <c r="D623" t="s">
        <v>541</v>
      </c>
      <c r="E623" t="s">
        <v>238</v>
      </c>
      <c r="F623" t="s">
        <v>614</v>
      </c>
      <c r="G623" t="s">
        <v>11328</v>
      </c>
      <c r="H623" s="121" t="s">
        <v>11329</v>
      </c>
    </row>
    <row r="624" spans="1:8" x14ac:dyDescent="0.25">
      <c r="A624">
        <v>1495206</v>
      </c>
      <c r="B624" s="121" t="s">
        <v>11003</v>
      </c>
      <c r="C624" t="s">
        <v>32</v>
      </c>
      <c r="D624" t="s">
        <v>541</v>
      </c>
      <c r="E624" t="s">
        <v>238</v>
      </c>
      <c r="F624" t="s">
        <v>1470</v>
      </c>
      <c r="G624" t="s">
        <v>11330</v>
      </c>
      <c r="H624" s="121" t="s">
        <v>11331</v>
      </c>
    </row>
    <row r="625" spans="1:8" x14ac:dyDescent="0.25">
      <c r="A625">
        <v>1496024</v>
      </c>
      <c r="B625" s="121" t="s">
        <v>11003</v>
      </c>
      <c r="C625" t="s">
        <v>32</v>
      </c>
      <c r="D625" t="s">
        <v>85</v>
      </c>
      <c r="E625" t="s">
        <v>7989</v>
      </c>
      <c r="F625" t="s">
        <v>11332</v>
      </c>
      <c r="G625" t="s">
        <v>4070</v>
      </c>
      <c r="H625" s="121" t="s">
        <v>11333</v>
      </c>
    </row>
    <row r="626" spans="1:8" x14ac:dyDescent="0.25">
      <c r="A626">
        <v>1496209</v>
      </c>
      <c r="B626" s="121" t="s">
        <v>11003</v>
      </c>
      <c r="C626" t="s">
        <v>32</v>
      </c>
      <c r="D626" t="s">
        <v>85</v>
      </c>
      <c r="E626" t="s">
        <v>7671</v>
      </c>
      <c r="F626" t="s">
        <v>1453</v>
      </c>
      <c r="G626" t="s">
        <v>11334</v>
      </c>
      <c r="H626" s="121" t="s">
        <v>11335</v>
      </c>
    </row>
    <row r="627" spans="1:8" x14ac:dyDescent="0.25">
      <c r="A627">
        <v>1496753</v>
      </c>
      <c r="B627" s="121" t="s">
        <v>11003</v>
      </c>
      <c r="C627" t="s">
        <v>32</v>
      </c>
      <c r="D627" t="s">
        <v>85</v>
      </c>
      <c r="E627" t="s">
        <v>8003</v>
      </c>
      <c r="F627" t="s">
        <v>11336</v>
      </c>
      <c r="G627" t="s">
        <v>11337</v>
      </c>
      <c r="H627" s="121" t="s">
        <v>11338</v>
      </c>
    </row>
    <row r="628" spans="1:8" x14ac:dyDescent="0.25">
      <c r="A628">
        <v>1496933</v>
      </c>
      <c r="B628" s="121" t="s">
        <v>11003</v>
      </c>
      <c r="C628" t="s">
        <v>32</v>
      </c>
      <c r="D628" t="s">
        <v>85</v>
      </c>
      <c r="E628" t="s">
        <v>7685</v>
      </c>
      <c r="F628" t="s">
        <v>11339</v>
      </c>
      <c r="G628" t="s">
        <v>11340</v>
      </c>
      <c r="H628" s="121" t="s">
        <v>11341</v>
      </c>
    </row>
    <row r="629" spans="1:8" x14ac:dyDescent="0.25">
      <c r="A629">
        <v>1497116</v>
      </c>
      <c r="B629" s="121" t="s">
        <v>11003</v>
      </c>
      <c r="C629" t="s">
        <v>32</v>
      </c>
      <c r="D629" t="s">
        <v>85</v>
      </c>
      <c r="E629" t="s">
        <v>8328</v>
      </c>
      <c r="F629" t="s">
        <v>11342</v>
      </c>
      <c r="G629" t="s">
        <v>11343</v>
      </c>
      <c r="H629" s="121" t="s">
        <v>11344</v>
      </c>
    </row>
    <row r="630" spans="1:8" x14ac:dyDescent="0.25">
      <c r="A630">
        <v>1497521</v>
      </c>
      <c r="B630" s="121" t="s">
        <v>11003</v>
      </c>
      <c r="C630" t="s">
        <v>32</v>
      </c>
      <c r="D630" t="s">
        <v>275</v>
      </c>
      <c r="E630" t="s">
        <v>7689</v>
      </c>
      <c r="F630" t="s">
        <v>3245</v>
      </c>
      <c r="G630" t="s">
        <v>2524</v>
      </c>
      <c r="H630" s="121" t="s">
        <v>11345</v>
      </c>
    </row>
    <row r="631" spans="1:8" x14ac:dyDescent="0.25">
      <c r="A631">
        <v>1497522</v>
      </c>
      <c r="B631" s="121" t="s">
        <v>11003</v>
      </c>
      <c r="C631" t="s">
        <v>32</v>
      </c>
      <c r="D631" t="s">
        <v>275</v>
      </c>
      <c r="E631" t="s">
        <v>7689</v>
      </c>
      <c r="F631" t="s">
        <v>4056</v>
      </c>
      <c r="G631" t="s">
        <v>423</v>
      </c>
      <c r="H631" s="121" t="s">
        <v>11346</v>
      </c>
    </row>
    <row r="632" spans="1:8" x14ac:dyDescent="0.25">
      <c r="A632">
        <v>1497820</v>
      </c>
      <c r="B632" s="121" t="s">
        <v>11003</v>
      </c>
      <c r="C632" t="s">
        <v>32</v>
      </c>
      <c r="D632" t="s">
        <v>608</v>
      </c>
      <c r="E632" t="s">
        <v>232</v>
      </c>
      <c r="F632" t="s">
        <v>1818</v>
      </c>
      <c r="G632" t="s">
        <v>669</v>
      </c>
      <c r="H632" s="121" t="s">
        <v>11347</v>
      </c>
    </row>
    <row r="633" spans="1:8" x14ac:dyDescent="0.25">
      <c r="A633">
        <v>1497909</v>
      </c>
      <c r="B633" s="121" t="s">
        <v>11003</v>
      </c>
      <c r="C633" t="s">
        <v>32</v>
      </c>
      <c r="D633" t="s">
        <v>608</v>
      </c>
      <c r="E633" t="s">
        <v>45</v>
      </c>
      <c r="F633" t="s">
        <v>4370</v>
      </c>
      <c r="G633" t="s">
        <v>4791</v>
      </c>
      <c r="H633" s="121" t="s">
        <v>11348</v>
      </c>
    </row>
    <row r="634" spans="1:8" x14ac:dyDescent="0.25">
      <c r="A634">
        <v>1497911</v>
      </c>
      <c r="B634" s="121" t="s">
        <v>11003</v>
      </c>
      <c r="C634" t="s">
        <v>32</v>
      </c>
      <c r="D634" t="s">
        <v>608</v>
      </c>
      <c r="E634" t="s">
        <v>45</v>
      </c>
      <c r="F634" t="s">
        <v>4373</v>
      </c>
      <c r="G634" t="s">
        <v>4790</v>
      </c>
      <c r="H634" s="121" t="s">
        <v>11349</v>
      </c>
    </row>
    <row r="635" spans="1:8" x14ac:dyDescent="0.25">
      <c r="A635">
        <v>1497912</v>
      </c>
      <c r="B635" s="121" t="s">
        <v>11003</v>
      </c>
      <c r="C635" t="s">
        <v>32</v>
      </c>
      <c r="D635" t="s">
        <v>608</v>
      </c>
      <c r="E635" t="s">
        <v>45</v>
      </c>
      <c r="F635" t="s">
        <v>4047</v>
      </c>
      <c r="G635" t="s">
        <v>4043</v>
      </c>
      <c r="H635" s="121" t="s">
        <v>11350</v>
      </c>
    </row>
    <row r="636" spans="1:8" x14ac:dyDescent="0.25">
      <c r="A636">
        <v>1500338</v>
      </c>
      <c r="B636" s="121" t="s">
        <v>11003</v>
      </c>
      <c r="C636" t="s">
        <v>32</v>
      </c>
      <c r="D636" t="s">
        <v>324</v>
      </c>
      <c r="E636" t="s">
        <v>325</v>
      </c>
      <c r="F636" t="s">
        <v>1473</v>
      </c>
      <c r="G636" t="s">
        <v>11351</v>
      </c>
      <c r="H636" s="121" t="s">
        <v>11352</v>
      </c>
    </row>
    <row r="637" spans="1:8" x14ac:dyDescent="0.25">
      <c r="A637">
        <v>1500339</v>
      </c>
      <c r="B637" s="121" t="s">
        <v>11003</v>
      </c>
      <c r="C637" t="s">
        <v>32</v>
      </c>
      <c r="D637" t="s">
        <v>324</v>
      </c>
      <c r="E637" t="s">
        <v>325</v>
      </c>
      <c r="F637" t="s">
        <v>11353</v>
      </c>
      <c r="G637" t="s">
        <v>1478</v>
      </c>
      <c r="H637" s="121" t="s">
        <v>11354</v>
      </c>
    </row>
    <row r="638" spans="1:8" x14ac:dyDescent="0.25">
      <c r="A638">
        <v>1500340</v>
      </c>
      <c r="B638" s="121" t="s">
        <v>11003</v>
      </c>
      <c r="C638" t="s">
        <v>32</v>
      </c>
      <c r="D638" t="s">
        <v>324</v>
      </c>
      <c r="E638" t="s">
        <v>325</v>
      </c>
      <c r="F638" t="s">
        <v>1475</v>
      </c>
      <c r="G638" t="s">
        <v>1474</v>
      </c>
      <c r="H638" s="121" t="s">
        <v>11355</v>
      </c>
    </row>
    <row r="639" spans="1:8" x14ac:dyDescent="0.25">
      <c r="A639">
        <v>1500341</v>
      </c>
      <c r="B639" s="121" t="s">
        <v>11003</v>
      </c>
      <c r="C639" t="s">
        <v>32</v>
      </c>
      <c r="D639" t="s">
        <v>324</v>
      </c>
      <c r="E639" t="s">
        <v>325</v>
      </c>
      <c r="F639" t="s">
        <v>4051</v>
      </c>
      <c r="G639" t="s">
        <v>11356</v>
      </c>
      <c r="H639" s="121" t="s">
        <v>11357</v>
      </c>
    </row>
    <row r="640" spans="1:8" x14ac:dyDescent="0.25">
      <c r="A640">
        <v>1500343</v>
      </c>
      <c r="B640" s="121" t="s">
        <v>11003</v>
      </c>
      <c r="C640" t="s">
        <v>32</v>
      </c>
      <c r="D640" t="s">
        <v>324</v>
      </c>
      <c r="E640" t="s">
        <v>325</v>
      </c>
      <c r="F640" t="s">
        <v>11358</v>
      </c>
      <c r="G640" t="s">
        <v>11359</v>
      </c>
      <c r="H640" s="121" t="s">
        <v>11360</v>
      </c>
    </row>
    <row r="641" spans="1:8" x14ac:dyDescent="0.25">
      <c r="A641">
        <v>1500344</v>
      </c>
      <c r="B641" s="121" t="s">
        <v>11003</v>
      </c>
      <c r="C641" t="s">
        <v>32</v>
      </c>
      <c r="D641" t="s">
        <v>324</v>
      </c>
      <c r="E641" t="s">
        <v>325</v>
      </c>
      <c r="F641" t="s">
        <v>11361</v>
      </c>
      <c r="G641" t="s">
        <v>1476</v>
      </c>
      <c r="H641" s="121" t="s">
        <v>11362</v>
      </c>
    </row>
    <row r="642" spans="1:8" x14ac:dyDescent="0.25">
      <c r="A642">
        <v>1503272</v>
      </c>
      <c r="B642" s="121" t="s">
        <v>11003</v>
      </c>
      <c r="C642" t="s">
        <v>32</v>
      </c>
      <c r="D642" t="s">
        <v>46</v>
      </c>
      <c r="E642" t="s">
        <v>47</v>
      </c>
      <c r="F642" t="s">
        <v>11363</v>
      </c>
      <c r="G642" t="s">
        <v>11364</v>
      </c>
      <c r="H642" s="121" t="s">
        <v>11365</v>
      </c>
    </row>
    <row r="643" spans="1:8" x14ac:dyDescent="0.25">
      <c r="A643">
        <v>1503381</v>
      </c>
      <c r="B643" s="121" t="s">
        <v>11003</v>
      </c>
      <c r="C643" t="s">
        <v>32</v>
      </c>
      <c r="D643" t="s">
        <v>46</v>
      </c>
      <c r="E643" t="s">
        <v>47</v>
      </c>
      <c r="F643" t="s">
        <v>8935</v>
      </c>
      <c r="G643" t="s">
        <v>11366</v>
      </c>
      <c r="H643" s="121" t="s">
        <v>11367</v>
      </c>
    </row>
    <row r="644" spans="1:8" x14ac:dyDescent="0.25">
      <c r="A644">
        <v>1508071</v>
      </c>
      <c r="B644" s="121" t="s">
        <v>11003</v>
      </c>
      <c r="C644" t="s">
        <v>32</v>
      </c>
      <c r="D644" t="s">
        <v>8170</v>
      </c>
      <c r="E644" t="s">
        <v>49</v>
      </c>
      <c r="F644" t="s">
        <v>11368</v>
      </c>
      <c r="G644" t="s">
        <v>11369</v>
      </c>
      <c r="H644" s="121" t="s">
        <v>11370</v>
      </c>
    </row>
    <row r="645" spans="1:8" x14ac:dyDescent="0.25">
      <c r="A645">
        <v>1508728</v>
      </c>
      <c r="B645" s="121" t="s">
        <v>11003</v>
      </c>
      <c r="C645" t="s">
        <v>32</v>
      </c>
      <c r="D645" t="s">
        <v>90</v>
      </c>
      <c r="E645" t="s">
        <v>11371</v>
      </c>
      <c r="F645" t="s">
        <v>11372</v>
      </c>
      <c r="G645" t="s">
        <v>11373</v>
      </c>
      <c r="H645" s="121" t="s">
        <v>11374</v>
      </c>
    </row>
    <row r="646" spans="1:8" x14ac:dyDescent="0.25">
      <c r="A646">
        <v>1510722</v>
      </c>
      <c r="B646" s="121" t="s">
        <v>11003</v>
      </c>
      <c r="C646" t="s">
        <v>32</v>
      </c>
      <c r="D646" t="s">
        <v>275</v>
      </c>
      <c r="E646" t="s">
        <v>7588</v>
      </c>
      <c r="F646" t="s">
        <v>11375</v>
      </c>
      <c r="G646" t="s">
        <v>11376</v>
      </c>
      <c r="H646" s="121" t="s">
        <v>11377</v>
      </c>
    </row>
    <row r="647" spans="1:8" x14ac:dyDescent="0.25">
      <c r="A647">
        <v>1510723</v>
      </c>
      <c r="B647" s="121" t="s">
        <v>11003</v>
      </c>
      <c r="C647" t="s">
        <v>32</v>
      </c>
      <c r="D647" t="s">
        <v>275</v>
      </c>
      <c r="E647" t="s">
        <v>7588</v>
      </c>
      <c r="F647" t="s">
        <v>11378</v>
      </c>
      <c r="G647" t="s">
        <v>11379</v>
      </c>
      <c r="H647" s="121" t="s">
        <v>11380</v>
      </c>
    </row>
    <row r="648" spans="1:8" x14ac:dyDescent="0.25">
      <c r="A648">
        <v>1510902</v>
      </c>
      <c r="B648" s="121" t="s">
        <v>11003</v>
      </c>
      <c r="C648" t="s">
        <v>32</v>
      </c>
      <c r="D648" t="s">
        <v>275</v>
      </c>
      <c r="E648" t="s">
        <v>7720</v>
      </c>
      <c r="F648" t="s">
        <v>3467</v>
      </c>
      <c r="G648" t="s">
        <v>11381</v>
      </c>
      <c r="H648" s="121" t="s">
        <v>11382</v>
      </c>
    </row>
    <row r="649" spans="1:8" x14ac:dyDescent="0.25">
      <c r="A649">
        <v>1511045</v>
      </c>
      <c r="B649" s="121" t="s">
        <v>11003</v>
      </c>
      <c r="C649" t="s">
        <v>32</v>
      </c>
      <c r="D649" t="s">
        <v>275</v>
      </c>
      <c r="E649" t="s">
        <v>7720</v>
      </c>
      <c r="F649" t="s">
        <v>11383</v>
      </c>
      <c r="G649" t="s">
        <v>11384</v>
      </c>
      <c r="H649" s="121" t="s">
        <v>11385</v>
      </c>
    </row>
    <row r="650" spans="1:8" x14ac:dyDescent="0.25">
      <c r="A650">
        <v>1512057</v>
      </c>
      <c r="B650" s="121" t="s">
        <v>11003</v>
      </c>
      <c r="C650" t="s">
        <v>32</v>
      </c>
      <c r="D650" t="s">
        <v>595</v>
      </c>
      <c r="E650" t="s">
        <v>49</v>
      </c>
      <c r="F650" t="s">
        <v>11386</v>
      </c>
      <c r="G650" t="s">
        <v>11387</v>
      </c>
      <c r="H650" s="121" t="s">
        <v>11388</v>
      </c>
    </row>
    <row r="651" spans="1:8" x14ac:dyDescent="0.25">
      <c r="A651">
        <v>1512874</v>
      </c>
      <c r="B651" s="121" t="s">
        <v>11003</v>
      </c>
      <c r="C651" t="s">
        <v>32</v>
      </c>
      <c r="D651" t="s">
        <v>86</v>
      </c>
      <c r="E651" t="s">
        <v>11389</v>
      </c>
      <c r="F651" t="s">
        <v>11390</v>
      </c>
      <c r="G651" t="s">
        <v>11391</v>
      </c>
      <c r="H651" s="121" t="s">
        <v>11392</v>
      </c>
    </row>
    <row r="652" spans="1:8" x14ac:dyDescent="0.25">
      <c r="A652">
        <v>1512875</v>
      </c>
      <c r="B652" s="121" t="s">
        <v>11003</v>
      </c>
      <c r="C652" t="s">
        <v>32</v>
      </c>
      <c r="D652" t="s">
        <v>86</v>
      </c>
      <c r="E652" t="s">
        <v>11389</v>
      </c>
      <c r="F652" t="s">
        <v>11393</v>
      </c>
      <c r="G652" t="s">
        <v>11394</v>
      </c>
      <c r="H652" s="121" t="s">
        <v>11395</v>
      </c>
    </row>
    <row r="653" spans="1:8" x14ac:dyDescent="0.25">
      <c r="A653">
        <v>1512876</v>
      </c>
      <c r="B653" s="121" t="s">
        <v>11003</v>
      </c>
      <c r="C653" t="s">
        <v>32</v>
      </c>
      <c r="D653" t="s">
        <v>86</v>
      </c>
      <c r="E653" t="s">
        <v>11389</v>
      </c>
      <c r="F653" t="s">
        <v>11396</v>
      </c>
      <c r="G653" t="s">
        <v>11397</v>
      </c>
      <c r="H653" s="121" t="s">
        <v>11398</v>
      </c>
    </row>
    <row r="654" spans="1:8" x14ac:dyDescent="0.25">
      <c r="A654">
        <v>1512877</v>
      </c>
      <c r="B654" s="121" t="s">
        <v>11003</v>
      </c>
      <c r="C654" t="s">
        <v>32</v>
      </c>
      <c r="D654" t="s">
        <v>86</v>
      </c>
      <c r="E654" t="s">
        <v>11389</v>
      </c>
      <c r="F654" t="s">
        <v>11399</v>
      </c>
      <c r="G654" t="s">
        <v>11400</v>
      </c>
      <c r="H654" s="121" t="s">
        <v>11401</v>
      </c>
    </row>
    <row r="655" spans="1:8" x14ac:dyDescent="0.25">
      <c r="A655">
        <v>1512878</v>
      </c>
      <c r="B655" s="121" t="s">
        <v>11003</v>
      </c>
      <c r="C655" t="s">
        <v>32</v>
      </c>
      <c r="D655" t="s">
        <v>86</v>
      </c>
      <c r="E655" t="s">
        <v>11389</v>
      </c>
      <c r="F655" t="s">
        <v>11402</v>
      </c>
      <c r="G655" t="s">
        <v>11403</v>
      </c>
      <c r="H655" s="121" t="s">
        <v>11404</v>
      </c>
    </row>
    <row r="656" spans="1:8" x14ac:dyDescent="0.25">
      <c r="A656">
        <v>1512879</v>
      </c>
      <c r="B656" s="121" t="s">
        <v>11003</v>
      </c>
      <c r="C656" t="s">
        <v>32</v>
      </c>
      <c r="D656" t="s">
        <v>86</v>
      </c>
      <c r="E656" t="s">
        <v>11389</v>
      </c>
      <c r="F656" t="s">
        <v>11405</v>
      </c>
      <c r="G656" t="s">
        <v>11406</v>
      </c>
      <c r="H656" s="121" t="s">
        <v>11407</v>
      </c>
    </row>
    <row r="657" spans="1:8" x14ac:dyDescent="0.25">
      <c r="A657">
        <v>1512880</v>
      </c>
      <c r="B657" s="121" t="s">
        <v>11003</v>
      </c>
      <c r="C657" t="s">
        <v>32</v>
      </c>
      <c r="D657" t="s">
        <v>86</v>
      </c>
      <c r="E657" t="s">
        <v>11389</v>
      </c>
      <c r="F657" t="s">
        <v>11408</v>
      </c>
      <c r="G657" t="s">
        <v>11409</v>
      </c>
      <c r="H657" s="121" t="s">
        <v>11410</v>
      </c>
    </row>
    <row r="658" spans="1:8" x14ac:dyDescent="0.25">
      <c r="A658">
        <v>1515800</v>
      </c>
      <c r="B658" s="121" t="s">
        <v>11003</v>
      </c>
      <c r="C658" t="s">
        <v>32</v>
      </c>
      <c r="D658" t="s">
        <v>544</v>
      </c>
      <c r="E658" t="s">
        <v>545</v>
      </c>
      <c r="F658" t="s">
        <v>11411</v>
      </c>
      <c r="G658" t="s">
        <v>1271</v>
      </c>
      <c r="H658" s="121" t="s">
        <v>11412</v>
      </c>
    </row>
    <row r="659" spans="1:8" x14ac:dyDescent="0.25">
      <c r="A659">
        <v>1525566</v>
      </c>
      <c r="B659" s="121" t="s">
        <v>11003</v>
      </c>
      <c r="C659" t="s">
        <v>32</v>
      </c>
      <c r="D659" t="s">
        <v>71</v>
      </c>
      <c r="E659" t="s">
        <v>346</v>
      </c>
      <c r="F659" t="s">
        <v>1782</v>
      </c>
      <c r="G659" t="s">
        <v>1783</v>
      </c>
      <c r="H659" s="121" t="s">
        <v>11413</v>
      </c>
    </row>
    <row r="660" spans="1:8" x14ac:dyDescent="0.25">
      <c r="A660">
        <v>1525567</v>
      </c>
      <c r="B660" s="121" t="s">
        <v>11003</v>
      </c>
      <c r="C660" t="s">
        <v>32</v>
      </c>
      <c r="D660" t="s">
        <v>71</v>
      </c>
      <c r="E660" t="s">
        <v>346</v>
      </c>
      <c r="F660" t="s">
        <v>1784</v>
      </c>
      <c r="G660" t="s">
        <v>11414</v>
      </c>
      <c r="H660" s="121" t="s">
        <v>11415</v>
      </c>
    </row>
    <row r="661" spans="1:8" x14ac:dyDescent="0.25">
      <c r="A661">
        <v>1525597</v>
      </c>
      <c r="B661" s="121" t="s">
        <v>11003</v>
      </c>
      <c r="C661" t="s">
        <v>32</v>
      </c>
      <c r="D661" t="s">
        <v>71</v>
      </c>
      <c r="E661" t="s">
        <v>346</v>
      </c>
      <c r="F661" t="s">
        <v>6843</v>
      </c>
      <c r="G661" t="s">
        <v>6846</v>
      </c>
      <c r="H661" s="121" t="s">
        <v>11416</v>
      </c>
    </row>
    <row r="662" spans="1:8" x14ac:dyDescent="0.25">
      <c r="A662">
        <v>1527484</v>
      </c>
      <c r="B662" s="121" t="s">
        <v>11003</v>
      </c>
      <c r="C662" t="s">
        <v>32</v>
      </c>
      <c r="D662" t="s">
        <v>260</v>
      </c>
      <c r="E662" t="s">
        <v>399</v>
      </c>
      <c r="F662" t="s">
        <v>11417</v>
      </c>
      <c r="G662" t="s">
        <v>11418</v>
      </c>
      <c r="H662" s="121" t="s">
        <v>11419</v>
      </c>
    </row>
    <row r="663" spans="1:8" x14ac:dyDescent="0.25">
      <c r="A663">
        <v>1527662</v>
      </c>
      <c r="B663" s="121" t="s">
        <v>11003</v>
      </c>
      <c r="C663" t="s">
        <v>32</v>
      </c>
      <c r="D663" t="s">
        <v>537</v>
      </c>
      <c r="E663" t="s">
        <v>538</v>
      </c>
      <c r="F663" t="s">
        <v>1174</v>
      </c>
      <c r="G663" t="s">
        <v>1512</v>
      </c>
      <c r="H663" s="121" t="s">
        <v>11420</v>
      </c>
    </row>
    <row r="664" spans="1:8" x14ac:dyDescent="0.25">
      <c r="A664">
        <v>1527663</v>
      </c>
      <c r="B664" s="121" t="s">
        <v>11003</v>
      </c>
      <c r="C664" t="s">
        <v>32</v>
      </c>
      <c r="D664" t="s">
        <v>537</v>
      </c>
      <c r="E664" t="s">
        <v>538</v>
      </c>
      <c r="F664" t="s">
        <v>11421</v>
      </c>
      <c r="G664" t="s">
        <v>1173</v>
      </c>
      <c r="H664" s="121" t="s">
        <v>11422</v>
      </c>
    </row>
    <row r="665" spans="1:8" x14ac:dyDescent="0.25">
      <c r="A665">
        <v>1531429</v>
      </c>
      <c r="B665" s="121" t="s">
        <v>11003</v>
      </c>
      <c r="C665" t="s">
        <v>32</v>
      </c>
      <c r="D665" t="s">
        <v>596</v>
      </c>
      <c r="E665" t="s">
        <v>1288</v>
      </c>
      <c r="F665" t="s">
        <v>1289</v>
      </c>
      <c r="G665" t="s">
        <v>1299</v>
      </c>
      <c r="H665" s="121" t="s">
        <v>11423</v>
      </c>
    </row>
    <row r="666" spans="1:8" x14ac:dyDescent="0.25">
      <c r="A666">
        <v>1531432</v>
      </c>
      <c r="B666" s="121" t="s">
        <v>11003</v>
      </c>
      <c r="C666" t="s">
        <v>32</v>
      </c>
      <c r="D666" t="s">
        <v>596</v>
      </c>
      <c r="E666" t="s">
        <v>1288</v>
      </c>
      <c r="F666" t="s">
        <v>1294</v>
      </c>
      <c r="G666" t="s">
        <v>1301</v>
      </c>
      <c r="H666" s="121" t="s">
        <v>11424</v>
      </c>
    </row>
    <row r="667" spans="1:8" x14ac:dyDescent="0.25">
      <c r="A667">
        <v>1531434</v>
      </c>
      <c r="B667" s="121" t="s">
        <v>11003</v>
      </c>
      <c r="C667" t="s">
        <v>32</v>
      </c>
      <c r="D667" t="s">
        <v>596</v>
      </c>
      <c r="E667" t="s">
        <v>1288</v>
      </c>
      <c r="F667" t="s">
        <v>1306</v>
      </c>
      <c r="G667" t="s">
        <v>1293</v>
      </c>
      <c r="H667" s="121" t="s">
        <v>11425</v>
      </c>
    </row>
    <row r="668" spans="1:8" x14ac:dyDescent="0.25">
      <c r="A668">
        <v>1531436</v>
      </c>
      <c r="B668" s="121" t="s">
        <v>11003</v>
      </c>
      <c r="C668" t="s">
        <v>32</v>
      </c>
      <c r="D668" t="s">
        <v>596</v>
      </c>
      <c r="E668" t="s">
        <v>1288</v>
      </c>
      <c r="F668" t="s">
        <v>1303</v>
      </c>
      <c r="G668" t="s">
        <v>1291</v>
      </c>
      <c r="H668" s="121" t="s">
        <v>11426</v>
      </c>
    </row>
    <row r="669" spans="1:8" x14ac:dyDescent="0.25">
      <c r="A669">
        <v>1535050</v>
      </c>
      <c r="B669" s="121" t="s">
        <v>11003</v>
      </c>
      <c r="C669" t="s">
        <v>32</v>
      </c>
      <c r="D669" t="s">
        <v>355</v>
      </c>
      <c r="E669" t="s">
        <v>8422</v>
      </c>
      <c r="F669" t="s">
        <v>11427</v>
      </c>
      <c r="G669" t="s">
        <v>11428</v>
      </c>
      <c r="H669" s="121" t="s">
        <v>11429</v>
      </c>
    </row>
    <row r="670" spans="1:8" x14ac:dyDescent="0.25">
      <c r="A670">
        <v>1535051</v>
      </c>
      <c r="B670" s="121" t="s">
        <v>11003</v>
      </c>
      <c r="C670" t="s">
        <v>32</v>
      </c>
      <c r="D670" t="s">
        <v>355</v>
      </c>
      <c r="E670" t="s">
        <v>8422</v>
      </c>
      <c r="F670" t="s">
        <v>11430</v>
      </c>
      <c r="G670" t="s">
        <v>11431</v>
      </c>
      <c r="H670" s="121" t="s">
        <v>11432</v>
      </c>
    </row>
    <row r="671" spans="1:8" x14ac:dyDescent="0.25">
      <c r="A671">
        <v>1536319</v>
      </c>
      <c r="B671" s="121" t="s">
        <v>11003</v>
      </c>
      <c r="C671" t="s">
        <v>32</v>
      </c>
      <c r="D671" t="s">
        <v>377</v>
      </c>
      <c r="E671" t="s">
        <v>7794</v>
      </c>
      <c r="F671" t="s">
        <v>11433</v>
      </c>
      <c r="G671" t="s">
        <v>11434</v>
      </c>
      <c r="H671" s="121" t="s">
        <v>11435</v>
      </c>
    </row>
    <row r="672" spans="1:8" x14ac:dyDescent="0.25">
      <c r="A672">
        <v>1536763</v>
      </c>
      <c r="B672" s="121" t="s">
        <v>11003</v>
      </c>
      <c r="C672" t="s">
        <v>32</v>
      </c>
      <c r="D672" t="s">
        <v>377</v>
      </c>
      <c r="E672" t="s">
        <v>10374</v>
      </c>
      <c r="F672" t="s">
        <v>11436</v>
      </c>
      <c r="G672" t="s">
        <v>11437</v>
      </c>
      <c r="H672" s="121" t="s">
        <v>11438</v>
      </c>
    </row>
    <row r="673" spans="1:8" x14ac:dyDescent="0.25">
      <c r="A673">
        <v>1537236</v>
      </c>
      <c r="B673" s="121" t="s">
        <v>11003</v>
      </c>
      <c r="C673" t="s">
        <v>32</v>
      </c>
      <c r="D673" t="s">
        <v>72</v>
      </c>
      <c r="E673" t="s">
        <v>73</v>
      </c>
      <c r="F673" t="s">
        <v>2425</v>
      </c>
      <c r="G673" t="s">
        <v>6861</v>
      </c>
      <c r="H673" s="121" t="s">
        <v>11439</v>
      </c>
    </row>
    <row r="674" spans="1:8" x14ac:dyDescent="0.25">
      <c r="A674">
        <v>1537530</v>
      </c>
      <c r="B674" s="121" t="s">
        <v>11003</v>
      </c>
      <c r="C674" t="s">
        <v>32</v>
      </c>
      <c r="D674" t="s">
        <v>596</v>
      </c>
      <c r="E674" t="s">
        <v>69</v>
      </c>
      <c r="F674" t="s">
        <v>2460</v>
      </c>
      <c r="G674" t="s">
        <v>1287</v>
      </c>
      <c r="H674" s="121" t="s">
        <v>11440</v>
      </c>
    </row>
    <row r="675" spans="1:8" x14ac:dyDescent="0.25">
      <c r="A675">
        <v>1537531</v>
      </c>
      <c r="B675" s="121" t="s">
        <v>11003</v>
      </c>
      <c r="C675" t="s">
        <v>32</v>
      </c>
      <c r="D675" t="s">
        <v>596</v>
      </c>
      <c r="E675" t="s">
        <v>69</v>
      </c>
      <c r="F675" t="s">
        <v>2461</v>
      </c>
      <c r="G675" t="s">
        <v>2459</v>
      </c>
      <c r="H675" s="121" t="s">
        <v>11441</v>
      </c>
    </row>
    <row r="676" spans="1:8" x14ac:dyDescent="0.25">
      <c r="A676">
        <v>1537532</v>
      </c>
      <c r="B676" s="121" t="s">
        <v>11003</v>
      </c>
      <c r="C676" t="s">
        <v>32</v>
      </c>
      <c r="D676" t="s">
        <v>596</v>
      </c>
      <c r="E676" t="s">
        <v>69</v>
      </c>
      <c r="F676" t="s">
        <v>11442</v>
      </c>
      <c r="G676" t="s">
        <v>2458</v>
      </c>
      <c r="H676" s="121" t="s">
        <v>11443</v>
      </c>
    </row>
    <row r="677" spans="1:8" x14ac:dyDescent="0.25">
      <c r="A677">
        <v>1539738</v>
      </c>
      <c r="B677" s="121" t="s">
        <v>11003</v>
      </c>
      <c r="C677" t="s">
        <v>32</v>
      </c>
      <c r="D677" t="s">
        <v>20</v>
      </c>
      <c r="E677" t="s">
        <v>609</v>
      </c>
      <c r="F677" t="s">
        <v>6612</v>
      </c>
      <c r="G677" t="s">
        <v>6616</v>
      </c>
      <c r="H677" s="121" t="s">
        <v>11444</v>
      </c>
    </row>
    <row r="678" spans="1:8" x14ac:dyDescent="0.25">
      <c r="A678">
        <v>1540041</v>
      </c>
      <c r="B678" s="121" t="s">
        <v>11003</v>
      </c>
      <c r="C678" t="s">
        <v>32</v>
      </c>
      <c r="D678" t="s">
        <v>570</v>
      </c>
      <c r="E678" t="s">
        <v>49</v>
      </c>
      <c r="F678" t="s">
        <v>1515</v>
      </c>
      <c r="G678" t="s">
        <v>1605</v>
      </c>
      <c r="H678" s="121" t="s">
        <v>11445</v>
      </c>
    </row>
    <row r="679" spans="1:8" x14ac:dyDescent="0.25">
      <c r="A679">
        <v>1540042</v>
      </c>
      <c r="B679" s="121" t="s">
        <v>11003</v>
      </c>
      <c r="C679" t="s">
        <v>32</v>
      </c>
      <c r="D679" t="s">
        <v>570</v>
      </c>
      <c r="E679" t="s">
        <v>49</v>
      </c>
      <c r="F679" t="s">
        <v>1516</v>
      </c>
      <c r="G679" t="s">
        <v>1518</v>
      </c>
      <c r="H679" s="121" t="s">
        <v>11446</v>
      </c>
    </row>
    <row r="680" spans="1:8" x14ac:dyDescent="0.25">
      <c r="A680">
        <v>1540067</v>
      </c>
      <c r="B680" s="121" t="s">
        <v>11003</v>
      </c>
      <c r="C680" t="s">
        <v>32</v>
      </c>
      <c r="D680" t="s">
        <v>21</v>
      </c>
      <c r="E680" t="s">
        <v>7529</v>
      </c>
      <c r="F680" t="s">
        <v>11447</v>
      </c>
      <c r="G680" t="s">
        <v>11448</v>
      </c>
      <c r="H680" s="121" t="s">
        <v>11449</v>
      </c>
    </row>
    <row r="681" spans="1:8" x14ac:dyDescent="0.25">
      <c r="A681">
        <v>1516017</v>
      </c>
      <c r="B681" s="121" t="s">
        <v>11450</v>
      </c>
      <c r="C681" t="s">
        <v>32</v>
      </c>
      <c r="D681" t="s">
        <v>7779</v>
      </c>
      <c r="E681" t="s">
        <v>81</v>
      </c>
      <c r="F681" t="s">
        <v>11451</v>
      </c>
      <c r="G681" t="s">
        <v>11452</v>
      </c>
      <c r="H681" s="121" t="s">
        <v>11453</v>
      </c>
    </row>
    <row r="682" spans="1:8" x14ac:dyDescent="0.25">
      <c r="A682">
        <v>1384876</v>
      </c>
      <c r="B682" s="121" t="s">
        <v>11454</v>
      </c>
      <c r="C682" t="s">
        <v>32</v>
      </c>
      <c r="D682" t="s">
        <v>381</v>
      </c>
      <c r="E682" t="s">
        <v>401</v>
      </c>
      <c r="F682" t="s">
        <v>1795</v>
      </c>
      <c r="G682" t="s">
        <v>11455</v>
      </c>
      <c r="H682" s="121" t="s">
        <v>11456</v>
      </c>
    </row>
    <row r="683" spans="1:8" x14ac:dyDescent="0.25">
      <c r="A683">
        <v>1384879</v>
      </c>
      <c r="B683" s="121" t="s">
        <v>11454</v>
      </c>
      <c r="C683" t="s">
        <v>32</v>
      </c>
      <c r="D683" t="s">
        <v>381</v>
      </c>
      <c r="E683" t="s">
        <v>401</v>
      </c>
      <c r="F683" t="s">
        <v>11457</v>
      </c>
      <c r="G683" t="s">
        <v>11458</v>
      </c>
      <c r="H683" s="121" t="s">
        <v>11459</v>
      </c>
    </row>
    <row r="684" spans="1:8" x14ac:dyDescent="0.25">
      <c r="A684">
        <v>1384882</v>
      </c>
      <c r="B684" s="121" t="s">
        <v>11454</v>
      </c>
      <c r="C684" t="s">
        <v>32</v>
      </c>
      <c r="D684" t="s">
        <v>381</v>
      </c>
      <c r="E684" t="s">
        <v>401</v>
      </c>
      <c r="F684" t="s">
        <v>11460</v>
      </c>
      <c r="G684" t="s">
        <v>512</v>
      </c>
      <c r="H684" s="121" t="s">
        <v>11461</v>
      </c>
    </row>
    <row r="685" spans="1:8" x14ac:dyDescent="0.25">
      <c r="A685">
        <v>1388562</v>
      </c>
      <c r="B685" s="121" t="s">
        <v>11454</v>
      </c>
      <c r="C685" t="s">
        <v>32</v>
      </c>
      <c r="D685" t="s">
        <v>43</v>
      </c>
      <c r="E685" t="s">
        <v>347</v>
      </c>
      <c r="F685" t="s">
        <v>4941</v>
      </c>
      <c r="G685" t="s">
        <v>2175</v>
      </c>
      <c r="H685" s="121" t="s">
        <v>11462</v>
      </c>
    </row>
    <row r="686" spans="1:8" x14ac:dyDescent="0.25">
      <c r="A686">
        <v>1397904</v>
      </c>
      <c r="B686" s="121" t="s">
        <v>11454</v>
      </c>
      <c r="C686" t="s">
        <v>32</v>
      </c>
      <c r="D686" t="s">
        <v>332</v>
      </c>
      <c r="E686" t="s">
        <v>4196</v>
      </c>
      <c r="F686" t="s">
        <v>11463</v>
      </c>
      <c r="G686" t="s">
        <v>11464</v>
      </c>
      <c r="H686" s="121" t="s">
        <v>11465</v>
      </c>
    </row>
    <row r="687" spans="1:8" x14ac:dyDescent="0.25">
      <c r="A687">
        <v>1400218</v>
      </c>
      <c r="B687" s="121" t="s">
        <v>11454</v>
      </c>
      <c r="C687" t="s">
        <v>32</v>
      </c>
      <c r="D687" t="s">
        <v>377</v>
      </c>
      <c r="E687" t="s">
        <v>49</v>
      </c>
      <c r="F687" t="s">
        <v>3115</v>
      </c>
      <c r="G687" t="s">
        <v>424</v>
      </c>
      <c r="H687" s="121" t="s">
        <v>11466</v>
      </c>
    </row>
    <row r="688" spans="1:8" x14ac:dyDescent="0.25">
      <c r="A688">
        <v>1400220</v>
      </c>
      <c r="B688" s="121" t="s">
        <v>11454</v>
      </c>
      <c r="C688" t="s">
        <v>32</v>
      </c>
      <c r="D688" t="s">
        <v>377</v>
      </c>
      <c r="E688" t="s">
        <v>49</v>
      </c>
      <c r="F688" t="s">
        <v>2474</v>
      </c>
      <c r="G688" t="s">
        <v>1196</v>
      </c>
      <c r="H688" s="121" t="s">
        <v>11467</v>
      </c>
    </row>
    <row r="689" spans="1:8" x14ac:dyDescent="0.25">
      <c r="A689">
        <v>1406018</v>
      </c>
      <c r="B689" s="121" t="s">
        <v>11454</v>
      </c>
      <c r="C689" t="s">
        <v>32</v>
      </c>
      <c r="D689" t="s">
        <v>43</v>
      </c>
      <c r="E689" t="s">
        <v>425</v>
      </c>
      <c r="F689" t="s">
        <v>1641</v>
      </c>
      <c r="G689" t="s">
        <v>1800</v>
      </c>
      <c r="H689" s="121" t="s">
        <v>11468</v>
      </c>
    </row>
    <row r="690" spans="1:8" x14ac:dyDescent="0.25">
      <c r="A690">
        <v>1406019</v>
      </c>
      <c r="B690" s="121" t="s">
        <v>11454</v>
      </c>
      <c r="C690" t="s">
        <v>32</v>
      </c>
      <c r="D690" t="s">
        <v>43</v>
      </c>
      <c r="E690" t="s">
        <v>425</v>
      </c>
      <c r="F690" t="s">
        <v>1634</v>
      </c>
      <c r="G690" t="s">
        <v>1640</v>
      </c>
      <c r="H690" s="121" t="s">
        <v>11469</v>
      </c>
    </row>
    <row r="691" spans="1:8" x14ac:dyDescent="0.25">
      <c r="A691">
        <v>1422455</v>
      </c>
      <c r="B691" s="121" t="s">
        <v>11454</v>
      </c>
      <c r="C691" t="s">
        <v>32</v>
      </c>
      <c r="D691" t="s">
        <v>268</v>
      </c>
      <c r="E691" t="s">
        <v>620</v>
      </c>
      <c r="F691" t="s">
        <v>4621</v>
      </c>
      <c r="G691" t="s">
        <v>1539</v>
      </c>
      <c r="H691" s="121" t="s">
        <v>11470</v>
      </c>
    </row>
    <row r="692" spans="1:8" x14ac:dyDescent="0.25">
      <c r="A692">
        <v>1425085</v>
      </c>
      <c r="B692" s="121" t="s">
        <v>11454</v>
      </c>
      <c r="C692" t="s">
        <v>32</v>
      </c>
      <c r="D692" t="s">
        <v>43</v>
      </c>
      <c r="E692" t="s">
        <v>627</v>
      </c>
      <c r="F692" t="s">
        <v>11471</v>
      </c>
      <c r="G692" t="s">
        <v>1813</v>
      </c>
      <c r="H692" s="121" t="s">
        <v>11472</v>
      </c>
    </row>
    <row r="693" spans="1:8" x14ac:dyDescent="0.25">
      <c r="A693">
        <v>1425086</v>
      </c>
      <c r="B693" s="121" t="s">
        <v>11454</v>
      </c>
      <c r="C693" t="s">
        <v>32</v>
      </c>
      <c r="D693" t="s">
        <v>43</v>
      </c>
      <c r="E693" t="s">
        <v>627</v>
      </c>
      <c r="F693" t="s">
        <v>1811</v>
      </c>
      <c r="G693" t="s">
        <v>1810</v>
      </c>
      <c r="H693" s="121" t="s">
        <v>11473</v>
      </c>
    </row>
    <row r="694" spans="1:8" x14ac:dyDescent="0.25">
      <c r="A694">
        <v>1425087</v>
      </c>
      <c r="B694" s="121" t="s">
        <v>11454</v>
      </c>
      <c r="C694" t="s">
        <v>32</v>
      </c>
      <c r="D694" t="s">
        <v>43</v>
      </c>
      <c r="E694" t="s">
        <v>627</v>
      </c>
      <c r="F694" t="s">
        <v>1703</v>
      </c>
      <c r="G694" t="s">
        <v>1812</v>
      </c>
      <c r="H694" s="121" t="s">
        <v>11474</v>
      </c>
    </row>
    <row r="695" spans="1:8" x14ac:dyDescent="0.25">
      <c r="A695">
        <v>1425088</v>
      </c>
      <c r="B695" s="121" t="s">
        <v>11454</v>
      </c>
      <c r="C695" t="s">
        <v>32</v>
      </c>
      <c r="D695" t="s">
        <v>43</v>
      </c>
      <c r="E695" t="s">
        <v>627</v>
      </c>
      <c r="F695" t="s">
        <v>1911</v>
      </c>
      <c r="G695" t="s">
        <v>1809</v>
      </c>
      <c r="H695" s="121" t="s">
        <v>11475</v>
      </c>
    </row>
    <row r="696" spans="1:8" x14ac:dyDescent="0.25">
      <c r="A696">
        <v>1456084</v>
      </c>
      <c r="B696" s="121" t="s">
        <v>11454</v>
      </c>
      <c r="C696" t="s">
        <v>32</v>
      </c>
      <c r="D696" t="s">
        <v>41</v>
      </c>
      <c r="E696" t="s">
        <v>8284</v>
      </c>
      <c r="F696" t="s">
        <v>11476</v>
      </c>
      <c r="G696" t="s">
        <v>11477</v>
      </c>
      <c r="H696" s="121" t="s">
        <v>11478</v>
      </c>
    </row>
    <row r="697" spans="1:8" x14ac:dyDescent="0.25">
      <c r="A697">
        <v>1456085</v>
      </c>
      <c r="B697" s="121" t="s">
        <v>11454</v>
      </c>
      <c r="C697" t="s">
        <v>32</v>
      </c>
      <c r="D697" t="s">
        <v>41</v>
      </c>
      <c r="E697" t="s">
        <v>8284</v>
      </c>
      <c r="F697" t="s">
        <v>11479</v>
      </c>
      <c r="G697" t="s">
        <v>11480</v>
      </c>
      <c r="H697" s="121" t="s">
        <v>11481</v>
      </c>
    </row>
    <row r="698" spans="1:8" x14ac:dyDescent="0.25">
      <c r="A698">
        <v>1456091</v>
      </c>
      <c r="B698" s="121" t="s">
        <v>11454</v>
      </c>
      <c r="C698" t="s">
        <v>32</v>
      </c>
      <c r="D698" t="s">
        <v>41</v>
      </c>
      <c r="E698" t="s">
        <v>8284</v>
      </c>
      <c r="F698" t="s">
        <v>11482</v>
      </c>
      <c r="G698" t="s">
        <v>11483</v>
      </c>
      <c r="H698" s="121" t="s">
        <v>11484</v>
      </c>
    </row>
    <row r="699" spans="1:8" x14ac:dyDescent="0.25">
      <c r="A699">
        <v>1456390</v>
      </c>
      <c r="B699" s="121" t="s">
        <v>11454</v>
      </c>
      <c r="C699" t="s">
        <v>32</v>
      </c>
      <c r="D699" t="s">
        <v>41</v>
      </c>
      <c r="E699" t="s">
        <v>4343</v>
      </c>
      <c r="F699" t="s">
        <v>11485</v>
      </c>
      <c r="G699" t="s">
        <v>11486</v>
      </c>
      <c r="H699" s="121" t="s">
        <v>11487</v>
      </c>
    </row>
    <row r="700" spans="1:8" x14ac:dyDescent="0.25">
      <c r="A700">
        <v>1475165</v>
      </c>
      <c r="B700" s="121" t="s">
        <v>11454</v>
      </c>
      <c r="C700" t="s">
        <v>32</v>
      </c>
      <c r="D700" t="s">
        <v>336</v>
      </c>
      <c r="E700" t="s">
        <v>49</v>
      </c>
      <c r="F700" t="s">
        <v>11488</v>
      </c>
      <c r="G700" t="s">
        <v>11489</v>
      </c>
      <c r="H700" s="121" t="s">
        <v>11490</v>
      </c>
    </row>
    <row r="701" spans="1:8" x14ac:dyDescent="0.25">
      <c r="A701">
        <v>1481383</v>
      </c>
      <c r="B701" s="121" t="s">
        <v>11454</v>
      </c>
      <c r="C701" t="s">
        <v>32</v>
      </c>
      <c r="D701" t="s">
        <v>43</v>
      </c>
      <c r="E701" t="s">
        <v>394</v>
      </c>
      <c r="F701" t="s">
        <v>1653</v>
      </c>
      <c r="G701" t="s">
        <v>4544</v>
      </c>
      <c r="H701" s="121" t="s">
        <v>11491</v>
      </c>
    </row>
    <row r="702" spans="1:8" x14ac:dyDescent="0.25">
      <c r="A702">
        <v>1487544</v>
      </c>
      <c r="B702" s="121" t="s">
        <v>11454</v>
      </c>
      <c r="C702" t="s">
        <v>32</v>
      </c>
      <c r="D702" t="s">
        <v>381</v>
      </c>
      <c r="E702" t="s">
        <v>571</v>
      </c>
      <c r="F702" t="s">
        <v>4743</v>
      </c>
      <c r="G702" t="s">
        <v>1998</v>
      </c>
      <c r="H702" s="121" t="s">
        <v>11492</v>
      </c>
    </row>
    <row r="703" spans="1:8" x14ac:dyDescent="0.25">
      <c r="A703">
        <v>1487545</v>
      </c>
      <c r="B703" s="121" t="s">
        <v>11454</v>
      </c>
      <c r="C703" t="s">
        <v>32</v>
      </c>
      <c r="D703" t="s">
        <v>381</v>
      </c>
      <c r="E703" t="s">
        <v>571</v>
      </c>
      <c r="F703" t="s">
        <v>11493</v>
      </c>
      <c r="G703" t="s">
        <v>2987</v>
      </c>
      <c r="H703" s="121" t="s">
        <v>11494</v>
      </c>
    </row>
    <row r="704" spans="1:8" x14ac:dyDescent="0.25">
      <c r="A704">
        <v>1487657</v>
      </c>
      <c r="B704" s="121" t="s">
        <v>11454</v>
      </c>
      <c r="C704" t="s">
        <v>32</v>
      </c>
      <c r="D704" t="s">
        <v>381</v>
      </c>
      <c r="E704" t="s">
        <v>624</v>
      </c>
      <c r="F704" t="s">
        <v>1580</v>
      </c>
      <c r="G704" t="s">
        <v>1578</v>
      </c>
      <c r="H704" s="121" t="s">
        <v>11495</v>
      </c>
    </row>
    <row r="705" spans="1:8" x14ac:dyDescent="0.25">
      <c r="A705">
        <v>1487659</v>
      </c>
      <c r="B705" s="121" t="s">
        <v>11454</v>
      </c>
      <c r="C705" t="s">
        <v>32</v>
      </c>
      <c r="D705" t="s">
        <v>381</v>
      </c>
      <c r="E705" t="s">
        <v>624</v>
      </c>
      <c r="F705" t="s">
        <v>885</v>
      </c>
      <c r="G705" t="s">
        <v>11496</v>
      </c>
      <c r="H705" s="121" t="s">
        <v>11497</v>
      </c>
    </row>
    <row r="706" spans="1:8" x14ac:dyDescent="0.25">
      <c r="A706">
        <v>1487660</v>
      </c>
      <c r="B706" s="121" t="s">
        <v>11454</v>
      </c>
      <c r="C706" t="s">
        <v>32</v>
      </c>
      <c r="D706" t="s">
        <v>381</v>
      </c>
      <c r="E706" t="s">
        <v>624</v>
      </c>
      <c r="F706" t="s">
        <v>1458</v>
      </c>
      <c r="G706" t="s">
        <v>4745</v>
      </c>
      <c r="H706" s="121" t="s">
        <v>11498</v>
      </c>
    </row>
    <row r="707" spans="1:8" x14ac:dyDescent="0.25">
      <c r="A707">
        <v>1487764</v>
      </c>
      <c r="B707" s="121" t="s">
        <v>11454</v>
      </c>
      <c r="C707" t="s">
        <v>32</v>
      </c>
      <c r="D707" t="s">
        <v>381</v>
      </c>
      <c r="E707" t="s">
        <v>572</v>
      </c>
      <c r="F707" t="s">
        <v>11499</v>
      </c>
      <c r="G707" t="s">
        <v>4752</v>
      </c>
      <c r="H707" s="121" t="s">
        <v>11500</v>
      </c>
    </row>
    <row r="708" spans="1:8" x14ac:dyDescent="0.25">
      <c r="A708">
        <v>1487766</v>
      </c>
      <c r="B708" s="121" t="s">
        <v>11454</v>
      </c>
      <c r="C708" t="s">
        <v>32</v>
      </c>
      <c r="D708" t="s">
        <v>381</v>
      </c>
      <c r="E708" t="s">
        <v>572</v>
      </c>
      <c r="F708" t="s">
        <v>887</v>
      </c>
      <c r="G708" t="s">
        <v>4756</v>
      </c>
      <c r="H708" s="121" t="s">
        <v>11501</v>
      </c>
    </row>
    <row r="709" spans="1:8" x14ac:dyDescent="0.25">
      <c r="A709">
        <v>1522781</v>
      </c>
      <c r="B709" s="121" t="s">
        <v>11454</v>
      </c>
      <c r="C709" t="s">
        <v>32</v>
      </c>
      <c r="D709" t="s">
        <v>585</v>
      </c>
      <c r="E709" t="s">
        <v>586</v>
      </c>
      <c r="F709" t="s">
        <v>11502</v>
      </c>
      <c r="G709" t="s">
        <v>11503</v>
      </c>
      <c r="H709" s="121" t="s">
        <v>11504</v>
      </c>
    </row>
    <row r="710" spans="1:8" x14ac:dyDescent="0.25">
      <c r="A710">
        <v>1528486</v>
      </c>
      <c r="B710" s="121" t="s">
        <v>11454</v>
      </c>
      <c r="C710" t="s">
        <v>32</v>
      </c>
      <c r="D710" t="s">
        <v>268</v>
      </c>
      <c r="E710" t="s">
        <v>265</v>
      </c>
      <c r="F710" t="s">
        <v>1822</v>
      </c>
      <c r="G710" t="s">
        <v>6493</v>
      </c>
      <c r="H710" s="121" t="s">
        <v>11505</v>
      </c>
    </row>
    <row r="711" spans="1:8" x14ac:dyDescent="0.25">
      <c r="A711">
        <v>1535810</v>
      </c>
      <c r="B711" s="121" t="s">
        <v>11454</v>
      </c>
      <c r="C711" t="s">
        <v>32</v>
      </c>
      <c r="D711" t="s">
        <v>377</v>
      </c>
      <c r="E711" t="s">
        <v>45</v>
      </c>
      <c r="F711" t="s">
        <v>1508</v>
      </c>
      <c r="G711" t="s">
        <v>2483</v>
      </c>
      <c r="H711" s="121" t="s">
        <v>11506</v>
      </c>
    </row>
    <row r="712" spans="1:8" x14ac:dyDescent="0.25">
      <c r="A712">
        <v>1537379</v>
      </c>
      <c r="B712" s="121" t="s">
        <v>11454</v>
      </c>
      <c r="C712" t="s">
        <v>32</v>
      </c>
      <c r="D712" t="s">
        <v>21</v>
      </c>
      <c r="E712" t="s">
        <v>7468</v>
      </c>
      <c r="F712" t="s">
        <v>11507</v>
      </c>
      <c r="G712" t="s">
        <v>11508</v>
      </c>
      <c r="H712" s="121" t="s">
        <v>11509</v>
      </c>
    </row>
    <row r="713" spans="1:8" x14ac:dyDescent="0.25">
      <c r="A713">
        <v>1540043</v>
      </c>
      <c r="B713" s="121" t="s">
        <v>11454</v>
      </c>
      <c r="C713" t="s">
        <v>32</v>
      </c>
      <c r="D713" t="s">
        <v>570</v>
      </c>
      <c r="E713" t="s">
        <v>49</v>
      </c>
      <c r="F713" t="s">
        <v>1177</v>
      </c>
      <c r="G713" t="s">
        <v>1604</v>
      </c>
      <c r="H713" s="121" t="s">
        <v>11510</v>
      </c>
    </row>
    <row r="714" spans="1:8" x14ac:dyDescent="0.25">
      <c r="A714">
        <v>1535027</v>
      </c>
      <c r="B714" s="121" t="s">
        <v>11511</v>
      </c>
      <c r="C714" t="s">
        <v>32</v>
      </c>
      <c r="D714" t="s">
        <v>8530</v>
      </c>
      <c r="E714" t="s">
        <v>8531</v>
      </c>
      <c r="F714" t="s">
        <v>11512</v>
      </c>
      <c r="G714" t="s">
        <v>11513</v>
      </c>
      <c r="H714" s="121" t="s">
        <v>11514</v>
      </c>
    </row>
    <row r="715" spans="1:8" x14ac:dyDescent="0.25">
      <c r="A715">
        <v>1425090</v>
      </c>
      <c r="B715" s="121" t="s">
        <v>11515</v>
      </c>
      <c r="C715" t="s">
        <v>32</v>
      </c>
      <c r="D715" t="s">
        <v>43</v>
      </c>
      <c r="E715" t="s">
        <v>627</v>
      </c>
      <c r="F715" t="s">
        <v>1824</v>
      </c>
      <c r="G715" t="s">
        <v>1912</v>
      </c>
      <c r="H715" s="121" t="s">
        <v>11516</v>
      </c>
    </row>
    <row r="716" spans="1:8" x14ac:dyDescent="0.25">
      <c r="A716">
        <v>1471987</v>
      </c>
      <c r="B716" s="121" t="s">
        <v>11517</v>
      </c>
      <c r="C716" t="s">
        <v>32</v>
      </c>
      <c r="D716" t="s">
        <v>87</v>
      </c>
      <c r="E716" t="s">
        <v>83</v>
      </c>
      <c r="F716" t="s">
        <v>11518</v>
      </c>
      <c r="G716" t="s">
        <v>11519</v>
      </c>
      <c r="H716" s="121" t="s">
        <v>11520</v>
      </c>
    </row>
    <row r="717" spans="1:8" x14ac:dyDescent="0.25">
      <c r="A717">
        <v>1471988</v>
      </c>
      <c r="B717" s="121" t="s">
        <v>11521</v>
      </c>
      <c r="C717" t="s">
        <v>32</v>
      </c>
      <c r="D717" t="s">
        <v>87</v>
      </c>
      <c r="E717" t="s">
        <v>83</v>
      </c>
      <c r="F717" t="s">
        <v>2269</v>
      </c>
      <c r="G717" t="s">
        <v>11522</v>
      </c>
      <c r="H717" s="121" t="s">
        <v>11523</v>
      </c>
    </row>
    <row r="718" spans="1:8" x14ac:dyDescent="0.25">
      <c r="A718">
        <v>1537632</v>
      </c>
      <c r="B718" s="121" t="s">
        <v>11521</v>
      </c>
      <c r="C718" t="s">
        <v>32</v>
      </c>
      <c r="D718" t="s">
        <v>87</v>
      </c>
      <c r="E718" t="s">
        <v>8555</v>
      </c>
      <c r="F718" t="s">
        <v>11524</v>
      </c>
      <c r="G718" t="s">
        <v>11525</v>
      </c>
      <c r="H718" s="121" t="s">
        <v>11526</v>
      </c>
    </row>
    <row r="719" spans="1:8" x14ac:dyDescent="0.25">
      <c r="A719">
        <v>1537636</v>
      </c>
      <c r="B719" s="121" t="s">
        <v>11521</v>
      </c>
      <c r="C719" t="s">
        <v>32</v>
      </c>
      <c r="D719" t="s">
        <v>87</v>
      </c>
      <c r="E719" t="s">
        <v>8555</v>
      </c>
      <c r="F719" t="s">
        <v>11527</v>
      </c>
      <c r="G719" t="s">
        <v>11528</v>
      </c>
      <c r="H719" s="121" t="s">
        <v>11529</v>
      </c>
    </row>
    <row r="720" spans="1:8" x14ac:dyDescent="0.25">
      <c r="A720">
        <v>1537637</v>
      </c>
      <c r="B720" s="121" t="s">
        <v>11521</v>
      </c>
      <c r="C720" t="s">
        <v>32</v>
      </c>
      <c r="D720" t="s">
        <v>87</v>
      </c>
      <c r="E720" t="s">
        <v>8555</v>
      </c>
      <c r="F720" t="s">
        <v>11530</v>
      </c>
      <c r="G720" t="s">
        <v>11531</v>
      </c>
      <c r="H720" s="121" t="s">
        <v>11532</v>
      </c>
    </row>
    <row r="721" spans="1:8" x14ac:dyDescent="0.25">
      <c r="A721">
        <v>1537638</v>
      </c>
      <c r="B721" s="121" t="s">
        <v>11521</v>
      </c>
      <c r="C721" t="s">
        <v>32</v>
      </c>
      <c r="D721" t="s">
        <v>87</v>
      </c>
      <c r="E721" t="s">
        <v>8555</v>
      </c>
      <c r="F721" t="s">
        <v>11533</v>
      </c>
      <c r="G721" t="s">
        <v>11534</v>
      </c>
      <c r="H721" s="121" t="s">
        <v>11535</v>
      </c>
    </row>
    <row r="722" spans="1:8" x14ac:dyDescent="0.25">
      <c r="A722">
        <v>1384061</v>
      </c>
      <c r="B722" s="121" t="s">
        <v>11536</v>
      </c>
      <c r="C722" t="s">
        <v>32</v>
      </c>
      <c r="D722" t="s">
        <v>326</v>
      </c>
      <c r="E722" t="s">
        <v>331</v>
      </c>
      <c r="F722" t="s">
        <v>2207</v>
      </c>
      <c r="G722" t="s">
        <v>11537</v>
      </c>
      <c r="H722" s="121" t="s">
        <v>11538</v>
      </c>
    </row>
    <row r="723" spans="1:8" x14ac:dyDescent="0.25">
      <c r="A723">
        <v>1384062</v>
      </c>
      <c r="B723" s="121" t="s">
        <v>11536</v>
      </c>
      <c r="C723" t="s">
        <v>32</v>
      </c>
      <c r="D723" t="s">
        <v>326</v>
      </c>
      <c r="E723" t="s">
        <v>331</v>
      </c>
      <c r="F723" t="s">
        <v>11539</v>
      </c>
      <c r="G723" t="s">
        <v>11540</v>
      </c>
      <c r="H723" s="121" t="s">
        <v>11541</v>
      </c>
    </row>
    <row r="724" spans="1:8" x14ac:dyDescent="0.25">
      <c r="A724">
        <v>1393673</v>
      </c>
      <c r="B724" s="121" t="s">
        <v>11536</v>
      </c>
      <c r="C724" t="s">
        <v>32</v>
      </c>
      <c r="D724" t="s">
        <v>405</v>
      </c>
      <c r="E724" t="s">
        <v>406</v>
      </c>
      <c r="F724" t="s">
        <v>1833</v>
      </c>
      <c r="G724" t="s">
        <v>1835</v>
      </c>
      <c r="H724" s="121" t="s">
        <v>11542</v>
      </c>
    </row>
    <row r="725" spans="1:8" x14ac:dyDescent="0.25">
      <c r="A725">
        <v>1393674</v>
      </c>
      <c r="B725" s="121" t="s">
        <v>11536</v>
      </c>
      <c r="C725" t="s">
        <v>32</v>
      </c>
      <c r="D725" t="s">
        <v>405</v>
      </c>
      <c r="E725" t="s">
        <v>406</v>
      </c>
      <c r="F725" t="s">
        <v>1836</v>
      </c>
      <c r="G725" t="s">
        <v>1834</v>
      </c>
      <c r="H725" s="121" t="s">
        <v>11543</v>
      </c>
    </row>
    <row r="726" spans="1:8" x14ac:dyDescent="0.25">
      <c r="A726">
        <v>1393675</v>
      </c>
      <c r="B726" s="121" t="s">
        <v>11536</v>
      </c>
      <c r="C726" t="s">
        <v>32</v>
      </c>
      <c r="D726" t="s">
        <v>405</v>
      </c>
      <c r="E726" t="s">
        <v>406</v>
      </c>
      <c r="F726" t="s">
        <v>1845</v>
      </c>
      <c r="G726" t="s">
        <v>1847</v>
      </c>
      <c r="H726" s="121" t="s">
        <v>11544</v>
      </c>
    </row>
    <row r="727" spans="1:8" x14ac:dyDescent="0.25">
      <c r="A727">
        <v>1393676</v>
      </c>
      <c r="B727" s="121" t="s">
        <v>11536</v>
      </c>
      <c r="C727" t="s">
        <v>32</v>
      </c>
      <c r="D727" t="s">
        <v>405</v>
      </c>
      <c r="E727" t="s">
        <v>406</v>
      </c>
      <c r="F727" t="s">
        <v>1840</v>
      </c>
      <c r="G727" t="s">
        <v>1838</v>
      </c>
      <c r="H727" s="121" t="s">
        <v>11545</v>
      </c>
    </row>
    <row r="728" spans="1:8" x14ac:dyDescent="0.25">
      <c r="A728">
        <v>1393678</v>
      </c>
      <c r="B728" s="121" t="s">
        <v>11536</v>
      </c>
      <c r="C728" t="s">
        <v>32</v>
      </c>
      <c r="D728" t="s">
        <v>405</v>
      </c>
      <c r="E728" t="s">
        <v>406</v>
      </c>
      <c r="F728" t="s">
        <v>1842</v>
      </c>
      <c r="G728" t="s">
        <v>1841</v>
      </c>
      <c r="H728" s="121" t="s">
        <v>11546</v>
      </c>
    </row>
    <row r="729" spans="1:8" x14ac:dyDescent="0.25">
      <c r="A729">
        <v>1393679</v>
      </c>
      <c r="B729" s="121" t="s">
        <v>11536</v>
      </c>
      <c r="C729" t="s">
        <v>32</v>
      </c>
      <c r="D729" t="s">
        <v>405</v>
      </c>
      <c r="E729" t="s">
        <v>406</v>
      </c>
      <c r="F729" t="s">
        <v>1832</v>
      </c>
      <c r="G729" t="s">
        <v>1844</v>
      </c>
      <c r="H729" s="121" t="s">
        <v>11547</v>
      </c>
    </row>
    <row r="730" spans="1:8" x14ac:dyDescent="0.25">
      <c r="A730">
        <v>1393680</v>
      </c>
      <c r="B730" s="121" t="s">
        <v>11536</v>
      </c>
      <c r="C730" t="s">
        <v>32</v>
      </c>
      <c r="D730" t="s">
        <v>405</v>
      </c>
      <c r="E730" t="s">
        <v>406</v>
      </c>
      <c r="F730" t="s">
        <v>1846</v>
      </c>
      <c r="G730" t="s">
        <v>1839</v>
      </c>
      <c r="H730" s="121" t="s">
        <v>11548</v>
      </c>
    </row>
    <row r="731" spans="1:8" x14ac:dyDescent="0.25">
      <c r="A731">
        <v>1394690</v>
      </c>
      <c r="B731" s="121" t="s">
        <v>11536</v>
      </c>
      <c r="C731" t="s">
        <v>32</v>
      </c>
      <c r="D731" t="s">
        <v>42</v>
      </c>
      <c r="E731" t="s">
        <v>61</v>
      </c>
      <c r="F731" t="s">
        <v>11549</v>
      </c>
      <c r="G731" t="s">
        <v>1368</v>
      </c>
      <c r="H731" s="121" t="s">
        <v>11550</v>
      </c>
    </row>
    <row r="732" spans="1:8" x14ac:dyDescent="0.25">
      <c r="A732">
        <v>1395029</v>
      </c>
      <c r="B732" s="121" t="s">
        <v>11536</v>
      </c>
      <c r="C732" t="s">
        <v>32</v>
      </c>
      <c r="D732" t="s">
        <v>71</v>
      </c>
      <c r="E732" t="s">
        <v>344</v>
      </c>
      <c r="F732" t="s">
        <v>5255</v>
      </c>
      <c r="G732" t="s">
        <v>6795</v>
      </c>
      <c r="H732" s="121" t="s">
        <v>11551</v>
      </c>
    </row>
    <row r="733" spans="1:8" x14ac:dyDescent="0.25">
      <c r="A733">
        <v>1396046</v>
      </c>
      <c r="B733" s="121" t="s">
        <v>11536</v>
      </c>
      <c r="C733" t="s">
        <v>32</v>
      </c>
      <c r="D733" t="s">
        <v>51</v>
      </c>
      <c r="E733" t="s">
        <v>385</v>
      </c>
      <c r="F733" t="s">
        <v>3687</v>
      </c>
      <c r="G733" t="s">
        <v>11552</v>
      </c>
      <c r="H733" s="121" t="s">
        <v>11553</v>
      </c>
    </row>
    <row r="734" spans="1:8" x14ac:dyDescent="0.25">
      <c r="A734">
        <v>1400589</v>
      </c>
      <c r="B734" s="121" t="s">
        <v>11536</v>
      </c>
      <c r="C734" t="s">
        <v>32</v>
      </c>
      <c r="D734" t="s">
        <v>319</v>
      </c>
      <c r="E734" t="s">
        <v>2929</v>
      </c>
      <c r="F734" t="s">
        <v>11554</v>
      </c>
      <c r="G734" t="s">
        <v>11555</v>
      </c>
      <c r="H734" s="121" t="s">
        <v>11556</v>
      </c>
    </row>
    <row r="735" spans="1:8" x14ac:dyDescent="0.25">
      <c r="A735">
        <v>1406015</v>
      </c>
      <c r="B735" s="121" t="s">
        <v>11536</v>
      </c>
      <c r="C735" t="s">
        <v>32</v>
      </c>
      <c r="D735" t="s">
        <v>43</v>
      </c>
      <c r="E735" t="s">
        <v>425</v>
      </c>
      <c r="F735" t="s">
        <v>11557</v>
      </c>
      <c r="G735" t="s">
        <v>1633</v>
      </c>
      <c r="H735" s="121" t="s">
        <v>11558</v>
      </c>
    </row>
    <row r="736" spans="1:8" x14ac:dyDescent="0.25">
      <c r="A736">
        <v>1409321</v>
      </c>
      <c r="B736" s="121" t="s">
        <v>11536</v>
      </c>
      <c r="C736" t="s">
        <v>32</v>
      </c>
      <c r="D736" t="s">
        <v>43</v>
      </c>
      <c r="E736" t="s">
        <v>600</v>
      </c>
      <c r="F736" t="s">
        <v>1849</v>
      </c>
      <c r="G736" t="s">
        <v>1390</v>
      </c>
      <c r="H736" s="121" t="s">
        <v>11559</v>
      </c>
    </row>
    <row r="737" spans="1:8" x14ac:dyDescent="0.25">
      <c r="A737">
        <v>1413603</v>
      </c>
      <c r="B737" s="121" t="s">
        <v>11536</v>
      </c>
      <c r="C737" t="s">
        <v>32</v>
      </c>
      <c r="D737" t="s">
        <v>53</v>
      </c>
      <c r="E737" t="s">
        <v>1853</v>
      </c>
      <c r="F737" t="s">
        <v>1860</v>
      </c>
      <c r="G737" t="s">
        <v>1856</v>
      </c>
      <c r="H737" s="121" t="s">
        <v>11560</v>
      </c>
    </row>
    <row r="738" spans="1:8" x14ac:dyDescent="0.25">
      <c r="A738">
        <v>1415553</v>
      </c>
      <c r="B738" s="121" t="s">
        <v>11536</v>
      </c>
      <c r="C738" t="s">
        <v>32</v>
      </c>
      <c r="D738" t="s">
        <v>616</v>
      </c>
      <c r="E738" t="s">
        <v>69</v>
      </c>
      <c r="F738" t="s">
        <v>1671</v>
      </c>
      <c r="G738" t="s">
        <v>2516</v>
      </c>
      <c r="H738" s="121" t="s">
        <v>11561</v>
      </c>
    </row>
    <row r="739" spans="1:8" x14ac:dyDescent="0.25">
      <c r="A739">
        <v>1422069</v>
      </c>
      <c r="B739" s="121" t="s">
        <v>11536</v>
      </c>
      <c r="C739" t="s">
        <v>32</v>
      </c>
      <c r="D739" t="s">
        <v>268</v>
      </c>
      <c r="E739" t="s">
        <v>601</v>
      </c>
      <c r="F739" t="s">
        <v>901</v>
      </c>
      <c r="G739" t="s">
        <v>4594</v>
      </c>
      <c r="H739" s="121" t="s">
        <v>11562</v>
      </c>
    </row>
    <row r="740" spans="1:8" x14ac:dyDescent="0.25">
      <c r="A740">
        <v>1431819</v>
      </c>
      <c r="B740" s="121" t="s">
        <v>11536</v>
      </c>
      <c r="C740" t="s">
        <v>32</v>
      </c>
      <c r="D740" t="s">
        <v>40</v>
      </c>
      <c r="E740" t="s">
        <v>340</v>
      </c>
      <c r="F740" t="s">
        <v>1915</v>
      </c>
      <c r="G740" t="s">
        <v>1917</v>
      </c>
      <c r="H740" s="121" t="s">
        <v>11563</v>
      </c>
    </row>
    <row r="741" spans="1:8" x14ac:dyDescent="0.25">
      <c r="A741">
        <v>1431820</v>
      </c>
      <c r="B741" s="121" t="s">
        <v>11536</v>
      </c>
      <c r="C741" t="s">
        <v>32</v>
      </c>
      <c r="D741" t="s">
        <v>40</v>
      </c>
      <c r="E741" t="s">
        <v>340</v>
      </c>
      <c r="F741" t="s">
        <v>2248</v>
      </c>
      <c r="G741" t="s">
        <v>11564</v>
      </c>
      <c r="H741" s="121" t="s">
        <v>11565</v>
      </c>
    </row>
    <row r="742" spans="1:8" x14ac:dyDescent="0.25">
      <c r="A742">
        <v>1431822</v>
      </c>
      <c r="B742" s="121" t="s">
        <v>11536</v>
      </c>
      <c r="C742" t="s">
        <v>32</v>
      </c>
      <c r="D742" t="s">
        <v>40</v>
      </c>
      <c r="E742" t="s">
        <v>340</v>
      </c>
      <c r="F742" t="s">
        <v>11566</v>
      </c>
      <c r="G742" t="s">
        <v>1037</v>
      </c>
      <c r="H742" s="121" t="s">
        <v>11567</v>
      </c>
    </row>
    <row r="743" spans="1:8" x14ac:dyDescent="0.25">
      <c r="A743">
        <v>1431826</v>
      </c>
      <c r="B743" s="121" t="s">
        <v>11536</v>
      </c>
      <c r="C743" t="s">
        <v>32</v>
      </c>
      <c r="D743" t="s">
        <v>40</v>
      </c>
      <c r="E743" t="s">
        <v>340</v>
      </c>
      <c r="F743" t="s">
        <v>1918</v>
      </c>
      <c r="G743" t="s">
        <v>6923</v>
      </c>
      <c r="H743" s="121" t="s">
        <v>11568</v>
      </c>
    </row>
    <row r="744" spans="1:8" x14ac:dyDescent="0.25">
      <c r="A744">
        <v>1431828</v>
      </c>
      <c r="B744" s="121" t="s">
        <v>11536</v>
      </c>
      <c r="C744" t="s">
        <v>32</v>
      </c>
      <c r="D744" t="s">
        <v>40</v>
      </c>
      <c r="E744" t="s">
        <v>340</v>
      </c>
      <c r="F744" t="s">
        <v>1919</v>
      </c>
      <c r="G744" t="s">
        <v>1916</v>
      </c>
      <c r="H744" s="121" t="s">
        <v>11569</v>
      </c>
    </row>
    <row r="745" spans="1:8" x14ac:dyDescent="0.25">
      <c r="A745">
        <v>1442035</v>
      </c>
      <c r="B745" s="121" t="s">
        <v>11536</v>
      </c>
      <c r="C745" t="s">
        <v>2909</v>
      </c>
      <c r="D745" t="s">
        <v>42</v>
      </c>
      <c r="E745" t="s">
        <v>263</v>
      </c>
      <c r="F745" t="s">
        <v>11570</v>
      </c>
      <c r="G745" t="s">
        <v>1247</v>
      </c>
      <c r="H745" s="121" t="s">
        <v>11571</v>
      </c>
    </row>
    <row r="746" spans="1:8" x14ac:dyDescent="0.25">
      <c r="A746">
        <v>1442036</v>
      </c>
      <c r="B746" s="121" t="s">
        <v>11536</v>
      </c>
      <c r="C746" t="s">
        <v>2909</v>
      </c>
      <c r="D746" t="s">
        <v>42</v>
      </c>
      <c r="E746" t="s">
        <v>263</v>
      </c>
      <c r="F746" t="s">
        <v>1923</v>
      </c>
      <c r="G746" t="s">
        <v>1067</v>
      </c>
      <c r="H746" s="121" t="s">
        <v>11572</v>
      </c>
    </row>
    <row r="747" spans="1:8" x14ac:dyDescent="0.25">
      <c r="A747">
        <v>1445923</v>
      </c>
      <c r="B747" s="121" t="s">
        <v>11536</v>
      </c>
      <c r="C747" t="s">
        <v>32</v>
      </c>
      <c r="D747" t="s">
        <v>66</v>
      </c>
      <c r="E747" t="s">
        <v>582</v>
      </c>
      <c r="F747" t="s">
        <v>2504</v>
      </c>
      <c r="G747" t="s">
        <v>11573</v>
      </c>
      <c r="H747" s="121" t="s">
        <v>11574</v>
      </c>
    </row>
    <row r="748" spans="1:8" x14ac:dyDescent="0.25">
      <c r="A748">
        <v>1455486</v>
      </c>
      <c r="B748" s="121" t="s">
        <v>11536</v>
      </c>
      <c r="C748" t="s">
        <v>32</v>
      </c>
      <c r="D748" t="s">
        <v>41</v>
      </c>
      <c r="E748" t="s">
        <v>11248</v>
      </c>
      <c r="F748" t="s">
        <v>11575</v>
      </c>
      <c r="G748" t="s">
        <v>11576</v>
      </c>
      <c r="H748" s="121" t="s">
        <v>11577</v>
      </c>
    </row>
    <row r="749" spans="1:8" x14ac:dyDescent="0.25">
      <c r="A749">
        <v>1456090</v>
      </c>
      <c r="B749" s="121" t="s">
        <v>11536</v>
      </c>
      <c r="C749" t="s">
        <v>32</v>
      </c>
      <c r="D749" t="s">
        <v>41</v>
      </c>
      <c r="E749" t="s">
        <v>8284</v>
      </c>
      <c r="F749" t="s">
        <v>11578</v>
      </c>
      <c r="G749" t="s">
        <v>11579</v>
      </c>
      <c r="H749" s="121" t="s">
        <v>11580</v>
      </c>
    </row>
    <row r="750" spans="1:8" x14ac:dyDescent="0.25">
      <c r="A750">
        <v>1456092</v>
      </c>
      <c r="B750" s="121" t="s">
        <v>11536</v>
      </c>
      <c r="C750" t="s">
        <v>32</v>
      </c>
      <c r="D750" t="s">
        <v>41</v>
      </c>
      <c r="E750" t="s">
        <v>8284</v>
      </c>
      <c r="F750" t="s">
        <v>11581</v>
      </c>
      <c r="G750" t="s">
        <v>11582</v>
      </c>
      <c r="H750" s="121" t="s">
        <v>11583</v>
      </c>
    </row>
    <row r="751" spans="1:8" x14ac:dyDescent="0.25">
      <c r="A751">
        <v>1480394</v>
      </c>
      <c r="B751" s="121" t="s">
        <v>11536</v>
      </c>
      <c r="C751" t="s">
        <v>32</v>
      </c>
      <c r="D751" t="s">
        <v>268</v>
      </c>
      <c r="E751" t="s">
        <v>619</v>
      </c>
      <c r="F751" t="s">
        <v>1536</v>
      </c>
      <c r="G751" t="s">
        <v>4606</v>
      </c>
      <c r="H751" s="121" t="s">
        <v>11584</v>
      </c>
    </row>
    <row r="752" spans="1:8" x14ac:dyDescent="0.25">
      <c r="A752">
        <v>1480404</v>
      </c>
      <c r="B752" s="121" t="s">
        <v>11536</v>
      </c>
      <c r="C752" t="s">
        <v>32</v>
      </c>
      <c r="D752" t="s">
        <v>267</v>
      </c>
      <c r="E752" t="s">
        <v>4696</v>
      </c>
      <c r="F752" t="s">
        <v>4701</v>
      </c>
      <c r="G752" t="s">
        <v>4697</v>
      </c>
      <c r="H752" s="121" t="s">
        <v>11585</v>
      </c>
    </row>
    <row r="753" spans="1:8" x14ac:dyDescent="0.25">
      <c r="A753">
        <v>1487656</v>
      </c>
      <c r="B753" s="121" t="s">
        <v>11536</v>
      </c>
      <c r="C753" t="s">
        <v>32</v>
      </c>
      <c r="D753" t="s">
        <v>381</v>
      </c>
      <c r="E753" t="s">
        <v>624</v>
      </c>
      <c r="F753" t="s">
        <v>1457</v>
      </c>
      <c r="G753" t="s">
        <v>4747</v>
      </c>
      <c r="H753" s="121" t="s">
        <v>11586</v>
      </c>
    </row>
    <row r="754" spans="1:8" x14ac:dyDescent="0.25">
      <c r="A754">
        <v>1492210</v>
      </c>
      <c r="B754" s="121" t="s">
        <v>11536</v>
      </c>
      <c r="C754" t="s">
        <v>32</v>
      </c>
      <c r="D754" t="s">
        <v>20</v>
      </c>
      <c r="E754" t="s">
        <v>60</v>
      </c>
      <c r="F754" t="s">
        <v>11587</v>
      </c>
      <c r="G754" t="s">
        <v>2392</v>
      </c>
      <c r="H754" s="121" t="s">
        <v>11588</v>
      </c>
    </row>
    <row r="755" spans="1:8" x14ac:dyDescent="0.25">
      <c r="A755">
        <v>1496022</v>
      </c>
      <c r="B755" s="121" t="s">
        <v>11536</v>
      </c>
      <c r="C755" t="s">
        <v>32</v>
      </c>
      <c r="D755" t="s">
        <v>85</v>
      </c>
      <c r="E755" t="s">
        <v>7989</v>
      </c>
      <c r="F755" t="s">
        <v>4067</v>
      </c>
      <c r="G755" t="s">
        <v>11589</v>
      </c>
      <c r="H755" s="121" t="s">
        <v>11590</v>
      </c>
    </row>
    <row r="756" spans="1:8" x14ac:dyDescent="0.25">
      <c r="A756">
        <v>1496208</v>
      </c>
      <c r="B756" s="121" t="s">
        <v>11536</v>
      </c>
      <c r="C756" t="s">
        <v>32</v>
      </c>
      <c r="D756" t="s">
        <v>85</v>
      </c>
      <c r="E756" t="s">
        <v>7671</v>
      </c>
      <c r="F756" t="s">
        <v>4071</v>
      </c>
      <c r="G756" t="s">
        <v>11591</v>
      </c>
      <c r="H756" s="121" t="s">
        <v>11592</v>
      </c>
    </row>
    <row r="757" spans="1:8" x14ac:dyDescent="0.25">
      <c r="A757">
        <v>1497118</v>
      </c>
      <c r="B757" s="121" t="s">
        <v>11536</v>
      </c>
      <c r="C757" t="s">
        <v>32</v>
      </c>
      <c r="D757" t="s">
        <v>85</v>
      </c>
      <c r="E757" t="s">
        <v>8328</v>
      </c>
      <c r="F757" t="s">
        <v>11593</v>
      </c>
      <c r="G757" t="s">
        <v>11594</v>
      </c>
      <c r="H757" s="121" t="s">
        <v>11595</v>
      </c>
    </row>
    <row r="758" spans="1:8" x14ac:dyDescent="0.25">
      <c r="A758">
        <v>1497298</v>
      </c>
      <c r="B758" s="121" t="s">
        <v>11536</v>
      </c>
      <c r="C758" t="s">
        <v>32</v>
      </c>
      <c r="D758" t="s">
        <v>85</v>
      </c>
      <c r="E758" t="s">
        <v>8016</v>
      </c>
      <c r="F758" t="s">
        <v>4062</v>
      </c>
      <c r="G758" t="s">
        <v>11596</v>
      </c>
      <c r="H758" s="121" t="s">
        <v>11597</v>
      </c>
    </row>
    <row r="759" spans="1:8" x14ac:dyDescent="0.25">
      <c r="A759">
        <v>1497816</v>
      </c>
      <c r="B759" s="121" t="s">
        <v>11536</v>
      </c>
      <c r="C759" t="s">
        <v>32</v>
      </c>
      <c r="D759" t="s">
        <v>608</v>
      </c>
      <c r="E759" t="s">
        <v>232</v>
      </c>
      <c r="F759" t="s">
        <v>2469</v>
      </c>
      <c r="G759" t="s">
        <v>1765</v>
      </c>
      <c r="H759" s="121" t="s">
        <v>11598</v>
      </c>
    </row>
    <row r="760" spans="1:8" x14ac:dyDescent="0.25">
      <c r="A760">
        <v>1497819</v>
      </c>
      <c r="B760" s="121" t="s">
        <v>11536</v>
      </c>
      <c r="C760" t="s">
        <v>32</v>
      </c>
      <c r="D760" t="s">
        <v>608</v>
      </c>
      <c r="E760" t="s">
        <v>232</v>
      </c>
      <c r="F760" t="s">
        <v>536</v>
      </c>
      <c r="G760" t="s">
        <v>1817</v>
      </c>
      <c r="H760" s="121" t="s">
        <v>11599</v>
      </c>
    </row>
    <row r="761" spans="1:8" x14ac:dyDescent="0.25">
      <c r="A761">
        <v>1497910</v>
      </c>
      <c r="B761" s="121" t="s">
        <v>11536</v>
      </c>
      <c r="C761" t="s">
        <v>32</v>
      </c>
      <c r="D761" t="s">
        <v>608</v>
      </c>
      <c r="E761" t="s">
        <v>45</v>
      </c>
      <c r="F761" t="s">
        <v>4371</v>
      </c>
      <c r="G761" t="s">
        <v>4374</v>
      </c>
      <c r="H761" s="121" t="s">
        <v>11600</v>
      </c>
    </row>
    <row r="762" spans="1:8" x14ac:dyDescent="0.25">
      <c r="A762">
        <v>1504380</v>
      </c>
      <c r="B762" s="121" t="s">
        <v>11536</v>
      </c>
      <c r="C762" t="s">
        <v>32</v>
      </c>
      <c r="D762" t="s">
        <v>275</v>
      </c>
      <c r="E762" t="s">
        <v>7693</v>
      </c>
      <c r="F762" t="s">
        <v>3481</v>
      </c>
      <c r="G762" t="s">
        <v>3243</v>
      </c>
      <c r="H762" s="121" t="s">
        <v>11601</v>
      </c>
    </row>
    <row r="763" spans="1:8" x14ac:dyDescent="0.25">
      <c r="A763">
        <v>1505103</v>
      </c>
      <c r="B763" s="121" t="s">
        <v>11536</v>
      </c>
      <c r="C763" t="s">
        <v>32</v>
      </c>
      <c r="D763" t="s">
        <v>275</v>
      </c>
      <c r="E763" t="s">
        <v>8943</v>
      </c>
      <c r="F763" t="s">
        <v>3614</v>
      </c>
      <c r="G763" t="s">
        <v>2152</v>
      </c>
      <c r="H763" s="121" t="s">
        <v>11602</v>
      </c>
    </row>
    <row r="764" spans="1:8" x14ac:dyDescent="0.25">
      <c r="A764">
        <v>1505106</v>
      </c>
      <c r="B764" s="121" t="s">
        <v>11536</v>
      </c>
      <c r="C764" t="s">
        <v>32</v>
      </c>
      <c r="D764" t="s">
        <v>275</v>
      </c>
      <c r="E764" t="s">
        <v>8943</v>
      </c>
      <c r="F764" t="s">
        <v>11603</v>
      </c>
      <c r="G764" t="s">
        <v>4058</v>
      </c>
      <c r="H764" s="121" t="s">
        <v>11604</v>
      </c>
    </row>
    <row r="765" spans="1:8" x14ac:dyDescent="0.25">
      <c r="A765">
        <v>1506445</v>
      </c>
      <c r="B765" s="121" t="s">
        <v>11536</v>
      </c>
      <c r="C765" t="s">
        <v>32</v>
      </c>
      <c r="D765" t="s">
        <v>610</v>
      </c>
      <c r="E765" t="s">
        <v>668</v>
      </c>
      <c r="F765" t="s">
        <v>2007</v>
      </c>
      <c r="G765" t="s">
        <v>2003</v>
      </c>
      <c r="H765" s="121" t="s">
        <v>11605</v>
      </c>
    </row>
    <row r="766" spans="1:8" x14ac:dyDescent="0.25">
      <c r="A766">
        <v>1506446</v>
      </c>
      <c r="B766" s="121" t="s">
        <v>11536</v>
      </c>
      <c r="C766" t="s">
        <v>32</v>
      </c>
      <c r="D766" t="s">
        <v>610</v>
      </c>
      <c r="E766" t="s">
        <v>668</v>
      </c>
      <c r="F766" t="s">
        <v>2006</v>
      </c>
      <c r="G766" t="s">
        <v>2240</v>
      </c>
      <c r="H766" s="121" t="s">
        <v>11606</v>
      </c>
    </row>
    <row r="767" spans="1:8" x14ac:dyDescent="0.25">
      <c r="A767">
        <v>1506447</v>
      </c>
      <c r="B767" s="121" t="s">
        <v>11536</v>
      </c>
      <c r="C767" t="s">
        <v>32</v>
      </c>
      <c r="D767" t="s">
        <v>610</v>
      </c>
      <c r="E767" t="s">
        <v>668</v>
      </c>
      <c r="F767" t="s">
        <v>2008</v>
      </c>
      <c r="G767" t="s">
        <v>6758</v>
      </c>
      <c r="H767" s="121" t="s">
        <v>11607</v>
      </c>
    </row>
    <row r="768" spans="1:8" x14ac:dyDescent="0.25">
      <c r="A768">
        <v>1510725</v>
      </c>
      <c r="B768" s="121" t="s">
        <v>11536</v>
      </c>
      <c r="C768" t="s">
        <v>32</v>
      </c>
      <c r="D768" t="s">
        <v>275</v>
      </c>
      <c r="E768" t="s">
        <v>7588</v>
      </c>
      <c r="F768" t="s">
        <v>11608</v>
      </c>
      <c r="G768" t="s">
        <v>11609</v>
      </c>
      <c r="H768" s="121" t="s">
        <v>11610</v>
      </c>
    </row>
    <row r="769" spans="1:8" x14ac:dyDescent="0.25">
      <c r="A769">
        <v>1512060</v>
      </c>
      <c r="B769" s="121" t="s">
        <v>11536</v>
      </c>
      <c r="C769" t="s">
        <v>32</v>
      </c>
      <c r="D769" t="s">
        <v>595</v>
      </c>
      <c r="E769" t="s">
        <v>49</v>
      </c>
      <c r="F769" t="s">
        <v>11611</v>
      </c>
      <c r="G769" t="s">
        <v>1496</v>
      </c>
      <c r="H769" s="121" t="s">
        <v>11612</v>
      </c>
    </row>
    <row r="770" spans="1:8" x14ac:dyDescent="0.25">
      <c r="A770">
        <v>1513523</v>
      </c>
      <c r="B770" s="121" t="s">
        <v>11536</v>
      </c>
      <c r="C770" t="s">
        <v>32</v>
      </c>
      <c r="D770" t="s">
        <v>546</v>
      </c>
      <c r="E770" t="s">
        <v>580</v>
      </c>
      <c r="F770" t="s">
        <v>11613</v>
      </c>
      <c r="G770" t="s">
        <v>3619</v>
      </c>
      <c r="H770" s="121" t="s">
        <v>11614</v>
      </c>
    </row>
    <row r="771" spans="1:8" x14ac:dyDescent="0.25">
      <c r="A771">
        <v>1515097</v>
      </c>
      <c r="B771" s="121" t="s">
        <v>11536</v>
      </c>
      <c r="C771" t="s">
        <v>32</v>
      </c>
      <c r="D771" t="s">
        <v>53</v>
      </c>
      <c r="E771" t="s">
        <v>654</v>
      </c>
      <c r="F771" t="s">
        <v>11615</v>
      </c>
      <c r="G771" t="s">
        <v>11616</v>
      </c>
      <c r="H771" s="121" t="s">
        <v>11617</v>
      </c>
    </row>
    <row r="772" spans="1:8" x14ac:dyDescent="0.25">
      <c r="A772">
        <v>1515098</v>
      </c>
      <c r="B772" s="121" t="s">
        <v>11536</v>
      </c>
      <c r="C772" t="s">
        <v>32</v>
      </c>
      <c r="D772" t="s">
        <v>53</v>
      </c>
      <c r="E772" t="s">
        <v>654</v>
      </c>
      <c r="F772" t="s">
        <v>6491</v>
      </c>
      <c r="G772" t="s">
        <v>11618</v>
      </c>
      <c r="H772" s="121" t="s">
        <v>11619</v>
      </c>
    </row>
    <row r="773" spans="1:8" x14ac:dyDescent="0.25">
      <c r="A773">
        <v>1515100</v>
      </c>
      <c r="B773" s="121" t="s">
        <v>11536</v>
      </c>
      <c r="C773" t="s">
        <v>32</v>
      </c>
      <c r="D773" t="s">
        <v>53</v>
      </c>
      <c r="E773" t="s">
        <v>654</v>
      </c>
      <c r="F773" t="s">
        <v>2015</v>
      </c>
      <c r="G773" t="s">
        <v>2019</v>
      </c>
      <c r="H773" s="121" t="s">
        <v>11620</v>
      </c>
    </row>
    <row r="774" spans="1:8" x14ac:dyDescent="0.25">
      <c r="A774">
        <v>1515102</v>
      </c>
      <c r="B774" s="121" t="s">
        <v>11536</v>
      </c>
      <c r="C774" t="s">
        <v>32</v>
      </c>
      <c r="D774" t="s">
        <v>53</v>
      </c>
      <c r="E774" t="s">
        <v>654</v>
      </c>
      <c r="F774" t="s">
        <v>2018</v>
      </c>
      <c r="G774" t="s">
        <v>2017</v>
      </c>
      <c r="H774" s="121" t="s">
        <v>11621</v>
      </c>
    </row>
    <row r="775" spans="1:8" x14ac:dyDescent="0.25">
      <c r="A775">
        <v>1515611</v>
      </c>
      <c r="B775" s="121" t="s">
        <v>11536</v>
      </c>
      <c r="C775" t="s">
        <v>32</v>
      </c>
      <c r="D775" t="s">
        <v>86</v>
      </c>
      <c r="E775" t="s">
        <v>655</v>
      </c>
      <c r="F775" t="s">
        <v>1771</v>
      </c>
      <c r="G775" t="s">
        <v>2020</v>
      </c>
      <c r="H775" s="121" t="s">
        <v>11622</v>
      </c>
    </row>
    <row r="776" spans="1:8" x14ac:dyDescent="0.25">
      <c r="A776">
        <v>1515614</v>
      </c>
      <c r="B776" s="121" t="s">
        <v>11536</v>
      </c>
      <c r="C776" t="s">
        <v>32</v>
      </c>
      <c r="D776" t="s">
        <v>86</v>
      </c>
      <c r="E776" t="s">
        <v>655</v>
      </c>
      <c r="F776" t="s">
        <v>1774</v>
      </c>
      <c r="G776" t="s">
        <v>8369</v>
      </c>
      <c r="H776" s="121" t="s">
        <v>11623</v>
      </c>
    </row>
    <row r="777" spans="1:8" x14ac:dyDescent="0.25">
      <c r="A777">
        <v>1521327</v>
      </c>
      <c r="B777" s="121" t="s">
        <v>11536</v>
      </c>
      <c r="C777" t="s">
        <v>32</v>
      </c>
      <c r="D777" t="s">
        <v>260</v>
      </c>
      <c r="E777" t="s">
        <v>261</v>
      </c>
      <c r="F777" t="s">
        <v>11624</v>
      </c>
      <c r="G777" t="s">
        <v>2482</v>
      </c>
      <c r="H777" s="121" t="s">
        <v>11625</v>
      </c>
    </row>
    <row r="778" spans="1:8" x14ac:dyDescent="0.25">
      <c r="A778">
        <v>1521761</v>
      </c>
      <c r="B778" s="121" t="s">
        <v>11536</v>
      </c>
      <c r="C778" t="s">
        <v>32</v>
      </c>
      <c r="D778" t="s">
        <v>319</v>
      </c>
      <c r="E778" t="s">
        <v>3037</v>
      </c>
      <c r="F778" t="s">
        <v>11626</v>
      </c>
      <c r="G778" t="s">
        <v>5384</v>
      </c>
      <c r="H778" s="121" t="s">
        <v>11627</v>
      </c>
    </row>
    <row r="779" spans="1:8" x14ac:dyDescent="0.25">
      <c r="A779">
        <v>1521763</v>
      </c>
      <c r="B779" s="121" t="s">
        <v>11536</v>
      </c>
      <c r="C779" t="s">
        <v>32</v>
      </c>
      <c r="D779" t="s">
        <v>319</v>
      </c>
      <c r="E779" t="s">
        <v>3037</v>
      </c>
      <c r="F779" t="s">
        <v>11628</v>
      </c>
      <c r="G779" t="s">
        <v>11629</v>
      </c>
      <c r="H779" s="121" t="s">
        <v>11630</v>
      </c>
    </row>
    <row r="780" spans="1:8" x14ac:dyDescent="0.25">
      <c r="A780">
        <v>1527924</v>
      </c>
      <c r="B780" s="121" t="s">
        <v>11536</v>
      </c>
      <c r="C780" t="s">
        <v>32</v>
      </c>
      <c r="D780" t="s">
        <v>569</v>
      </c>
      <c r="E780" t="s">
        <v>49</v>
      </c>
      <c r="F780" t="s">
        <v>3513</v>
      </c>
      <c r="G780" t="s">
        <v>876</v>
      </c>
      <c r="H780" s="121" t="s">
        <v>11631</v>
      </c>
    </row>
    <row r="781" spans="1:8" x14ac:dyDescent="0.25">
      <c r="A781">
        <v>1529693</v>
      </c>
      <c r="B781" s="121" t="s">
        <v>11536</v>
      </c>
      <c r="C781" t="s">
        <v>32</v>
      </c>
      <c r="D781" t="s">
        <v>65</v>
      </c>
      <c r="E781" t="s">
        <v>10150</v>
      </c>
      <c r="F781" t="s">
        <v>3578</v>
      </c>
      <c r="G781" t="s">
        <v>525</v>
      </c>
      <c r="H781" s="121" t="s">
        <v>11632</v>
      </c>
    </row>
    <row r="782" spans="1:8" x14ac:dyDescent="0.25">
      <c r="A782">
        <v>1529806</v>
      </c>
      <c r="B782" s="121" t="s">
        <v>11536</v>
      </c>
      <c r="C782" t="s">
        <v>32</v>
      </c>
      <c r="D782" t="s">
        <v>63</v>
      </c>
      <c r="E782" t="s">
        <v>625</v>
      </c>
      <c r="F782" t="s">
        <v>1606</v>
      </c>
      <c r="G782" t="s">
        <v>4870</v>
      </c>
      <c r="H782" s="121" t="s">
        <v>11633</v>
      </c>
    </row>
    <row r="783" spans="1:8" x14ac:dyDescent="0.25">
      <c r="A783">
        <v>1529807</v>
      </c>
      <c r="B783" s="121" t="s">
        <v>11536</v>
      </c>
      <c r="C783" t="s">
        <v>32</v>
      </c>
      <c r="D783" t="s">
        <v>63</v>
      </c>
      <c r="E783" t="s">
        <v>625</v>
      </c>
      <c r="F783" t="s">
        <v>4875</v>
      </c>
      <c r="G783" t="s">
        <v>969</v>
      </c>
      <c r="H783" s="121" t="s">
        <v>11634</v>
      </c>
    </row>
    <row r="784" spans="1:8" x14ac:dyDescent="0.25">
      <c r="A784">
        <v>1529808</v>
      </c>
      <c r="B784" s="121" t="s">
        <v>11536</v>
      </c>
      <c r="C784" t="s">
        <v>32</v>
      </c>
      <c r="D784" t="s">
        <v>63</v>
      </c>
      <c r="E784" t="s">
        <v>625</v>
      </c>
      <c r="F784" t="s">
        <v>4878</v>
      </c>
      <c r="G784" t="s">
        <v>968</v>
      </c>
      <c r="H784" s="121" t="s">
        <v>11635</v>
      </c>
    </row>
    <row r="785" spans="1:8" x14ac:dyDescent="0.25">
      <c r="A785">
        <v>1530570</v>
      </c>
      <c r="B785" s="121" t="s">
        <v>11536</v>
      </c>
      <c r="C785" t="s">
        <v>32</v>
      </c>
      <c r="D785" t="s">
        <v>78</v>
      </c>
      <c r="E785" t="s">
        <v>69</v>
      </c>
      <c r="F785" t="s">
        <v>11636</v>
      </c>
      <c r="G785" t="s">
        <v>2234</v>
      </c>
      <c r="H785" s="121" t="s">
        <v>11637</v>
      </c>
    </row>
    <row r="786" spans="1:8" x14ac:dyDescent="0.25">
      <c r="A786">
        <v>1535809</v>
      </c>
      <c r="B786" s="121" t="s">
        <v>11536</v>
      </c>
      <c r="C786" t="s">
        <v>32</v>
      </c>
      <c r="D786" t="s">
        <v>377</v>
      </c>
      <c r="E786" t="s">
        <v>45</v>
      </c>
      <c r="F786" t="s">
        <v>2454</v>
      </c>
      <c r="G786" t="s">
        <v>11638</v>
      </c>
      <c r="H786" s="121" t="s">
        <v>11639</v>
      </c>
    </row>
    <row r="787" spans="1:8" x14ac:dyDescent="0.25">
      <c r="A787">
        <v>1536941</v>
      </c>
      <c r="B787" s="121" t="s">
        <v>11536</v>
      </c>
      <c r="C787" t="s">
        <v>32</v>
      </c>
      <c r="D787" t="s">
        <v>71</v>
      </c>
      <c r="E787" t="s">
        <v>350</v>
      </c>
      <c r="F787" t="s">
        <v>11640</v>
      </c>
      <c r="G787" t="s">
        <v>11641</v>
      </c>
      <c r="H787" s="121" t="s">
        <v>11642</v>
      </c>
    </row>
    <row r="788" spans="1:8" x14ac:dyDescent="0.25">
      <c r="A788">
        <v>1538441</v>
      </c>
      <c r="B788" s="121" t="s">
        <v>11536</v>
      </c>
      <c r="C788" t="s">
        <v>32</v>
      </c>
      <c r="D788" t="s">
        <v>68</v>
      </c>
      <c r="E788" t="s">
        <v>47</v>
      </c>
      <c r="F788" t="s">
        <v>11643</v>
      </c>
      <c r="G788" t="s">
        <v>11644</v>
      </c>
      <c r="H788" s="121" t="s">
        <v>11645</v>
      </c>
    </row>
    <row r="789" spans="1:8" x14ac:dyDescent="0.25">
      <c r="A789">
        <v>1540142</v>
      </c>
      <c r="B789" s="121" t="s">
        <v>11536</v>
      </c>
      <c r="C789" t="s">
        <v>32</v>
      </c>
      <c r="D789" t="s">
        <v>6222</v>
      </c>
      <c r="E789" t="s">
        <v>6223</v>
      </c>
      <c r="F789" t="s">
        <v>6228</v>
      </c>
      <c r="G789" t="s">
        <v>11646</v>
      </c>
      <c r="H789" s="121" t="s">
        <v>11647</v>
      </c>
    </row>
    <row r="790" spans="1:8" x14ac:dyDescent="0.25">
      <c r="A790">
        <v>1391124</v>
      </c>
      <c r="B790" s="121" t="s">
        <v>11648</v>
      </c>
      <c r="C790" t="s">
        <v>32</v>
      </c>
      <c r="D790" t="s">
        <v>40</v>
      </c>
      <c r="E790" t="s">
        <v>74</v>
      </c>
      <c r="F790" t="s">
        <v>3650</v>
      </c>
      <c r="G790" t="s">
        <v>2245</v>
      </c>
      <c r="H790" s="121" t="s">
        <v>11649</v>
      </c>
    </row>
    <row r="791" spans="1:8" x14ac:dyDescent="0.25">
      <c r="A791">
        <v>1392141</v>
      </c>
      <c r="B791" s="121" t="s">
        <v>11648</v>
      </c>
      <c r="C791" t="s">
        <v>32</v>
      </c>
      <c r="D791" t="s">
        <v>40</v>
      </c>
      <c r="E791" t="s">
        <v>75</v>
      </c>
      <c r="F791" t="s">
        <v>11650</v>
      </c>
      <c r="G791" t="s">
        <v>2340</v>
      </c>
      <c r="H791" s="121" t="s">
        <v>11651</v>
      </c>
    </row>
    <row r="792" spans="1:8" x14ac:dyDescent="0.25">
      <c r="A792">
        <v>1530941</v>
      </c>
      <c r="B792" s="121" t="s">
        <v>11648</v>
      </c>
      <c r="C792" t="s">
        <v>32</v>
      </c>
      <c r="D792" t="s">
        <v>240</v>
      </c>
      <c r="E792" t="s">
        <v>603</v>
      </c>
      <c r="F792" t="s">
        <v>1603</v>
      </c>
      <c r="G792" t="s">
        <v>5006</v>
      </c>
      <c r="H792" s="121" t="s">
        <v>11652</v>
      </c>
    </row>
    <row r="793" spans="1:8" x14ac:dyDescent="0.25">
      <c r="A793">
        <v>1394374</v>
      </c>
      <c r="B793" s="121" t="s">
        <v>11653</v>
      </c>
      <c r="C793" t="s">
        <v>32</v>
      </c>
      <c r="D793" t="s">
        <v>43</v>
      </c>
      <c r="E793" t="s">
        <v>339</v>
      </c>
      <c r="F793" t="s">
        <v>3676</v>
      </c>
      <c r="G793" t="s">
        <v>510</v>
      </c>
      <c r="H793" s="121" t="s">
        <v>11654</v>
      </c>
    </row>
    <row r="794" spans="1:8" x14ac:dyDescent="0.25">
      <c r="A794">
        <v>1396490</v>
      </c>
      <c r="B794" s="121" t="s">
        <v>11653</v>
      </c>
      <c r="C794" t="s">
        <v>32</v>
      </c>
      <c r="D794" t="s">
        <v>53</v>
      </c>
      <c r="E794" t="s">
        <v>99</v>
      </c>
      <c r="F794" t="s">
        <v>7140</v>
      </c>
      <c r="G794" t="s">
        <v>7141</v>
      </c>
      <c r="H794" s="121" t="s">
        <v>11655</v>
      </c>
    </row>
    <row r="795" spans="1:8" x14ac:dyDescent="0.25">
      <c r="A795">
        <v>1397901</v>
      </c>
      <c r="B795" s="121" t="s">
        <v>11653</v>
      </c>
      <c r="C795" t="s">
        <v>32</v>
      </c>
      <c r="D795" t="s">
        <v>332</v>
      </c>
      <c r="E795" t="s">
        <v>4196</v>
      </c>
      <c r="F795" t="s">
        <v>11656</v>
      </c>
      <c r="G795" t="s">
        <v>11657</v>
      </c>
      <c r="H795" s="121" t="s">
        <v>11658</v>
      </c>
    </row>
    <row r="796" spans="1:8" x14ac:dyDescent="0.25">
      <c r="A796">
        <v>1398225</v>
      </c>
      <c r="B796" s="121" t="s">
        <v>11653</v>
      </c>
      <c r="C796" t="s">
        <v>32</v>
      </c>
      <c r="D796" t="s">
        <v>53</v>
      </c>
      <c r="E796" t="s">
        <v>264</v>
      </c>
      <c r="F796" t="s">
        <v>1626</v>
      </c>
      <c r="G796" t="s">
        <v>6028</v>
      </c>
      <c r="H796" s="121" t="s">
        <v>11659</v>
      </c>
    </row>
    <row r="797" spans="1:8" x14ac:dyDescent="0.25">
      <c r="A797">
        <v>1411296</v>
      </c>
      <c r="B797" s="121" t="s">
        <v>11653</v>
      </c>
      <c r="C797" t="s">
        <v>32</v>
      </c>
      <c r="D797" t="s">
        <v>51</v>
      </c>
      <c r="E797" t="s">
        <v>581</v>
      </c>
      <c r="F797" t="s">
        <v>11660</v>
      </c>
      <c r="G797" t="s">
        <v>1349</v>
      </c>
      <c r="H797" s="121" t="s">
        <v>11661</v>
      </c>
    </row>
    <row r="798" spans="1:8" x14ac:dyDescent="0.25">
      <c r="A798">
        <v>1413607</v>
      </c>
      <c r="B798" s="121" t="s">
        <v>11653</v>
      </c>
      <c r="C798" t="s">
        <v>32</v>
      </c>
      <c r="D798" t="s">
        <v>53</v>
      </c>
      <c r="E798" t="s">
        <v>1853</v>
      </c>
      <c r="F798" t="s">
        <v>1866</v>
      </c>
      <c r="G798" t="s">
        <v>1862</v>
      </c>
      <c r="H798" s="121" t="s">
        <v>11662</v>
      </c>
    </row>
    <row r="799" spans="1:8" x14ac:dyDescent="0.25">
      <c r="A799">
        <v>1433388</v>
      </c>
      <c r="B799" s="121" t="s">
        <v>11653</v>
      </c>
      <c r="C799" t="s">
        <v>32</v>
      </c>
      <c r="D799" t="s">
        <v>40</v>
      </c>
      <c r="E799" t="s">
        <v>661</v>
      </c>
      <c r="F799" t="s">
        <v>1060</v>
      </c>
      <c r="G799" t="s">
        <v>1057</v>
      </c>
      <c r="H799" s="121" t="s">
        <v>11663</v>
      </c>
    </row>
    <row r="800" spans="1:8" x14ac:dyDescent="0.25">
      <c r="A800">
        <v>1449418</v>
      </c>
      <c r="B800" s="121" t="s">
        <v>11653</v>
      </c>
      <c r="C800" t="s">
        <v>32</v>
      </c>
      <c r="D800" t="s">
        <v>64</v>
      </c>
      <c r="E800" t="s">
        <v>9109</v>
      </c>
      <c r="F800" t="s">
        <v>11664</v>
      </c>
      <c r="G800" t="s">
        <v>11665</v>
      </c>
      <c r="H800" s="121" t="s">
        <v>11666</v>
      </c>
    </row>
    <row r="801" spans="1:8" x14ac:dyDescent="0.25">
      <c r="A801">
        <v>1449419</v>
      </c>
      <c r="B801" s="121" t="s">
        <v>11653</v>
      </c>
      <c r="C801" t="s">
        <v>32</v>
      </c>
      <c r="D801" t="s">
        <v>64</v>
      </c>
      <c r="E801" t="s">
        <v>9109</v>
      </c>
      <c r="F801" t="s">
        <v>11667</v>
      </c>
      <c r="G801" t="s">
        <v>11668</v>
      </c>
      <c r="H801" s="121" t="s">
        <v>11669</v>
      </c>
    </row>
    <row r="802" spans="1:8" x14ac:dyDescent="0.25">
      <c r="A802">
        <v>1454578</v>
      </c>
      <c r="B802" s="121" t="s">
        <v>11653</v>
      </c>
      <c r="C802" t="s">
        <v>32</v>
      </c>
      <c r="D802" t="s">
        <v>41</v>
      </c>
      <c r="E802" t="s">
        <v>4652</v>
      </c>
      <c r="F802" t="s">
        <v>11670</v>
      </c>
      <c r="G802" t="s">
        <v>11671</v>
      </c>
      <c r="H802" s="121" t="s">
        <v>11672</v>
      </c>
    </row>
    <row r="803" spans="1:8" x14ac:dyDescent="0.25">
      <c r="A803">
        <v>1461898</v>
      </c>
      <c r="B803" s="121" t="s">
        <v>11653</v>
      </c>
      <c r="C803" t="s">
        <v>32</v>
      </c>
      <c r="D803" t="s">
        <v>40</v>
      </c>
      <c r="E803" t="s">
        <v>649</v>
      </c>
      <c r="F803" t="s">
        <v>11673</v>
      </c>
      <c r="G803" t="s">
        <v>2122</v>
      </c>
      <c r="H803" s="121" t="s">
        <v>11674</v>
      </c>
    </row>
    <row r="804" spans="1:8" x14ac:dyDescent="0.25">
      <c r="A804">
        <v>1462512</v>
      </c>
      <c r="B804" s="121" t="s">
        <v>11653</v>
      </c>
      <c r="C804" t="s">
        <v>32</v>
      </c>
      <c r="D804" t="s">
        <v>40</v>
      </c>
      <c r="E804" t="s">
        <v>650</v>
      </c>
      <c r="F804" t="s">
        <v>2049</v>
      </c>
      <c r="G804" t="s">
        <v>6047</v>
      </c>
      <c r="H804" s="121" t="s">
        <v>11675</v>
      </c>
    </row>
    <row r="805" spans="1:8" x14ac:dyDescent="0.25">
      <c r="A805">
        <v>1463118</v>
      </c>
      <c r="B805" s="121" t="s">
        <v>11653</v>
      </c>
      <c r="C805" t="s">
        <v>32</v>
      </c>
      <c r="D805" t="s">
        <v>40</v>
      </c>
      <c r="E805" t="s">
        <v>651</v>
      </c>
      <c r="F805" t="s">
        <v>2139</v>
      </c>
      <c r="G805" t="s">
        <v>11676</v>
      </c>
      <c r="H805" s="121" t="s">
        <v>11677</v>
      </c>
    </row>
    <row r="806" spans="1:8" x14ac:dyDescent="0.25">
      <c r="A806">
        <v>1464351</v>
      </c>
      <c r="B806" s="121" t="s">
        <v>11653</v>
      </c>
      <c r="C806" t="s">
        <v>32</v>
      </c>
      <c r="D806" t="s">
        <v>332</v>
      </c>
      <c r="E806" t="s">
        <v>1737</v>
      </c>
      <c r="F806" t="s">
        <v>1751</v>
      </c>
      <c r="G806" t="s">
        <v>1739</v>
      </c>
      <c r="H806" s="121" t="s">
        <v>11678</v>
      </c>
    </row>
    <row r="807" spans="1:8" x14ac:dyDescent="0.25">
      <c r="A807">
        <v>1464352</v>
      </c>
      <c r="B807" s="121" t="s">
        <v>11653</v>
      </c>
      <c r="C807" t="s">
        <v>32</v>
      </c>
      <c r="D807" t="s">
        <v>332</v>
      </c>
      <c r="E807" t="s">
        <v>1737</v>
      </c>
      <c r="F807" t="s">
        <v>1748</v>
      </c>
      <c r="G807" t="s">
        <v>1750</v>
      </c>
      <c r="H807" s="121" t="s">
        <v>11679</v>
      </c>
    </row>
    <row r="808" spans="1:8" x14ac:dyDescent="0.25">
      <c r="A808">
        <v>1464353</v>
      </c>
      <c r="B808" s="121" t="s">
        <v>11653</v>
      </c>
      <c r="C808" t="s">
        <v>32</v>
      </c>
      <c r="D808" t="s">
        <v>332</v>
      </c>
      <c r="E808" t="s">
        <v>1737</v>
      </c>
      <c r="F808" t="s">
        <v>1742</v>
      </c>
      <c r="G808" t="s">
        <v>1744</v>
      </c>
      <c r="H808" s="121" t="s">
        <v>11680</v>
      </c>
    </row>
    <row r="809" spans="1:8" x14ac:dyDescent="0.25">
      <c r="A809">
        <v>1464354</v>
      </c>
      <c r="B809" s="121" t="s">
        <v>11653</v>
      </c>
      <c r="C809" t="s">
        <v>32</v>
      </c>
      <c r="D809" t="s">
        <v>332</v>
      </c>
      <c r="E809" t="s">
        <v>1737</v>
      </c>
      <c r="F809" t="s">
        <v>1743</v>
      </c>
      <c r="G809" t="s">
        <v>1740</v>
      </c>
      <c r="H809" s="121" t="s">
        <v>11681</v>
      </c>
    </row>
    <row r="810" spans="1:8" x14ac:dyDescent="0.25">
      <c r="A810">
        <v>1464355</v>
      </c>
      <c r="B810" s="121" t="s">
        <v>11653</v>
      </c>
      <c r="C810" t="s">
        <v>32</v>
      </c>
      <c r="D810" t="s">
        <v>332</v>
      </c>
      <c r="E810" t="s">
        <v>1737</v>
      </c>
      <c r="F810" t="s">
        <v>1749</v>
      </c>
      <c r="G810" t="s">
        <v>1738</v>
      </c>
      <c r="H810" s="121" t="s">
        <v>11682</v>
      </c>
    </row>
    <row r="811" spans="1:8" x14ac:dyDescent="0.25">
      <c r="A811">
        <v>1464356</v>
      </c>
      <c r="B811" s="121" t="s">
        <v>11653</v>
      </c>
      <c r="C811" t="s">
        <v>32</v>
      </c>
      <c r="D811" t="s">
        <v>332</v>
      </c>
      <c r="E811" t="s">
        <v>1737</v>
      </c>
      <c r="F811" t="s">
        <v>1753</v>
      </c>
      <c r="G811" t="s">
        <v>1747</v>
      </c>
      <c r="H811" s="121" t="s">
        <v>11683</v>
      </c>
    </row>
    <row r="812" spans="1:8" x14ac:dyDescent="0.25">
      <c r="A812">
        <v>1464357</v>
      </c>
      <c r="B812" s="121" t="s">
        <v>11653</v>
      </c>
      <c r="C812" t="s">
        <v>32</v>
      </c>
      <c r="D812" t="s">
        <v>332</v>
      </c>
      <c r="E812" t="s">
        <v>1737</v>
      </c>
      <c r="F812" t="s">
        <v>1752</v>
      </c>
      <c r="G812" t="s">
        <v>1746</v>
      </c>
      <c r="H812" s="121" t="s">
        <v>11684</v>
      </c>
    </row>
    <row r="813" spans="1:8" x14ac:dyDescent="0.25">
      <c r="A813">
        <v>1464358</v>
      </c>
      <c r="B813" s="121" t="s">
        <v>11653</v>
      </c>
      <c r="C813" t="s">
        <v>32</v>
      </c>
      <c r="D813" t="s">
        <v>332</v>
      </c>
      <c r="E813" t="s">
        <v>1737</v>
      </c>
      <c r="F813" t="s">
        <v>1745</v>
      </c>
      <c r="G813" t="s">
        <v>1741</v>
      </c>
      <c r="H813" s="121" t="s">
        <v>11685</v>
      </c>
    </row>
    <row r="814" spans="1:8" x14ac:dyDescent="0.25">
      <c r="A814">
        <v>1474859</v>
      </c>
      <c r="B814" s="121" t="s">
        <v>11653</v>
      </c>
      <c r="C814" t="s">
        <v>32</v>
      </c>
      <c r="D814" t="s">
        <v>267</v>
      </c>
      <c r="E814" t="s">
        <v>632</v>
      </c>
      <c r="F814" t="s">
        <v>11686</v>
      </c>
      <c r="G814" t="s">
        <v>4715</v>
      </c>
      <c r="H814" s="121" t="s">
        <v>11687</v>
      </c>
    </row>
    <row r="815" spans="1:8" x14ac:dyDescent="0.25">
      <c r="A815">
        <v>1475534</v>
      </c>
      <c r="B815" s="121" t="s">
        <v>11653</v>
      </c>
      <c r="C815" t="s">
        <v>32</v>
      </c>
      <c r="D815" t="s">
        <v>326</v>
      </c>
      <c r="E815" t="s">
        <v>633</v>
      </c>
      <c r="F815" t="s">
        <v>4732</v>
      </c>
      <c r="G815" t="s">
        <v>4728</v>
      </c>
      <c r="H815" s="121" t="s">
        <v>11688</v>
      </c>
    </row>
    <row r="816" spans="1:8" x14ac:dyDescent="0.25">
      <c r="A816">
        <v>1489531</v>
      </c>
      <c r="B816" s="121" t="s">
        <v>11653</v>
      </c>
      <c r="C816" t="s">
        <v>32</v>
      </c>
      <c r="D816" t="s">
        <v>381</v>
      </c>
      <c r="E816" t="s">
        <v>573</v>
      </c>
      <c r="F816" t="s">
        <v>869</v>
      </c>
      <c r="G816" t="s">
        <v>2991</v>
      </c>
      <c r="H816" s="121" t="s">
        <v>11689</v>
      </c>
    </row>
    <row r="817" spans="1:8" x14ac:dyDescent="0.25">
      <c r="A817">
        <v>1489916</v>
      </c>
      <c r="B817" s="121" t="s">
        <v>11653</v>
      </c>
      <c r="C817" t="s">
        <v>32</v>
      </c>
      <c r="D817" t="s">
        <v>381</v>
      </c>
      <c r="E817" t="s">
        <v>574</v>
      </c>
      <c r="F817" t="s">
        <v>1594</v>
      </c>
      <c r="G817" t="s">
        <v>892</v>
      </c>
      <c r="H817" s="121" t="s">
        <v>11690</v>
      </c>
    </row>
    <row r="818" spans="1:8" x14ac:dyDescent="0.25">
      <c r="A818">
        <v>1489922</v>
      </c>
      <c r="B818" s="121" t="s">
        <v>11653</v>
      </c>
      <c r="C818" t="s">
        <v>32</v>
      </c>
      <c r="D818" t="s">
        <v>381</v>
      </c>
      <c r="E818" t="s">
        <v>574</v>
      </c>
      <c r="F818" t="s">
        <v>1597</v>
      </c>
      <c r="G818" t="s">
        <v>3021</v>
      </c>
      <c r="H818" s="121" t="s">
        <v>11691</v>
      </c>
    </row>
    <row r="819" spans="1:8" x14ac:dyDescent="0.25">
      <c r="A819">
        <v>1494125</v>
      </c>
      <c r="B819" s="121" t="s">
        <v>11653</v>
      </c>
      <c r="C819" t="s">
        <v>32</v>
      </c>
      <c r="D819" t="s">
        <v>275</v>
      </c>
      <c r="E819" t="s">
        <v>8304</v>
      </c>
      <c r="F819" t="s">
        <v>2149</v>
      </c>
      <c r="G819" t="s">
        <v>11692</v>
      </c>
      <c r="H819" s="121" t="s">
        <v>11693</v>
      </c>
    </row>
    <row r="820" spans="1:8" x14ac:dyDescent="0.25">
      <c r="A820">
        <v>1494590</v>
      </c>
      <c r="B820" s="121" t="s">
        <v>11653</v>
      </c>
      <c r="C820" t="s">
        <v>32</v>
      </c>
      <c r="D820" t="s">
        <v>80</v>
      </c>
      <c r="E820" t="s">
        <v>81</v>
      </c>
      <c r="F820" t="s">
        <v>11694</v>
      </c>
      <c r="G820" t="s">
        <v>1461</v>
      </c>
      <c r="H820" s="121" t="s">
        <v>11695</v>
      </c>
    </row>
    <row r="821" spans="1:8" x14ac:dyDescent="0.25">
      <c r="A821">
        <v>1494591</v>
      </c>
      <c r="B821" s="121" t="s">
        <v>11653</v>
      </c>
      <c r="C821" t="s">
        <v>32</v>
      </c>
      <c r="D821" t="s">
        <v>80</v>
      </c>
      <c r="E821" t="s">
        <v>81</v>
      </c>
      <c r="F821" t="s">
        <v>6892</v>
      </c>
      <c r="G821" t="s">
        <v>2058</v>
      </c>
      <c r="H821" s="121" t="s">
        <v>11696</v>
      </c>
    </row>
    <row r="822" spans="1:8" x14ac:dyDescent="0.25">
      <c r="A822">
        <v>1494594</v>
      </c>
      <c r="B822" s="121" t="s">
        <v>11653</v>
      </c>
      <c r="C822" t="s">
        <v>32</v>
      </c>
      <c r="D822" t="s">
        <v>80</v>
      </c>
      <c r="E822" t="s">
        <v>81</v>
      </c>
      <c r="F822" t="s">
        <v>2059</v>
      </c>
      <c r="G822" t="s">
        <v>6463</v>
      </c>
      <c r="H822" s="121" t="s">
        <v>11697</v>
      </c>
    </row>
    <row r="823" spans="1:8" x14ac:dyDescent="0.25">
      <c r="A823">
        <v>1515691</v>
      </c>
      <c r="B823" s="121" t="s">
        <v>11653</v>
      </c>
      <c r="C823" t="s">
        <v>32</v>
      </c>
      <c r="D823" t="s">
        <v>275</v>
      </c>
      <c r="E823" t="s">
        <v>7737</v>
      </c>
      <c r="F823" t="s">
        <v>11698</v>
      </c>
      <c r="G823" t="s">
        <v>11699</v>
      </c>
      <c r="H823" s="121" t="s">
        <v>11700</v>
      </c>
    </row>
    <row r="824" spans="1:8" x14ac:dyDescent="0.25">
      <c r="A824">
        <v>1524297</v>
      </c>
      <c r="B824" s="121" t="s">
        <v>11653</v>
      </c>
      <c r="C824" t="s">
        <v>32</v>
      </c>
      <c r="D824" t="s">
        <v>48</v>
      </c>
      <c r="E824" t="s">
        <v>342</v>
      </c>
      <c r="F824" t="s">
        <v>2064</v>
      </c>
      <c r="G824" t="s">
        <v>11701</v>
      </c>
      <c r="H824" s="121" t="s">
        <v>11702</v>
      </c>
    </row>
    <row r="825" spans="1:8" x14ac:dyDescent="0.25">
      <c r="A825">
        <v>1527566</v>
      </c>
      <c r="B825" s="121" t="s">
        <v>11653</v>
      </c>
      <c r="C825" t="s">
        <v>32</v>
      </c>
      <c r="D825" t="s">
        <v>422</v>
      </c>
      <c r="E825" t="s">
        <v>49</v>
      </c>
      <c r="F825" t="s">
        <v>11703</v>
      </c>
      <c r="G825" t="s">
        <v>11704</v>
      </c>
      <c r="H825" s="121" t="s">
        <v>11705</v>
      </c>
    </row>
    <row r="826" spans="1:8" x14ac:dyDescent="0.25">
      <c r="A826">
        <v>1531555</v>
      </c>
      <c r="B826" s="121" t="s">
        <v>11653</v>
      </c>
      <c r="C826" t="s">
        <v>32</v>
      </c>
      <c r="D826" t="s">
        <v>352</v>
      </c>
      <c r="E826" t="s">
        <v>25</v>
      </c>
      <c r="F826" t="s">
        <v>2041</v>
      </c>
      <c r="G826" t="s">
        <v>11706</v>
      </c>
      <c r="H826" s="121" t="s">
        <v>11707</v>
      </c>
    </row>
    <row r="827" spans="1:8" x14ac:dyDescent="0.25">
      <c r="A827">
        <v>1534175</v>
      </c>
      <c r="B827" s="121" t="s">
        <v>11653</v>
      </c>
      <c r="C827" t="s">
        <v>32</v>
      </c>
      <c r="D827" t="s">
        <v>326</v>
      </c>
      <c r="E827" t="s">
        <v>327</v>
      </c>
      <c r="F827" t="s">
        <v>5042</v>
      </c>
      <c r="G827" t="s">
        <v>11708</v>
      </c>
      <c r="H827" s="121" t="s">
        <v>11709</v>
      </c>
    </row>
    <row r="828" spans="1:8" x14ac:dyDescent="0.25">
      <c r="A828">
        <v>1539979</v>
      </c>
      <c r="B828" s="121" t="s">
        <v>11653</v>
      </c>
      <c r="C828" t="s">
        <v>32</v>
      </c>
      <c r="D828" t="s">
        <v>5019</v>
      </c>
      <c r="E828" t="s">
        <v>5020</v>
      </c>
      <c r="F828" t="s">
        <v>5030</v>
      </c>
      <c r="G828" t="s">
        <v>11710</v>
      </c>
      <c r="H828" s="121" t="s">
        <v>11711</v>
      </c>
    </row>
    <row r="829" spans="1:8" x14ac:dyDescent="0.25">
      <c r="A829">
        <v>1381128</v>
      </c>
      <c r="B829" s="121" t="s">
        <v>11712</v>
      </c>
      <c r="C829" t="s">
        <v>32</v>
      </c>
      <c r="D829" t="s">
        <v>58</v>
      </c>
      <c r="E829" t="s">
        <v>59</v>
      </c>
      <c r="F829" t="s">
        <v>11713</v>
      </c>
      <c r="G829" t="s">
        <v>11714</v>
      </c>
      <c r="H829" s="121" t="s">
        <v>11715</v>
      </c>
    </row>
    <row r="830" spans="1:8" x14ac:dyDescent="0.25">
      <c r="A830">
        <v>1382270</v>
      </c>
      <c r="B830" s="121" t="s">
        <v>11712</v>
      </c>
      <c r="C830" t="s">
        <v>32</v>
      </c>
      <c r="D830" t="s">
        <v>58</v>
      </c>
      <c r="E830" t="s">
        <v>88</v>
      </c>
      <c r="F830" t="s">
        <v>1526</v>
      </c>
      <c r="G830" t="s">
        <v>11716</v>
      </c>
      <c r="H830" s="121" t="s">
        <v>11717</v>
      </c>
    </row>
    <row r="831" spans="1:8" x14ac:dyDescent="0.25">
      <c r="A831">
        <v>1381767</v>
      </c>
      <c r="B831" s="121" t="s">
        <v>11718</v>
      </c>
      <c r="C831" t="s">
        <v>32</v>
      </c>
      <c r="D831" t="s">
        <v>51</v>
      </c>
      <c r="E831" t="s">
        <v>52</v>
      </c>
      <c r="F831" t="s">
        <v>1020</v>
      </c>
      <c r="G831" t="s">
        <v>6703</v>
      </c>
      <c r="H831" s="121" t="s">
        <v>11719</v>
      </c>
    </row>
    <row r="832" spans="1:8" x14ac:dyDescent="0.25">
      <c r="A832">
        <v>1388250</v>
      </c>
      <c r="B832" s="121" t="s">
        <v>11718</v>
      </c>
      <c r="C832" t="s">
        <v>32</v>
      </c>
      <c r="D832" t="s">
        <v>267</v>
      </c>
      <c r="E832" t="s">
        <v>402</v>
      </c>
      <c r="F832" t="s">
        <v>11720</v>
      </c>
      <c r="G832" t="s">
        <v>1796</v>
      </c>
      <c r="H832" s="121" t="s">
        <v>11721</v>
      </c>
    </row>
    <row r="833" spans="1:8" x14ac:dyDescent="0.25">
      <c r="A833">
        <v>1413602</v>
      </c>
      <c r="B833" s="121" t="s">
        <v>11718</v>
      </c>
      <c r="C833" t="s">
        <v>32</v>
      </c>
      <c r="D833" t="s">
        <v>53</v>
      </c>
      <c r="E833" t="s">
        <v>1853</v>
      </c>
      <c r="F833" t="s">
        <v>1865</v>
      </c>
      <c r="G833" t="s">
        <v>1858</v>
      </c>
      <c r="H833" s="121" t="s">
        <v>11722</v>
      </c>
    </row>
    <row r="834" spans="1:8" x14ac:dyDescent="0.25">
      <c r="A834">
        <v>1413604</v>
      </c>
      <c r="B834" s="121" t="s">
        <v>11718</v>
      </c>
      <c r="C834" t="s">
        <v>32</v>
      </c>
      <c r="D834" t="s">
        <v>53</v>
      </c>
      <c r="E834" t="s">
        <v>1853</v>
      </c>
      <c r="F834" t="s">
        <v>1854</v>
      </c>
      <c r="G834" t="s">
        <v>1857</v>
      </c>
      <c r="H834" s="121" t="s">
        <v>11723</v>
      </c>
    </row>
    <row r="835" spans="1:8" x14ac:dyDescent="0.25">
      <c r="A835">
        <v>1413605</v>
      </c>
      <c r="B835" s="121" t="s">
        <v>11718</v>
      </c>
      <c r="C835" t="s">
        <v>32</v>
      </c>
      <c r="D835" t="s">
        <v>53</v>
      </c>
      <c r="E835" t="s">
        <v>1853</v>
      </c>
      <c r="F835" t="s">
        <v>1859</v>
      </c>
      <c r="G835" t="s">
        <v>1861</v>
      </c>
      <c r="H835" s="121" t="s">
        <v>11724</v>
      </c>
    </row>
    <row r="836" spans="1:8" x14ac:dyDescent="0.25">
      <c r="A836">
        <v>1413606</v>
      </c>
      <c r="B836" s="121" t="s">
        <v>11718</v>
      </c>
      <c r="C836" t="s">
        <v>32</v>
      </c>
      <c r="D836" t="s">
        <v>53</v>
      </c>
      <c r="E836" t="s">
        <v>1853</v>
      </c>
      <c r="F836" t="s">
        <v>1855</v>
      </c>
      <c r="G836" t="s">
        <v>1867</v>
      </c>
      <c r="H836" s="121" t="s">
        <v>11725</v>
      </c>
    </row>
    <row r="837" spans="1:8" x14ac:dyDescent="0.25">
      <c r="A837">
        <v>1413748</v>
      </c>
      <c r="B837" s="121" t="s">
        <v>11718</v>
      </c>
      <c r="C837" t="s">
        <v>32</v>
      </c>
      <c r="D837" t="s">
        <v>53</v>
      </c>
      <c r="E837" t="s">
        <v>1868</v>
      </c>
      <c r="F837" t="s">
        <v>1882</v>
      </c>
      <c r="G837" t="s">
        <v>1870</v>
      </c>
      <c r="H837" s="121" t="s">
        <v>11726</v>
      </c>
    </row>
    <row r="838" spans="1:8" x14ac:dyDescent="0.25">
      <c r="A838">
        <v>1413749</v>
      </c>
      <c r="B838" s="121" t="s">
        <v>11718</v>
      </c>
      <c r="C838" t="s">
        <v>32</v>
      </c>
      <c r="D838" t="s">
        <v>53</v>
      </c>
      <c r="E838" t="s">
        <v>1868</v>
      </c>
      <c r="F838" t="s">
        <v>1872</v>
      </c>
      <c r="G838" t="s">
        <v>1874</v>
      </c>
      <c r="H838" s="121" t="s">
        <v>11727</v>
      </c>
    </row>
    <row r="839" spans="1:8" x14ac:dyDescent="0.25">
      <c r="A839">
        <v>1413750</v>
      </c>
      <c r="B839" s="121" t="s">
        <v>11718</v>
      </c>
      <c r="C839" t="s">
        <v>32</v>
      </c>
      <c r="D839" t="s">
        <v>53</v>
      </c>
      <c r="E839" t="s">
        <v>1868</v>
      </c>
      <c r="F839" t="s">
        <v>1877</v>
      </c>
      <c r="G839" t="s">
        <v>1880</v>
      </c>
      <c r="H839" s="121" t="s">
        <v>11728</v>
      </c>
    </row>
    <row r="840" spans="1:8" x14ac:dyDescent="0.25">
      <c r="A840">
        <v>1413751</v>
      </c>
      <c r="B840" s="121" t="s">
        <v>11718</v>
      </c>
      <c r="C840" t="s">
        <v>32</v>
      </c>
      <c r="D840" t="s">
        <v>53</v>
      </c>
      <c r="E840" t="s">
        <v>1868</v>
      </c>
      <c r="F840" t="s">
        <v>1869</v>
      </c>
      <c r="G840" t="s">
        <v>1879</v>
      </c>
      <c r="H840" s="121" t="s">
        <v>11729</v>
      </c>
    </row>
    <row r="841" spans="1:8" x14ac:dyDescent="0.25">
      <c r="A841">
        <v>1413752</v>
      </c>
      <c r="B841" s="121" t="s">
        <v>11718</v>
      </c>
      <c r="C841" t="s">
        <v>32</v>
      </c>
      <c r="D841" t="s">
        <v>53</v>
      </c>
      <c r="E841" t="s">
        <v>1868</v>
      </c>
      <c r="F841" t="s">
        <v>1878</v>
      </c>
      <c r="G841" t="s">
        <v>1871</v>
      </c>
      <c r="H841" s="121" t="s">
        <v>11730</v>
      </c>
    </row>
    <row r="842" spans="1:8" x14ac:dyDescent="0.25">
      <c r="A842">
        <v>1413753</v>
      </c>
      <c r="B842" s="121" t="s">
        <v>11718</v>
      </c>
      <c r="C842" t="s">
        <v>32</v>
      </c>
      <c r="D842" t="s">
        <v>53</v>
      </c>
      <c r="E842" t="s">
        <v>1868</v>
      </c>
      <c r="F842" t="s">
        <v>1873</v>
      </c>
      <c r="G842" t="s">
        <v>1875</v>
      </c>
      <c r="H842" s="121" t="s">
        <v>11731</v>
      </c>
    </row>
    <row r="843" spans="1:8" x14ac:dyDescent="0.25">
      <c r="A843">
        <v>1413781</v>
      </c>
      <c r="B843" s="121" t="s">
        <v>11718</v>
      </c>
      <c r="C843" t="s">
        <v>32</v>
      </c>
      <c r="D843" t="s">
        <v>53</v>
      </c>
      <c r="E843" t="s">
        <v>1868</v>
      </c>
      <c r="F843" t="s">
        <v>1881</v>
      </c>
      <c r="G843" t="s">
        <v>1876</v>
      </c>
      <c r="H843" s="121" t="s">
        <v>11732</v>
      </c>
    </row>
    <row r="844" spans="1:8" x14ac:dyDescent="0.25">
      <c r="A844">
        <v>1413946</v>
      </c>
      <c r="B844" s="121" t="s">
        <v>11718</v>
      </c>
      <c r="C844" t="s">
        <v>32</v>
      </c>
      <c r="D844" t="s">
        <v>53</v>
      </c>
      <c r="E844" t="s">
        <v>643</v>
      </c>
      <c r="F844" t="s">
        <v>11733</v>
      </c>
      <c r="G844" t="s">
        <v>1883</v>
      </c>
      <c r="H844" s="121" t="s">
        <v>11734</v>
      </c>
    </row>
    <row r="845" spans="1:8" x14ac:dyDescent="0.25">
      <c r="A845">
        <v>1413947</v>
      </c>
      <c r="B845" s="121" t="s">
        <v>11718</v>
      </c>
      <c r="C845" t="s">
        <v>32</v>
      </c>
      <c r="D845" t="s">
        <v>53</v>
      </c>
      <c r="E845" t="s">
        <v>643</v>
      </c>
      <c r="F845" t="s">
        <v>1028</v>
      </c>
      <c r="G845" t="s">
        <v>1884</v>
      </c>
      <c r="H845" s="121" t="s">
        <v>11735</v>
      </c>
    </row>
    <row r="846" spans="1:8" x14ac:dyDescent="0.25">
      <c r="A846">
        <v>1413948</v>
      </c>
      <c r="B846" s="121" t="s">
        <v>11718</v>
      </c>
      <c r="C846" t="s">
        <v>32</v>
      </c>
      <c r="D846" t="s">
        <v>53</v>
      </c>
      <c r="E846" t="s">
        <v>643</v>
      </c>
      <c r="F846" t="s">
        <v>1887</v>
      </c>
      <c r="G846" t="s">
        <v>1889</v>
      </c>
      <c r="H846" s="121" t="s">
        <v>11736</v>
      </c>
    </row>
    <row r="847" spans="1:8" x14ac:dyDescent="0.25">
      <c r="A847">
        <v>1413949</v>
      </c>
      <c r="B847" s="121" t="s">
        <v>11718</v>
      </c>
      <c r="C847" t="s">
        <v>32</v>
      </c>
      <c r="D847" t="s">
        <v>53</v>
      </c>
      <c r="E847" t="s">
        <v>643</v>
      </c>
      <c r="F847" t="s">
        <v>1886</v>
      </c>
      <c r="G847" t="s">
        <v>1238</v>
      </c>
      <c r="H847" s="121" t="s">
        <v>11737</v>
      </c>
    </row>
    <row r="848" spans="1:8" x14ac:dyDescent="0.25">
      <c r="A848">
        <v>1413950</v>
      </c>
      <c r="B848" s="121" t="s">
        <v>11718</v>
      </c>
      <c r="C848" t="s">
        <v>32</v>
      </c>
      <c r="D848" t="s">
        <v>53</v>
      </c>
      <c r="E848" t="s">
        <v>643</v>
      </c>
      <c r="F848" t="s">
        <v>1885</v>
      </c>
      <c r="G848" t="s">
        <v>1890</v>
      </c>
      <c r="H848" s="121" t="s">
        <v>11738</v>
      </c>
    </row>
    <row r="849" spans="1:8" x14ac:dyDescent="0.25">
      <c r="A849">
        <v>1413951</v>
      </c>
      <c r="B849" s="121" t="s">
        <v>11718</v>
      </c>
      <c r="C849" t="s">
        <v>32</v>
      </c>
      <c r="D849" t="s">
        <v>53</v>
      </c>
      <c r="E849" t="s">
        <v>643</v>
      </c>
      <c r="F849" t="s">
        <v>1239</v>
      </c>
      <c r="G849" t="s">
        <v>11739</v>
      </c>
      <c r="H849" s="121" t="s">
        <v>11740</v>
      </c>
    </row>
    <row r="850" spans="1:8" x14ac:dyDescent="0.25">
      <c r="A850">
        <v>1414126</v>
      </c>
      <c r="B850" s="121" t="s">
        <v>11718</v>
      </c>
      <c r="C850" t="s">
        <v>32</v>
      </c>
      <c r="D850" t="s">
        <v>53</v>
      </c>
      <c r="E850" t="s">
        <v>1891</v>
      </c>
      <c r="F850" t="s">
        <v>1898</v>
      </c>
      <c r="G850" t="s">
        <v>1892</v>
      </c>
      <c r="H850" s="121" t="s">
        <v>11741</v>
      </c>
    </row>
    <row r="851" spans="1:8" x14ac:dyDescent="0.25">
      <c r="A851">
        <v>1414127</v>
      </c>
      <c r="B851" s="121" t="s">
        <v>11718</v>
      </c>
      <c r="C851" t="s">
        <v>32</v>
      </c>
      <c r="D851" t="s">
        <v>53</v>
      </c>
      <c r="E851" t="s">
        <v>1891</v>
      </c>
      <c r="F851" t="s">
        <v>1896</v>
      </c>
      <c r="G851" t="s">
        <v>1900</v>
      </c>
      <c r="H851" s="121" t="s">
        <v>11742</v>
      </c>
    </row>
    <row r="852" spans="1:8" x14ac:dyDescent="0.25">
      <c r="A852">
        <v>1414128</v>
      </c>
      <c r="B852" s="121" t="s">
        <v>11718</v>
      </c>
      <c r="C852" t="s">
        <v>32</v>
      </c>
      <c r="D852" t="s">
        <v>53</v>
      </c>
      <c r="E852" t="s">
        <v>1891</v>
      </c>
      <c r="F852" t="s">
        <v>1902</v>
      </c>
      <c r="G852" t="s">
        <v>1893</v>
      </c>
      <c r="H852" s="121" t="s">
        <v>11743</v>
      </c>
    </row>
    <row r="853" spans="1:8" x14ac:dyDescent="0.25">
      <c r="A853">
        <v>1414129</v>
      </c>
      <c r="B853" s="121" t="s">
        <v>11718</v>
      </c>
      <c r="C853" t="s">
        <v>32</v>
      </c>
      <c r="D853" t="s">
        <v>53</v>
      </c>
      <c r="E853" t="s">
        <v>1891</v>
      </c>
      <c r="F853" t="s">
        <v>1905</v>
      </c>
      <c r="G853" t="s">
        <v>1897</v>
      </c>
      <c r="H853" s="121" t="s">
        <v>11744</v>
      </c>
    </row>
    <row r="854" spans="1:8" x14ac:dyDescent="0.25">
      <c r="A854">
        <v>1414130</v>
      </c>
      <c r="B854" s="121" t="s">
        <v>11718</v>
      </c>
      <c r="C854" t="s">
        <v>32</v>
      </c>
      <c r="D854" t="s">
        <v>53</v>
      </c>
      <c r="E854" t="s">
        <v>1891</v>
      </c>
      <c r="F854" t="s">
        <v>1903</v>
      </c>
      <c r="G854" t="s">
        <v>1904</v>
      </c>
      <c r="H854" s="121" t="s">
        <v>11745</v>
      </c>
    </row>
    <row r="855" spans="1:8" x14ac:dyDescent="0.25">
      <c r="A855">
        <v>1414131</v>
      </c>
      <c r="B855" s="121" t="s">
        <v>11718</v>
      </c>
      <c r="C855" t="s">
        <v>32</v>
      </c>
      <c r="D855" t="s">
        <v>53</v>
      </c>
      <c r="E855" t="s">
        <v>1891</v>
      </c>
      <c r="F855" t="s">
        <v>1894</v>
      </c>
      <c r="G855" t="s">
        <v>1901</v>
      </c>
      <c r="H855" s="121" t="s">
        <v>11746</v>
      </c>
    </row>
    <row r="856" spans="1:8" x14ac:dyDescent="0.25">
      <c r="A856">
        <v>1414132</v>
      </c>
      <c r="B856" s="121" t="s">
        <v>11718</v>
      </c>
      <c r="C856" t="s">
        <v>32</v>
      </c>
      <c r="D856" t="s">
        <v>53</v>
      </c>
      <c r="E856" t="s">
        <v>1891</v>
      </c>
      <c r="F856" t="s">
        <v>1895</v>
      </c>
      <c r="G856" t="s">
        <v>1899</v>
      </c>
      <c r="H856" s="121" t="s">
        <v>11747</v>
      </c>
    </row>
    <row r="857" spans="1:8" x14ac:dyDescent="0.25">
      <c r="A857">
        <v>1432160</v>
      </c>
      <c r="B857" s="121" t="s">
        <v>11718</v>
      </c>
      <c r="C857" t="s">
        <v>32</v>
      </c>
      <c r="D857" t="s">
        <v>40</v>
      </c>
      <c r="E857" t="s">
        <v>660</v>
      </c>
      <c r="F857" t="s">
        <v>2090</v>
      </c>
      <c r="G857" t="s">
        <v>2084</v>
      </c>
      <c r="H857" s="121" t="s">
        <v>11748</v>
      </c>
    </row>
    <row r="858" spans="1:8" x14ac:dyDescent="0.25">
      <c r="A858">
        <v>1432163</v>
      </c>
      <c r="B858" s="121" t="s">
        <v>11718</v>
      </c>
      <c r="C858" t="s">
        <v>32</v>
      </c>
      <c r="D858" t="s">
        <v>40</v>
      </c>
      <c r="E858" t="s">
        <v>660</v>
      </c>
      <c r="F858" t="s">
        <v>2085</v>
      </c>
      <c r="G858" t="s">
        <v>2087</v>
      </c>
      <c r="H858" s="121" t="s">
        <v>11749</v>
      </c>
    </row>
    <row r="859" spans="1:8" x14ac:dyDescent="0.25">
      <c r="A859">
        <v>1432165</v>
      </c>
      <c r="B859" s="121" t="s">
        <v>11718</v>
      </c>
      <c r="C859" t="s">
        <v>32</v>
      </c>
      <c r="D859" t="s">
        <v>40</v>
      </c>
      <c r="E859" t="s">
        <v>660</v>
      </c>
      <c r="F859" t="s">
        <v>6424</v>
      </c>
      <c r="G859" t="s">
        <v>2089</v>
      </c>
      <c r="H859" s="121" t="s">
        <v>11750</v>
      </c>
    </row>
    <row r="860" spans="1:8" x14ac:dyDescent="0.25">
      <c r="A860">
        <v>1432167</v>
      </c>
      <c r="B860" s="121" t="s">
        <v>11718</v>
      </c>
      <c r="C860" t="s">
        <v>32</v>
      </c>
      <c r="D860" t="s">
        <v>40</v>
      </c>
      <c r="E860" t="s">
        <v>660</v>
      </c>
      <c r="F860" t="s">
        <v>11751</v>
      </c>
      <c r="G860" t="s">
        <v>6423</v>
      </c>
      <c r="H860" s="121" t="s">
        <v>11752</v>
      </c>
    </row>
    <row r="861" spans="1:8" x14ac:dyDescent="0.25">
      <c r="A861">
        <v>1432469</v>
      </c>
      <c r="B861" s="121" t="s">
        <v>11718</v>
      </c>
      <c r="C861" t="s">
        <v>32</v>
      </c>
      <c r="D861" t="s">
        <v>40</v>
      </c>
      <c r="E861" t="s">
        <v>645</v>
      </c>
      <c r="F861" t="s">
        <v>1041</v>
      </c>
      <c r="G861" t="s">
        <v>2096</v>
      </c>
      <c r="H861" s="121" t="s">
        <v>11753</v>
      </c>
    </row>
    <row r="862" spans="1:8" x14ac:dyDescent="0.25">
      <c r="A862">
        <v>1432471</v>
      </c>
      <c r="B862" s="121" t="s">
        <v>11718</v>
      </c>
      <c r="C862" t="s">
        <v>32</v>
      </c>
      <c r="D862" t="s">
        <v>40</v>
      </c>
      <c r="E862" t="s">
        <v>645</v>
      </c>
      <c r="F862" t="s">
        <v>1043</v>
      </c>
      <c r="G862" t="s">
        <v>11754</v>
      </c>
      <c r="H862" s="121" t="s">
        <v>11755</v>
      </c>
    </row>
    <row r="863" spans="1:8" x14ac:dyDescent="0.25">
      <c r="A863">
        <v>1446842</v>
      </c>
      <c r="B863" s="121" t="s">
        <v>11718</v>
      </c>
      <c r="C863" t="s">
        <v>32</v>
      </c>
      <c r="D863" t="s">
        <v>276</v>
      </c>
      <c r="E863" t="s">
        <v>277</v>
      </c>
      <c r="F863" t="s">
        <v>1935</v>
      </c>
      <c r="G863" t="s">
        <v>1816</v>
      </c>
      <c r="H863" s="121" t="s">
        <v>11756</v>
      </c>
    </row>
    <row r="864" spans="1:8" x14ac:dyDescent="0.25">
      <c r="A864">
        <v>1446843</v>
      </c>
      <c r="B864" s="121" t="s">
        <v>11718</v>
      </c>
      <c r="C864" t="s">
        <v>32</v>
      </c>
      <c r="D864" t="s">
        <v>276</v>
      </c>
      <c r="E864" t="s">
        <v>277</v>
      </c>
      <c r="F864" t="s">
        <v>1926</v>
      </c>
      <c r="G864" t="s">
        <v>11757</v>
      </c>
      <c r="H864" s="121" t="s">
        <v>11758</v>
      </c>
    </row>
    <row r="865" spans="1:8" x14ac:dyDescent="0.25">
      <c r="A865">
        <v>1446844</v>
      </c>
      <c r="B865" s="121" t="s">
        <v>11718</v>
      </c>
      <c r="C865" t="s">
        <v>32</v>
      </c>
      <c r="D865" t="s">
        <v>276</v>
      </c>
      <c r="E865" t="s">
        <v>277</v>
      </c>
      <c r="F865" t="s">
        <v>1929</v>
      </c>
      <c r="G865" t="s">
        <v>1814</v>
      </c>
      <c r="H865" s="121" t="s">
        <v>11759</v>
      </c>
    </row>
    <row r="866" spans="1:8" x14ac:dyDescent="0.25">
      <c r="A866">
        <v>1446845</v>
      </c>
      <c r="B866" s="121" t="s">
        <v>11718</v>
      </c>
      <c r="C866" t="s">
        <v>32</v>
      </c>
      <c r="D866" t="s">
        <v>276</v>
      </c>
      <c r="E866" t="s">
        <v>277</v>
      </c>
      <c r="F866" t="s">
        <v>1931</v>
      </c>
      <c r="G866" t="s">
        <v>1815</v>
      </c>
      <c r="H866" s="121" t="s">
        <v>11760</v>
      </c>
    </row>
    <row r="867" spans="1:8" x14ac:dyDescent="0.25">
      <c r="A867">
        <v>1446846</v>
      </c>
      <c r="B867" s="121" t="s">
        <v>11718</v>
      </c>
      <c r="C867" t="s">
        <v>32</v>
      </c>
      <c r="D867" t="s">
        <v>276</v>
      </c>
      <c r="E867" t="s">
        <v>277</v>
      </c>
      <c r="F867" t="s">
        <v>457</v>
      </c>
      <c r="G867" t="s">
        <v>1933</v>
      </c>
      <c r="H867" s="121" t="s">
        <v>11761</v>
      </c>
    </row>
    <row r="868" spans="1:8" x14ac:dyDescent="0.25">
      <c r="A868">
        <v>1446847</v>
      </c>
      <c r="B868" s="121" t="s">
        <v>11718</v>
      </c>
      <c r="C868" t="s">
        <v>32</v>
      </c>
      <c r="D868" t="s">
        <v>276</v>
      </c>
      <c r="E868" t="s">
        <v>277</v>
      </c>
      <c r="F868" t="s">
        <v>1925</v>
      </c>
      <c r="G868" t="s">
        <v>1928</v>
      </c>
      <c r="H868" s="121" t="s">
        <v>11762</v>
      </c>
    </row>
    <row r="869" spans="1:8" x14ac:dyDescent="0.25">
      <c r="A869">
        <v>1446848</v>
      </c>
      <c r="B869" s="121" t="s">
        <v>11718</v>
      </c>
      <c r="C869" t="s">
        <v>32</v>
      </c>
      <c r="D869" t="s">
        <v>276</v>
      </c>
      <c r="E869" t="s">
        <v>277</v>
      </c>
      <c r="F869" t="s">
        <v>1927</v>
      </c>
      <c r="G869" t="s">
        <v>1932</v>
      </c>
      <c r="H869" s="121" t="s">
        <v>11763</v>
      </c>
    </row>
    <row r="870" spans="1:8" x14ac:dyDescent="0.25">
      <c r="A870">
        <v>1446849</v>
      </c>
      <c r="B870" s="121" t="s">
        <v>11718</v>
      </c>
      <c r="C870" t="s">
        <v>32</v>
      </c>
      <c r="D870" t="s">
        <v>276</v>
      </c>
      <c r="E870" t="s">
        <v>277</v>
      </c>
      <c r="F870" t="s">
        <v>11764</v>
      </c>
      <c r="G870" t="s">
        <v>1934</v>
      </c>
      <c r="H870" s="121" t="s">
        <v>11765</v>
      </c>
    </row>
    <row r="871" spans="1:8" x14ac:dyDescent="0.25">
      <c r="A871">
        <v>1446850</v>
      </c>
      <c r="B871" s="121" t="s">
        <v>11718</v>
      </c>
      <c r="C871" t="s">
        <v>32</v>
      </c>
      <c r="D871" t="s">
        <v>276</v>
      </c>
      <c r="E871" t="s">
        <v>277</v>
      </c>
      <c r="F871" t="s">
        <v>1936</v>
      </c>
      <c r="G871" t="s">
        <v>458</v>
      </c>
      <c r="H871" s="121" t="s">
        <v>11766</v>
      </c>
    </row>
    <row r="872" spans="1:8" x14ac:dyDescent="0.25">
      <c r="A872">
        <v>1458189</v>
      </c>
      <c r="B872" s="121" t="s">
        <v>11718</v>
      </c>
      <c r="C872" t="s">
        <v>32</v>
      </c>
      <c r="D872" t="s">
        <v>40</v>
      </c>
      <c r="E872" t="s">
        <v>662</v>
      </c>
      <c r="F872" t="s">
        <v>2183</v>
      </c>
      <c r="G872" t="s">
        <v>2042</v>
      </c>
      <c r="H872" s="121" t="s">
        <v>11767</v>
      </c>
    </row>
    <row r="873" spans="1:8" x14ac:dyDescent="0.25">
      <c r="A873">
        <v>1458496</v>
      </c>
      <c r="B873" s="121" t="s">
        <v>11718</v>
      </c>
      <c r="C873" t="s">
        <v>32</v>
      </c>
      <c r="D873" t="s">
        <v>40</v>
      </c>
      <c r="E873" t="s">
        <v>663</v>
      </c>
      <c r="F873" t="s">
        <v>1085</v>
      </c>
      <c r="G873" t="s">
        <v>11768</v>
      </c>
      <c r="H873" s="121" t="s">
        <v>11769</v>
      </c>
    </row>
    <row r="874" spans="1:8" x14ac:dyDescent="0.25">
      <c r="A874">
        <v>1458500</v>
      </c>
      <c r="B874" s="121" t="s">
        <v>11718</v>
      </c>
      <c r="C874" t="s">
        <v>32</v>
      </c>
      <c r="D874" t="s">
        <v>40</v>
      </c>
      <c r="E874" t="s">
        <v>663</v>
      </c>
      <c r="F874" t="s">
        <v>2189</v>
      </c>
      <c r="G874" t="s">
        <v>1081</v>
      </c>
      <c r="H874" s="121" t="s">
        <v>11770</v>
      </c>
    </row>
    <row r="875" spans="1:8" x14ac:dyDescent="0.25">
      <c r="A875">
        <v>1458770</v>
      </c>
      <c r="B875" s="121" t="s">
        <v>11718</v>
      </c>
      <c r="C875" t="s">
        <v>32</v>
      </c>
      <c r="D875" t="s">
        <v>40</v>
      </c>
      <c r="E875" t="s">
        <v>658</v>
      </c>
      <c r="F875" t="s">
        <v>2107</v>
      </c>
      <c r="G875" t="s">
        <v>11771</v>
      </c>
      <c r="H875" s="121" t="s">
        <v>11772</v>
      </c>
    </row>
    <row r="876" spans="1:8" x14ac:dyDescent="0.25">
      <c r="A876">
        <v>1458774</v>
      </c>
      <c r="B876" s="121" t="s">
        <v>11718</v>
      </c>
      <c r="C876" t="s">
        <v>32</v>
      </c>
      <c r="D876" t="s">
        <v>40</v>
      </c>
      <c r="E876" t="s">
        <v>658</v>
      </c>
      <c r="F876" t="s">
        <v>2106</v>
      </c>
      <c r="G876" t="s">
        <v>2034</v>
      </c>
      <c r="H876" s="121" t="s">
        <v>11773</v>
      </c>
    </row>
    <row r="877" spans="1:8" x14ac:dyDescent="0.25">
      <c r="A877">
        <v>1458776</v>
      </c>
      <c r="B877" s="121" t="s">
        <v>11718</v>
      </c>
      <c r="C877" t="s">
        <v>32</v>
      </c>
      <c r="D877" t="s">
        <v>40</v>
      </c>
      <c r="E877" t="s">
        <v>658</v>
      </c>
      <c r="F877" t="s">
        <v>6563</v>
      </c>
      <c r="G877" t="s">
        <v>11774</v>
      </c>
      <c r="H877" s="121" t="s">
        <v>11775</v>
      </c>
    </row>
    <row r="878" spans="1:8" x14ac:dyDescent="0.25">
      <c r="A878">
        <v>1459078</v>
      </c>
      <c r="B878" s="121" t="s">
        <v>11718</v>
      </c>
      <c r="C878" t="s">
        <v>32</v>
      </c>
      <c r="D878" t="s">
        <v>40</v>
      </c>
      <c r="E878" t="s">
        <v>639</v>
      </c>
      <c r="F878" t="s">
        <v>6112</v>
      </c>
      <c r="G878" t="s">
        <v>2190</v>
      </c>
      <c r="H878" s="121" t="s">
        <v>11776</v>
      </c>
    </row>
    <row r="879" spans="1:8" x14ac:dyDescent="0.25">
      <c r="A879">
        <v>1459456</v>
      </c>
      <c r="B879" s="121" t="s">
        <v>11718</v>
      </c>
      <c r="C879" t="s">
        <v>32</v>
      </c>
      <c r="D879" t="s">
        <v>40</v>
      </c>
      <c r="E879" t="s">
        <v>666</v>
      </c>
      <c r="F879" t="s">
        <v>2046</v>
      </c>
      <c r="G879" t="s">
        <v>1095</v>
      </c>
      <c r="H879" s="121" t="s">
        <v>11777</v>
      </c>
    </row>
    <row r="880" spans="1:8" x14ac:dyDescent="0.25">
      <c r="A880">
        <v>1459760</v>
      </c>
      <c r="B880" s="121" t="s">
        <v>11718</v>
      </c>
      <c r="C880" t="s">
        <v>32</v>
      </c>
      <c r="D880" t="s">
        <v>40</v>
      </c>
      <c r="E880" t="s">
        <v>646</v>
      </c>
      <c r="F880" t="s">
        <v>11778</v>
      </c>
      <c r="G880" t="s">
        <v>554</v>
      </c>
      <c r="H880" s="121" t="s">
        <v>11779</v>
      </c>
    </row>
    <row r="881" spans="1:8" x14ac:dyDescent="0.25">
      <c r="A881">
        <v>1459763</v>
      </c>
      <c r="B881" s="121" t="s">
        <v>11718</v>
      </c>
      <c r="C881" t="s">
        <v>32</v>
      </c>
      <c r="D881" t="s">
        <v>40</v>
      </c>
      <c r="E881" t="s">
        <v>646</v>
      </c>
      <c r="F881" t="s">
        <v>2265</v>
      </c>
      <c r="G881" t="s">
        <v>6568</v>
      </c>
      <c r="H881" s="121" t="s">
        <v>11780</v>
      </c>
    </row>
    <row r="882" spans="1:8" x14ac:dyDescent="0.25">
      <c r="A882">
        <v>1460373</v>
      </c>
      <c r="B882" s="121" t="s">
        <v>11718</v>
      </c>
      <c r="C882" t="s">
        <v>32</v>
      </c>
      <c r="D882" t="s">
        <v>40</v>
      </c>
      <c r="E882" t="s">
        <v>647</v>
      </c>
      <c r="F882" t="s">
        <v>11781</v>
      </c>
      <c r="G882" t="s">
        <v>5689</v>
      </c>
      <c r="H882" s="121" t="s">
        <v>11782</v>
      </c>
    </row>
    <row r="883" spans="1:8" x14ac:dyDescent="0.25">
      <c r="A883">
        <v>1460374</v>
      </c>
      <c r="B883" s="121" t="s">
        <v>11718</v>
      </c>
      <c r="C883" t="s">
        <v>32</v>
      </c>
      <c r="D883" t="s">
        <v>40</v>
      </c>
      <c r="E883" t="s">
        <v>647</v>
      </c>
      <c r="F883" t="s">
        <v>11783</v>
      </c>
      <c r="G883" t="s">
        <v>6116</v>
      </c>
      <c r="H883" s="121" t="s">
        <v>11784</v>
      </c>
    </row>
    <row r="884" spans="1:8" x14ac:dyDescent="0.25">
      <c r="A884">
        <v>1460977</v>
      </c>
      <c r="B884" s="121" t="s">
        <v>11718</v>
      </c>
      <c r="C884" t="s">
        <v>32</v>
      </c>
      <c r="D884" t="s">
        <v>40</v>
      </c>
      <c r="E884" t="s">
        <v>664</v>
      </c>
      <c r="F884" t="s">
        <v>2119</v>
      </c>
      <c r="G884" t="s">
        <v>1113</v>
      </c>
      <c r="H884" s="121" t="s">
        <v>11785</v>
      </c>
    </row>
    <row r="885" spans="1:8" x14ac:dyDescent="0.25">
      <c r="A885">
        <v>1461288</v>
      </c>
      <c r="B885" s="121" t="s">
        <v>11718</v>
      </c>
      <c r="C885" t="s">
        <v>32</v>
      </c>
      <c r="D885" t="s">
        <v>40</v>
      </c>
      <c r="E885" t="s">
        <v>648</v>
      </c>
      <c r="F885" t="s">
        <v>1938</v>
      </c>
      <c r="G885" t="s">
        <v>1018</v>
      </c>
      <c r="H885" s="121" t="s">
        <v>11786</v>
      </c>
    </row>
    <row r="886" spans="1:8" x14ac:dyDescent="0.25">
      <c r="A886">
        <v>1461895</v>
      </c>
      <c r="B886" s="121" t="s">
        <v>11718</v>
      </c>
      <c r="C886" t="s">
        <v>32</v>
      </c>
      <c r="D886" t="s">
        <v>40</v>
      </c>
      <c r="E886" t="s">
        <v>649</v>
      </c>
      <c r="F886" t="s">
        <v>865</v>
      </c>
      <c r="G886" t="s">
        <v>1124</v>
      </c>
      <c r="H886" s="121" t="s">
        <v>11787</v>
      </c>
    </row>
    <row r="887" spans="1:8" x14ac:dyDescent="0.25">
      <c r="A887">
        <v>1462812</v>
      </c>
      <c r="B887" s="121" t="s">
        <v>11718</v>
      </c>
      <c r="C887" t="s">
        <v>32</v>
      </c>
      <c r="D887" t="s">
        <v>40</v>
      </c>
      <c r="E887" t="s">
        <v>667</v>
      </c>
      <c r="F887" t="s">
        <v>2130</v>
      </c>
      <c r="G887" t="s">
        <v>1940</v>
      </c>
      <c r="H887" s="121" t="s">
        <v>11788</v>
      </c>
    </row>
    <row r="888" spans="1:8" x14ac:dyDescent="0.25">
      <c r="A888">
        <v>1462813</v>
      </c>
      <c r="B888" s="121" t="s">
        <v>11718</v>
      </c>
      <c r="C888" t="s">
        <v>32</v>
      </c>
      <c r="D888" t="s">
        <v>40</v>
      </c>
      <c r="E888" t="s">
        <v>667</v>
      </c>
      <c r="F888" t="s">
        <v>2131</v>
      </c>
      <c r="G888" t="s">
        <v>2132</v>
      </c>
      <c r="H888" s="121" t="s">
        <v>11789</v>
      </c>
    </row>
    <row r="889" spans="1:8" x14ac:dyDescent="0.25">
      <c r="A889">
        <v>1462817</v>
      </c>
      <c r="B889" s="121" t="s">
        <v>11718</v>
      </c>
      <c r="C889" t="s">
        <v>32</v>
      </c>
      <c r="D889" t="s">
        <v>40</v>
      </c>
      <c r="E889" t="s">
        <v>667</v>
      </c>
      <c r="F889" t="s">
        <v>2128</v>
      </c>
      <c r="G889" t="s">
        <v>1137</v>
      </c>
      <c r="H889" s="121" t="s">
        <v>11790</v>
      </c>
    </row>
    <row r="890" spans="1:8" x14ac:dyDescent="0.25">
      <c r="A890">
        <v>1463112</v>
      </c>
      <c r="B890" s="121" t="s">
        <v>11718</v>
      </c>
      <c r="C890" t="s">
        <v>32</v>
      </c>
      <c r="D890" t="s">
        <v>40</v>
      </c>
      <c r="E890" t="s">
        <v>651</v>
      </c>
      <c r="F890" t="s">
        <v>2053</v>
      </c>
      <c r="G890" t="s">
        <v>2138</v>
      </c>
      <c r="H890" s="121" t="s">
        <v>11791</v>
      </c>
    </row>
    <row r="891" spans="1:8" x14ac:dyDescent="0.25">
      <c r="A891">
        <v>1463114</v>
      </c>
      <c r="B891" s="121" t="s">
        <v>11718</v>
      </c>
      <c r="C891" t="s">
        <v>32</v>
      </c>
      <c r="D891" t="s">
        <v>40</v>
      </c>
      <c r="E891" t="s">
        <v>651</v>
      </c>
      <c r="F891" t="s">
        <v>2137</v>
      </c>
      <c r="G891" t="s">
        <v>1192</v>
      </c>
      <c r="H891" s="121" t="s">
        <v>11792</v>
      </c>
    </row>
    <row r="892" spans="1:8" x14ac:dyDescent="0.25">
      <c r="A892">
        <v>1463119</v>
      </c>
      <c r="B892" s="121" t="s">
        <v>11718</v>
      </c>
      <c r="C892" t="s">
        <v>32</v>
      </c>
      <c r="D892" t="s">
        <v>40</v>
      </c>
      <c r="E892" t="s">
        <v>651</v>
      </c>
      <c r="F892" t="s">
        <v>2054</v>
      </c>
      <c r="G892" t="s">
        <v>11793</v>
      </c>
      <c r="H892" s="121" t="s">
        <v>11794</v>
      </c>
    </row>
    <row r="893" spans="1:8" x14ac:dyDescent="0.25">
      <c r="A893">
        <v>1464103</v>
      </c>
      <c r="B893" s="121" t="s">
        <v>11718</v>
      </c>
      <c r="C893" t="s">
        <v>32</v>
      </c>
      <c r="D893" t="s">
        <v>332</v>
      </c>
      <c r="E893" t="s">
        <v>11795</v>
      </c>
      <c r="F893" t="s">
        <v>11796</v>
      </c>
      <c r="G893" t="s">
        <v>11797</v>
      </c>
      <c r="H893" s="121" t="s">
        <v>11798</v>
      </c>
    </row>
    <row r="894" spans="1:8" x14ac:dyDescent="0.25">
      <c r="A894">
        <v>1464104</v>
      </c>
      <c r="B894" s="121" t="s">
        <v>11718</v>
      </c>
      <c r="C894" t="s">
        <v>32</v>
      </c>
      <c r="D894" t="s">
        <v>332</v>
      </c>
      <c r="E894" t="s">
        <v>11795</v>
      </c>
      <c r="F894" t="s">
        <v>11799</v>
      </c>
      <c r="G894" t="s">
        <v>11800</v>
      </c>
      <c r="H894" s="121" t="s">
        <v>11801</v>
      </c>
    </row>
    <row r="895" spans="1:8" x14ac:dyDescent="0.25">
      <c r="A895">
        <v>1464105</v>
      </c>
      <c r="B895" s="121" t="s">
        <v>11718</v>
      </c>
      <c r="C895" t="s">
        <v>32</v>
      </c>
      <c r="D895" t="s">
        <v>332</v>
      </c>
      <c r="E895" t="s">
        <v>11795</v>
      </c>
      <c r="F895" t="s">
        <v>11802</v>
      </c>
      <c r="G895" t="s">
        <v>11803</v>
      </c>
      <c r="H895" s="121" t="s">
        <v>11804</v>
      </c>
    </row>
    <row r="896" spans="1:8" x14ac:dyDescent="0.25">
      <c r="A896">
        <v>1464106</v>
      </c>
      <c r="B896" s="121" t="s">
        <v>11718</v>
      </c>
      <c r="C896" t="s">
        <v>32</v>
      </c>
      <c r="D896" t="s">
        <v>332</v>
      </c>
      <c r="E896" t="s">
        <v>11795</v>
      </c>
      <c r="F896" t="s">
        <v>11805</v>
      </c>
      <c r="G896" t="s">
        <v>11806</v>
      </c>
      <c r="H896" s="121" t="s">
        <v>11807</v>
      </c>
    </row>
    <row r="897" spans="1:8" x14ac:dyDescent="0.25">
      <c r="A897">
        <v>1464107</v>
      </c>
      <c r="B897" s="121" t="s">
        <v>11718</v>
      </c>
      <c r="C897" t="s">
        <v>32</v>
      </c>
      <c r="D897" t="s">
        <v>332</v>
      </c>
      <c r="E897" t="s">
        <v>11795</v>
      </c>
      <c r="F897" t="s">
        <v>11808</v>
      </c>
      <c r="G897" t="s">
        <v>11809</v>
      </c>
      <c r="H897" s="121" t="s">
        <v>11810</v>
      </c>
    </row>
    <row r="898" spans="1:8" x14ac:dyDescent="0.25">
      <c r="A898">
        <v>1464108</v>
      </c>
      <c r="B898" s="121" t="s">
        <v>11718</v>
      </c>
      <c r="C898" t="s">
        <v>32</v>
      </c>
      <c r="D898" t="s">
        <v>332</v>
      </c>
      <c r="E898" t="s">
        <v>11795</v>
      </c>
      <c r="F898" t="s">
        <v>11811</v>
      </c>
      <c r="G898" t="s">
        <v>11812</v>
      </c>
      <c r="H898" s="121" t="s">
        <v>11813</v>
      </c>
    </row>
    <row r="899" spans="1:8" x14ac:dyDescent="0.25">
      <c r="A899">
        <v>1464109</v>
      </c>
      <c r="B899" s="121" t="s">
        <v>11718</v>
      </c>
      <c r="C899" t="s">
        <v>32</v>
      </c>
      <c r="D899" t="s">
        <v>332</v>
      </c>
      <c r="E899" t="s">
        <v>11795</v>
      </c>
      <c r="F899" t="s">
        <v>11814</v>
      </c>
      <c r="G899" t="s">
        <v>11815</v>
      </c>
      <c r="H899" s="121" t="s">
        <v>11816</v>
      </c>
    </row>
    <row r="900" spans="1:8" x14ac:dyDescent="0.25">
      <c r="A900">
        <v>1464110</v>
      </c>
      <c r="B900" s="121" t="s">
        <v>11718</v>
      </c>
      <c r="C900" t="s">
        <v>32</v>
      </c>
      <c r="D900" t="s">
        <v>332</v>
      </c>
      <c r="E900" t="s">
        <v>11795</v>
      </c>
      <c r="F900" t="s">
        <v>11817</v>
      </c>
      <c r="G900" t="s">
        <v>11818</v>
      </c>
      <c r="H900" s="121" t="s">
        <v>11819</v>
      </c>
    </row>
    <row r="901" spans="1:8" x14ac:dyDescent="0.25">
      <c r="A901">
        <v>1465438</v>
      </c>
      <c r="B901" s="121" t="s">
        <v>11718</v>
      </c>
      <c r="C901" t="s">
        <v>32</v>
      </c>
      <c r="D901" t="s">
        <v>332</v>
      </c>
      <c r="E901" t="s">
        <v>11820</v>
      </c>
      <c r="F901" t="s">
        <v>11821</v>
      </c>
      <c r="G901" t="s">
        <v>11822</v>
      </c>
      <c r="H901" s="121" t="s">
        <v>11823</v>
      </c>
    </row>
    <row r="902" spans="1:8" x14ac:dyDescent="0.25">
      <c r="A902">
        <v>1465439</v>
      </c>
      <c r="B902" s="121" t="s">
        <v>11718</v>
      </c>
      <c r="C902" t="s">
        <v>32</v>
      </c>
      <c r="D902" t="s">
        <v>332</v>
      </c>
      <c r="E902" t="s">
        <v>11820</v>
      </c>
      <c r="F902" t="s">
        <v>11824</v>
      </c>
      <c r="G902" t="s">
        <v>11825</v>
      </c>
      <c r="H902" s="121" t="s">
        <v>11826</v>
      </c>
    </row>
    <row r="903" spans="1:8" x14ac:dyDescent="0.25">
      <c r="A903">
        <v>1465440</v>
      </c>
      <c r="B903" s="121" t="s">
        <v>11718</v>
      </c>
      <c r="C903" t="s">
        <v>32</v>
      </c>
      <c r="D903" t="s">
        <v>332</v>
      </c>
      <c r="E903" t="s">
        <v>11820</v>
      </c>
      <c r="F903" t="s">
        <v>11827</v>
      </c>
      <c r="G903" t="s">
        <v>11828</v>
      </c>
      <c r="H903" s="121" t="s">
        <v>11829</v>
      </c>
    </row>
    <row r="904" spans="1:8" x14ac:dyDescent="0.25">
      <c r="A904">
        <v>1465441</v>
      </c>
      <c r="B904" s="121" t="s">
        <v>11718</v>
      </c>
      <c r="C904" t="s">
        <v>32</v>
      </c>
      <c r="D904" t="s">
        <v>332</v>
      </c>
      <c r="E904" t="s">
        <v>11820</v>
      </c>
      <c r="F904" t="s">
        <v>11830</v>
      </c>
      <c r="G904" t="s">
        <v>11831</v>
      </c>
      <c r="H904" s="121" t="s">
        <v>11832</v>
      </c>
    </row>
    <row r="905" spans="1:8" x14ac:dyDescent="0.25">
      <c r="A905">
        <v>1465442</v>
      </c>
      <c r="B905" s="121" t="s">
        <v>11718</v>
      </c>
      <c r="C905" t="s">
        <v>32</v>
      </c>
      <c r="D905" t="s">
        <v>332</v>
      </c>
      <c r="E905" t="s">
        <v>11820</v>
      </c>
      <c r="F905" t="s">
        <v>11833</v>
      </c>
      <c r="G905" t="s">
        <v>11834</v>
      </c>
      <c r="H905" s="121" t="s">
        <v>11835</v>
      </c>
    </row>
    <row r="906" spans="1:8" x14ac:dyDescent="0.25">
      <c r="A906">
        <v>1465443</v>
      </c>
      <c r="B906" s="121" t="s">
        <v>11718</v>
      </c>
      <c r="C906" t="s">
        <v>32</v>
      </c>
      <c r="D906" t="s">
        <v>332</v>
      </c>
      <c r="E906" t="s">
        <v>11820</v>
      </c>
      <c r="F906" t="s">
        <v>11836</v>
      </c>
      <c r="G906" t="s">
        <v>4433</v>
      </c>
      <c r="H906" s="121" t="s">
        <v>11837</v>
      </c>
    </row>
    <row r="907" spans="1:8" x14ac:dyDescent="0.25">
      <c r="A907">
        <v>1465444</v>
      </c>
      <c r="B907" s="121" t="s">
        <v>11718</v>
      </c>
      <c r="C907" t="s">
        <v>32</v>
      </c>
      <c r="D907" t="s">
        <v>332</v>
      </c>
      <c r="E907" t="s">
        <v>11820</v>
      </c>
      <c r="F907" t="s">
        <v>11838</v>
      </c>
      <c r="G907" t="s">
        <v>11839</v>
      </c>
      <c r="H907" s="121" t="s">
        <v>11840</v>
      </c>
    </row>
    <row r="908" spans="1:8" x14ac:dyDescent="0.25">
      <c r="A908">
        <v>1465675</v>
      </c>
      <c r="B908" s="121" t="s">
        <v>11718</v>
      </c>
      <c r="C908" t="s">
        <v>32</v>
      </c>
      <c r="D908" t="s">
        <v>332</v>
      </c>
      <c r="E908" t="s">
        <v>1942</v>
      </c>
      <c r="F908" t="s">
        <v>1957</v>
      </c>
      <c r="G908" t="s">
        <v>1943</v>
      </c>
      <c r="H908" s="121" t="s">
        <v>11841</v>
      </c>
    </row>
    <row r="909" spans="1:8" x14ac:dyDescent="0.25">
      <c r="A909">
        <v>1465676</v>
      </c>
      <c r="B909" s="121" t="s">
        <v>11718</v>
      </c>
      <c r="C909" t="s">
        <v>32</v>
      </c>
      <c r="D909" t="s">
        <v>332</v>
      </c>
      <c r="E909" t="s">
        <v>1942</v>
      </c>
      <c r="F909" t="s">
        <v>1953</v>
      </c>
      <c r="G909" t="s">
        <v>1956</v>
      </c>
      <c r="H909" s="121" t="s">
        <v>11842</v>
      </c>
    </row>
    <row r="910" spans="1:8" x14ac:dyDescent="0.25">
      <c r="A910">
        <v>1465677</v>
      </c>
      <c r="B910" s="121" t="s">
        <v>11718</v>
      </c>
      <c r="C910" t="s">
        <v>32</v>
      </c>
      <c r="D910" t="s">
        <v>332</v>
      </c>
      <c r="E910" t="s">
        <v>1942</v>
      </c>
      <c r="F910" t="s">
        <v>1945</v>
      </c>
      <c r="G910" t="s">
        <v>1948</v>
      </c>
      <c r="H910" s="121" t="s">
        <v>11843</v>
      </c>
    </row>
    <row r="911" spans="1:8" x14ac:dyDescent="0.25">
      <c r="A911">
        <v>1465678</v>
      </c>
      <c r="B911" s="121" t="s">
        <v>11718</v>
      </c>
      <c r="C911" t="s">
        <v>32</v>
      </c>
      <c r="D911" t="s">
        <v>332</v>
      </c>
      <c r="E911" t="s">
        <v>1942</v>
      </c>
      <c r="F911" t="s">
        <v>1951</v>
      </c>
      <c r="G911" t="s">
        <v>1958</v>
      </c>
      <c r="H911" s="121" t="s">
        <v>11844</v>
      </c>
    </row>
    <row r="912" spans="1:8" x14ac:dyDescent="0.25">
      <c r="A912">
        <v>1465679</v>
      </c>
      <c r="B912" s="121" t="s">
        <v>11718</v>
      </c>
      <c r="C912" t="s">
        <v>32</v>
      </c>
      <c r="D912" t="s">
        <v>332</v>
      </c>
      <c r="E912" t="s">
        <v>1942</v>
      </c>
      <c r="F912" t="s">
        <v>1949</v>
      </c>
      <c r="G912" t="s">
        <v>1944</v>
      </c>
      <c r="H912" s="121" t="s">
        <v>11845</v>
      </c>
    </row>
    <row r="913" spans="1:8" x14ac:dyDescent="0.25">
      <c r="A913">
        <v>1465680</v>
      </c>
      <c r="B913" s="121" t="s">
        <v>11718</v>
      </c>
      <c r="C913" t="s">
        <v>32</v>
      </c>
      <c r="D913" t="s">
        <v>332</v>
      </c>
      <c r="E913" t="s">
        <v>1942</v>
      </c>
      <c r="F913" t="s">
        <v>1947</v>
      </c>
      <c r="G913" t="s">
        <v>1955</v>
      </c>
      <c r="H913" s="121" t="s">
        <v>11846</v>
      </c>
    </row>
    <row r="914" spans="1:8" x14ac:dyDescent="0.25">
      <c r="A914">
        <v>1465681</v>
      </c>
      <c r="B914" s="121" t="s">
        <v>11718</v>
      </c>
      <c r="C914" t="s">
        <v>32</v>
      </c>
      <c r="D914" t="s">
        <v>332</v>
      </c>
      <c r="E914" t="s">
        <v>1942</v>
      </c>
      <c r="F914" t="s">
        <v>1950</v>
      </c>
      <c r="G914" t="s">
        <v>1946</v>
      </c>
      <c r="H914" s="121" t="s">
        <v>11847</v>
      </c>
    </row>
    <row r="915" spans="1:8" x14ac:dyDescent="0.25">
      <c r="A915">
        <v>1465682</v>
      </c>
      <c r="B915" s="121" t="s">
        <v>11718</v>
      </c>
      <c r="C915" t="s">
        <v>32</v>
      </c>
      <c r="D915" t="s">
        <v>332</v>
      </c>
      <c r="E915" t="s">
        <v>1942</v>
      </c>
      <c r="F915" t="s">
        <v>1952</v>
      </c>
      <c r="G915" t="s">
        <v>1954</v>
      </c>
      <c r="H915" s="121" t="s">
        <v>11848</v>
      </c>
    </row>
    <row r="916" spans="1:8" x14ac:dyDescent="0.25">
      <c r="A916">
        <v>1468726</v>
      </c>
      <c r="B916" s="121" t="s">
        <v>11718</v>
      </c>
      <c r="C916" t="s">
        <v>32</v>
      </c>
      <c r="D916" t="s">
        <v>98</v>
      </c>
      <c r="E916" t="s">
        <v>49</v>
      </c>
      <c r="F916" t="s">
        <v>11849</v>
      </c>
      <c r="G916" t="s">
        <v>1966</v>
      </c>
      <c r="H916" s="121" t="s">
        <v>11850</v>
      </c>
    </row>
    <row r="917" spans="1:8" x14ac:dyDescent="0.25">
      <c r="A917">
        <v>1468727</v>
      </c>
      <c r="B917" s="121" t="s">
        <v>11718</v>
      </c>
      <c r="C917" t="s">
        <v>32</v>
      </c>
      <c r="D917" t="s">
        <v>98</v>
      </c>
      <c r="E917" t="s">
        <v>49</v>
      </c>
      <c r="F917" t="s">
        <v>11851</v>
      </c>
      <c r="G917" t="s">
        <v>11852</v>
      </c>
      <c r="H917" s="121" t="s">
        <v>11853</v>
      </c>
    </row>
    <row r="918" spans="1:8" x14ac:dyDescent="0.25">
      <c r="A918">
        <v>1468728</v>
      </c>
      <c r="B918" s="121" t="s">
        <v>11718</v>
      </c>
      <c r="C918" t="s">
        <v>32</v>
      </c>
      <c r="D918" t="s">
        <v>98</v>
      </c>
      <c r="E918" t="s">
        <v>49</v>
      </c>
      <c r="F918" t="s">
        <v>1959</v>
      </c>
      <c r="G918" t="s">
        <v>1963</v>
      </c>
      <c r="H918" s="121" t="s">
        <v>11854</v>
      </c>
    </row>
    <row r="919" spans="1:8" x14ac:dyDescent="0.25">
      <c r="A919">
        <v>1468729</v>
      </c>
      <c r="B919" s="121" t="s">
        <v>11718</v>
      </c>
      <c r="C919" t="s">
        <v>32</v>
      </c>
      <c r="D919" t="s">
        <v>98</v>
      </c>
      <c r="E919" t="s">
        <v>49</v>
      </c>
      <c r="F919" t="s">
        <v>11855</v>
      </c>
      <c r="G919" t="s">
        <v>1961</v>
      </c>
      <c r="H919" s="121" t="s">
        <v>11856</v>
      </c>
    </row>
    <row r="920" spans="1:8" x14ac:dyDescent="0.25">
      <c r="A920">
        <v>1468730</v>
      </c>
      <c r="B920" s="121" t="s">
        <v>11718</v>
      </c>
      <c r="C920" t="s">
        <v>32</v>
      </c>
      <c r="D920" t="s">
        <v>98</v>
      </c>
      <c r="E920" t="s">
        <v>49</v>
      </c>
      <c r="F920" t="s">
        <v>1960</v>
      </c>
      <c r="G920" t="s">
        <v>11857</v>
      </c>
      <c r="H920" s="121" t="s">
        <v>11858</v>
      </c>
    </row>
    <row r="921" spans="1:8" x14ac:dyDescent="0.25">
      <c r="A921">
        <v>1468731</v>
      </c>
      <c r="B921" s="121" t="s">
        <v>11718</v>
      </c>
      <c r="C921" t="s">
        <v>32</v>
      </c>
      <c r="D921" t="s">
        <v>98</v>
      </c>
      <c r="E921" t="s">
        <v>49</v>
      </c>
      <c r="F921" t="s">
        <v>1962</v>
      </c>
      <c r="G921" t="s">
        <v>1967</v>
      </c>
      <c r="H921" s="121" t="s">
        <v>11859</v>
      </c>
    </row>
    <row r="922" spans="1:8" x14ac:dyDescent="0.25">
      <c r="A922">
        <v>1468732</v>
      </c>
      <c r="B922" s="121" t="s">
        <v>11718</v>
      </c>
      <c r="C922" t="s">
        <v>32</v>
      </c>
      <c r="D922" t="s">
        <v>98</v>
      </c>
      <c r="E922" t="s">
        <v>49</v>
      </c>
      <c r="F922" t="s">
        <v>1964</v>
      </c>
      <c r="G922" t="s">
        <v>1968</v>
      </c>
      <c r="H922" s="121" t="s">
        <v>11860</v>
      </c>
    </row>
    <row r="923" spans="1:8" x14ac:dyDescent="0.25">
      <c r="A923">
        <v>1471743</v>
      </c>
      <c r="B923" s="121" t="s">
        <v>11718</v>
      </c>
      <c r="C923" t="s">
        <v>32</v>
      </c>
      <c r="D923" t="s">
        <v>329</v>
      </c>
      <c r="E923" t="s">
        <v>330</v>
      </c>
      <c r="F923" t="s">
        <v>630</v>
      </c>
      <c r="G923" t="s">
        <v>653</v>
      </c>
      <c r="H923" s="121" t="s">
        <v>11861</v>
      </c>
    </row>
    <row r="924" spans="1:8" x14ac:dyDescent="0.25">
      <c r="A924">
        <v>1479122</v>
      </c>
      <c r="B924" s="121" t="s">
        <v>11718</v>
      </c>
      <c r="C924" t="s">
        <v>32</v>
      </c>
      <c r="D924" t="s">
        <v>98</v>
      </c>
      <c r="E924" t="s">
        <v>237</v>
      </c>
      <c r="F924" t="s">
        <v>11862</v>
      </c>
      <c r="G924" t="s">
        <v>1985</v>
      </c>
      <c r="H924" s="121" t="s">
        <v>11863</v>
      </c>
    </row>
    <row r="925" spans="1:8" x14ac:dyDescent="0.25">
      <c r="A925">
        <v>1479123</v>
      </c>
      <c r="B925" s="121" t="s">
        <v>11718</v>
      </c>
      <c r="C925" t="s">
        <v>32</v>
      </c>
      <c r="D925" t="s">
        <v>98</v>
      </c>
      <c r="E925" t="s">
        <v>237</v>
      </c>
      <c r="F925" t="s">
        <v>1993</v>
      </c>
      <c r="G925" t="s">
        <v>459</v>
      </c>
      <c r="H925" s="121" t="s">
        <v>11864</v>
      </c>
    </row>
    <row r="926" spans="1:8" x14ac:dyDescent="0.25">
      <c r="A926">
        <v>1479125</v>
      </c>
      <c r="B926" s="121" t="s">
        <v>11718</v>
      </c>
      <c r="C926" t="s">
        <v>32</v>
      </c>
      <c r="D926" t="s">
        <v>98</v>
      </c>
      <c r="E926" t="s">
        <v>237</v>
      </c>
      <c r="F926" t="s">
        <v>1978</v>
      </c>
      <c r="G926" t="s">
        <v>5847</v>
      </c>
      <c r="H926" s="121" t="s">
        <v>11865</v>
      </c>
    </row>
    <row r="927" spans="1:8" x14ac:dyDescent="0.25">
      <c r="A927">
        <v>1479127</v>
      </c>
      <c r="B927" s="121" t="s">
        <v>11718</v>
      </c>
      <c r="C927" t="s">
        <v>32</v>
      </c>
      <c r="D927" t="s">
        <v>98</v>
      </c>
      <c r="E927" t="s">
        <v>237</v>
      </c>
      <c r="F927" t="s">
        <v>1982</v>
      </c>
      <c r="G927" t="s">
        <v>1988</v>
      </c>
      <c r="H927" s="121" t="s">
        <v>11866</v>
      </c>
    </row>
    <row r="928" spans="1:8" x14ac:dyDescent="0.25">
      <c r="A928">
        <v>1479128</v>
      </c>
      <c r="B928" s="121" t="s">
        <v>11718</v>
      </c>
      <c r="C928" t="s">
        <v>32</v>
      </c>
      <c r="D928" t="s">
        <v>98</v>
      </c>
      <c r="E928" t="s">
        <v>237</v>
      </c>
      <c r="F928" t="s">
        <v>5841</v>
      </c>
      <c r="G928" t="s">
        <v>11867</v>
      </c>
      <c r="H928" s="121" t="s">
        <v>11868</v>
      </c>
    </row>
    <row r="929" spans="1:8" x14ac:dyDescent="0.25">
      <c r="A929">
        <v>1479129</v>
      </c>
      <c r="B929" s="121" t="s">
        <v>11718</v>
      </c>
      <c r="C929" t="s">
        <v>32</v>
      </c>
      <c r="D929" t="s">
        <v>98</v>
      </c>
      <c r="E929" t="s">
        <v>237</v>
      </c>
      <c r="F929" t="s">
        <v>11869</v>
      </c>
      <c r="G929" t="s">
        <v>1973</v>
      </c>
      <c r="H929" s="121" t="s">
        <v>11870</v>
      </c>
    </row>
    <row r="930" spans="1:8" x14ac:dyDescent="0.25">
      <c r="A930">
        <v>1479130</v>
      </c>
      <c r="B930" s="121" t="s">
        <v>11718</v>
      </c>
      <c r="C930" t="s">
        <v>32</v>
      </c>
      <c r="D930" t="s">
        <v>98</v>
      </c>
      <c r="E930" t="s">
        <v>237</v>
      </c>
      <c r="F930" t="s">
        <v>11871</v>
      </c>
      <c r="G930" t="s">
        <v>1976</v>
      </c>
      <c r="H930" s="121" t="s">
        <v>11872</v>
      </c>
    </row>
    <row r="931" spans="1:8" x14ac:dyDescent="0.25">
      <c r="A931">
        <v>1479134</v>
      </c>
      <c r="B931" s="121" t="s">
        <v>11718</v>
      </c>
      <c r="C931" t="s">
        <v>32</v>
      </c>
      <c r="D931" t="s">
        <v>98</v>
      </c>
      <c r="E931" t="s">
        <v>237</v>
      </c>
      <c r="F931" t="s">
        <v>1986</v>
      </c>
      <c r="G931" t="s">
        <v>5845</v>
      </c>
      <c r="H931" s="121" t="s">
        <v>11873</v>
      </c>
    </row>
    <row r="932" spans="1:8" x14ac:dyDescent="0.25">
      <c r="A932">
        <v>1479135</v>
      </c>
      <c r="B932" s="121" t="s">
        <v>11718</v>
      </c>
      <c r="C932" t="s">
        <v>32</v>
      </c>
      <c r="D932" t="s">
        <v>98</v>
      </c>
      <c r="E932" t="s">
        <v>237</v>
      </c>
      <c r="F932" t="s">
        <v>1987</v>
      </c>
      <c r="G932" t="s">
        <v>11874</v>
      </c>
      <c r="H932" s="121" t="s">
        <v>11875</v>
      </c>
    </row>
    <row r="933" spans="1:8" x14ac:dyDescent="0.25">
      <c r="A933">
        <v>1479136</v>
      </c>
      <c r="B933" s="121" t="s">
        <v>11718</v>
      </c>
      <c r="C933" t="s">
        <v>32</v>
      </c>
      <c r="D933" t="s">
        <v>98</v>
      </c>
      <c r="E933" t="s">
        <v>237</v>
      </c>
      <c r="F933" t="s">
        <v>1989</v>
      </c>
      <c r="G933" t="s">
        <v>1997</v>
      </c>
      <c r="H933" s="121" t="s">
        <v>11876</v>
      </c>
    </row>
    <row r="934" spans="1:8" x14ac:dyDescent="0.25">
      <c r="A934">
        <v>1479137</v>
      </c>
      <c r="B934" s="121" t="s">
        <v>11718</v>
      </c>
      <c r="C934" t="s">
        <v>32</v>
      </c>
      <c r="D934" t="s">
        <v>98</v>
      </c>
      <c r="E934" t="s">
        <v>237</v>
      </c>
      <c r="F934" t="s">
        <v>11877</v>
      </c>
      <c r="G934" t="s">
        <v>5840</v>
      </c>
      <c r="H934" s="121" t="s">
        <v>11878</v>
      </c>
    </row>
    <row r="935" spans="1:8" x14ac:dyDescent="0.25">
      <c r="A935">
        <v>1479140</v>
      </c>
      <c r="B935" s="121" t="s">
        <v>11718</v>
      </c>
      <c r="C935" t="s">
        <v>32</v>
      </c>
      <c r="D935" t="s">
        <v>98</v>
      </c>
      <c r="E935" t="s">
        <v>237</v>
      </c>
      <c r="F935" t="s">
        <v>460</v>
      </c>
      <c r="G935" t="s">
        <v>1996</v>
      </c>
      <c r="H935" s="121" t="s">
        <v>11879</v>
      </c>
    </row>
    <row r="936" spans="1:8" x14ac:dyDescent="0.25">
      <c r="A936">
        <v>1479141</v>
      </c>
      <c r="B936" s="121" t="s">
        <v>11718</v>
      </c>
      <c r="C936" t="s">
        <v>32</v>
      </c>
      <c r="D936" t="s">
        <v>98</v>
      </c>
      <c r="E936" t="s">
        <v>237</v>
      </c>
      <c r="F936" t="s">
        <v>1992</v>
      </c>
      <c r="G936" t="s">
        <v>1991</v>
      </c>
      <c r="H936" s="121" t="s">
        <v>11880</v>
      </c>
    </row>
    <row r="937" spans="1:8" x14ac:dyDescent="0.25">
      <c r="A937">
        <v>1479144</v>
      </c>
      <c r="B937" s="121" t="s">
        <v>11718</v>
      </c>
      <c r="C937" t="s">
        <v>32</v>
      </c>
      <c r="D937" t="s">
        <v>98</v>
      </c>
      <c r="E937" t="s">
        <v>237</v>
      </c>
      <c r="F937" t="s">
        <v>11881</v>
      </c>
      <c r="G937" t="s">
        <v>1994</v>
      </c>
      <c r="H937" s="121" t="s">
        <v>11882</v>
      </c>
    </row>
    <row r="938" spans="1:8" x14ac:dyDescent="0.25">
      <c r="A938">
        <v>1479145</v>
      </c>
      <c r="B938" s="121" t="s">
        <v>11718</v>
      </c>
      <c r="C938" t="s">
        <v>32</v>
      </c>
      <c r="D938" t="s">
        <v>98</v>
      </c>
      <c r="E938" t="s">
        <v>237</v>
      </c>
      <c r="F938" t="s">
        <v>11883</v>
      </c>
      <c r="G938" t="s">
        <v>1995</v>
      </c>
      <c r="H938" s="121" t="s">
        <v>11884</v>
      </c>
    </row>
    <row r="939" spans="1:8" x14ac:dyDescent="0.25">
      <c r="A939">
        <v>1487539</v>
      </c>
      <c r="B939" s="121" t="s">
        <v>11718</v>
      </c>
      <c r="C939" t="s">
        <v>32</v>
      </c>
      <c r="D939" t="s">
        <v>381</v>
      </c>
      <c r="E939" t="s">
        <v>571</v>
      </c>
      <c r="F939" t="s">
        <v>2144</v>
      </c>
      <c r="G939" t="s">
        <v>1574</v>
      </c>
      <c r="H939" s="121" t="s">
        <v>11885</v>
      </c>
    </row>
    <row r="940" spans="1:8" x14ac:dyDescent="0.25">
      <c r="A940">
        <v>1494624</v>
      </c>
      <c r="B940" s="121" t="s">
        <v>11718</v>
      </c>
      <c r="C940" t="s">
        <v>32</v>
      </c>
      <c r="D940" t="s">
        <v>85</v>
      </c>
      <c r="E940" t="s">
        <v>5853</v>
      </c>
      <c r="F940" t="s">
        <v>2521</v>
      </c>
      <c r="G940" t="s">
        <v>11886</v>
      </c>
      <c r="H940" s="121" t="s">
        <v>11887</v>
      </c>
    </row>
    <row r="941" spans="1:8" x14ac:dyDescent="0.25">
      <c r="A941">
        <v>1494625</v>
      </c>
      <c r="B941" s="121" t="s">
        <v>11718</v>
      </c>
      <c r="C941" t="s">
        <v>32</v>
      </c>
      <c r="D941" t="s">
        <v>85</v>
      </c>
      <c r="E941" t="s">
        <v>5853</v>
      </c>
      <c r="F941" t="s">
        <v>2231</v>
      </c>
      <c r="G941" t="s">
        <v>11888</v>
      </c>
      <c r="H941" s="121" t="s">
        <v>11889</v>
      </c>
    </row>
    <row r="942" spans="1:8" x14ac:dyDescent="0.25">
      <c r="A942">
        <v>1494626</v>
      </c>
      <c r="B942" s="121" t="s">
        <v>11718</v>
      </c>
      <c r="C942" t="s">
        <v>32</v>
      </c>
      <c r="D942" t="s">
        <v>85</v>
      </c>
      <c r="E942" t="s">
        <v>5853</v>
      </c>
      <c r="F942" t="s">
        <v>6468</v>
      </c>
      <c r="G942" t="s">
        <v>6146</v>
      </c>
      <c r="H942" s="121" t="s">
        <v>11890</v>
      </c>
    </row>
    <row r="943" spans="1:8" x14ac:dyDescent="0.25">
      <c r="A943">
        <v>1495787</v>
      </c>
      <c r="B943" s="121" t="s">
        <v>11718</v>
      </c>
      <c r="C943" t="s">
        <v>32</v>
      </c>
      <c r="D943" t="s">
        <v>85</v>
      </c>
      <c r="E943" t="s">
        <v>335</v>
      </c>
      <c r="F943" t="s">
        <v>1970</v>
      </c>
      <c r="G943" t="s">
        <v>11891</v>
      </c>
      <c r="H943" s="121" t="s">
        <v>11892</v>
      </c>
    </row>
    <row r="944" spans="1:8" x14ac:dyDescent="0.25">
      <c r="A944">
        <v>1495788</v>
      </c>
      <c r="B944" s="121" t="s">
        <v>11718</v>
      </c>
      <c r="C944" t="s">
        <v>32</v>
      </c>
      <c r="D944" t="s">
        <v>85</v>
      </c>
      <c r="E944" t="s">
        <v>335</v>
      </c>
      <c r="F944" t="s">
        <v>4054</v>
      </c>
      <c r="G944" t="s">
        <v>3301</v>
      </c>
      <c r="H944" s="121" t="s">
        <v>11893</v>
      </c>
    </row>
    <row r="945" spans="1:8" x14ac:dyDescent="0.25">
      <c r="A945">
        <v>1495789</v>
      </c>
      <c r="B945" s="121" t="s">
        <v>11718</v>
      </c>
      <c r="C945" t="s">
        <v>32</v>
      </c>
      <c r="D945" t="s">
        <v>85</v>
      </c>
      <c r="E945" t="s">
        <v>335</v>
      </c>
      <c r="F945" t="s">
        <v>6639</v>
      </c>
      <c r="G945" t="s">
        <v>3300</v>
      </c>
      <c r="H945" s="121" t="s">
        <v>11894</v>
      </c>
    </row>
    <row r="946" spans="1:8" x14ac:dyDescent="0.25">
      <c r="A946">
        <v>1497527</v>
      </c>
      <c r="B946" s="121" t="s">
        <v>11718</v>
      </c>
      <c r="C946" t="s">
        <v>32</v>
      </c>
      <c r="D946" t="s">
        <v>275</v>
      </c>
      <c r="E946" t="s">
        <v>7689</v>
      </c>
      <c r="F946" t="s">
        <v>4064</v>
      </c>
      <c r="G946" t="s">
        <v>2151</v>
      </c>
      <c r="H946" s="121" t="s">
        <v>11895</v>
      </c>
    </row>
    <row r="947" spans="1:8" x14ac:dyDescent="0.25">
      <c r="A947">
        <v>1498230</v>
      </c>
      <c r="B947" s="121" t="s">
        <v>11718</v>
      </c>
      <c r="C947" t="s">
        <v>32</v>
      </c>
      <c r="D947" t="s">
        <v>18</v>
      </c>
      <c r="E947" t="s">
        <v>500</v>
      </c>
      <c r="F947" t="s">
        <v>501</v>
      </c>
      <c r="G947" t="s">
        <v>5860</v>
      </c>
      <c r="H947" s="121" t="s">
        <v>11896</v>
      </c>
    </row>
    <row r="948" spans="1:8" x14ac:dyDescent="0.25">
      <c r="A948">
        <v>1498231</v>
      </c>
      <c r="B948" s="121" t="s">
        <v>11718</v>
      </c>
      <c r="C948" t="s">
        <v>32</v>
      </c>
      <c r="D948" t="s">
        <v>18</v>
      </c>
      <c r="E948" t="s">
        <v>500</v>
      </c>
      <c r="F948" t="s">
        <v>5866</v>
      </c>
      <c r="G948" t="s">
        <v>11897</v>
      </c>
      <c r="H948" s="121" t="s">
        <v>11898</v>
      </c>
    </row>
    <row r="949" spans="1:8" x14ac:dyDescent="0.25">
      <c r="A949">
        <v>1529504</v>
      </c>
      <c r="B949" s="121" t="s">
        <v>11718</v>
      </c>
      <c r="C949" t="s">
        <v>32</v>
      </c>
      <c r="D949" t="s">
        <v>544</v>
      </c>
      <c r="E949" t="s">
        <v>4863</v>
      </c>
      <c r="F949" t="s">
        <v>11899</v>
      </c>
      <c r="G949" t="s">
        <v>11900</v>
      </c>
      <c r="H949" s="121" t="s">
        <v>11901</v>
      </c>
    </row>
    <row r="950" spans="1:8" x14ac:dyDescent="0.25">
      <c r="A950">
        <v>1531241</v>
      </c>
      <c r="B950" s="121" t="s">
        <v>11718</v>
      </c>
      <c r="C950" t="s">
        <v>32</v>
      </c>
      <c r="D950" t="s">
        <v>332</v>
      </c>
      <c r="E950" t="s">
        <v>347</v>
      </c>
      <c r="F950" t="s">
        <v>2075</v>
      </c>
      <c r="G950" t="s">
        <v>2069</v>
      </c>
      <c r="H950" s="121" t="s">
        <v>11902</v>
      </c>
    </row>
    <row r="951" spans="1:8" x14ac:dyDescent="0.25">
      <c r="A951">
        <v>1532479</v>
      </c>
      <c r="B951" s="121" t="s">
        <v>11718</v>
      </c>
      <c r="C951" t="s">
        <v>32</v>
      </c>
      <c r="D951" t="s">
        <v>9319</v>
      </c>
      <c r="E951" t="s">
        <v>9320</v>
      </c>
      <c r="F951" t="s">
        <v>11903</v>
      </c>
      <c r="G951" t="s">
        <v>11904</v>
      </c>
      <c r="H951" s="121" t="s">
        <v>11905</v>
      </c>
    </row>
    <row r="952" spans="1:8" x14ac:dyDescent="0.25">
      <c r="A952">
        <v>1539978</v>
      </c>
      <c r="B952" s="121" t="s">
        <v>11718</v>
      </c>
      <c r="C952" t="s">
        <v>32</v>
      </c>
      <c r="D952" t="s">
        <v>5019</v>
      </c>
      <c r="E952" t="s">
        <v>5020</v>
      </c>
      <c r="F952" t="s">
        <v>5022</v>
      </c>
      <c r="G952" t="s">
        <v>5036</v>
      </c>
      <c r="H952" s="121" t="s">
        <v>11906</v>
      </c>
    </row>
    <row r="953" spans="1:8" x14ac:dyDescent="0.25">
      <c r="A953">
        <v>1387955</v>
      </c>
      <c r="B953" s="121" t="s">
        <v>11907</v>
      </c>
      <c r="C953" t="s">
        <v>32</v>
      </c>
      <c r="D953" t="s">
        <v>89</v>
      </c>
      <c r="E953" t="s">
        <v>47</v>
      </c>
      <c r="F953" t="s">
        <v>2163</v>
      </c>
      <c r="G953" t="s">
        <v>2160</v>
      </c>
      <c r="H953" s="121" t="s">
        <v>11908</v>
      </c>
    </row>
    <row r="954" spans="1:8" x14ac:dyDescent="0.25">
      <c r="A954">
        <v>1387958</v>
      </c>
      <c r="B954" s="121" t="s">
        <v>11907</v>
      </c>
      <c r="C954" t="s">
        <v>32</v>
      </c>
      <c r="D954" t="s">
        <v>89</v>
      </c>
      <c r="E954" t="s">
        <v>47</v>
      </c>
      <c r="F954" t="s">
        <v>6063</v>
      </c>
      <c r="G954" t="s">
        <v>2161</v>
      </c>
      <c r="H954" s="121" t="s">
        <v>11909</v>
      </c>
    </row>
    <row r="955" spans="1:8" x14ac:dyDescent="0.25">
      <c r="A955">
        <v>1419928</v>
      </c>
      <c r="B955" s="121" t="s">
        <v>11907</v>
      </c>
      <c r="C955" t="s">
        <v>32</v>
      </c>
      <c r="D955" t="s">
        <v>41</v>
      </c>
      <c r="E955" t="s">
        <v>348</v>
      </c>
      <c r="F955" t="s">
        <v>4587</v>
      </c>
      <c r="G955" t="s">
        <v>1698</v>
      </c>
      <c r="H955" s="121" t="s">
        <v>11910</v>
      </c>
    </row>
    <row r="956" spans="1:8" x14ac:dyDescent="0.25">
      <c r="A956">
        <v>1460983</v>
      </c>
      <c r="B956" s="121" t="s">
        <v>11907</v>
      </c>
      <c r="C956" t="s">
        <v>32</v>
      </c>
      <c r="D956" t="s">
        <v>40</v>
      </c>
      <c r="E956" t="s">
        <v>664</v>
      </c>
      <c r="F956" t="s">
        <v>11911</v>
      </c>
      <c r="G956" t="s">
        <v>1116</v>
      </c>
      <c r="H956" s="121" t="s">
        <v>11912</v>
      </c>
    </row>
    <row r="957" spans="1:8" x14ac:dyDescent="0.25">
      <c r="A957">
        <v>1531520</v>
      </c>
      <c r="B957" s="121" t="s">
        <v>11907</v>
      </c>
      <c r="C957" t="s">
        <v>32</v>
      </c>
      <c r="D957" t="s">
        <v>95</v>
      </c>
      <c r="E957" t="s">
        <v>96</v>
      </c>
      <c r="F957" t="s">
        <v>465</v>
      </c>
      <c r="G957" t="s">
        <v>4160</v>
      </c>
      <c r="H957" s="121" t="s">
        <v>11913</v>
      </c>
    </row>
    <row r="958" spans="1:8" x14ac:dyDescent="0.25">
      <c r="A958">
        <v>1379282</v>
      </c>
      <c r="B958" s="121" t="s">
        <v>11914</v>
      </c>
      <c r="C958" t="s">
        <v>32</v>
      </c>
      <c r="D958" t="s">
        <v>65</v>
      </c>
      <c r="E958" t="s">
        <v>49</v>
      </c>
      <c r="F958" t="s">
        <v>677</v>
      </c>
      <c r="G958" t="s">
        <v>5056</v>
      </c>
      <c r="H958" s="121" t="s">
        <v>11915</v>
      </c>
    </row>
    <row r="959" spans="1:8" x14ac:dyDescent="0.25">
      <c r="A959">
        <v>1380629</v>
      </c>
      <c r="B959" s="121" t="s">
        <v>11914</v>
      </c>
      <c r="C959" t="s">
        <v>32</v>
      </c>
      <c r="D959" t="s">
        <v>51</v>
      </c>
      <c r="E959" t="s">
        <v>57</v>
      </c>
      <c r="F959" t="s">
        <v>11916</v>
      </c>
      <c r="G959" t="s">
        <v>522</v>
      </c>
      <c r="H959" s="121" t="s">
        <v>11917</v>
      </c>
    </row>
    <row r="960" spans="1:8" x14ac:dyDescent="0.25">
      <c r="A960">
        <v>1388567</v>
      </c>
      <c r="B960" s="121" t="s">
        <v>11914</v>
      </c>
      <c r="C960" t="s">
        <v>32</v>
      </c>
      <c r="D960" t="s">
        <v>43</v>
      </c>
      <c r="E960" t="s">
        <v>347</v>
      </c>
      <c r="F960" t="s">
        <v>11918</v>
      </c>
      <c r="G960" t="s">
        <v>6514</v>
      </c>
      <c r="H960" s="121" t="s">
        <v>11919</v>
      </c>
    </row>
    <row r="961" spans="1:8" x14ac:dyDescent="0.25">
      <c r="A961">
        <v>1429664</v>
      </c>
      <c r="B961" s="121" t="s">
        <v>11914</v>
      </c>
      <c r="C961" t="s">
        <v>32</v>
      </c>
      <c r="D961" t="s">
        <v>37</v>
      </c>
      <c r="E961" t="s">
        <v>238</v>
      </c>
      <c r="F961" t="s">
        <v>11920</v>
      </c>
      <c r="G961" t="s">
        <v>11921</v>
      </c>
      <c r="H961" s="121" t="s">
        <v>11922</v>
      </c>
    </row>
    <row r="962" spans="1:8" x14ac:dyDescent="0.25">
      <c r="A962">
        <v>1433385</v>
      </c>
      <c r="B962" s="121" t="s">
        <v>11914</v>
      </c>
      <c r="C962" t="s">
        <v>32</v>
      </c>
      <c r="D962" t="s">
        <v>40</v>
      </c>
      <c r="E962" t="s">
        <v>661</v>
      </c>
      <c r="F962" t="s">
        <v>1058</v>
      </c>
      <c r="G962" t="s">
        <v>1065</v>
      </c>
      <c r="H962" s="121" t="s">
        <v>11923</v>
      </c>
    </row>
    <row r="963" spans="1:8" x14ac:dyDescent="0.25">
      <c r="A963">
        <v>1439329</v>
      </c>
      <c r="B963" s="121" t="s">
        <v>11914</v>
      </c>
      <c r="C963" t="s">
        <v>32</v>
      </c>
      <c r="D963" t="s">
        <v>41</v>
      </c>
      <c r="E963" t="s">
        <v>4255</v>
      </c>
      <c r="F963" t="s">
        <v>4260</v>
      </c>
      <c r="G963" t="s">
        <v>11924</v>
      </c>
      <c r="H963" s="121" t="s">
        <v>11925</v>
      </c>
    </row>
    <row r="964" spans="1:8" x14ac:dyDescent="0.25">
      <c r="A964">
        <v>1439333</v>
      </c>
      <c r="B964" s="121" t="s">
        <v>11914</v>
      </c>
      <c r="C964" t="s">
        <v>32</v>
      </c>
      <c r="D964" t="s">
        <v>41</v>
      </c>
      <c r="E964" t="s">
        <v>4255</v>
      </c>
      <c r="F964" t="s">
        <v>11926</v>
      </c>
      <c r="G964" t="s">
        <v>11927</v>
      </c>
      <c r="H964" s="121" t="s">
        <v>11928</v>
      </c>
    </row>
    <row r="965" spans="1:8" x14ac:dyDescent="0.25">
      <c r="A965">
        <v>1439708</v>
      </c>
      <c r="B965" s="121" t="s">
        <v>11914</v>
      </c>
      <c r="C965" t="s">
        <v>32</v>
      </c>
      <c r="D965" t="s">
        <v>41</v>
      </c>
      <c r="E965" t="s">
        <v>1198</v>
      </c>
      <c r="F965" t="s">
        <v>1200</v>
      </c>
      <c r="G965" t="s">
        <v>1552</v>
      </c>
      <c r="H965" s="121" t="s">
        <v>11929</v>
      </c>
    </row>
    <row r="966" spans="1:8" x14ac:dyDescent="0.25">
      <c r="A966">
        <v>1439714</v>
      </c>
      <c r="B966" s="121" t="s">
        <v>11914</v>
      </c>
      <c r="C966" t="s">
        <v>32</v>
      </c>
      <c r="D966" t="s">
        <v>41</v>
      </c>
      <c r="E966" t="s">
        <v>1198</v>
      </c>
      <c r="F966" t="s">
        <v>2540</v>
      </c>
      <c r="G966" t="s">
        <v>2542</v>
      </c>
      <c r="H966" s="121" t="s">
        <v>11930</v>
      </c>
    </row>
    <row r="967" spans="1:8" x14ac:dyDescent="0.25">
      <c r="A967">
        <v>1439717</v>
      </c>
      <c r="B967" s="121" t="s">
        <v>11914</v>
      </c>
      <c r="C967" t="s">
        <v>32</v>
      </c>
      <c r="D967" t="s">
        <v>41</v>
      </c>
      <c r="E967" t="s">
        <v>1198</v>
      </c>
      <c r="F967" t="s">
        <v>2538</v>
      </c>
      <c r="G967" t="s">
        <v>1202</v>
      </c>
      <c r="H967" s="121" t="s">
        <v>11931</v>
      </c>
    </row>
    <row r="968" spans="1:8" x14ac:dyDescent="0.25">
      <c r="A968">
        <v>1458190</v>
      </c>
      <c r="B968" s="121" t="s">
        <v>11914</v>
      </c>
      <c r="C968" t="s">
        <v>32</v>
      </c>
      <c r="D968" t="s">
        <v>40</v>
      </c>
      <c r="E968" t="s">
        <v>662</v>
      </c>
      <c r="F968" t="s">
        <v>2102</v>
      </c>
      <c r="G968" t="s">
        <v>1076</v>
      </c>
      <c r="H968" s="121" t="s">
        <v>11932</v>
      </c>
    </row>
    <row r="969" spans="1:8" x14ac:dyDescent="0.25">
      <c r="A969">
        <v>1460678</v>
      </c>
      <c r="B969" s="121" t="s">
        <v>11914</v>
      </c>
      <c r="C969" t="s">
        <v>32</v>
      </c>
      <c r="D969" t="s">
        <v>40</v>
      </c>
      <c r="E969" t="s">
        <v>678</v>
      </c>
      <c r="F969" t="s">
        <v>2226</v>
      </c>
      <c r="G969" t="s">
        <v>1210</v>
      </c>
      <c r="H969" s="121" t="s">
        <v>11933</v>
      </c>
    </row>
    <row r="970" spans="1:8" x14ac:dyDescent="0.25">
      <c r="A970">
        <v>1462811</v>
      </c>
      <c r="B970" s="121" t="s">
        <v>11914</v>
      </c>
      <c r="C970" t="s">
        <v>32</v>
      </c>
      <c r="D970" t="s">
        <v>40</v>
      </c>
      <c r="E970" t="s">
        <v>667</v>
      </c>
      <c r="F970" t="s">
        <v>1138</v>
      </c>
      <c r="G970" t="s">
        <v>1941</v>
      </c>
      <c r="H970" s="121" t="s">
        <v>11934</v>
      </c>
    </row>
    <row r="971" spans="1:8" x14ac:dyDescent="0.25">
      <c r="A971">
        <v>1462814</v>
      </c>
      <c r="B971" s="121" t="s">
        <v>11914</v>
      </c>
      <c r="C971" t="s">
        <v>32</v>
      </c>
      <c r="D971" t="s">
        <v>40</v>
      </c>
      <c r="E971" t="s">
        <v>667</v>
      </c>
      <c r="F971" t="s">
        <v>2230</v>
      </c>
      <c r="G971" t="s">
        <v>1135</v>
      </c>
      <c r="H971" s="121" t="s">
        <v>11935</v>
      </c>
    </row>
    <row r="972" spans="1:8" x14ac:dyDescent="0.25">
      <c r="A972">
        <v>1462815</v>
      </c>
      <c r="B972" s="121" t="s">
        <v>11914</v>
      </c>
      <c r="C972" t="s">
        <v>32</v>
      </c>
      <c r="D972" t="s">
        <v>40</v>
      </c>
      <c r="E972" t="s">
        <v>667</v>
      </c>
      <c r="F972" t="s">
        <v>2229</v>
      </c>
      <c r="G972" t="s">
        <v>1133</v>
      </c>
      <c r="H972" s="121" t="s">
        <v>11936</v>
      </c>
    </row>
    <row r="973" spans="1:8" x14ac:dyDescent="0.25">
      <c r="A973">
        <v>1463111</v>
      </c>
      <c r="B973" s="121" t="s">
        <v>11914</v>
      </c>
      <c r="C973" t="s">
        <v>32</v>
      </c>
      <c r="D973" t="s">
        <v>40</v>
      </c>
      <c r="E973" t="s">
        <v>651</v>
      </c>
      <c r="F973" t="s">
        <v>2135</v>
      </c>
      <c r="G973" t="s">
        <v>2055</v>
      </c>
      <c r="H973" s="121" t="s">
        <v>11937</v>
      </c>
    </row>
    <row r="974" spans="1:8" x14ac:dyDescent="0.25">
      <c r="A974">
        <v>1463116</v>
      </c>
      <c r="B974" s="121" t="s">
        <v>11914</v>
      </c>
      <c r="C974" t="s">
        <v>32</v>
      </c>
      <c r="D974" t="s">
        <v>40</v>
      </c>
      <c r="E974" t="s">
        <v>651</v>
      </c>
      <c r="F974" t="s">
        <v>2134</v>
      </c>
      <c r="G974" t="s">
        <v>2136</v>
      </c>
      <c r="H974" s="121" t="s">
        <v>11938</v>
      </c>
    </row>
    <row r="975" spans="1:8" x14ac:dyDescent="0.25">
      <c r="A975">
        <v>1516880</v>
      </c>
      <c r="B975" s="121" t="s">
        <v>11914</v>
      </c>
      <c r="C975" t="s">
        <v>32</v>
      </c>
      <c r="D975" t="s">
        <v>11939</v>
      </c>
      <c r="E975" t="s">
        <v>11940</v>
      </c>
      <c r="F975" t="s">
        <v>11941</v>
      </c>
      <c r="G975" t="s">
        <v>11942</v>
      </c>
      <c r="H975" s="121" t="s">
        <v>11943</v>
      </c>
    </row>
    <row r="976" spans="1:8" x14ac:dyDescent="0.25">
      <c r="A976">
        <v>1516881</v>
      </c>
      <c r="B976" s="121" t="s">
        <v>11914</v>
      </c>
      <c r="C976" t="s">
        <v>32</v>
      </c>
      <c r="D976" t="s">
        <v>11939</v>
      </c>
      <c r="E976" t="s">
        <v>11940</v>
      </c>
      <c r="F976" t="s">
        <v>11944</v>
      </c>
      <c r="G976" t="s">
        <v>11945</v>
      </c>
      <c r="H976" s="121" t="s">
        <v>11946</v>
      </c>
    </row>
    <row r="977" spans="1:8" x14ac:dyDescent="0.25">
      <c r="A977">
        <v>1516882</v>
      </c>
      <c r="B977" s="121" t="s">
        <v>11914</v>
      </c>
      <c r="C977" t="s">
        <v>32</v>
      </c>
      <c r="D977" t="s">
        <v>11939</v>
      </c>
      <c r="E977" t="s">
        <v>11940</v>
      </c>
      <c r="F977" t="s">
        <v>11947</v>
      </c>
      <c r="G977" t="s">
        <v>11948</v>
      </c>
      <c r="H977" s="121" t="s">
        <v>11949</v>
      </c>
    </row>
    <row r="978" spans="1:8" x14ac:dyDescent="0.25">
      <c r="A978">
        <v>1516883</v>
      </c>
      <c r="B978" s="121" t="s">
        <v>11914</v>
      </c>
      <c r="C978" t="s">
        <v>32</v>
      </c>
      <c r="D978" t="s">
        <v>11939</v>
      </c>
      <c r="E978" t="s">
        <v>11940</v>
      </c>
      <c r="F978" t="s">
        <v>11950</v>
      </c>
      <c r="G978" t="s">
        <v>11951</v>
      </c>
      <c r="H978" s="121" t="s">
        <v>11952</v>
      </c>
    </row>
    <row r="979" spans="1:8" x14ac:dyDescent="0.25">
      <c r="A979">
        <v>1524322</v>
      </c>
      <c r="B979" s="121" t="s">
        <v>11914</v>
      </c>
      <c r="C979" t="s">
        <v>32</v>
      </c>
      <c r="D979" t="s">
        <v>48</v>
      </c>
      <c r="E979" t="s">
        <v>342</v>
      </c>
      <c r="F979" t="s">
        <v>11953</v>
      </c>
      <c r="G979" t="s">
        <v>2236</v>
      </c>
      <c r="H979" s="121" t="s">
        <v>11954</v>
      </c>
    </row>
    <row r="980" spans="1:8" x14ac:dyDescent="0.25">
      <c r="A980">
        <v>1539774</v>
      </c>
      <c r="B980" s="121" t="s">
        <v>11914</v>
      </c>
      <c r="C980" t="s">
        <v>32</v>
      </c>
      <c r="D980" t="s">
        <v>5924</v>
      </c>
      <c r="E980" t="s">
        <v>7410</v>
      </c>
      <c r="F980" t="s">
        <v>11955</v>
      </c>
      <c r="G980" t="s">
        <v>11956</v>
      </c>
      <c r="H980" s="121" t="s">
        <v>11957</v>
      </c>
    </row>
    <row r="981" spans="1:8" x14ac:dyDescent="0.25">
      <c r="A981">
        <v>1539779</v>
      </c>
      <c r="B981" s="121" t="s">
        <v>11914</v>
      </c>
      <c r="C981" t="s">
        <v>32</v>
      </c>
      <c r="D981" t="s">
        <v>5924</v>
      </c>
      <c r="E981" t="s">
        <v>7410</v>
      </c>
      <c r="F981" t="s">
        <v>11958</v>
      </c>
      <c r="G981" t="s">
        <v>11959</v>
      </c>
      <c r="H981" s="121" t="s">
        <v>11960</v>
      </c>
    </row>
    <row r="982" spans="1:8" x14ac:dyDescent="0.25">
      <c r="A982">
        <v>1540074</v>
      </c>
      <c r="B982" s="121" t="s">
        <v>11914</v>
      </c>
      <c r="C982" t="s">
        <v>32</v>
      </c>
      <c r="D982" t="s">
        <v>407</v>
      </c>
      <c r="E982" t="s">
        <v>47</v>
      </c>
      <c r="F982" t="s">
        <v>11961</v>
      </c>
      <c r="G982" t="s">
        <v>2275</v>
      </c>
      <c r="H982" s="121" t="s">
        <v>11962</v>
      </c>
    </row>
    <row r="983" spans="1:8" x14ac:dyDescent="0.25">
      <c r="A983">
        <v>1378175</v>
      </c>
      <c r="B983" s="121" t="s">
        <v>11963</v>
      </c>
      <c r="C983" t="s">
        <v>32</v>
      </c>
      <c r="D983" t="s">
        <v>41</v>
      </c>
      <c r="E983" t="s">
        <v>60</v>
      </c>
      <c r="F983" t="s">
        <v>464</v>
      </c>
      <c r="G983" t="s">
        <v>1193</v>
      </c>
      <c r="H983" s="121" t="s">
        <v>11964</v>
      </c>
    </row>
    <row r="984" spans="1:8" x14ac:dyDescent="0.25">
      <c r="A984">
        <v>1398659</v>
      </c>
      <c r="B984" s="121" t="s">
        <v>11963</v>
      </c>
      <c r="C984" t="s">
        <v>32</v>
      </c>
      <c r="D984" t="s">
        <v>42</v>
      </c>
      <c r="E984" t="s">
        <v>50</v>
      </c>
      <c r="F984" t="s">
        <v>3692</v>
      </c>
      <c r="G984" t="s">
        <v>3085</v>
      </c>
      <c r="H984" s="121" t="s">
        <v>11965</v>
      </c>
    </row>
    <row r="985" spans="1:8" x14ac:dyDescent="0.25">
      <c r="A985">
        <v>1413601</v>
      </c>
      <c r="B985" s="121" t="s">
        <v>11963</v>
      </c>
      <c r="C985" t="s">
        <v>32</v>
      </c>
      <c r="D985" t="s">
        <v>53</v>
      </c>
      <c r="E985" t="s">
        <v>1853</v>
      </c>
      <c r="F985" t="s">
        <v>1864</v>
      </c>
      <c r="G985" t="s">
        <v>1863</v>
      </c>
      <c r="H985" s="121" t="s">
        <v>11966</v>
      </c>
    </row>
    <row r="986" spans="1:8" x14ac:dyDescent="0.25">
      <c r="A986">
        <v>1432162</v>
      </c>
      <c r="B986" s="121" t="s">
        <v>11963</v>
      </c>
      <c r="C986" t="s">
        <v>32</v>
      </c>
      <c r="D986" t="s">
        <v>40</v>
      </c>
      <c r="E986" t="s">
        <v>660</v>
      </c>
      <c r="F986" t="s">
        <v>1921</v>
      </c>
      <c r="G986" t="s">
        <v>2086</v>
      </c>
      <c r="H986" s="121" t="s">
        <v>11967</v>
      </c>
    </row>
    <row r="987" spans="1:8" x14ac:dyDescent="0.25">
      <c r="A987">
        <v>1432164</v>
      </c>
      <c r="B987" s="121" t="s">
        <v>11963</v>
      </c>
      <c r="C987" t="s">
        <v>32</v>
      </c>
      <c r="D987" t="s">
        <v>40</v>
      </c>
      <c r="E987" t="s">
        <v>660</v>
      </c>
      <c r="F987" t="s">
        <v>1920</v>
      </c>
      <c r="G987" t="s">
        <v>11968</v>
      </c>
      <c r="H987" s="121" t="s">
        <v>11969</v>
      </c>
    </row>
    <row r="988" spans="1:8" x14ac:dyDescent="0.25">
      <c r="A988">
        <v>1432470</v>
      </c>
      <c r="B988" s="121" t="s">
        <v>11963</v>
      </c>
      <c r="C988" t="s">
        <v>32</v>
      </c>
      <c r="D988" t="s">
        <v>40</v>
      </c>
      <c r="E988" t="s">
        <v>645</v>
      </c>
      <c r="F988" t="s">
        <v>2098</v>
      </c>
      <c r="G988" t="s">
        <v>2092</v>
      </c>
      <c r="H988" s="121" t="s">
        <v>11970</v>
      </c>
    </row>
    <row r="989" spans="1:8" x14ac:dyDescent="0.25">
      <c r="A989">
        <v>1432472</v>
      </c>
      <c r="B989" s="121" t="s">
        <v>11963</v>
      </c>
      <c r="C989" t="s">
        <v>32</v>
      </c>
      <c r="D989" t="s">
        <v>40</v>
      </c>
      <c r="E989" t="s">
        <v>645</v>
      </c>
      <c r="F989" t="s">
        <v>1039</v>
      </c>
      <c r="G989" t="s">
        <v>6428</v>
      </c>
      <c r="H989" s="121" t="s">
        <v>11971</v>
      </c>
    </row>
    <row r="990" spans="1:8" x14ac:dyDescent="0.25">
      <c r="A990">
        <v>1433079</v>
      </c>
      <c r="B990" s="121" t="s">
        <v>11963</v>
      </c>
      <c r="C990" t="s">
        <v>32</v>
      </c>
      <c r="D990" t="s">
        <v>40</v>
      </c>
      <c r="E990" t="s">
        <v>1046</v>
      </c>
      <c r="F990" t="s">
        <v>1048</v>
      </c>
      <c r="G990" t="s">
        <v>1110</v>
      </c>
      <c r="H990" s="121" t="s">
        <v>11972</v>
      </c>
    </row>
    <row r="991" spans="1:8" x14ac:dyDescent="0.25">
      <c r="A991">
        <v>1433080</v>
      </c>
      <c r="B991" s="121" t="s">
        <v>11963</v>
      </c>
      <c r="C991" t="s">
        <v>32</v>
      </c>
      <c r="D991" t="s">
        <v>40</v>
      </c>
      <c r="E991" t="s">
        <v>1046</v>
      </c>
      <c r="F991" t="s">
        <v>1054</v>
      </c>
      <c r="G991" t="s">
        <v>1050</v>
      </c>
      <c r="H991" s="121" t="s">
        <v>11973</v>
      </c>
    </row>
    <row r="992" spans="1:8" x14ac:dyDescent="0.25">
      <c r="A992">
        <v>1433081</v>
      </c>
      <c r="B992" s="121" t="s">
        <v>11963</v>
      </c>
      <c r="C992" t="s">
        <v>32</v>
      </c>
      <c r="D992" t="s">
        <v>40</v>
      </c>
      <c r="E992" t="s">
        <v>1046</v>
      </c>
      <c r="F992" t="s">
        <v>2215</v>
      </c>
      <c r="G992" t="s">
        <v>2217</v>
      </c>
      <c r="H992" s="121" t="s">
        <v>11974</v>
      </c>
    </row>
    <row r="993" spans="1:8" x14ac:dyDescent="0.25">
      <c r="A993">
        <v>1433084</v>
      </c>
      <c r="B993" s="121" t="s">
        <v>11963</v>
      </c>
      <c r="C993" t="s">
        <v>32</v>
      </c>
      <c r="D993" t="s">
        <v>40</v>
      </c>
      <c r="E993" t="s">
        <v>1046</v>
      </c>
      <c r="F993" t="s">
        <v>2178</v>
      </c>
      <c r="G993" t="s">
        <v>1052</v>
      </c>
      <c r="H993" s="121" t="s">
        <v>11975</v>
      </c>
    </row>
    <row r="994" spans="1:8" x14ac:dyDescent="0.25">
      <c r="A994">
        <v>1433387</v>
      </c>
      <c r="B994" s="121" t="s">
        <v>11963</v>
      </c>
      <c r="C994" t="s">
        <v>32</v>
      </c>
      <c r="D994" t="s">
        <v>40</v>
      </c>
      <c r="E994" t="s">
        <v>661</v>
      </c>
      <c r="F994" t="s">
        <v>2253</v>
      </c>
      <c r="G994" t="s">
        <v>1062</v>
      </c>
      <c r="H994" s="121" t="s">
        <v>11976</v>
      </c>
    </row>
    <row r="995" spans="1:8" x14ac:dyDescent="0.25">
      <c r="A995">
        <v>1452776</v>
      </c>
      <c r="B995" s="121" t="s">
        <v>11963</v>
      </c>
      <c r="C995" t="s">
        <v>32</v>
      </c>
      <c r="D995" t="s">
        <v>40</v>
      </c>
      <c r="E995" t="s">
        <v>997</v>
      </c>
      <c r="F995" t="s">
        <v>2101</v>
      </c>
      <c r="G995" t="s">
        <v>1203</v>
      </c>
      <c r="H995" s="121" t="s">
        <v>11977</v>
      </c>
    </row>
    <row r="996" spans="1:8" x14ac:dyDescent="0.25">
      <c r="A996">
        <v>1458192</v>
      </c>
      <c r="B996" s="121" t="s">
        <v>11963</v>
      </c>
      <c r="C996" t="s">
        <v>32</v>
      </c>
      <c r="D996" t="s">
        <v>40</v>
      </c>
      <c r="E996" t="s">
        <v>662</v>
      </c>
      <c r="F996" t="s">
        <v>2103</v>
      </c>
      <c r="G996" t="s">
        <v>11978</v>
      </c>
      <c r="H996" s="121" t="s">
        <v>11979</v>
      </c>
    </row>
    <row r="997" spans="1:8" x14ac:dyDescent="0.25">
      <c r="A997">
        <v>1458193</v>
      </c>
      <c r="B997" s="121" t="s">
        <v>11963</v>
      </c>
      <c r="C997" t="s">
        <v>32</v>
      </c>
      <c r="D997" t="s">
        <v>40</v>
      </c>
      <c r="E997" t="s">
        <v>662</v>
      </c>
      <c r="F997" t="s">
        <v>2182</v>
      </c>
      <c r="G997" t="s">
        <v>1206</v>
      </c>
      <c r="H997" s="121" t="s">
        <v>11980</v>
      </c>
    </row>
    <row r="998" spans="1:8" x14ac:dyDescent="0.25">
      <c r="A998">
        <v>1458497</v>
      </c>
      <c r="B998" s="121" t="s">
        <v>11963</v>
      </c>
      <c r="C998" t="s">
        <v>32</v>
      </c>
      <c r="D998" t="s">
        <v>40</v>
      </c>
      <c r="E998" t="s">
        <v>663</v>
      </c>
      <c r="F998" t="s">
        <v>1082</v>
      </c>
      <c r="G998" t="s">
        <v>2186</v>
      </c>
      <c r="H998" s="121" t="s">
        <v>11981</v>
      </c>
    </row>
    <row r="999" spans="1:8" x14ac:dyDescent="0.25">
      <c r="A999">
        <v>1459757</v>
      </c>
      <c r="B999" s="121" t="s">
        <v>11963</v>
      </c>
      <c r="C999" t="s">
        <v>32</v>
      </c>
      <c r="D999" t="s">
        <v>40</v>
      </c>
      <c r="E999" t="s">
        <v>646</v>
      </c>
      <c r="F999" t="s">
        <v>2287</v>
      </c>
      <c r="G999" t="s">
        <v>1003</v>
      </c>
      <c r="H999" s="121" t="s">
        <v>11982</v>
      </c>
    </row>
    <row r="1000" spans="1:8" x14ac:dyDescent="0.25">
      <c r="A1000">
        <v>1459759</v>
      </c>
      <c r="B1000" s="121" t="s">
        <v>11963</v>
      </c>
      <c r="C1000" t="s">
        <v>32</v>
      </c>
      <c r="D1000" t="s">
        <v>40</v>
      </c>
      <c r="E1000" t="s">
        <v>646</v>
      </c>
      <c r="F1000" t="s">
        <v>2112</v>
      </c>
      <c r="G1000" t="s">
        <v>2110</v>
      </c>
      <c r="H1000" s="121" t="s">
        <v>11983</v>
      </c>
    </row>
    <row r="1001" spans="1:8" x14ac:dyDescent="0.25">
      <c r="A1001">
        <v>1459762</v>
      </c>
      <c r="B1001" s="121" t="s">
        <v>11963</v>
      </c>
      <c r="C1001" t="s">
        <v>32</v>
      </c>
      <c r="D1001" t="s">
        <v>40</v>
      </c>
      <c r="E1001" t="s">
        <v>646</v>
      </c>
      <c r="F1001" t="s">
        <v>2266</v>
      </c>
      <c r="G1001" t="s">
        <v>11984</v>
      </c>
      <c r="H1001" s="121" t="s">
        <v>11985</v>
      </c>
    </row>
    <row r="1002" spans="1:8" x14ac:dyDescent="0.25">
      <c r="A1002">
        <v>1460063</v>
      </c>
      <c r="B1002" s="121" t="s">
        <v>11963</v>
      </c>
      <c r="C1002" t="s">
        <v>32</v>
      </c>
      <c r="D1002" t="s">
        <v>40</v>
      </c>
      <c r="E1002" t="s">
        <v>1005</v>
      </c>
      <c r="F1002" t="s">
        <v>2114</v>
      </c>
      <c r="G1002" t="s">
        <v>1100</v>
      </c>
      <c r="H1002" s="121" t="s">
        <v>11986</v>
      </c>
    </row>
    <row r="1003" spans="1:8" x14ac:dyDescent="0.25">
      <c r="A1003">
        <v>1460672</v>
      </c>
      <c r="B1003" s="121" t="s">
        <v>11963</v>
      </c>
      <c r="C1003" t="s">
        <v>32</v>
      </c>
      <c r="D1003" t="s">
        <v>40</v>
      </c>
      <c r="E1003" t="s">
        <v>678</v>
      </c>
      <c r="F1003" t="s">
        <v>1188</v>
      </c>
      <c r="G1003" t="s">
        <v>2225</v>
      </c>
      <c r="H1003" s="121" t="s">
        <v>11987</v>
      </c>
    </row>
    <row r="1004" spans="1:8" x14ac:dyDescent="0.25">
      <c r="A1004">
        <v>1460979</v>
      </c>
      <c r="B1004" s="121" t="s">
        <v>11963</v>
      </c>
      <c r="C1004" t="s">
        <v>32</v>
      </c>
      <c r="D1004" t="s">
        <v>40</v>
      </c>
      <c r="E1004" t="s">
        <v>664</v>
      </c>
      <c r="F1004" t="s">
        <v>680</v>
      </c>
      <c r="G1004" t="s">
        <v>1111</v>
      </c>
      <c r="H1004" s="121" t="s">
        <v>11988</v>
      </c>
    </row>
    <row r="1005" spans="1:8" x14ac:dyDescent="0.25">
      <c r="A1005">
        <v>1460985</v>
      </c>
      <c r="B1005" s="121" t="s">
        <v>11963</v>
      </c>
      <c r="C1005" t="s">
        <v>32</v>
      </c>
      <c r="D1005" t="s">
        <v>40</v>
      </c>
      <c r="E1005" t="s">
        <v>664</v>
      </c>
      <c r="F1005" t="s">
        <v>2118</v>
      </c>
      <c r="G1005" t="s">
        <v>1108</v>
      </c>
      <c r="H1005" s="121" t="s">
        <v>11989</v>
      </c>
    </row>
    <row r="1006" spans="1:8" x14ac:dyDescent="0.25">
      <c r="A1006">
        <v>1461892</v>
      </c>
      <c r="B1006" s="121" t="s">
        <v>11963</v>
      </c>
      <c r="C1006" t="s">
        <v>32</v>
      </c>
      <c r="D1006" t="s">
        <v>40</v>
      </c>
      <c r="E1006" t="s">
        <v>649</v>
      </c>
      <c r="F1006" t="s">
        <v>1125</v>
      </c>
      <c r="G1006" t="s">
        <v>1009</v>
      </c>
      <c r="H1006" s="121" t="s">
        <v>11990</v>
      </c>
    </row>
    <row r="1007" spans="1:8" x14ac:dyDescent="0.25">
      <c r="A1007">
        <v>1461894</v>
      </c>
      <c r="B1007" s="121" t="s">
        <v>11963</v>
      </c>
      <c r="C1007" t="s">
        <v>32</v>
      </c>
      <c r="D1007" t="s">
        <v>40</v>
      </c>
      <c r="E1007" t="s">
        <v>649</v>
      </c>
      <c r="F1007" t="s">
        <v>2120</v>
      </c>
      <c r="G1007" t="s">
        <v>11991</v>
      </c>
      <c r="H1007" s="121" t="s">
        <v>11992</v>
      </c>
    </row>
    <row r="1008" spans="1:8" x14ac:dyDescent="0.25">
      <c r="A1008">
        <v>1462204</v>
      </c>
      <c r="B1008" s="121" t="s">
        <v>11963</v>
      </c>
      <c r="C1008" t="s">
        <v>32</v>
      </c>
      <c r="D1008" t="s">
        <v>40</v>
      </c>
      <c r="E1008" t="s">
        <v>1126</v>
      </c>
      <c r="F1008" t="s">
        <v>1130</v>
      </c>
      <c r="G1008" t="s">
        <v>2126</v>
      </c>
      <c r="H1008" s="121" t="s">
        <v>11993</v>
      </c>
    </row>
    <row r="1009" spans="1:8" x14ac:dyDescent="0.25">
      <c r="A1009">
        <v>1462206</v>
      </c>
      <c r="B1009" s="121" t="s">
        <v>11963</v>
      </c>
      <c r="C1009" t="s">
        <v>32</v>
      </c>
      <c r="D1009" t="s">
        <v>40</v>
      </c>
      <c r="E1009" t="s">
        <v>1126</v>
      </c>
      <c r="F1009" t="s">
        <v>2124</v>
      </c>
      <c r="G1009" t="s">
        <v>1131</v>
      </c>
      <c r="H1009" s="121" t="s">
        <v>11994</v>
      </c>
    </row>
    <row r="1010" spans="1:8" x14ac:dyDescent="0.25">
      <c r="A1010">
        <v>1462510</v>
      </c>
      <c r="B1010" s="121" t="s">
        <v>11963</v>
      </c>
      <c r="C1010" t="s">
        <v>32</v>
      </c>
      <c r="D1010" t="s">
        <v>40</v>
      </c>
      <c r="E1010" t="s">
        <v>650</v>
      </c>
      <c r="F1010" t="s">
        <v>11995</v>
      </c>
      <c r="G1010" t="s">
        <v>11996</v>
      </c>
      <c r="H1010" s="121" t="s">
        <v>11997</v>
      </c>
    </row>
    <row r="1011" spans="1:8" x14ac:dyDescent="0.25">
      <c r="A1011">
        <v>1463417</v>
      </c>
      <c r="B1011" s="121" t="s">
        <v>11963</v>
      </c>
      <c r="C1011" t="s">
        <v>32</v>
      </c>
      <c r="D1011" t="s">
        <v>40</v>
      </c>
      <c r="E1011" t="s">
        <v>652</v>
      </c>
      <c r="F1011" t="s">
        <v>1142</v>
      </c>
      <c r="G1011" t="s">
        <v>5699</v>
      </c>
      <c r="H1011" s="121" t="s">
        <v>11998</v>
      </c>
    </row>
    <row r="1012" spans="1:8" x14ac:dyDescent="0.25">
      <c r="A1012">
        <v>1463422</v>
      </c>
      <c r="B1012" s="121" t="s">
        <v>11963</v>
      </c>
      <c r="C1012" t="s">
        <v>32</v>
      </c>
      <c r="D1012" t="s">
        <v>40</v>
      </c>
      <c r="E1012" t="s">
        <v>652</v>
      </c>
      <c r="F1012" t="s">
        <v>11999</v>
      </c>
      <c r="G1012" t="s">
        <v>2168</v>
      </c>
      <c r="H1012" s="121" t="s">
        <v>12000</v>
      </c>
    </row>
    <row r="1013" spans="1:8" x14ac:dyDescent="0.25">
      <c r="A1013">
        <v>1469455</v>
      </c>
      <c r="B1013" s="121" t="s">
        <v>11963</v>
      </c>
      <c r="C1013" t="s">
        <v>32</v>
      </c>
      <c r="D1013" t="s">
        <v>2141</v>
      </c>
      <c r="E1013" t="s">
        <v>47</v>
      </c>
      <c r="F1013" t="s">
        <v>2491</v>
      </c>
      <c r="G1013" t="s">
        <v>2495</v>
      </c>
      <c r="H1013" s="121" t="s">
        <v>12001</v>
      </c>
    </row>
    <row r="1014" spans="1:8" x14ac:dyDescent="0.25">
      <c r="A1014">
        <v>1469456</v>
      </c>
      <c r="B1014" s="121" t="s">
        <v>11963</v>
      </c>
      <c r="C1014" t="s">
        <v>32</v>
      </c>
      <c r="D1014" t="s">
        <v>2141</v>
      </c>
      <c r="E1014" t="s">
        <v>47</v>
      </c>
      <c r="F1014" t="s">
        <v>2493</v>
      </c>
      <c r="G1014" t="s">
        <v>2494</v>
      </c>
      <c r="H1014" s="121" t="s">
        <v>12002</v>
      </c>
    </row>
    <row r="1015" spans="1:8" x14ac:dyDescent="0.25">
      <c r="A1015">
        <v>1469457</v>
      </c>
      <c r="B1015" s="121" t="s">
        <v>11963</v>
      </c>
      <c r="C1015" t="s">
        <v>32</v>
      </c>
      <c r="D1015" t="s">
        <v>2141</v>
      </c>
      <c r="E1015" t="s">
        <v>47</v>
      </c>
      <c r="F1015" t="s">
        <v>6136</v>
      </c>
      <c r="G1015" t="s">
        <v>2490</v>
      </c>
      <c r="H1015" s="121" t="s">
        <v>12003</v>
      </c>
    </row>
    <row r="1016" spans="1:8" x14ac:dyDescent="0.25">
      <c r="A1016">
        <v>1480004</v>
      </c>
      <c r="B1016" s="121" t="s">
        <v>11963</v>
      </c>
      <c r="C1016" t="s">
        <v>32</v>
      </c>
      <c r="D1016" t="s">
        <v>40</v>
      </c>
      <c r="E1016" t="s">
        <v>997</v>
      </c>
      <c r="F1016" t="s">
        <v>1145</v>
      </c>
      <c r="G1016" t="s">
        <v>2221</v>
      </c>
      <c r="H1016" s="121" t="s">
        <v>12004</v>
      </c>
    </row>
    <row r="1017" spans="1:8" x14ac:dyDescent="0.25">
      <c r="A1017">
        <v>1509034</v>
      </c>
      <c r="B1017" s="121" t="s">
        <v>11963</v>
      </c>
      <c r="C1017" t="s">
        <v>32</v>
      </c>
      <c r="D1017" t="s">
        <v>343</v>
      </c>
      <c r="E1017" t="s">
        <v>84</v>
      </c>
      <c r="F1017" t="s">
        <v>12005</v>
      </c>
      <c r="G1017" t="s">
        <v>12006</v>
      </c>
      <c r="H1017" s="121" t="s">
        <v>12007</v>
      </c>
    </row>
    <row r="1018" spans="1:8" x14ac:dyDescent="0.25">
      <c r="A1018">
        <v>1526984</v>
      </c>
      <c r="B1018" s="121" t="s">
        <v>11963</v>
      </c>
      <c r="C1018" t="s">
        <v>32</v>
      </c>
      <c r="D1018" t="s">
        <v>21</v>
      </c>
      <c r="E1018" t="s">
        <v>7468</v>
      </c>
      <c r="F1018" t="s">
        <v>12008</v>
      </c>
      <c r="G1018" t="s">
        <v>12009</v>
      </c>
      <c r="H1018" s="121" t="s">
        <v>12010</v>
      </c>
    </row>
    <row r="1019" spans="1:8" x14ac:dyDescent="0.25">
      <c r="A1019">
        <v>1528516</v>
      </c>
      <c r="B1019" s="121" t="s">
        <v>11963</v>
      </c>
      <c r="C1019" t="s">
        <v>32</v>
      </c>
      <c r="D1019" t="s">
        <v>268</v>
      </c>
      <c r="E1019" t="s">
        <v>265</v>
      </c>
      <c r="F1019" t="s">
        <v>2237</v>
      </c>
      <c r="G1019" t="s">
        <v>5014</v>
      </c>
      <c r="H1019" s="121" t="s">
        <v>12011</v>
      </c>
    </row>
    <row r="1020" spans="1:8" x14ac:dyDescent="0.25">
      <c r="A1020">
        <v>1530539</v>
      </c>
      <c r="B1020" s="121" t="s">
        <v>11963</v>
      </c>
      <c r="C1020" t="s">
        <v>32</v>
      </c>
      <c r="D1020" t="s">
        <v>78</v>
      </c>
      <c r="E1020" t="s">
        <v>69</v>
      </c>
      <c r="F1020" t="s">
        <v>12012</v>
      </c>
      <c r="G1020" t="s">
        <v>12013</v>
      </c>
      <c r="H1020" s="121" t="s">
        <v>12014</v>
      </c>
    </row>
    <row r="1021" spans="1:8" x14ac:dyDescent="0.25">
      <c r="A1021">
        <v>1539169</v>
      </c>
      <c r="B1021" s="121" t="s">
        <v>11963</v>
      </c>
      <c r="C1021" t="s">
        <v>32</v>
      </c>
      <c r="D1021" t="s">
        <v>72</v>
      </c>
      <c r="E1021" t="s">
        <v>75</v>
      </c>
      <c r="F1021" t="s">
        <v>12015</v>
      </c>
      <c r="G1021" t="s">
        <v>6851</v>
      </c>
      <c r="H1021" s="121" t="s">
        <v>12016</v>
      </c>
    </row>
    <row r="1022" spans="1:8" x14ac:dyDescent="0.25">
      <c r="A1022">
        <v>1540075</v>
      </c>
      <c r="B1022" s="121" t="s">
        <v>11963</v>
      </c>
      <c r="C1022" t="s">
        <v>32</v>
      </c>
      <c r="D1022" t="s">
        <v>407</v>
      </c>
      <c r="E1022" t="s">
        <v>47</v>
      </c>
      <c r="F1022" t="s">
        <v>2157</v>
      </c>
      <c r="G1022" t="s">
        <v>6173</v>
      </c>
      <c r="H1022" s="121" t="s">
        <v>12017</v>
      </c>
    </row>
    <row r="1023" spans="1:8" x14ac:dyDescent="0.25">
      <c r="A1023">
        <v>1540076</v>
      </c>
      <c r="B1023" s="121" t="s">
        <v>11963</v>
      </c>
      <c r="C1023" t="s">
        <v>32</v>
      </c>
      <c r="D1023" t="s">
        <v>407</v>
      </c>
      <c r="E1023" t="s">
        <v>47</v>
      </c>
      <c r="F1023" t="s">
        <v>2156</v>
      </c>
      <c r="G1023" t="s">
        <v>6053</v>
      </c>
      <c r="H1023" s="121" t="s">
        <v>12018</v>
      </c>
    </row>
    <row r="1024" spans="1:8" x14ac:dyDescent="0.25">
      <c r="A1024">
        <v>1540077</v>
      </c>
      <c r="B1024" s="121" t="s">
        <v>11963</v>
      </c>
      <c r="C1024" t="s">
        <v>32</v>
      </c>
      <c r="D1024" t="s">
        <v>407</v>
      </c>
      <c r="E1024" t="s">
        <v>47</v>
      </c>
      <c r="F1024" t="s">
        <v>12019</v>
      </c>
      <c r="G1024" t="s">
        <v>12020</v>
      </c>
      <c r="H1024" s="121" t="s">
        <v>12021</v>
      </c>
    </row>
    <row r="1025" spans="1:8" x14ac:dyDescent="0.25">
      <c r="A1025">
        <v>1540136</v>
      </c>
      <c r="B1025" s="121" t="s">
        <v>11963</v>
      </c>
      <c r="C1025" t="s">
        <v>32</v>
      </c>
      <c r="D1025" t="s">
        <v>461</v>
      </c>
      <c r="E1025" t="s">
        <v>47</v>
      </c>
      <c r="F1025" t="s">
        <v>12022</v>
      </c>
      <c r="G1025" t="s">
        <v>12023</v>
      </c>
      <c r="H1025" s="121" t="s">
        <v>12024</v>
      </c>
    </row>
    <row r="1026" spans="1:8" x14ac:dyDescent="0.25">
      <c r="A1026">
        <v>1540137</v>
      </c>
      <c r="B1026" s="121" t="s">
        <v>11963</v>
      </c>
      <c r="C1026" t="s">
        <v>32</v>
      </c>
      <c r="D1026" t="s">
        <v>461</v>
      </c>
      <c r="E1026" t="s">
        <v>47</v>
      </c>
      <c r="F1026" t="s">
        <v>12025</v>
      </c>
      <c r="G1026" t="s">
        <v>12026</v>
      </c>
      <c r="H1026" s="121" t="s">
        <v>12027</v>
      </c>
    </row>
    <row r="1027" spans="1:8" x14ac:dyDescent="0.25">
      <c r="A1027">
        <v>1540138</v>
      </c>
      <c r="B1027" s="121" t="s">
        <v>11963</v>
      </c>
      <c r="C1027" t="s">
        <v>32</v>
      </c>
      <c r="D1027" t="s">
        <v>461</v>
      </c>
      <c r="E1027" t="s">
        <v>47</v>
      </c>
      <c r="F1027" t="s">
        <v>12028</v>
      </c>
      <c r="G1027" t="s">
        <v>12029</v>
      </c>
      <c r="H1027" s="121" t="s">
        <v>12030</v>
      </c>
    </row>
    <row r="1028" spans="1:8" x14ac:dyDescent="0.25">
      <c r="A1028">
        <v>1540139</v>
      </c>
      <c r="B1028" s="121" t="s">
        <v>11963</v>
      </c>
      <c r="C1028" t="s">
        <v>32</v>
      </c>
      <c r="D1028" t="s">
        <v>461</v>
      </c>
      <c r="E1028" t="s">
        <v>47</v>
      </c>
      <c r="F1028" t="s">
        <v>12031</v>
      </c>
      <c r="G1028" t="s">
        <v>12032</v>
      </c>
      <c r="H1028" s="121" t="s">
        <v>12033</v>
      </c>
    </row>
    <row r="1029" spans="1:8" x14ac:dyDescent="0.25">
      <c r="A1029">
        <v>1431441</v>
      </c>
      <c r="B1029" s="121" t="s">
        <v>12034</v>
      </c>
      <c r="C1029" t="s">
        <v>32</v>
      </c>
      <c r="D1029" t="s">
        <v>40</v>
      </c>
      <c r="E1029" t="s">
        <v>349</v>
      </c>
      <c r="F1029" t="s">
        <v>6010</v>
      </c>
      <c r="G1029" t="s">
        <v>1032</v>
      </c>
      <c r="H1029" s="121" t="s">
        <v>12035</v>
      </c>
    </row>
    <row r="1030" spans="1:8" x14ac:dyDescent="0.25">
      <c r="A1030">
        <v>1431823</v>
      </c>
      <c r="B1030" s="121" t="s">
        <v>12034</v>
      </c>
      <c r="C1030" t="s">
        <v>32</v>
      </c>
      <c r="D1030" t="s">
        <v>40</v>
      </c>
      <c r="E1030" t="s">
        <v>340</v>
      </c>
      <c r="F1030" t="s">
        <v>12036</v>
      </c>
      <c r="G1030" t="s">
        <v>12037</v>
      </c>
      <c r="H1030" s="121" t="s">
        <v>12038</v>
      </c>
    </row>
    <row r="1031" spans="1:8" x14ac:dyDescent="0.25">
      <c r="A1031">
        <v>1432159</v>
      </c>
      <c r="B1031" s="121" t="s">
        <v>12034</v>
      </c>
      <c r="C1031" t="s">
        <v>32</v>
      </c>
      <c r="D1031" t="s">
        <v>40</v>
      </c>
      <c r="E1031" t="s">
        <v>660</v>
      </c>
      <c r="F1031" t="s">
        <v>2091</v>
      </c>
      <c r="G1031" t="s">
        <v>6426</v>
      </c>
      <c r="H1031" s="121" t="s">
        <v>12039</v>
      </c>
    </row>
    <row r="1032" spans="1:8" x14ac:dyDescent="0.25">
      <c r="A1032">
        <v>1460675</v>
      </c>
      <c r="B1032" s="121" t="s">
        <v>12034</v>
      </c>
      <c r="C1032" t="s">
        <v>32</v>
      </c>
      <c r="D1032" t="s">
        <v>40</v>
      </c>
      <c r="E1032" t="s">
        <v>678</v>
      </c>
      <c r="F1032" t="s">
        <v>1107</v>
      </c>
      <c r="G1032" t="s">
        <v>1209</v>
      </c>
      <c r="H1032" s="121" t="s">
        <v>12040</v>
      </c>
    </row>
    <row r="1033" spans="1:8" x14ac:dyDescent="0.25">
      <c r="A1033">
        <v>1535026</v>
      </c>
      <c r="B1033" s="121" t="s">
        <v>12034</v>
      </c>
      <c r="C1033" t="s">
        <v>32</v>
      </c>
      <c r="D1033" t="s">
        <v>8530</v>
      </c>
      <c r="E1033" t="s">
        <v>8531</v>
      </c>
      <c r="F1033" t="s">
        <v>12041</v>
      </c>
      <c r="G1033" t="s">
        <v>12042</v>
      </c>
      <c r="H1033" s="121" t="s">
        <v>12043</v>
      </c>
    </row>
    <row r="1034" spans="1:8" x14ac:dyDescent="0.25">
      <c r="A1034">
        <v>1384059</v>
      </c>
      <c r="B1034" s="121" t="s">
        <v>12044</v>
      </c>
      <c r="C1034" t="s">
        <v>32</v>
      </c>
      <c r="D1034" t="s">
        <v>326</v>
      </c>
      <c r="E1034" t="s">
        <v>331</v>
      </c>
      <c r="F1034" t="s">
        <v>1613</v>
      </c>
      <c r="G1034" t="s">
        <v>12045</v>
      </c>
      <c r="H1034" s="121" t="s">
        <v>12046</v>
      </c>
    </row>
    <row r="1035" spans="1:8" x14ac:dyDescent="0.25">
      <c r="A1035">
        <v>1384880</v>
      </c>
      <c r="B1035" s="121" t="s">
        <v>12044</v>
      </c>
      <c r="C1035" t="s">
        <v>32</v>
      </c>
      <c r="D1035" t="s">
        <v>381</v>
      </c>
      <c r="E1035" t="s">
        <v>401</v>
      </c>
      <c r="F1035" t="s">
        <v>503</v>
      </c>
      <c r="G1035" t="s">
        <v>1793</v>
      </c>
      <c r="H1035" s="121" t="s">
        <v>12047</v>
      </c>
    </row>
    <row r="1036" spans="1:8" x14ac:dyDescent="0.25">
      <c r="A1036">
        <v>1391121</v>
      </c>
      <c r="B1036" s="121" t="s">
        <v>12044</v>
      </c>
      <c r="C1036" t="s">
        <v>32</v>
      </c>
      <c r="D1036" t="s">
        <v>40</v>
      </c>
      <c r="E1036" t="s">
        <v>74</v>
      </c>
      <c r="F1036" t="s">
        <v>12048</v>
      </c>
      <c r="G1036" t="s">
        <v>2551</v>
      </c>
      <c r="H1036" s="121" t="s">
        <v>12049</v>
      </c>
    </row>
    <row r="1037" spans="1:8" x14ac:dyDescent="0.25">
      <c r="A1037">
        <v>1392143</v>
      </c>
      <c r="B1037" s="121" t="s">
        <v>12044</v>
      </c>
      <c r="C1037" t="s">
        <v>32</v>
      </c>
      <c r="D1037" t="s">
        <v>40</v>
      </c>
      <c r="E1037" t="s">
        <v>75</v>
      </c>
      <c r="F1037" t="s">
        <v>12050</v>
      </c>
      <c r="G1037" t="s">
        <v>12051</v>
      </c>
      <c r="H1037" s="121" t="s">
        <v>12052</v>
      </c>
    </row>
    <row r="1038" spans="1:8" x14ac:dyDescent="0.25">
      <c r="A1038">
        <v>1393677</v>
      </c>
      <c r="B1038" s="121" t="s">
        <v>12044</v>
      </c>
      <c r="C1038" t="s">
        <v>32</v>
      </c>
      <c r="D1038" t="s">
        <v>405</v>
      </c>
      <c r="E1038" t="s">
        <v>406</v>
      </c>
      <c r="F1038" t="s">
        <v>1843</v>
      </c>
      <c r="G1038" t="s">
        <v>1837</v>
      </c>
      <c r="H1038" s="121" t="s">
        <v>12053</v>
      </c>
    </row>
    <row r="1039" spans="1:8" x14ac:dyDescent="0.25">
      <c r="A1039">
        <v>1396983</v>
      </c>
      <c r="B1039" s="121" t="s">
        <v>12044</v>
      </c>
      <c r="C1039" t="s">
        <v>32</v>
      </c>
      <c r="D1039" t="s">
        <v>40</v>
      </c>
      <c r="E1039" t="s">
        <v>75</v>
      </c>
      <c r="F1039" t="s">
        <v>6523</v>
      </c>
      <c r="G1039" t="s">
        <v>472</v>
      </c>
      <c r="H1039" s="121" t="s">
        <v>12054</v>
      </c>
    </row>
    <row r="1040" spans="1:8" x14ac:dyDescent="0.25">
      <c r="A1040">
        <v>1400222</v>
      </c>
      <c r="B1040" s="121" t="s">
        <v>12044</v>
      </c>
      <c r="C1040" t="s">
        <v>32</v>
      </c>
      <c r="D1040" t="s">
        <v>377</v>
      </c>
      <c r="E1040" t="s">
        <v>49</v>
      </c>
      <c r="F1040" t="s">
        <v>504</v>
      </c>
      <c r="G1040" t="s">
        <v>1629</v>
      </c>
      <c r="H1040" s="121" t="s">
        <v>12055</v>
      </c>
    </row>
    <row r="1041" spans="1:8" x14ac:dyDescent="0.25">
      <c r="A1041">
        <v>1433383</v>
      </c>
      <c r="B1041" s="121" t="s">
        <v>12044</v>
      </c>
      <c r="C1041" t="s">
        <v>32</v>
      </c>
      <c r="D1041" t="s">
        <v>40</v>
      </c>
      <c r="E1041" t="s">
        <v>661</v>
      </c>
      <c r="F1041" t="s">
        <v>971</v>
      </c>
      <c r="G1041" t="s">
        <v>1066</v>
      </c>
      <c r="H1041" s="121" t="s">
        <v>12056</v>
      </c>
    </row>
    <row r="1042" spans="1:8" x14ac:dyDescent="0.25">
      <c r="A1042">
        <v>1459449</v>
      </c>
      <c r="B1042" s="121" t="s">
        <v>12044</v>
      </c>
      <c r="C1042" t="s">
        <v>32</v>
      </c>
      <c r="D1042" t="s">
        <v>40</v>
      </c>
      <c r="E1042" t="s">
        <v>666</v>
      </c>
      <c r="F1042" t="s">
        <v>1088</v>
      </c>
      <c r="G1042" t="s">
        <v>1094</v>
      </c>
      <c r="H1042" s="121" t="s">
        <v>12057</v>
      </c>
    </row>
    <row r="1043" spans="1:8" x14ac:dyDescent="0.25">
      <c r="A1043">
        <v>1463117</v>
      </c>
      <c r="B1043" s="121" t="s">
        <v>12044</v>
      </c>
      <c r="C1043" t="s">
        <v>32</v>
      </c>
      <c r="D1043" t="s">
        <v>40</v>
      </c>
      <c r="E1043" t="s">
        <v>651</v>
      </c>
      <c r="F1043" t="s">
        <v>2052</v>
      </c>
      <c r="G1043" t="s">
        <v>1191</v>
      </c>
      <c r="H1043" s="121" t="s">
        <v>12058</v>
      </c>
    </row>
    <row r="1044" spans="1:8" x14ac:dyDescent="0.25">
      <c r="A1044">
        <v>1511538</v>
      </c>
      <c r="B1044" s="121" t="s">
        <v>12044</v>
      </c>
      <c r="C1044" t="s">
        <v>32</v>
      </c>
      <c r="D1044" t="s">
        <v>354</v>
      </c>
      <c r="E1044" t="s">
        <v>102</v>
      </c>
      <c r="F1044" t="s">
        <v>2567</v>
      </c>
      <c r="G1044" t="s">
        <v>2381</v>
      </c>
      <c r="H1044" s="121" t="s">
        <v>12059</v>
      </c>
    </row>
    <row r="1045" spans="1:8" x14ac:dyDescent="0.25">
      <c r="A1045">
        <v>1531311</v>
      </c>
      <c r="B1045" s="121" t="s">
        <v>12044</v>
      </c>
      <c r="C1045" t="s">
        <v>32</v>
      </c>
      <c r="D1045" t="s">
        <v>12060</v>
      </c>
      <c r="E1045" t="s">
        <v>12061</v>
      </c>
      <c r="F1045" t="s">
        <v>12062</v>
      </c>
      <c r="G1045" t="s">
        <v>12063</v>
      </c>
      <c r="H1045" s="121" t="s">
        <v>12064</v>
      </c>
    </row>
    <row r="1046" spans="1:8" x14ac:dyDescent="0.25">
      <c r="A1046">
        <v>1531312</v>
      </c>
      <c r="B1046" s="121" t="s">
        <v>12044</v>
      </c>
      <c r="C1046" t="s">
        <v>32</v>
      </c>
      <c r="D1046" t="s">
        <v>12060</v>
      </c>
      <c r="E1046" t="s">
        <v>12061</v>
      </c>
      <c r="F1046" t="s">
        <v>12065</v>
      </c>
      <c r="G1046" t="s">
        <v>12066</v>
      </c>
      <c r="H1046" s="121" t="s">
        <v>12067</v>
      </c>
    </row>
    <row r="1047" spans="1:8" x14ac:dyDescent="0.25">
      <c r="A1047">
        <v>1531313</v>
      </c>
      <c r="B1047" s="121" t="s">
        <v>12044</v>
      </c>
      <c r="C1047" t="s">
        <v>32</v>
      </c>
      <c r="D1047" t="s">
        <v>12060</v>
      </c>
      <c r="E1047" t="s">
        <v>12061</v>
      </c>
      <c r="F1047" t="s">
        <v>12068</v>
      </c>
      <c r="G1047" t="s">
        <v>12069</v>
      </c>
      <c r="H1047" s="121" t="s">
        <v>12070</v>
      </c>
    </row>
    <row r="1048" spans="1:8" x14ac:dyDescent="0.25">
      <c r="A1048">
        <v>1531314</v>
      </c>
      <c r="B1048" s="121" t="s">
        <v>12044</v>
      </c>
      <c r="C1048" t="s">
        <v>32</v>
      </c>
      <c r="D1048" t="s">
        <v>12060</v>
      </c>
      <c r="E1048" t="s">
        <v>12061</v>
      </c>
      <c r="F1048" t="s">
        <v>12071</v>
      </c>
      <c r="G1048" t="s">
        <v>12072</v>
      </c>
      <c r="H1048" s="121" t="s">
        <v>12073</v>
      </c>
    </row>
    <row r="1049" spans="1:8" x14ac:dyDescent="0.25">
      <c r="A1049">
        <v>1536983</v>
      </c>
      <c r="B1049" s="121" t="s">
        <v>12044</v>
      </c>
      <c r="C1049" t="s">
        <v>32</v>
      </c>
      <c r="D1049" t="s">
        <v>71</v>
      </c>
      <c r="E1049" t="s">
        <v>350</v>
      </c>
      <c r="F1049" t="s">
        <v>1315</v>
      </c>
      <c r="G1049" t="s">
        <v>1826</v>
      </c>
      <c r="H1049" s="121" t="s">
        <v>12074</v>
      </c>
    </row>
    <row r="1050" spans="1:8" x14ac:dyDescent="0.25">
      <c r="A1050">
        <v>1538088</v>
      </c>
      <c r="B1050" s="121" t="s">
        <v>12044</v>
      </c>
      <c r="C1050" t="s">
        <v>32</v>
      </c>
      <c r="D1050" t="s">
        <v>665</v>
      </c>
      <c r="E1050" t="s">
        <v>47</v>
      </c>
      <c r="F1050" t="s">
        <v>12075</v>
      </c>
      <c r="G1050" t="s">
        <v>12076</v>
      </c>
      <c r="H1050" s="121" t="s">
        <v>12077</v>
      </c>
    </row>
    <row r="1051" spans="1:8" x14ac:dyDescent="0.25">
      <c r="A1051">
        <v>1538089</v>
      </c>
      <c r="B1051" s="121" t="s">
        <v>12044</v>
      </c>
      <c r="C1051" t="s">
        <v>32</v>
      </c>
      <c r="D1051" t="s">
        <v>665</v>
      </c>
      <c r="E1051" t="s">
        <v>47</v>
      </c>
      <c r="F1051" t="s">
        <v>2203</v>
      </c>
      <c r="G1051" t="s">
        <v>2199</v>
      </c>
      <c r="H1051" s="121" t="s">
        <v>12078</v>
      </c>
    </row>
    <row r="1052" spans="1:8" x14ac:dyDescent="0.25">
      <c r="A1052">
        <v>1538090</v>
      </c>
      <c r="B1052" s="121" t="s">
        <v>12044</v>
      </c>
      <c r="C1052" t="s">
        <v>32</v>
      </c>
      <c r="D1052" t="s">
        <v>665</v>
      </c>
      <c r="E1052" t="s">
        <v>47</v>
      </c>
      <c r="F1052" t="s">
        <v>12079</v>
      </c>
      <c r="G1052" t="s">
        <v>2202</v>
      </c>
      <c r="H1052" s="121" t="s">
        <v>12080</v>
      </c>
    </row>
    <row r="1053" spans="1:8" x14ac:dyDescent="0.25">
      <c r="A1053">
        <v>1538093</v>
      </c>
      <c r="B1053" s="121" t="s">
        <v>12044</v>
      </c>
      <c r="C1053" t="s">
        <v>32</v>
      </c>
      <c r="D1053" t="s">
        <v>665</v>
      </c>
      <c r="E1053" t="s">
        <v>47</v>
      </c>
      <c r="F1053" t="s">
        <v>2204</v>
      </c>
      <c r="G1053" t="s">
        <v>2198</v>
      </c>
      <c r="H1053" s="121" t="s">
        <v>12081</v>
      </c>
    </row>
    <row r="1054" spans="1:8" x14ac:dyDescent="0.25">
      <c r="A1054">
        <v>1539619</v>
      </c>
      <c r="B1054" s="121" t="s">
        <v>12044</v>
      </c>
      <c r="C1054" t="s">
        <v>32</v>
      </c>
      <c r="D1054" t="s">
        <v>366</v>
      </c>
      <c r="E1054" t="s">
        <v>9926</v>
      </c>
      <c r="F1054" t="s">
        <v>12082</v>
      </c>
      <c r="G1054" t="s">
        <v>6970</v>
      </c>
      <c r="H1054" s="121" t="s">
        <v>12083</v>
      </c>
    </row>
    <row r="1055" spans="1:8" x14ac:dyDescent="0.25">
      <c r="A1055">
        <v>1540143</v>
      </c>
      <c r="B1055" s="121" t="s">
        <v>12044</v>
      </c>
      <c r="C1055" t="s">
        <v>32</v>
      </c>
      <c r="D1055" t="s">
        <v>6222</v>
      </c>
      <c r="E1055" t="s">
        <v>6223</v>
      </c>
      <c r="F1055" t="s">
        <v>12084</v>
      </c>
      <c r="G1055" t="s">
        <v>12085</v>
      </c>
      <c r="H1055" s="121" t="s">
        <v>12086</v>
      </c>
    </row>
    <row r="1056" spans="1:8" x14ac:dyDescent="0.25">
      <c r="A1056">
        <v>1540144</v>
      </c>
      <c r="B1056" s="121" t="s">
        <v>12044</v>
      </c>
      <c r="C1056" t="s">
        <v>32</v>
      </c>
      <c r="D1056" t="s">
        <v>6222</v>
      </c>
      <c r="E1056" t="s">
        <v>6223</v>
      </c>
      <c r="F1056" t="s">
        <v>12087</v>
      </c>
      <c r="G1056" t="s">
        <v>12088</v>
      </c>
      <c r="H1056" s="121" t="s">
        <v>12089</v>
      </c>
    </row>
    <row r="1057" spans="1:8" x14ac:dyDescent="0.25">
      <c r="A1057">
        <v>1538857</v>
      </c>
      <c r="B1057" s="121" t="s">
        <v>12090</v>
      </c>
      <c r="C1057" t="s">
        <v>32</v>
      </c>
      <c r="D1057" t="s">
        <v>278</v>
      </c>
      <c r="E1057" t="s">
        <v>49</v>
      </c>
      <c r="F1057" t="s">
        <v>12091</v>
      </c>
      <c r="G1057" t="s">
        <v>79</v>
      </c>
      <c r="H1057" s="121" t="s">
        <v>12092</v>
      </c>
    </row>
    <row r="1058" spans="1:8" x14ac:dyDescent="0.25">
      <c r="A1058">
        <v>1389767</v>
      </c>
      <c r="B1058" s="121" t="s">
        <v>12093</v>
      </c>
      <c r="C1058" t="s">
        <v>32</v>
      </c>
      <c r="D1058" t="s">
        <v>107</v>
      </c>
      <c r="E1058" t="s">
        <v>235</v>
      </c>
      <c r="F1058" t="s">
        <v>12094</v>
      </c>
      <c r="G1058" t="s">
        <v>12095</v>
      </c>
      <c r="H1058" s="121" t="s">
        <v>12096</v>
      </c>
    </row>
    <row r="1059" spans="1:8" x14ac:dyDescent="0.25">
      <c r="A1059">
        <v>1389769</v>
      </c>
      <c r="B1059" s="121" t="s">
        <v>12093</v>
      </c>
      <c r="C1059" t="s">
        <v>32</v>
      </c>
      <c r="D1059" t="s">
        <v>107</v>
      </c>
      <c r="E1059" t="s">
        <v>235</v>
      </c>
      <c r="F1059" t="s">
        <v>2278</v>
      </c>
      <c r="G1059" t="s">
        <v>2279</v>
      </c>
      <c r="H1059" s="121" t="s">
        <v>12097</v>
      </c>
    </row>
    <row r="1060" spans="1:8" x14ac:dyDescent="0.25">
      <c r="A1060">
        <v>1394689</v>
      </c>
      <c r="B1060" s="121" t="s">
        <v>12093</v>
      </c>
      <c r="C1060" t="s">
        <v>32</v>
      </c>
      <c r="D1060" t="s">
        <v>42</v>
      </c>
      <c r="E1060" t="s">
        <v>61</v>
      </c>
      <c r="F1060" t="s">
        <v>12098</v>
      </c>
      <c r="G1060" t="s">
        <v>2465</v>
      </c>
      <c r="H1060" s="121" t="s">
        <v>12099</v>
      </c>
    </row>
    <row r="1061" spans="1:8" x14ac:dyDescent="0.25">
      <c r="A1061">
        <v>1396491</v>
      </c>
      <c r="B1061" s="121" t="s">
        <v>12093</v>
      </c>
      <c r="C1061" t="s">
        <v>32</v>
      </c>
      <c r="D1061" t="s">
        <v>53</v>
      </c>
      <c r="E1061" t="s">
        <v>99</v>
      </c>
      <c r="F1061" t="s">
        <v>416</v>
      </c>
      <c r="G1061" t="s">
        <v>6023</v>
      </c>
      <c r="H1061" s="121" t="s">
        <v>12100</v>
      </c>
    </row>
    <row r="1062" spans="1:8" x14ac:dyDescent="0.25">
      <c r="A1062">
        <v>1396492</v>
      </c>
      <c r="B1062" s="121" t="s">
        <v>12093</v>
      </c>
      <c r="C1062" t="s">
        <v>32</v>
      </c>
      <c r="D1062" t="s">
        <v>53</v>
      </c>
      <c r="E1062" t="s">
        <v>99</v>
      </c>
      <c r="F1062" t="s">
        <v>7138</v>
      </c>
      <c r="G1062" t="s">
        <v>6026</v>
      </c>
      <c r="H1062" s="121" t="s">
        <v>12101</v>
      </c>
    </row>
    <row r="1063" spans="1:8" x14ac:dyDescent="0.25">
      <c r="A1063">
        <v>1415551</v>
      </c>
      <c r="B1063" s="121" t="s">
        <v>12093</v>
      </c>
      <c r="C1063" t="s">
        <v>32</v>
      </c>
      <c r="D1063" t="s">
        <v>616</v>
      </c>
      <c r="E1063" t="s">
        <v>69</v>
      </c>
      <c r="F1063" t="s">
        <v>2214</v>
      </c>
      <c r="G1063" t="s">
        <v>2517</v>
      </c>
      <c r="H1063" s="121" t="s">
        <v>12102</v>
      </c>
    </row>
    <row r="1064" spans="1:8" x14ac:dyDescent="0.25">
      <c r="A1064">
        <v>1434218</v>
      </c>
      <c r="B1064" s="121" t="s">
        <v>12093</v>
      </c>
      <c r="C1064" t="s">
        <v>32</v>
      </c>
      <c r="D1064" t="s">
        <v>51</v>
      </c>
      <c r="E1064" t="s">
        <v>3147</v>
      </c>
      <c r="F1064" t="s">
        <v>3149</v>
      </c>
      <c r="G1064" t="s">
        <v>6698</v>
      </c>
      <c r="H1064" s="121" t="s">
        <v>12103</v>
      </c>
    </row>
    <row r="1065" spans="1:8" x14ac:dyDescent="0.25">
      <c r="A1065">
        <v>1449415</v>
      </c>
      <c r="B1065" s="121" t="s">
        <v>12093</v>
      </c>
      <c r="C1065" t="s">
        <v>32</v>
      </c>
      <c r="D1065" t="s">
        <v>64</v>
      </c>
      <c r="E1065" t="s">
        <v>9109</v>
      </c>
      <c r="F1065" t="s">
        <v>12104</v>
      </c>
      <c r="G1065" t="s">
        <v>12105</v>
      </c>
      <c r="H1065" s="121" t="s">
        <v>12106</v>
      </c>
    </row>
    <row r="1066" spans="1:8" x14ac:dyDescent="0.25">
      <c r="A1066">
        <v>1454878</v>
      </c>
      <c r="B1066" s="121" t="s">
        <v>12093</v>
      </c>
      <c r="C1066" t="s">
        <v>32</v>
      </c>
      <c r="D1066" t="s">
        <v>41</v>
      </c>
      <c r="E1066" t="s">
        <v>4656</v>
      </c>
      <c r="F1066" t="s">
        <v>12107</v>
      </c>
      <c r="G1066" t="s">
        <v>12108</v>
      </c>
      <c r="H1066" s="121" t="s">
        <v>12109</v>
      </c>
    </row>
    <row r="1067" spans="1:8" x14ac:dyDescent="0.25">
      <c r="A1067">
        <v>1459452</v>
      </c>
      <c r="B1067" s="121" t="s">
        <v>12093</v>
      </c>
      <c r="C1067" t="s">
        <v>32</v>
      </c>
      <c r="D1067" t="s">
        <v>40</v>
      </c>
      <c r="E1067" t="s">
        <v>666</v>
      </c>
      <c r="F1067" t="s">
        <v>1097</v>
      </c>
      <c r="G1067" t="s">
        <v>1208</v>
      </c>
      <c r="H1067" s="121" t="s">
        <v>12110</v>
      </c>
    </row>
    <row r="1068" spans="1:8" x14ac:dyDescent="0.25">
      <c r="A1068">
        <v>1462205</v>
      </c>
      <c r="B1068" s="121" t="s">
        <v>12093</v>
      </c>
      <c r="C1068" t="s">
        <v>32</v>
      </c>
      <c r="D1068" t="s">
        <v>40</v>
      </c>
      <c r="E1068" t="s">
        <v>1126</v>
      </c>
      <c r="F1068" t="s">
        <v>1129</v>
      </c>
      <c r="G1068" t="s">
        <v>2192</v>
      </c>
      <c r="H1068" s="121" t="s">
        <v>12111</v>
      </c>
    </row>
    <row r="1069" spans="1:8" x14ac:dyDescent="0.25">
      <c r="A1069">
        <v>1508725</v>
      </c>
      <c r="B1069" s="121" t="s">
        <v>12093</v>
      </c>
      <c r="C1069" t="s">
        <v>32</v>
      </c>
      <c r="D1069" t="s">
        <v>90</v>
      </c>
      <c r="E1069" t="s">
        <v>11371</v>
      </c>
      <c r="F1069" t="s">
        <v>12112</v>
      </c>
      <c r="G1069" t="s">
        <v>2012</v>
      </c>
      <c r="H1069" s="121" t="s">
        <v>12113</v>
      </c>
    </row>
    <row r="1070" spans="1:8" x14ac:dyDescent="0.25">
      <c r="A1070">
        <v>1508726</v>
      </c>
      <c r="B1070" s="121" t="s">
        <v>12093</v>
      </c>
      <c r="C1070" t="s">
        <v>32</v>
      </c>
      <c r="D1070" t="s">
        <v>90</v>
      </c>
      <c r="E1070" t="s">
        <v>11371</v>
      </c>
      <c r="F1070" t="s">
        <v>4904</v>
      </c>
      <c r="G1070" t="s">
        <v>12114</v>
      </c>
      <c r="H1070" s="121" t="s">
        <v>12115</v>
      </c>
    </row>
    <row r="1071" spans="1:8" x14ac:dyDescent="0.25">
      <c r="A1071">
        <v>1508727</v>
      </c>
      <c r="B1071" s="121" t="s">
        <v>12093</v>
      </c>
      <c r="C1071" t="s">
        <v>32</v>
      </c>
      <c r="D1071" t="s">
        <v>90</v>
      </c>
      <c r="E1071" t="s">
        <v>11371</v>
      </c>
      <c r="F1071" t="s">
        <v>12116</v>
      </c>
      <c r="G1071" t="s">
        <v>12117</v>
      </c>
      <c r="H1071" s="121" t="s">
        <v>12118</v>
      </c>
    </row>
    <row r="1072" spans="1:8" x14ac:dyDescent="0.25">
      <c r="A1072">
        <v>1513028</v>
      </c>
      <c r="B1072" s="121" t="s">
        <v>12093</v>
      </c>
      <c r="C1072" t="s">
        <v>32</v>
      </c>
      <c r="D1072" t="s">
        <v>362</v>
      </c>
      <c r="E1072" t="s">
        <v>363</v>
      </c>
      <c r="F1072" t="s">
        <v>2382</v>
      </c>
      <c r="G1072" t="s">
        <v>12119</v>
      </c>
      <c r="H1072" s="121" t="s">
        <v>12120</v>
      </c>
    </row>
    <row r="1073" spans="1:8" x14ac:dyDescent="0.25">
      <c r="A1073">
        <v>1519319</v>
      </c>
      <c r="B1073" s="121" t="s">
        <v>12093</v>
      </c>
      <c r="C1073" t="s">
        <v>32</v>
      </c>
      <c r="D1073" t="s">
        <v>366</v>
      </c>
      <c r="E1073" t="s">
        <v>367</v>
      </c>
      <c r="F1073" t="s">
        <v>2289</v>
      </c>
      <c r="G1073" t="s">
        <v>2385</v>
      </c>
      <c r="H1073" s="121" t="s">
        <v>12121</v>
      </c>
    </row>
    <row r="1074" spans="1:8" x14ac:dyDescent="0.25">
      <c r="A1074">
        <v>1533348</v>
      </c>
      <c r="B1074" s="121" t="s">
        <v>12093</v>
      </c>
      <c r="C1074" t="s">
        <v>32</v>
      </c>
      <c r="D1074" t="s">
        <v>21</v>
      </c>
      <c r="E1074" t="s">
        <v>7468</v>
      </c>
      <c r="F1074" t="s">
        <v>12122</v>
      </c>
      <c r="G1074" t="s">
        <v>12123</v>
      </c>
      <c r="H1074" s="121" t="s">
        <v>12124</v>
      </c>
    </row>
    <row r="1075" spans="1:8" x14ac:dyDescent="0.25">
      <c r="A1075">
        <v>1539618</v>
      </c>
      <c r="B1075" s="121" t="s">
        <v>12093</v>
      </c>
      <c r="C1075" t="s">
        <v>32</v>
      </c>
      <c r="D1075" t="s">
        <v>366</v>
      </c>
      <c r="E1075" t="s">
        <v>9926</v>
      </c>
      <c r="F1075" t="s">
        <v>12125</v>
      </c>
      <c r="G1075" t="s">
        <v>12126</v>
      </c>
      <c r="H1075" s="121" t="s">
        <v>12127</v>
      </c>
    </row>
    <row r="1076" spans="1:8" x14ac:dyDescent="0.25">
      <c r="A1076">
        <v>1539732</v>
      </c>
      <c r="B1076" s="121" t="s">
        <v>12093</v>
      </c>
      <c r="C1076" t="s">
        <v>32</v>
      </c>
      <c r="D1076" t="s">
        <v>21</v>
      </c>
      <c r="E1076" t="s">
        <v>7468</v>
      </c>
      <c r="F1076" t="s">
        <v>12128</v>
      </c>
      <c r="G1076" t="s">
        <v>12129</v>
      </c>
      <c r="H1076" s="121" t="s">
        <v>12130</v>
      </c>
    </row>
    <row r="1077" spans="1:8" x14ac:dyDescent="0.25">
      <c r="A1077">
        <v>1494627</v>
      </c>
      <c r="B1077" s="121" t="s">
        <v>12131</v>
      </c>
      <c r="C1077" t="s">
        <v>32</v>
      </c>
      <c r="D1077" t="s">
        <v>85</v>
      </c>
      <c r="E1077" t="s">
        <v>5853</v>
      </c>
      <c r="F1077" t="s">
        <v>1454</v>
      </c>
      <c r="G1077" t="s">
        <v>328</v>
      </c>
      <c r="H1077" s="121" t="s">
        <v>12132</v>
      </c>
    </row>
    <row r="1078" spans="1:8" x14ac:dyDescent="0.25">
      <c r="A1078">
        <v>1536969</v>
      </c>
      <c r="B1078" s="121" t="s">
        <v>12131</v>
      </c>
      <c r="C1078" t="s">
        <v>32</v>
      </c>
      <c r="D1078" t="s">
        <v>71</v>
      </c>
      <c r="E1078" t="s">
        <v>350</v>
      </c>
      <c r="F1078" t="s">
        <v>12133</v>
      </c>
      <c r="G1078" t="s">
        <v>2242</v>
      </c>
      <c r="H1078" s="121" t="s">
        <v>12134</v>
      </c>
    </row>
    <row r="1079" spans="1:8" x14ac:dyDescent="0.25">
      <c r="A1079">
        <v>1388564</v>
      </c>
      <c r="B1079" s="121" t="s">
        <v>12135</v>
      </c>
      <c r="C1079" t="s">
        <v>32</v>
      </c>
      <c r="D1079" t="s">
        <v>43</v>
      </c>
      <c r="E1079" t="s">
        <v>347</v>
      </c>
      <c r="F1079" t="s">
        <v>12136</v>
      </c>
      <c r="G1079" t="s">
        <v>12137</v>
      </c>
      <c r="H1079" s="121" t="s">
        <v>12138</v>
      </c>
    </row>
    <row r="1080" spans="1:8" x14ac:dyDescent="0.25">
      <c r="A1080">
        <v>1394378</v>
      </c>
      <c r="B1080" s="121" t="s">
        <v>12135</v>
      </c>
      <c r="C1080" t="s">
        <v>32</v>
      </c>
      <c r="D1080" t="s">
        <v>43</v>
      </c>
      <c r="E1080" t="s">
        <v>339</v>
      </c>
      <c r="F1080" t="s">
        <v>12139</v>
      </c>
      <c r="G1080" t="s">
        <v>3678</v>
      </c>
      <c r="H1080" s="121" t="s">
        <v>12140</v>
      </c>
    </row>
    <row r="1081" spans="1:8" x14ac:dyDescent="0.25">
      <c r="A1081">
        <v>1396051</v>
      </c>
      <c r="B1081" s="121" t="s">
        <v>12135</v>
      </c>
      <c r="C1081" t="s">
        <v>32</v>
      </c>
      <c r="D1081" t="s">
        <v>51</v>
      </c>
      <c r="E1081" t="s">
        <v>385</v>
      </c>
      <c r="F1081" t="s">
        <v>2282</v>
      </c>
      <c r="G1081" t="s">
        <v>6245</v>
      </c>
      <c r="H1081" s="121" t="s">
        <v>12141</v>
      </c>
    </row>
    <row r="1082" spans="1:8" x14ac:dyDescent="0.25">
      <c r="A1082">
        <v>1419929</v>
      </c>
      <c r="B1082" s="121" t="s">
        <v>12135</v>
      </c>
      <c r="C1082" t="s">
        <v>32</v>
      </c>
      <c r="D1082" t="s">
        <v>41</v>
      </c>
      <c r="E1082" t="s">
        <v>348</v>
      </c>
      <c r="F1082" t="s">
        <v>12142</v>
      </c>
      <c r="G1082" t="s">
        <v>2165</v>
      </c>
      <c r="H1082" s="121" t="s">
        <v>12143</v>
      </c>
    </row>
    <row r="1083" spans="1:8" x14ac:dyDescent="0.25">
      <c r="A1083">
        <v>1477328</v>
      </c>
      <c r="B1083" s="121" t="s">
        <v>12135</v>
      </c>
      <c r="C1083" t="s">
        <v>32</v>
      </c>
      <c r="D1083" t="s">
        <v>107</v>
      </c>
      <c r="E1083" t="s">
        <v>235</v>
      </c>
      <c r="F1083" t="s">
        <v>2527</v>
      </c>
      <c r="G1083" t="s">
        <v>2528</v>
      </c>
      <c r="H1083" s="121" t="s">
        <v>12144</v>
      </c>
    </row>
    <row r="1084" spans="1:8" x14ac:dyDescent="0.25">
      <c r="A1084">
        <v>1492023</v>
      </c>
      <c r="B1084" s="121" t="s">
        <v>12145</v>
      </c>
      <c r="C1084" t="s">
        <v>32</v>
      </c>
      <c r="D1084" t="s">
        <v>28</v>
      </c>
      <c r="E1084" t="s">
        <v>2588</v>
      </c>
      <c r="F1084" t="s">
        <v>6978</v>
      </c>
      <c r="G1084" t="s">
        <v>2630</v>
      </c>
      <c r="H1084" s="121" t="s">
        <v>12146</v>
      </c>
    </row>
    <row r="1085" spans="1:8" x14ac:dyDescent="0.25">
      <c r="A1085">
        <v>1492024</v>
      </c>
      <c r="B1085" s="121" t="s">
        <v>12145</v>
      </c>
      <c r="C1085" t="s">
        <v>32</v>
      </c>
      <c r="D1085" t="s">
        <v>28</v>
      </c>
      <c r="E1085" t="s">
        <v>2588</v>
      </c>
      <c r="F1085" t="s">
        <v>281</v>
      </c>
      <c r="G1085" t="s">
        <v>6979</v>
      </c>
      <c r="H1085" s="121" t="s">
        <v>12147</v>
      </c>
    </row>
    <row r="1086" spans="1:8" x14ac:dyDescent="0.25">
      <c r="A1086">
        <v>1492587</v>
      </c>
      <c r="B1086" s="121" t="s">
        <v>12145</v>
      </c>
      <c r="C1086" t="s">
        <v>32</v>
      </c>
      <c r="D1086" t="s">
        <v>18</v>
      </c>
      <c r="E1086" t="s">
        <v>368</v>
      </c>
      <c r="F1086" t="s">
        <v>12148</v>
      </c>
      <c r="G1086" t="s">
        <v>2671</v>
      </c>
      <c r="H1086" s="121" t="s">
        <v>12149</v>
      </c>
    </row>
    <row r="1087" spans="1:8" x14ac:dyDescent="0.25">
      <c r="A1087">
        <v>1498433</v>
      </c>
      <c r="B1087" s="121" t="s">
        <v>12145</v>
      </c>
      <c r="C1087" t="s">
        <v>32</v>
      </c>
      <c r="D1087" t="s">
        <v>28</v>
      </c>
      <c r="E1087" t="s">
        <v>242</v>
      </c>
      <c r="F1087" t="s">
        <v>6821</v>
      </c>
      <c r="G1087" t="s">
        <v>2351</v>
      </c>
      <c r="H1087" s="121" t="s">
        <v>12150</v>
      </c>
    </row>
    <row r="1088" spans="1:8" x14ac:dyDescent="0.25">
      <c r="A1088">
        <v>1498437</v>
      </c>
      <c r="B1088" s="121" t="s">
        <v>12145</v>
      </c>
      <c r="C1088" t="s">
        <v>32</v>
      </c>
      <c r="D1088" t="s">
        <v>28</v>
      </c>
      <c r="E1088" t="s">
        <v>242</v>
      </c>
      <c r="F1088" t="s">
        <v>2344</v>
      </c>
      <c r="G1088" t="s">
        <v>2420</v>
      </c>
      <c r="H1088" s="121" t="s">
        <v>12151</v>
      </c>
    </row>
    <row r="1089" spans="1:8" x14ac:dyDescent="0.25">
      <c r="A1089">
        <v>1498441</v>
      </c>
      <c r="B1089" s="121" t="s">
        <v>12145</v>
      </c>
      <c r="C1089" t="s">
        <v>32</v>
      </c>
      <c r="D1089" t="s">
        <v>28</v>
      </c>
      <c r="E1089" t="s">
        <v>242</v>
      </c>
      <c r="F1089" t="s">
        <v>6823</v>
      </c>
      <c r="G1089" t="s">
        <v>2346</v>
      </c>
      <c r="H1089" s="121" t="s">
        <v>12152</v>
      </c>
    </row>
    <row r="1090" spans="1:8" x14ac:dyDescent="0.25">
      <c r="A1090">
        <v>1498444</v>
      </c>
      <c r="B1090" s="121" t="s">
        <v>12145</v>
      </c>
      <c r="C1090" t="s">
        <v>32</v>
      </c>
      <c r="D1090" t="s">
        <v>28</v>
      </c>
      <c r="E1090" t="s">
        <v>242</v>
      </c>
      <c r="F1090" t="s">
        <v>2406</v>
      </c>
      <c r="G1090" t="s">
        <v>2347</v>
      </c>
      <c r="H1090" s="121" t="s">
        <v>12153</v>
      </c>
    </row>
    <row r="1091" spans="1:8" x14ac:dyDescent="0.25">
      <c r="A1091">
        <v>1498449</v>
      </c>
      <c r="B1091" s="121" t="s">
        <v>12145</v>
      </c>
      <c r="C1091" t="s">
        <v>32</v>
      </c>
      <c r="D1091" t="s">
        <v>28</v>
      </c>
      <c r="E1091" t="s">
        <v>242</v>
      </c>
      <c r="F1091" t="s">
        <v>12154</v>
      </c>
      <c r="G1091" t="s">
        <v>6471</v>
      </c>
      <c r="H1091" s="121" t="s">
        <v>12155</v>
      </c>
    </row>
    <row r="1092" spans="1:8" x14ac:dyDescent="0.25">
      <c r="A1092">
        <v>1499355</v>
      </c>
      <c r="B1092" s="121" t="s">
        <v>12145</v>
      </c>
      <c r="C1092" t="s">
        <v>32</v>
      </c>
      <c r="D1092" t="s">
        <v>28</v>
      </c>
      <c r="E1092" t="s">
        <v>6473</v>
      </c>
      <c r="F1092" t="s">
        <v>12156</v>
      </c>
      <c r="G1092" t="s">
        <v>12157</v>
      </c>
      <c r="H1092" s="121" t="s">
        <v>12158</v>
      </c>
    </row>
    <row r="1093" spans="1:8" x14ac:dyDescent="0.25">
      <c r="A1093">
        <v>1515037</v>
      </c>
      <c r="B1093" s="121" t="s">
        <v>12145</v>
      </c>
      <c r="C1093" t="s">
        <v>32</v>
      </c>
      <c r="D1093" t="s">
        <v>53</v>
      </c>
      <c r="E1093" t="s">
        <v>654</v>
      </c>
      <c r="F1093" t="s">
        <v>12159</v>
      </c>
      <c r="G1093" t="s">
        <v>2013</v>
      </c>
      <c r="H1093" s="121" t="s">
        <v>12160</v>
      </c>
    </row>
    <row r="1094" spans="1:8" x14ac:dyDescent="0.25">
      <c r="A1094">
        <v>1519315</v>
      </c>
      <c r="B1094" s="121" t="s">
        <v>12145</v>
      </c>
      <c r="C1094" t="s">
        <v>32</v>
      </c>
      <c r="D1094" t="s">
        <v>366</v>
      </c>
      <c r="E1094" t="s">
        <v>367</v>
      </c>
      <c r="F1094" t="s">
        <v>2148</v>
      </c>
      <c r="G1094" t="s">
        <v>12161</v>
      </c>
      <c r="H1094" s="121" t="s">
        <v>12162</v>
      </c>
    </row>
    <row r="1095" spans="1:8" x14ac:dyDescent="0.25">
      <c r="A1095">
        <v>1524298</v>
      </c>
      <c r="B1095" s="121" t="s">
        <v>12145</v>
      </c>
      <c r="C1095" t="s">
        <v>32</v>
      </c>
      <c r="D1095" t="s">
        <v>48</v>
      </c>
      <c r="E1095" t="s">
        <v>342</v>
      </c>
      <c r="F1095" t="s">
        <v>2331</v>
      </c>
      <c r="G1095" t="s">
        <v>1510</v>
      </c>
      <c r="H1095" s="121" t="s">
        <v>12163</v>
      </c>
    </row>
    <row r="1096" spans="1:8" x14ac:dyDescent="0.25">
      <c r="A1096">
        <v>1530241</v>
      </c>
      <c r="B1096" s="121" t="s">
        <v>12145</v>
      </c>
      <c r="C1096" t="s">
        <v>32</v>
      </c>
      <c r="D1096" t="s">
        <v>28</v>
      </c>
      <c r="E1096" t="s">
        <v>2618</v>
      </c>
      <c r="F1096" t="s">
        <v>12164</v>
      </c>
      <c r="G1096" t="s">
        <v>12165</v>
      </c>
      <c r="H1096" s="121" t="s">
        <v>12166</v>
      </c>
    </row>
    <row r="1097" spans="1:8" x14ac:dyDescent="0.25">
      <c r="A1097">
        <v>1530874</v>
      </c>
      <c r="B1097" s="121" t="s">
        <v>12145</v>
      </c>
      <c r="C1097" t="s">
        <v>32</v>
      </c>
      <c r="D1097" t="s">
        <v>20</v>
      </c>
      <c r="E1097" t="s">
        <v>3524</v>
      </c>
      <c r="F1097" t="s">
        <v>6658</v>
      </c>
      <c r="G1097" t="s">
        <v>6676</v>
      </c>
      <c r="H1097" s="121" t="s">
        <v>12167</v>
      </c>
    </row>
    <row r="1098" spans="1:8" x14ac:dyDescent="0.25">
      <c r="A1098">
        <v>1530875</v>
      </c>
      <c r="B1098" s="121" t="s">
        <v>12145</v>
      </c>
      <c r="C1098" t="s">
        <v>32</v>
      </c>
      <c r="D1098" t="s">
        <v>20</v>
      </c>
      <c r="E1098" t="s">
        <v>3524</v>
      </c>
      <c r="F1098" t="s">
        <v>6667</v>
      </c>
      <c r="G1098" t="s">
        <v>6673</v>
      </c>
      <c r="H1098" s="121" t="s">
        <v>12168</v>
      </c>
    </row>
    <row r="1099" spans="1:8" x14ac:dyDescent="0.25">
      <c r="A1099">
        <v>1531575</v>
      </c>
      <c r="B1099" s="121" t="s">
        <v>12145</v>
      </c>
      <c r="C1099" t="s">
        <v>32</v>
      </c>
      <c r="D1099" t="s">
        <v>20</v>
      </c>
      <c r="E1099" t="s">
        <v>9748</v>
      </c>
      <c r="F1099" t="s">
        <v>2274</v>
      </c>
      <c r="G1099" t="s">
        <v>12169</v>
      </c>
      <c r="H1099" s="121" t="s">
        <v>12170</v>
      </c>
    </row>
    <row r="1100" spans="1:8" x14ac:dyDescent="0.25">
      <c r="A1100">
        <v>1531576</v>
      </c>
      <c r="B1100" s="121" t="s">
        <v>12145</v>
      </c>
      <c r="C1100" t="s">
        <v>32</v>
      </c>
      <c r="D1100" t="s">
        <v>20</v>
      </c>
      <c r="E1100" t="s">
        <v>9748</v>
      </c>
      <c r="F1100" t="s">
        <v>2273</v>
      </c>
      <c r="G1100" t="s">
        <v>12171</v>
      </c>
      <c r="H1100" s="121" t="s">
        <v>12172</v>
      </c>
    </row>
    <row r="1101" spans="1:8" x14ac:dyDescent="0.25">
      <c r="A1101">
        <v>1531629</v>
      </c>
      <c r="B1101" s="121" t="s">
        <v>12145</v>
      </c>
      <c r="C1101" t="s">
        <v>32</v>
      </c>
      <c r="D1101" t="s">
        <v>95</v>
      </c>
      <c r="E1101" t="s">
        <v>96</v>
      </c>
      <c r="F1101" t="s">
        <v>2513</v>
      </c>
      <c r="G1101" t="s">
        <v>2514</v>
      </c>
      <c r="H1101" s="121" t="s">
        <v>12173</v>
      </c>
    </row>
    <row r="1102" spans="1:8" x14ac:dyDescent="0.25">
      <c r="A1102">
        <v>1535862</v>
      </c>
      <c r="B1102" s="121" t="s">
        <v>12145</v>
      </c>
      <c r="C1102" t="s">
        <v>32</v>
      </c>
      <c r="D1102" t="s">
        <v>20</v>
      </c>
      <c r="E1102" t="s">
        <v>4438</v>
      </c>
      <c r="F1102" t="s">
        <v>12174</v>
      </c>
      <c r="G1102" t="s">
        <v>12175</v>
      </c>
      <c r="H1102" s="121" t="s">
        <v>12176</v>
      </c>
    </row>
    <row r="1103" spans="1:8" x14ac:dyDescent="0.25">
      <c r="A1103">
        <v>1535864</v>
      </c>
      <c r="B1103" s="121" t="s">
        <v>12145</v>
      </c>
      <c r="C1103" t="s">
        <v>32</v>
      </c>
      <c r="D1103" t="s">
        <v>20</v>
      </c>
      <c r="E1103" t="s">
        <v>4438</v>
      </c>
      <c r="F1103" t="s">
        <v>12177</v>
      </c>
      <c r="G1103" t="s">
        <v>12178</v>
      </c>
      <c r="H1103" s="121" t="s">
        <v>12179</v>
      </c>
    </row>
    <row r="1104" spans="1:8" x14ac:dyDescent="0.25">
      <c r="A1104">
        <v>1538224</v>
      </c>
      <c r="B1104" s="121" t="s">
        <v>12145</v>
      </c>
      <c r="C1104" t="s">
        <v>32</v>
      </c>
      <c r="D1104" t="s">
        <v>20</v>
      </c>
      <c r="E1104" t="s">
        <v>9780</v>
      </c>
      <c r="F1104" t="s">
        <v>12180</v>
      </c>
      <c r="G1104" t="s">
        <v>12181</v>
      </c>
      <c r="H1104" s="121" t="s">
        <v>12182</v>
      </c>
    </row>
    <row r="1105" spans="1:8" x14ac:dyDescent="0.25">
      <c r="A1105">
        <v>1539782</v>
      </c>
      <c r="B1105" s="121" t="s">
        <v>12145</v>
      </c>
      <c r="C1105" t="s">
        <v>32</v>
      </c>
      <c r="D1105" t="s">
        <v>5924</v>
      </c>
      <c r="E1105" t="s">
        <v>7410</v>
      </c>
      <c r="F1105" t="s">
        <v>12183</v>
      </c>
      <c r="G1105" t="s">
        <v>12184</v>
      </c>
      <c r="H1105" s="121" t="s">
        <v>12185</v>
      </c>
    </row>
    <row r="1106" spans="1:8" x14ac:dyDescent="0.25">
      <c r="A1106">
        <v>1539791</v>
      </c>
      <c r="B1106" s="121" t="s">
        <v>12145</v>
      </c>
      <c r="C1106" t="s">
        <v>32</v>
      </c>
      <c r="D1106" t="s">
        <v>20</v>
      </c>
      <c r="E1106" t="s">
        <v>9792</v>
      </c>
      <c r="F1106" t="s">
        <v>12186</v>
      </c>
      <c r="G1106" t="s">
        <v>12187</v>
      </c>
      <c r="H1106" s="121" t="s">
        <v>12188</v>
      </c>
    </row>
    <row r="1107" spans="1:8" x14ac:dyDescent="0.25">
      <c r="A1107">
        <v>1540078</v>
      </c>
      <c r="B1107" s="121" t="s">
        <v>12145</v>
      </c>
      <c r="C1107" t="s">
        <v>32</v>
      </c>
      <c r="D1107" t="s">
        <v>407</v>
      </c>
      <c r="E1107" t="s">
        <v>47</v>
      </c>
      <c r="F1107" t="s">
        <v>2500</v>
      </c>
      <c r="G1107" t="s">
        <v>12189</v>
      </c>
      <c r="H1107" s="121" t="s">
        <v>12190</v>
      </c>
    </row>
    <row r="1108" spans="1:8" x14ac:dyDescent="0.25">
      <c r="A1108">
        <v>1431444</v>
      </c>
      <c r="B1108" s="121" t="s">
        <v>12191</v>
      </c>
      <c r="C1108" t="s">
        <v>32</v>
      </c>
      <c r="D1108" t="s">
        <v>40</v>
      </c>
      <c r="E1108" t="s">
        <v>349</v>
      </c>
      <c r="F1108" t="s">
        <v>742</v>
      </c>
      <c r="G1108" t="s">
        <v>6555</v>
      </c>
      <c r="H1108" s="121" t="s">
        <v>12192</v>
      </c>
    </row>
    <row r="1109" spans="1:8" x14ac:dyDescent="0.25">
      <c r="A1109">
        <v>1439330</v>
      </c>
      <c r="B1109" s="121" t="s">
        <v>12191</v>
      </c>
      <c r="C1109" t="s">
        <v>32</v>
      </c>
      <c r="D1109" t="s">
        <v>41</v>
      </c>
      <c r="E1109" t="s">
        <v>4255</v>
      </c>
      <c r="F1109" t="s">
        <v>12193</v>
      </c>
      <c r="G1109" t="s">
        <v>12194</v>
      </c>
      <c r="H1109" s="121" t="s">
        <v>12195</v>
      </c>
    </row>
    <row r="1110" spans="1:8" x14ac:dyDescent="0.25">
      <c r="A1110">
        <v>1440096</v>
      </c>
      <c r="B1110" s="121" t="s">
        <v>12191</v>
      </c>
      <c r="C1110" t="s">
        <v>32</v>
      </c>
      <c r="D1110" t="s">
        <v>41</v>
      </c>
      <c r="E1110" t="s">
        <v>1554</v>
      </c>
      <c r="F1110" t="s">
        <v>2181</v>
      </c>
      <c r="G1110" t="s">
        <v>589</v>
      </c>
      <c r="H1110" s="121" t="s">
        <v>12196</v>
      </c>
    </row>
    <row r="1111" spans="1:8" x14ac:dyDescent="0.25">
      <c r="A1111">
        <v>1499827</v>
      </c>
      <c r="B1111" s="121" t="s">
        <v>12191</v>
      </c>
      <c r="C1111" t="s">
        <v>32</v>
      </c>
      <c r="D1111" t="s">
        <v>28</v>
      </c>
      <c r="E1111" t="s">
        <v>414</v>
      </c>
      <c r="F1111" t="s">
        <v>6751</v>
      </c>
      <c r="G1111" t="s">
        <v>12197</v>
      </c>
      <c r="H1111" s="121" t="s">
        <v>12198</v>
      </c>
    </row>
    <row r="1112" spans="1:8" x14ac:dyDescent="0.25">
      <c r="A1112">
        <v>1499834</v>
      </c>
      <c r="B1112" s="121" t="s">
        <v>12191</v>
      </c>
      <c r="C1112" t="s">
        <v>32</v>
      </c>
      <c r="D1112" t="s">
        <v>28</v>
      </c>
      <c r="E1112" t="s">
        <v>414</v>
      </c>
      <c r="F1112" t="s">
        <v>12199</v>
      </c>
      <c r="G1112" t="s">
        <v>6750</v>
      </c>
      <c r="H1112" s="121" t="s">
        <v>12200</v>
      </c>
    </row>
    <row r="1113" spans="1:8" x14ac:dyDescent="0.25">
      <c r="A1113">
        <v>1499835</v>
      </c>
      <c r="B1113" s="121" t="s">
        <v>12191</v>
      </c>
      <c r="C1113" t="s">
        <v>32</v>
      </c>
      <c r="D1113" t="s">
        <v>28</v>
      </c>
      <c r="E1113" t="s">
        <v>414</v>
      </c>
      <c r="F1113" t="s">
        <v>12201</v>
      </c>
      <c r="G1113" t="s">
        <v>12202</v>
      </c>
      <c r="H1113" s="121" t="s">
        <v>12203</v>
      </c>
    </row>
    <row r="1114" spans="1:8" x14ac:dyDescent="0.25">
      <c r="A1114">
        <v>1527432</v>
      </c>
      <c r="B1114" s="121" t="s">
        <v>12191</v>
      </c>
      <c r="C1114" t="s">
        <v>32</v>
      </c>
      <c r="D1114" t="s">
        <v>20</v>
      </c>
      <c r="E1114" t="s">
        <v>685</v>
      </c>
      <c r="F1114" t="s">
        <v>6763</v>
      </c>
      <c r="G1114" t="s">
        <v>2310</v>
      </c>
      <c r="H1114" s="121" t="s">
        <v>12204</v>
      </c>
    </row>
    <row r="1115" spans="1:8" x14ac:dyDescent="0.25">
      <c r="A1115">
        <v>1527434</v>
      </c>
      <c r="B1115" s="121" t="s">
        <v>12191</v>
      </c>
      <c r="C1115" t="s">
        <v>32</v>
      </c>
      <c r="D1115" t="s">
        <v>20</v>
      </c>
      <c r="E1115" t="s">
        <v>685</v>
      </c>
      <c r="F1115" t="s">
        <v>12205</v>
      </c>
      <c r="G1115" t="s">
        <v>6764</v>
      </c>
      <c r="H1115" s="121" t="s">
        <v>12206</v>
      </c>
    </row>
    <row r="1116" spans="1:8" x14ac:dyDescent="0.25">
      <c r="A1116">
        <v>1530237</v>
      </c>
      <c r="B1116" s="121" t="s">
        <v>12191</v>
      </c>
      <c r="C1116" t="s">
        <v>32</v>
      </c>
      <c r="D1116" t="s">
        <v>28</v>
      </c>
      <c r="E1116" t="s">
        <v>2618</v>
      </c>
      <c r="F1116" t="s">
        <v>2620</v>
      </c>
      <c r="G1116" t="s">
        <v>7108</v>
      </c>
      <c r="H1116" s="121" t="s">
        <v>12207</v>
      </c>
    </row>
    <row r="1117" spans="1:8" x14ac:dyDescent="0.25">
      <c r="A1117">
        <v>1530243</v>
      </c>
      <c r="B1117" s="121" t="s">
        <v>12191</v>
      </c>
      <c r="C1117" t="s">
        <v>32</v>
      </c>
      <c r="D1117" t="s">
        <v>28</v>
      </c>
      <c r="E1117" t="s">
        <v>2618</v>
      </c>
      <c r="F1117" t="s">
        <v>2639</v>
      </c>
      <c r="G1117" t="s">
        <v>2631</v>
      </c>
      <c r="H1117" s="121" t="s">
        <v>12208</v>
      </c>
    </row>
    <row r="1118" spans="1:8" x14ac:dyDescent="0.25">
      <c r="A1118">
        <v>1530244</v>
      </c>
      <c r="B1118" s="121" t="s">
        <v>12191</v>
      </c>
      <c r="C1118" t="s">
        <v>32</v>
      </c>
      <c r="D1118" t="s">
        <v>28</v>
      </c>
      <c r="E1118" t="s">
        <v>2618</v>
      </c>
      <c r="F1118" t="s">
        <v>12209</v>
      </c>
      <c r="G1118" t="s">
        <v>12210</v>
      </c>
      <c r="H1118" s="121" t="s">
        <v>12211</v>
      </c>
    </row>
    <row r="1119" spans="1:8" x14ac:dyDescent="0.25">
      <c r="A1119">
        <v>1537235</v>
      </c>
      <c r="B1119" s="121" t="s">
        <v>12191</v>
      </c>
      <c r="C1119" t="s">
        <v>32</v>
      </c>
      <c r="D1119" t="s">
        <v>72</v>
      </c>
      <c r="E1119" t="s">
        <v>73</v>
      </c>
      <c r="F1119" t="s">
        <v>479</v>
      </c>
      <c r="G1119" t="s">
        <v>12212</v>
      </c>
      <c r="H1119" s="121" t="s">
        <v>12213</v>
      </c>
    </row>
    <row r="1120" spans="1:8" x14ac:dyDescent="0.25">
      <c r="A1120">
        <v>1538220</v>
      </c>
      <c r="B1120" s="121" t="s">
        <v>12191</v>
      </c>
      <c r="C1120" t="s">
        <v>32</v>
      </c>
      <c r="D1120" t="s">
        <v>20</v>
      </c>
      <c r="E1120" t="s">
        <v>9780</v>
      </c>
      <c r="F1120" t="s">
        <v>12214</v>
      </c>
      <c r="G1120" t="s">
        <v>12215</v>
      </c>
      <c r="H1120" s="121" t="s">
        <v>12216</v>
      </c>
    </row>
    <row r="1121" spans="1:8" x14ac:dyDescent="0.25">
      <c r="A1121">
        <v>1378177</v>
      </c>
      <c r="B1121" s="121" t="s">
        <v>12217</v>
      </c>
      <c r="C1121" t="s">
        <v>32</v>
      </c>
      <c r="D1121" t="s">
        <v>41</v>
      </c>
      <c r="E1121" t="s">
        <v>60</v>
      </c>
      <c r="F1121" t="s">
        <v>12218</v>
      </c>
      <c r="G1121" t="s">
        <v>271</v>
      </c>
      <c r="H1121" s="121" t="s">
        <v>12219</v>
      </c>
    </row>
    <row r="1122" spans="1:8" x14ac:dyDescent="0.25">
      <c r="A1122">
        <v>1387953</v>
      </c>
      <c r="B1122" s="121" t="s">
        <v>12217</v>
      </c>
      <c r="C1122" t="s">
        <v>32</v>
      </c>
      <c r="D1122" t="s">
        <v>89</v>
      </c>
      <c r="E1122" t="s">
        <v>47</v>
      </c>
      <c r="F1122" t="s">
        <v>2337</v>
      </c>
      <c r="G1122" t="s">
        <v>2162</v>
      </c>
      <c r="H1122" s="121" t="s">
        <v>12220</v>
      </c>
    </row>
    <row r="1123" spans="1:8" x14ac:dyDescent="0.25">
      <c r="A1123">
        <v>1391119</v>
      </c>
      <c r="B1123" s="121" t="s">
        <v>12221</v>
      </c>
      <c r="C1123" t="s">
        <v>32</v>
      </c>
      <c r="D1123" t="s">
        <v>40</v>
      </c>
      <c r="E1123" t="s">
        <v>74</v>
      </c>
      <c r="F1123" t="s">
        <v>12222</v>
      </c>
      <c r="G1123" t="s">
        <v>1358</v>
      </c>
      <c r="H1123" s="121" t="s">
        <v>12223</v>
      </c>
    </row>
    <row r="1124" spans="1:8" x14ac:dyDescent="0.25">
      <c r="A1124">
        <v>1392145</v>
      </c>
      <c r="B1124" s="121" t="s">
        <v>12221</v>
      </c>
      <c r="C1124" t="s">
        <v>32</v>
      </c>
      <c r="D1124" t="s">
        <v>40</v>
      </c>
      <c r="E1124" t="s">
        <v>75</v>
      </c>
      <c r="F1124" t="s">
        <v>2246</v>
      </c>
      <c r="G1124" t="s">
        <v>2532</v>
      </c>
      <c r="H1124" s="121" t="s">
        <v>12224</v>
      </c>
    </row>
    <row r="1125" spans="1:8" x14ac:dyDescent="0.25">
      <c r="A1125">
        <v>1446213</v>
      </c>
      <c r="B1125" s="121" t="s">
        <v>12221</v>
      </c>
      <c r="C1125" t="s">
        <v>32</v>
      </c>
      <c r="D1125" t="s">
        <v>362</v>
      </c>
      <c r="E1125" t="s">
        <v>687</v>
      </c>
      <c r="F1125" t="s">
        <v>12225</v>
      </c>
      <c r="G1125" t="s">
        <v>2219</v>
      </c>
      <c r="H1125" s="121" t="s">
        <v>12226</v>
      </c>
    </row>
    <row r="1126" spans="1:8" x14ac:dyDescent="0.25">
      <c r="A1126">
        <v>1476940</v>
      </c>
      <c r="B1126" s="121" t="s">
        <v>12221</v>
      </c>
      <c r="C1126" t="s">
        <v>32</v>
      </c>
      <c r="D1126" t="s">
        <v>31</v>
      </c>
      <c r="E1126" t="s">
        <v>412</v>
      </c>
      <c r="F1126" t="s">
        <v>12227</v>
      </c>
      <c r="G1126" t="s">
        <v>12228</v>
      </c>
      <c r="H1126" s="121" t="s">
        <v>12229</v>
      </c>
    </row>
    <row r="1127" spans="1:8" x14ac:dyDescent="0.25">
      <c r="A1127">
        <v>1476941</v>
      </c>
      <c r="B1127" s="121" t="s">
        <v>12221</v>
      </c>
      <c r="C1127" t="s">
        <v>32</v>
      </c>
      <c r="D1127" t="s">
        <v>31</v>
      </c>
      <c r="E1127" t="s">
        <v>412</v>
      </c>
      <c r="F1127" t="s">
        <v>6811</v>
      </c>
      <c r="G1127" t="s">
        <v>12230</v>
      </c>
      <c r="H1127" s="121" t="s">
        <v>12231</v>
      </c>
    </row>
    <row r="1128" spans="1:8" x14ac:dyDescent="0.25">
      <c r="A1128">
        <v>1476942</v>
      </c>
      <c r="B1128" s="121" t="s">
        <v>12221</v>
      </c>
      <c r="C1128" t="s">
        <v>32</v>
      </c>
      <c r="D1128" t="s">
        <v>31</v>
      </c>
      <c r="E1128" t="s">
        <v>412</v>
      </c>
      <c r="F1128" t="s">
        <v>12232</v>
      </c>
      <c r="G1128" t="s">
        <v>489</v>
      </c>
      <c r="H1128" s="121" t="s">
        <v>12233</v>
      </c>
    </row>
    <row r="1129" spans="1:8" x14ac:dyDescent="0.25">
      <c r="A1129">
        <v>1476943</v>
      </c>
      <c r="B1129" s="121" t="s">
        <v>12221</v>
      </c>
      <c r="C1129" t="s">
        <v>32</v>
      </c>
      <c r="D1129" t="s">
        <v>31</v>
      </c>
      <c r="E1129" t="s">
        <v>412</v>
      </c>
      <c r="F1129" t="s">
        <v>2322</v>
      </c>
      <c r="G1129" t="s">
        <v>2374</v>
      </c>
      <c r="H1129" s="121" t="s">
        <v>12234</v>
      </c>
    </row>
    <row r="1130" spans="1:8" x14ac:dyDescent="0.25">
      <c r="A1130">
        <v>1476945</v>
      </c>
      <c r="B1130" s="121" t="s">
        <v>12221</v>
      </c>
      <c r="C1130" t="s">
        <v>32</v>
      </c>
      <c r="D1130" t="s">
        <v>31</v>
      </c>
      <c r="E1130" t="s">
        <v>412</v>
      </c>
      <c r="F1130" t="s">
        <v>12235</v>
      </c>
      <c r="G1130" t="s">
        <v>2323</v>
      </c>
      <c r="H1130" s="121" t="s">
        <v>12236</v>
      </c>
    </row>
    <row r="1131" spans="1:8" x14ac:dyDescent="0.25">
      <c r="A1131">
        <v>1492211</v>
      </c>
      <c r="B1131" s="121" t="s">
        <v>12221</v>
      </c>
      <c r="C1131" t="s">
        <v>32</v>
      </c>
      <c r="D1131" t="s">
        <v>20</v>
      </c>
      <c r="E1131" t="s">
        <v>60</v>
      </c>
      <c r="F1131" t="s">
        <v>6817</v>
      </c>
      <c r="G1131" t="s">
        <v>12237</v>
      </c>
      <c r="H1131" s="121" t="s">
        <v>12238</v>
      </c>
    </row>
    <row r="1132" spans="1:8" x14ac:dyDescent="0.25">
      <c r="A1132">
        <v>1498434</v>
      </c>
      <c r="B1132" s="121" t="s">
        <v>12221</v>
      </c>
      <c r="C1132" t="s">
        <v>32</v>
      </c>
      <c r="D1132" t="s">
        <v>28</v>
      </c>
      <c r="E1132" t="s">
        <v>242</v>
      </c>
      <c r="F1132" t="s">
        <v>2422</v>
      </c>
      <c r="G1132" t="s">
        <v>2349</v>
      </c>
      <c r="H1132" s="121" t="s">
        <v>12239</v>
      </c>
    </row>
    <row r="1133" spans="1:8" x14ac:dyDescent="0.25">
      <c r="A1133">
        <v>1498442</v>
      </c>
      <c r="B1133" s="121" t="s">
        <v>12221</v>
      </c>
      <c r="C1133" t="s">
        <v>32</v>
      </c>
      <c r="D1133" t="s">
        <v>28</v>
      </c>
      <c r="E1133" t="s">
        <v>242</v>
      </c>
      <c r="F1133" t="s">
        <v>2350</v>
      </c>
      <c r="G1133" t="s">
        <v>2342</v>
      </c>
      <c r="H1133" s="121" t="s">
        <v>12240</v>
      </c>
    </row>
    <row r="1134" spans="1:8" x14ac:dyDescent="0.25">
      <c r="A1134">
        <v>1506081</v>
      </c>
      <c r="B1134" s="121" t="s">
        <v>12221</v>
      </c>
      <c r="C1134" t="s">
        <v>32</v>
      </c>
      <c r="D1134" t="s">
        <v>29</v>
      </c>
      <c r="E1134" t="s">
        <v>30</v>
      </c>
      <c r="F1134" t="s">
        <v>2565</v>
      </c>
      <c r="G1134" t="s">
        <v>12241</v>
      </c>
      <c r="H1134" s="121" t="s">
        <v>12242</v>
      </c>
    </row>
    <row r="1135" spans="1:8" x14ac:dyDescent="0.25">
      <c r="A1135">
        <v>1511543</v>
      </c>
      <c r="B1135" s="121" t="s">
        <v>12221</v>
      </c>
      <c r="C1135" t="s">
        <v>32</v>
      </c>
      <c r="D1135" t="s">
        <v>354</v>
      </c>
      <c r="E1135" t="s">
        <v>102</v>
      </c>
      <c r="F1135" t="s">
        <v>2557</v>
      </c>
      <c r="G1135" t="s">
        <v>481</v>
      </c>
      <c r="H1135" s="121" t="s">
        <v>12243</v>
      </c>
    </row>
    <row r="1136" spans="1:8" x14ac:dyDescent="0.25">
      <c r="A1136">
        <v>1513030</v>
      </c>
      <c r="B1136" s="121" t="s">
        <v>12221</v>
      </c>
      <c r="C1136" t="s">
        <v>32</v>
      </c>
      <c r="D1136" t="s">
        <v>362</v>
      </c>
      <c r="E1136" t="s">
        <v>363</v>
      </c>
      <c r="F1136" t="s">
        <v>2306</v>
      </c>
      <c r="G1136" t="s">
        <v>2424</v>
      </c>
      <c r="H1136" s="121" t="s">
        <v>12244</v>
      </c>
    </row>
    <row r="1137" spans="1:8" x14ac:dyDescent="0.25">
      <c r="A1137">
        <v>1516917</v>
      </c>
      <c r="B1137" s="121" t="s">
        <v>12221</v>
      </c>
      <c r="C1137" t="s">
        <v>32</v>
      </c>
      <c r="D1137" t="s">
        <v>93</v>
      </c>
      <c r="E1137" t="s">
        <v>97</v>
      </c>
      <c r="F1137" t="s">
        <v>12245</v>
      </c>
      <c r="G1137" t="s">
        <v>2409</v>
      </c>
      <c r="H1137" s="121" t="s">
        <v>12246</v>
      </c>
    </row>
    <row r="1138" spans="1:8" x14ac:dyDescent="0.25">
      <c r="A1138">
        <v>1529073</v>
      </c>
      <c r="B1138" s="121" t="s">
        <v>12221</v>
      </c>
      <c r="C1138" t="s">
        <v>32</v>
      </c>
      <c r="D1138" t="s">
        <v>354</v>
      </c>
      <c r="E1138" t="s">
        <v>75</v>
      </c>
      <c r="F1138" t="s">
        <v>12247</v>
      </c>
      <c r="G1138" t="s">
        <v>12248</v>
      </c>
      <c r="H1138" s="121" t="s">
        <v>12249</v>
      </c>
    </row>
    <row r="1139" spans="1:8" x14ac:dyDescent="0.25">
      <c r="A1139">
        <v>1530233</v>
      </c>
      <c r="B1139" s="121" t="s">
        <v>12221</v>
      </c>
      <c r="C1139" t="s">
        <v>32</v>
      </c>
      <c r="D1139" t="s">
        <v>28</v>
      </c>
      <c r="E1139" t="s">
        <v>2618</v>
      </c>
      <c r="F1139" t="s">
        <v>12250</v>
      </c>
      <c r="G1139" t="s">
        <v>7109</v>
      </c>
      <c r="H1139" s="121" t="s">
        <v>12251</v>
      </c>
    </row>
    <row r="1140" spans="1:8" x14ac:dyDescent="0.25">
      <c r="A1140">
        <v>1530236</v>
      </c>
      <c r="B1140" s="121" t="s">
        <v>12221</v>
      </c>
      <c r="C1140" t="s">
        <v>32</v>
      </c>
      <c r="D1140" t="s">
        <v>28</v>
      </c>
      <c r="E1140" t="s">
        <v>2618</v>
      </c>
      <c r="F1140" t="s">
        <v>12252</v>
      </c>
      <c r="G1140" t="s">
        <v>12253</v>
      </c>
      <c r="H1140" s="121" t="s">
        <v>12254</v>
      </c>
    </row>
    <row r="1141" spans="1:8" x14ac:dyDescent="0.25">
      <c r="A1141">
        <v>1530238</v>
      </c>
      <c r="B1141" s="121" t="s">
        <v>12221</v>
      </c>
      <c r="C1141" t="s">
        <v>32</v>
      </c>
      <c r="D1141" t="s">
        <v>28</v>
      </c>
      <c r="E1141" t="s">
        <v>2618</v>
      </c>
      <c r="F1141" t="s">
        <v>12255</v>
      </c>
      <c r="G1141" t="s">
        <v>2625</v>
      </c>
      <c r="H1141" s="121" t="s">
        <v>12256</v>
      </c>
    </row>
    <row r="1142" spans="1:8" x14ac:dyDescent="0.25">
      <c r="A1142">
        <v>1533247</v>
      </c>
      <c r="B1142" s="121" t="s">
        <v>12221</v>
      </c>
      <c r="C1142" t="s">
        <v>32</v>
      </c>
      <c r="D1142" t="s">
        <v>20</v>
      </c>
      <c r="E1142" t="s">
        <v>6678</v>
      </c>
      <c r="F1142" t="s">
        <v>12257</v>
      </c>
      <c r="G1142" t="s">
        <v>6947</v>
      </c>
      <c r="H1142" s="121" t="s">
        <v>12258</v>
      </c>
    </row>
    <row r="1143" spans="1:8" x14ac:dyDescent="0.25">
      <c r="A1143">
        <v>1535863</v>
      </c>
      <c r="B1143" s="121" t="s">
        <v>12221</v>
      </c>
      <c r="C1143" t="s">
        <v>32</v>
      </c>
      <c r="D1143" t="s">
        <v>20</v>
      </c>
      <c r="E1143" t="s">
        <v>4438</v>
      </c>
      <c r="F1143" t="s">
        <v>4920</v>
      </c>
      <c r="G1143" t="s">
        <v>4440</v>
      </c>
      <c r="H1143" s="121" t="s">
        <v>12259</v>
      </c>
    </row>
    <row r="1144" spans="1:8" x14ac:dyDescent="0.25">
      <c r="A1144">
        <v>1536080</v>
      </c>
      <c r="B1144" s="121" t="s">
        <v>12221</v>
      </c>
      <c r="C1144" t="s">
        <v>32</v>
      </c>
      <c r="D1144" t="s">
        <v>21</v>
      </c>
      <c r="E1144" t="s">
        <v>6157</v>
      </c>
      <c r="F1144" t="s">
        <v>4157</v>
      </c>
      <c r="G1144" t="s">
        <v>9350</v>
      </c>
      <c r="H1144" s="121" t="s">
        <v>12260</v>
      </c>
    </row>
    <row r="1145" spans="1:8" x14ac:dyDescent="0.25">
      <c r="A1145">
        <v>1538216</v>
      </c>
      <c r="B1145" s="121" t="s">
        <v>12221</v>
      </c>
      <c r="C1145" t="s">
        <v>32</v>
      </c>
      <c r="D1145" t="s">
        <v>20</v>
      </c>
      <c r="E1145" t="s">
        <v>9780</v>
      </c>
      <c r="F1145" t="s">
        <v>2319</v>
      </c>
      <c r="G1145" t="s">
        <v>12261</v>
      </c>
      <c r="H1145" s="121" t="s">
        <v>12262</v>
      </c>
    </row>
    <row r="1146" spans="1:8" x14ac:dyDescent="0.25">
      <c r="A1146">
        <v>1538217</v>
      </c>
      <c r="B1146" s="121" t="s">
        <v>12221</v>
      </c>
      <c r="C1146" t="s">
        <v>32</v>
      </c>
      <c r="D1146" t="s">
        <v>20</v>
      </c>
      <c r="E1146" t="s">
        <v>9780</v>
      </c>
      <c r="F1146" t="s">
        <v>12263</v>
      </c>
      <c r="G1146" t="s">
        <v>2562</v>
      </c>
      <c r="H1146" s="121" t="s">
        <v>12264</v>
      </c>
    </row>
    <row r="1147" spans="1:8" x14ac:dyDescent="0.25">
      <c r="A1147">
        <v>1538218</v>
      </c>
      <c r="B1147" s="121" t="s">
        <v>12221</v>
      </c>
      <c r="C1147" t="s">
        <v>32</v>
      </c>
      <c r="D1147" t="s">
        <v>20</v>
      </c>
      <c r="E1147" t="s">
        <v>9780</v>
      </c>
      <c r="F1147" t="s">
        <v>12265</v>
      </c>
      <c r="G1147" t="s">
        <v>12266</v>
      </c>
      <c r="H1147" s="121" t="s">
        <v>12267</v>
      </c>
    </row>
    <row r="1148" spans="1:8" x14ac:dyDescent="0.25">
      <c r="A1148">
        <v>1538219</v>
      </c>
      <c r="B1148" s="121" t="s">
        <v>12221</v>
      </c>
      <c r="C1148" t="s">
        <v>32</v>
      </c>
      <c r="D1148" t="s">
        <v>20</v>
      </c>
      <c r="E1148" t="s">
        <v>9780</v>
      </c>
      <c r="F1148" t="s">
        <v>12268</v>
      </c>
      <c r="G1148" t="s">
        <v>101</v>
      </c>
      <c r="H1148" s="121" t="s">
        <v>12269</v>
      </c>
    </row>
    <row r="1149" spans="1:8" x14ac:dyDescent="0.25">
      <c r="A1149">
        <v>1538221</v>
      </c>
      <c r="B1149" s="121" t="s">
        <v>12221</v>
      </c>
      <c r="C1149" t="s">
        <v>32</v>
      </c>
      <c r="D1149" t="s">
        <v>20</v>
      </c>
      <c r="E1149" t="s">
        <v>9780</v>
      </c>
      <c r="F1149" t="s">
        <v>12270</v>
      </c>
      <c r="G1149" t="s">
        <v>12271</v>
      </c>
      <c r="H1149" s="121" t="s">
        <v>12272</v>
      </c>
    </row>
    <row r="1150" spans="1:8" x14ac:dyDescent="0.25">
      <c r="A1150">
        <v>1538222</v>
      </c>
      <c r="B1150" s="121" t="s">
        <v>12221</v>
      </c>
      <c r="C1150" t="s">
        <v>32</v>
      </c>
      <c r="D1150" t="s">
        <v>20</v>
      </c>
      <c r="E1150" t="s">
        <v>9780</v>
      </c>
      <c r="F1150" t="s">
        <v>12273</v>
      </c>
      <c r="G1150" t="s">
        <v>6867</v>
      </c>
      <c r="H1150" s="121" t="s">
        <v>12274</v>
      </c>
    </row>
    <row r="1151" spans="1:8" x14ac:dyDescent="0.25">
      <c r="A1151">
        <v>1538223</v>
      </c>
      <c r="B1151" s="121" t="s">
        <v>12221</v>
      </c>
      <c r="C1151" t="s">
        <v>32</v>
      </c>
      <c r="D1151" t="s">
        <v>20</v>
      </c>
      <c r="E1151" t="s">
        <v>9780</v>
      </c>
      <c r="F1151" t="s">
        <v>6685</v>
      </c>
      <c r="G1151" t="s">
        <v>6951</v>
      </c>
      <c r="H1151" s="121" t="s">
        <v>12275</v>
      </c>
    </row>
    <row r="1152" spans="1:8" x14ac:dyDescent="0.25">
      <c r="A1152">
        <v>1538225</v>
      </c>
      <c r="B1152" s="121" t="s">
        <v>12221</v>
      </c>
      <c r="C1152" t="s">
        <v>32</v>
      </c>
      <c r="D1152" t="s">
        <v>20</v>
      </c>
      <c r="E1152" t="s">
        <v>9780</v>
      </c>
      <c r="F1152" t="s">
        <v>2308</v>
      </c>
      <c r="G1152" t="s">
        <v>2309</v>
      </c>
      <c r="H1152" s="121" t="s">
        <v>12276</v>
      </c>
    </row>
    <row r="1153" spans="1:8" x14ac:dyDescent="0.25">
      <c r="A1153">
        <v>1538226</v>
      </c>
      <c r="B1153" s="121" t="s">
        <v>12221</v>
      </c>
      <c r="C1153" t="s">
        <v>32</v>
      </c>
      <c r="D1153" t="s">
        <v>20</v>
      </c>
      <c r="E1153" t="s">
        <v>9780</v>
      </c>
      <c r="F1153" t="s">
        <v>12277</v>
      </c>
      <c r="G1153" t="s">
        <v>12278</v>
      </c>
      <c r="H1153" s="121" t="s">
        <v>12279</v>
      </c>
    </row>
    <row r="1154" spans="1:8" x14ac:dyDescent="0.25">
      <c r="A1154">
        <v>1538227</v>
      </c>
      <c r="B1154" s="121" t="s">
        <v>12221</v>
      </c>
      <c r="C1154" t="s">
        <v>32</v>
      </c>
      <c r="D1154" t="s">
        <v>20</v>
      </c>
      <c r="E1154" t="s">
        <v>9780</v>
      </c>
      <c r="F1154" t="s">
        <v>535</v>
      </c>
      <c r="G1154" t="s">
        <v>12280</v>
      </c>
      <c r="H1154" s="121" t="s">
        <v>12281</v>
      </c>
    </row>
    <row r="1155" spans="1:8" x14ac:dyDescent="0.25">
      <c r="A1155">
        <v>1538228</v>
      </c>
      <c r="B1155" s="121" t="s">
        <v>12221</v>
      </c>
      <c r="C1155" t="s">
        <v>32</v>
      </c>
      <c r="D1155" t="s">
        <v>20</v>
      </c>
      <c r="E1155" t="s">
        <v>9780</v>
      </c>
      <c r="F1155" t="s">
        <v>359</v>
      </c>
      <c r="G1155" t="s">
        <v>12282</v>
      </c>
      <c r="H1155" s="121" t="s">
        <v>12283</v>
      </c>
    </row>
    <row r="1156" spans="1:8" x14ac:dyDescent="0.25">
      <c r="A1156">
        <v>1538337</v>
      </c>
      <c r="B1156" s="121" t="s">
        <v>12221</v>
      </c>
      <c r="C1156" t="s">
        <v>32</v>
      </c>
      <c r="D1156" t="s">
        <v>302</v>
      </c>
      <c r="E1156" t="s">
        <v>27</v>
      </c>
      <c r="F1156" t="s">
        <v>12284</v>
      </c>
      <c r="G1156" t="s">
        <v>12285</v>
      </c>
      <c r="H1156" s="121" t="s">
        <v>12286</v>
      </c>
    </row>
    <row r="1157" spans="1:8" x14ac:dyDescent="0.25">
      <c r="A1157">
        <v>1539170</v>
      </c>
      <c r="B1157" s="121" t="s">
        <v>12221</v>
      </c>
      <c r="C1157" t="s">
        <v>32</v>
      </c>
      <c r="D1157" t="s">
        <v>72</v>
      </c>
      <c r="E1157" t="s">
        <v>75</v>
      </c>
      <c r="F1157" t="s">
        <v>12287</v>
      </c>
      <c r="G1157" t="s">
        <v>12288</v>
      </c>
      <c r="H1157" s="121" t="s">
        <v>12289</v>
      </c>
    </row>
    <row r="1158" spans="1:8" x14ac:dyDescent="0.25">
      <c r="A1158">
        <v>1396493</v>
      </c>
      <c r="B1158" s="121" t="s">
        <v>12290</v>
      </c>
      <c r="C1158" t="s">
        <v>32</v>
      </c>
      <c r="D1158" t="s">
        <v>53</v>
      </c>
      <c r="E1158" t="s">
        <v>99</v>
      </c>
      <c r="F1158" t="s">
        <v>7139</v>
      </c>
      <c r="G1158" t="s">
        <v>526</v>
      </c>
      <c r="H1158" s="121" t="s">
        <v>12291</v>
      </c>
    </row>
    <row r="1159" spans="1:8" x14ac:dyDescent="0.25">
      <c r="A1159">
        <v>1508729</v>
      </c>
      <c r="B1159" s="121" t="s">
        <v>12290</v>
      </c>
      <c r="C1159" t="s">
        <v>32</v>
      </c>
      <c r="D1159" t="s">
        <v>90</v>
      </c>
      <c r="E1159" t="s">
        <v>11371</v>
      </c>
      <c r="F1159" t="s">
        <v>12292</v>
      </c>
      <c r="G1159" t="s">
        <v>12293</v>
      </c>
      <c r="H1159" s="121" t="s">
        <v>12294</v>
      </c>
    </row>
    <row r="1160" spans="1:8" x14ac:dyDescent="0.25">
      <c r="A1160">
        <v>1524384</v>
      </c>
      <c r="B1160" s="121" t="s">
        <v>12290</v>
      </c>
      <c r="C1160" t="s">
        <v>32</v>
      </c>
      <c r="D1160" t="s">
        <v>29</v>
      </c>
      <c r="E1160" t="s">
        <v>2552</v>
      </c>
      <c r="F1160" t="s">
        <v>7060</v>
      </c>
      <c r="G1160" t="s">
        <v>2553</v>
      </c>
      <c r="H1160" s="121" t="s">
        <v>12295</v>
      </c>
    </row>
    <row r="1161" spans="1:8" x14ac:dyDescent="0.25">
      <c r="A1161">
        <v>1526985</v>
      </c>
      <c r="B1161" s="121" t="s">
        <v>12290</v>
      </c>
      <c r="C1161" t="s">
        <v>32</v>
      </c>
      <c r="D1161" t="s">
        <v>21</v>
      </c>
      <c r="E1161" t="s">
        <v>7468</v>
      </c>
      <c r="F1161" t="s">
        <v>12296</v>
      </c>
      <c r="G1161" t="s">
        <v>12297</v>
      </c>
      <c r="H1161" s="121" t="s">
        <v>12298</v>
      </c>
    </row>
    <row r="1162" spans="1:8" x14ac:dyDescent="0.25">
      <c r="A1162">
        <v>1530235</v>
      </c>
      <c r="B1162" s="121" t="s">
        <v>12290</v>
      </c>
      <c r="C1162" t="s">
        <v>32</v>
      </c>
      <c r="D1162" t="s">
        <v>28</v>
      </c>
      <c r="E1162" t="s">
        <v>2618</v>
      </c>
      <c r="F1162" t="s">
        <v>2619</v>
      </c>
      <c r="G1162" t="s">
        <v>12299</v>
      </c>
      <c r="H1162" s="121" t="s">
        <v>12300</v>
      </c>
    </row>
    <row r="1163" spans="1:8" x14ac:dyDescent="0.25">
      <c r="A1163">
        <v>1530240</v>
      </c>
      <c r="B1163" s="121" t="s">
        <v>12290</v>
      </c>
      <c r="C1163" t="s">
        <v>32</v>
      </c>
      <c r="D1163" t="s">
        <v>28</v>
      </c>
      <c r="E1163" t="s">
        <v>2618</v>
      </c>
      <c r="F1163" t="s">
        <v>12301</v>
      </c>
      <c r="G1163" t="s">
        <v>12302</v>
      </c>
      <c r="H1163" s="121" t="s">
        <v>12303</v>
      </c>
    </row>
    <row r="1164" spans="1:8" x14ac:dyDescent="0.25">
      <c r="A1164">
        <v>1530245</v>
      </c>
      <c r="B1164" s="121" t="s">
        <v>12290</v>
      </c>
      <c r="C1164" t="s">
        <v>32</v>
      </c>
      <c r="D1164" t="s">
        <v>28</v>
      </c>
      <c r="E1164" t="s">
        <v>2618</v>
      </c>
      <c r="F1164" t="s">
        <v>12304</v>
      </c>
      <c r="G1164" t="s">
        <v>12305</v>
      </c>
      <c r="H1164" s="121" t="s">
        <v>12306</v>
      </c>
    </row>
    <row r="1165" spans="1:8" x14ac:dyDescent="0.25">
      <c r="A1165">
        <v>1538879</v>
      </c>
      <c r="B1165" s="121" t="s">
        <v>12290</v>
      </c>
      <c r="C1165" t="s">
        <v>32</v>
      </c>
      <c r="D1165" t="s">
        <v>415</v>
      </c>
      <c r="E1165" t="s">
        <v>75</v>
      </c>
      <c r="F1165" t="s">
        <v>2333</v>
      </c>
      <c r="G1165" t="s">
        <v>12307</v>
      </c>
      <c r="H1165" s="121" t="s">
        <v>12308</v>
      </c>
    </row>
    <row r="1166" spans="1:8" x14ac:dyDescent="0.25">
      <c r="A1166">
        <v>1538880</v>
      </c>
      <c r="B1166" s="121" t="s">
        <v>12290</v>
      </c>
      <c r="C1166" t="s">
        <v>32</v>
      </c>
      <c r="D1166" t="s">
        <v>415</v>
      </c>
      <c r="E1166" t="s">
        <v>75</v>
      </c>
      <c r="F1166" t="s">
        <v>2335</v>
      </c>
      <c r="G1166" t="s">
        <v>6895</v>
      </c>
      <c r="H1166" s="121" t="s">
        <v>12309</v>
      </c>
    </row>
    <row r="1167" spans="1:8" x14ac:dyDescent="0.25">
      <c r="A1167">
        <v>1540081</v>
      </c>
      <c r="B1167" s="121" t="s">
        <v>12290</v>
      </c>
      <c r="C1167" t="s">
        <v>32</v>
      </c>
      <c r="D1167" t="s">
        <v>415</v>
      </c>
      <c r="E1167" t="s">
        <v>75</v>
      </c>
      <c r="F1167" t="s">
        <v>12310</v>
      </c>
      <c r="G1167" t="s">
        <v>6940</v>
      </c>
      <c r="H1167" s="121" t="s">
        <v>12311</v>
      </c>
    </row>
    <row r="1168" spans="1:8" x14ac:dyDescent="0.25">
      <c r="A1168">
        <v>1476944</v>
      </c>
      <c r="B1168" s="121" t="s">
        <v>12312</v>
      </c>
      <c r="C1168" t="s">
        <v>2909</v>
      </c>
      <c r="D1168" t="s">
        <v>31</v>
      </c>
      <c r="E1168" t="s">
        <v>412</v>
      </c>
      <c r="F1168" t="s">
        <v>2372</v>
      </c>
      <c r="G1168" t="s">
        <v>732</v>
      </c>
      <c r="H1168" s="121" t="s">
        <v>12313</v>
      </c>
    </row>
    <row r="1169" spans="1:8" x14ac:dyDescent="0.25">
      <c r="A1169">
        <v>1476946</v>
      </c>
      <c r="B1169" s="121" t="s">
        <v>12312</v>
      </c>
      <c r="C1169" t="s">
        <v>34</v>
      </c>
      <c r="D1169" t="s">
        <v>31</v>
      </c>
      <c r="E1169" t="s">
        <v>412</v>
      </c>
      <c r="F1169" t="s">
        <v>12314</v>
      </c>
      <c r="G1169" t="s">
        <v>731</v>
      </c>
      <c r="H1169" s="121" t="s">
        <v>12315</v>
      </c>
    </row>
    <row r="1170" spans="1:8" x14ac:dyDescent="0.25">
      <c r="A1170">
        <v>1476947</v>
      </c>
      <c r="B1170" s="121" t="s">
        <v>12312</v>
      </c>
      <c r="C1170" t="s">
        <v>2909</v>
      </c>
      <c r="D1170" t="s">
        <v>31</v>
      </c>
      <c r="E1170" t="s">
        <v>412</v>
      </c>
      <c r="F1170" t="s">
        <v>12316</v>
      </c>
      <c r="G1170" t="s">
        <v>2373</v>
      </c>
      <c r="H1170" s="121" t="s">
        <v>12317</v>
      </c>
    </row>
    <row r="1171" spans="1:8" x14ac:dyDescent="0.25">
      <c r="A1171">
        <v>1498436</v>
      </c>
      <c r="B1171" s="121" t="s">
        <v>12312</v>
      </c>
      <c r="C1171" t="s">
        <v>32</v>
      </c>
      <c r="D1171" t="s">
        <v>28</v>
      </c>
      <c r="E1171" t="s">
        <v>242</v>
      </c>
      <c r="F1171" t="s">
        <v>2375</v>
      </c>
      <c r="G1171" t="s">
        <v>2343</v>
      </c>
      <c r="H1171" s="121" t="s">
        <v>12318</v>
      </c>
    </row>
    <row r="1172" spans="1:8" x14ac:dyDescent="0.25">
      <c r="A1172">
        <v>1498438</v>
      </c>
      <c r="B1172" s="121" t="s">
        <v>12312</v>
      </c>
      <c r="C1172" t="s">
        <v>32</v>
      </c>
      <c r="D1172" t="s">
        <v>28</v>
      </c>
      <c r="E1172" t="s">
        <v>242</v>
      </c>
      <c r="F1172" t="s">
        <v>12319</v>
      </c>
      <c r="G1172" t="s">
        <v>12320</v>
      </c>
      <c r="H1172" s="121" t="s">
        <v>12321</v>
      </c>
    </row>
    <row r="1173" spans="1:8" x14ac:dyDescent="0.25">
      <c r="A1173">
        <v>1498439</v>
      </c>
      <c r="B1173" s="121" t="s">
        <v>12312</v>
      </c>
      <c r="C1173" t="s">
        <v>32</v>
      </c>
      <c r="D1173" t="s">
        <v>28</v>
      </c>
      <c r="E1173" t="s">
        <v>242</v>
      </c>
      <c r="F1173" t="s">
        <v>2348</v>
      </c>
      <c r="G1173" t="s">
        <v>2634</v>
      </c>
      <c r="H1173" s="121" t="s">
        <v>12322</v>
      </c>
    </row>
    <row r="1174" spans="1:8" x14ac:dyDescent="0.25">
      <c r="A1174">
        <v>1499229</v>
      </c>
      <c r="B1174" s="121" t="s">
        <v>12312</v>
      </c>
      <c r="C1174" t="s">
        <v>32</v>
      </c>
      <c r="D1174" t="s">
        <v>272</v>
      </c>
      <c r="E1174" t="s">
        <v>26</v>
      </c>
      <c r="F1174" t="s">
        <v>2438</v>
      </c>
      <c r="G1174" t="s">
        <v>12323</v>
      </c>
      <c r="H1174" s="121" t="s">
        <v>12324</v>
      </c>
    </row>
    <row r="1175" spans="1:8" x14ac:dyDescent="0.25">
      <c r="A1175">
        <v>1514421</v>
      </c>
      <c r="B1175" s="121" t="s">
        <v>12312</v>
      </c>
      <c r="C1175" t="s">
        <v>32</v>
      </c>
      <c r="D1175" t="s">
        <v>280</v>
      </c>
      <c r="E1175" t="s">
        <v>49</v>
      </c>
      <c r="F1175" t="s">
        <v>12325</v>
      </c>
      <c r="G1175" t="s">
        <v>530</v>
      </c>
      <c r="H1175" s="121" t="s">
        <v>12326</v>
      </c>
    </row>
    <row r="1176" spans="1:8" x14ac:dyDescent="0.25">
      <c r="A1176">
        <v>1517267</v>
      </c>
      <c r="B1176" s="121" t="s">
        <v>12312</v>
      </c>
      <c r="C1176" t="s">
        <v>32</v>
      </c>
      <c r="D1176" t="s">
        <v>9889</v>
      </c>
      <c r="E1176" t="s">
        <v>9890</v>
      </c>
      <c r="F1176" t="s">
        <v>12327</v>
      </c>
      <c r="G1176" t="s">
        <v>12328</v>
      </c>
      <c r="H1176" s="121" t="s">
        <v>12329</v>
      </c>
    </row>
    <row r="1177" spans="1:8" x14ac:dyDescent="0.25">
      <c r="A1177">
        <v>1526766</v>
      </c>
      <c r="B1177" s="121" t="s">
        <v>12312</v>
      </c>
      <c r="C1177" t="s">
        <v>32</v>
      </c>
      <c r="D1177" t="s">
        <v>20</v>
      </c>
      <c r="E1177" t="s">
        <v>9956</v>
      </c>
      <c r="F1177" t="s">
        <v>12330</v>
      </c>
      <c r="G1177" t="s">
        <v>12331</v>
      </c>
      <c r="H1177" s="121" t="s">
        <v>12332</v>
      </c>
    </row>
    <row r="1178" spans="1:8" x14ac:dyDescent="0.25">
      <c r="A1178">
        <v>1526773</v>
      </c>
      <c r="B1178" s="121" t="s">
        <v>12312</v>
      </c>
      <c r="C1178" t="s">
        <v>32</v>
      </c>
      <c r="D1178" t="s">
        <v>20</v>
      </c>
      <c r="E1178" t="s">
        <v>9956</v>
      </c>
      <c r="F1178" t="s">
        <v>699</v>
      </c>
      <c r="G1178" t="s">
        <v>12333</v>
      </c>
      <c r="H1178" s="121" t="s">
        <v>12334</v>
      </c>
    </row>
    <row r="1179" spans="1:8" x14ac:dyDescent="0.25">
      <c r="A1179">
        <v>1526774</v>
      </c>
      <c r="B1179" s="121" t="s">
        <v>12312</v>
      </c>
      <c r="C1179" t="s">
        <v>32</v>
      </c>
      <c r="D1179" t="s">
        <v>20</v>
      </c>
      <c r="E1179" t="s">
        <v>9956</v>
      </c>
      <c r="F1179" t="s">
        <v>12335</v>
      </c>
      <c r="G1179" t="s">
        <v>12336</v>
      </c>
      <c r="H1179" s="121" t="s">
        <v>12337</v>
      </c>
    </row>
    <row r="1180" spans="1:8" x14ac:dyDescent="0.25">
      <c r="A1180">
        <v>1530231</v>
      </c>
      <c r="B1180" s="121" t="s">
        <v>12312</v>
      </c>
      <c r="C1180" t="s">
        <v>32</v>
      </c>
      <c r="D1180" t="s">
        <v>28</v>
      </c>
      <c r="E1180" t="s">
        <v>2618</v>
      </c>
      <c r="F1180" t="s">
        <v>2626</v>
      </c>
      <c r="G1180" t="s">
        <v>12338</v>
      </c>
      <c r="H1180" s="121" t="s">
        <v>12339</v>
      </c>
    </row>
    <row r="1181" spans="1:8" x14ac:dyDescent="0.25">
      <c r="A1181">
        <v>1531883</v>
      </c>
      <c r="B1181" s="121" t="s">
        <v>12312</v>
      </c>
      <c r="C1181" t="s">
        <v>32</v>
      </c>
      <c r="D1181" t="s">
        <v>354</v>
      </c>
      <c r="E1181" t="s">
        <v>75</v>
      </c>
      <c r="F1181" t="s">
        <v>12340</v>
      </c>
      <c r="G1181" t="s">
        <v>12341</v>
      </c>
      <c r="H1181" s="121" t="s">
        <v>12342</v>
      </c>
    </row>
    <row r="1182" spans="1:8" x14ac:dyDescent="0.25">
      <c r="A1182">
        <v>1537140</v>
      </c>
      <c r="B1182" s="121" t="s">
        <v>12312</v>
      </c>
      <c r="C1182" t="s">
        <v>32</v>
      </c>
      <c r="D1182" t="s">
        <v>694</v>
      </c>
      <c r="E1182" t="s">
        <v>695</v>
      </c>
      <c r="F1182" t="s">
        <v>7062</v>
      </c>
      <c r="G1182" t="s">
        <v>2361</v>
      </c>
      <c r="H1182" s="121" t="s">
        <v>12343</v>
      </c>
    </row>
    <row r="1183" spans="1:8" x14ac:dyDescent="0.25">
      <c r="A1183">
        <v>1538230</v>
      </c>
      <c r="B1183" s="121" t="s">
        <v>12312</v>
      </c>
      <c r="C1183" t="s">
        <v>32</v>
      </c>
      <c r="D1183" t="s">
        <v>20</v>
      </c>
      <c r="E1183" t="s">
        <v>9780</v>
      </c>
      <c r="F1183" t="s">
        <v>311</v>
      </c>
      <c r="G1183" t="s">
        <v>12344</v>
      </c>
      <c r="H1183" s="121" t="s">
        <v>12345</v>
      </c>
    </row>
    <row r="1184" spans="1:8" x14ac:dyDescent="0.25">
      <c r="A1184">
        <v>1538231</v>
      </c>
      <c r="B1184" s="121" t="s">
        <v>12312</v>
      </c>
      <c r="C1184" t="s">
        <v>32</v>
      </c>
      <c r="D1184" t="s">
        <v>20</v>
      </c>
      <c r="E1184" t="s">
        <v>9780</v>
      </c>
      <c r="F1184" t="s">
        <v>12346</v>
      </c>
      <c r="G1184" t="s">
        <v>7085</v>
      </c>
      <c r="H1184" s="121" t="s">
        <v>12347</v>
      </c>
    </row>
    <row r="1185" spans="1:8" x14ac:dyDescent="0.25">
      <c r="A1185">
        <v>1538232</v>
      </c>
      <c r="B1185" s="121" t="s">
        <v>12312</v>
      </c>
      <c r="C1185" t="s">
        <v>32</v>
      </c>
      <c r="D1185" t="s">
        <v>20</v>
      </c>
      <c r="E1185" t="s">
        <v>9780</v>
      </c>
      <c r="F1185" t="s">
        <v>12348</v>
      </c>
      <c r="G1185" t="s">
        <v>12349</v>
      </c>
      <c r="H1185" s="121" t="s">
        <v>12350</v>
      </c>
    </row>
    <row r="1186" spans="1:8" x14ac:dyDescent="0.25">
      <c r="A1186">
        <v>1538233</v>
      </c>
      <c r="B1186" s="121" t="s">
        <v>12312</v>
      </c>
      <c r="C1186" t="s">
        <v>32</v>
      </c>
      <c r="D1186" t="s">
        <v>20</v>
      </c>
      <c r="E1186" t="s">
        <v>9780</v>
      </c>
      <c r="F1186" t="s">
        <v>12351</v>
      </c>
      <c r="G1186" t="s">
        <v>12352</v>
      </c>
      <c r="H1186" s="121" t="s">
        <v>12353</v>
      </c>
    </row>
    <row r="1187" spans="1:8" x14ac:dyDescent="0.25">
      <c r="A1187">
        <v>1539576</v>
      </c>
      <c r="B1187" s="121" t="s">
        <v>12312</v>
      </c>
      <c r="C1187" t="s">
        <v>32</v>
      </c>
      <c r="D1187" t="s">
        <v>21</v>
      </c>
      <c r="E1187" t="s">
        <v>7153</v>
      </c>
      <c r="F1187" t="s">
        <v>7155</v>
      </c>
      <c r="G1187" t="s">
        <v>12354</v>
      </c>
      <c r="H1187" s="121" t="s">
        <v>12355</v>
      </c>
    </row>
    <row r="1188" spans="1:8" x14ac:dyDescent="0.25">
      <c r="A1188">
        <v>1539577</v>
      </c>
      <c r="B1188" s="121" t="s">
        <v>12312</v>
      </c>
      <c r="C1188" t="s">
        <v>32</v>
      </c>
      <c r="D1188" t="s">
        <v>21</v>
      </c>
      <c r="E1188" t="s">
        <v>7153</v>
      </c>
      <c r="F1188" t="s">
        <v>7154</v>
      </c>
      <c r="G1188" t="s">
        <v>12356</v>
      </c>
      <c r="H1188" s="121" t="s">
        <v>12357</v>
      </c>
    </row>
    <row r="1189" spans="1:8" x14ac:dyDescent="0.25">
      <c r="A1189">
        <v>1539620</v>
      </c>
      <c r="B1189" s="121" t="s">
        <v>12312</v>
      </c>
      <c r="C1189" t="s">
        <v>32</v>
      </c>
      <c r="D1189" t="s">
        <v>366</v>
      </c>
      <c r="E1189" t="s">
        <v>9926</v>
      </c>
      <c r="F1189" t="s">
        <v>12358</v>
      </c>
      <c r="G1189" t="s">
        <v>12359</v>
      </c>
      <c r="H1189" s="121" t="s">
        <v>12360</v>
      </c>
    </row>
    <row r="1190" spans="1:8" x14ac:dyDescent="0.25">
      <c r="A1190">
        <v>1540082</v>
      </c>
      <c r="B1190" s="121" t="s">
        <v>12312</v>
      </c>
      <c r="C1190" t="s">
        <v>32</v>
      </c>
      <c r="D1190" t="s">
        <v>415</v>
      </c>
      <c r="E1190" t="s">
        <v>75</v>
      </c>
      <c r="F1190" t="s">
        <v>12361</v>
      </c>
      <c r="G1190" t="s">
        <v>6941</v>
      </c>
      <c r="H1190" s="121" t="s">
        <v>12362</v>
      </c>
    </row>
    <row r="1191" spans="1:8" x14ac:dyDescent="0.25">
      <c r="A1191">
        <v>1540083</v>
      </c>
      <c r="B1191" s="121" t="s">
        <v>12312</v>
      </c>
      <c r="C1191" t="s">
        <v>32</v>
      </c>
      <c r="D1191" t="s">
        <v>415</v>
      </c>
      <c r="E1191" t="s">
        <v>75</v>
      </c>
      <c r="F1191" t="s">
        <v>2358</v>
      </c>
      <c r="G1191" t="s">
        <v>693</v>
      </c>
      <c r="H1191" s="121" t="s">
        <v>12363</v>
      </c>
    </row>
    <row r="1192" spans="1:8" x14ac:dyDescent="0.25">
      <c r="A1192">
        <v>1492013</v>
      </c>
      <c r="B1192" s="121" t="s">
        <v>12364</v>
      </c>
      <c r="C1192" t="s">
        <v>32</v>
      </c>
      <c r="D1192" t="s">
        <v>28</v>
      </c>
      <c r="E1192" t="s">
        <v>2588</v>
      </c>
      <c r="F1192" t="s">
        <v>2589</v>
      </c>
      <c r="G1192" t="s">
        <v>2593</v>
      </c>
      <c r="H1192" s="121" t="s">
        <v>12365</v>
      </c>
    </row>
    <row r="1193" spans="1:8" x14ac:dyDescent="0.25">
      <c r="A1193">
        <v>1492020</v>
      </c>
      <c r="B1193" s="121" t="s">
        <v>12364</v>
      </c>
      <c r="C1193" t="s">
        <v>32</v>
      </c>
      <c r="D1193" t="s">
        <v>28</v>
      </c>
      <c r="E1193" t="s">
        <v>2588</v>
      </c>
      <c r="F1193" t="s">
        <v>12366</v>
      </c>
      <c r="G1193" t="s">
        <v>12367</v>
      </c>
      <c r="H1193" s="121" t="s">
        <v>12368</v>
      </c>
    </row>
    <row r="1194" spans="1:8" x14ac:dyDescent="0.25">
      <c r="A1194">
        <v>1519316</v>
      </c>
      <c r="B1194" s="121" t="s">
        <v>12364</v>
      </c>
      <c r="C1194" t="s">
        <v>32</v>
      </c>
      <c r="D1194" t="s">
        <v>366</v>
      </c>
      <c r="E1194" t="s">
        <v>367</v>
      </c>
      <c r="F1194" t="s">
        <v>12369</v>
      </c>
      <c r="G1194" t="s">
        <v>429</v>
      </c>
      <c r="H1194" s="121" t="s">
        <v>12370</v>
      </c>
    </row>
    <row r="1195" spans="1:8" x14ac:dyDescent="0.25">
      <c r="A1195">
        <v>1524386</v>
      </c>
      <c r="B1195" s="121" t="s">
        <v>12364</v>
      </c>
      <c r="C1195" t="s">
        <v>32</v>
      </c>
      <c r="D1195" t="s">
        <v>29</v>
      </c>
      <c r="E1195" t="s">
        <v>2552</v>
      </c>
      <c r="F1195" t="s">
        <v>2555</v>
      </c>
      <c r="G1195" t="s">
        <v>12371</v>
      </c>
      <c r="H1195" s="121" t="s">
        <v>12372</v>
      </c>
    </row>
    <row r="1196" spans="1:8" x14ac:dyDescent="0.25">
      <c r="A1196">
        <v>1524387</v>
      </c>
      <c r="B1196" s="121" t="s">
        <v>12364</v>
      </c>
      <c r="C1196" t="s">
        <v>32</v>
      </c>
      <c r="D1196" t="s">
        <v>29</v>
      </c>
      <c r="E1196" t="s">
        <v>2552</v>
      </c>
      <c r="F1196" t="s">
        <v>12373</v>
      </c>
      <c r="G1196" t="s">
        <v>12374</v>
      </c>
      <c r="H1196" s="121" t="s">
        <v>12375</v>
      </c>
    </row>
    <row r="1197" spans="1:8" x14ac:dyDescent="0.25">
      <c r="A1197">
        <v>1535787</v>
      </c>
      <c r="B1197" s="121" t="s">
        <v>12364</v>
      </c>
      <c r="C1197" t="s">
        <v>32</v>
      </c>
      <c r="D1197" t="s">
        <v>282</v>
      </c>
      <c r="E1197" t="s">
        <v>49</v>
      </c>
      <c r="F1197" t="s">
        <v>2439</v>
      </c>
      <c r="G1197" t="s">
        <v>2369</v>
      </c>
      <c r="H1197" s="121" t="s">
        <v>12376</v>
      </c>
    </row>
    <row r="1198" spans="1:8" x14ac:dyDescent="0.25">
      <c r="A1198">
        <v>1535788</v>
      </c>
      <c r="B1198" s="121" t="s">
        <v>12364</v>
      </c>
      <c r="C1198" t="s">
        <v>32</v>
      </c>
      <c r="D1198" t="s">
        <v>282</v>
      </c>
      <c r="E1198" t="s">
        <v>49</v>
      </c>
      <c r="F1198" t="s">
        <v>478</v>
      </c>
      <c r="G1198" t="s">
        <v>436</v>
      </c>
      <c r="H1198" s="121" t="s">
        <v>12377</v>
      </c>
    </row>
    <row r="1199" spans="1:8" x14ac:dyDescent="0.25">
      <c r="A1199">
        <v>1535789</v>
      </c>
      <c r="B1199" s="121" t="s">
        <v>12364</v>
      </c>
      <c r="C1199" t="s">
        <v>32</v>
      </c>
      <c r="D1199" t="s">
        <v>282</v>
      </c>
      <c r="E1199" t="s">
        <v>49</v>
      </c>
      <c r="F1199" t="s">
        <v>2445</v>
      </c>
      <c r="G1199" t="s">
        <v>487</v>
      </c>
      <c r="H1199" s="121" t="s">
        <v>12378</v>
      </c>
    </row>
    <row r="1200" spans="1:8" x14ac:dyDescent="0.25">
      <c r="A1200">
        <v>1535790</v>
      </c>
      <c r="B1200" s="121" t="s">
        <v>12364</v>
      </c>
      <c r="C1200" t="s">
        <v>32</v>
      </c>
      <c r="D1200" t="s">
        <v>282</v>
      </c>
      <c r="E1200" t="s">
        <v>49</v>
      </c>
      <c r="F1200" t="s">
        <v>283</v>
      </c>
      <c r="G1200" t="s">
        <v>2368</v>
      </c>
      <c r="H1200" s="121" t="s">
        <v>12379</v>
      </c>
    </row>
    <row r="1201" spans="1:8" x14ac:dyDescent="0.25">
      <c r="A1201">
        <v>1535791</v>
      </c>
      <c r="B1201" s="121" t="s">
        <v>12364</v>
      </c>
      <c r="C1201" t="s">
        <v>32</v>
      </c>
      <c r="D1201" t="s">
        <v>282</v>
      </c>
      <c r="E1201" t="s">
        <v>49</v>
      </c>
      <c r="F1201" t="s">
        <v>2556</v>
      </c>
      <c r="G1201" t="s">
        <v>486</v>
      </c>
      <c r="H1201" s="121" t="s">
        <v>12380</v>
      </c>
    </row>
    <row r="1202" spans="1:8" x14ac:dyDescent="0.25">
      <c r="A1202">
        <v>1535792</v>
      </c>
      <c r="B1202" s="121" t="s">
        <v>12364</v>
      </c>
      <c r="C1202" t="s">
        <v>32</v>
      </c>
      <c r="D1202" t="s">
        <v>282</v>
      </c>
      <c r="E1202" t="s">
        <v>49</v>
      </c>
      <c r="F1202" t="s">
        <v>284</v>
      </c>
      <c r="G1202" t="s">
        <v>2367</v>
      </c>
      <c r="H1202" s="121" t="s">
        <v>12381</v>
      </c>
    </row>
    <row r="1203" spans="1:8" x14ac:dyDescent="0.25">
      <c r="A1203">
        <v>1538234</v>
      </c>
      <c r="B1203" s="121" t="s">
        <v>12364</v>
      </c>
      <c r="C1203" t="s">
        <v>32</v>
      </c>
      <c r="D1203" t="s">
        <v>20</v>
      </c>
      <c r="E1203" t="s">
        <v>9780</v>
      </c>
      <c r="F1203" t="s">
        <v>12382</v>
      </c>
      <c r="G1203" t="s">
        <v>12383</v>
      </c>
      <c r="H1203" s="121" t="s">
        <v>12384</v>
      </c>
    </row>
    <row r="1204" spans="1:8" x14ac:dyDescent="0.25">
      <c r="A1204">
        <v>1489166</v>
      </c>
      <c r="B1204" s="121" t="s">
        <v>12385</v>
      </c>
      <c r="C1204" t="s">
        <v>32</v>
      </c>
      <c r="D1204" t="s">
        <v>31</v>
      </c>
      <c r="E1204" t="s">
        <v>27</v>
      </c>
      <c r="F1204" t="s">
        <v>431</v>
      </c>
      <c r="G1204" t="s">
        <v>432</v>
      </c>
      <c r="H1204" s="121" t="s">
        <v>12386</v>
      </c>
    </row>
    <row r="1205" spans="1:8" x14ac:dyDescent="0.25">
      <c r="A1205">
        <v>1493453</v>
      </c>
      <c r="B1205" s="121" t="s">
        <v>12385</v>
      </c>
      <c r="C1205" t="s">
        <v>32</v>
      </c>
      <c r="D1205" t="s">
        <v>362</v>
      </c>
      <c r="E1205" t="s">
        <v>560</v>
      </c>
      <c r="F1205" t="s">
        <v>733</v>
      </c>
      <c r="G1205" t="s">
        <v>7123</v>
      </c>
      <c r="H1205" s="121" t="s">
        <v>12387</v>
      </c>
    </row>
    <row r="1206" spans="1:8" x14ac:dyDescent="0.25">
      <c r="A1206">
        <v>1504931</v>
      </c>
      <c r="B1206" s="121" t="s">
        <v>12385</v>
      </c>
      <c r="C1206" t="s">
        <v>32</v>
      </c>
      <c r="D1206" t="s">
        <v>708</v>
      </c>
      <c r="E1206" t="s">
        <v>24</v>
      </c>
      <c r="F1206" t="s">
        <v>740</v>
      </c>
      <c r="G1206" t="s">
        <v>709</v>
      </c>
      <c r="H1206" s="121" t="s">
        <v>12388</v>
      </c>
    </row>
    <row r="1207" spans="1:8" x14ac:dyDescent="0.25">
      <c r="A1207">
        <v>1504933</v>
      </c>
      <c r="B1207" s="121" t="s">
        <v>12385</v>
      </c>
      <c r="C1207" t="s">
        <v>32</v>
      </c>
      <c r="D1207" t="s">
        <v>708</v>
      </c>
      <c r="E1207" t="s">
        <v>24</v>
      </c>
      <c r="F1207" t="s">
        <v>738</v>
      </c>
      <c r="G1207" t="s">
        <v>2379</v>
      </c>
      <c r="H1207" s="121" t="s">
        <v>12389</v>
      </c>
    </row>
    <row r="1208" spans="1:8" x14ac:dyDescent="0.25">
      <c r="A1208">
        <v>1504934</v>
      </c>
      <c r="B1208" s="121" t="s">
        <v>12385</v>
      </c>
      <c r="C1208" t="s">
        <v>32</v>
      </c>
      <c r="D1208" t="s">
        <v>708</v>
      </c>
      <c r="E1208" t="s">
        <v>24</v>
      </c>
      <c r="F1208" t="s">
        <v>742</v>
      </c>
      <c r="G1208" t="s">
        <v>271</v>
      </c>
      <c r="H1208" s="121" t="s">
        <v>12390</v>
      </c>
    </row>
    <row r="1209" spans="1:8" x14ac:dyDescent="0.25">
      <c r="A1209">
        <v>1506166</v>
      </c>
      <c r="B1209" s="121" t="s">
        <v>12385</v>
      </c>
      <c r="C1209" t="s">
        <v>32</v>
      </c>
      <c r="D1209" t="s">
        <v>415</v>
      </c>
      <c r="E1209" t="s">
        <v>27</v>
      </c>
      <c r="F1209" t="s">
        <v>12391</v>
      </c>
      <c r="G1209" t="s">
        <v>2328</v>
      </c>
      <c r="H1209" s="121" t="s">
        <v>12392</v>
      </c>
    </row>
    <row r="1210" spans="1:8" x14ac:dyDescent="0.25">
      <c r="A1210">
        <v>1510119</v>
      </c>
      <c r="B1210" s="121" t="s">
        <v>12385</v>
      </c>
      <c r="C1210" t="s">
        <v>32</v>
      </c>
      <c r="D1210" t="s">
        <v>371</v>
      </c>
      <c r="E1210" t="s">
        <v>372</v>
      </c>
      <c r="F1210" t="s">
        <v>12393</v>
      </c>
      <c r="G1210" t="s">
        <v>12394</v>
      </c>
      <c r="H1210" s="121" t="s">
        <v>12395</v>
      </c>
    </row>
    <row r="1211" spans="1:8" x14ac:dyDescent="0.25">
      <c r="A1211">
        <v>1520630</v>
      </c>
      <c r="B1211" s="121" t="s">
        <v>12385</v>
      </c>
      <c r="C1211" t="s">
        <v>32</v>
      </c>
      <c r="D1211" t="s">
        <v>20</v>
      </c>
      <c r="E1211" t="s">
        <v>348</v>
      </c>
      <c r="F1211" t="s">
        <v>12396</v>
      </c>
      <c r="G1211" t="s">
        <v>2435</v>
      </c>
      <c r="H1211" s="121" t="s">
        <v>12397</v>
      </c>
    </row>
    <row r="1212" spans="1:8" x14ac:dyDescent="0.25">
      <c r="A1212">
        <v>1520636</v>
      </c>
      <c r="B1212" s="121" t="s">
        <v>12385</v>
      </c>
      <c r="C1212" t="s">
        <v>32</v>
      </c>
      <c r="D1212" t="s">
        <v>20</v>
      </c>
      <c r="E1212" t="s">
        <v>348</v>
      </c>
      <c r="F1212" t="s">
        <v>7011</v>
      </c>
      <c r="G1212" t="s">
        <v>7132</v>
      </c>
      <c r="H1212" s="121" t="s">
        <v>12398</v>
      </c>
    </row>
    <row r="1213" spans="1:8" x14ac:dyDescent="0.25">
      <c r="A1213">
        <v>1535102</v>
      </c>
      <c r="B1213" s="121" t="s">
        <v>12385</v>
      </c>
      <c r="C1213" t="s">
        <v>32</v>
      </c>
      <c r="D1213" t="s">
        <v>420</v>
      </c>
      <c r="E1213" t="s">
        <v>26</v>
      </c>
      <c r="F1213" t="s">
        <v>12399</v>
      </c>
      <c r="G1213" t="s">
        <v>12400</v>
      </c>
      <c r="H1213" s="121" t="s">
        <v>12401</v>
      </c>
    </row>
    <row r="1214" spans="1:8" x14ac:dyDescent="0.25">
      <c r="A1214">
        <v>1538235</v>
      </c>
      <c r="B1214" s="121" t="s">
        <v>12385</v>
      </c>
      <c r="C1214" t="s">
        <v>32</v>
      </c>
      <c r="D1214" t="s">
        <v>20</v>
      </c>
      <c r="E1214" t="s">
        <v>9780</v>
      </c>
      <c r="F1214" t="s">
        <v>12402</v>
      </c>
      <c r="G1214" t="s">
        <v>6902</v>
      </c>
      <c r="H1214" s="121" t="s">
        <v>12403</v>
      </c>
    </row>
    <row r="1215" spans="1:8" x14ac:dyDescent="0.25">
      <c r="A1215">
        <v>1538236</v>
      </c>
      <c r="B1215" s="121" t="s">
        <v>12385</v>
      </c>
      <c r="C1215" t="s">
        <v>32</v>
      </c>
      <c r="D1215" t="s">
        <v>20</v>
      </c>
      <c r="E1215" t="s">
        <v>9780</v>
      </c>
      <c r="F1215" t="s">
        <v>710</v>
      </c>
      <c r="G1215" t="s">
        <v>7030</v>
      </c>
      <c r="H1215" s="121" t="s">
        <v>12404</v>
      </c>
    </row>
    <row r="1216" spans="1:8" x14ac:dyDescent="0.25">
      <c r="A1216">
        <v>1538237</v>
      </c>
      <c r="B1216" s="121" t="s">
        <v>12385</v>
      </c>
      <c r="C1216" t="s">
        <v>32</v>
      </c>
      <c r="D1216" t="s">
        <v>20</v>
      </c>
      <c r="E1216" t="s">
        <v>9780</v>
      </c>
      <c r="F1216" t="s">
        <v>12405</v>
      </c>
      <c r="G1216" t="s">
        <v>7086</v>
      </c>
      <c r="H1216" s="121" t="s">
        <v>12406</v>
      </c>
    </row>
    <row r="1217" spans="1:8" x14ac:dyDescent="0.25">
      <c r="A1217">
        <v>1506015</v>
      </c>
      <c r="B1217" s="121" t="s">
        <v>12407</v>
      </c>
      <c r="C1217" t="s">
        <v>32</v>
      </c>
      <c r="D1217" t="s">
        <v>29</v>
      </c>
      <c r="E1217" t="s">
        <v>30</v>
      </c>
      <c r="F1217" t="s">
        <v>12408</v>
      </c>
      <c r="G1217" t="s">
        <v>2564</v>
      </c>
      <c r="H1217" s="121" t="s">
        <v>12409</v>
      </c>
    </row>
    <row r="1218" spans="1:8" x14ac:dyDescent="0.25">
      <c r="A1218">
        <v>1504936</v>
      </c>
      <c r="B1218" s="121" t="s">
        <v>12410</v>
      </c>
      <c r="C1218" t="s">
        <v>32</v>
      </c>
      <c r="D1218" t="s">
        <v>708</v>
      </c>
      <c r="E1218" t="s">
        <v>24</v>
      </c>
      <c r="F1218" t="s">
        <v>281</v>
      </c>
      <c r="G1218" t="s">
        <v>739</v>
      </c>
      <c r="H1218" s="121" t="s">
        <v>12411</v>
      </c>
    </row>
    <row r="1219" spans="1:8" x14ac:dyDescent="0.25">
      <c r="A1219">
        <v>1505052</v>
      </c>
      <c r="B1219" s="121" t="s">
        <v>12410</v>
      </c>
      <c r="C1219" t="s">
        <v>32</v>
      </c>
      <c r="D1219" t="s">
        <v>355</v>
      </c>
      <c r="E1219" t="s">
        <v>356</v>
      </c>
      <c r="F1219" t="s">
        <v>357</v>
      </c>
      <c r="G1219" t="s">
        <v>2401</v>
      </c>
      <c r="H1219" s="121" t="s">
        <v>12412</v>
      </c>
    </row>
    <row r="1220" spans="1:8" x14ac:dyDescent="0.25">
      <c r="A1220">
        <v>1538338</v>
      </c>
      <c r="B1220" s="121" t="s">
        <v>12410</v>
      </c>
      <c r="C1220" t="s">
        <v>32</v>
      </c>
      <c r="D1220" t="s">
        <v>302</v>
      </c>
      <c r="E1220" t="s">
        <v>27</v>
      </c>
      <c r="F1220" t="s">
        <v>12413</v>
      </c>
      <c r="G1220" t="s">
        <v>12414</v>
      </c>
      <c r="H1220" s="121" t="s">
        <v>12415</v>
      </c>
    </row>
    <row r="1221" spans="1:8" x14ac:dyDescent="0.25">
      <c r="A1221">
        <v>1492212</v>
      </c>
      <c r="B1221" s="121" t="s">
        <v>12416</v>
      </c>
      <c r="C1221" t="s">
        <v>32</v>
      </c>
      <c r="D1221" t="s">
        <v>20</v>
      </c>
      <c r="E1221" t="s">
        <v>60</v>
      </c>
      <c r="F1221" t="s">
        <v>12417</v>
      </c>
      <c r="G1221" t="s">
        <v>2436</v>
      </c>
      <c r="H1221" s="121" t="s">
        <v>12418</v>
      </c>
    </row>
    <row r="1222" spans="1:8" x14ac:dyDescent="0.25">
      <c r="A1222">
        <v>1492213</v>
      </c>
      <c r="B1222" s="121" t="s">
        <v>12416</v>
      </c>
      <c r="C1222" t="s">
        <v>32</v>
      </c>
      <c r="D1222" t="s">
        <v>20</v>
      </c>
      <c r="E1222" t="s">
        <v>60</v>
      </c>
      <c r="F1222" t="s">
        <v>2398</v>
      </c>
      <c r="G1222" t="s">
        <v>6816</v>
      </c>
      <c r="H1222" s="121" t="s">
        <v>12419</v>
      </c>
    </row>
    <row r="1223" spans="1:8" x14ac:dyDescent="0.25">
      <c r="A1223">
        <v>1498443</v>
      </c>
      <c r="B1223" s="121" t="s">
        <v>12416</v>
      </c>
      <c r="C1223" t="s">
        <v>32</v>
      </c>
      <c r="D1223" t="s">
        <v>28</v>
      </c>
      <c r="E1223" t="s">
        <v>242</v>
      </c>
      <c r="F1223" t="s">
        <v>2419</v>
      </c>
      <c r="G1223" t="s">
        <v>12420</v>
      </c>
      <c r="H1223" s="121" t="s">
        <v>12421</v>
      </c>
    </row>
    <row r="1224" spans="1:8" x14ac:dyDescent="0.25">
      <c r="A1224">
        <v>1505414</v>
      </c>
      <c r="B1224" s="121" t="s">
        <v>12416</v>
      </c>
      <c r="C1224" t="s">
        <v>32</v>
      </c>
      <c r="D1224" t="s">
        <v>354</v>
      </c>
      <c r="E1224" t="s">
        <v>27</v>
      </c>
      <c r="F1224" t="s">
        <v>7134</v>
      </c>
      <c r="G1224" t="s">
        <v>2563</v>
      </c>
      <c r="H1224" s="121" t="s">
        <v>12422</v>
      </c>
    </row>
    <row r="1225" spans="1:8" x14ac:dyDescent="0.25">
      <c r="A1225">
        <v>1506172</v>
      </c>
      <c r="B1225" s="121" t="s">
        <v>12416</v>
      </c>
      <c r="C1225" t="s">
        <v>32</v>
      </c>
      <c r="D1225" t="s">
        <v>415</v>
      </c>
      <c r="E1225" t="s">
        <v>27</v>
      </c>
      <c r="F1225" t="s">
        <v>2433</v>
      </c>
      <c r="G1225" t="s">
        <v>12423</v>
      </c>
      <c r="H1225" s="121" t="s">
        <v>12424</v>
      </c>
    </row>
    <row r="1226" spans="1:8" x14ac:dyDescent="0.25">
      <c r="A1226">
        <v>1511540</v>
      </c>
      <c r="B1226" s="121" t="s">
        <v>12416</v>
      </c>
      <c r="C1226" t="s">
        <v>32</v>
      </c>
      <c r="D1226" t="s">
        <v>354</v>
      </c>
      <c r="E1226" t="s">
        <v>102</v>
      </c>
      <c r="F1226" t="s">
        <v>2568</v>
      </c>
      <c r="G1226" t="s">
        <v>12425</v>
      </c>
      <c r="H1226" s="121" t="s">
        <v>12426</v>
      </c>
    </row>
    <row r="1227" spans="1:8" x14ac:dyDescent="0.25">
      <c r="A1227">
        <v>1520638</v>
      </c>
      <c r="B1227" s="121" t="s">
        <v>12416</v>
      </c>
      <c r="C1227" t="s">
        <v>32</v>
      </c>
      <c r="D1227" t="s">
        <v>20</v>
      </c>
      <c r="E1227" t="s">
        <v>348</v>
      </c>
      <c r="F1227" t="s">
        <v>6994</v>
      </c>
      <c r="G1227" t="s">
        <v>2389</v>
      </c>
      <c r="H1227" s="121" t="s">
        <v>12427</v>
      </c>
    </row>
    <row r="1228" spans="1:8" x14ac:dyDescent="0.25">
      <c r="A1228">
        <v>1526771</v>
      </c>
      <c r="B1228" s="121" t="s">
        <v>12416</v>
      </c>
      <c r="C1228" t="s">
        <v>32</v>
      </c>
      <c r="D1228" t="s">
        <v>20</v>
      </c>
      <c r="E1228" t="s">
        <v>9956</v>
      </c>
      <c r="F1228" t="s">
        <v>12428</v>
      </c>
      <c r="G1228" t="s">
        <v>12429</v>
      </c>
      <c r="H1228" s="121" t="s">
        <v>12430</v>
      </c>
    </row>
    <row r="1229" spans="1:8" x14ac:dyDescent="0.25">
      <c r="A1229">
        <v>1537234</v>
      </c>
      <c r="B1229" s="121" t="s">
        <v>12416</v>
      </c>
      <c r="C1229" t="s">
        <v>32</v>
      </c>
      <c r="D1229" t="s">
        <v>72</v>
      </c>
      <c r="E1229" t="s">
        <v>73</v>
      </c>
      <c r="F1229" t="s">
        <v>6860</v>
      </c>
      <c r="G1229" t="s">
        <v>1355</v>
      </c>
      <c r="H1229" s="121" t="s">
        <v>12431</v>
      </c>
    </row>
    <row r="1230" spans="1:8" x14ac:dyDescent="0.25">
      <c r="A1230">
        <v>1499231</v>
      </c>
      <c r="B1230" s="121" t="s">
        <v>12432</v>
      </c>
      <c r="C1230" t="s">
        <v>32</v>
      </c>
      <c r="D1230" t="s">
        <v>272</v>
      </c>
      <c r="E1230" t="s">
        <v>26</v>
      </c>
      <c r="F1230" t="s">
        <v>2447</v>
      </c>
      <c r="G1230" t="s">
        <v>761</v>
      </c>
      <c r="H1230" s="121" t="s">
        <v>12433</v>
      </c>
    </row>
    <row r="1231" spans="1:8" x14ac:dyDescent="0.25">
      <c r="A1231">
        <v>1511939</v>
      </c>
      <c r="B1231" s="121" t="s">
        <v>12432</v>
      </c>
      <c r="C1231" t="s">
        <v>32</v>
      </c>
      <c r="D1231" t="s">
        <v>29</v>
      </c>
      <c r="E1231" t="s">
        <v>102</v>
      </c>
      <c r="F1231" t="s">
        <v>2606</v>
      </c>
      <c r="G1231" t="s">
        <v>6934</v>
      </c>
      <c r="H1231" s="121" t="s">
        <v>12434</v>
      </c>
    </row>
    <row r="1232" spans="1:8" x14ac:dyDescent="0.25">
      <c r="A1232">
        <v>1511940</v>
      </c>
      <c r="B1232" s="121" t="s">
        <v>12432</v>
      </c>
      <c r="C1232" t="s">
        <v>32</v>
      </c>
      <c r="D1232" t="s">
        <v>29</v>
      </c>
      <c r="E1232" t="s">
        <v>102</v>
      </c>
      <c r="F1232" t="s">
        <v>12435</v>
      </c>
      <c r="G1232" t="s">
        <v>12436</v>
      </c>
      <c r="H1232" s="121" t="s">
        <v>12437</v>
      </c>
    </row>
    <row r="1233" spans="1:8" x14ac:dyDescent="0.25">
      <c r="A1233">
        <v>1514422</v>
      </c>
      <c r="B1233" s="121" t="s">
        <v>12432</v>
      </c>
      <c r="C1233" t="s">
        <v>32</v>
      </c>
      <c r="D1233" t="s">
        <v>280</v>
      </c>
      <c r="E1233" t="s">
        <v>49</v>
      </c>
      <c r="F1233" t="s">
        <v>12438</v>
      </c>
      <c r="G1233" t="s">
        <v>2442</v>
      </c>
      <c r="H1233" s="121" t="s">
        <v>12439</v>
      </c>
    </row>
    <row r="1234" spans="1:8" x14ac:dyDescent="0.25">
      <c r="A1234">
        <v>1526765</v>
      </c>
      <c r="B1234" s="121" t="s">
        <v>12432</v>
      </c>
      <c r="C1234" t="s">
        <v>32</v>
      </c>
      <c r="D1234" t="s">
        <v>20</v>
      </c>
      <c r="E1234" t="s">
        <v>9956</v>
      </c>
      <c r="F1234" t="s">
        <v>6899</v>
      </c>
      <c r="G1234" t="s">
        <v>12440</v>
      </c>
      <c r="H1234" s="121" t="s">
        <v>12441</v>
      </c>
    </row>
    <row r="1235" spans="1:8" x14ac:dyDescent="0.25">
      <c r="A1235">
        <v>1526772</v>
      </c>
      <c r="B1235" s="121" t="s">
        <v>12432</v>
      </c>
      <c r="C1235" t="s">
        <v>32</v>
      </c>
      <c r="D1235" t="s">
        <v>20</v>
      </c>
      <c r="E1235" t="s">
        <v>9956</v>
      </c>
      <c r="F1235" t="s">
        <v>2360</v>
      </c>
      <c r="G1235" t="s">
        <v>12442</v>
      </c>
      <c r="H1235" s="121" t="s">
        <v>12443</v>
      </c>
    </row>
    <row r="1236" spans="1:8" x14ac:dyDescent="0.25">
      <c r="A1236">
        <v>1529076</v>
      </c>
      <c r="B1236" s="121" t="s">
        <v>12432</v>
      </c>
      <c r="C1236" t="s">
        <v>32</v>
      </c>
      <c r="D1236" t="s">
        <v>354</v>
      </c>
      <c r="E1236" t="s">
        <v>75</v>
      </c>
      <c r="F1236" t="s">
        <v>7005</v>
      </c>
      <c r="G1236" t="s">
        <v>7002</v>
      </c>
      <c r="H1236" s="121" t="s">
        <v>12444</v>
      </c>
    </row>
    <row r="1237" spans="1:8" x14ac:dyDescent="0.25">
      <c r="A1237">
        <v>1530247</v>
      </c>
      <c r="B1237" s="121" t="s">
        <v>12432</v>
      </c>
      <c r="C1237" t="s">
        <v>32</v>
      </c>
      <c r="D1237" t="s">
        <v>28</v>
      </c>
      <c r="E1237" t="s">
        <v>2618</v>
      </c>
      <c r="F1237" t="s">
        <v>12445</v>
      </c>
      <c r="G1237" t="s">
        <v>2623</v>
      </c>
      <c r="H1237" s="121" t="s">
        <v>12446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AEDC2-E3AC-46BE-93E6-29B7634FB038}">
  <sheetPr codeName="Sheet6"/>
  <dimension ref="A1:K25"/>
  <sheetViews>
    <sheetView workbookViewId="0">
      <selection activeCell="C21" sqref="C21"/>
    </sheetView>
  </sheetViews>
  <sheetFormatPr defaultRowHeight="15" x14ac:dyDescent="0.25"/>
  <cols>
    <col min="1" max="1" width="7.140625" bestFit="1" customWidth="1"/>
    <col min="2" max="2" width="18.85546875" bestFit="1" customWidth="1"/>
    <col min="3" max="3" width="12.42578125" bestFit="1" customWidth="1"/>
    <col min="4" max="4" width="9.7109375" bestFit="1" customWidth="1"/>
    <col min="5" max="5" width="10.85546875" bestFit="1" customWidth="1"/>
    <col min="6" max="6" width="10.140625" bestFit="1" customWidth="1"/>
    <col min="7" max="7" width="8.140625" bestFit="1" customWidth="1"/>
    <col min="8" max="8" width="8.42578125" bestFit="1" customWidth="1"/>
    <col min="9" max="9" width="11.140625" bestFit="1" customWidth="1"/>
    <col min="10" max="10" width="8.85546875" bestFit="1" customWidth="1"/>
    <col min="11" max="11" width="10.28515625" bestFit="1" customWidth="1"/>
    <col min="12" max="12" width="11.140625" bestFit="1" customWidth="1"/>
  </cols>
  <sheetData>
    <row r="1" spans="1:11" x14ac:dyDescent="0.25">
      <c r="A1" t="s">
        <v>110</v>
      </c>
      <c r="B1" t="s">
        <v>111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113</v>
      </c>
      <c r="K1" t="s">
        <v>112</v>
      </c>
    </row>
    <row r="2" spans="1:11" x14ac:dyDescent="0.25">
      <c r="A2">
        <v>1</v>
      </c>
      <c r="B2" t="s">
        <v>5166</v>
      </c>
      <c r="C2">
        <v>42</v>
      </c>
      <c r="D2">
        <v>23</v>
      </c>
      <c r="E2">
        <v>14</v>
      </c>
      <c r="F2">
        <v>5</v>
      </c>
      <c r="G2">
        <v>67</v>
      </c>
      <c r="H2">
        <v>41</v>
      </c>
      <c r="I2">
        <v>26</v>
      </c>
      <c r="J2">
        <v>83</v>
      </c>
      <c r="K2" t="s">
        <v>10092</v>
      </c>
    </row>
    <row r="3" spans="1:11" x14ac:dyDescent="0.25">
      <c r="A3">
        <v>2</v>
      </c>
      <c r="B3" t="s">
        <v>3568</v>
      </c>
      <c r="C3">
        <v>42</v>
      </c>
      <c r="D3">
        <v>21</v>
      </c>
      <c r="E3">
        <v>13</v>
      </c>
      <c r="F3">
        <v>8</v>
      </c>
      <c r="G3">
        <v>77</v>
      </c>
      <c r="H3">
        <v>42</v>
      </c>
      <c r="I3">
        <v>35</v>
      </c>
      <c r="J3">
        <v>76</v>
      </c>
      <c r="K3" t="s">
        <v>7136</v>
      </c>
    </row>
    <row r="4" spans="1:11" x14ac:dyDescent="0.25">
      <c r="A4">
        <v>3</v>
      </c>
      <c r="B4" t="s">
        <v>5178</v>
      </c>
      <c r="C4">
        <v>42</v>
      </c>
      <c r="D4">
        <v>23</v>
      </c>
      <c r="E4">
        <v>7</v>
      </c>
      <c r="F4">
        <v>12</v>
      </c>
      <c r="G4">
        <v>71</v>
      </c>
      <c r="H4">
        <v>45</v>
      </c>
      <c r="I4">
        <v>26</v>
      </c>
      <c r="J4">
        <v>76</v>
      </c>
      <c r="K4" t="s">
        <v>10093</v>
      </c>
    </row>
    <row r="5" spans="1:11" x14ac:dyDescent="0.25">
      <c r="A5">
        <v>4</v>
      </c>
      <c r="B5" t="s">
        <v>5188</v>
      </c>
      <c r="C5">
        <v>43</v>
      </c>
      <c r="D5">
        <v>22</v>
      </c>
      <c r="E5">
        <v>9</v>
      </c>
      <c r="F5">
        <v>12</v>
      </c>
      <c r="G5">
        <v>67</v>
      </c>
      <c r="H5">
        <v>48</v>
      </c>
      <c r="I5">
        <v>19</v>
      </c>
      <c r="J5">
        <v>75</v>
      </c>
      <c r="K5" t="s">
        <v>10094</v>
      </c>
    </row>
    <row r="6" spans="1:11" x14ac:dyDescent="0.25">
      <c r="A6">
        <v>5</v>
      </c>
      <c r="B6" t="s">
        <v>3565</v>
      </c>
      <c r="C6">
        <v>41</v>
      </c>
      <c r="D6">
        <v>20</v>
      </c>
      <c r="E6">
        <v>14</v>
      </c>
      <c r="F6">
        <v>7</v>
      </c>
      <c r="G6">
        <v>58</v>
      </c>
      <c r="H6">
        <v>31</v>
      </c>
      <c r="I6">
        <v>27</v>
      </c>
      <c r="J6">
        <v>74</v>
      </c>
      <c r="K6" t="s">
        <v>10095</v>
      </c>
    </row>
    <row r="7" spans="1:11" x14ac:dyDescent="0.25">
      <c r="A7">
        <v>6</v>
      </c>
      <c r="B7" t="s">
        <v>3566</v>
      </c>
      <c r="C7">
        <v>42</v>
      </c>
      <c r="D7">
        <v>23</v>
      </c>
      <c r="E7">
        <v>4</v>
      </c>
      <c r="F7">
        <v>15</v>
      </c>
      <c r="G7">
        <v>57</v>
      </c>
      <c r="H7">
        <v>50</v>
      </c>
      <c r="I7">
        <v>7</v>
      </c>
      <c r="J7">
        <v>73</v>
      </c>
      <c r="K7" t="s">
        <v>10096</v>
      </c>
    </row>
    <row r="8" spans="1:11" x14ac:dyDescent="0.25">
      <c r="A8">
        <v>7</v>
      </c>
      <c r="B8" t="s">
        <v>5164</v>
      </c>
      <c r="C8">
        <v>41</v>
      </c>
      <c r="D8">
        <v>18</v>
      </c>
      <c r="E8">
        <v>14</v>
      </c>
      <c r="F8">
        <v>9</v>
      </c>
      <c r="G8">
        <v>63</v>
      </c>
      <c r="H8">
        <v>52</v>
      </c>
      <c r="I8">
        <v>11</v>
      </c>
      <c r="J8">
        <v>68</v>
      </c>
      <c r="K8" t="s">
        <v>10097</v>
      </c>
    </row>
    <row r="9" spans="1:11" x14ac:dyDescent="0.25">
      <c r="A9">
        <v>8</v>
      </c>
      <c r="B9" t="s">
        <v>5185</v>
      </c>
      <c r="C9">
        <v>42</v>
      </c>
      <c r="D9">
        <v>19</v>
      </c>
      <c r="E9">
        <v>9</v>
      </c>
      <c r="F9">
        <v>14</v>
      </c>
      <c r="G9">
        <v>61</v>
      </c>
      <c r="H9">
        <v>50</v>
      </c>
      <c r="I9">
        <v>11</v>
      </c>
      <c r="J9">
        <v>66</v>
      </c>
      <c r="K9" t="s">
        <v>10098</v>
      </c>
    </row>
    <row r="10" spans="1:11" x14ac:dyDescent="0.25">
      <c r="A10">
        <v>9</v>
      </c>
      <c r="B10" t="s">
        <v>5181</v>
      </c>
      <c r="C10">
        <v>41</v>
      </c>
      <c r="D10">
        <v>17</v>
      </c>
      <c r="E10">
        <v>14</v>
      </c>
      <c r="F10">
        <v>10</v>
      </c>
      <c r="G10">
        <v>52</v>
      </c>
      <c r="H10">
        <v>35</v>
      </c>
      <c r="I10">
        <v>17</v>
      </c>
      <c r="J10">
        <v>65</v>
      </c>
      <c r="K10" t="s">
        <v>10099</v>
      </c>
    </row>
    <row r="11" spans="1:11" x14ac:dyDescent="0.25">
      <c r="A11">
        <v>10</v>
      </c>
      <c r="B11" t="s">
        <v>5175</v>
      </c>
      <c r="C11">
        <v>40</v>
      </c>
      <c r="D11">
        <v>18</v>
      </c>
      <c r="E11">
        <v>11</v>
      </c>
      <c r="F11">
        <v>11</v>
      </c>
      <c r="G11">
        <v>59</v>
      </c>
      <c r="H11">
        <v>43</v>
      </c>
      <c r="I11">
        <v>16</v>
      </c>
      <c r="J11">
        <v>65</v>
      </c>
      <c r="K11" t="s">
        <v>10100</v>
      </c>
    </row>
    <row r="12" spans="1:11" x14ac:dyDescent="0.25">
      <c r="A12">
        <v>11</v>
      </c>
      <c r="B12" t="s">
        <v>3569</v>
      </c>
      <c r="C12">
        <v>42</v>
      </c>
      <c r="D12">
        <v>17</v>
      </c>
      <c r="E12">
        <v>13</v>
      </c>
      <c r="F12">
        <v>12</v>
      </c>
      <c r="G12">
        <v>57</v>
      </c>
      <c r="H12">
        <v>47</v>
      </c>
      <c r="I12">
        <v>10</v>
      </c>
      <c r="J12">
        <v>64</v>
      </c>
      <c r="K12" t="s">
        <v>10101</v>
      </c>
    </row>
    <row r="13" spans="1:11" x14ac:dyDescent="0.25">
      <c r="A13">
        <v>12</v>
      </c>
      <c r="B13" t="s">
        <v>5190</v>
      </c>
      <c r="C13">
        <v>42</v>
      </c>
      <c r="D13">
        <v>17</v>
      </c>
      <c r="E13">
        <v>11</v>
      </c>
      <c r="F13">
        <v>14</v>
      </c>
      <c r="G13">
        <v>52</v>
      </c>
      <c r="H13">
        <v>46</v>
      </c>
      <c r="I13">
        <v>6</v>
      </c>
      <c r="J13">
        <v>62</v>
      </c>
      <c r="K13" t="s">
        <v>10102</v>
      </c>
    </row>
    <row r="14" spans="1:11" x14ac:dyDescent="0.25">
      <c r="A14">
        <v>13</v>
      </c>
      <c r="B14" t="s">
        <v>5167</v>
      </c>
      <c r="C14">
        <v>42</v>
      </c>
      <c r="D14">
        <v>15</v>
      </c>
      <c r="E14">
        <v>13</v>
      </c>
      <c r="F14">
        <v>14</v>
      </c>
      <c r="G14">
        <v>53</v>
      </c>
      <c r="H14">
        <v>45</v>
      </c>
      <c r="I14">
        <v>8</v>
      </c>
      <c r="J14">
        <v>58</v>
      </c>
      <c r="K14" t="s">
        <v>10103</v>
      </c>
    </row>
    <row r="15" spans="1:11" x14ac:dyDescent="0.25">
      <c r="A15">
        <v>14</v>
      </c>
      <c r="B15" t="s">
        <v>5169</v>
      </c>
      <c r="C15">
        <v>42</v>
      </c>
      <c r="D15">
        <v>14</v>
      </c>
      <c r="E15">
        <v>13</v>
      </c>
      <c r="F15">
        <v>15</v>
      </c>
      <c r="G15">
        <v>51</v>
      </c>
      <c r="H15">
        <v>53</v>
      </c>
      <c r="I15">
        <v>-2</v>
      </c>
      <c r="J15">
        <v>55</v>
      </c>
      <c r="K15" t="s">
        <v>10104</v>
      </c>
    </row>
    <row r="16" spans="1:11" x14ac:dyDescent="0.25">
      <c r="A16">
        <v>15</v>
      </c>
      <c r="B16" t="s">
        <v>5173</v>
      </c>
      <c r="C16">
        <v>42</v>
      </c>
      <c r="D16">
        <v>16</v>
      </c>
      <c r="E16">
        <v>4</v>
      </c>
      <c r="F16">
        <v>22</v>
      </c>
      <c r="G16">
        <v>46</v>
      </c>
      <c r="H16">
        <v>62</v>
      </c>
      <c r="I16">
        <v>-16</v>
      </c>
      <c r="J16">
        <v>52</v>
      </c>
      <c r="K16" t="s">
        <v>10105</v>
      </c>
    </row>
    <row r="17" spans="1:11" x14ac:dyDescent="0.25">
      <c r="A17">
        <v>16</v>
      </c>
      <c r="B17" t="s">
        <v>5163</v>
      </c>
      <c r="C17">
        <v>41</v>
      </c>
      <c r="D17">
        <v>14</v>
      </c>
      <c r="E17">
        <v>9</v>
      </c>
      <c r="F17">
        <v>18</v>
      </c>
      <c r="G17">
        <v>40</v>
      </c>
      <c r="H17">
        <v>46</v>
      </c>
      <c r="I17">
        <v>-6</v>
      </c>
      <c r="J17">
        <v>51</v>
      </c>
      <c r="K17" t="s">
        <v>10106</v>
      </c>
    </row>
    <row r="18" spans="1:11" x14ac:dyDescent="0.25">
      <c r="A18">
        <v>17</v>
      </c>
      <c r="B18" t="s">
        <v>5172</v>
      </c>
      <c r="C18">
        <v>41</v>
      </c>
      <c r="D18">
        <v>12</v>
      </c>
      <c r="E18">
        <v>13</v>
      </c>
      <c r="F18">
        <v>16</v>
      </c>
      <c r="G18">
        <v>48</v>
      </c>
      <c r="H18">
        <v>60</v>
      </c>
      <c r="I18">
        <v>-12</v>
      </c>
      <c r="J18">
        <v>49</v>
      </c>
      <c r="K18" t="s">
        <v>10107</v>
      </c>
    </row>
    <row r="19" spans="1:11" x14ac:dyDescent="0.25">
      <c r="A19">
        <v>18</v>
      </c>
      <c r="B19" t="s">
        <v>5184</v>
      </c>
      <c r="C19">
        <v>42</v>
      </c>
      <c r="D19">
        <v>12</v>
      </c>
      <c r="E19">
        <v>8</v>
      </c>
      <c r="F19">
        <v>22</v>
      </c>
      <c r="G19">
        <v>39</v>
      </c>
      <c r="H19">
        <v>66</v>
      </c>
      <c r="I19">
        <v>-27</v>
      </c>
      <c r="J19">
        <v>44</v>
      </c>
      <c r="K19" t="s">
        <v>10106</v>
      </c>
    </row>
    <row r="20" spans="1:11" x14ac:dyDescent="0.25">
      <c r="A20">
        <v>19</v>
      </c>
      <c r="B20" t="s">
        <v>5179</v>
      </c>
      <c r="C20">
        <v>40</v>
      </c>
      <c r="D20">
        <v>11</v>
      </c>
      <c r="E20">
        <v>10</v>
      </c>
      <c r="F20">
        <v>19</v>
      </c>
      <c r="G20">
        <v>44</v>
      </c>
      <c r="H20">
        <v>67</v>
      </c>
      <c r="I20">
        <v>-23</v>
      </c>
      <c r="J20">
        <v>43</v>
      </c>
      <c r="K20" t="s">
        <v>10090</v>
      </c>
    </row>
    <row r="21" spans="1:11" x14ac:dyDescent="0.25">
      <c r="A21">
        <v>20</v>
      </c>
      <c r="B21" t="s">
        <v>5170</v>
      </c>
      <c r="C21">
        <v>42</v>
      </c>
      <c r="D21">
        <v>8</v>
      </c>
      <c r="E21">
        <v>13</v>
      </c>
      <c r="F21">
        <v>21</v>
      </c>
      <c r="G21">
        <v>40</v>
      </c>
      <c r="H21">
        <v>62</v>
      </c>
      <c r="I21">
        <v>-22</v>
      </c>
      <c r="J21">
        <v>37</v>
      </c>
      <c r="K21" t="s">
        <v>10108</v>
      </c>
    </row>
    <row r="22" spans="1:11" x14ac:dyDescent="0.25">
      <c r="A22">
        <v>21</v>
      </c>
      <c r="B22" t="s">
        <v>5187</v>
      </c>
      <c r="C22">
        <v>41</v>
      </c>
      <c r="D22">
        <v>9</v>
      </c>
      <c r="E22">
        <v>9</v>
      </c>
      <c r="F22">
        <v>23</v>
      </c>
      <c r="G22">
        <v>48</v>
      </c>
      <c r="H22">
        <v>71</v>
      </c>
      <c r="I22">
        <v>-23</v>
      </c>
      <c r="J22">
        <v>36</v>
      </c>
      <c r="K22" t="s">
        <v>10109</v>
      </c>
    </row>
    <row r="23" spans="1:11" x14ac:dyDescent="0.25">
      <c r="A23">
        <v>22</v>
      </c>
      <c r="B23" t="s">
        <v>5191</v>
      </c>
      <c r="C23">
        <v>42</v>
      </c>
      <c r="D23">
        <v>9</v>
      </c>
      <c r="E23">
        <v>7</v>
      </c>
      <c r="F23">
        <v>26</v>
      </c>
      <c r="G23">
        <v>41</v>
      </c>
      <c r="H23">
        <v>72</v>
      </c>
      <c r="I23">
        <v>-31</v>
      </c>
      <c r="J23">
        <v>34</v>
      </c>
      <c r="K23" t="s">
        <v>10110</v>
      </c>
    </row>
    <row r="24" spans="1:11" x14ac:dyDescent="0.25">
      <c r="A24">
        <v>23</v>
      </c>
      <c r="B24" t="s">
        <v>5176</v>
      </c>
      <c r="C24">
        <v>41</v>
      </c>
      <c r="D24">
        <v>8</v>
      </c>
      <c r="E24">
        <v>9</v>
      </c>
      <c r="F24">
        <v>24</v>
      </c>
      <c r="G24">
        <v>38</v>
      </c>
      <c r="H24">
        <v>65</v>
      </c>
      <c r="I24">
        <v>-27</v>
      </c>
      <c r="J24">
        <v>33</v>
      </c>
      <c r="K24" t="s">
        <v>10111</v>
      </c>
    </row>
    <row r="25" spans="1:11" x14ac:dyDescent="0.25">
      <c r="A25">
        <v>24</v>
      </c>
      <c r="B25" t="s">
        <v>5182</v>
      </c>
      <c r="C25">
        <v>42</v>
      </c>
      <c r="D25">
        <v>8</v>
      </c>
      <c r="E25">
        <v>9</v>
      </c>
      <c r="F25">
        <v>25</v>
      </c>
      <c r="G25">
        <v>34</v>
      </c>
      <c r="H25">
        <v>64</v>
      </c>
      <c r="I25">
        <v>-30</v>
      </c>
      <c r="J25">
        <v>33</v>
      </c>
      <c r="K25" t="s">
        <v>10112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D1F1-45F2-4843-9199-C6D6D6120762}">
  <sheetPr codeName="Sheet7"/>
  <dimension ref="A1:AZ11"/>
  <sheetViews>
    <sheetView workbookViewId="0">
      <selection activeCell="G47" sqref="G47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4.42578125" bestFit="1" customWidth="1"/>
    <col min="7" max="7" width="49.28515625" bestFit="1" customWidth="1"/>
    <col min="8" max="8" width="18.85546875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121</v>
      </c>
      <c r="C1" t="s">
        <v>12</v>
      </c>
      <c r="D1" t="s">
        <v>13</v>
      </c>
      <c r="E1" t="s">
        <v>122</v>
      </c>
      <c r="F1" t="s">
        <v>14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156</v>
      </c>
      <c r="AO1" t="s">
        <v>157</v>
      </c>
      <c r="AP1" t="s">
        <v>158</v>
      </c>
      <c r="AQ1" t="s">
        <v>159</v>
      </c>
      <c r="AR1" t="s">
        <v>160</v>
      </c>
      <c r="AS1" t="s">
        <v>161</v>
      </c>
      <c r="AT1" t="s">
        <v>162</v>
      </c>
      <c r="AU1" t="s">
        <v>163</v>
      </c>
      <c r="AV1" t="s">
        <v>164</v>
      </c>
      <c r="AW1" t="s">
        <v>165</v>
      </c>
      <c r="AX1" t="s">
        <v>166</v>
      </c>
      <c r="AY1" t="s">
        <v>167</v>
      </c>
      <c r="AZ1" t="s">
        <v>168</v>
      </c>
    </row>
    <row r="2" spans="1:52" x14ac:dyDescent="0.25">
      <c r="A2">
        <v>1386476</v>
      </c>
      <c r="B2" t="s">
        <v>10113</v>
      </c>
      <c r="C2" t="s">
        <v>65</v>
      </c>
      <c r="D2" t="s">
        <v>2834</v>
      </c>
      <c r="E2" t="s">
        <v>10114</v>
      </c>
      <c r="F2" t="s">
        <v>5163</v>
      </c>
      <c r="G2" t="s">
        <v>10115</v>
      </c>
      <c r="H2" t="s">
        <v>5185</v>
      </c>
      <c r="I2" t="s">
        <v>10116</v>
      </c>
      <c r="J2" t="s">
        <v>10117</v>
      </c>
      <c r="K2">
        <v>2</v>
      </c>
      <c r="L2">
        <v>0</v>
      </c>
      <c r="M2">
        <v>0</v>
      </c>
      <c r="N2">
        <v>0</v>
      </c>
      <c r="O2">
        <v>2</v>
      </c>
      <c r="P2">
        <v>0</v>
      </c>
      <c r="Q2">
        <v>4</v>
      </c>
      <c r="R2">
        <v>1</v>
      </c>
      <c r="S2">
        <v>6</v>
      </c>
      <c r="T2">
        <v>1</v>
      </c>
      <c r="U2">
        <v>14</v>
      </c>
      <c r="V2">
        <v>3</v>
      </c>
      <c r="W2">
        <v>4</v>
      </c>
      <c r="X2">
        <v>1</v>
      </c>
      <c r="Y2">
        <v>9</v>
      </c>
      <c r="Z2">
        <v>2</v>
      </c>
      <c r="AA2">
        <v>5</v>
      </c>
      <c r="AB2">
        <v>1</v>
      </c>
      <c r="AC2">
        <v>16</v>
      </c>
      <c r="AD2">
        <v>10</v>
      </c>
      <c r="AE2">
        <v>4</v>
      </c>
      <c r="AF2">
        <v>7</v>
      </c>
      <c r="AG2">
        <v>0</v>
      </c>
      <c r="AH2">
        <v>3</v>
      </c>
      <c r="AI2">
        <v>40</v>
      </c>
      <c r="AJ2">
        <v>60</v>
      </c>
      <c r="AK2">
        <v>3</v>
      </c>
      <c r="AL2">
        <v>1</v>
      </c>
      <c r="AM2">
        <v>0</v>
      </c>
      <c r="AN2">
        <v>0</v>
      </c>
      <c r="AO2">
        <v>1</v>
      </c>
      <c r="AP2">
        <v>2</v>
      </c>
      <c r="AQ2">
        <v>267</v>
      </c>
      <c r="AR2">
        <v>393</v>
      </c>
      <c r="AS2">
        <v>173</v>
      </c>
      <c r="AT2">
        <v>290</v>
      </c>
      <c r="AU2">
        <v>65</v>
      </c>
      <c r="AV2">
        <v>74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1386452</v>
      </c>
      <c r="B3" t="s">
        <v>5053</v>
      </c>
      <c r="C3" t="s">
        <v>65</v>
      </c>
      <c r="D3" t="s">
        <v>2834</v>
      </c>
      <c r="E3" t="s">
        <v>10114</v>
      </c>
      <c r="F3" t="s">
        <v>5163</v>
      </c>
      <c r="G3" t="s">
        <v>10118</v>
      </c>
      <c r="H3" t="s">
        <v>5164</v>
      </c>
      <c r="I3" t="s">
        <v>10116</v>
      </c>
      <c r="J3" t="s">
        <v>10117</v>
      </c>
      <c r="K3">
        <v>0</v>
      </c>
      <c r="L3">
        <v>1</v>
      </c>
      <c r="M3">
        <v>0</v>
      </c>
      <c r="N3">
        <v>0</v>
      </c>
      <c r="O3">
        <v>0</v>
      </c>
      <c r="P3">
        <v>1</v>
      </c>
      <c r="Q3">
        <v>6</v>
      </c>
      <c r="R3">
        <v>3</v>
      </c>
      <c r="S3">
        <v>4</v>
      </c>
      <c r="T3">
        <v>4</v>
      </c>
      <c r="U3">
        <v>14</v>
      </c>
      <c r="V3">
        <v>13</v>
      </c>
      <c r="W3">
        <v>4</v>
      </c>
      <c r="X3">
        <v>6</v>
      </c>
      <c r="Y3">
        <v>6</v>
      </c>
      <c r="Z3">
        <v>11</v>
      </c>
      <c r="AA3">
        <v>8</v>
      </c>
      <c r="AB3">
        <v>2</v>
      </c>
      <c r="AC3">
        <v>10</v>
      </c>
      <c r="AD3">
        <v>13</v>
      </c>
      <c r="AE3">
        <v>4</v>
      </c>
      <c r="AF3">
        <v>7</v>
      </c>
      <c r="AG3">
        <v>2</v>
      </c>
      <c r="AH3">
        <v>0</v>
      </c>
      <c r="AI3">
        <v>47</v>
      </c>
      <c r="AJ3">
        <v>53</v>
      </c>
      <c r="AK3">
        <v>2</v>
      </c>
      <c r="AL3">
        <v>1</v>
      </c>
      <c r="AM3">
        <v>0</v>
      </c>
      <c r="AN3">
        <v>0</v>
      </c>
      <c r="AO3">
        <v>3</v>
      </c>
      <c r="AP3">
        <v>6</v>
      </c>
      <c r="AQ3">
        <v>352</v>
      </c>
      <c r="AR3">
        <v>382</v>
      </c>
      <c r="AS3">
        <v>246</v>
      </c>
      <c r="AT3">
        <v>275</v>
      </c>
      <c r="AU3">
        <v>70</v>
      </c>
      <c r="AV3">
        <v>72</v>
      </c>
      <c r="AW3">
        <v>0.92</v>
      </c>
      <c r="AX3">
        <v>2.87</v>
      </c>
      <c r="AY3">
        <v>0</v>
      </c>
      <c r="AZ3">
        <v>0</v>
      </c>
    </row>
    <row r="4" spans="1:52" x14ac:dyDescent="0.25">
      <c r="A4">
        <v>1386441</v>
      </c>
      <c r="B4" t="s">
        <v>10119</v>
      </c>
      <c r="C4" t="s">
        <v>65</v>
      </c>
      <c r="D4" t="s">
        <v>2834</v>
      </c>
      <c r="E4" t="s">
        <v>10114</v>
      </c>
      <c r="F4" t="s">
        <v>5163</v>
      </c>
      <c r="G4" t="s">
        <v>10120</v>
      </c>
      <c r="H4" t="s">
        <v>5178</v>
      </c>
      <c r="I4" t="s">
        <v>10116</v>
      </c>
      <c r="J4" t="s">
        <v>10117</v>
      </c>
      <c r="K4">
        <v>0</v>
      </c>
      <c r="L4">
        <v>4</v>
      </c>
      <c r="M4">
        <v>0</v>
      </c>
      <c r="N4">
        <v>2</v>
      </c>
      <c r="O4">
        <v>0</v>
      </c>
      <c r="P4">
        <v>4</v>
      </c>
      <c r="Q4">
        <v>3</v>
      </c>
      <c r="R4">
        <v>9</v>
      </c>
      <c r="S4">
        <v>4</v>
      </c>
      <c r="T4">
        <v>2</v>
      </c>
      <c r="U4">
        <v>10</v>
      </c>
      <c r="V4">
        <v>19</v>
      </c>
      <c r="W4">
        <v>3</v>
      </c>
      <c r="X4">
        <v>8</v>
      </c>
      <c r="Y4">
        <v>4</v>
      </c>
      <c r="Z4">
        <v>15</v>
      </c>
      <c r="AA4">
        <v>6</v>
      </c>
      <c r="AB4">
        <v>4</v>
      </c>
      <c r="AC4">
        <v>10</v>
      </c>
      <c r="AD4">
        <v>12</v>
      </c>
      <c r="AE4">
        <v>3</v>
      </c>
      <c r="AF4">
        <v>12</v>
      </c>
      <c r="AG4">
        <v>3</v>
      </c>
      <c r="AH4">
        <v>0</v>
      </c>
      <c r="AI4">
        <v>39</v>
      </c>
      <c r="AJ4">
        <v>61</v>
      </c>
      <c r="AK4">
        <v>1</v>
      </c>
      <c r="AL4">
        <v>1</v>
      </c>
      <c r="AM4">
        <v>0</v>
      </c>
      <c r="AN4">
        <v>0</v>
      </c>
      <c r="AO4">
        <v>5</v>
      </c>
      <c r="AP4">
        <v>3</v>
      </c>
      <c r="AQ4">
        <v>309</v>
      </c>
      <c r="AR4">
        <v>481</v>
      </c>
      <c r="AS4">
        <v>189</v>
      </c>
      <c r="AT4">
        <v>368</v>
      </c>
      <c r="AU4">
        <v>61</v>
      </c>
      <c r="AV4">
        <v>77</v>
      </c>
      <c r="AW4">
        <v>0.67</v>
      </c>
      <c r="AX4">
        <v>2.4</v>
      </c>
      <c r="AY4">
        <v>0</v>
      </c>
      <c r="AZ4">
        <v>0</v>
      </c>
    </row>
    <row r="5" spans="1:52" x14ac:dyDescent="0.25">
      <c r="A5">
        <v>1386416</v>
      </c>
      <c r="B5" t="s">
        <v>10121</v>
      </c>
      <c r="C5" t="s">
        <v>65</v>
      </c>
      <c r="D5" t="s">
        <v>2834</v>
      </c>
      <c r="E5" t="s">
        <v>10114</v>
      </c>
      <c r="F5" t="s">
        <v>5163</v>
      </c>
      <c r="G5" t="s">
        <v>10122</v>
      </c>
      <c r="H5" t="s">
        <v>3565</v>
      </c>
      <c r="I5" t="s">
        <v>10116</v>
      </c>
      <c r="J5" t="s">
        <v>10117</v>
      </c>
      <c r="K5">
        <v>1</v>
      </c>
      <c r="L5">
        <v>1</v>
      </c>
      <c r="M5">
        <v>1</v>
      </c>
      <c r="N5">
        <v>0</v>
      </c>
      <c r="O5">
        <v>1</v>
      </c>
      <c r="P5">
        <v>1</v>
      </c>
      <c r="Q5">
        <v>1</v>
      </c>
      <c r="R5">
        <v>3</v>
      </c>
      <c r="S5">
        <v>1</v>
      </c>
      <c r="T5">
        <v>8</v>
      </c>
      <c r="U5">
        <v>5</v>
      </c>
      <c r="V5">
        <v>14</v>
      </c>
      <c r="W5">
        <v>3</v>
      </c>
      <c r="X5">
        <v>3</v>
      </c>
      <c r="Y5">
        <v>5</v>
      </c>
      <c r="Z5">
        <v>11</v>
      </c>
      <c r="AA5">
        <v>0</v>
      </c>
      <c r="AB5">
        <v>3</v>
      </c>
      <c r="AC5">
        <v>8</v>
      </c>
      <c r="AD5">
        <v>3</v>
      </c>
      <c r="AE5">
        <v>0</v>
      </c>
      <c r="AF5">
        <v>12</v>
      </c>
      <c r="AG5">
        <v>2</v>
      </c>
      <c r="AH5">
        <v>0</v>
      </c>
      <c r="AI5">
        <v>24</v>
      </c>
      <c r="AJ5">
        <v>76</v>
      </c>
      <c r="AK5">
        <v>2</v>
      </c>
      <c r="AL5">
        <v>0</v>
      </c>
      <c r="AM5">
        <v>0</v>
      </c>
      <c r="AN5">
        <v>0</v>
      </c>
      <c r="AO5">
        <v>2</v>
      </c>
      <c r="AP5">
        <v>0</v>
      </c>
      <c r="AQ5">
        <v>202</v>
      </c>
      <c r="AR5">
        <v>599</v>
      </c>
      <c r="AS5">
        <v>100</v>
      </c>
      <c r="AT5">
        <v>478</v>
      </c>
      <c r="AU5">
        <v>50</v>
      </c>
      <c r="AV5">
        <v>80</v>
      </c>
      <c r="AW5">
        <v>0.56999999999999995</v>
      </c>
      <c r="AX5">
        <v>1.41</v>
      </c>
      <c r="AY5">
        <v>0</v>
      </c>
      <c r="AZ5">
        <v>0</v>
      </c>
    </row>
    <row r="6" spans="1:52" x14ac:dyDescent="0.25">
      <c r="A6">
        <v>1386296</v>
      </c>
      <c r="B6" t="s">
        <v>10123</v>
      </c>
      <c r="C6" t="s">
        <v>65</v>
      </c>
      <c r="D6" t="s">
        <v>2834</v>
      </c>
      <c r="E6" t="s">
        <v>10114</v>
      </c>
      <c r="F6" t="s">
        <v>5163</v>
      </c>
      <c r="G6" t="s">
        <v>10124</v>
      </c>
      <c r="H6" t="s">
        <v>3569</v>
      </c>
      <c r="I6" t="s">
        <v>10116</v>
      </c>
      <c r="J6" t="s">
        <v>10117</v>
      </c>
      <c r="K6">
        <v>0</v>
      </c>
      <c r="L6">
        <v>1</v>
      </c>
      <c r="M6">
        <v>0</v>
      </c>
      <c r="N6">
        <v>0</v>
      </c>
      <c r="O6">
        <v>0</v>
      </c>
      <c r="P6">
        <v>1</v>
      </c>
      <c r="Q6">
        <v>1</v>
      </c>
      <c r="R6">
        <v>4</v>
      </c>
      <c r="S6">
        <v>0</v>
      </c>
      <c r="T6">
        <v>9</v>
      </c>
      <c r="U6">
        <v>3</v>
      </c>
      <c r="V6">
        <v>21</v>
      </c>
      <c r="W6">
        <v>2</v>
      </c>
      <c r="X6">
        <v>8</v>
      </c>
      <c r="Y6">
        <v>0</v>
      </c>
      <c r="Z6">
        <v>10</v>
      </c>
      <c r="AA6">
        <v>3</v>
      </c>
      <c r="AB6">
        <v>11</v>
      </c>
      <c r="AC6">
        <v>11</v>
      </c>
      <c r="AD6">
        <v>7</v>
      </c>
      <c r="AE6">
        <v>2</v>
      </c>
      <c r="AF6">
        <v>3</v>
      </c>
      <c r="AG6">
        <v>4</v>
      </c>
      <c r="AH6">
        <v>1</v>
      </c>
      <c r="AI6">
        <v>46</v>
      </c>
      <c r="AJ6">
        <v>54</v>
      </c>
      <c r="AK6">
        <v>1</v>
      </c>
      <c r="AL6">
        <v>0</v>
      </c>
      <c r="AM6">
        <v>0</v>
      </c>
      <c r="AN6">
        <v>0</v>
      </c>
      <c r="AO6">
        <v>3</v>
      </c>
      <c r="AP6">
        <v>1</v>
      </c>
      <c r="AQ6">
        <v>265</v>
      </c>
      <c r="AR6">
        <v>319</v>
      </c>
      <c r="AS6">
        <v>149</v>
      </c>
      <c r="AT6">
        <v>209</v>
      </c>
      <c r="AU6">
        <v>56</v>
      </c>
      <c r="AV6">
        <v>66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1386392</v>
      </c>
      <c r="B7" t="s">
        <v>10125</v>
      </c>
      <c r="C7" t="s">
        <v>65</v>
      </c>
      <c r="D7" t="s">
        <v>2834</v>
      </c>
      <c r="E7" t="s">
        <v>10114</v>
      </c>
      <c r="F7" t="s">
        <v>5163</v>
      </c>
      <c r="G7" t="s">
        <v>10126</v>
      </c>
      <c r="H7" t="s">
        <v>5184</v>
      </c>
      <c r="I7" t="s">
        <v>10116</v>
      </c>
      <c r="J7" t="s">
        <v>10117</v>
      </c>
      <c r="K7">
        <v>0</v>
      </c>
      <c r="L7">
        <v>2</v>
      </c>
      <c r="M7">
        <v>0</v>
      </c>
      <c r="N7">
        <v>1</v>
      </c>
      <c r="O7">
        <v>0</v>
      </c>
      <c r="P7">
        <v>2</v>
      </c>
      <c r="Q7">
        <v>5</v>
      </c>
      <c r="R7">
        <v>3</v>
      </c>
      <c r="S7">
        <v>5</v>
      </c>
      <c r="T7">
        <v>3</v>
      </c>
      <c r="U7">
        <v>12</v>
      </c>
      <c r="V7">
        <v>10</v>
      </c>
      <c r="W7">
        <v>2</v>
      </c>
      <c r="X7">
        <v>4</v>
      </c>
      <c r="Y7">
        <v>7</v>
      </c>
      <c r="Z7">
        <v>3</v>
      </c>
      <c r="AA7">
        <v>5</v>
      </c>
      <c r="AB7">
        <v>7</v>
      </c>
      <c r="AC7">
        <v>12</v>
      </c>
      <c r="AD7">
        <v>9</v>
      </c>
      <c r="AE7">
        <v>6</v>
      </c>
      <c r="AF7">
        <v>3</v>
      </c>
      <c r="AG7">
        <v>2</v>
      </c>
      <c r="AH7">
        <v>1</v>
      </c>
      <c r="AI7">
        <v>61</v>
      </c>
      <c r="AJ7">
        <v>39</v>
      </c>
      <c r="AK7">
        <v>3</v>
      </c>
      <c r="AL7">
        <v>0</v>
      </c>
      <c r="AM7">
        <v>0</v>
      </c>
      <c r="AN7">
        <v>0</v>
      </c>
      <c r="AO7">
        <v>1</v>
      </c>
      <c r="AP7">
        <v>5</v>
      </c>
      <c r="AQ7">
        <v>401</v>
      </c>
      <c r="AR7">
        <v>268</v>
      </c>
      <c r="AS7">
        <v>288</v>
      </c>
      <c r="AT7">
        <v>134</v>
      </c>
      <c r="AU7">
        <v>72</v>
      </c>
      <c r="AV7">
        <v>50</v>
      </c>
      <c r="AW7">
        <v>0.72</v>
      </c>
      <c r="AX7">
        <v>0.47</v>
      </c>
      <c r="AY7">
        <v>0</v>
      </c>
      <c r="AZ7">
        <v>0</v>
      </c>
    </row>
    <row r="8" spans="1:52" x14ac:dyDescent="0.25">
      <c r="A8">
        <v>1386356</v>
      </c>
      <c r="B8" t="s">
        <v>10127</v>
      </c>
      <c r="C8" t="s">
        <v>65</v>
      </c>
      <c r="D8" t="s">
        <v>2834</v>
      </c>
      <c r="E8" t="s">
        <v>10114</v>
      </c>
      <c r="F8" t="s">
        <v>5163</v>
      </c>
      <c r="G8" t="s">
        <v>10128</v>
      </c>
      <c r="H8" t="s">
        <v>3566</v>
      </c>
      <c r="I8" t="s">
        <v>10116</v>
      </c>
      <c r="J8" t="s">
        <v>10117</v>
      </c>
      <c r="K8">
        <v>1</v>
      </c>
      <c r="L8">
        <v>0</v>
      </c>
      <c r="M8">
        <v>1</v>
      </c>
      <c r="N8">
        <v>0</v>
      </c>
      <c r="O8">
        <v>1</v>
      </c>
      <c r="P8">
        <v>0</v>
      </c>
      <c r="Q8">
        <v>5</v>
      </c>
      <c r="R8">
        <v>6</v>
      </c>
      <c r="S8">
        <v>7</v>
      </c>
      <c r="T8">
        <v>4</v>
      </c>
      <c r="U8">
        <v>14</v>
      </c>
      <c r="V8">
        <v>15</v>
      </c>
      <c r="W8">
        <v>2</v>
      </c>
      <c r="X8">
        <v>5</v>
      </c>
      <c r="Y8">
        <v>6</v>
      </c>
      <c r="Z8">
        <v>11</v>
      </c>
      <c r="AA8">
        <v>8</v>
      </c>
      <c r="AB8">
        <v>4</v>
      </c>
      <c r="AC8">
        <v>10</v>
      </c>
      <c r="AD8">
        <v>9</v>
      </c>
      <c r="AE8">
        <v>2</v>
      </c>
      <c r="AF8">
        <v>5</v>
      </c>
      <c r="AG8">
        <v>4</v>
      </c>
      <c r="AH8">
        <v>1</v>
      </c>
      <c r="AI8">
        <v>44</v>
      </c>
      <c r="AJ8">
        <v>56</v>
      </c>
      <c r="AK8">
        <v>1</v>
      </c>
      <c r="AL8">
        <v>1</v>
      </c>
      <c r="AM8">
        <v>0</v>
      </c>
      <c r="AN8">
        <v>0</v>
      </c>
      <c r="AO8">
        <v>6</v>
      </c>
      <c r="AP8">
        <v>4</v>
      </c>
      <c r="AQ8">
        <v>273</v>
      </c>
      <c r="AR8">
        <v>362</v>
      </c>
      <c r="AS8">
        <v>160</v>
      </c>
      <c r="AT8">
        <v>255</v>
      </c>
      <c r="AU8">
        <v>59</v>
      </c>
      <c r="AV8">
        <v>70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1386344</v>
      </c>
      <c r="B9" t="s">
        <v>10129</v>
      </c>
      <c r="C9" t="s">
        <v>65</v>
      </c>
      <c r="D9" t="s">
        <v>2834</v>
      </c>
      <c r="E9" t="s">
        <v>10114</v>
      </c>
      <c r="F9" t="s">
        <v>5163</v>
      </c>
      <c r="G9" t="s">
        <v>10130</v>
      </c>
      <c r="H9" t="s">
        <v>5179</v>
      </c>
      <c r="I9" t="s">
        <v>10116</v>
      </c>
      <c r="J9" t="s">
        <v>10117</v>
      </c>
      <c r="K9">
        <v>3</v>
      </c>
      <c r="L9">
        <v>1</v>
      </c>
      <c r="M9">
        <v>2</v>
      </c>
      <c r="N9">
        <v>0</v>
      </c>
      <c r="O9">
        <v>3</v>
      </c>
      <c r="P9">
        <v>1</v>
      </c>
      <c r="Q9">
        <v>8</v>
      </c>
      <c r="R9">
        <v>4</v>
      </c>
      <c r="S9">
        <v>4</v>
      </c>
      <c r="T9">
        <v>6</v>
      </c>
      <c r="U9">
        <v>16</v>
      </c>
      <c r="V9">
        <v>13</v>
      </c>
      <c r="W9">
        <v>4</v>
      </c>
      <c r="X9">
        <v>3</v>
      </c>
      <c r="Y9">
        <v>6</v>
      </c>
      <c r="Z9">
        <v>10</v>
      </c>
      <c r="AA9">
        <v>10</v>
      </c>
      <c r="AB9">
        <v>3</v>
      </c>
      <c r="AC9">
        <v>7</v>
      </c>
      <c r="AD9">
        <v>10</v>
      </c>
      <c r="AE9">
        <v>10</v>
      </c>
      <c r="AF9">
        <v>8</v>
      </c>
      <c r="AG9">
        <v>0</v>
      </c>
      <c r="AH9">
        <v>0</v>
      </c>
      <c r="AI9">
        <v>43</v>
      </c>
      <c r="AJ9">
        <v>57</v>
      </c>
      <c r="AK9">
        <v>1</v>
      </c>
      <c r="AL9">
        <v>2</v>
      </c>
      <c r="AM9">
        <v>0</v>
      </c>
      <c r="AN9">
        <v>0</v>
      </c>
      <c r="AO9">
        <v>3</v>
      </c>
      <c r="AP9">
        <v>5</v>
      </c>
      <c r="AQ9">
        <v>299</v>
      </c>
      <c r="AR9">
        <v>400</v>
      </c>
      <c r="AS9">
        <v>191</v>
      </c>
      <c r="AT9">
        <v>282</v>
      </c>
      <c r="AU9">
        <v>64</v>
      </c>
      <c r="AV9">
        <v>71</v>
      </c>
      <c r="AW9">
        <v>0.67</v>
      </c>
      <c r="AX9">
        <v>1.2</v>
      </c>
      <c r="AY9">
        <v>0</v>
      </c>
      <c r="AZ9">
        <v>0</v>
      </c>
    </row>
    <row r="10" spans="1:52" x14ac:dyDescent="0.25">
      <c r="A10">
        <v>1386308</v>
      </c>
      <c r="B10" t="s">
        <v>10131</v>
      </c>
      <c r="C10" t="s">
        <v>65</v>
      </c>
      <c r="D10" t="s">
        <v>2834</v>
      </c>
      <c r="E10" t="s">
        <v>10114</v>
      </c>
      <c r="F10" t="s">
        <v>5163</v>
      </c>
      <c r="G10" t="s">
        <v>10132</v>
      </c>
      <c r="H10" t="s">
        <v>3568</v>
      </c>
      <c r="I10" t="s">
        <v>10116</v>
      </c>
      <c r="J10" t="s">
        <v>10117</v>
      </c>
      <c r="K10">
        <v>0</v>
      </c>
      <c r="L10">
        <v>2</v>
      </c>
      <c r="M10">
        <v>0</v>
      </c>
      <c r="N10">
        <v>2</v>
      </c>
      <c r="O10">
        <v>0</v>
      </c>
      <c r="P10">
        <v>2</v>
      </c>
      <c r="Q10">
        <v>4</v>
      </c>
      <c r="R10">
        <v>2</v>
      </c>
      <c r="S10">
        <v>7</v>
      </c>
      <c r="T10">
        <v>5</v>
      </c>
      <c r="U10">
        <v>13</v>
      </c>
      <c r="V10">
        <v>11</v>
      </c>
      <c r="W10">
        <v>2</v>
      </c>
      <c r="X10">
        <v>4</v>
      </c>
      <c r="Y10">
        <v>4</v>
      </c>
      <c r="Z10">
        <v>5</v>
      </c>
      <c r="AA10">
        <v>9</v>
      </c>
      <c r="AB10">
        <v>6</v>
      </c>
      <c r="AC10">
        <v>13</v>
      </c>
      <c r="AD10">
        <v>14</v>
      </c>
      <c r="AE10">
        <v>2</v>
      </c>
      <c r="AF10">
        <v>3</v>
      </c>
      <c r="AG10">
        <v>1</v>
      </c>
      <c r="AH10">
        <v>3</v>
      </c>
      <c r="AI10">
        <v>65</v>
      </c>
      <c r="AJ10">
        <v>35</v>
      </c>
      <c r="AK10">
        <v>2</v>
      </c>
      <c r="AL10">
        <v>2</v>
      </c>
      <c r="AM10">
        <v>0</v>
      </c>
      <c r="AN10">
        <v>0</v>
      </c>
      <c r="AO10">
        <v>0</v>
      </c>
      <c r="AP10">
        <v>4</v>
      </c>
      <c r="AQ10">
        <v>467</v>
      </c>
      <c r="AR10">
        <v>254</v>
      </c>
      <c r="AS10">
        <v>320</v>
      </c>
      <c r="AT10">
        <v>120</v>
      </c>
      <c r="AU10">
        <v>69</v>
      </c>
      <c r="AV10">
        <v>47</v>
      </c>
      <c r="AW10">
        <v>0.42</v>
      </c>
      <c r="AX10">
        <v>0.78</v>
      </c>
      <c r="AY10">
        <v>0</v>
      </c>
      <c r="AZ10">
        <v>0</v>
      </c>
    </row>
    <row r="11" spans="1:52" x14ac:dyDescent="0.25">
      <c r="A11">
        <v>1386261</v>
      </c>
      <c r="B11" t="s">
        <v>10133</v>
      </c>
      <c r="C11" t="s">
        <v>65</v>
      </c>
      <c r="D11" t="s">
        <v>2834</v>
      </c>
      <c r="E11" t="s">
        <v>10114</v>
      </c>
      <c r="F11" t="s">
        <v>5163</v>
      </c>
      <c r="G11" t="s">
        <v>10134</v>
      </c>
      <c r="H11" t="s">
        <v>5182</v>
      </c>
      <c r="I11" t="s">
        <v>10116</v>
      </c>
      <c r="J11" t="s">
        <v>10117</v>
      </c>
      <c r="K11">
        <v>1</v>
      </c>
      <c r="L11">
        <v>0</v>
      </c>
      <c r="M11">
        <v>1</v>
      </c>
      <c r="N11">
        <v>0</v>
      </c>
      <c r="O11">
        <v>1</v>
      </c>
      <c r="P11">
        <v>0</v>
      </c>
      <c r="Q11">
        <v>8</v>
      </c>
      <c r="R11">
        <v>3</v>
      </c>
      <c r="S11">
        <v>10</v>
      </c>
      <c r="T11">
        <v>4</v>
      </c>
      <c r="U11">
        <v>25</v>
      </c>
      <c r="V11">
        <v>8</v>
      </c>
      <c r="W11">
        <v>7</v>
      </c>
      <c r="X11">
        <v>1</v>
      </c>
      <c r="Y11">
        <v>11</v>
      </c>
      <c r="Z11">
        <v>4</v>
      </c>
      <c r="AA11">
        <v>14</v>
      </c>
      <c r="AB11">
        <v>4</v>
      </c>
      <c r="AC11">
        <v>10</v>
      </c>
      <c r="AD11">
        <v>9</v>
      </c>
      <c r="AE11">
        <v>8</v>
      </c>
      <c r="AF11">
        <v>3</v>
      </c>
      <c r="AG11">
        <v>1</v>
      </c>
      <c r="AH11">
        <v>0</v>
      </c>
      <c r="AI11">
        <v>55</v>
      </c>
      <c r="AJ11">
        <v>45</v>
      </c>
      <c r="AK11">
        <v>1</v>
      </c>
      <c r="AL11">
        <v>0</v>
      </c>
      <c r="AM11">
        <v>0</v>
      </c>
      <c r="AN11">
        <v>1</v>
      </c>
      <c r="AO11">
        <v>3</v>
      </c>
      <c r="AP11">
        <v>7</v>
      </c>
      <c r="AQ11">
        <v>444</v>
      </c>
      <c r="AR11">
        <v>371</v>
      </c>
      <c r="AS11">
        <v>287</v>
      </c>
      <c r="AT11">
        <v>214</v>
      </c>
      <c r="AU11">
        <v>65</v>
      </c>
      <c r="AV11">
        <v>58</v>
      </c>
      <c r="AW11">
        <v>2.52</v>
      </c>
      <c r="AX11">
        <v>0.68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54982-76DD-4B70-BD7D-71AC5F5953DE}">
  <sheetPr codeName="Sheet8"/>
  <dimension ref="A1:AZ11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5.140625" bestFit="1" customWidth="1"/>
    <col min="7" max="7" width="49.28515625" bestFit="1" customWidth="1"/>
    <col min="8" max="8" width="16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121</v>
      </c>
      <c r="C1" t="s">
        <v>12</v>
      </c>
      <c r="D1" t="s">
        <v>13</v>
      </c>
      <c r="E1" t="s">
        <v>122</v>
      </c>
      <c r="F1" t="s">
        <v>14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156</v>
      </c>
      <c r="AO1" t="s">
        <v>157</v>
      </c>
      <c r="AP1" t="s">
        <v>158</v>
      </c>
      <c r="AQ1" t="s">
        <v>159</v>
      </c>
      <c r="AR1" t="s">
        <v>160</v>
      </c>
      <c r="AS1" t="s">
        <v>161</v>
      </c>
      <c r="AT1" t="s">
        <v>162</v>
      </c>
      <c r="AU1" t="s">
        <v>163</v>
      </c>
      <c r="AV1" t="s">
        <v>164</v>
      </c>
      <c r="AW1" t="s">
        <v>165</v>
      </c>
      <c r="AX1" t="s">
        <v>166</v>
      </c>
      <c r="AY1" t="s">
        <v>167</v>
      </c>
      <c r="AZ1" t="s">
        <v>168</v>
      </c>
    </row>
    <row r="2" spans="1:52" x14ac:dyDescent="0.25">
      <c r="A2">
        <v>1386478</v>
      </c>
      <c r="B2" t="s">
        <v>10113</v>
      </c>
      <c r="C2" t="s">
        <v>65</v>
      </c>
      <c r="D2" t="s">
        <v>2834</v>
      </c>
      <c r="E2" t="s">
        <v>10135</v>
      </c>
      <c r="F2" t="s">
        <v>5173</v>
      </c>
      <c r="G2" t="s">
        <v>10136</v>
      </c>
      <c r="H2" t="s">
        <v>5169</v>
      </c>
      <c r="I2" t="s">
        <v>10116</v>
      </c>
      <c r="J2" t="s">
        <v>10117</v>
      </c>
      <c r="K2">
        <v>1</v>
      </c>
      <c r="L2">
        <v>0</v>
      </c>
      <c r="M2">
        <v>0</v>
      </c>
      <c r="N2">
        <v>0</v>
      </c>
      <c r="O2">
        <v>1</v>
      </c>
      <c r="P2">
        <v>0</v>
      </c>
      <c r="Q2">
        <v>2</v>
      </c>
      <c r="R2">
        <v>2</v>
      </c>
      <c r="S2">
        <v>4</v>
      </c>
      <c r="T2">
        <v>7</v>
      </c>
      <c r="U2">
        <v>11</v>
      </c>
      <c r="V2">
        <v>14</v>
      </c>
      <c r="W2">
        <v>5</v>
      </c>
      <c r="X2">
        <v>5</v>
      </c>
      <c r="Y2">
        <v>8</v>
      </c>
      <c r="Z2">
        <v>9</v>
      </c>
      <c r="AA2">
        <v>3</v>
      </c>
      <c r="AB2">
        <v>5</v>
      </c>
      <c r="AC2">
        <v>14</v>
      </c>
      <c r="AD2">
        <v>15</v>
      </c>
      <c r="AE2">
        <v>5</v>
      </c>
      <c r="AF2">
        <v>4</v>
      </c>
      <c r="AG2">
        <v>2</v>
      </c>
      <c r="AH2">
        <v>0</v>
      </c>
      <c r="AI2">
        <v>44</v>
      </c>
      <c r="AJ2">
        <v>56</v>
      </c>
      <c r="AK2">
        <v>4</v>
      </c>
      <c r="AL2">
        <v>4</v>
      </c>
      <c r="AM2">
        <v>0</v>
      </c>
      <c r="AN2">
        <v>0</v>
      </c>
      <c r="AO2">
        <v>2</v>
      </c>
      <c r="AP2">
        <v>1</v>
      </c>
      <c r="AQ2">
        <v>265</v>
      </c>
      <c r="AR2">
        <v>338</v>
      </c>
      <c r="AS2">
        <v>154</v>
      </c>
      <c r="AT2">
        <v>225</v>
      </c>
      <c r="AU2">
        <v>58</v>
      </c>
      <c r="AV2">
        <v>67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1386474</v>
      </c>
      <c r="B3" t="s">
        <v>10137</v>
      </c>
      <c r="C3" t="s">
        <v>65</v>
      </c>
      <c r="D3" t="s">
        <v>2834</v>
      </c>
      <c r="E3" t="s">
        <v>10138</v>
      </c>
      <c r="F3" t="s">
        <v>5188</v>
      </c>
      <c r="G3" t="s">
        <v>10136</v>
      </c>
      <c r="H3" t="s">
        <v>5169</v>
      </c>
      <c r="I3" t="s">
        <v>10116</v>
      </c>
      <c r="J3" t="s">
        <v>10117</v>
      </c>
      <c r="K3">
        <v>1</v>
      </c>
      <c r="L3">
        <v>1</v>
      </c>
      <c r="M3">
        <v>1</v>
      </c>
      <c r="N3">
        <v>0</v>
      </c>
      <c r="O3">
        <v>1</v>
      </c>
      <c r="P3">
        <v>1</v>
      </c>
      <c r="Q3">
        <v>3</v>
      </c>
      <c r="R3">
        <v>4</v>
      </c>
      <c r="S3">
        <v>5</v>
      </c>
      <c r="T3">
        <v>4</v>
      </c>
      <c r="U3">
        <v>9</v>
      </c>
      <c r="V3">
        <v>15</v>
      </c>
      <c r="W3">
        <v>1</v>
      </c>
      <c r="X3">
        <v>7</v>
      </c>
      <c r="Y3">
        <v>6</v>
      </c>
      <c r="Z3">
        <v>9</v>
      </c>
      <c r="AA3">
        <v>3</v>
      </c>
      <c r="AB3">
        <v>6</v>
      </c>
      <c r="AC3">
        <v>8</v>
      </c>
      <c r="AD3">
        <v>17</v>
      </c>
      <c r="AE3">
        <v>6</v>
      </c>
      <c r="AF3">
        <v>9</v>
      </c>
      <c r="AG3">
        <v>1</v>
      </c>
      <c r="AH3">
        <v>1</v>
      </c>
      <c r="AI3">
        <v>55</v>
      </c>
      <c r="AJ3">
        <v>45</v>
      </c>
      <c r="AK3">
        <v>3</v>
      </c>
      <c r="AL3">
        <v>4</v>
      </c>
      <c r="AM3">
        <v>0</v>
      </c>
      <c r="AN3">
        <v>0</v>
      </c>
      <c r="AO3">
        <v>3</v>
      </c>
      <c r="AP3">
        <v>2</v>
      </c>
      <c r="AQ3">
        <v>370</v>
      </c>
      <c r="AR3">
        <v>288</v>
      </c>
      <c r="AS3">
        <v>255</v>
      </c>
      <c r="AT3">
        <v>176</v>
      </c>
      <c r="AU3">
        <v>69</v>
      </c>
      <c r="AV3">
        <v>61</v>
      </c>
      <c r="AW3">
        <v>1.26</v>
      </c>
      <c r="AX3">
        <v>0.59</v>
      </c>
      <c r="AY3">
        <v>0</v>
      </c>
      <c r="AZ3">
        <v>0</v>
      </c>
    </row>
    <row r="4" spans="1:52" x14ac:dyDescent="0.25">
      <c r="A4">
        <v>1386447</v>
      </c>
      <c r="B4" t="s">
        <v>10119</v>
      </c>
      <c r="C4" t="s">
        <v>65</v>
      </c>
      <c r="D4" t="s">
        <v>2834</v>
      </c>
      <c r="E4" t="s">
        <v>10139</v>
      </c>
      <c r="F4" t="s">
        <v>5175</v>
      </c>
      <c r="G4" t="s">
        <v>10136</v>
      </c>
      <c r="H4" t="s">
        <v>5169</v>
      </c>
      <c r="I4" t="s">
        <v>10116</v>
      </c>
      <c r="J4" t="s">
        <v>10117</v>
      </c>
      <c r="K4">
        <v>1</v>
      </c>
      <c r="L4">
        <v>0</v>
      </c>
      <c r="M4">
        <v>0</v>
      </c>
      <c r="N4">
        <v>0</v>
      </c>
      <c r="O4">
        <v>1</v>
      </c>
      <c r="P4">
        <v>0</v>
      </c>
      <c r="Q4">
        <v>5</v>
      </c>
      <c r="R4">
        <v>1</v>
      </c>
      <c r="S4">
        <v>6</v>
      </c>
      <c r="T4">
        <v>2</v>
      </c>
      <c r="U4">
        <v>19</v>
      </c>
      <c r="V4">
        <v>5</v>
      </c>
      <c r="W4">
        <v>8</v>
      </c>
      <c r="X4">
        <v>2</v>
      </c>
      <c r="Y4">
        <v>15</v>
      </c>
      <c r="Z4">
        <v>3</v>
      </c>
      <c r="AA4">
        <v>4</v>
      </c>
      <c r="AB4">
        <v>2</v>
      </c>
      <c r="AC4">
        <v>6</v>
      </c>
      <c r="AD4">
        <v>15</v>
      </c>
      <c r="AE4">
        <v>10</v>
      </c>
      <c r="AF4">
        <v>1</v>
      </c>
      <c r="AG4">
        <v>1</v>
      </c>
      <c r="AH4">
        <v>2</v>
      </c>
      <c r="AI4">
        <v>61</v>
      </c>
      <c r="AJ4">
        <v>39</v>
      </c>
      <c r="AK4">
        <v>1</v>
      </c>
      <c r="AL4">
        <v>5</v>
      </c>
      <c r="AM4">
        <v>0</v>
      </c>
      <c r="AN4">
        <v>0</v>
      </c>
      <c r="AO4">
        <v>1</v>
      </c>
      <c r="AP4">
        <v>4</v>
      </c>
      <c r="AQ4">
        <v>369</v>
      </c>
      <c r="AR4">
        <v>252</v>
      </c>
      <c r="AS4">
        <v>234</v>
      </c>
      <c r="AT4">
        <v>135</v>
      </c>
      <c r="AU4">
        <v>63</v>
      </c>
      <c r="AV4">
        <v>54</v>
      </c>
      <c r="AW4">
        <v>2.8</v>
      </c>
      <c r="AX4">
        <v>0.51</v>
      </c>
      <c r="AY4">
        <v>0</v>
      </c>
      <c r="AZ4">
        <v>0</v>
      </c>
    </row>
    <row r="5" spans="1:52" x14ac:dyDescent="0.25">
      <c r="A5">
        <v>1386421</v>
      </c>
      <c r="B5" t="s">
        <v>10121</v>
      </c>
      <c r="C5" t="s">
        <v>65</v>
      </c>
      <c r="D5" t="s">
        <v>2834</v>
      </c>
      <c r="E5" t="s">
        <v>10140</v>
      </c>
      <c r="F5" t="s">
        <v>5172</v>
      </c>
      <c r="G5" t="s">
        <v>10136</v>
      </c>
      <c r="H5" t="s">
        <v>5169</v>
      </c>
      <c r="I5" t="s">
        <v>10116</v>
      </c>
      <c r="J5" t="s">
        <v>10117</v>
      </c>
      <c r="K5">
        <v>1</v>
      </c>
      <c r="L5">
        <v>1</v>
      </c>
      <c r="M5">
        <v>0</v>
      </c>
      <c r="N5">
        <v>0</v>
      </c>
      <c r="O5">
        <v>1</v>
      </c>
      <c r="P5">
        <v>1</v>
      </c>
      <c r="Q5">
        <v>3</v>
      </c>
      <c r="R5">
        <v>5</v>
      </c>
      <c r="S5">
        <v>1</v>
      </c>
      <c r="T5">
        <v>6</v>
      </c>
      <c r="U5">
        <v>6</v>
      </c>
      <c r="V5">
        <v>14</v>
      </c>
      <c r="W5">
        <v>2</v>
      </c>
      <c r="X5">
        <v>3</v>
      </c>
      <c r="Y5">
        <v>4</v>
      </c>
      <c r="Z5">
        <v>9</v>
      </c>
      <c r="AA5">
        <v>2</v>
      </c>
      <c r="AB5">
        <v>5</v>
      </c>
      <c r="AC5">
        <v>12</v>
      </c>
      <c r="AD5">
        <v>7</v>
      </c>
      <c r="AE5">
        <v>1</v>
      </c>
      <c r="AF5">
        <v>3</v>
      </c>
      <c r="AG5">
        <v>5</v>
      </c>
      <c r="AH5">
        <v>4</v>
      </c>
      <c r="AI5">
        <v>36</v>
      </c>
      <c r="AJ5">
        <v>64</v>
      </c>
      <c r="AK5">
        <v>2</v>
      </c>
      <c r="AL5">
        <v>1</v>
      </c>
      <c r="AM5">
        <v>0</v>
      </c>
      <c r="AN5">
        <v>0</v>
      </c>
      <c r="AO5">
        <v>4</v>
      </c>
      <c r="AP5">
        <v>2</v>
      </c>
      <c r="AQ5">
        <v>247</v>
      </c>
      <c r="AR5">
        <v>430</v>
      </c>
      <c r="AS5">
        <v>126</v>
      </c>
      <c r="AT5">
        <v>309</v>
      </c>
      <c r="AU5">
        <v>51</v>
      </c>
      <c r="AV5">
        <v>72</v>
      </c>
      <c r="AW5">
        <v>0.71</v>
      </c>
      <c r="AX5">
        <v>1.48</v>
      </c>
      <c r="AY5">
        <v>0</v>
      </c>
      <c r="AZ5">
        <v>0</v>
      </c>
    </row>
    <row r="6" spans="1:52" x14ac:dyDescent="0.25">
      <c r="A6">
        <v>1386294</v>
      </c>
      <c r="B6" t="s">
        <v>10141</v>
      </c>
      <c r="C6" t="s">
        <v>65</v>
      </c>
      <c r="D6" t="s">
        <v>2834</v>
      </c>
      <c r="E6" t="s">
        <v>10142</v>
      </c>
      <c r="F6" t="s">
        <v>5190</v>
      </c>
      <c r="G6" t="s">
        <v>10136</v>
      </c>
      <c r="H6" t="s">
        <v>5169</v>
      </c>
      <c r="I6" t="s">
        <v>10116</v>
      </c>
      <c r="J6" t="s">
        <v>10117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4</v>
      </c>
      <c r="R6">
        <v>1</v>
      </c>
      <c r="S6">
        <v>11</v>
      </c>
      <c r="T6">
        <v>3</v>
      </c>
      <c r="U6">
        <v>18</v>
      </c>
      <c r="V6">
        <v>6</v>
      </c>
      <c r="W6">
        <v>3</v>
      </c>
      <c r="X6">
        <v>2</v>
      </c>
      <c r="Y6">
        <v>12</v>
      </c>
      <c r="Z6">
        <v>4</v>
      </c>
      <c r="AA6">
        <v>6</v>
      </c>
      <c r="AB6">
        <v>2</v>
      </c>
      <c r="AC6">
        <v>6</v>
      </c>
      <c r="AD6">
        <v>14</v>
      </c>
      <c r="AE6">
        <v>5</v>
      </c>
      <c r="AF6">
        <v>5</v>
      </c>
      <c r="AG6">
        <v>2</v>
      </c>
      <c r="AH6">
        <v>1</v>
      </c>
      <c r="AI6">
        <v>59</v>
      </c>
      <c r="AJ6">
        <v>41</v>
      </c>
      <c r="AK6">
        <v>0</v>
      </c>
      <c r="AL6">
        <v>2</v>
      </c>
      <c r="AM6">
        <v>0</v>
      </c>
      <c r="AN6">
        <v>0</v>
      </c>
      <c r="AO6">
        <v>1</v>
      </c>
      <c r="AP6">
        <v>4</v>
      </c>
      <c r="AQ6">
        <v>422</v>
      </c>
      <c r="AR6">
        <v>299</v>
      </c>
      <c r="AS6">
        <v>312</v>
      </c>
      <c r="AT6">
        <v>187</v>
      </c>
      <c r="AU6">
        <v>74</v>
      </c>
      <c r="AV6">
        <v>63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1386385</v>
      </c>
      <c r="B7" t="s">
        <v>10143</v>
      </c>
      <c r="C7" t="s">
        <v>65</v>
      </c>
      <c r="D7" t="s">
        <v>2834</v>
      </c>
      <c r="E7" t="s">
        <v>10115</v>
      </c>
      <c r="F7" t="s">
        <v>5185</v>
      </c>
      <c r="G7" t="s">
        <v>10136</v>
      </c>
      <c r="H7" t="s">
        <v>5169</v>
      </c>
      <c r="I7" t="s">
        <v>10116</v>
      </c>
      <c r="J7" t="s">
        <v>10117</v>
      </c>
      <c r="K7">
        <v>0</v>
      </c>
      <c r="L7">
        <v>1</v>
      </c>
      <c r="M7">
        <v>0</v>
      </c>
      <c r="N7">
        <v>1</v>
      </c>
      <c r="O7">
        <v>0</v>
      </c>
      <c r="P7">
        <v>1</v>
      </c>
      <c r="Q7">
        <v>1</v>
      </c>
      <c r="R7">
        <v>5</v>
      </c>
      <c r="S7">
        <v>2</v>
      </c>
      <c r="T7">
        <v>9</v>
      </c>
      <c r="U7">
        <v>7</v>
      </c>
      <c r="V7">
        <v>17</v>
      </c>
      <c r="W7">
        <v>5</v>
      </c>
      <c r="X7">
        <v>3</v>
      </c>
      <c r="Y7">
        <v>6</v>
      </c>
      <c r="Z7">
        <v>10</v>
      </c>
      <c r="AA7">
        <v>1</v>
      </c>
      <c r="AB7">
        <v>7</v>
      </c>
      <c r="AC7">
        <v>7</v>
      </c>
      <c r="AD7">
        <v>18</v>
      </c>
      <c r="AE7">
        <v>3</v>
      </c>
      <c r="AF7">
        <v>5</v>
      </c>
      <c r="AG7">
        <v>4</v>
      </c>
      <c r="AH7">
        <v>1</v>
      </c>
      <c r="AI7">
        <v>52</v>
      </c>
      <c r="AJ7">
        <v>48</v>
      </c>
      <c r="AK7">
        <v>0</v>
      </c>
      <c r="AL7">
        <v>3</v>
      </c>
      <c r="AM7">
        <v>0</v>
      </c>
      <c r="AN7">
        <v>0</v>
      </c>
      <c r="AO7">
        <v>4</v>
      </c>
      <c r="AP7">
        <v>0</v>
      </c>
      <c r="AQ7">
        <v>364</v>
      </c>
      <c r="AR7">
        <v>351</v>
      </c>
      <c r="AS7">
        <v>262</v>
      </c>
      <c r="AT7">
        <v>239</v>
      </c>
      <c r="AU7">
        <v>72</v>
      </c>
      <c r="AV7">
        <v>68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1386375</v>
      </c>
      <c r="B8" t="s">
        <v>10144</v>
      </c>
      <c r="C8" t="s">
        <v>65</v>
      </c>
      <c r="D8" t="s">
        <v>2834</v>
      </c>
      <c r="E8" t="s">
        <v>10145</v>
      </c>
      <c r="F8" t="s">
        <v>5181</v>
      </c>
      <c r="G8" t="s">
        <v>10136</v>
      </c>
      <c r="H8" t="s">
        <v>5169</v>
      </c>
      <c r="I8" t="s">
        <v>10116</v>
      </c>
      <c r="J8" t="s">
        <v>10117</v>
      </c>
      <c r="K8">
        <v>1</v>
      </c>
      <c r="L8">
        <v>1</v>
      </c>
      <c r="M8">
        <v>0</v>
      </c>
      <c r="N8">
        <v>1</v>
      </c>
      <c r="O8">
        <v>1</v>
      </c>
      <c r="P8">
        <v>1</v>
      </c>
      <c r="Q8">
        <v>3</v>
      </c>
      <c r="R8">
        <v>3</v>
      </c>
      <c r="S8">
        <v>5</v>
      </c>
      <c r="T8">
        <v>5</v>
      </c>
      <c r="U8">
        <v>12</v>
      </c>
      <c r="V8">
        <v>14</v>
      </c>
      <c r="W8">
        <v>4</v>
      </c>
      <c r="X8">
        <v>6</v>
      </c>
      <c r="Y8">
        <v>7</v>
      </c>
      <c r="Z8">
        <v>11</v>
      </c>
      <c r="AA8">
        <v>5</v>
      </c>
      <c r="AB8">
        <v>3</v>
      </c>
      <c r="AC8">
        <v>6</v>
      </c>
      <c r="AD8">
        <v>12</v>
      </c>
      <c r="AE8">
        <v>7</v>
      </c>
      <c r="AF8">
        <v>7</v>
      </c>
      <c r="AG8">
        <v>1</v>
      </c>
      <c r="AH8">
        <v>1</v>
      </c>
      <c r="AI8">
        <v>47</v>
      </c>
      <c r="AJ8">
        <v>53</v>
      </c>
      <c r="AK8">
        <v>0</v>
      </c>
      <c r="AL8">
        <v>2</v>
      </c>
      <c r="AM8">
        <v>0</v>
      </c>
      <c r="AN8">
        <v>0</v>
      </c>
      <c r="AO8">
        <v>2</v>
      </c>
      <c r="AP8">
        <v>2</v>
      </c>
      <c r="AQ8">
        <v>321</v>
      </c>
      <c r="AR8">
        <v>369</v>
      </c>
      <c r="AS8">
        <v>211</v>
      </c>
      <c r="AT8">
        <v>249</v>
      </c>
      <c r="AU8">
        <v>66</v>
      </c>
      <c r="AV8">
        <v>67</v>
      </c>
      <c r="AW8">
        <v>0.98</v>
      </c>
      <c r="AX8">
        <v>1.8</v>
      </c>
      <c r="AY8">
        <v>0</v>
      </c>
      <c r="AZ8">
        <v>0</v>
      </c>
    </row>
    <row r="9" spans="1:52" x14ac:dyDescent="0.25">
      <c r="A9">
        <v>1386339</v>
      </c>
      <c r="B9" t="s">
        <v>10146</v>
      </c>
      <c r="C9" t="s">
        <v>65</v>
      </c>
      <c r="D9" t="s">
        <v>2834</v>
      </c>
      <c r="E9" t="s">
        <v>10134</v>
      </c>
      <c r="F9" t="s">
        <v>5182</v>
      </c>
      <c r="G9" t="s">
        <v>10136</v>
      </c>
      <c r="H9" t="s">
        <v>5169</v>
      </c>
      <c r="I9" t="s">
        <v>10116</v>
      </c>
      <c r="J9" t="s">
        <v>10117</v>
      </c>
      <c r="K9">
        <v>1</v>
      </c>
      <c r="L9">
        <v>2</v>
      </c>
      <c r="M9">
        <v>0</v>
      </c>
      <c r="N9">
        <v>1</v>
      </c>
      <c r="O9">
        <v>1</v>
      </c>
      <c r="P9">
        <v>2</v>
      </c>
      <c r="Q9">
        <v>4</v>
      </c>
      <c r="R9">
        <v>5</v>
      </c>
      <c r="S9">
        <v>9</v>
      </c>
      <c r="T9">
        <v>6</v>
      </c>
      <c r="U9">
        <v>17</v>
      </c>
      <c r="V9">
        <v>15</v>
      </c>
      <c r="W9">
        <v>4</v>
      </c>
      <c r="X9">
        <v>4</v>
      </c>
      <c r="Y9">
        <v>12</v>
      </c>
      <c r="Z9">
        <v>9</v>
      </c>
      <c r="AA9">
        <v>5</v>
      </c>
      <c r="AB9">
        <v>6</v>
      </c>
      <c r="AC9">
        <v>9</v>
      </c>
      <c r="AD9">
        <v>11</v>
      </c>
      <c r="AE9">
        <v>6</v>
      </c>
      <c r="AF9">
        <v>5</v>
      </c>
      <c r="AG9">
        <v>0</v>
      </c>
      <c r="AH9">
        <v>1</v>
      </c>
      <c r="AI9">
        <v>54</v>
      </c>
      <c r="AJ9">
        <v>46</v>
      </c>
      <c r="AK9">
        <v>2</v>
      </c>
      <c r="AL9">
        <v>3</v>
      </c>
      <c r="AM9">
        <v>0</v>
      </c>
      <c r="AN9">
        <v>0</v>
      </c>
      <c r="AO9">
        <v>3</v>
      </c>
      <c r="AP9">
        <v>3</v>
      </c>
      <c r="AQ9">
        <v>369</v>
      </c>
      <c r="AR9">
        <v>322</v>
      </c>
      <c r="AS9">
        <v>266</v>
      </c>
      <c r="AT9">
        <v>200</v>
      </c>
      <c r="AU9">
        <v>72</v>
      </c>
      <c r="AV9">
        <v>62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1386325</v>
      </c>
      <c r="B10" t="s">
        <v>10147</v>
      </c>
      <c r="C10" t="s">
        <v>65</v>
      </c>
      <c r="D10" t="s">
        <v>2834</v>
      </c>
      <c r="E10" t="s">
        <v>10148</v>
      </c>
      <c r="F10" t="s">
        <v>5167</v>
      </c>
      <c r="G10" t="s">
        <v>10136</v>
      </c>
      <c r="H10" t="s">
        <v>5169</v>
      </c>
      <c r="I10" t="s">
        <v>10116</v>
      </c>
      <c r="J10" t="s">
        <v>10117</v>
      </c>
      <c r="K10">
        <v>2</v>
      </c>
      <c r="L10">
        <v>1</v>
      </c>
      <c r="M10">
        <v>2</v>
      </c>
      <c r="N10">
        <v>0</v>
      </c>
      <c r="O10">
        <v>2</v>
      </c>
      <c r="P10">
        <v>1</v>
      </c>
      <c r="Q10">
        <v>3</v>
      </c>
      <c r="R10">
        <v>2</v>
      </c>
      <c r="S10">
        <v>3</v>
      </c>
      <c r="T10">
        <v>3</v>
      </c>
      <c r="U10">
        <v>9</v>
      </c>
      <c r="V10">
        <v>11</v>
      </c>
      <c r="W10">
        <v>3</v>
      </c>
      <c r="X10">
        <v>6</v>
      </c>
      <c r="Y10">
        <v>6</v>
      </c>
      <c r="Z10">
        <v>7</v>
      </c>
      <c r="AA10">
        <v>3</v>
      </c>
      <c r="AB10">
        <v>4</v>
      </c>
      <c r="AC10">
        <v>7</v>
      </c>
      <c r="AD10">
        <v>19</v>
      </c>
      <c r="AE10">
        <v>4</v>
      </c>
      <c r="AF10">
        <v>5</v>
      </c>
      <c r="AG10">
        <v>1</v>
      </c>
      <c r="AH10">
        <v>2</v>
      </c>
      <c r="AI10">
        <v>51</v>
      </c>
      <c r="AJ10">
        <v>49</v>
      </c>
      <c r="AK10">
        <v>3</v>
      </c>
      <c r="AL10">
        <v>2</v>
      </c>
      <c r="AM10">
        <v>0</v>
      </c>
      <c r="AN10">
        <v>0</v>
      </c>
      <c r="AO10">
        <v>1</v>
      </c>
      <c r="AP10">
        <v>1</v>
      </c>
      <c r="AQ10">
        <v>414</v>
      </c>
      <c r="AR10">
        <v>372</v>
      </c>
      <c r="AS10">
        <v>312</v>
      </c>
      <c r="AT10">
        <v>270</v>
      </c>
      <c r="AU10">
        <v>75</v>
      </c>
      <c r="AV10">
        <v>73</v>
      </c>
      <c r="AW10">
        <v>0.71</v>
      </c>
      <c r="AX10">
        <v>0.83</v>
      </c>
      <c r="AY10">
        <v>0</v>
      </c>
      <c r="AZ10">
        <v>0</v>
      </c>
    </row>
    <row r="11" spans="1:52" x14ac:dyDescent="0.25">
      <c r="A11">
        <v>1489430</v>
      </c>
      <c r="B11" t="s">
        <v>10149</v>
      </c>
      <c r="C11" t="s">
        <v>65</v>
      </c>
      <c r="D11" t="s">
        <v>10150</v>
      </c>
      <c r="E11" t="s">
        <v>10151</v>
      </c>
      <c r="F11" t="s">
        <v>5212</v>
      </c>
      <c r="G11" t="s">
        <v>10136</v>
      </c>
      <c r="H11" t="s">
        <v>5169</v>
      </c>
      <c r="I11" t="s">
        <v>10152</v>
      </c>
      <c r="J11" t="s">
        <v>10117</v>
      </c>
      <c r="K11">
        <v>3</v>
      </c>
      <c r="L11">
        <v>1</v>
      </c>
      <c r="M11">
        <v>1</v>
      </c>
      <c r="N11">
        <v>0</v>
      </c>
      <c r="O11">
        <v>3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A3EC-C410-43DB-B274-FC9F56CC6561}">
  <sheetPr codeName="Sheet9"/>
  <dimension ref="A1:AZ6"/>
  <sheetViews>
    <sheetView workbookViewId="0">
      <selection activeCell="F48" sqref="F48"/>
    </sheetView>
  </sheetViews>
  <sheetFormatPr defaultRowHeight="15" x14ac:dyDescent="0.25"/>
  <cols>
    <col min="1" max="1" width="12" bestFit="1" customWidth="1"/>
    <col min="2" max="2" width="15.85546875" bestFit="1" customWidth="1"/>
    <col min="3" max="3" width="17.140625" bestFit="1" customWidth="1"/>
    <col min="4" max="4" width="15.42578125" bestFit="1" customWidth="1"/>
    <col min="5" max="5" width="49.28515625" bestFit="1" customWidth="1"/>
    <col min="6" max="6" width="14.42578125" bestFit="1" customWidth="1"/>
    <col min="7" max="7" width="49.28515625" bestFit="1" customWidth="1"/>
    <col min="8" max="8" width="16" bestFit="1" customWidth="1"/>
    <col min="9" max="9" width="48.7109375" bestFit="1" customWidth="1"/>
    <col min="10" max="10" width="41.5703125" bestFit="1" customWidth="1"/>
    <col min="11" max="11" width="14" bestFit="1" customWidth="1"/>
    <col min="12" max="12" width="13.42578125" bestFit="1" customWidth="1"/>
    <col min="13" max="13" width="11.28515625" bestFit="1" customWidth="1"/>
    <col min="14" max="14" width="10.7109375" bestFit="1" customWidth="1"/>
    <col min="15" max="15" width="10.85546875" bestFit="1" customWidth="1"/>
    <col min="16" max="16" width="10.28515625" bestFit="1" customWidth="1"/>
    <col min="17" max="17" width="21.42578125" bestFit="1" customWidth="1"/>
    <col min="18" max="18" width="21" bestFit="1" customWidth="1"/>
    <col min="19" max="19" width="21.7109375" bestFit="1" customWidth="1"/>
    <col min="20" max="20" width="21.28515625" bestFit="1" customWidth="1"/>
    <col min="21" max="21" width="19" bestFit="1" customWidth="1"/>
    <col min="22" max="22" width="18.5703125" bestFit="1" customWidth="1"/>
    <col min="23" max="23" width="21.7109375" bestFit="1" customWidth="1"/>
    <col min="24" max="24" width="21.28515625" bestFit="1" customWidth="1"/>
    <col min="25" max="25" width="23.42578125" bestFit="1" customWidth="1"/>
    <col min="26" max="26" width="23" bestFit="1" customWidth="1"/>
    <col min="27" max="27" width="25.140625" bestFit="1" customWidth="1"/>
    <col min="28" max="28" width="24.7109375" bestFit="1" customWidth="1"/>
    <col min="29" max="29" width="14.28515625" bestFit="1" customWidth="1"/>
    <col min="30" max="30" width="13.85546875" bestFit="1" customWidth="1"/>
    <col min="31" max="31" width="20.28515625" bestFit="1" customWidth="1"/>
    <col min="32" max="32" width="19.85546875" bestFit="1" customWidth="1"/>
    <col min="33" max="33" width="17.140625" bestFit="1" customWidth="1"/>
    <col min="34" max="34" width="16.7109375" bestFit="1" customWidth="1"/>
    <col min="35" max="35" width="22.85546875" bestFit="1" customWidth="1"/>
    <col min="36" max="36" width="22.42578125" bestFit="1" customWidth="1"/>
    <col min="37" max="37" width="20.85546875" bestFit="1" customWidth="1"/>
    <col min="38" max="38" width="20.42578125" bestFit="1" customWidth="1"/>
    <col min="39" max="39" width="18" bestFit="1" customWidth="1"/>
    <col min="40" max="40" width="17.5703125" bestFit="1" customWidth="1"/>
    <col min="41" max="41" width="25.42578125" bestFit="1" customWidth="1"/>
    <col min="42" max="42" width="25" bestFit="1" customWidth="1"/>
    <col min="43" max="43" width="20.140625" bestFit="1" customWidth="1"/>
    <col min="44" max="44" width="19.7109375" bestFit="1" customWidth="1"/>
    <col min="45" max="45" width="23.42578125" bestFit="1" customWidth="1"/>
    <col min="46" max="46" width="23" bestFit="1" customWidth="1"/>
    <col min="47" max="47" width="18.28515625" bestFit="1" customWidth="1"/>
    <col min="48" max="48" width="17.85546875" bestFit="1" customWidth="1"/>
    <col min="49" max="49" width="23" bestFit="1" customWidth="1"/>
    <col min="50" max="50" width="22.5703125" bestFit="1" customWidth="1"/>
    <col min="51" max="51" width="24.28515625" bestFit="1" customWidth="1"/>
    <col min="52" max="52" width="23.85546875" bestFit="1" customWidth="1"/>
  </cols>
  <sheetData>
    <row r="1" spans="1:52" x14ac:dyDescent="0.25">
      <c r="A1" t="s">
        <v>9</v>
      </c>
      <c r="B1" t="s">
        <v>121</v>
      </c>
      <c r="C1" t="s">
        <v>12</v>
      </c>
      <c r="D1" t="s">
        <v>13</v>
      </c>
      <c r="E1" t="s">
        <v>122</v>
      </c>
      <c r="F1" t="s">
        <v>14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130</v>
      </c>
      <c r="O1" t="s">
        <v>131</v>
      </c>
      <c r="P1" t="s">
        <v>132</v>
      </c>
      <c r="Q1" t="s">
        <v>133</v>
      </c>
      <c r="R1" t="s">
        <v>134</v>
      </c>
      <c r="S1" t="s">
        <v>135</v>
      </c>
      <c r="T1" t="s">
        <v>136</v>
      </c>
      <c r="U1" t="s">
        <v>137</v>
      </c>
      <c r="V1" t="s">
        <v>138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  <c r="AL1" t="s">
        <v>154</v>
      </c>
      <c r="AM1" t="s">
        <v>155</v>
      </c>
      <c r="AN1" t="s">
        <v>156</v>
      </c>
      <c r="AO1" t="s">
        <v>157</v>
      </c>
      <c r="AP1" t="s">
        <v>158</v>
      </c>
      <c r="AQ1" t="s">
        <v>159</v>
      </c>
      <c r="AR1" t="s">
        <v>160</v>
      </c>
      <c r="AS1" t="s">
        <v>161</v>
      </c>
      <c r="AT1" t="s">
        <v>162</v>
      </c>
      <c r="AU1" t="s">
        <v>163</v>
      </c>
      <c r="AV1" t="s">
        <v>164</v>
      </c>
      <c r="AW1" t="s">
        <v>165</v>
      </c>
      <c r="AX1" t="s">
        <v>166</v>
      </c>
      <c r="AY1" t="s">
        <v>167</v>
      </c>
      <c r="AZ1" t="s">
        <v>168</v>
      </c>
    </row>
    <row r="2" spans="1:52" x14ac:dyDescent="0.25">
      <c r="A2">
        <v>1386157</v>
      </c>
      <c r="B2" t="s">
        <v>10153</v>
      </c>
      <c r="C2" t="s">
        <v>65</v>
      </c>
      <c r="D2" t="s">
        <v>2834</v>
      </c>
      <c r="E2" t="s">
        <v>10114</v>
      </c>
      <c r="F2" t="s">
        <v>5163</v>
      </c>
      <c r="G2" t="s">
        <v>10136</v>
      </c>
      <c r="H2" t="s">
        <v>5169</v>
      </c>
      <c r="I2" t="s">
        <v>10116</v>
      </c>
      <c r="J2" t="s">
        <v>10117</v>
      </c>
      <c r="K2">
        <v>1</v>
      </c>
      <c r="L2">
        <v>2</v>
      </c>
      <c r="M2">
        <v>1</v>
      </c>
      <c r="N2">
        <v>0</v>
      </c>
      <c r="O2">
        <v>1</v>
      </c>
      <c r="P2">
        <v>2</v>
      </c>
      <c r="Q2">
        <v>7</v>
      </c>
      <c r="R2">
        <v>2</v>
      </c>
      <c r="S2">
        <v>3</v>
      </c>
      <c r="T2">
        <v>6</v>
      </c>
      <c r="U2">
        <v>15</v>
      </c>
      <c r="V2">
        <v>14</v>
      </c>
      <c r="W2">
        <v>5</v>
      </c>
      <c r="X2">
        <v>6</v>
      </c>
      <c r="Y2">
        <v>13</v>
      </c>
      <c r="Z2">
        <v>9</v>
      </c>
      <c r="AA2">
        <v>2</v>
      </c>
      <c r="AB2">
        <v>5</v>
      </c>
      <c r="AC2">
        <v>9</v>
      </c>
      <c r="AD2">
        <v>14</v>
      </c>
      <c r="AE2">
        <v>7</v>
      </c>
      <c r="AF2">
        <v>9</v>
      </c>
      <c r="AG2">
        <v>0</v>
      </c>
      <c r="AH2">
        <v>2</v>
      </c>
      <c r="AI2">
        <v>49</v>
      </c>
      <c r="AJ2">
        <v>51</v>
      </c>
      <c r="AK2">
        <v>1</v>
      </c>
      <c r="AL2">
        <v>3</v>
      </c>
      <c r="AM2">
        <v>0</v>
      </c>
      <c r="AN2">
        <v>0</v>
      </c>
      <c r="AO2">
        <v>1</v>
      </c>
      <c r="AP2">
        <v>5</v>
      </c>
      <c r="AQ2">
        <v>323</v>
      </c>
      <c r="AR2">
        <v>322</v>
      </c>
      <c r="AS2">
        <v>188</v>
      </c>
      <c r="AT2">
        <v>189</v>
      </c>
      <c r="AU2">
        <v>58</v>
      </c>
      <c r="AV2">
        <v>59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1444530</v>
      </c>
      <c r="B3" t="s">
        <v>10154</v>
      </c>
      <c r="C3" t="s">
        <v>65</v>
      </c>
      <c r="D3" t="s">
        <v>10150</v>
      </c>
      <c r="E3" t="s">
        <v>10114</v>
      </c>
      <c r="F3" t="s">
        <v>5163</v>
      </c>
      <c r="G3" t="s">
        <v>10136</v>
      </c>
      <c r="H3" t="s">
        <v>5169</v>
      </c>
      <c r="I3" t="s">
        <v>10152</v>
      </c>
      <c r="J3" t="s">
        <v>10117</v>
      </c>
      <c r="K3">
        <v>2</v>
      </c>
      <c r="L3">
        <v>2</v>
      </c>
      <c r="M3">
        <v>2</v>
      </c>
      <c r="N3">
        <v>1</v>
      </c>
      <c r="O3">
        <v>2</v>
      </c>
      <c r="P3">
        <v>2</v>
      </c>
      <c r="Q3">
        <v>4</v>
      </c>
      <c r="R3">
        <v>7</v>
      </c>
      <c r="S3">
        <v>7</v>
      </c>
      <c r="T3">
        <v>2</v>
      </c>
      <c r="U3">
        <v>11</v>
      </c>
      <c r="V3">
        <v>16</v>
      </c>
      <c r="W3">
        <v>0</v>
      </c>
      <c r="X3">
        <v>7</v>
      </c>
      <c r="Y3">
        <v>8</v>
      </c>
      <c r="Z3">
        <v>12</v>
      </c>
      <c r="AA3">
        <v>3</v>
      </c>
      <c r="AB3">
        <v>4</v>
      </c>
      <c r="AC3">
        <v>12</v>
      </c>
      <c r="AD3">
        <v>16</v>
      </c>
      <c r="AE3">
        <v>4</v>
      </c>
      <c r="AF3">
        <v>15</v>
      </c>
      <c r="AG3">
        <v>1</v>
      </c>
      <c r="AH3">
        <v>4</v>
      </c>
      <c r="AI3">
        <v>46</v>
      </c>
      <c r="AJ3">
        <v>54</v>
      </c>
      <c r="AK3">
        <v>3</v>
      </c>
      <c r="AL3">
        <v>3</v>
      </c>
      <c r="AM3">
        <v>0</v>
      </c>
      <c r="AN3">
        <v>0</v>
      </c>
      <c r="AO3">
        <v>5</v>
      </c>
      <c r="AP3">
        <v>2</v>
      </c>
      <c r="AQ3">
        <v>346</v>
      </c>
      <c r="AR3">
        <v>399</v>
      </c>
      <c r="AS3">
        <v>269</v>
      </c>
      <c r="AT3">
        <v>320</v>
      </c>
      <c r="AU3">
        <v>78</v>
      </c>
      <c r="AV3">
        <v>80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1217415</v>
      </c>
      <c r="B4" t="s">
        <v>10155</v>
      </c>
      <c r="C4" t="s">
        <v>65</v>
      </c>
      <c r="D4" t="s">
        <v>2834</v>
      </c>
      <c r="E4" t="s">
        <v>10114</v>
      </c>
      <c r="F4" t="s">
        <v>5163</v>
      </c>
      <c r="G4" t="s">
        <v>10136</v>
      </c>
      <c r="H4" t="s">
        <v>5169</v>
      </c>
      <c r="I4" t="s">
        <v>10116</v>
      </c>
      <c r="J4" t="s">
        <v>10117</v>
      </c>
      <c r="K4">
        <v>1</v>
      </c>
      <c r="L4">
        <v>4</v>
      </c>
      <c r="M4">
        <v>0</v>
      </c>
      <c r="N4">
        <v>1</v>
      </c>
      <c r="O4">
        <v>1</v>
      </c>
      <c r="P4">
        <v>4</v>
      </c>
      <c r="Q4">
        <v>2</v>
      </c>
      <c r="R4">
        <v>5</v>
      </c>
      <c r="S4">
        <v>4</v>
      </c>
      <c r="T4">
        <v>5</v>
      </c>
      <c r="U4">
        <v>8</v>
      </c>
      <c r="V4">
        <v>13</v>
      </c>
      <c r="W4">
        <v>2</v>
      </c>
      <c r="X4">
        <v>3</v>
      </c>
      <c r="Y4">
        <v>4</v>
      </c>
      <c r="Z4">
        <v>8</v>
      </c>
      <c r="AA4">
        <v>4</v>
      </c>
      <c r="AB4">
        <v>5</v>
      </c>
      <c r="AC4">
        <v>14</v>
      </c>
      <c r="AD4">
        <v>9</v>
      </c>
      <c r="AE4">
        <v>4</v>
      </c>
      <c r="AF4">
        <v>6</v>
      </c>
      <c r="AG4">
        <v>3</v>
      </c>
      <c r="AH4">
        <v>1</v>
      </c>
      <c r="AI4">
        <v>45</v>
      </c>
      <c r="AJ4">
        <v>55</v>
      </c>
      <c r="AK4">
        <v>3</v>
      </c>
      <c r="AL4">
        <v>2</v>
      </c>
      <c r="AM4">
        <v>0</v>
      </c>
      <c r="AN4">
        <v>0</v>
      </c>
      <c r="AO4">
        <v>2</v>
      </c>
      <c r="AP4">
        <v>1</v>
      </c>
      <c r="AQ4">
        <v>291</v>
      </c>
      <c r="AR4">
        <v>353</v>
      </c>
      <c r="AS4">
        <v>182</v>
      </c>
      <c r="AT4">
        <v>250</v>
      </c>
      <c r="AU4">
        <v>63</v>
      </c>
      <c r="AV4">
        <v>71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1217181</v>
      </c>
      <c r="B5" t="s">
        <v>10156</v>
      </c>
      <c r="C5" t="s">
        <v>65</v>
      </c>
      <c r="D5" t="s">
        <v>2834</v>
      </c>
      <c r="E5" t="s">
        <v>10114</v>
      </c>
      <c r="F5" t="s">
        <v>5163</v>
      </c>
      <c r="G5" t="s">
        <v>10136</v>
      </c>
      <c r="H5" t="s">
        <v>5169</v>
      </c>
      <c r="I5" t="s">
        <v>10116</v>
      </c>
      <c r="J5" t="s">
        <v>10117</v>
      </c>
      <c r="K5">
        <v>1</v>
      </c>
      <c r="L5">
        <v>1</v>
      </c>
      <c r="M5">
        <v>1</v>
      </c>
      <c r="N5">
        <v>0</v>
      </c>
      <c r="O5">
        <v>1</v>
      </c>
      <c r="P5">
        <v>1</v>
      </c>
      <c r="Q5">
        <v>4</v>
      </c>
      <c r="R5">
        <v>6</v>
      </c>
      <c r="S5">
        <v>3</v>
      </c>
      <c r="T5">
        <v>6</v>
      </c>
      <c r="U5">
        <v>9</v>
      </c>
      <c r="V5">
        <v>16</v>
      </c>
      <c r="W5">
        <v>2</v>
      </c>
      <c r="X5">
        <v>4</v>
      </c>
      <c r="Y5">
        <v>7</v>
      </c>
      <c r="Z5">
        <v>12</v>
      </c>
      <c r="AA5">
        <v>2</v>
      </c>
      <c r="AB5">
        <v>4</v>
      </c>
      <c r="AC5">
        <v>10</v>
      </c>
      <c r="AD5">
        <v>14</v>
      </c>
      <c r="AE5">
        <v>5</v>
      </c>
      <c r="AF5">
        <v>4</v>
      </c>
      <c r="AG5">
        <v>0</v>
      </c>
      <c r="AH5">
        <v>2</v>
      </c>
      <c r="AI5">
        <v>62</v>
      </c>
      <c r="AJ5">
        <v>38</v>
      </c>
      <c r="AK5">
        <v>3</v>
      </c>
      <c r="AL5">
        <v>3</v>
      </c>
      <c r="AM5">
        <v>0</v>
      </c>
      <c r="AN5">
        <v>0</v>
      </c>
      <c r="AO5">
        <v>5</v>
      </c>
      <c r="AP5">
        <v>3</v>
      </c>
      <c r="AQ5">
        <v>423</v>
      </c>
      <c r="AR5">
        <v>250</v>
      </c>
      <c r="AS5">
        <v>291</v>
      </c>
      <c r="AT5">
        <v>139</v>
      </c>
      <c r="AU5">
        <v>69</v>
      </c>
      <c r="AV5">
        <v>56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875992</v>
      </c>
      <c r="B6" t="s">
        <v>10157</v>
      </c>
      <c r="C6" t="s">
        <v>65</v>
      </c>
      <c r="D6" t="s">
        <v>266</v>
      </c>
      <c r="E6" t="s">
        <v>10114</v>
      </c>
      <c r="F6" t="s">
        <v>5163</v>
      </c>
      <c r="G6" t="s">
        <v>10136</v>
      </c>
      <c r="H6" t="s">
        <v>5169</v>
      </c>
      <c r="I6" t="s">
        <v>10158</v>
      </c>
      <c r="J6" t="s">
        <v>10117</v>
      </c>
      <c r="K6">
        <v>2</v>
      </c>
      <c r="L6">
        <v>5</v>
      </c>
      <c r="M6">
        <v>0</v>
      </c>
      <c r="N6">
        <v>2</v>
      </c>
      <c r="O6">
        <v>2</v>
      </c>
      <c r="P6">
        <v>5</v>
      </c>
      <c r="Q6">
        <v>3</v>
      </c>
      <c r="R6">
        <v>6</v>
      </c>
      <c r="S6">
        <v>8</v>
      </c>
      <c r="T6">
        <v>12</v>
      </c>
      <c r="U6">
        <v>15</v>
      </c>
      <c r="V6">
        <v>22</v>
      </c>
      <c r="W6">
        <v>4</v>
      </c>
      <c r="X6">
        <v>4</v>
      </c>
      <c r="Y6">
        <v>9</v>
      </c>
      <c r="Z6">
        <v>16</v>
      </c>
      <c r="AA6">
        <v>6</v>
      </c>
      <c r="AB6">
        <v>6</v>
      </c>
      <c r="AC6">
        <v>14</v>
      </c>
      <c r="AD6">
        <v>15</v>
      </c>
      <c r="AE6">
        <v>5</v>
      </c>
      <c r="AF6">
        <v>6</v>
      </c>
      <c r="AG6">
        <v>0</v>
      </c>
      <c r="AH6">
        <v>6</v>
      </c>
      <c r="AI6">
        <v>43</v>
      </c>
      <c r="AJ6">
        <v>57</v>
      </c>
      <c r="AK6">
        <v>2</v>
      </c>
      <c r="AL6">
        <v>4</v>
      </c>
      <c r="AM6">
        <v>1</v>
      </c>
      <c r="AN6">
        <v>0</v>
      </c>
      <c r="AO6">
        <v>1</v>
      </c>
      <c r="AP6">
        <v>1</v>
      </c>
      <c r="AQ6">
        <v>240</v>
      </c>
      <c r="AR6">
        <v>328</v>
      </c>
      <c r="AS6">
        <v>127</v>
      </c>
      <c r="AT6">
        <v>218</v>
      </c>
      <c r="AU6">
        <v>53</v>
      </c>
      <c r="AV6">
        <v>66</v>
      </c>
      <c r="AW6">
        <v>0</v>
      </c>
      <c r="AX6">
        <v>0</v>
      </c>
      <c r="AY6">
        <v>0</v>
      </c>
      <c r="AZ6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3BAB3-7EB4-4142-8286-4880377BD543}">
  <sheetPr codeName="Sheet18"/>
  <dimension ref="A1:B2"/>
  <sheetViews>
    <sheetView workbookViewId="0"/>
  </sheetViews>
  <sheetFormatPr defaultRowHeight="15" x14ac:dyDescent="0.25"/>
  <cols>
    <col min="1" max="1" width="45.7109375" customWidth="1"/>
    <col min="2" max="2" width="22.7109375" customWidth="1"/>
  </cols>
  <sheetData>
    <row r="1" spans="1:2" x14ac:dyDescent="0.25">
      <c r="A1" t="s">
        <v>531</v>
      </c>
      <c r="B1" t="s">
        <v>532</v>
      </c>
    </row>
    <row r="2" spans="1:2" x14ac:dyDescent="0.25">
      <c r="A2" t="s">
        <v>533</v>
      </c>
      <c r="B2" s="26">
        <v>46085.893854166665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741E-EC50-4275-9902-36EDE77746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Prematch</vt:lpstr>
      <vt:lpstr>Slip Generator</vt:lpstr>
      <vt:lpstr>ApiKey</vt:lpstr>
      <vt:lpstr>FixtureID</vt:lpstr>
      <vt:lpstr>ListBox</vt:lpstr>
      <vt:lpstr>LIVE_ENABLED</vt:lpstr>
      <vt:lpstr>SelectedDate</vt:lpstr>
      <vt:lpstr>TG_CHATID</vt:lpstr>
      <vt:lpstr>TG_ENABLED</vt:lpstr>
      <vt:lpstr>TG_TOKEN</vt:lpstr>
      <vt:lpstr>TZ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Nicolae Vlad Moraru</dc:creator>
  <cp:lastModifiedBy>Nicolae Vlad Moraru</cp:lastModifiedBy>
  <dcterms:created xsi:type="dcterms:W3CDTF">2015-06-05T18:17:20Z</dcterms:created>
  <dcterms:modified xsi:type="dcterms:W3CDTF">2026-04-10T22:44:15Z</dcterms:modified>
</cp:coreProperties>
</file>