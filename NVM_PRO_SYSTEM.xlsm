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\Desktop\NVM SOFT 2026\"/>
    </mc:Choice>
  </mc:AlternateContent>
  <xr:revisionPtr revIDLastSave="0" documentId="13_ncr:1_{2DE30B11-9AC9-41DE-8C63-CEB6469A673F}" xr6:coauthVersionLast="47" xr6:coauthVersionMax="47" xr10:uidLastSave="{00000000-0000-0000-0000-000000000000}"/>
  <workbookProtection workbookAlgorithmName="SHA-512" workbookHashValue="vkHTGvCPYiYjzwDUVfcmQOk++THShUHDebybGNGZEP8EZzXspK3e89qi4du7DSfLipmlYbAoxoIcV68RHqNTig==" workbookSaltValue="fV1jnd96vldD2vY1riTSPQ==" workbookSpinCount="100000" lockStructure="1"/>
  <bookViews>
    <workbookView xWindow="28680" yWindow="-120" windowWidth="29040" windowHeight="15720" tabRatio="908" firstSheet="2" activeTab="2" xr2:uid="{00000000-000D-0000-FFFF-FFFF00000000}"/>
  </bookViews>
  <sheets>
    <sheet name="Control" sheetId="2" state="veryHidden" r:id="rId1"/>
    <sheet name="Account Settings" sheetId="19" state="veryHidden" r:id="rId2"/>
    <sheet name="Prematch" sheetId="3" r:id="rId3"/>
    <sheet name="_ScoreCache" sheetId="18" state="veryHidden" r:id="rId4"/>
    <sheet name="Slip Generator" sheetId="11" r:id="rId5"/>
    <sheet name="Fixtures_Prematch_Today" sheetId="4" state="hidden" r:id="rId6"/>
    <sheet name="Fixtures_Prematch_Tomorrow" sheetId="5" state="hidden" r:id="rId7"/>
    <sheet name="Fixtures_Prematch_DayAfter" sheetId="6" state="hidden" r:id="rId8"/>
    <sheet name="Game_Standings_ByFixtureID" sheetId="7" state="hidden" r:id="rId9"/>
    <sheet name="Last10Home_Stats_All" sheetId="8" state="hidden" r:id="rId10"/>
    <sheet name="Last10Away_Stats_All" sheetId="9" state="hidden" r:id="rId11"/>
    <sheet name="H2H_Last5_Stats_All" sheetId="10" state="hidden" r:id="rId12"/>
    <sheet name="TG_SentLog" sheetId="21" state="veryHidden" r:id="rId13"/>
  </sheets>
  <functionGroups builtInGroupCount="19"/>
  <definedNames>
    <definedName name="ApiKey">Control!$B$1</definedName>
    <definedName name="ExternalData_1" localSheetId="7" hidden="1">Fixtures_Prematch_DayAfter!$A$1:$H$135</definedName>
    <definedName name="ExternalData_1" localSheetId="5" hidden="1">Fixtures_Prematch_Today!$A$1:$H$141</definedName>
    <definedName name="ExternalData_1" localSheetId="8" hidden="1">Game_Standings_ByFixtureID!$A$1:$K$2</definedName>
    <definedName name="ExternalData_1" localSheetId="11" hidden="1">H2H_Last5_Stats_All!$A$1:$AZ$2</definedName>
    <definedName name="ExternalData_1" localSheetId="9" hidden="1">Last10Home_Stats_All!$A$1:$AZ$11</definedName>
    <definedName name="ExternalData_2" localSheetId="6" hidden="1">Fixtures_Prematch_Tomorrow!$A$1:$H$1070</definedName>
    <definedName name="ExternalData_2" localSheetId="10" hidden="1">Last10Away_Stats_All!$A$1:$AZ$11</definedName>
    <definedName name="FixtureID">Control!$B$10</definedName>
    <definedName name="ListBox">Control!$B$8</definedName>
    <definedName name="LIVE_ENABLED">Control!$B$40</definedName>
    <definedName name="SelectedDate">Control!$E$4</definedName>
    <definedName name="SlipNumbers">OFFSET('Slip Generator'!$Z$5,0,0,'Slip Generator'!$Z$2,1)</definedName>
    <definedName name="TG_CHATID">Control!$B$30</definedName>
    <definedName name="TG_ENABLED">Control!$B$35</definedName>
    <definedName name="TG_TOKEN">Control!$A$30</definedName>
    <definedName name="TZ">Control!$B$2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" i="11" l="1"/>
  <c r="R31" i="2"/>
  <c r="T35" i="3" s="1"/>
  <c r="S31" i="2"/>
  <c r="T31" i="2"/>
  <c r="U35" i="3" s="1"/>
  <c r="U31" i="2"/>
  <c r="V31" i="2"/>
  <c r="W35" i="3" s="1"/>
  <c r="W31" i="2"/>
  <c r="X31" i="2"/>
  <c r="AA35" i="3" s="1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R32" i="2"/>
  <c r="T36" i="3" s="1"/>
  <c r="S32" i="2"/>
  <c r="T32" i="2"/>
  <c r="U36" i="3" s="1"/>
  <c r="U32" i="2"/>
  <c r="V32" i="2"/>
  <c r="W36" i="3" s="1"/>
  <c r="W32" i="2"/>
  <c r="X32" i="2"/>
  <c r="AA36" i="3" s="1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R33" i="2"/>
  <c r="T37" i="3" s="1"/>
  <c r="S33" i="2"/>
  <c r="T33" i="2"/>
  <c r="U37" i="3" s="1"/>
  <c r="U33" i="2"/>
  <c r="V33" i="2"/>
  <c r="W37" i="3" s="1"/>
  <c r="W33" i="2"/>
  <c r="X33" i="2"/>
  <c r="AA37" i="3" s="1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R34" i="2"/>
  <c r="T38" i="3" s="1"/>
  <c r="S34" i="2"/>
  <c r="T34" i="2"/>
  <c r="U38" i="3" s="1"/>
  <c r="U34" i="2"/>
  <c r="V34" i="2"/>
  <c r="W38" i="3" s="1"/>
  <c r="W34" i="2"/>
  <c r="X34" i="2"/>
  <c r="AA38" i="3" s="1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R35" i="2"/>
  <c r="T39" i="3" s="1"/>
  <c r="S35" i="2"/>
  <c r="T35" i="2"/>
  <c r="U39" i="3" s="1"/>
  <c r="U35" i="2"/>
  <c r="V35" i="2"/>
  <c r="W39" i="3" s="1"/>
  <c r="W35" i="2"/>
  <c r="X35" i="2"/>
  <c r="AA39" i="3" s="1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Q32" i="2"/>
  <c r="Q33" i="2"/>
  <c r="Q34" i="2"/>
  <c r="Q35" i="2"/>
  <c r="Q31" i="2"/>
  <c r="R16" i="2"/>
  <c r="T20" i="3" s="1"/>
  <c r="S16" i="2"/>
  <c r="T16" i="2"/>
  <c r="U20" i="3" s="1"/>
  <c r="U16" i="2"/>
  <c r="V16" i="2"/>
  <c r="W20" i="3" s="1"/>
  <c r="W16" i="2"/>
  <c r="X16" i="2"/>
  <c r="AA20" i="3" s="1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R17" i="2"/>
  <c r="T21" i="3" s="1"/>
  <c r="S17" i="2"/>
  <c r="T17" i="2"/>
  <c r="U21" i="3" s="1"/>
  <c r="U17" i="2"/>
  <c r="V17" i="2"/>
  <c r="W21" i="3" s="1"/>
  <c r="W17" i="2"/>
  <c r="X17" i="2"/>
  <c r="AA21" i="3" s="1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R18" i="2"/>
  <c r="T22" i="3" s="1"/>
  <c r="S18" i="2"/>
  <c r="T18" i="2"/>
  <c r="U22" i="3" s="1"/>
  <c r="U18" i="2"/>
  <c r="V18" i="2"/>
  <c r="W22" i="3" s="1"/>
  <c r="W18" i="2"/>
  <c r="X18" i="2"/>
  <c r="AA22" i="3" s="1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R19" i="2"/>
  <c r="T23" i="3" s="1"/>
  <c r="S19" i="2"/>
  <c r="T19" i="2"/>
  <c r="U23" i="3" s="1"/>
  <c r="U19" i="2"/>
  <c r="V19" i="2"/>
  <c r="W23" i="3" s="1"/>
  <c r="W19" i="2"/>
  <c r="X19" i="2"/>
  <c r="AA23" i="3" s="1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R20" i="2"/>
  <c r="T24" i="3" s="1"/>
  <c r="S20" i="2"/>
  <c r="T20" i="2"/>
  <c r="U24" i="3" s="1"/>
  <c r="U20" i="2"/>
  <c r="V20" i="2"/>
  <c r="W24" i="3" s="1"/>
  <c r="W20" i="2"/>
  <c r="X20" i="2"/>
  <c r="AA24" i="3" s="1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R21" i="2"/>
  <c r="T25" i="3" s="1"/>
  <c r="S21" i="2"/>
  <c r="T21" i="2"/>
  <c r="U25" i="3" s="1"/>
  <c r="U21" i="2"/>
  <c r="V21" i="2"/>
  <c r="W25" i="3" s="1"/>
  <c r="W21" i="2"/>
  <c r="X21" i="2"/>
  <c r="AA25" i="3" s="1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R22" i="2"/>
  <c r="T26" i="3" s="1"/>
  <c r="S22" i="2"/>
  <c r="T22" i="2"/>
  <c r="U26" i="3" s="1"/>
  <c r="U22" i="2"/>
  <c r="V22" i="2"/>
  <c r="W26" i="3" s="1"/>
  <c r="W22" i="2"/>
  <c r="X22" i="2"/>
  <c r="AA26" i="3" s="1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R23" i="2"/>
  <c r="T27" i="3" s="1"/>
  <c r="S23" i="2"/>
  <c r="T23" i="2"/>
  <c r="U27" i="3" s="1"/>
  <c r="U23" i="2"/>
  <c r="V23" i="2"/>
  <c r="W27" i="3" s="1"/>
  <c r="W23" i="2"/>
  <c r="X23" i="2"/>
  <c r="AA27" i="3" s="1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R24" i="2"/>
  <c r="T28" i="3" s="1"/>
  <c r="S24" i="2"/>
  <c r="T24" i="2"/>
  <c r="U28" i="3" s="1"/>
  <c r="U24" i="2"/>
  <c r="V24" i="2"/>
  <c r="W28" i="3" s="1"/>
  <c r="W24" i="2"/>
  <c r="X24" i="2"/>
  <c r="AA28" i="3" s="1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R25" i="2"/>
  <c r="T29" i="3" s="1"/>
  <c r="S25" i="2"/>
  <c r="T25" i="2"/>
  <c r="U29" i="3" s="1"/>
  <c r="U25" i="2"/>
  <c r="V25" i="2"/>
  <c r="W29" i="3" s="1"/>
  <c r="W25" i="2"/>
  <c r="X25" i="2"/>
  <c r="AA29" i="3" s="1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Q17" i="2"/>
  <c r="Q18" i="2"/>
  <c r="Q19" i="2"/>
  <c r="Q20" i="2"/>
  <c r="Q21" i="2"/>
  <c r="Q22" i="2"/>
  <c r="Q23" i="2"/>
  <c r="Q24" i="2"/>
  <c r="Q25" i="2"/>
  <c r="Q16" i="2"/>
  <c r="R2" i="2"/>
  <c r="T5" i="3" s="1"/>
  <c r="S2" i="2"/>
  <c r="T2" i="2"/>
  <c r="U5" i="3" s="1"/>
  <c r="U2" i="2"/>
  <c r="V2" i="2"/>
  <c r="W5" i="3" s="1"/>
  <c r="W2" i="2"/>
  <c r="X2" i="2"/>
  <c r="AA5" i="3" s="1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R3" i="2"/>
  <c r="T6" i="3" s="1"/>
  <c r="S3" i="2"/>
  <c r="T3" i="2"/>
  <c r="U6" i="3" s="1"/>
  <c r="U3" i="2"/>
  <c r="V3" i="2"/>
  <c r="W6" i="3" s="1"/>
  <c r="W3" i="2"/>
  <c r="X3" i="2"/>
  <c r="AA6" i="3" s="1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R4" i="2"/>
  <c r="T7" i="3" s="1"/>
  <c r="S4" i="2"/>
  <c r="T4" i="2"/>
  <c r="U7" i="3" s="1"/>
  <c r="U4" i="2"/>
  <c r="V4" i="2"/>
  <c r="W7" i="3" s="1"/>
  <c r="W4" i="2"/>
  <c r="X4" i="2"/>
  <c r="AA7" i="3" s="1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R5" i="2"/>
  <c r="T8" i="3" s="1"/>
  <c r="S5" i="2"/>
  <c r="T5" i="2"/>
  <c r="U8" i="3" s="1"/>
  <c r="U5" i="2"/>
  <c r="V5" i="2"/>
  <c r="W8" i="3" s="1"/>
  <c r="W5" i="2"/>
  <c r="X5" i="2"/>
  <c r="AA8" i="3" s="1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R6" i="2"/>
  <c r="T9" i="3" s="1"/>
  <c r="S6" i="2"/>
  <c r="T6" i="2"/>
  <c r="U9" i="3" s="1"/>
  <c r="U6" i="2"/>
  <c r="V6" i="2"/>
  <c r="W9" i="3" s="1"/>
  <c r="W6" i="2"/>
  <c r="X6" i="2"/>
  <c r="AA9" i="3" s="1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R7" i="2"/>
  <c r="T10" i="3" s="1"/>
  <c r="S7" i="2"/>
  <c r="T7" i="2"/>
  <c r="U10" i="3" s="1"/>
  <c r="U7" i="2"/>
  <c r="V7" i="2"/>
  <c r="W10" i="3" s="1"/>
  <c r="W7" i="2"/>
  <c r="X7" i="2"/>
  <c r="AA10" i="3" s="1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R8" i="2"/>
  <c r="T11" i="3" s="1"/>
  <c r="S8" i="2"/>
  <c r="T8" i="2"/>
  <c r="U11" i="3" s="1"/>
  <c r="U8" i="2"/>
  <c r="V8" i="2"/>
  <c r="W11" i="3" s="1"/>
  <c r="W8" i="2"/>
  <c r="X8" i="2"/>
  <c r="AA11" i="3" s="1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R9" i="2"/>
  <c r="T12" i="3" s="1"/>
  <c r="S9" i="2"/>
  <c r="T9" i="2"/>
  <c r="U12" i="3" s="1"/>
  <c r="U9" i="2"/>
  <c r="V9" i="2"/>
  <c r="W12" i="3" s="1"/>
  <c r="W9" i="2"/>
  <c r="X9" i="2"/>
  <c r="AA12" i="3" s="1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R10" i="2"/>
  <c r="T13" i="3" s="1"/>
  <c r="S10" i="2"/>
  <c r="T10" i="2"/>
  <c r="U13" i="3" s="1"/>
  <c r="U10" i="2"/>
  <c r="V10" i="2"/>
  <c r="W13" i="3" s="1"/>
  <c r="W10" i="2"/>
  <c r="X10" i="2"/>
  <c r="AA13" i="3" s="1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R11" i="2"/>
  <c r="T14" i="3" s="1"/>
  <c r="S11" i="2"/>
  <c r="T11" i="2"/>
  <c r="U14" i="3" s="1"/>
  <c r="U11" i="2"/>
  <c r="V11" i="2"/>
  <c r="W14" i="3" s="1"/>
  <c r="W11" i="2"/>
  <c r="X11" i="2"/>
  <c r="AA14" i="3" s="1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Q4" i="2"/>
  <c r="Q5" i="2"/>
  <c r="Q6" i="2"/>
  <c r="Q7" i="2"/>
  <c r="Q8" i="2"/>
  <c r="Q9" i="2"/>
  <c r="Q10" i="2"/>
  <c r="Q11" i="2"/>
  <c r="Q3" i="2"/>
  <c r="Q2" i="2"/>
  <c r="BV36" i="2"/>
  <c r="AH39" i="3" s="1"/>
  <c r="BW36" i="2"/>
  <c r="AI39" i="3" s="1"/>
  <c r="BX36" i="2"/>
  <c r="AJ39" i="3" s="1"/>
  <c r="BY36" i="2"/>
  <c r="AK39" i="3" s="1"/>
  <c r="BZ36" i="2"/>
  <c r="AL39" i="3" s="1"/>
  <c r="CA36" i="2"/>
  <c r="AM39" i="3" s="1"/>
  <c r="CB36" i="2"/>
  <c r="AN39" i="3" s="1"/>
  <c r="CC36" i="2"/>
  <c r="AO39" i="3" s="1"/>
  <c r="CD36" i="2"/>
  <c r="AP39" i="3" s="1"/>
  <c r="CE36" i="2"/>
  <c r="AQ39" i="3" s="1"/>
  <c r="CF36" i="2"/>
  <c r="CG36" i="2" s="1"/>
  <c r="AR39" i="3" s="1"/>
  <c r="BV37" i="2"/>
  <c r="AH40" i="3" s="1"/>
  <c r="BW37" i="2"/>
  <c r="AI40" i="3" s="1"/>
  <c r="BX37" i="2"/>
  <c r="AJ40" i="3" s="1"/>
  <c r="BY37" i="2"/>
  <c r="AK40" i="3" s="1"/>
  <c r="BZ37" i="2"/>
  <c r="AL40" i="3" s="1"/>
  <c r="CA37" i="2"/>
  <c r="AM40" i="3" s="1"/>
  <c r="CB37" i="2"/>
  <c r="AN40" i="3" s="1"/>
  <c r="CC37" i="2"/>
  <c r="AO40" i="3" s="1"/>
  <c r="CD37" i="2"/>
  <c r="AP40" i="3" s="1"/>
  <c r="CE37" i="2"/>
  <c r="AQ40" i="3" s="1"/>
  <c r="CF37" i="2"/>
  <c r="CJ37" i="2" s="1"/>
  <c r="AU40" i="3" s="1"/>
  <c r="BV38" i="2"/>
  <c r="AH41" i="3" s="1"/>
  <c r="BW38" i="2"/>
  <c r="AI41" i="3" s="1"/>
  <c r="BX38" i="2"/>
  <c r="AJ41" i="3" s="1"/>
  <c r="BY38" i="2"/>
  <c r="AK41" i="3" s="1"/>
  <c r="BZ38" i="2"/>
  <c r="AL41" i="3" s="1"/>
  <c r="CA38" i="2"/>
  <c r="AM41" i="3" s="1"/>
  <c r="CB38" i="2"/>
  <c r="AN41" i="3" s="1"/>
  <c r="CC38" i="2"/>
  <c r="AO41" i="3" s="1"/>
  <c r="CD38" i="2"/>
  <c r="AP41" i="3" s="1"/>
  <c r="CE38" i="2"/>
  <c r="AQ41" i="3" s="1"/>
  <c r="CF38" i="2"/>
  <c r="CG38" i="2" s="1"/>
  <c r="AR41" i="3" s="1"/>
  <c r="BV39" i="2"/>
  <c r="AH42" i="3" s="1"/>
  <c r="BW39" i="2"/>
  <c r="AI42" i="3" s="1"/>
  <c r="BX39" i="2"/>
  <c r="AJ42" i="3" s="1"/>
  <c r="BY39" i="2"/>
  <c r="AK42" i="3" s="1"/>
  <c r="BZ39" i="2"/>
  <c r="AL42" i="3" s="1"/>
  <c r="CA39" i="2"/>
  <c r="AM42" i="3" s="1"/>
  <c r="CB39" i="2"/>
  <c r="AN42" i="3" s="1"/>
  <c r="CC39" i="2"/>
  <c r="AO42" i="3" s="1"/>
  <c r="CD39" i="2"/>
  <c r="AP42" i="3" s="1"/>
  <c r="CE39" i="2"/>
  <c r="AQ42" i="3" s="1"/>
  <c r="CF39" i="2"/>
  <c r="CH39" i="2" s="1"/>
  <c r="AS42" i="3" s="1"/>
  <c r="BV40" i="2"/>
  <c r="AH43" i="3" s="1"/>
  <c r="BW40" i="2"/>
  <c r="AI43" i="3" s="1"/>
  <c r="BX40" i="2"/>
  <c r="AJ43" i="3" s="1"/>
  <c r="BY40" i="2"/>
  <c r="AK43" i="3" s="1"/>
  <c r="BZ40" i="2"/>
  <c r="AL43" i="3" s="1"/>
  <c r="CA40" i="2"/>
  <c r="AM43" i="3" s="1"/>
  <c r="CB40" i="2"/>
  <c r="AN43" i="3" s="1"/>
  <c r="CC40" i="2"/>
  <c r="AO43" i="3" s="1"/>
  <c r="CD40" i="2"/>
  <c r="AP43" i="3" s="1"/>
  <c r="CE40" i="2"/>
  <c r="AQ43" i="3" s="1"/>
  <c r="CF40" i="2"/>
  <c r="CG40" i="2" s="1"/>
  <c r="AR43" i="3" s="1"/>
  <c r="BV41" i="2"/>
  <c r="AH44" i="3" s="1"/>
  <c r="BW41" i="2"/>
  <c r="AI44" i="3" s="1"/>
  <c r="BX41" i="2"/>
  <c r="AJ44" i="3" s="1"/>
  <c r="BY41" i="2"/>
  <c r="AK44" i="3" s="1"/>
  <c r="BZ41" i="2"/>
  <c r="AL44" i="3" s="1"/>
  <c r="CA41" i="2"/>
  <c r="AM44" i="3" s="1"/>
  <c r="CB41" i="2"/>
  <c r="AN44" i="3" s="1"/>
  <c r="CC41" i="2"/>
  <c r="AO44" i="3" s="1"/>
  <c r="CD41" i="2"/>
  <c r="AP44" i="3" s="1"/>
  <c r="CE41" i="2"/>
  <c r="AQ44" i="3" s="1"/>
  <c r="CF41" i="2"/>
  <c r="CH41" i="2" s="1"/>
  <c r="AS44" i="3" s="1"/>
  <c r="BV42" i="2"/>
  <c r="AH45" i="3" s="1"/>
  <c r="BW42" i="2"/>
  <c r="AI45" i="3" s="1"/>
  <c r="BX42" i="2"/>
  <c r="AJ45" i="3" s="1"/>
  <c r="BY42" i="2"/>
  <c r="AK45" i="3" s="1"/>
  <c r="BZ42" i="2"/>
  <c r="AL45" i="3" s="1"/>
  <c r="CA42" i="2"/>
  <c r="AM45" i="3" s="1"/>
  <c r="CB42" i="2"/>
  <c r="AN45" i="3" s="1"/>
  <c r="CC42" i="2"/>
  <c r="AO45" i="3" s="1"/>
  <c r="CD42" i="2"/>
  <c r="AP45" i="3" s="1"/>
  <c r="CE42" i="2"/>
  <c r="AQ45" i="3" s="1"/>
  <c r="CF42" i="2"/>
  <c r="CG42" i="2" s="1"/>
  <c r="AR45" i="3" s="1"/>
  <c r="BV43" i="2"/>
  <c r="AH46" i="3" s="1"/>
  <c r="BW43" i="2"/>
  <c r="AI46" i="3" s="1"/>
  <c r="BX43" i="2"/>
  <c r="AJ46" i="3" s="1"/>
  <c r="BY43" i="2"/>
  <c r="AK46" i="3" s="1"/>
  <c r="BZ43" i="2"/>
  <c r="AL46" i="3" s="1"/>
  <c r="CA43" i="2"/>
  <c r="AM46" i="3" s="1"/>
  <c r="CB43" i="2"/>
  <c r="AN46" i="3" s="1"/>
  <c r="CC43" i="2"/>
  <c r="AO46" i="3" s="1"/>
  <c r="CD43" i="2"/>
  <c r="AP46" i="3" s="1"/>
  <c r="CE43" i="2"/>
  <c r="AQ46" i="3" s="1"/>
  <c r="CF43" i="2"/>
  <c r="CJ43" i="2" s="1"/>
  <c r="AU46" i="3" s="1"/>
  <c r="BV44" i="2"/>
  <c r="AH47" i="3" s="1"/>
  <c r="BW44" i="2"/>
  <c r="AI47" i="3" s="1"/>
  <c r="BX44" i="2"/>
  <c r="AJ47" i="3" s="1"/>
  <c r="BY44" i="2"/>
  <c r="AK47" i="3" s="1"/>
  <c r="BZ44" i="2"/>
  <c r="AL47" i="3" s="1"/>
  <c r="CA44" i="2"/>
  <c r="AM47" i="3" s="1"/>
  <c r="CB44" i="2"/>
  <c r="AN47" i="3" s="1"/>
  <c r="CC44" i="2"/>
  <c r="AO47" i="3" s="1"/>
  <c r="CD44" i="2"/>
  <c r="AP47" i="3" s="1"/>
  <c r="CE44" i="2"/>
  <c r="AQ47" i="3" s="1"/>
  <c r="CF44" i="2"/>
  <c r="CK44" i="2" s="1"/>
  <c r="AV47" i="3" s="1"/>
  <c r="BV45" i="2"/>
  <c r="AH48" i="3" s="1"/>
  <c r="BW45" i="2"/>
  <c r="AI48" i="3" s="1"/>
  <c r="BX45" i="2"/>
  <c r="AJ48" i="3" s="1"/>
  <c r="BY45" i="2"/>
  <c r="AK48" i="3" s="1"/>
  <c r="BZ45" i="2"/>
  <c r="AL48" i="3" s="1"/>
  <c r="CA45" i="2"/>
  <c r="AM48" i="3" s="1"/>
  <c r="CB45" i="2"/>
  <c r="AN48" i="3" s="1"/>
  <c r="CC45" i="2"/>
  <c r="AO48" i="3" s="1"/>
  <c r="CD45" i="2"/>
  <c r="AP48" i="3" s="1"/>
  <c r="CE45" i="2"/>
  <c r="AQ48" i="3" s="1"/>
  <c r="CF45" i="2"/>
  <c r="BV46" i="2"/>
  <c r="AH49" i="3" s="1"/>
  <c r="BW46" i="2"/>
  <c r="AI49" i="3" s="1"/>
  <c r="BX46" i="2"/>
  <c r="AJ49" i="3" s="1"/>
  <c r="BY46" i="2"/>
  <c r="AK49" i="3" s="1"/>
  <c r="BZ46" i="2"/>
  <c r="AL49" i="3" s="1"/>
  <c r="CA46" i="2"/>
  <c r="AM49" i="3" s="1"/>
  <c r="CB46" i="2"/>
  <c r="AN49" i="3" s="1"/>
  <c r="CC46" i="2"/>
  <c r="AO49" i="3" s="1"/>
  <c r="CD46" i="2"/>
  <c r="AP49" i="3" s="1"/>
  <c r="CE46" i="2"/>
  <c r="AQ49" i="3" s="1"/>
  <c r="CF46" i="2"/>
  <c r="BV47" i="2"/>
  <c r="AH50" i="3" s="1"/>
  <c r="BW47" i="2"/>
  <c r="AI50" i="3" s="1"/>
  <c r="BX47" i="2"/>
  <c r="AJ50" i="3" s="1"/>
  <c r="BY47" i="2"/>
  <c r="AK50" i="3" s="1"/>
  <c r="BZ47" i="2"/>
  <c r="AL50" i="3" s="1"/>
  <c r="CA47" i="2"/>
  <c r="AM50" i="3" s="1"/>
  <c r="CB47" i="2"/>
  <c r="AN50" i="3" s="1"/>
  <c r="CC47" i="2"/>
  <c r="AO50" i="3" s="1"/>
  <c r="CD47" i="2"/>
  <c r="AP50" i="3" s="1"/>
  <c r="CE47" i="2"/>
  <c r="AQ50" i="3" s="1"/>
  <c r="CF47" i="2"/>
  <c r="CH47" i="2" s="1"/>
  <c r="AS50" i="3" s="1"/>
  <c r="BV48" i="2"/>
  <c r="BW48" i="2"/>
  <c r="BX48" i="2"/>
  <c r="BY48" i="2"/>
  <c r="BZ48" i="2"/>
  <c r="CA48" i="2"/>
  <c r="CB48" i="2"/>
  <c r="CC48" i="2"/>
  <c r="CD48" i="2"/>
  <c r="CE48" i="2"/>
  <c r="CF48" i="2"/>
  <c r="CI48" i="2" s="1"/>
  <c r="BV49" i="2"/>
  <c r="BW49" i="2"/>
  <c r="BX49" i="2"/>
  <c r="BY49" i="2"/>
  <c r="BZ49" i="2"/>
  <c r="CA49" i="2"/>
  <c r="CB49" i="2"/>
  <c r="CC49" i="2"/>
  <c r="CD49" i="2"/>
  <c r="CE49" i="2"/>
  <c r="CF49" i="2"/>
  <c r="CH49" i="2" s="1"/>
  <c r="BV50" i="2"/>
  <c r="BW50" i="2"/>
  <c r="BX50" i="2"/>
  <c r="BY50" i="2"/>
  <c r="BZ50" i="2"/>
  <c r="CA50" i="2"/>
  <c r="CB50" i="2"/>
  <c r="CC50" i="2"/>
  <c r="CD50" i="2"/>
  <c r="CE50" i="2"/>
  <c r="CF50" i="2"/>
  <c r="CG50" i="2" s="1"/>
  <c r="BV2" i="2"/>
  <c r="AH5" i="3" s="1"/>
  <c r="BW2" i="2"/>
  <c r="AI5" i="3" s="1"/>
  <c r="BX2" i="2"/>
  <c r="AJ5" i="3" s="1"/>
  <c r="BY2" i="2"/>
  <c r="AK5" i="3" s="1"/>
  <c r="BZ2" i="2"/>
  <c r="AL5" i="3" s="1"/>
  <c r="CA2" i="2"/>
  <c r="AM5" i="3" s="1"/>
  <c r="CB2" i="2"/>
  <c r="AN5" i="3" s="1"/>
  <c r="CC2" i="2"/>
  <c r="AO5" i="3" s="1"/>
  <c r="CD2" i="2"/>
  <c r="AP5" i="3" s="1"/>
  <c r="CE2" i="2"/>
  <c r="AQ5" i="3" s="1"/>
  <c r="CF2" i="2"/>
  <c r="CH2" i="2" s="1"/>
  <c r="AS5" i="3" s="1"/>
  <c r="BV3" i="2"/>
  <c r="AH6" i="3" s="1"/>
  <c r="BW3" i="2"/>
  <c r="AI6" i="3" s="1"/>
  <c r="BX3" i="2"/>
  <c r="AJ6" i="3" s="1"/>
  <c r="BY3" i="2"/>
  <c r="AK6" i="3" s="1"/>
  <c r="BZ3" i="2"/>
  <c r="AL6" i="3" s="1"/>
  <c r="CA3" i="2"/>
  <c r="AM6" i="3" s="1"/>
  <c r="CB3" i="2"/>
  <c r="AN6" i="3" s="1"/>
  <c r="CC3" i="2"/>
  <c r="AO6" i="3" s="1"/>
  <c r="CD3" i="2"/>
  <c r="AP6" i="3" s="1"/>
  <c r="CE3" i="2"/>
  <c r="AQ6" i="3" s="1"/>
  <c r="CF3" i="2"/>
  <c r="CH3" i="2" s="1"/>
  <c r="AS6" i="3" s="1"/>
  <c r="BV4" i="2"/>
  <c r="AH7" i="3" s="1"/>
  <c r="BW4" i="2"/>
  <c r="AI7" i="3" s="1"/>
  <c r="BX4" i="2"/>
  <c r="AJ7" i="3" s="1"/>
  <c r="BY4" i="2"/>
  <c r="AK7" i="3" s="1"/>
  <c r="BZ4" i="2"/>
  <c r="AL7" i="3" s="1"/>
  <c r="CA4" i="2"/>
  <c r="AM7" i="3" s="1"/>
  <c r="CB4" i="2"/>
  <c r="AN7" i="3" s="1"/>
  <c r="CC4" i="2"/>
  <c r="AO7" i="3" s="1"/>
  <c r="CD4" i="2"/>
  <c r="AP7" i="3" s="1"/>
  <c r="CE4" i="2"/>
  <c r="AQ7" i="3" s="1"/>
  <c r="CF4" i="2"/>
  <c r="CG4" i="2" s="1"/>
  <c r="AR7" i="3" s="1"/>
  <c r="BV5" i="2"/>
  <c r="AH8" i="3" s="1"/>
  <c r="BW5" i="2"/>
  <c r="AI8" i="3" s="1"/>
  <c r="BX5" i="2"/>
  <c r="AJ8" i="3" s="1"/>
  <c r="BY5" i="2"/>
  <c r="AK8" i="3" s="1"/>
  <c r="BZ5" i="2"/>
  <c r="AL8" i="3" s="1"/>
  <c r="CA5" i="2"/>
  <c r="AM8" i="3" s="1"/>
  <c r="CB5" i="2"/>
  <c r="AN8" i="3" s="1"/>
  <c r="CC5" i="2"/>
  <c r="AO8" i="3" s="1"/>
  <c r="CD5" i="2"/>
  <c r="AP8" i="3" s="1"/>
  <c r="CE5" i="2"/>
  <c r="AQ8" i="3" s="1"/>
  <c r="CF5" i="2"/>
  <c r="CH5" i="2" s="1"/>
  <c r="AS8" i="3" s="1"/>
  <c r="BV6" i="2"/>
  <c r="AH9" i="3" s="1"/>
  <c r="BW6" i="2"/>
  <c r="AI9" i="3" s="1"/>
  <c r="BX6" i="2"/>
  <c r="AJ9" i="3" s="1"/>
  <c r="BY6" i="2"/>
  <c r="AK9" i="3" s="1"/>
  <c r="BZ6" i="2"/>
  <c r="AL9" i="3" s="1"/>
  <c r="CA6" i="2"/>
  <c r="AM9" i="3" s="1"/>
  <c r="CB6" i="2"/>
  <c r="AN9" i="3" s="1"/>
  <c r="CC6" i="2"/>
  <c r="AO9" i="3" s="1"/>
  <c r="CD6" i="2"/>
  <c r="AP9" i="3" s="1"/>
  <c r="CE6" i="2"/>
  <c r="AQ9" i="3" s="1"/>
  <c r="CF6" i="2"/>
  <c r="BV7" i="2"/>
  <c r="AH10" i="3" s="1"/>
  <c r="BW7" i="2"/>
  <c r="AI10" i="3" s="1"/>
  <c r="BX7" i="2"/>
  <c r="AJ10" i="3" s="1"/>
  <c r="BY7" i="2"/>
  <c r="AK10" i="3" s="1"/>
  <c r="BZ7" i="2"/>
  <c r="AL10" i="3" s="1"/>
  <c r="CA7" i="2"/>
  <c r="AM10" i="3" s="1"/>
  <c r="CB7" i="2"/>
  <c r="AN10" i="3" s="1"/>
  <c r="CC7" i="2"/>
  <c r="AO10" i="3" s="1"/>
  <c r="CD7" i="2"/>
  <c r="AP10" i="3" s="1"/>
  <c r="CE7" i="2"/>
  <c r="AQ10" i="3" s="1"/>
  <c r="CF7" i="2"/>
  <c r="BV8" i="2"/>
  <c r="AH11" i="3" s="1"/>
  <c r="BW8" i="2"/>
  <c r="AI11" i="3" s="1"/>
  <c r="BX8" i="2"/>
  <c r="AJ11" i="3" s="1"/>
  <c r="BY8" i="2"/>
  <c r="AK11" i="3" s="1"/>
  <c r="BZ8" i="2"/>
  <c r="AL11" i="3" s="1"/>
  <c r="CA8" i="2"/>
  <c r="AM11" i="3" s="1"/>
  <c r="CB8" i="2"/>
  <c r="AN11" i="3" s="1"/>
  <c r="CC8" i="2"/>
  <c r="AO11" i="3" s="1"/>
  <c r="CD8" i="2"/>
  <c r="AP11" i="3" s="1"/>
  <c r="CE8" i="2"/>
  <c r="AQ11" i="3" s="1"/>
  <c r="CF8" i="2"/>
  <c r="CJ8" i="2" s="1"/>
  <c r="AU11" i="3" s="1"/>
  <c r="BV9" i="2"/>
  <c r="AH12" i="3" s="1"/>
  <c r="BW9" i="2"/>
  <c r="AI12" i="3" s="1"/>
  <c r="BX9" i="2"/>
  <c r="AJ12" i="3" s="1"/>
  <c r="BY9" i="2"/>
  <c r="AK12" i="3" s="1"/>
  <c r="BZ9" i="2"/>
  <c r="AL12" i="3" s="1"/>
  <c r="CA9" i="2"/>
  <c r="AM12" i="3" s="1"/>
  <c r="CB9" i="2"/>
  <c r="AN12" i="3" s="1"/>
  <c r="CC9" i="2"/>
  <c r="AO12" i="3" s="1"/>
  <c r="CD9" i="2"/>
  <c r="AP12" i="3" s="1"/>
  <c r="CE9" i="2"/>
  <c r="AQ12" i="3" s="1"/>
  <c r="CF9" i="2"/>
  <c r="CG9" i="2" s="1"/>
  <c r="AR12" i="3" s="1"/>
  <c r="BV10" i="2"/>
  <c r="AH13" i="3" s="1"/>
  <c r="BW10" i="2"/>
  <c r="AI13" i="3" s="1"/>
  <c r="BX10" i="2"/>
  <c r="AJ13" i="3" s="1"/>
  <c r="BY10" i="2"/>
  <c r="AK13" i="3" s="1"/>
  <c r="BZ10" i="2"/>
  <c r="AL13" i="3" s="1"/>
  <c r="CA10" i="2"/>
  <c r="AM13" i="3" s="1"/>
  <c r="CB10" i="2"/>
  <c r="AN13" i="3" s="1"/>
  <c r="CC10" i="2"/>
  <c r="AO13" i="3" s="1"/>
  <c r="CD10" i="2"/>
  <c r="AP13" i="3" s="1"/>
  <c r="CE10" i="2"/>
  <c r="AQ13" i="3" s="1"/>
  <c r="CF10" i="2"/>
  <c r="BV11" i="2"/>
  <c r="AH14" i="3" s="1"/>
  <c r="BW11" i="2"/>
  <c r="AI14" i="3" s="1"/>
  <c r="BX11" i="2"/>
  <c r="AJ14" i="3" s="1"/>
  <c r="BY11" i="2"/>
  <c r="AK14" i="3" s="1"/>
  <c r="BZ11" i="2"/>
  <c r="AL14" i="3" s="1"/>
  <c r="CA11" i="2"/>
  <c r="AM14" i="3" s="1"/>
  <c r="CB11" i="2"/>
  <c r="AN14" i="3" s="1"/>
  <c r="CC11" i="2"/>
  <c r="AO14" i="3" s="1"/>
  <c r="CD11" i="2"/>
  <c r="AP14" i="3" s="1"/>
  <c r="CE11" i="2"/>
  <c r="AQ14" i="3" s="1"/>
  <c r="CF11" i="2"/>
  <c r="CG11" i="2" s="1"/>
  <c r="AR14" i="3" s="1"/>
  <c r="BV12" i="2"/>
  <c r="AH15" i="3" s="1"/>
  <c r="BW12" i="2"/>
  <c r="AI15" i="3" s="1"/>
  <c r="BX12" i="2"/>
  <c r="AJ15" i="3" s="1"/>
  <c r="BY12" i="2"/>
  <c r="AK15" i="3" s="1"/>
  <c r="BZ12" i="2"/>
  <c r="AL15" i="3" s="1"/>
  <c r="CA12" i="2"/>
  <c r="AM15" i="3" s="1"/>
  <c r="CB12" i="2"/>
  <c r="AN15" i="3" s="1"/>
  <c r="CC12" i="2"/>
  <c r="AO15" i="3" s="1"/>
  <c r="CD12" i="2"/>
  <c r="AP15" i="3" s="1"/>
  <c r="CE12" i="2"/>
  <c r="AQ15" i="3" s="1"/>
  <c r="CF12" i="2"/>
  <c r="CK12" i="2" s="1"/>
  <c r="AV15" i="3" s="1"/>
  <c r="BV13" i="2"/>
  <c r="AH16" i="3" s="1"/>
  <c r="BW13" i="2"/>
  <c r="AI16" i="3" s="1"/>
  <c r="BX13" i="2"/>
  <c r="AJ16" i="3" s="1"/>
  <c r="BY13" i="2"/>
  <c r="AK16" i="3" s="1"/>
  <c r="BZ13" i="2"/>
  <c r="AL16" i="3" s="1"/>
  <c r="CA13" i="2"/>
  <c r="AM16" i="3" s="1"/>
  <c r="CB13" i="2"/>
  <c r="AN16" i="3" s="1"/>
  <c r="CC13" i="2"/>
  <c r="AO16" i="3" s="1"/>
  <c r="CD13" i="2"/>
  <c r="AP16" i="3" s="1"/>
  <c r="CE13" i="2"/>
  <c r="AQ16" i="3" s="1"/>
  <c r="CF13" i="2"/>
  <c r="CH13" i="2" s="1"/>
  <c r="AS16" i="3" s="1"/>
  <c r="BV14" i="2"/>
  <c r="AH17" i="3" s="1"/>
  <c r="BW14" i="2"/>
  <c r="AI17" i="3" s="1"/>
  <c r="BX14" i="2"/>
  <c r="AJ17" i="3" s="1"/>
  <c r="BY14" i="2"/>
  <c r="AK17" i="3" s="1"/>
  <c r="BZ14" i="2"/>
  <c r="AL17" i="3" s="1"/>
  <c r="CA14" i="2"/>
  <c r="AM17" i="3" s="1"/>
  <c r="CB14" i="2"/>
  <c r="AN17" i="3" s="1"/>
  <c r="CC14" i="2"/>
  <c r="AO17" i="3" s="1"/>
  <c r="CD14" i="2"/>
  <c r="AP17" i="3" s="1"/>
  <c r="CE14" i="2"/>
  <c r="AQ17" i="3" s="1"/>
  <c r="CF14" i="2"/>
  <c r="CG14" i="2" s="1"/>
  <c r="AR17" i="3" s="1"/>
  <c r="BV15" i="2"/>
  <c r="AH18" i="3" s="1"/>
  <c r="BW15" i="2"/>
  <c r="AI18" i="3" s="1"/>
  <c r="BX15" i="2"/>
  <c r="AJ18" i="3" s="1"/>
  <c r="BY15" i="2"/>
  <c r="AK18" i="3" s="1"/>
  <c r="BZ15" i="2"/>
  <c r="AL18" i="3" s="1"/>
  <c r="CA15" i="2"/>
  <c r="AM18" i="3" s="1"/>
  <c r="CB15" i="2"/>
  <c r="AN18" i="3" s="1"/>
  <c r="CC15" i="2"/>
  <c r="AO18" i="3" s="1"/>
  <c r="CD15" i="2"/>
  <c r="AP18" i="3" s="1"/>
  <c r="CE15" i="2"/>
  <c r="AQ18" i="3" s="1"/>
  <c r="CF15" i="2"/>
  <c r="CG15" i="2" s="1"/>
  <c r="AR18" i="3" s="1"/>
  <c r="BV16" i="2"/>
  <c r="AH19" i="3" s="1"/>
  <c r="BW16" i="2"/>
  <c r="AI19" i="3" s="1"/>
  <c r="BX16" i="2"/>
  <c r="AJ19" i="3" s="1"/>
  <c r="BY16" i="2"/>
  <c r="AK19" i="3" s="1"/>
  <c r="BZ16" i="2"/>
  <c r="AL19" i="3" s="1"/>
  <c r="CA16" i="2"/>
  <c r="AM19" i="3" s="1"/>
  <c r="CB16" i="2"/>
  <c r="AN19" i="3" s="1"/>
  <c r="CC16" i="2"/>
  <c r="AO19" i="3" s="1"/>
  <c r="CD16" i="2"/>
  <c r="AP19" i="3" s="1"/>
  <c r="CE16" i="2"/>
  <c r="AQ19" i="3" s="1"/>
  <c r="CF16" i="2"/>
  <c r="CG16" i="2" s="1"/>
  <c r="AR19" i="3" s="1"/>
  <c r="BV17" i="2"/>
  <c r="AH20" i="3" s="1"/>
  <c r="BW17" i="2"/>
  <c r="AI20" i="3" s="1"/>
  <c r="BX17" i="2"/>
  <c r="AJ20" i="3" s="1"/>
  <c r="BY17" i="2"/>
  <c r="AK20" i="3" s="1"/>
  <c r="BZ17" i="2"/>
  <c r="AL20" i="3" s="1"/>
  <c r="CA17" i="2"/>
  <c r="AM20" i="3" s="1"/>
  <c r="CB17" i="2"/>
  <c r="AN20" i="3" s="1"/>
  <c r="CC17" i="2"/>
  <c r="AO20" i="3" s="1"/>
  <c r="CD17" i="2"/>
  <c r="AP20" i="3" s="1"/>
  <c r="CE17" i="2"/>
  <c r="AQ20" i="3" s="1"/>
  <c r="CF17" i="2"/>
  <c r="CJ17" i="2" s="1"/>
  <c r="AU20" i="3" s="1"/>
  <c r="BV18" i="2"/>
  <c r="AH21" i="3" s="1"/>
  <c r="BW18" i="2"/>
  <c r="AI21" i="3" s="1"/>
  <c r="BX18" i="2"/>
  <c r="AJ21" i="3" s="1"/>
  <c r="BY18" i="2"/>
  <c r="AK21" i="3" s="1"/>
  <c r="BZ18" i="2"/>
  <c r="AL21" i="3" s="1"/>
  <c r="CA18" i="2"/>
  <c r="AM21" i="3" s="1"/>
  <c r="CB18" i="2"/>
  <c r="AN21" i="3" s="1"/>
  <c r="CC18" i="2"/>
  <c r="AO21" i="3" s="1"/>
  <c r="CD18" i="2"/>
  <c r="AP21" i="3" s="1"/>
  <c r="CE18" i="2"/>
  <c r="AQ21" i="3" s="1"/>
  <c r="CF18" i="2"/>
  <c r="CJ18" i="2" s="1"/>
  <c r="AU21" i="3" s="1"/>
  <c r="BV19" i="2"/>
  <c r="AH22" i="3" s="1"/>
  <c r="BW19" i="2"/>
  <c r="AI22" i="3" s="1"/>
  <c r="BX19" i="2"/>
  <c r="AJ22" i="3" s="1"/>
  <c r="BY19" i="2"/>
  <c r="AK22" i="3" s="1"/>
  <c r="BZ19" i="2"/>
  <c r="AL22" i="3" s="1"/>
  <c r="CA19" i="2"/>
  <c r="AM22" i="3" s="1"/>
  <c r="CB19" i="2"/>
  <c r="AN22" i="3" s="1"/>
  <c r="CC19" i="2"/>
  <c r="AO22" i="3" s="1"/>
  <c r="CD19" i="2"/>
  <c r="AP22" i="3" s="1"/>
  <c r="CE19" i="2"/>
  <c r="AQ22" i="3" s="1"/>
  <c r="CF19" i="2"/>
  <c r="CH19" i="2" s="1"/>
  <c r="AS22" i="3" s="1"/>
  <c r="BV20" i="2"/>
  <c r="AH23" i="3" s="1"/>
  <c r="BW20" i="2"/>
  <c r="AI23" i="3" s="1"/>
  <c r="BX20" i="2"/>
  <c r="AJ23" i="3" s="1"/>
  <c r="BY20" i="2"/>
  <c r="AK23" i="3" s="1"/>
  <c r="BZ20" i="2"/>
  <c r="AL23" i="3" s="1"/>
  <c r="CA20" i="2"/>
  <c r="AM23" i="3" s="1"/>
  <c r="CB20" i="2"/>
  <c r="AN23" i="3" s="1"/>
  <c r="CC20" i="2"/>
  <c r="AO23" i="3" s="1"/>
  <c r="CD20" i="2"/>
  <c r="AP23" i="3" s="1"/>
  <c r="CE20" i="2"/>
  <c r="AQ23" i="3" s="1"/>
  <c r="CF20" i="2"/>
  <c r="CG20" i="2" s="1"/>
  <c r="AR23" i="3" s="1"/>
  <c r="BV21" i="2"/>
  <c r="AH24" i="3" s="1"/>
  <c r="BW21" i="2"/>
  <c r="AI24" i="3" s="1"/>
  <c r="BX21" i="2"/>
  <c r="AJ24" i="3" s="1"/>
  <c r="BY21" i="2"/>
  <c r="AK24" i="3" s="1"/>
  <c r="BZ21" i="2"/>
  <c r="AL24" i="3" s="1"/>
  <c r="CA21" i="2"/>
  <c r="AM24" i="3" s="1"/>
  <c r="CB21" i="2"/>
  <c r="AN24" i="3" s="1"/>
  <c r="CC21" i="2"/>
  <c r="AO24" i="3" s="1"/>
  <c r="CD21" i="2"/>
  <c r="AP24" i="3" s="1"/>
  <c r="CE21" i="2"/>
  <c r="AQ24" i="3" s="1"/>
  <c r="CF21" i="2"/>
  <c r="CK21" i="2" s="1"/>
  <c r="AV24" i="3" s="1"/>
  <c r="BV22" i="2"/>
  <c r="AH25" i="3" s="1"/>
  <c r="BW22" i="2"/>
  <c r="AI25" i="3" s="1"/>
  <c r="BX22" i="2"/>
  <c r="AJ25" i="3" s="1"/>
  <c r="BY22" i="2"/>
  <c r="AK25" i="3" s="1"/>
  <c r="BZ22" i="2"/>
  <c r="AL25" i="3" s="1"/>
  <c r="CA22" i="2"/>
  <c r="AM25" i="3" s="1"/>
  <c r="CB22" i="2"/>
  <c r="AN25" i="3" s="1"/>
  <c r="CC22" i="2"/>
  <c r="AO25" i="3" s="1"/>
  <c r="CD22" i="2"/>
  <c r="AP25" i="3" s="1"/>
  <c r="CE22" i="2"/>
  <c r="AQ25" i="3" s="1"/>
  <c r="CF22" i="2"/>
  <c r="BV23" i="2"/>
  <c r="AH26" i="3" s="1"/>
  <c r="BW23" i="2"/>
  <c r="AI26" i="3" s="1"/>
  <c r="BX23" i="2"/>
  <c r="AJ26" i="3" s="1"/>
  <c r="BY23" i="2"/>
  <c r="AK26" i="3" s="1"/>
  <c r="BZ23" i="2"/>
  <c r="AL26" i="3" s="1"/>
  <c r="CA23" i="2"/>
  <c r="AM26" i="3" s="1"/>
  <c r="CB23" i="2"/>
  <c r="AN26" i="3" s="1"/>
  <c r="CC23" i="2"/>
  <c r="AO26" i="3" s="1"/>
  <c r="CD23" i="2"/>
  <c r="AP26" i="3" s="1"/>
  <c r="CE23" i="2"/>
  <c r="AQ26" i="3" s="1"/>
  <c r="CF23" i="2"/>
  <c r="BV24" i="2"/>
  <c r="AH27" i="3" s="1"/>
  <c r="BW24" i="2"/>
  <c r="AI27" i="3" s="1"/>
  <c r="BX24" i="2"/>
  <c r="AJ27" i="3" s="1"/>
  <c r="BY24" i="2"/>
  <c r="AK27" i="3" s="1"/>
  <c r="BZ24" i="2"/>
  <c r="AL27" i="3" s="1"/>
  <c r="CA24" i="2"/>
  <c r="AM27" i="3" s="1"/>
  <c r="CB24" i="2"/>
  <c r="AN27" i="3" s="1"/>
  <c r="CC24" i="2"/>
  <c r="AO27" i="3" s="1"/>
  <c r="CD24" i="2"/>
  <c r="AP27" i="3" s="1"/>
  <c r="CE24" i="2"/>
  <c r="AQ27" i="3" s="1"/>
  <c r="CF24" i="2"/>
  <c r="CH24" i="2" s="1"/>
  <c r="AS27" i="3" s="1"/>
  <c r="BV25" i="2"/>
  <c r="AH28" i="3" s="1"/>
  <c r="BW25" i="2"/>
  <c r="AI28" i="3" s="1"/>
  <c r="BX25" i="2"/>
  <c r="AJ28" i="3" s="1"/>
  <c r="BY25" i="2"/>
  <c r="AK28" i="3" s="1"/>
  <c r="BZ25" i="2"/>
  <c r="AL28" i="3" s="1"/>
  <c r="CA25" i="2"/>
  <c r="AM28" i="3" s="1"/>
  <c r="CB25" i="2"/>
  <c r="AN28" i="3" s="1"/>
  <c r="CC25" i="2"/>
  <c r="AO28" i="3" s="1"/>
  <c r="CD25" i="2"/>
  <c r="AP28" i="3" s="1"/>
  <c r="CE25" i="2"/>
  <c r="AQ28" i="3" s="1"/>
  <c r="CF25" i="2"/>
  <c r="CG25" i="2" s="1"/>
  <c r="AR28" i="3" s="1"/>
  <c r="BV26" i="2"/>
  <c r="AH29" i="3" s="1"/>
  <c r="BW26" i="2"/>
  <c r="AI29" i="3" s="1"/>
  <c r="BX26" i="2"/>
  <c r="AJ29" i="3" s="1"/>
  <c r="BY26" i="2"/>
  <c r="AK29" i="3" s="1"/>
  <c r="BZ26" i="2"/>
  <c r="AL29" i="3" s="1"/>
  <c r="CA26" i="2"/>
  <c r="AM29" i="3" s="1"/>
  <c r="CB26" i="2"/>
  <c r="AN29" i="3" s="1"/>
  <c r="CC26" i="2"/>
  <c r="AO29" i="3" s="1"/>
  <c r="CD26" i="2"/>
  <c r="AP29" i="3" s="1"/>
  <c r="CE26" i="2"/>
  <c r="AQ29" i="3" s="1"/>
  <c r="CF26" i="2"/>
  <c r="CG26" i="2" s="1"/>
  <c r="AR29" i="3" s="1"/>
  <c r="BV27" i="2"/>
  <c r="AH30" i="3" s="1"/>
  <c r="BW27" i="2"/>
  <c r="AI30" i="3" s="1"/>
  <c r="BX27" i="2"/>
  <c r="AJ30" i="3" s="1"/>
  <c r="BY27" i="2"/>
  <c r="AK30" i="3" s="1"/>
  <c r="BZ27" i="2"/>
  <c r="AL30" i="3" s="1"/>
  <c r="CA27" i="2"/>
  <c r="AM30" i="3" s="1"/>
  <c r="CB27" i="2"/>
  <c r="AN30" i="3" s="1"/>
  <c r="CC27" i="2"/>
  <c r="AO30" i="3" s="1"/>
  <c r="CD27" i="2"/>
  <c r="AP30" i="3" s="1"/>
  <c r="CE27" i="2"/>
  <c r="AQ30" i="3" s="1"/>
  <c r="CF27" i="2"/>
  <c r="CJ27" i="2" s="1"/>
  <c r="AU30" i="3" s="1"/>
  <c r="BV28" i="2"/>
  <c r="AH31" i="3" s="1"/>
  <c r="BW28" i="2"/>
  <c r="AI31" i="3" s="1"/>
  <c r="BX28" i="2"/>
  <c r="AJ31" i="3" s="1"/>
  <c r="BY28" i="2"/>
  <c r="AK31" i="3" s="1"/>
  <c r="BZ28" i="2"/>
  <c r="AL31" i="3" s="1"/>
  <c r="CA28" i="2"/>
  <c r="AM31" i="3" s="1"/>
  <c r="CB28" i="2"/>
  <c r="AN31" i="3" s="1"/>
  <c r="CC28" i="2"/>
  <c r="AO31" i="3" s="1"/>
  <c r="CD28" i="2"/>
  <c r="AP31" i="3" s="1"/>
  <c r="CE28" i="2"/>
  <c r="AQ31" i="3" s="1"/>
  <c r="CF28" i="2"/>
  <c r="CK28" i="2" s="1"/>
  <c r="AV31" i="3" s="1"/>
  <c r="BV29" i="2"/>
  <c r="AH32" i="3" s="1"/>
  <c r="BW29" i="2"/>
  <c r="AI32" i="3" s="1"/>
  <c r="BX29" i="2"/>
  <c r="AJ32" i="3" s="1"/>
  <c r="BY29" i="2"/>
  <c r="AK32" i="3" s="1"/>
  <c r="BZ29" i="2"/>
  <c r="AL32" i="3" s="1"/>
  <c r="CA29" i="2"/>
  <c r="AM32" i="3" s="1"/>
  <c r="CB29" i="2"/>
  <c r="AN32" i="3" s="1"/>
  <c r="CC29" i="2"/>
  <c r="AO32" i="3" s="1"/>
  <c r="CD29" i="2"/>
  <c r="AP32" i="3" s="1"/>
  <c r="CE29" i="2"/>
  <c r="AQ32" i="3" s="1"/>
  <c r="CF29" i="2"/>
  <c r="BV30" i="2"/>
  <c r="AH33" i="3" s="1"/>
  <c r="BW30" i="2"/>
  <c r="AI33" i="3" s="1"/>
  <c r="BX30" i="2"/>
  <c r="AJ33" i="3" s="1"/>
  <c r="BY30" i="2"/>
  <c r="AK33" i="3" s="1"/>
  <c r="BZ30" i="2"/>
  <c r="AL33" i="3" s="1"/>
  <c r="CA30" i="2"/>
  <c r="AM33" i="3" s="1"/>
  <c r="CB30" i="2"/>
  <c r="AN33" i="3" s="1"/>
  <c r="CC30" i="2"/>
  <c r="AO33" i="3" s="1"/>
  <c r="CD30" i="2"/>
  <c r="AP33" i="3" s="1"/>
  <c r="CE30" i="2"/>
  <c r="AQ33" i="3" s="1"/>
  <c r="CF30" i="2"/>
  <c r="CG30" i="2" s="1"/>
  <c r="AR33" i="3" s="1"/>
  <c r="BV31" i="2"/>
  <c r="AH34" i="3" s="1"/>
  <c r="BW31" i="2"/>
  <c r="AI34" i="3" s="1"/>
  <c r="BX31" i="2"/>
  <c r="AJ34" i="3" s="1"/>
  <c r="BY31" i="2"/>
  <c r="AK34" i="3" s="1"/>
  <c r="BZ31" i="2"/>
  <c r="AL34" i="3" s="1"/>
  <c r="CA31" i="2"/>
  <c r="AM34" i="3" s="1"/>
  <c r="CB31" i="2"/>
  <c r="AN34" i="3" s="1"/>
  <c r="CC31" i="2"/>
  <c r="AO34" i="3" s="1"/>
  <c r="CD31" i="2"/>
  <c r="AP34" i="3" s="1"/>
  <c r="CE31" i="2"/>
  <c r="AQ34" i="3" s="1"/>
  <c r="CF31" i="2"/>
  <c r="CK31" i="2" s="1"/>
  <c r="AV34" i="3" s="1"/>
  <c r="BV32" i="2"/>
  <c r="AH35" i="3" s="1"/>
  <c r="BW32" i="2"/>
  <c r="AI35" i="3" s="1"/>
  <c r="BX32" i="2"/>
  <c r="AJ35" i="3" s="1"/>
  <c r="BY32" i="2"/>
  <c r="AK35" i="3" s="1"/>
  <c r="BZ32" i="2"/>
  <c r="AL35" i="3" s="1"/>
  <c r="CA32" i="2"/>
  <c r="AM35" i="3" s="1"/>
  <c r="CB32" i="2"/>
  <c r="AN35" i="3" s="1"/>
  <c r="CC32" i="2"/>
  <c r="AO35" i="3" s="1"/>
  <c r="CD32" i="2"/>
  <c r="AP35" i="3" s="1"/>
  <c r="CE32" i="2"/>
  <c r="AQ35" i="3" s="1"/>
  <c r="CF32" i="2"/>
  <c r="CG32" i="2" s="1"/>
  <c r="AR35" i="3" s="1"/>
  <c r="BV33" i="2"/>
  <c r="AH36" i="3" s="1"/>
  <c r="BW33" i="2"/>
  <c r="AI36" i="3" s="1"/>
  <c r="BX33" i="2"/>
  <c r="AJ36" i="3" s="1"/>
  <c r="BY33" i="2"/>
  <c r="AK36" i="3" s="1"/>
  <c r="BZ33" i="2"/>
  <c r="AL36" i="3" s="1"/>
  <c r="CA33" i="2"/>
  <c r="AM36" i="3" s="1"/>
  <c r="CB33" i="2"/>
  <c r="AN36" i="3" s="1"/>
  <c r="CC33" i="2"/>
  <c r="AO36" i="3" s="1"/>
  <c r="CD33" i="2"/>
  <c r="AP36" i="3" s="1"/>
  <c r="CE33" i="2"/>
  <c r="AQ36" i="3" s="1"/>
  <c r="CF33" i="2"/>
  <c r="CI33" i="2" s="1"/>
  <c r="AT36" i="3" s="1"/>
  <c r="BV34" i="2"/>
  <c r="AH37" i="3" s="1"/>
  <c r="BW34" i="2"/>
  <c r="AI37" i="3" s="1"/>
  <c r="BX34" i="2"/>
  <c r="AJ37" i="3" s="1"/>
  <c r="BY34" i="2"/>
  <c r="AK37" i="3" s="1"/>
  <c r="BZ34" i="2"/>
  <c r="AL37" i="3" s="1"/>
  <c r="CA34" i="2"/>
  <c r="AM37" i="3" s="1"/>
  <c r="CB34" i="2"/>
  <c r="AN37" i="3" s="1"/>
  <c r="CC34" i="2"/>
  <c r="AO37" i="3" s="1"/>
  <c r="CD34" i="2"/>
  <c r="AP37" i="3" s="1"/>
  <c r="CE34" i="2"/>
  <c r="AQ37" i="3" s="1"/>
  <c r="CF34" i="2"/>
  <c r="CG34" i="2" s="1"/>
  <c r="AR37" i="3" s="1"/>
  <c r="BV35" i="2"/>
  <c r="AH38" i="3" s="1"/>
  <c r="BW35" i="2"/>
  <c r="AI38" i="3" s="1"/>
  <c r="BX35" i="2"/>
  <c r="AJ38" i="3" s="1"/>
  <c r="BY35" i="2"/>
  <c r="AK38" i="3" s="1"/>
  <c r="BZ35" i="2"/>
  <c r="AL38" i="3" s="1"/>
  <c r="CA35" i="2"/>
  <c r="AM38" i="3" s="1"/>
  <c r="CB35" i="2"/>
  <c r="AN38" i="3" s="1"/>
  <c r="CC35" i="2"/>
  <c r="AO38" i="3" s="1"/>
  <c r="CD35" i="2"/>
  <c r="AP38" i="3" s="1"/>
  <c r="CE35" i="2"/>
  <c r="AQ38" i="3" s="1"/>
  <c r="CF35" i="2"/>
  <c r="CH35" i="2" s="1"/>
  <c r="AS38" i="3" s="1"/>
  <c r="CF1" i="2"/>
  <c r="BW1" i="2"/>
  <c r="BX1" i="2"/>
  <c r="BY1" i="2"/>
  <c r="BZ1" i="2"/>
  <c r="CA1" i="2"/>
  <c r="CB1" i="2"/>
  <c r="CC1" i="2"/>
  <c r="CD1" i="2"/>
  <c r="CE1" i="2"/>
  <c r="BV1" i="2"/>
  <c r="BT12" i="2"/>
  <c r="BT13" i="2"/>
  <c r="BT14" i="2"/>
  <c r="BT26" i="2"/>
  <c r="BT27" i="2"/>
  <c r="BT28" i="2"/>
  <c r="BT29" i="2"/>
  <c r="BS12" i="2"/>
  <c r="BS13" i="2"/>
  <c r="BS14" i="2"/>
  <c r="BS26" i="2"/>
  <c r="BS27" i="2"/>
  <c r="BS28" i="2"/>
  <c r="BS29" i="2"/>
  <c r="BR12" i="2"/>
  <c r="BR13" i="2"/>
  <c r="BR14" i="2"/>
  <c r="BR26" i="2"/>
  <c r="BR27" i="2"/>
  <c r="BR28" i="2"/>
  <c r="BR29" i="2"/>
  <c r="B22" i="2"/>
  <c r="O3" i="3" s="1"/>
  <c r="B20" i="2"/>
  <c r="C20" i="2" s="1"/>
  <c r="J3" i="3" s="1"/>
  <c r="B18" i="2"/>
  <c r="P2" i="3" s="1"/>
  <c r="B16" i="2"/>
  <c r="M2" i="3" s="1"/>
  <c r="B14" i="2"/>
  <c r="J2" i="3" s="1"/>
  <c r="B12" i="2"/>
  <c r="J1" i="3" s="1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R30" i="2"/>
  <c r="S30" i="2"/>
  <c r="T30" i="2"/>
  <c r="U30" i="2"/>
  <c r="Q30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AA15" i="2"/>
  <c r="AB15" i="2"/>
  <c r="AC15" i="2"/>
  <c r="AD15" i="2"/>
  <c r="AE15" i="2"/>
  <c r="AF15" i="2"/>
  <c r="AG15" i="2"/>
  <c r="AH15" i="2"/>
  <c r="AI15" i="2"/>
  <c r="AJ15" i="2"/>
  <c r="AK15" i="2"/>
  <c r="Z15" i="2"/>
  <c r="U15" i="2"/>
  <c r="V15" i="2"/>
  <c r="W15" i="2"/>
  <c r="X15" i="2"/>
  <c r="Y15" i="2"/>
  <c r="S15" i="2"/>
  <c r="T15" i="2"/>
  <c r="R15" i="2"/>
  <c r="Q15" i="2"/>
  <c r="BG1" i="2"/>
  <c r="BH1" i="2"/>
  <c r="BI1" i="2"/>
  <c r="BJ1" i="2"/>
  <c r="BK1" i="2"/>
  <c r="BL1" i="2"/>
  <c r="BM1" i="2"/>
  <c r="BN1" i="2"/>
  <c r="BO1" i="2"/>
  <c r="BP1" i="2"/>
  <c r="AY1" i="2"/>
  <c r="AZ1" i="2"/>
  <c r="BA1" i="2"/>
  <c r="BB1" i="2"/>
  <c r="BC1" i="2"/>
  <c r="BD1" i="2"/>
  <c r="BE1" i="2"/>
  <c r="BF1" i="2"/>
  <c r="AS1" i="2"/>
  <c r="AT1" i="2"/>
  <c r="AU1" i="2"/>
  <c r="AV1" i="2"/>
  <c r="AW1" i="2"/>
  <c r="AX1" i="2"/>
  <c r="AL1" i="2"/>
  <c r="AM1" i="2"/>
  <c r="AN1" i="2"/>
  <c r="AO1" i="2"/>
  <c r="AP1" i="2"/>
  <c r="AQ1" i="2"/>
  <c r="AR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Q1" i="2"/>
  <c r="B6" i="2"/>
  <c r="C6" i="2" s="1"/>
  <c r="B5" i="2"/>
  <c r="C5" i="2" s="1"/>
  <c r="B4" i="2"/>
  <c r="BR34" i="2" l="1"/>
  <c r="AD38" i="3" s="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6" i="11"/>
  <c r="Z5" i="11"/>
  <c r="CN11" i="2"/>
  <c r="L22" i="3" s="1"/>
  <c r="CM5" i="2"/>
  <c r="L11" i="3" s="1"/>
  <c r="CM2" i="2"/>
  <c r="L9" i="3" s="1"/>
  <c r="CN8" i="2"/>
  <c r="L20" i="3" s="1"/>
  <c r="CN5" i="2"/>
  <c r="L18" i="3" s="1"/>
  <c r="CN2" i="2"/>
  <c r="L16" i="3" s="1"/>
  <c r="CR8" i="2"/>
  <c r="L31" i="3" s="1"/>
  <c r="CR5" i="2"/>
  <c r="L29" i="3" s="1"/>
  <c r="CR2" i="2"/>
  <c r="L27" i="3" s="1"/>
  <c r="CX4" i="2"/>
  <c r="DD2" i="2"/>
  <c r="Q16" i="3" s="1"/>
  <c r="DD4" i="2"/>
  <c r="Q18" i="3" s="1"/>
  <c r="DD8" i="2"/>
  <c r="Q22" i="3" s="1"/>
  <c r="CX2" i="2"/>
  <c r="CX6" i="2"/>
  <c r="R38" i="3" s="1"/>
  <c r="DD6" i="2"/>
  <c r="Q20" i="3" s="1"/>
  <c r="DB6" i="2"/>
  <c r="M39" i="3" s="1"/>
  <c r="DB2" i="2"/>
  <c r="M37" i="3" s="1"/>
  <c r="DB4" i="2"/>
  <c r="M38" i="3" s="1"/>
  <c r="CZ2" i="2"/>
  <c r="K37" i="3" s="1"/>
  <c r="CZ4" i="2"/>
  <c r="K38" i="3" s="1"/>
  <c r="CZ6" i="2"/>
  <c r="K39" i="3" s="1"/>
  <c r="K3" i="3"/>
  <c r="C22" i="2"/>
  <c r="R3" i="3" s="1"/>
  <c r="CT3" i="2"/>
  <c r="Q27" i="3" s="1"/>
  <c r="CT5" i="2"/>
  <c r="Q29" i="3" s="1"/>
  <c r="CT7" i="2"/>
  <c r="Q31" i="3" s="1"/>
  <c r="BS10" i="2"/>
  <c r="AE13" i="3" s="1"/>
  <c r="BR33" i="2"/>
  <c r="AD37" i="3" s="1"/>
  <c r="CP5" i="2"/>
  <c r="CP11" i="2"/>
  <c r="Q11" i="3" s="1"/>
  <c r="BT34" i="2"/>
  <c r="AF38" i="3" s="1"/>
  <c r="BS34" i="2"/>
  <c r="AE38" i="3" s="1"/>
  <c r="BT33" i="2"/>
  <c r="AF37" i="3" s="1"/>
  <c r="CP8" i="2"/>
  <c r="Q9" i="3" s="1"/>
  <c r="CP2" i="2"/>
  <c r="BT4" i="2"/>
  <c r="AF7" i="3" s="1"/>
  <c r="B24" i="2"/>
  <c r="BS33" i="2"/>
  <c r="AE37" i="3" s="1"/>
  <c r="BR20" i="2"/>
  <c r="AD24" i="3" s="1"/>
  <c r="BT24" i="2"/>
  <c r="AF28" i="3" s="1"/>
  <c r="BR22" i="2"/>
  <c r="AD26" i="3" s="1"/>
  <c r="CG49" i="2"/>
  <c r="CI19" i="2"/>
  <c r="AT22" i="3" s="1"/>
  <c r="CG19" i="2"/>
  <c r="AR22" i="3" s="1"/>
  <c r="CI18" i="2"/>
  <c r="AT21" i="3" s="1"/>
  <c r="CJ48" i="2"/>
  <c r="CJ31" i="2"/>
  <c r="AU34" i="3" s="1"/>
  <c r="CG18" i="2"/>
  <c r="AR21" i="3" s="1"/>
  <c r="CH18" i="2"/>
  <c r="AS21" i="3" s="1"/>
  <c r="CG3" i="2"/>
  <c r="AR6" i="3" s="1"/>
  <c r="BR31" i="2"/>
  <c r="AD35" i="3" s="1"/>
  <c r="BR23" i="2"/>
  <c r="AD27" i="3" s="1"/>
  <c r="BR6" i="2"/>
  <c r="AD9" i="3" s="1"/>
  <c r="BT9" i="2"/>
  <c r="AF12" i="3" s="1"/>
  <c r="BR10" i="2"/>
  <c r="AD13" i="3" s="1"/>
  <c r="BT10" i="2"/>
  <c r="AF13" i="3" s="1"/>
  <c r="BR5" i="2"/>
  <c r="AD8" i="3" s="1"/>
  <c r="BT5" i="2"/>
  <c r="AF8" i="3" s="1"/>
  <c r="CJ36" i="2"/>
  <c r="AU39" i="3" s="1"/>
  <c r="CJ35" i="2"/>
  <c r="AU38" i="3" s="1"/>
  <c r="CI13" i="2"/>
  <c r="AT16" i="3" s="1"/>
  <c r="CI35" i="2"/>
  <c r="AT38" i="3" s="1"/>
  <c r="CG35" i="2"/>
  <c r="AR38" i="3" s="1"/>
  <c r="CH9" i="2"/>
  <c r="AS12" i="3" s="1"/>
  <c r="CI32" i="2"/>
  <c r="AT35" i="3" s="1"/>
  <c r="CK2" i="2"/>
  <c r="AV5" i="3" s="1"/>
  <c r="CH32" i="2"/>
  <c r="AS35" i="3" s="1"/>
  <c r="CJ5" i="2"/>
  <c r="AU8" i="3" s="1"/>
  <c r="CH42" i="2"/>
  <c r="AS45" i="3" s="1"/>
  <c r="CK35" i="2"/>
  <c r="AV38" i="3" s="1"/>
  <c r="CI36" i="2"/>
  <c r="AT39" i="3" s="1"/>
  <c r="CJ16" i="2"/>
  <c r="AU19" i="3" s="1"/>
  <c r="CI16" i="2"/>
  <c r="AT19" i="3" s="1"/>
  <c r="CK49" i="2"/>
  <c r="CG5" i="2"/>
  <c r="AR8" i="3" s="1"/>
  <c r="CJ49" i="2"/>
  <c r="CI25" i="2"/>
  <c r="AT28" i="3" s="1"/>
  <c r="CK3" i="2"/>
  <c r="AV6" i="3" s="1"/>
  <c r="CI49" i="2"/>
  <c r="CK19" i="2"/>
  <c r="AV22" i="3" s="1"/>
  <c r="CJ3" i="2"/>
  <c r="AU6" i="3" s="1"/>
  <c r="CJ19" i="2"/>
  <c r="AU22" i="3" s="1"/>
  <c r="CI3" i="2"/>
  <c r="AT6" i="3" s="1"/>
  <c r="CG44" i="2"/>
  <c r="AR47" i="3" s="1"/>
  <c r="CI31" i="2"/>
  <c r="AT34" i="3" s="1"/>
  <c r="CH14" i="2"/>
  <c r="AS17" i="3" s="1"/>
  <c r="CH31" i="2"/>
  <c r="AS34" i="3" s="1"/>
  <c r="CK39" i="2"/>
  <c r="AV42" i="3" s="1"/>
  <c r="CG31" i="2"/>
  <c r="AR34" i="3" s="1"/>
  <c r="CG39" i="2"/>
  <c r="AR42" i="3" s="1"/>
  <c r="CJ12" i="2"/>
  <c r="AU15" i="3" s="1"/>
  <c r="CI37" i="2"/>
  <c r="AT40" i="3" s="1"/>
  <c r="CH25" i="2"/>
  <c r="AS28" i="3" s="1"/>
  <c r="CG2" i="2"/>
  <c r="AR5" i="3" s="1"/>
  <c r="CH37" i="2"/>
  <c r="AS40" i="3" s="1"/>
  <c r="CH12" i="2"/>
  <c r="AS15" i="3" s="1"/>
  <c r="CI12" i="2"/>
  <c r="AT15" i="3" s="1"/>
  <c r="CK36" i="2"/>
  <c r="AV39" i="3" s="1"/>
  <c r="CK24" i="2"/>
  <c r="AV27" i="3" s="1"/>
  <c r="CG12" i="2"/>
  <c r="AR15" i="3" s="1"/>
  <c r="BT31" i="2"/>
  <c r="AF35" i="3" s="1"/>
  <c r="BS31" i="2"/>
  <c r="AE35" i="3" s="1"/>
  <c r="BT32" i="2"/>
  <c r="AF36" i="3" s="1"/>
  <c r="BT35" i="2"/>
  <c r="AF39" i="3" s="1"/>
  <c r="BS35" i="2"/>
  <c r="AE39" i="3" s="1"/>
  <c r="BS32" i="2"/>
  <c r="AE36" i="3" s="1"/>
  <c r="BR25" i="2"/>
  <c r="AD29" i="3" s="1"/>
  <c r="BT19" i="2"/>
  <c r="AF23" i="3" s="1"/>
  <c r="BR24" i="2"/>
  <c r="AD28" i="3" s="1"/>
  <c r="BT18" i="2"/>
  <c r="AF22" i="3" s="1"/>
  <c r="BS17" i="2"/>
  <c r="AE21" i="3" s="1"/>
  <c r="BS24" i="2"/>
  <c r="AE28" i="3" s="1"/>
  <c r="BS18" i="2"/>
  <c r="AE22" i="3" s="1"/>
  <c r="BS23" i="2"/>
  <c r="AE27" i="3" s="1"/>
  <c r="BS22" i="2"/>
  <c r="AE26" i="3" s="1"/>
  <c r="BR21" i="2"/>
  <c r="AD25" i="3" s="1"/>
  <c r="BS19" i="2"/>
  <c r="AE23" i="3" s="1"/>
  <c r="BT23" i="2"/>
  <c r="AF27" i="3" s="1"/>
  <c r="BR18" i="2"/>
  <c r="AD22" i="3" s="1"/>
  <c r="BT25" i="2"/>
  <c r="AF29" i="3" s="1"/>
  <c r="BS25" i="2"/>
  <c r="AE29" i="3" s="1"/>
  <c r="BS2" i="2"/>
  <c r="AE5" i="3" s="1"/>
  <c r="BS7" i="2"/>
  <c r="AE10" i="3" s="1"/>
  <c r="BT2" i="2"/>
  <c r="AF5" i="3" s="1"/>
  <c r="BR3" i="2"/>
  <c r="AD6" i="3" s="1"/>
  <c r="BR8" i="2"/>
  <c r="AD11" i="3" s="1"/>
  <c r="BS9" i="2"/>
  <c r="AE12" i="3" s="1"/>
  <c r="BR4" i="2"/>
  <c r="AD7" i="3" s="1"/>
  <c r="BS5" i="2"/>
  <c r="AE8" i="3" s="1"/>
  <c r="BS6" i="2"/>
  <c r="AE9" i="3" s="1"/>
  <c r="BT11" i="2"/>
  <c r="AF14" i="3" s="1"/>
  <c r="BS4" i="2"/>
  <c r="AE7" i="3" s="1"/>
  <c r="CK43" i="2"/>
  <c r="AV46" i="3" s="1"/>
  <c r="CG24" i="2"/>
  <c r="AR27" i="3" s="1"/>
  <c r="CK47" i="2"/>
  <c r="AV50" i="3" s="1"/>
  <c r="CK34" i="2"/>
  <c r="AV37" i="3" s="1"/>
  <c r="CI21" i="2"/>
  <c r="AT24" i="3" s="1"/>
  <c r="CK38" i="2"/>
  <c r="AV41" i="3" s="1"/>
  <c r="CJ34" i="2"/>
  <c r="AU37" i="3" s="1"/>
  <c r="CH28" i="2"/>
  <c r="AS31" i="3" s="1"/>
  <c r="CH21" i="2"/>
  <c r="AS24" i="3" s="1"/>
  <c r="CI47" i="2"/>
  <c r="AT50" i="3" s="1"/>
  <c r="CH38" i="2"/>
  <c r="AS41" i="3" s="1"/>
  <c r="CI34" i="2"/>
  <c r="AT37" i="3" s="1"/>
  <c r="CG28" i="2"/>
  <c r="AR31" i="3" s="1"/>
  <c r="CG21" i="2"/>
  <c r="AR24" i="3" s="1"/>
  <c r="CH16" i="2"/>
  <c r="AS19" i="3" s="1"/>
  <c r="CI8" i="2"/>
  <c r="AT11" i="3" s="1"/>
  <c r="CK4" i="2"/>
  <c r="AV7" i="3" s="1"/>
  <c r="CJ4" i="2"/>
  <c r="AU7" i="3" s="1"/>
  <c r="CI4" i="2"/>
  <c r="AT7" i="3" s="1"/>
  <c r="CI40" i="2"/>
  <c r="AT43" i="3" s="1"/>
  <c r="CJ24" i="2"/>
  <c r="AU27" i="3" s="1"/>
  <c r="CH40" i="2"/>
  <c r="AS43" i="3" s="1"/>
  <c r="CK11" i="2"/>
  <c r="AV14" i="3" s="1"/>
  <c r="CJ28" i="2"/>
  <c r="AU31" i="3" s="1"/>
  <c r="CK8" i="2"/>
  <c r="AV11" i="3" s="1"/>
  <c r="CJ44" i="2"/>
  <c r="AU47" i="3" s="1"/>
  <c r="CH34" i="2"/>
  <c r="AS37" i="3" s="1"/>
  <c r="CI27" i="2"/>
  <c r="AT30" i="3" s="1"/>
  <c r="CK20" i="2"/>
  <c r="AV23" i="3" s="1"/>
  <c r="CK15" i="2"/>
  <c r="AV18" i="3" s="1"/>
  <c r="CH8" i="2"/>
  <c r="AS11" i="3" s="1"/>
  <c r="CG37" i="2"/>
  <c r="AR40" i="3" s="1"/>
  <c r="CH30" i="2"/>
  <c r="AS33" i="3" s="1"/>
  <c r="CJ21" i="2"/>
  <c r="AU24" i="3" s="1"/>
  <c r="CI17" i="2"/>
  <c r="AT20" i="3" s="1"/>
  <c r="CI44" i="2"/>
  <c r="AT47" i="3" s="1"/>
  <c r="CK37" i="2"/>
  <c r="AV40" i="3" s="1"/>
  <c r="CH27" i="2"/>
  <c r="AS30" i="3" s="1"/>
  <c r="CJ20" i="2"/>
  <c r="AU23" i="3" s="1"/>
  <c r="CH15" i="2"/>
  <c r="AS18" i="3" s="1"/>
  <c r="CG8" i="2"/>
  <c r="AR11" i="3" s="1"/>
  <c r="CH26" i="2"/>
  <c r="AS29" i="3" s="1"/>
  <c r="CK30" i="2"/>
  <c r="AV33" i="3" s="1"/>
  <c r="CJ30" i="2"/>
  <c r="AU33" i="3" s="1"/>
  <c r="CK17" i="2"/>
  <c r="AV20" i="3" s="1"/>
  <c r="CI30" i="2"/>
  <c r="AT33" i="3" s="1"/>
  <c r="CJ47" i="2"/>
  <c r="AU50" i="3" s="1"/>
  <c r="CH44" i="2"/>
  <c r="AS47" i="3" s="1"/>
  <c r="CJ32" i="2"/>
  <c r="AU35" i="3" s="1"/>
  <c r="CG27" i="2"/>
  <c r="AR30" i="3" s="1"/>
  <c r="CI20" i="2"/>
  <c r="AT23" i="3" s="1"/>
  <c r="CI14" i="2"/>
  <c r="AT17" i="3" s="1"/>
  <c r="CK5" i="2"/>
  <c r="AV8" i="3" s="1"/>
  <c r="CI22" i="2"/>
  <c r="AT25" i="3" s="1"/>
  <c r="CJ22" i="2"/>
  <c r="AU25" i="3" s="1"/>
  <c r="CK22" i="2"/>
  <c r="AV25" i="3" s="1"/>
  <c r="CI6" i="2"/>
  <c r="AT9" i="3" s="1"/>
  <c r="CJ6" i="2"/>
  <c r="AU9" i="3" s="1"/>
  <c r="CG6" i="2"/>
  <c r="AR9" i="3" s="1"/>
  <c r="CH6" i="2"/>
  <c r="AS9" i="3" s="1"/>
  <c r="CK6" i="2"/>
  <c r="AV9" i="3" s="1"/>
  <c r="CH22" i="2"/>
  <c r="AS25" i="3" s="1"/>
  <c r="CG22" i="2"/>
  <c r="AR25" i="3" s="1"/>
  <c r="CG29" i="2"/>
  <c r="AR32" i="3" s="1"/>
  <c r="CJ29" i="2"/>
  <c r="AU32" i="3" s="1"/>
  <c r="CK29" i="2"/>
  <c r="AV32" i="3" s="1"/>
  <c r="CI29" i="2"/>
  <c r="AT32" i="3" s="1"/>
  <c r="CH29" i="2"/>
  <c r="AS32" i="3" s="1"/>
  <c r="CG13" i="2"/>
  <c r="AR16" i="3" s="1"/>
  <c r="CJ13" i="2"/>
  <c r="AU16" i="3" s="1"/>
  <c r="CK13" i="2"/>
  <c r="AV16" i="3" s="1"/>
  <c r="CG46" i="2"/>
  <c r="AR49" i="3" s="1"/>
  <c r="CI46" i="2"/>
  <c r="AT49" i="3" s="1"/>
  <c r="CH46" i="2"/>
  <c r="AS49" i="3" s="1"/>
  <c r="CJ46" i="2"/>
  <c r="AU49" i="3" s="1"/>
  <c r="CK46" i="2"/>
  <c r="AV49" i="3" s="1"/>
  <c r="CI26" i="2"/>
  <c r="AT29" i="3" s="1"/>
  <c r="CJ26" i="2"/>
  <c r="AU29" i="3" s="1"/>
  <c r="CK26" i="2"/>
  <c r="AV29" i="3" s="1"/>
  <c r="CI10" i="2"/>
  <c r="AT13" i="3" s="1"/>
  <c r="CJ10" i="2"/>
  <c r="AU13" i="3" s="1"/>
  <c r="CK10" i="2"/>
  <c r="AV13" i="3" s="1"/>
  <c r="CG10" i="2"/>
  <c r="AR13" i="3" s="1"/>
  <c r="CH10" i="2"/>
  <c r="AS13" i="3" s="1"/>
  <c r="CG43" i="2"/>
  <c r="AR46" i="3" s="1"/>
  <c r="CH43" i="2"/>
  <c r="AS46" i="3" s="1"/>
  <c r="CI43" i="2"/>
  <c r="AT46" i="3" s="1"/>
  <c r="CH23" i="2"/>
  <c r="AS26" i="3" s="1"/>
  <c r="CI23" i="2"/>
  <c r="AT26" i="3" s="1"/>
  <c r="CJ23" i="2"/>
  <c r="AU26" i="3" s="1"/>
  <c r="CG23" i="2"/>
  <c r="AR26" i="3" s="1"/>
  <c r="CK23" i="2"/>
  <c r="AV26" i="3" s="1"/>
  <c r="CH7" i="2"/>
  <c r="AS10" i="3" s="1"/>
  <c r="CI7" i="2"/>
  <c r="AT10" i="3" s="1"/>
  <c r="CJ7" i="2"/>
  <c r="AU10" i="3" s="1"/>
  <c r="CK7" i="2"/>
  <c r="AV10" i="3" s="1"/>
  <c r="CG7" i="2"/>
  <c r="AR10" i="3" s="1"/>
  <c r="CJ40" i="2"/>
  <c r="AU43" i="3" s="1"/>
  <c r="CK40" i="2"/>
  <c r="AV43" i="3" s="1"/>
  <c r="CG17" i="2"/>
  <c r="AR20" i="3" s="1"/>
  <c r="CH17" i="2"/>
  <c r="AS20" i="3" s="1"/>
  <c r="CK50" i="2"/>
  <c r="CG47" i="2"/>
  <c r="AR50" i="3" s="1"/>
  <c r="CK33" i="2"/>
  <c r="AV36" i="3" s="1"/>
  <c r="CJ11" i="2"/>
  <c r="AU14" i="3" s="1"/>
  <c r="CJ41" i="2"/>
  <c r="AU44" i="3" s="1"/>
  <c r="CK41" i="2"/>
  <c r="AV44" i="3" s="1"/>
  <c r="CJ50" i="2"/>
  <c r="CJ33" i="2"/>
  <c r="AU36" i="3" s="1"/>
  <c r="CI24" i="2"/>
  <c r="AT27" i="3" s="1"/>
  <c r="CJ15" i="2"/>
  <c r="AU18" i="3" s="1"/>
  <c r="CI11" i="2"/>
  <c r="AT14" i="3" s="1"/>
  <c r="CI38" i="2"/>
  <c r="AT41" i="3" s="1"/>
  <c r="CJ38" i="2"/>
  <c r="AU41" i="3" s="1"/>
  <c r="CI50" i="2"/>
  <c r="CI41" i="2"/>
  <c r="AT44" i="3" s="1"/>
  <c r="CI28" i="2"/>
  <c r="AT31" i="3" s="1"/>
  <c r="CI15" i="2"/>
  <c r="AT18" i="3" s="1"/>
  <c r="CH11" i="2"/>
  <c r="AS14" i="3" s="1"/>
  <c r="CH50" i="2"/>
  <c r="CG48" i="2"/>
  <c r="CH48" i="2"/>
  <c r="CK48" i="2"/>
  <c r="CG41" i="2"/>
  <c r="AR44" i="3" s="1"/>
  <c r="CG45" i="2"/>
  <c r="AR48" i="3" s="1"/>
  <c r="CJ45" i="2"/>
  <c r="AU48" i="3" s="1"/>
  <c r="CK45" i="2"/>
  <c r="AV48" i="3" s="1"/>
  <c r="CI45" i="2"/>
  <c r="AT48" i="3" s="1"/>
  <c r="CK27" i="2"/>
  <c r="AV30" i="3" s="1"/>
  <c r="CK18" i="2"/>
  <c r="AV21" i="3" s="1"/>
  <c r="CK14" i="2"/>
  <c r="AV17" i="3" s="1"/>
  <c r="CI5" i="2"/>
  <c r="AT8" i="3" s="1"/>
  <c r="CH33" i="2"/>
  <c r="AS36" i="3" s="1"/>
  <c r="CG33" i="2"/>
  <c r="AR36" i="3" s="1"/>
  <c r="CJ2" i="2"/>
  <c r="AU5" i="3" s="1"/>
  <c r="CI2" i="2"/>
  <c r="AT5" i="3" s="1"/>
  <c r="CJ25" i="2"/>
  <c r="AU28" i="3" s="1"/>
  <c r="CK25" i="2"/>
  <c r="AV28" i="3" s="1"/>
  <c r="CJ9" i="2"/>
  <c r="AU12" i="3" s="1"/>
  <c r="CK9" i="2"/>
  <c r="AV12" i="3" s="1"/>
  <c r="CI42" i="2"/>
  <c r="AT45" i="3" s="1"/>
  <c r="CK42" i="2"/>
  <c r="AV45" i="3" s="1"/>
  <c r="CJ42" i="2"/>
  <c r="AU45" i="3" s="1"/>
  <c r="CH45" i="2"/>
  <c r="AS48" i="3" s="1"/>
  <c r="CJ14" i="2"/>
  <c r="AU17" i="3" s="1"/>
  <c r="CI9" i="2"/>
  <c r="AT12" i="3" s="1"/>
  <c r="CI39" i="2"/>
  <c r="AT42" i="3" s="1"/>
  <c r="CH36" i="2"/>
  <c r="AS39" i="3" s="1"/>
  <c r="CH20" i="2"/>
  <c r="AS23" i="3" s="1"/>
  <c r="CH4" i="2"/>
  <c r="AS7" i="3" s="1"/>
  <c r="CJ39" i="2"/>
  <c r="AU42" i="3" s="1"/>
  <c r="CK32" i="2"/>
  <c r="AV35" i="3" s="1"/>
  <c r="CK16" i="2"/>
  <c r="AV19" i="3" s="1"/>
  <c r="BT16" i="2"/>
  <c r="AF20" i="3" s="1"/>
  <c r="BT21" i="2"/>
  <c r="AF25" i="3" s="1"/>
  <c r="BS21" i="2"/>
  <c r="AE25" i="3" s="1"/>
  <c r="BS16" i="2"/>
  <c r="AE20" i="3" s="1"/>
  <c r="BR16" i="2"/>
  <c r="AD20" i="3" s="1"/>
  <c r="BT22" i="2"/>
  <c r="AF26" i="3" s="1"/>
  <c r="BT20" i="2"/>
  <c r="AF24" i="3" s="1"/>
  <c r="BT17" i="2"/>
  <c r="AF21" i="3" s="1"/>
  <c r="BS20" i="2"/>
  <c r="AE24" i="3" s="1"/>
  <c r="BR17" i="2"/>
  <c r="AD21" i="3" s="1"/>
  <c r="BR19" i="2"/>
  <c r="AD23" i="3" s="1"/>
  <c r="BT7" i="2"/>
  <c r="AF10" i="3" s="1"/>
  <c r="BR2" i="2"/>
  <c r="AD5" i="3" s="1"/>
  <c r="BT6" i="2"/>
  <c r="AF9" i="3" s="1"/>
  <c r="BR11" i="2"/>
  <c r="AD14" i="3" s="1"/>
  <c r="BR7" i="2"/>
  <c r="AD10" i="3" s="1"/>
  <c r="BR9" i="2"/>
  <c r="AD12" i="3" s="1"/>
  <c r="BT3" i="2"/>
  <c r="AF6" i="3" s="1"/>
  <c r="BS3" i="2"/>
  <c r="AE6" i="3" s="1"/>
  <c r="BT8" i="2"/>
  <c r="AF11" i="3" s="1"/>
  <c r="BS8" i="2"/>
  <c r="AE11" i="3" s="1"/>
  <c r="BS11" i="2"/>
  <c r="AE14" i="3" s="1"/>
  <c r="BR35" i="2"/>
  <c r="AD39" i="3" s="1"/>
  <c r="BR32" i="2"/>
  <c r="AD36" i="3" s="1"/>
  <c r="C4" i="2"/>
  <c r="F4" i="2" s="1"/>
  <c r="E4" i="2"/>
  <c r="R37" i="3" l="1"/>
  <c r="CV4" i="2"/>
  <c r="P37" i="3" s="1"/>
  <c r="CV2" i="2"/>
  <c r="P36" i="3" s="1"/>
  <c r="R36" i="3"/>
  <c r="CV6" i="2"/>
  <c r="P38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F9506E-3094-4B92-A9F0-2650A177B990}" keepAlive="1" name="Query - Q_Fixtures_Prematch_DayAfter" description="Connection to the 'Q_Fixtures_Prematch_DayAfter' query in the workbook." type="5" refreshedVersion="8" saveData="1">
    <dbPr connection="Provider=Microsoft.Mashup.OleDb.1;Data Source=$Workbook$;Location=Q_Fixtures_Prematch_DayAfter;Extended Properties=&quot;&quot;" command="SELECT * FROM [Q_Fixtures_Prematch_DayAfter]"/>
  </connection>
  <connection id="2" xr16:uid="{8CB66A17-C526-4FA1-AECA-CE1575FC6999}" keepAlive="1" name="Query - Q_Fixtures_Prematch_Today" description="Connection to the 'Q_Fixtures_Prematch_Today' query in the workbook." type="5" refreshedVersion="8" saveData="1">
    <dbPr connection="Provider=Microsoft.Mashup.OleDb.1;Data Source=$Workbook$;Location=Q_Fixtures_Prematch_Today;Extended Properties=&quot;&quot;" command="SELECT * FROM [Q_Fixtures_Prematch_Today]"/>
  </connection>
  <connection id="3" xr16:uid="{48896661-56B8-4F8F-A119-1659B2FF8678}" keepAlive="1" name="Query - Q_Fixtures_Prematch_Tomorrow" description="Connection to the 'Q_Fixtures_Prematch_Tomorrow' query in the workbook." type="5" refreshedVersion="8" saveData="1">
    <dbPr connection="Provider=Microsoft.Mashup.OleDb.1;Data Source=$Workbook$;Location=Q_Fixtures_Prematch_Tomorrow;Extended Properties=&quot;&quot;" command="SELECT * FROM [Q_Fixtures_Prematch_Tomorrow]"/>
  </connection>
  <connection id="4" xr16:uid="{810E18E0-362B-4095-B471-25D7659575B3}" keepAlive="1" name="Query - Q_Game_Standings_ByFixtureID" description="Connection to the 'Q_Game_Standings_ByFixtureID' query in the workbook." type="5" refreshedVersion="8" saveData="1">
    <dbPr connection="Provider=Microsoft.Mashup.OleDb.1;Data Source=$Workbook$;Location=Q_Game_Standings_ByFixtureID;Extended Properties=&quot;&quot;" command="SELECT * FROM [Q_Game_Standings_ByFixtureID]"/>
  </connection>
  <connection id="5" xr16:uid="{630FADB6-81D9-46C0-B129-D8431BDFDE80}" keepAlive="1" name="Query - Q_H2H_Last5_Stats_All" description="Connection to the 'Q_H2H_Last5_Stats_All' query in the workbook." type="5" refreshedVersion="8" saveData="1">
    <dbPr connection="Provider=Microsoft.Mashup.OleDb.1;Data Source=$Workbook$;Location=Q_H2H_Last5_Stats_All;Extended Properties=&quot;&quot;" command="SELECT * FROM [Q_H2H_Last5_Stats_All]"/>
  </connection>
  <connection id="6" xr16:uid="{0BB787DD-93B0-45A9-A854-9CDAFCCD9902}" keepAlive="1" name="Query - Q_Last10Away_Stats_All" description="Connection to the 'Q_Last10Away_Stats_All' query in the workbook." type="5" refreshedVersion="8" saveData="1">
    <dbPr connection="Provider=Microsoft.Mashup.OleDb.1;Data Source=$Workbook$;Location=Q_Last10Away_Stats_All;Extended Properties=&quot;&quot;" command="SELECT * FROM [Q_Last10Away_Stats_All]"/>
  </connection>
  <connection id="7" xr16:uid="{E101AA91-CC88-42E3-9833-D2D09B6BAB09}" keepAlive="1" name="Query - Q_Last10Home_Stats_All" description="Connection to the 'Q_Last10Home_Stats_All' query in the workbook." type="5" refreshedVersion="8" saveData="1">
    <dbPr connection="Provider=Microsoft.Mashup.OleDb.1;Data Source=$Workbook$;Location=Q_Last10Home_Stats_All;Extended Properties=&quot;&quot;" command="SELECT * FROM [Q_Last10Home_Stats_All]"/>
  </connection>
</connections>
</file>

<file path=xl/sharedStrings.xml><?xml version="1.0" encoding="utf-8"?>
<sst xmlns="http://schemas.openxmlformats.org/spreadsheetml/2006/main" count="10797" uniqueCount="4399">
  <si>
    <t>ApiKey</t>
  </si>
  <si>
    <t>TimeZone</t>
  </si>
  <si>
    <t>Europe/London</t>
  </si>
  <si>
    <t>Today</t>
  </si>
  <si>
    <t>Tomorrow</t>
  </si>
  <si>
    <t>DayAfter</t>
  </si>
  <si>
    <t>ListBox</t>
  </si>
  <si>
    <t>FixtureID</t>
  </si>
  <si>
    <t>5935dcd3467582af7f3823ec91a24917</t>
  </si>
  <si>
    <t>fixture_id</t>
  </si>
  <si>
    <t>fixture_date</t>
  </si>
  <si>
    <t>status_long</t>
  </si>
  <si>
    <t>league_country</t>
  </si>
  <si>
    <t>league_name</t>
  </si>
  <si>
    <t>home_name</t>
  </si>
  <si>
    <t>away_name</t>
  </si>
  <si>
    <t>Display</t>
  </si>
  <si>
    <t>Match Finished</t>
  </si>
  <si>
    <t>Mexico</t>
  </si>
  <si>
    <t>Liga Premier Serie A</t>
  </si>
  <si>
    <t>Brazil</t>
  </si>
  <si>
    <t>Carioca - 1</t>
  </si>
  <si>
    <t>World</t>
  </si>
  <si>
    <t>Friendlies Clubs</t>
  </si>
  <si>
    <t>Nicaragua</t>
  </si>
  <si>
    <t>Primera Division</t>
  </si>
  <si>
    <t>Premier Division</t>
  </si>
  <si>
    <t>Liga Nacional</t>
  </si>
  <si>
    <t>Primera División</t>
  </si>
  <si>
    <t>Argentina</t>
  </si>
  <si>
    <t>Colombia</t>
  </si>
  <si>
    <t>Primera A</t>
  </si>
  <si>
    <t>Costa-Rica</t>
  </si>
  <si>
    <t>Not Started</t>
  </si>
  <si>
    <t>Japan</t>
  </si>
  <si>
    <t>Match Postponed</t>
  </si>
  <si>
    <t>Australia</t>
  </si>
  <si>
    <t>A-League</t>
  </si>
  <si>
    <t>South-Africa</t>
  </si>
  <si>
    <t>Indonesia</t>
  </si>
  <si>
    <t>Liga 1</t>
  </si>
  <si>
    <t>Spain</t>
  </si>
  <si>
    <t>Italy</t>
  </si>
  <si>
    <t>Turkey</t>
  </si>
  <si>
    <t>Germany</t>
  </si>
  <si>
    <t>Bulgaria</t>
  </si>
  <si>
    <t>First League</t>
  </si>
  <si>
    <t>Congo-DR</t>
  </si>
  <si>
    <t>Ligue 1</t>
  </si>
  <si>
    <t>Malta</t>
  </si>
  <si>
    <t>Premier League</t>
  </si>
  <si>
    <t>1. Lig</t>
  </si>
  <si>
    <t>Poland</t>
  </si>
  <si>
    <t>I Liga</t>
  </si>
  <si>
    <t>Portugal</t>
  </si>
  <si>
    <t>Liga Revelação U23</t>
  </si>
  <si>
    <t>Cup</t>
  </si>
  <si>
    <t>Malaysia</t>
  </si>
  <si>
    <t>Ekstraklasa</t>
  </si>
  <si>
    <t>Netherlands</t>
  </si>
  <si>
    <t>Eredivisie</t>
  </si>
  <si>
    <t>Serie A</t>
  </si>
  <si>
    <t>Süper Lig</t>
  </si>
  <si>
    <t>Greece</t>
  </si>
  <si>
    <t>Serbia</t>
  </si>
  <si>
    <t>Bosnia</t>
  </si>
  <si>
    <t>England</t>
  </si>
  <si>
    <t>Azerbaijan</t>
  </si>
  <si>
    <t>Kenya</t>
  </si>
  <si>
    <t>Tunisia</t>
  </si>
  <si>
    <t>Superliga</t>
  </si>
  <si>
    <t>Championship</t>
  </si>
  <si>
    <t>Belgium</t>
  </si>
  <si>
    <t>Uruguay</t>
  </si>
  <si>
    <t>Primera División - Apertura</t>
  </si>
  <si>
    <t>La Liga</t>
  </si>
  <si>
    <t>Segunda División</t>
  </si>
  <si>
    <t>Regionalliga - Nordost</t>
  </si>
  <si>
    <t>Premier League 2 Division One</t>
  </si>
  <si>
    <t>Denmark</t>
  </si>
  <si>
    <t>Police</t>
  </si>
  <si>
    <t>Switzerland</t>
  </si>
  <si>
    <t>Super League</t>
  </si>
  <si>
    <t>Saudi-Arabia</t>
  </si>
  <si>
    <t>Division 1</t>
  </si>
  <si>
    <t>League</t>
  </si>
  <si>
    <t>Norway</t>
  </si>
  <si>
    <t>Cameroon</t>
  </si>
  <si>
    <t>United-Arab-Emirates</t>
  </si>
  <si>
    <t>Eerste Divisie</t>
  </si>
  <si>
    <t>France</t>
  </si>
  <si>
    <t>Iceland</t>
  </si>
  <si>
    <t>League Cup</t>
  </si>
  <si>
    <t>Scotland</t>
  </si>
  <si>
    <t>FA Cup</t>
  </si>
  <si>
    <t>Morocco</t>
  </si>
  <si>
    <t>Second Half</t>
  </si>
  <si>
    <t>Romania</t>
  </si>
  <si>
    <t>Liga I</t>
  </si>
  <si>
    <t>Botola Pro</t>
  </si>
  <si>
    <t>Ghana</t>
  </si>
  <si>
    <t>Primeira Liga</t>
  </si>
  <si>
    <t>First Half</t>
  </si>
  <si>
    <t>Guaporé</t>
  </si>
  <si>
    <t>Primera B</t>
  </si>
  <si>
    <t>Jalapa</t>
  </si>
  <si>
    <t>National League</t>
  </si>
  <si>
    <t>Thailand</t>
  </si>
  <si>
    <t>Thai League 2</t>
  </si>
  <si>
    <t>Israel</t>
  </si>
  <si>
    <t>Macedonia</t>
  </si>
  <si>
    <t>Roraimense</t>
  </si>
  <si>
    <t>rank</t>
  </si>
  <si>
    <t>team_name</t>
  </si>
  <si>
    <t>form</t>
  </si>
  <si>
    <t>points</t>
  </si>
  <si>
    <t>all_played</t>
  </si>
  <si>
    <t>all_win</t>
  </si>
  <si>
    <t>all_draw</t>
  </si>
  <si>
    <t>all_lose</t>
  </si>
  <si>
    <t>all_gf</t>
  </si>
  <si>
    <t>all_ga</t>
  </si>
  <si>
    <t>goalsDiff</t>
  </si>
  <si>
    <t>kickoff</t>
  </si>
  <si>
    <t>home_logo</t>
  </si>
  <si>
    <t>away_logo</t>
  </si>
  <si>
    <t>opponent</t>
  </si>
  <si>
    <t>league_logo</t>
  </si>
  <si>
    <t>league_flag</t>
  </si>
  <si>
    <t>home_goals</t>
  </si>
  <si>
    <t>away_goals</t>
  </si>
  <si>
    <t>ht_home</t>
  </si>
  <si>
    <t>ht_away</t>
  </si>
  <si>
    <t>ft_home</t>
  </si>
  <si>
    <t>ft_away</t>
  </si>
  <si>
    <t>Home_ShotsOnGoal</t>
  </si>
  <si>
    <t>Away_ShotsOnGoal</t>
  </si>
  <si>
    <t>Home_ShotsOffGoal</t>
  </si>
  <si>
    <t>Away_ShotsOffGoal</t>
  </si>
  <si>
    <t>Home_TotalShots</t>
  </si>
  <si>
    <t>Away_TotalShots</t>
  </si>
  <si>
    <t>Home_BlockedShots</t>
  </si>
  <si>
    <t>Away_BlockedShots</t>
  </si>
  <si>
    <t>Home_ShotsInsideBox</t>
  </si>
  <si>
    <t>Away_ShotsInsideBox</t>
  </si>
  <si>
    <t>Home_ShotsOutsideBox</t>
  </si>
  <si>
    <t>Away_ShotsOutsideBox</t>
  </si>
  <si>
    <t>Home_Fouls</t>
  </si>
  <si>
    <t>Away_Fouls</t>
  </si>
  <si>
    <t>Home_CornerKicks</t>
  </si>
  <si>
    <t>Away_CornerKicks</t>
  </si>
  <si>
    <t>Home_Offsides</t>
  </si>
  <si>
    <t>Away_Offsides</t>
  </si>
  <si>
    <t>Home_BallPossession</t>
  </si>
  <si>
    <t>Away_BallPossession</t>
  </si>
  <si>
    <t>Home_YellowCards</t>
  </si>
  <si>
    <t>Away_YellowCards</t>
  </si>
  <si>
    <t>Home_RedCards</t>
  </si>
  <si>
    <t>Away_RedCards</t>
  </si>
  <si>
    <t>Home_GoalkeeperSaves</t>
  </si>
  <si>
    <t>Away_GoalkeeperSaves</t>
  </si>
  <si>
    <t>Home_TotalPasses</t>
  </si>
  <si>
    <t>Away_TotalPasses</t>
  </si>
  <si>
    <t>Home_PassesAccurate</t>
  </si>
  <si>
    <t>Away_PassesAccurate</t>
  </si>
  <si>
    <t>Home_PassesPct</t>
  </si>
  <si>
    <t>Away_PassesPct</t>
  </si>
  <si>
    <t>Home_ExpectedGoals</t>
  </si>
  <si>
    <t>Away_ExpectedGoals</t>
  </si>
  <si>
    <t>Home_GoalsPrevented</t>
  </si>
  <si>
    <t>Away_GoalsPrevented</t>
  </si>
  <si>
    <t>HOME TEAM</t>
  </si>
  <si>
    <t>AWAY TEAM</t>
  </si>
  <si>
    <t>HALF TIME GOALS</t>
  </si>
  <si>
    <t>OVER O.5</t>
  </si>
  <si>
    <t>OVER 1.5</t>
  </si>
  <si>
    <t>FULL TIME GOALS</t>
  </si>
  <si>
    <t>OVER 2.5</t>
  </si>
  <si>
    <t>OVER 3.5</t>
  </si>
  <si>
    <t>BTTS</t>
  </si>
  <si>
    <t>FULL TIME CORNERS</t>
  </si>
  <si>
    <t>OVER 7.5</t>
  </si>
  <si>
    <t>OVER 8.5</t>
  </si>
  <si>
    <t>OVER 9.5</t>
  </si>
  <si>
    <t>FT HOME</t>
  </si>
  <si>
    <t>FT AWAY</t>
  </si>
  <si>
    <t>W</t>
  </si>
  <si>
    <t>D</t>
  </si>
  <si>
    <t>L</t>
  </si>
  <si>
    <t>Avg. H+A TEAMS</t>
  </si>
  <si>
    <t>HOME TEAM - LAST 10 GAMES</t>
  </si>
  <si>
    <t>vs</t>
  </si>
  <si>
    <t>AWAY TEAM - LAST 10 GAMES</t>
  </si>
  <si>
    <t>KICK OFF</t>
  </si>
  <si>
    <t>LEAGUE</t>
  </si>
  <si>
    <t>GOALS HT</t>
  </si>
  <si>
    <t>GOALS FT</t>
  </si>
  <si>
    <t>CORNERS FT</t>
  </si>
  <si>
    <t>HEAD TO HEAD (H2H) - LAST 5 GAMES</t>
  </si>
  <si>
    <t>STANDING</t>
  </si>
  <si>
    <t>FORM</t>
  </si>
  <si>
    <t>Rank</t>
  </si>
  <si>
    <t>Team name</t>
  </si>
  <si>
    <t>MP</t>
  </si>
  <si>
    <t>GD</t>
  </si>
  <si>
    <t>PTS</t>
  </si>
  <si>
    <t>FixtureDate</t>
  </si>
  <si>
    <t>StatusLong</t>
  </si>
  <si>
    <t>HomeTeam</t>
  </si>
  <si>
    <t>AwayTeam</t>
  </si>
  <si>
    <t>LeagueCountry</t>
  </si>
  <si>
    <t>LeagueName</t>
  </si>
  <si>
    <t>League Country</t>
  </si>
  <si>
    <t>League Name</t>
  </si>
  <si>
    <t>Home + Away</t>
  </si>
  <si>
    <t>ht goals</t>
  </si>
  <si>
    <t>ft goals</t>
  </si>
  <si>
    <t>corners</t>
  </si>
  <si>
    <t>GF</t>
  </si>
  <si>
    <t>GA</t>
  </si>
  <si>
    <t>HT Over 0.5 Goals</t>
  </si>
  <si>
    <t>Egypt</t>
  </si>
  <si>
    <t>Amapaense</t>
  </si>
  <si>
    <t>FT Over 1.5 Goals</t>
  </si>
  <si>
    <t>HT Over 1.5 Goals</t>
  </si>
  <si>
    <t>FT Over 2.5 Goals</t>
  </si>
  <si>
    <t>FT Over 3.5 Goals</t>
  </si>
  <si>
    <t>HT Home</t>
  </si>
  <si>
    <t xml:space="preserve">HT Away </t>
  </si>
  <si>
    <t xml:space="preserve">FT Home </t>
  </si>
  <si>
    <t>FT Away</t>
  </si>
  <si>
    <t>FT Corners Over 7.5</t>
  </si>
  <si>
    <t>FT Corners Over 8.5</t>
  </si>
  <si>
    <t>FT Corners Over 9.5</t>
  </si>
  <si>
    <t>Second League</t>
  </si>
  <si>
    <t>Average Yellow Cards per game</t>
  </si>
  <si>
    <t>Victoria NPL 2</t>
  </si>
  <si>
    <t>Ligat Ha'al</t>
  </si>
  <si>
    <t>Ligue 2</t>
  </si>
  <si>
    <t>Division One League</t>
  </si>
  <si>
    <t>Premier Soccer League</t>
  </si>
  <si>
    <t>Aurora</t>
  </si>
  <si>
    <t>Wales</t>
  </si>
  <si>
    <t>FAW Championship</t>
  </si>
  <si>
    <t>Primera Nacional</t>
  </si>
  <si>
    <t>LAST 5 GAMES H2H</t>
  </si>
  <si>
    <t>X</t>
  </si>
  <si>
    <t>Average Goals Last 5 Games H2H</t>
  </si>
  <si>
    <t>Average Goals per game</t>
  </si>
  <si>
    <t>HT GOAL HOME</t>
  </si>
  <si>
    <t>HT GOAL AWAY</t>
  </si>
  <si>
    <t>FT GOAL HOME</t>
  </si>
  <si>
    <t>FT GOAL AWAY</t>
  </si>
  <si>
    <t>HOME</t>
  </si>
  <si>
    <t>AWAY</t>
  </si>
  <si>
    <t>LAST 10 GAMES</t>
  </si>
  <si>
    <t xml:space="preserve">home team </t>
  </si>
  <si>
    <t>away team</t>
  </si>
  <si>
    <t>ht goal home</t>
  </si>
  <si>
    <t>ht goal away</t>
  </si>
  <si>
    <t>ft goal home</t>
  </si>
  <si>
    <t>ft goal away</t>
  </si>
  <si>
    <t>India</t>
  </si>
  <si>
    <t>Indian Super League</t>
  </si>
  <si>
    <t>Campionato Primavera - 1</t>
  </si>
  <si>
    <t>2. Lig</t>
  </si>
  <si>
    <t>Segunda Liga</t>
  </si>
  <si>
    <t>Super Liga</t>
  </si>
  <si>
    <t>League One</t>
  </si>
  <si>
    <t>Slovenia</t>
  </si>
  <si>
    <t>Slovakia</t>
  </si>
  <si>
    <t>Premijer Liga</t>
  </si>
  <si>
    <t>Super League 1</t>
  </si>
  <si>
    <t>Shabab Al Ahli Dubai</t>
  </si>
  <si>
    <t>Gaúcho - 1</t>
  </si>
  <si>
    <t>Inter</t>
  </si>
  <si>
    <t>Guatemala</t>
  </si>
  <si>
    <t>LAST 5 GAMES HEAD TO HEAD (H2H)</t>
  </si>
  <si>
    <t>DATE TIME</t>
  </si>
  <si>
    <t>Sweden</t>
  </si>
  <si>
    <t>Nigeria</t>
  </si>
  <si>
    <t>NPFL</t>
  </si>
  <si>
    <t>Mauritania</t>
  </si>
  <si>
    <t>Antigua-And-Barbuda</t>
  </si>
  <si>
    <t>Barbados</t>
  </si>
  <si>
    <t>Pride of Gall Hill</t>
  </si>
  <si>
    <t>Platense</t>
  </si>
  <si>
    <t>Real Espana</t>
  </si>
  <si>
    <t>Sisaket United</t>
  </si>
  <si>
    <t>Nakhon Pathom</t>
  </si>
  <si>
    <t>Jamaica</t>
  </si>
  <si>
    <t>Mount Pleasant Academy</t>
  </si>
  <si>
    <t>Harbour View</t>
  </si>
  <si>
    <t>SELECT GAMES ON A SLIP</t>
  </si>
  <si>
    <t>OVER O.5 HT</t>
  </si>
  <si>
    <t>OVER 1.5 HT</t>
  </si>
  <si>
    <t>OVER 1.5 FT</t>
  </si>
  <si>
    <t>OVER 2.5 FT</t>
  </si>
  <si>
    <t>OVER 3.5 FT</t>
  </si>
  <si>
    <t>BTTS FT</t>
  </si>
  <si>
    <t>OVER 7.5 CORNERS</t>
  </si>
  <si>
    <t>OVER 8.5 CORNERS</t>
  </si>
  <si>
    <t>OVER 9.5 CORNERS</t>
  </si>
  <si>
    <t xml:space="preserve">AWAY TEAM </t>
  </si>
  <si>
    <t>%</t>
  </si>
  <si>
    <t>PREDICTION</t>
  </si>
  <si>
    <t>AFC Champions League</t>
  </si>
  <si>
    <t>Liga Leumit</t>
  </si>
  <si>
    <t>Hapoel Kfar Saba</t>
  </si>
  <si>
    <t>Wolves U21</t>
  </si>
  <si>
    <t>Sunderland U21</t>
  </si>
  <si>
    <t>Rio Ave</t>
  </si>
  <si>
    <t>Professional Development League</t>
  </si>
  <si>
    <t>Brazil - Carioca - 1</t>
  </si>
  <si>
    <t>Persib Bandung</t>
  </si>
  <si>
    <t>Al Shabab</t>
  </si>
  <si>
    <t>Piauiense</t>
  </si>
  <si>
    <t>Bolivia</t>
  </si>
  <si>
    <t>Argentina - Liga Profesional Argentina</t>
  </si>
  <si>
    <t>Náutico RR</t>
  </si>
  <si>
    <t>Sampaio Corrêa RJ</t>
  </si>
  <si>
    <t>Auto-Generated Match Slip</t>
  </si>
  <si>
    <t>Telegram Token</t>
  </si>
  <si>
    <t>Telegram Chat ID</t>
  </si>
  <si>
    <t>8206600177:AAHVPjC98ZXHLcvOdSpl6pphdTxpV0fhHE4</t>
  </si>
  <si>
    <t>Mictlán</t>
  </si>
  <si>
    <t>Amazonense</t>
  </si>
  <si>
    <t>Nacional AM</t>
  </si>
  <si>
    <t>Asiagoal</t>
  </si>
  <si>
    <t>Rodina Moskva</t>
  </si>
  <si>
    <t>New South Wales NPL</t>
  </si>
  <si>
    <t>Victoria NPL</t>
  </si>
  <si>
    <t>Bulleen Lions</t>
  </si>
  <si>
    <t>Myanmar</t>
  </si>
  <si>
    <t>Shan United</t>
  </si>
  <si>
    <t>New South Wales NPL 2</t>
  </si>
  <si>
    <t>Northern NSW NPL</t>
  </si>
  <si>
    <t>Queensland NPL</t>
  </si>
  <si>
    <t>Ukraine</t>
  </si>
  <si>
    <t>U19 League</t>
  </si>
  <si>
    <t>Thai League 1</t>
  </si>
  <si>
    <t>Racing</t>
  </si>
  <si>
    <t>Singapore</t>
  </si>
  <si>
    <t>Chelsea U21</t>
  </si>
  <si>
    <t>Burundi</t>
  </si>
  <si>
    <t>Ligue A</t>
  </si>
  <si>
    <t>SK Poltava</t>
  </si>
  <si>
    <t>Croatia</t>
  </si>
  <si>
    <t>First NL</t>
  </si>
  <si>
    <t>Sandefjord</t>
  </si>
  <si>
    <t>Angola</t>
  </si>
  <si>
    <t>Girabola</t>
  </si>
  <si>
    <t>HNL</t>
  </si>
  <si>
    <t>Austria</t>
  </si>
  <si>
    <t>2. Liga</t>
  </si>
  <si>
    <t>Cyprus</t>
  </si>
  <si>
    <t>1. Division</t>
  </si>
  <si>
    <t>Botswana</t>
  </si>
  <si>
    <t>2. Bundesliga</t>
  </si>
  <si>
    <t>Pro League</t>
  </si>
  <si>
    <t>3. Liga</t>
  </si>
  <si>
    <t>Primera División RFEF - Group 1</t>
  </si>
  <si>
    <t>Svenska Cupen</t>
  </si>
  <si>
    <t>Oberliga - Hamburg</t>
  </si>
  <si>
    <t>Challenge League</t>
  </si>
  <si>
    <t>Al Arabi SC</t>
  </si>
  <si>
    <t>Al Zulfi</t>
  </si>
  <si>
    <t>Jordan</t>
  </si>
  <si>
    <t>Challenger Pro League</t>
  </si>
  <si>
    <t>Oberliga - Nordost-Nord</t>
  </si>
  <si>
    <t>First Amateur Division</t>
  </si>
  <si>
    <t>Bundesliga</t>
  </si>
  <si>
    <t>Trethomas Bluebirds</t>
  </si>
  <si>
    <t>Newport City</t>
  </si>
  <si>
    <t>Serie B</t>
  </si>
  <si>
    <t>Primera División RFEF - Group 2</t>
  </si>
  <si>
    <t>Jupiler Pro League</t>
  </si>
  <si>
    <t>Ireland</t>
  </si>
  <si>
    <t>Gibraltar</t>
  </si>
  <si>
    <t>Tondela</t>
  </si>
  <si>
    <t>Chile</t>
  </si>
  <si>
    <t>Paraguay</t>
  </si>
  <si>
    <t>Division Profesional - Apertura</t>
  </si>
  <si>
    <t>Rubio NU</t>
  </si>
  <si>
    <t>Trinidad-And-Tobago</t>
  </si>
  <si>
    <t>Trem</t>
  </si>
  <si>
    <t>Catarinense - 1</t>
  </si>
  <si>
    <t>Portuguesa RJ</t>
  </si>
  <si>
    <t>World Cup - Women - Qualification Concacaf</t>
  </si>
  <si>
    <t>USA</t>
  </si>
  <si>
    <t>MLS Next Pro</t>
  </si>
  <si>
    <t>Aruba</t>
  </si>
  <si>
    <t>Division di Honor</t>
  </si>
  <si>
    <t>Ecuador</t>
  </si>
  <si>
    <t>Liga Pro</t>
  </si>
  <si>
    <t>Liga MX</t>
  </si>
  <si>
    <t>Liga de Expansión MX</t>
  </si>
  <si>
    <t>Peru</t>
  </si>
  <si>
    <t>Panama</t>
  </si>
  <si>
    <t>Liga Panameña de Fútbol</t>
  </si>
  <si>
    <t>J1 League</t>
  </si>
  <si>
    <t>J2 League</t>
  </si>
  <si>
    <t>South-Korea</t>
  </si>
  <si>
    <t>K League 1</t>
  </si>
  <si>
    <t>K League 2</t>
  </si>
  <si>
    <t>Russia</t>
  </si>
  <si>
    <t>Liga II</t>
  </si>
  <si>
    <t>Vietnam</t>
  </si>
  <si>
    <t>V.League 2</t>
  </si>
  <si>
    <t>Czech-Republic</t>
  </si>
  <si>
    <t>Campionato Primavera - 2</t>
  </si>
  <si>
    <t>Central Youth League</t>
  </si>
  <si>
    <t>Srpska Liga - Belgrade</t>
  </si>
  <si>
    <t>II Liga - East</t>
  </si>
  <si>
    <t>III Liga - Group 2</t>
  </si>
  <si>
    <t>V.League 1</t>
  </si>
  <si>
    <t>Third League - Northeast</t>
  </si>
  <si>
    <t>Belarus</t>
  </si>
  <si>
    <t>Hungary</t>
  </si>
  <si>
    <t>NB II</t>
  </si>
  <si>
    <t>2. liga</t>
  </si>
  <si>
    <t>Oberliga - Baden-Württemberg</t>
  </si>
  <si>
    <t>Oberliga - Hessen</t>
  </si>
  <si>
    <t>Regionalliga - SudWest</t>
  </si>
  <si>
    <t>Regionalliga - West</t>
  </si>
  <si>
    <t>FNL</t>
  </si>
  <si>
    <t>Third League - Southeast</t>
  </si>
  <si>
    <t>I-League</t>
  </si>
  <si>
    <t>NB I</t>
  </si>
  <si>
    <t>Czech Liga</t>
  </si>
  <si>
    <t>2. SNL</t>
  </si>
  <si>
    <t>San-Marino</t>
  </si>
  <si>
    <t>Campionato</t>
  </si>
  <si>
    <t>Luxembourg</t>
  </si>
  <si>
    <t>National Division</t>
  </si>
  <si>
    <t>Ivory-Coast</t>
  </si>
  <si>
    <t>Mali</t>
  </si>
  <si>
    <t>Première Division</t>
  </si>
  <si>
    <t>Georgia</t>
  </si>
  <si>
    <t>Erovnuli Liga</t>
  </si>
  <si>
    <t>Second Amateur Division - VFV A</t>
  </si>
  <si>
    <t>Paranaense U20</t>
  </si>
  <si>
    <t>Liga de Ascenso</t>
  </si>
  <si>
    <t>Major League Soccer</t>
  </si>
  <si>
    <t>Primera C</t>
  </si>
  <si>
    <t>Venezuela</t>
  </si>
  <si>
    <t>Paulista - A1</t>
  </si>
  <si>
    <t>Benfica</t>
  </si>
  <si>
    <t>GIL Vicente</t>
  </si>
  <si>
    <t>Santa Clara</t>
  </si>
  <si>
    <t>Pernambucano - 1</t>
  </si>
  <si>
    <t>China</t>
  </si>
  <si>
    <t>Honduras</t>
  </si>
  <si>
    <t>Asian Cup Women</t>
  </si>
  <si>
    <t>Kyrgyzstan</t>
  </si>
  <si>
    <t>Macapá</t>
  </si>
  <si>
    <t>Falkenbergs FF</t>
  </si>
  <si>
    <t>Spartak Moscow</t>
  </si>
  <si>
    <t>Oberliga - Niederrhein</t>
  </si>
  <si>
    <t>Fafe</t>
  </si>
  <si>
    <t>Sporting Gijon</t>
  </si>
  <si>
    <t>Leganes</t>
  </si>
  <si>
    <t>Macara</t>
  </si>
  <si>
    <t>Copa Alagoas</t>
  </si>
  <si>
    <t>Deportivo Saprissa</t>
  </si>
  <si>
    <t>Municipal Liberia</t>
  </si>
  <si>
    <t>Dakota</t>
  </si>
  <si>
    <t>RCA</t>
  </si>
  <si>
    <t>Xelajú</t>
  </si>
  <si>
    <t>Portmore United</t>
  </si>
  <si>
    <t>Houston Dynamo FC II</t>
  </si>
  <si>
    <t>Colorado Rapids II</t>
  </si>
  <si>
    <t>Weymouth Wales</t>
  </si>
  <si>
    <t>World Cup - Women - Qualification Europe</t>
  </si>
  <si>
    <t>San Carlos</t>
  </si>
  <si>
    <t>CS Cartagines</t>
  </si>
  <si>
    <t>Ventura County</t>
  </si>
  <si>
    <t>Vancouver Whitecaps II</t>
  </si>
  <si>
    <t>New England II</t>
  </si>
  <si>
    <t>Atlanta United II</t>
  </si>
  <si>
    <t>Austin II</t>
  </si>
  <si>
    <t>Minnesota United II</t>
  </si>
  <si>
    <t>Real Estelí</t>
  </si>
  <si>
    <t>San Diego</t>
  </si>
  <si>
    <t>St. Louis City</t>
  </si>
  <si>
    <t>Tacoma Defiance</t>
  </si>
  <si>
    <t>Los Angeles FC II</t>
  </si>
  <si>
    <t>Papua New Guinea W</t>
  </si>
  <si>
    <t>Fiji W</t>
  </si>
  <si>
    <t>FC Anyang</t>
  </si>
  <si>
    <t>Busan I Park</t>
  </si>
  <si>
    <t>Seongnam FC</t>
  </si>
  <si>
    <t>South Korea W</t>
  </si>
  <si>
    <t>Iran W</t>
  </si>
  <si>
    <t>Kudrivka</t>
  </si>
  <si>
    <t>Armenia</t>
  </si>
  <si>
    <t>FC Noah</t>
  </si>
  <si>
    <t>Banants II</t>
  </si>
  <si>
    <t>Hayq</t>
  </si>
  <si>
    <t>Sardarapat</t>
  </si>
  <si>
    <t>Vizela U23</t>
  </si>
  <si>
    <t>Cherno more II</t>
  </si>
  <si>
    <t>Shkendija</t>
  </si>
  <si>
    <t>Pelister</t>
  </si>
  <si>
    <t>CSKA Sofia II</t>
  </si>
  <si>
    <t>Reading U21</t>
  </si>
  <si>
    <t>Abdish-Ata</t>
  </si>
  <si>
    <t>Barau FC</t>
  </si>
  <si>
    <t>Plateau United</t>
  </si>
  <si>
    <t>Police National</t>
  </si>
  <si>
    <t>Skyy</t>
  </si>
  <si>
    <t>IMT Novi Beograd</t>
  </si>
  <si>
    <t>Radnik Surdulica</t>
  </si>
  <si>
    <t>Ludogorets</t>
  </si>
  <si>
    <t>Lokomotiv Plovdiv</t>
  </si>
  <si>
    <t>Samgurali</t>
  </si>
  <si>
    <t>Tractor Sazi</t>
  </si>
  <si>
    <t>Derby Academie</t>
  </si>
  <si>
    <t>Guinea</t>
  </si>
  <si>
    <t>Shinnik Yaroslavl</t>
  </si>
  <si>
    <t>Apollon Limassol</t>
  </si>
  <si>
    <t>Polonia Warszawa</t>
  </si>
  <si>
    <t>Bologna</t>
  </si>
  <si>
    <t>Unirea Slobozia</t>
  </si>
  <si>
    <t>Rapid</t>
  </si>
  <si>
    <t>Wisla Plock</t>
  </si>
  <si>
    <t>Kafr Qasim</t>
  </si>
  <si>
    <t>Feirense</t>
  </si>
  <si>
    <t>Felgueiras 1932</t>
  </si>
  <si>
    <t>Birmingham City U21</t>
  </si>
  <si>
    <t>Al-Duhail SC</t>
  </si>
  <si>
    <t>Al-Ahli Jeddah</t>
  </si>
  <si>
    <t>Jeddah Club</t>
  </si>
  <si>
    <t>Bekescsaba 1912</t>
  </si>
  <si>
    <t>Fehérvár FC</t>
  </si>
  <si>
    <t>Swansea City U21</t>
  </si>
  <si>
    <t>Cordoba</t>
  </si>
  <si>
    <t>FC Andorra</t>
  </si>
  <si>
    <t>Fiorentina</t>
  </si>
  <si>
    <t>Middlesbrough</t>
  </si>
  <si>
    <t>Zrinjski</t>
  </si>
  <si>
    <t>Getafe</t>
  </si>
  <si>
    <t>Leones de Rosario</t>
  </si>
  <si>
    <t>Génesis</t>
  </si>
  <si>
    <t>Lobos Upnfm</t>
  </si>
  <si>
    <t>Molynes United</t>
  </si>
  <si>
    <t>Tevragh-Zeïne</t>
  </si>
  <si>
    <t>Juventud</t>
  </si>
  <si>
    <t>Club Sp. San Lorenzo</t>
  </si>
  <si>
    <t>San Luis</t>
  </si>
  <si>
    <t>Chemal</t>
  </si>
  <si>
    <t>Patronato</t>
  </si>
  <si>
    <t>Orlando City II</t>
  </si>
  <si>
    <t>Flamengo</t>
  </si>
  <si>
    <t>Waterhouse</t>
  </si>
  <si>
    <t>Spanish Town Police</t>
  </si>
  <si>
    <t>San Francisco FC</t>
  </si>
  <si>
    <t>Pitbulls Santa Barbara FC</t>
  </si>
  <si>
    <t>Korea DPR</t>
  </si>
  <si>
    <t>Uzbekistan W</t>
  </si>
  <si>
    <t>China W</t>
  </si>
  <si>
    <t>Bangladesh W</t>
  </si>
  <si>
    <t>Dagon</t>
  </si>
  <si>
    <t>Fethiyespor</t>
  </si>
  <si>
    <t>Fatih Karagümrük</t>
  </si>
  <si>
    <t>Monza U20</t>
  </si>
  <si>
    <t>Moldova</t>
  </si>
  <si>
    <t>Syunik</t>
  </si>
  <si>
    <t>Araks Ararat</t>
  </si>
  <si>
    <t>Van II</t>
  </si>
  <si>
    <t>BKMA II</t>
  </si>
  <si>
    <t>Pyunik II</t>
  </si>
  <si>
    <t>Noah II</t>
  </si>
  <si>
    <t>Montana</t>
  </si>
  <si>
    <t>Ethiopia</t>
  </si>
  <si>
    <t>Ethiopia Nigd Bank</t>
  </si>
  <si>
    <t>Mekelakeya</t>
  </si>
  <si>
    <t>Kedus Giorgis</t>
  </si>
  <si>
    <t>Negelle Arsi</t>
  </si>
  <si>
    <t>Boluspor</t>
  </si>
  <si>
    <t>Hellas Verona U20</t>
  </si>
  <si>
    <t>Akademija Pandev</t>
  </si>
  <si>
    <t>Bashkimi Kumanovo</t>
  </si>
  <si>
    <t>AFC Bournemouth U21</t>
  </si>
  <si>
    <t>Shkëndija Haraçinë</t>
  </si>
  <si>
    <t>Golemo Konjari</t>
  </si>
  <si>
    <t>Beroe</t>
  </si>
  <si>
    <t>Bishkek City</t>
  </si>
  <si>
    <t>Zira</t>
  </si>
  <si>
    <t>União Leiria U23</t>
  </si>
  <si>
    <t>Gil Vicente U23</t>
  </si>
  <si>
    <t>Estrela U23</t>
  </si>
  <si>
    <t>Liga MX U21</t>
  </si>
  <si>
    <t>Toluca U21</t>
  </si>
  <si>
    <t>Sheger Ketema</t>
  </si>
  <si>
    <t>Ethiopian Medhin</t>
  </si>
  <si>
    <t>Welwalo Adigrat Uni</t>
  </si>
  <si>
    <t>Suhul Shire</t>
  </si>
  <si>
    <t>Dynamo Kyiv</t>
  </si>
  <si>
    <t>Slavia Praha</t>
  </si>
  <si>
    <t>Botev Plovdiv</t>
  </si>
  <si>
    <t>Zenit</t>
  </si>
  <si>
    <t>Santos Laguna U21</t>
  </si>
  <si>
    <t>AFC Hermannstadt</t>
  </si>
  <si>
    <t>Podbrezová</t>
  </si>
  <si>
    <t>TS Galaxy</t>
  </si>
  <si>
    <t>Alanyaspor</t>
  </si>
  <si>
    <t>Trabzonspor</t>
  </si>
  <si>
    <t>Verl</t>
  </si>
  <si>
    <t>FC Carl Zeiss Jena</t>
  </si>
  <si>
    <t>Altglienicke</t>
  </si>
  <si>
    <t>HT16</t>
  </si>
  <si>
    <t>Al Ula</t>
  </si>
  <si>
    <t>Al Orubah</t>
  </si>
  <si>
    <t>Al Wihdat</t>
  </si>
  <si>
    <t>Al Ramtha</t>
  </si>
  <si>
    <t>Emmen</t>
  </si>
  <si>
    <t>Jong Utrecht</t>
  </si>
  <si>
    <t>Cambuur</t>
  </si>
  <si>
    <t>Sparta Praha</t>
  </si>
  <si>
    <t>NEC Nijmegen</t>
  </si>
  <si>
    <t>Kecskeméti TE</t>
  </si>
  <si>
    <t>Brentford</t>
  </si>
  <si>
    <t>Leeds</t>
  </si>
  <si>
    <t>Sunderland</t>
  </si>
  <si>
    <t>Al Wehda Club</t>
  </si>
  <si>
    <t>Al Taee</t>
  </si>
  <si>
    <t>ST Mirren</t>
  </si>
  <si>
    <t>Exeter City</t>
  </si>
  <si>
    <t>Mansfield Town</t>
  </si>
  <si>
    <t>Wycombe</t>
  </si>
  <si>
    <t>GKS Katowice</t>
  </si>
  <si>
    <t>Port Vale</t>
  </si>
  <si>
    <t>Reims</t>
  </si>
  <si>
    <t>Stockport County</t>
  </si>
  <si>
    <t>FC Porto</t>
  </si>
  <si>
    <t>Algeria</t>
  </si>
  <si>
    <t>CS Constantine</t>
  </si>
  <si>
    <t>Atletico Torque</t>
  </si>
  <si>
    <t>Defensor Sporting</t>
  </si>
  <si>
    <t>Bagatelle</t>
  </si>
  <si>
    <t>Key</t>
  </si>
  <si>
    <t>SentAt</t>
  </si>
  <si>
    <t>1379249|LAST MINUTE GOAL</t>
  </si>
  <si>
    <t>Cienciano</t>
  </si>
  <si>
    <t>Sousa</t>
  </si>
  <si>
    <t>Iskra</t>
  </si>
  <si>
    <t>Tajikistan</t>
  </si>
  <si>
    <t>Vysshaya Liga</t>
  </si>
  <si>
    <t>III Liga - Group 3</t>
  </si>
  <si>
    <t>Liga III - Serie 4</t>
  </si>
  <si>
    <t>Zimbabwe</t>
  </si>
  <si>
    <t>Brentford U21</t>
  </si>
  <si>
    <t>Guelson FC</t>
  </si>
  <si>
    <t>Liga Premier Serie B</t>
  </si>
  <si>
    <t>Latvia</t>
  </si>
  <si>
    <t>Virsliga</t>
  </si>
  <si>
    <t>Estonia</t>
  </si>
  <si>
    <t>Esiliiga A</t>
  </si>
  <si>
    <t>3. liga - MSFL</t>
  </si>
  <si>
    <t>2. Division</t>
  </si>
  <si>
    <t>4. liga - Divizie A</t>
  </si>
  <si>
    <t>Oberliga - Rheinland-Pfalz / Saar</t>
  </si>
  <si>
    <t>National 2 - Group B</t>
  </si>
  <si>
    <t>Kuwait</t>
  </si>
  <si>
    <t>Roda</t>
  </si>
  <si>
    <t>Sporting Charleroi II</t>
  </si>
  <si>
    <t>Shelbourne</t>
  </si>
  <si>
    <t>Shamrock Rovers</t>
  </si>
  <si>
    <t>Patriotas</t>
  </si>
  <si>
    <t>Guimaraes</t>
  </si>
  <si>
    <t>Estrela</t>
  </si>
  <si>
    <t>USL Championship</t>
  </si>
  <si>
    <t>Durango</t>
  </si>
  <si>
    <t>Tasmania NPL</t>
  </si>
  <si>
    <t>K3 League</t>
  </si>
  <si>
    <t>Hong-Kong</t>
  </si>
  <si>
    <t>Diski Challenge</t>
  </si>
  <si>
    <t>Philippines</t>
  </si>
  <si>
    <t>PFL</t>
  </si>
  <si>
    <t>Laos</t>
  </si>
  <si>
    <t>Lao League</t>
  </si>
  <si>
    <t>3. liga - CFL A</t>
  </si>
  <si>
    <t>Kazakhstan</t>
  </si>
  <si>
    <t>Lesotho</t>
  </si>
  <si>
    <t>4. liga - Divizie D</t>
  </si>
  <si>
    <t>4. liga - Divizie F</t>
  </si>
  <si>
    <t>3. liga - CFL B</t>
  </si>
  <si>
    <t>4. liga - Divizie C</t>
  </si>
  <si>
    <t>4. liga - Divizie B</t>
  </si>
  <si>
    <t>U19 Bundesliga</t>
  </si>
  <si>
    <t>3. Lig - Group 1</t>
  </si>
  <si>
    <t>3. Lig - Group 2</t>
  </si>
  <si>
    <t>3. Lig - Group 3</t>
  </si>
  <si>
    <t>Meistriliiga</t>
  </si>
  <si>
    <t>III Liga - Group 4</t>
  </si>
  <si>
    <t>Premyer Liqa</t>
  </si>
  <si>
    <t>3. Lig - Group 4</t>
  </si>
  <si>
    <t>Tercera División RFEF - Group 12</t>
  </si>
  <si>
    <t>Coppa</t>
  </si>
  <si>
    <t>Lithuania</t>
  </si>
  <si>
    <t>A Lyga</t>
  </si>
  <si>
    <t>Cambodia</t>
  </si>
  <si>
    <t>C-League</t>
  </si>
  <si>
    <t>Sorrento</t>
  </si>
  <si>
    <t>Altay</t>
  </si>
  <si>
    <t>Regionalliga - Nord</t>
  </si>
  <si>
    <t>Oberliga - Bremen</t>
  </si>
  <si>
    <t>Zambia</t>
  </si>
  <si>
    <t>Denmark Series - Group 3</t>
  </si>
  <si>
    <t>Eswatini</t>
  </si>
  <si>
    <t>Kosovo</t>
  </si>
  <si>
    <t>07/03/2026 12:15</t>
  </si>
  <si>
    <t>Arsenal</t>
  </si>
  <si>
    <t>Portsmouth</t>
  </si>
  <si>
    <t>Lincoln</t>
  </si>
  <si>
    <t>Oberliga - Schleswig-Holstein</t>
  </si>
  <si>
    <t>3. liga - Center</t>
  </si>
  <si>
    <t>Goiano U20</t>
  </si>
  <si>
    <t>Welsh Cup</t>
  </si>
  <si>
    <t>Prva Liga</t>
  </si>
  <si>
    <t>Oberliga - Nordost-Süd</t>
  </si>
  <si>
    <t>Oberliga - Niedersachsen</t>
  </si>
  <si>
    <t>1. Liga Classic - Group 2</t>
  </si>
  <si>
    <t>NM Cupen</t>
  </si>
  <si>
    <t>Montenegro</t>
  </si>
  <si>
    <t>Paulista - A3</t>
  </si>
  <si>
    <t>Faroe-Islands</t>
  </si>
  <si>
    <t>1. Deild</t>
  </si>
  <si>
    <t>Rwanda</t>
  </si>
  <si>
    <t>National Soccer League</t>
  </si>
  <si>
    <t>Highlanders</t>
  </si>
  <si>
    <t>Super League 2</t>
  </si>
  <si>
    <t>Albania</t>
  </si>
  <si>
    <t>1st Division</t>
  </si>
  <si>
    <t>Copa Rio U20</t>
  </si>
  <si>
    <t>3. liga - East</t>
  </si>
  <si>
    <t>3. liga - West</t>
  </si>
  <si>
    <t>Derde Divisie - Saturday</t>
  </si>
  <si>
    <t>Derde Divisie - Sunday</t>
  </si>
  <si>
    <t>Srpska Liga - West</t>
  </si>
  <si>
    <t>4. liga - Divizie E</t>
  </si>
  <si>
    <t>Srpska Liga - Vojvodina</t>
  </si>
  <si>
    <t>1. Liga Promotion</t>
  </si>
  <si>
    <t>Oberliga - Mittelrhein</t>
  </si>
  <si>
    <t>1. Liga Classic - Group 1</t>
  </si>
  <si>
    <t>1. Liga Classic - Group 3</t>
  </si>
  <si>
    <t>Wiliete</t>
  </si>
  <si>
    <t>Recreativo do Libolo</t>
  </si>
  <si>
    <t>3. SNL - East</t>
  </si>
  <si>
    <t>Third NL - Jug</t>
  </si>
  <si>
    <t>Nasjonal U19 Champions League</t>
  </si>
  <si>
    <t>Srpska Liga - East</t>
  </si>
  <si>
    <t>Kabuscorp</t>
  </si>
  <si>
    <t>1º de Agosto</t>
  </si>
  <si>
    <t>Esiliiga B</t>
  </si>
  <si>
    <t>Tercera División RFEF - Group 4</t>
  </si>
  <si>
    <t>Bolton</t>
  </si>
  <si>
    <t>Bradford</t>
  </si>
  <si>
    <t>Peterborough</t>
  </si>
  <si>
    <t>Campeonato de Portugal Prio - Group C</t>
  </si>
  <si>
    <t>National 3 - Group F</t>
  </si>
  <si>
    <t>Segunda División RFEF - Group 2</t>
  </si>
  <si>
    <t>Tercera División RFEF - Group 6</t>
  </si>
  <si>
    <t>Tercera División RFEF - Group 8</t>
  </si>
  <si>
    <t>Tercera División RFEF - Group 11</t>
  </si>
  <si>
    <t>Tercera División RFEF - Group 13</t>
  </si>
  <si>
    <t>Tercera División RFEF - Group 15</t>
  </si>
  <si>
    <t>Tercera División RFEF - Group 17</t>
  </si>
  <si>
    <t>Tercera División RFEF - Group 18</t>
  </si>
  <si>
    <t>São Salvador</t>
  </si>
  <si>
    <t>Liga 3</t>
  </si>
  <si>
    <t>Elite Two</t>
  </si>
  <si>
    <t>Benin</t>
  </si>
  <si>
    <t>Championnat National</t>
  </si>
  <si>
    <t>Botola 2</t>
  </si>
  <si>
    <t>Tercera División RFEF - Group 3</t>
  </si>
  <si>
    <t>1. SNL</t>
  </si>
  <si>
    <t>Segunda División RFEF - Group 1</t>
  </si>
  <si>
    <t>Segunda División RFEF - Group 5</t>
  </si>
  <si>
    <t>Tercera División RFEF - Group 1</t>
  </si>
  <si>
    <t>Tercera División RFEF - Group 2</t>
  </si>
  <si>
    <t>Tercera División RFEF - Group 10</t>
  </si>
  <si>
    <t>DBU Pokalen</t>
  </si>
  <si>
    <t>Senegal</t>
  </si>
  <si>
    <t>Tercera División RFEF - Group 5</t>
  </si>
  <si>
    <t>Tercera División RFEF - Group 16</t>
  </si>
  <si>
    <t>Meistaradeildin</t>
  </si>
  <si>
    <t>Rudar</t>
  </si>
  <si>
    <t>National 3 - Group G</t>
  </si>
  <si>
    <t>National 3 - Group A</t>
  </si>
  <si>
    <t>National 3 - Group B</t>
  </si>
  <si>
    <t>National 3 - Group H</t>
  </si>
  <si>
    <t>National 3 - Group D</t>
  </si>
  <si>
    <t>National 3 - Group E</t>
  </si>
  <si>
    <t>Second Amateur Division - VFV B</t>
  </si>
  <si>
    <t>Chelsea</t>
  </si>
  <si>
    <t>Tercera División RFEF - Group 9</t>
  </si>
  <si>
    <t>Al Arabi</t>
  </si>
  <si>
    <t>Linense</t>
  </si>
  <si>
    <t>Paulista - A4</t>
  </si>
  <si>
    <t>Andorra</t>
  </si>
  <si>
    <t>1a Divisió</t>
  </si>
  <si>
    <t>Second Amateur Division - ACFF</t>
  </si>
  <si>
    <t>Paranaense - 2</t>
  </si>
  <si>
    <t>Toledo</t>
  </si>
  <si>
    <t>USL Super League</t>
  </si>
  <si>
    <t>Capixaba</t>
  </si>
  <si>
    <t>Brasiliense</t>
  </si>
  <si>
    <t>Sergipano</t>
  </si>
  <si>
    <t>Goiano - 1</t>
  </si>
  <si>
    <t>Potiguar</t>
  </si>
  <si>
    <t>Rondoniense</t>
  </si>
  <si>
    <t>Paraibano</t>
  </si>
  <si>
    <t>Bolívar</t>
  </si>
  <si>
    <t>Dominican-Republic</t>
  </si>
  <si>
    <t>Liga Mayor</t>
  </si>
  <si>
    <t>Suriname</t>
  </si>
  <si>
    <t>Comunicaciones</t>
  </si>
  <si>
    <t>El Porvenir</t>
  </si>
  <si>
    <t>Paysandu</t>
  </si>
  <si>
    <t>Mineiro - 1</t>
  </si>
  <si>
    <t>CONMEBOL Libertadores U20</t>
  </si>
  <si>
    <t>08/03/2026 00:00</t>
  </si>
  <si>
    <t>Tigres de Alica</t>
  </si>
  <si>
    <t>Guerreros</t>
  </si>
  <si>
    <t>08/03/2026 00:00 | Mexico | Liga Premier Serie A | Tigres de Alica vs Guerreros</t>
  </si>
  <si>
    <t>Ath­let­ic Club</t>
  </si>
  <si>
    <t>08/03/2026 00:00 | Trinidad-And-Tobago | Pro League | Ath­let­ic Club vs Police</t>
  </si>
  <si>
    <t>Aruba W</t>
  </si>
  <si>
    <t>Cuba W</t>
  </si>
  <si>
    <t>08/03/2026 00:00 | World | World Cup - Women - Qualification Concacaf | Aruba W vs Cuba W</t>
  </si>
  <si>
    <t>Guadalupe FC</t>
  </si>
  <si>
    <t>08/03/2026 00:00 | Costa-Rica | Primera División | Municipal Liberia vs Guadalupe FC</t>
  </si>
  <si>
    <t>USL League One</t>
  </si>
  <si>
    <t>Naples</t>
  </si>
  <si>
    <t>Fort Wayne</t>
  </si>
  <si>
    <t>08/03/2026 00:00 | USA | USL League One | Naples vs Fort Wayne</t>
  </si>
  <si>
    <t>Westchester SC</t>
  </si>
  <si>
    <t>One Knoxville</t>
  </si>
  <si>
    <t>08/03/2026 00:00 | USA | USL League One | Westchester SC vs One Knoxville</t>
  </si>
  <si>
    <t>El-Salvador</t>
  </si>
  <si>
    <t>Zacatecoluca</t>
  </si>
  <si>
    <t>08/03/2026 00:00 | El-Salvador | Primera Division | Inter vs Zacatecoluca</t>
  </si>
  <si>
    <t>GAS</t>
  </si>
  <si>
    <t>08/03/2026 00:00 | Brazil | Roraimense | GAS vs Náutico RR</t>
  </si>
  <si>
    <t>Cusco</t>
  </si>
  <si>
    <t>Deportivo Garcilaso</t>
  </si>
  <si>
    <t>08/03/2026 00:00 | Peru | Primera División | Cusco vs Deportivo Garcilaso</t>
  </si>
  <si>
    <t>Libertad</t>
  </si>
  <si>
    <t>LDU de Quito</t>
  </si>
  <si>
    <t>08/03/2026 00:00 | Ecuador | Liga Pro | Libertad vs LDU de Quito</t>
  </si>
  <si>
    <t>08/03/2026 00:00 | World | World Cup - Women - Qualification Europe | Papua New Guinea W vs Fiji W</t>
  </si>
  <si>
    <t>Flamengo U20</t>
  </si>
  <si>
    <t>Estudiantes de Mérida U20</t>
  </si>
  <si>
    <t>08/03/2026 00:00 | World | CONMEBOL Libertadores U20 | Flamengo U20 vs Estudiantes de Mérida U20</t>
  </si>
  <si>
    <t>08/03/2026 00:30</t>
  </si>
  <si>
    <t>Columbus Crew</t>
  </si>
  <si>
    <t>Chicago Fire</t>
  </si>
  <si>
    <t>08/03/2026 00:30 | USA | Major League Soccer | Columbus Crew vs Chicago Fire</t>
  </si>
  <si>
    <t>Philadelphia Union</t>
  </si>
  <si>
    <t>San Jose Earthquakes</t>
  </si>
  <si>
    <t>08/03/2026 00:30 | USA | Major League Soccer | Philadelphia Union vs San Jose Earthquakes</t>
  </si>
  <si>
    <t>Atlanta United FC</t>
  </si>
  <si>
    <t>Real Salt Lake</t>
  </si>
  <si>
    <t>08/03/2026 00:30 | USA | Major League Soccer | Atlanta United FC vs Real Salt Lake</t>
  </si>
  <si>
    <t>Charlotte</t>
  </si>
  <si>
    <t>Austin</t>
  </si>
  <si>
    <t>08/03/2026 00:30 | USA | Major League Soccer | Charlotte vs Austin</t>
  </si>
  <si>
    <t>Sarasota Paradise</t>
  </si>
  <si>
    <t>Boise</t>
  </si>
  <si>
    <t>08/03/2026 00:30 | USA | USL League One | Sarasota Paradise vs Boise</t>
  </si>
  <si>
    <t>Sporting JAX</t>
  </si>
  <si>
    <t>Hartford Athletic</t>
  </si>
  <si>
    <t>08/03/2026 00:30 | USA | USL Championship | Sporting JAX vs Hartford Athletic</t>
  </si>
  <si>
    <t>Academia Anzoátegui</t>
  </si>
  <si>
    <t>Puerto Cabello</t>
  </si>
  <si>
    <t>08/03/2026 00:30 | Venezuela | Primera División | Academia Anzoátegui vs Puerto Cabello</t>
  </si>
  <si>
    <t>08/03/2026 01:00</t>
  </si>
  <si>
    <t>Reboceros La Piedad</t>
  </si>
  <si>
    <t>Acatlan</t>
  </si>
  <si>
    <t>08/03/2026 01:00 | Mexico | Liga Premier Serie A | Reboceros La Piedad vs Acatlan</t>
  </si>
  <si>
    <t>Calor de San Pedro</t>
  </si>
  <si>
    <t>Zacatepec 1948</t>
  </si>
  <si>
    <t>08/03/2026 01:00 | Mexico | Liga Premier Serie A | Calor de San Pedro vs Zacatepec 1948</t>
  </si>
  <si>
    <t>AD Carmelita</t>
  </si>
  <si>
    <t>Escorpiones Belén</t>
  </si>
  <si>
    <t>08/03/2026 01:00 | Costa-Rica | Liga de Ascenso | AD Carmelita vs Escorpiones Belén</t>
  </si>
  <si>
    <t>Birmingham Legion</t>
  </si>
  <si>
    <t>Tampa Bay Rowdies</t>
  </si>
  <si>
    <t>08/03/2026 01:00 | USA | USL Championship | Birmingham Legion vs Tampa Bay Rowdies</t>
  </si>
  <si>
    <t>Irapuato</t>
  </si>
  <si>
    <t>Alebrijes de Oaxaca</t>
  </si>
  <si>
    <t>08/03/2026 01:00 | Mexico | Liga de Expansión MX | Irapuato vs Alebrijes de Oaxaca</t>
  </si>
  <si>
    <t>Alianza</t>
  </si>
  <si>
    <t>Fuerte San Francisco</t>
  </si>
  <si>
    <t>08/03/2026 01:00 | El-Salvador | Primera Division | Alianza vs Fuerte San Francisco</t>
  </si>
  <si>
    <t>Firpo</t>
  </si>
  <si>
    <t>Águila</t>
  </si>
  <si>
    <t>08/03/2026 01:00 | El-Salvador | Primera Division | Firpo vs Águila</t>
  </si>
  <si>
    <t>Isidro Metapán</t>
  </si>
  <si>
    <t>Hércules</t>
  </si>
  <si>
    <t>08/03/2026 01:00 | El-Salvador | Primera Division | Isidro Metapán vs Hércules</t>
  </si>
  <si>
    <t>Walter Ferretti</t>
  </si>
  <si>
    <t>Diriangén</t>
  </si>
  <si>
    <t>08/03/2026 01:00 | Nicaragua | Primera Division | Walter Ferretti vs Diriangén</t>
  </si>
  <si>
    <t>08/03/2026 01:05</t>
  </si>
  <si>
    <t>Atlas</t>
  </si>
  <si>
    <t>Guadalajara Chivas</t>
  </si>
  <si>
    <t>08/03/2026 01:05 | Mexico | Liga MX | Atlas vs Guadalajara Chivas</t>
  </si>
  <si>
    <t>08/03/2026 01:06</t>
  </si>
  <si>
    <t>Pachuca</t>
  </si>
  <si>
    <t>Puebla</t>
  </si>
  <si>
    <t>08/03/2026 01:06 | Mexico | Liga MX | Pachuca vs Puebla</t>
  </si>
  <si>
    <t>08/03/2026 01:30</t>
  </si>
  <si>
    <t>Seattle Sounders</t>
  </si>
  <si>
    <t>08/03/2026 01:30 | USA | Major League Soccer | St. Louis City vs Seattle Sounders</t>
  </si>
  <si>
    <t>Nashville SC</t>
  </si>
  <si>
    <t>Minnesota United FC</t>
  </si>
  <si>
    <t>08/03/2026 01:30 | USA | Major League Soccer | Nashville SC vs Minnesota United FC</t>
  </si>
  <si>
    <t>Sporting Kansas City</t>
  </si>
  <si>
    <t>08/03/2026 01:30 | USA | Major League Soccer | Sporting Kansas City vs San Diego</t>
  </si>
  <si>
    <t>San Antonio</t>
  </si>
  <si>
    <t>Phoenix Rising</t>
  </si>
  <si>
    <t>08/03/2026 01:30 | USA | USL Championship | San Antonio vs Phoenix Rising</t>
  </si>
  <si>
    <t>Plaza Amador</t>
  </si>
  <si>
    <t>08/03/2026 01:30 | Panama | Liga Panameña de Fútbol | Plaza Amador vs San Francisco FC</t>
  </si>
  <si>
    <t>North Texas</t>
  </si>
  <si>
    <t>08/03/2026 01:30 | USA | MLS Next Pro | North Texas vs Colorado Rapids II</t>
  </si>
  <si>
    <t>Atlético Choloma</t>
  </si>
  <si>
    <t>CD Motagua</t>
  </si>
  <si>
    <t>08/03/2026 01:30 | Honduras | Liga Nacional | Atlético Choloma vs CD Motagua</t>
  </si>
  <si>
    <t>08/03/2026 02:00</t>
  </si>
  <si>
    <t>Auckland</t>
  </si>
  <si>
    <t>Perth Glory</t>
  </si>
  <si>
    <t>08/03/2026 02:00 | Australia | A-League | Auckland vs Perth Glory</t>
  </si>
  <si>
    <t>LD Alajuelense</t>
  </si>
  <si>
    <t>08/03/2026 02:00 | Costa-Rica | Primera División | San Carlos vs LD Alajuelense</t>
  </si>
  <si>
    <t>El Paso Locomotive</t>
  </si>
  <si>
    <t>Colorado Springs</t>
  </si>
  <si>
    <t>08/03/2026 02:00 | USA | USL Championship | El Paso Locomotive vs Colorado Springs</t>
  </si>
  <si>
    <t>Marquense</t>
  </si>
  <si>
    <t>Malacateco</t>
  </si>
  <si>
    <t>08/03/2026 02:00 | Guatemala | Liga Nacional | Marquense vs Malacateco</t>
  </si>
  <si>
    <t>08/03/2026 02:30</t>
  </si>
  <si>
    <t>Colorado Rapids</t>
  </si>
  <si>
    <t>Los Angeles Galaxy</t>
  </si>
  <si>
    <t>08/03/2026 02:30 | USA | Major League Soccer | Colorado Rapids vs Los Angeles Galaxy</t>
  </si>
  <si>
    <t>08/03/2026 03:00</t>
  </si>
  <si>
    <t>Los Cabos United</t>
  </si>
  <si>
    <t>Mineros de Fresnillo</t>
  </si>
  <si>
    <t>08/03/2026 03:00 | Mexico | Liga Premier Serie A | Los Cabos United vs Mineros de Fresnillo</t>
  </si>
  <si>
    <t>Monterey Bay</t>
  </si>
  <si>
    <t>Oakland Roots</t>
  </si>
  <si>
    <t>08/03/2026 03:00 | USA | USL Championship | Monterey Bay vs Oakland Roots</t>
  </si>
  <si>
    <t>Sacramento Republic</t>
  </si>
  <si>
    <t>FC Tulsa</t>
  </si>
  <si>
    <t>08/03/2026 03:00 | USA | USL Championship | Sacramento Republic vs FC Tulsa</t>
  </si>
  <si>
    <t>Tigres UANL</t>
  </si>
  <si>
    <t>Monterrey</t>
  </si>
  <si>
    <t>08/03/2026 03:00 | Mexico | Liga MX | Tigres UANL vs Monterrey</t>
  </si>
  <si>
    <t>Orange County SC</t>
  </si>
  <si>
    <t>Las Vegas Lights</t>
  </si>
  <si>
    <t>08/03/2026 03:00 | USA | USL Championship | Orange County SC vs Las Vegas Lights</t>
  </si>
  <si>
    <t>CA La Paz</t>
  </si>
  <si>
    <t>Tlaxcala</t>
  </si>
  <si>
    <t>08/03/2026 03:00 | Mexico | Liga de Expansión MX | CA La Paz vs Tlaxcala</t>
  </si>
  <si>
    <t>South East Utd.</t>
  </si>
  <si>
    <t>Clarence Zebras</t>
  </si>
  <si>
    <t>08/03/2026 03:00 | Australia | Tasmania NPL | South East Utd. vs Clarence Zebras</t>
  </si>
  <si>
    <t>08/03/2026 03:30</t>
  </si>
  <si>
    <t>Los Angeles FC</t>
  </si>
  <si>
    <t>FC Dallas</t>
  </si>
  <si>
    <t>08/03/2026 03:30 | USA | Major League Soccer | Los Angeles FC vs FC Dallas</t>
  </si>
  <si>
    <t>Portland Timbers</t>
  </si>
  <si>
    <t>Vancouver Whitecaps</t>
  </si>
  <si>
    <t>08/03/2026 03:30 | USA | Major League Soccer | Portland Timbers vs Vancouver Whitecaps</t>
  </si>
  <si>
    <t>Alta</t>
  </si>
  <si>
    <t>Richmond Kickers</t>
  </si>
  <si>
    <t>08/03/2026 03:30 | USA | USL League One | Alta vs Richmond Kickers</t>
  </si>
  <si>
    <t>08/03/2026 03:55</t>
  </si>
  <si>
    <t>Fagiano Okayama</t>
  </si>
  <si>
    <t>Kyoto Sanga</t>
  </si>
  <si>
    <t>08/03/2026 03:55 | Japan | J1 League | Fagiano Okayama vs Kyoto Sanga</t>
  </si>
  <si>
    <t>08/03/2026 04:00</t>
  </si>
  <si>
    <t>Vanraure Hachinohe</t>
  </si>
  <si>
    <t>Yokohama FC</t>
  </si>
  <si>
    <t>08/03/2026 04:00 | Japan | J2 League | Vanraure Hachinohe vs Yokohama FC</t>
  </si>
  <si>
    <t>Wollongong Wolves</t>
  </si>
  <si>
    <t>Sydney FC U23</t>
  </si>
  <si>
    <t>08/03/2026 04:00 | Australia | New South Wales NPL | Wollongong Wolves vs Sydney FC U23</t>
  </si>
  <si>
    <t>Central Coast II</t>
  </si>
  <si>
    <t>Bankstown City Lions</t>
  </si>
  <si>
    <t>08/03/2026 04:00 | Australia | New South Wales NPL 2 | Central Coast II vs Bankstown City Lions</t>
  </si>
  <si>
    <t>Preston Lions</t>
  </si>
  <si>
    <t>Heidelberg United</t>
  </si>
  <si>
    <t>08/03/2026 04:00 | Australia | Victoria NPL | Preston Lions vs Heidelberg United</t>
  </si>
  <si>
    <t>Melbourne City II</t>
  </si>
  <si>
    <t>Oakleigh Cannons</t>
  </si>
  <si>
    <t>08/03/2026 04:00 | Australia | Victoria NPL | Melbourne City II vs Oakleigh Cannons</t>
  </si>
  <si>
    <t>Brisbane Roar II</t>
  </si>
  <si>
    <t>Gold Coast United</t>
  </si>
  <si>
    <t>08/03/2026 04:00 | Australia | Queensland NPL | Brisbane Roar II vs Gold Coast United</t>
  </si>
  <si>
    <t>08/03/2026 05:00</t>
  </si>
  <si>
    <t>Gimcheon Sangmu FC</t>
  </si>
  <si>
    <t>Jeonbuk Motors</t>
  </si>
  <si>
    <t>08/03/2026 05:00 | South-Korea | K League 1 | Gimcheon Sangmu FC vs Jeonbuk Motors</t>
  </si>
  <si>
    <t>Ansan Greeners</t>
  </si>
  <si>
    <t>08/03/2026 05:00 | South-Korea | K League 2 | Ansan Greeners vs Busan I Park</t>
  </si>
  <si>
    <t>Cheongju</t>
  </si>
  <si>
    <t>08/03/2026 05:00 | South-Korea | K League 2 | Seongnam FC vs Cheongju</t>
  </si>
  <si>
    <t>Montedio Yamagata</t>
  </si>
  <si>
    <t>Blaublitz Akita</t>
  </si>
  <si>
    <t>08/03/2026 05:00 | Japan | J2 League | Montedio Yamagata vs Blaublitz Akita</t>
  </si>
  <si>
    <t>Sagamihara</t>
  </si>
  <si>
    <t>Tochigi SC</t>
  </si>
  <si>
    <t>08/03/2026 05:00 | Japan | J2 League | Sagamihara vs Tochigi SC</t>
  </si>
  <si>
    <t>Tochigi City</t>
  </si>
  <si>
    <t>Thespakusatsu Gunma</t>
  </si>
  <si>
    <t>08/03/2026 05:00 | Japan | J2 League | Tochigi City vs Thespakusatsu Gunma</t>
  </si>
  <si>
    <t>FC Gifu</t>
  </si>
  <si>
    <t>Ventforet Kofu</t>
  </si>
  <si>
    <t>08/03/2026 05:00 | Japan | J2 League | FC Gifu vs Ventforet Kofu</t>
  </si>
  <si>
    <t>Fukushima United</t>
  </si>
  <si>
    <t>Parceiro Nagano</t>
  </si>
  <si>
    <t>08/03/2026 05:00 | Japan | J2 League | Fukushima United vs Parceiro Nagano</t>
  </si>
  <si>
    <t>Kataller Toyama</t>
  </si>
  <si>
    <t>Ehime FC</t>
  </si>
  <si>
    <t>08/03/2026 05:00 | Japan | J2 League | Kataller Toyama vs Ehime FC</t>
  </si>
  <si>
    <t>Kanazawa</t>
  </si>
  <si>
    <t>Tokushima Vortis</t>
  </si>
  <si>
    <t>08/03/2026 05:00 | Japan | J2 League | Kanazawa vs Tokushima Vortis</t>
  </si>
  <si>
    <t>Kamatamare Sanuki</t>
  </si>
  <si>
    <t>Imabari</t>
  </si>
  <si>
    <t>08/03/2026 05:00 | Japan | J2 League | Kamatamare Sanuki vs Imabari</t>
  </si>
  <si>
    <t>Oita Trinita</t>
  </si>
  <si>
    <t>Kagoshima United</t>
  </si>
  <si>
    <t>08/03/2026 05:00 | Japan | J2 League | Oita Trinita vs Kagoshima United</t>
  </si>
  <si>
    <t>Biwako Shiga</t>
  </si>
  <si>
    <t>Roasso Kumamoto</t>
  </si>
  <si>
    <t>08/03/2026 05:00 | Japan | J2 League | Biwako Shiga vs Roasso Kumamoto</t>
  </si>
  <si>
    <t>Gainare Tottori</t>
  </si>
  <si>
    <t>FC Ryukyu</t>
  </si>
  <si>
    <t>08/03/2026 05:00 | Japan | J2 League | Gainare Tottori vs FC Ryukyu</t>
  </si>
  <si>
    <t>Prospect United</t>
  </si>
  <si>
    <t>Hills Brumbies</t>
  </si>
  <si>
    <t>08/03/2026 05:00 | Australia | New South Wales NPL 2 | Prospect United vs Hills Brumbies</t>
  </si>
  <si>
    <t>Changwon City</t>
  </si>
  <si>
    <t>Dangjin Citizen</t>
  </si>
  <si>
    <t>08/03/2026 05:00 | South-Korea | K3 League | Changwon City vs Dangjin Citizen</t>
  </si>
  <si>
    <t>Daejeon Korail</t>
  </si>
  <si>
    <t>Chuncheon</t>
  </si>
  <si>
    <t>08/03/2026 05:00 | South-Korea | K3 League | Daejeon Korail vs Chuncheon</t>
  </si>
  <si>
    <t>Mokpo City</t>
  </si>
  <si>
    <t>Yangpyeong</t>
  </si>
  <si>
    <t>08/03/2026 05:00 | South-Korea | K3 League | Mokpo City vs Yangpyeong</t>
  </si>
  <si>
    <t>Magic United</t>
  </si>
  <si>
    <t>Gold Coast Knights</t>
  </si>
  <si>
    <t>08/03/2026 05:00 | Australia | Queensland NPL | Magic United vs Gold Coast Knights</t>
  </si>
  <si>
    <t>08/03/2026 06:00</t>
  </si>
  <si>
    <t>Gamba Osaka</t>
  </si>
  <si>
    <t>V-varen Nagasaki</t>
  </si>
  <si>
    <t>08/03/2026 06:00 | Japan | J1 League | Gamba Osaka vs V-varen Nagasaki</t>
  </si>
  <si>
    <t>Siheung Citizen</t>
  </si>
  <si>
    <t>Yeoju Sejong</t>
  </si>
  <si>
    <t>08/03/2026 06:00 | South-Korea | K3 League | Siheung Citizen vs Yeoju Sejong</t>
  </si>
  <si>
    <t>Hamilton Olympic</t>
  </si>
  <si>
    <t>Adamstown Rosebuds</t>
  </si>
  <si>
    <t>08/03/2026 06:00 | Australia | Northern NSW NPL | Hamilton Olympic vs Adamstown Rosebuds</t>
  </si>
  <si>
    <t>08/03/2026 07:00</t>
  </si>
  <si>
    <t>BC Rangers</t>
  </si>
  <si>
    <t>Warriors</t>
  </si>
  <si>
    <t>08/03/2026 07:00 | Hong-Kong | FA Cup | BC Rangers vs Warriors</t>
  </si>
  <si>
    <t>08/03/2026 07:30</t>
  </si>
  <si>
    <t>Chinese-Taipei</t>
  </si>
  <si>
    <t>Taiwan Football Premier League</t>
  </si>
  <si>
    <t>Tainan City</t>
  </si>
  <si>
    <t>Taichung Futuro</t>
  </si>
  <si>
    <t>08/03/2026 07:30 | Chinese-Taipei | Taiwan Football Premier League | Tainan City vs Taichung Futuro</t>
  </si>
  <si>
    <t>Tatung</t>
  </si>
  <si>
    <t>Taipower</t>
  </si>
  <si>
    <t>08/03/2026 07:30 | Chinese-Taipei | Taiwan Football Premier League | Tatung vs Taipower</t>
  </si>
  <si>
    <t>Jeju United FC</t>
  </si>
  <si>
    <t>08/03/2026 07:30 | South-Korea | K League 1 | FC Anyang vs Jeju United FC</t>
  </si>
  <si>
    <t>Cheonan City</t>
  </si>
  <si>
    <t>Gimpo Citizen</t>
  </si>
  <si>
    <t>08/03/2026 07:30 | South-Korea | K League 2 | Cheonan City vs Gimpo Citizen</t>
  </si>
  <si>
    <t>Hwaseong</t>
  </si>
  <si>
    <t>Gimhae City</t>
  </si>
  <si>
    <t>08/03/2026 07:30 | South-Korea | K League 2 | Hwaseong vs Gimhae City</t>
  </si>
  <si>
    <t>Hangzhou Greentown</t>
  </si>
  <si>
    <t>Qingdao Youth Island</t>
  </si>
  <si>
    <t>08/03/2026 07:30 | China | Super League | Hangzhou Greentown vs Qingdao Youth Island</t>
  </si>
  <si>
    <t>08/03/2026 08:00</t>
  </si>
  <si>
    <t>Polokwane City U23</t>
  </si>
  <si>
    <t>Marumo Gallants U23</t>
  </si>
  <si>
    <t>08/03/2026 08:00 | South-Africa | Diski Challenge | Polokwane City U23 vs Marumo Gallants U23</t>
  </si>
  <si>
    <t>Kaizer Chiefs U23</t>
  </si>
  <si>
    <t>Maritzburg United U23</t>
  </si>
  <si>
    <t>08/03/2026 08:00 | South-Africa | Diski Challenge | Kaizer Chiefs U23 vs Maritzburg United U23</t>
  </si>
  <si>
    <t>Siwelele U23</t>
  </si>
  <si>
    <t>Orbit College U23</t>
  </si>
  <si>
    <t>08/03/2026 08:00 | South-Africa | Diski Challenge | Siwelele U23 vs Orbit College U23</t>
  </si>
  <si>
    <t>Enisey</t>
  </si>
  <si>
    <t>KAMAZ</t>
  </si>
  <si>
    <t>08/03/2026 08:00 | Russia | First League | Enisey vs KAMAZ</t>
  </si>
  <si>
    <t>Tuloy</t>
  </si>
  <si>
    <t>Davao Aguilas</t>
  </si>
  <si>
    <t>08/03/2026 08:00 | Philippines | PFL | Tuloy vs Davao Aguilas</t>
  </si>
  <si>
    <t>08/03/2026 08:30</t>
  </si>
  <si>
    <t>Luangprabang FC</t>
  </si>
  <si>
    <t>Ezra</t>
  </si>
  <si>
    <t>08/03/2026 08:30 | Laos | Lao League | Luangprabang FC vs Ezra</t>
  </si>
  <si>
    <t>Salavan United</t>
  </si>
  <si>
    <t>Viengchanh</t>
  </si>
  <si>
    <t>08/03/2026 08:30 | Laos | Lao League | Salavan United vs Viengchanh</t>
  </si>
  <si>
    <t>Namtha United</t>
  </si>
  <si>
    <t>Young Elephant</t>
  </si>
  <si>
    <t>08/03/2026 08:30 | Laos | Lao League | Namtha United vs Young Elephant</t>
  </si>
  <si>
    <t>Savannakhet</t>
  </si>
  <si>
    <t>Champasak United</t>
  </si>
  <si>
    <t>08/03/2026 08:30 | Laos | Lao League | Savannakhet vs Champasak United</t>
  </si>
  <si>
    <t>08/03/2026 09:00</t>
  </si>
  <si>
    <t>FC Orenburg</t>
  </si>
  <si>
    <t>08/03/2026 09:00 | Russia | Premier League | FC Orenburg vs Zenit</t>
  </si>
  <si>
    <t>Metalul Buzău</t>
  </si>
  <si>
    <t>Gloria Bistriţa</t>
  </si>
  <si>
    <t>08/03/2026 09:00 | Romania | Liga II | Metalul Buzău vs Gloria Bistriţa</t>
  </si>
  <si>
    <t>Real Murcia II</t>
  </si>
  <si>
    <t>Yeclano II</t>
  </si>
  <si>
    <t>08/03/2026 09:00 | Spain | Tercera División RFEF - Group 13 | Real Murcia II vs Yeclano II</t>
  </si>
  <si>
    <t>Dong Thap</t>
  </si>
  <si>
    <t>Bắc Ninh</t>
  </si>
  <si>
    <t>08/03/2026 09:00 | Vietnam | V.League 2 | Dong Thap vs Bắc Ninh</t>
  </si>
  <si>
    <t>Teplice II</t>
  </si>
  <si>
    <t>Varnsdorf</t>
  </si>
  <si>
    <t>08/03/2026 09:00 | Czech-Republic | 3. liga - CFL B | Teplice II vs Varnsdorf</t>
  </si>
  <si>
    <t>Yarmanya United</t>
  </si>
  <si>
    <t>08/03/2026 09:00 | Myanmar | National League | Shan United vs Yarmanya United</t>
  </si>
  <si>
    <t>Second League A - Division A Gold</t>
  </si>
  <si>
    <t>Torpedo Miass</t>
  </si>
  <si>
    <t>Irtysh Omsk</t>
  </si>
  <si>
    <t>08/03/2026 09:00 | Russia | Second League A - Division A Gold | Torpedo Miass vs Irtysh Omsk</t>
  </si>
  <si>
    <t>Australia W</t>
  </si>
  <si>
    <t>08/03/2026 09:00 | World | Asian Cup Women | Australia W vs South Korea W</t>
  </si>
  <si>
    <t>Philippines W</t>
  </si>
  <si>
    <t>08/03/2026 09:00 | World | Asian Cup Women | Iran W vs Philippines W</t>
  </si>
  <si>
    <t>Dordoi Bishkek</t>
  </si>
  <si>
    <t>08/03/2026 09:00 | Kyrgyzstan | Premier League | Asiagoal vs Dordoi Bishkek</t>
  </si>
  <si>
    <t>Kyzyl-Zhar</t>
  </si>
  <si>
    <t>Kaspiy</t>
  </si>
  <si>
    <t>08/03/2026 09:00 | Kazakhstan | Premier League | Kyzyl-Zhar vs Kaspiy</t>
  </si>
  <si>
    <t>08/03/2026 09:15</t>
  </si>
  <si>
    <t>Zbrojovka Brno II</t>
  </si>
  <si>
    <t>Vrchovina</t>
  </si>
  <si>
    <t>08/03/2026 09:15 | Czech-Republic | 3. liga - MSFL | Zbrojovka Brno II vs Vrchovina</t>
  </si>
  <si>
    <t>Karviná II</t>
  </si>
  <si>
    <t>Uničov</t>
  </si>
  <si>
    <t>08/03/2026 09:15 | Czech-Republic | 3. liga - MSFL | Karviná II vs Uničov</t>
  </si>
  <si>
    <t>Sigma Olomouc II</t>
  </si>
  <si>
    <t>Vsetín</t>
  </si>
  <si>
    <t>08/03/2026 09:15 | Czech-Republic | 3. liga - MSFL | Sigma Olomouc II vs Vsetín</t>
  </si>
  <si>
    <t>Slovácko II</t>
  </si>
  <si>
    <t>Hodonín</t>
  </si>
  <si>
    <t>08/03/2026 09:15 | Czech-Republic | 3. liga - MSFL | Slovácko II vs Hodonín</t>
  </si>
  <si>
    <t>Slavičín</t>
  </si>
  <si>
    <t>Strání</t>
  </si>
  <si>
    <t>08/03/2026 09:15 | Czech-Republic | 4. liga - Divizie E | Slavičín vs Strání</t>
  </si>
  <si>
    <t>Havířov</t>
  </si>
  <si>
    <t>Frýdlant</t>
  </si>
  <si>
    <t>08/03/2026 09:15 | Czech-Republic | 4. liga - Divizie F | Havířov vs Frýdlant</t>
  </si>
  <si>
    <t>Bohemians 1905 II</t>
  </si>
  <si>
    <t>Slavia III</t>
  </si>
  <si>
    <t>08/03/2026 09:15 | Czech-Republic | 3. liga - CFL A | Bohemians 1905 II vs Slavia III</t>
  </si>
  <si>
    <t>Dukla Praha II</t>
  </si>
  <si>
    <t>Kladno</t>
  </si>
  <si>
    <t>08/03/2026 09:15 | Czech-Republic | 3. liga - CFL A | Dukla Praha II vs Kladno</t>
  </si>
  <si>
    <t>Chlumec nad Cidlinou</t>
  </si>
  <si>
    <t>Hlinsko</t>
  </si>
  <si>
    <t>08/03/2026 09:15 | Czech-Republic | 4. liga - Divizie C | Chlumec nad Cidlinou vs Hlinsko</t>
  </si>
  <si>
    <t>Štětí</t>
  </si>
  <si>
    <t>Baník Sokolov</t>
  </si>
  <si>
    <t>08/03/2026 09:15 | Czech-Republic | 4. liga - Divizie B | Štětí vs Baník Sokolov</t>
  </si>
  <si>
    <t>08/03/2026 09:30</t>
  </si>
  <si>
    <t>Admira Wacker</t>
  </si>
  <si>
    <t>Austria Klagenfurt</t>
  </si>
  <si>
    <t>08/03/2026 09:30 | Austria | 2. Liga | Admira Wacker vs Austria Klagenfurt</t>
  </si>
  <si>
    <t>Petržalka</t>
  </si>
  <si>
    <t>Lokomotíva Zvolen</t>
  </si>
  <si>
    <t>08/03/2026 09:30 | Slovakia | 2. liga | Petržalka vs Lokomotíva Zvolen</t>
  </si>
  <si>
    <t>Banská Byst II</t>
  </si>
  <si>
    <t>Jednota Bánová</t>
  </si>
  <si>
    <t>08/03/2026 09:30 | Slovakia | 3. liga - Center | Banská Byst II vs Jednota Bánová</t>
  </si>
  <si>
    <t>Ružomberok II</t>
  </si>
  <si>
    <t>Fiľakovo</t>
  </si>
  <si>
    <t>08/03/2026 09:30 | Slovakia | 3. liga - Center | Ružomberok II vs Fiľakovo</t>
  </si>
  <si>
    <t>Sparta Praha II</t>
  </si>
  <si>
    <t>Ústí nad Labem</t>
  </si>
  <si>
    <t>08/03/2026 09:30 | Czech-Republic | FNL | Sparta Praha II vs Ústí nad Labem</t>
  </si>
  <si>
    <t>Zlín II</t>
  </si>
  <si>
    <t>Vítkovice</t>
  </si>
  <si>
    <t>08/03/2026 09:30 | Czech-Republic | 3. liga - MSFL | Zlín II vs Vítkovice</t>
  </si>
  <si>
    <t>Znojmo</t>
  </si>
  <si>
    <t>Humpolec</t>
  </si>
  <si>
    <t>08/03/2026 09:30 | Czech-Republic | 4. liga - Divizie D | Znojmo vs Humpolec</t>
  </si>
  <si>
    <t>Viktoria Plzeň II</t>
  </si>
  <si>
    <t>Petřín Plzeň</t>
  </si>
  <si>
    <t>08/03/2026 09:30 | Czech-Republic | 3. liga - CFL A | Viktoria Plzeň II vs Petřín Plzeň</t>
  </si>
  <si>
    <t>Jiskra Domažlice II</t>
  </si>
  <si>
    <t>Slavoj Český Krumlov</t>
  </si>
  <si>
    <t>08/03/2026 09:30 | Czech-Republic | 4. liga - Divizie A | Jiskra Domažlice II vs Slavoj Český Krumlov</t>
  </si>
  <si>
    <t>08/03/2026 09:45</t>
  </si>
  <si>
    <t>HEBC</t>
  </si>
  <si>
    <t>Türkiye</t>
  </si>
  <si>
    <t>08/03/2026 09:45 | Germany | Oberliga - Hamburg | HEBC vs Türkiye</t>
  </si>
  <si>
    <t>08/03/2026 10:00</t>
  </si>
  <si>
    <t>Slávia TU Košice</t>
  </si>
  <si>
    <t>Stará Ľubovňa</t>
  </si>
  <si>
    <t>08/03/2026 10:00 | Slovakia | 2. liga | Slávia TU Košice vs Stará Ľubovňa</t>
  </si>
  <si>
    <t>Frosinone U20</t>
  </si>
  <si>
    <t>08/03/2026 10:00 | Italy | Campionato Primavera - 1 | Hellas Verona U20 vs Frosinone U20</t>
  </si>
  <si>
    <t>Roma U20</t>
  </si>
  <si>
    <t>Parma U20</t>
  </si>
  <si>
    <t>08/03/2026 10:00 | Italy | Campionato Primavera - 1 | Roma U20 vs Parma U20</t>
  </si>
  <si>
    <t>Geestemünde</t>
  </si>
  <si>
    <t>Blumenthaler SV</t>
  </si>
  <si>
    <t>08/03/2026 10:00 | Germany | Oberliga - Bremen | Geestemünde vs Blumenthaler SV</t>
  </si>
  <si>
    <t>NB III - Southwest</t>
  </si>
  <si>
    <t>Ferencváros II</t>
  </si>
  <si>
    <t>Érdi VSE</t>
  </si>
  <si>
    <t>08/03/2026 10:00 | Hungary | NB III - Southwest | Ferencváros II vs Érdi VSE</t>
  </si>
  <si>
    <t>NB III - Southeast</t>
  </si>
  <si>
    <t>Tiszaföldvár</t>
  </si>
  <si>
    <t>Monori Se</t>
  </si>
  <si>
    <t>08/03/2026 10:00 | Hungary | NB III - Southeast | Tiszaföldvár vs Monori Se</t>
  </si>
  <si>
    <t>Honvéd II</t>
  </si>
  <si>
    <t>Dunaharaszti MTK</t>
  </si>
  <si>
    <t>08/03/2026 10:00 | Hungary | NB III - Southeast | Honvéd II vs Dunaharaszti MTK</t>
  </si>
  <si>
    <t>NB III - Northwest</t>
  </si>
  <si>
    <t>Gyori ETO II</t>
  </si>
  <si>
    <t>Haladás VSE</t>
  </si>
  <si>
    <t>08/03/2026 10:00 | Hungary | NB III - Northwest | Gyori ETO II vs Haladás VSE</t>
  </si>
  <si>
    <t>MTE 1904</t>
  </si>
  <si>
    <t>Veszprém</t>
  </si>
  <si>
    <t>08/03/2026 10:00 | Hungary | NB III - Northwest | MTE 1904 vs Veszprém</t>
  </si>
  <si>
    <t>CSM Reşiţa</t>
  </si>
  <si>
    <t>Corvinul Hunedoara</t>
  </si>
  <si>
    <t>08/03/2026 10:00 | Romania | Liga II | CSM Reşiţa vs Corvinul Hunedoara</t>
  </si>
  <si>
    <t>Košice II</t>
  </si>
  <si>
    <t>MSK Tesla Stropkov</t>
  </si>
  <si>
    <t>08/03/2026 10:00 | Slovakia | 3. liga - East | Košice II vs MSK Tesla Stropkov</t>
  </si>
  <si>
    <t>Karaman Belediyespor</t>
  </si>
  <si>
    <t>Beyoğlu Yeni Çarşı</t>
  </si>
  <si>
    <t>08/03/2026 10:00 | Turkey | 2. Lig | Karaman Belediyespor vs Beyoğlu Yeni Çarşı</t>
  </si>
  <si>
    <t>Isparta 32 Spor</t>
  </si>
  <si>
    <t>Mardin BB</t>
  </si>
  <si>
    <t>08/03/2026 10:00 | Turkey | 2. Lig | Isparta 32 Spor vs Mardin BB</t>
  </si>
  <si>
    <t>Ştefăneşti</t>
  </si>
  <si>
    <t>Voința Crevedia</t>
  </si>
  <si>
    <t>08/03/2026 10:00 | Romania | Liga III - Serie 4 | Ştefăneşti vs Voința Crevedia</t>
  </si>
  <si>
    <t>Hồ Chí Minh II</t>
  </si>
  <si>
    <t>Sanna Khanh Hoa</t>
  </si>
  <si>
    <t>08/03/2026 10:00 | Vietnam | V.League 2 | Hồ Chí Minh II vs Sanna Khanh Hoa</t>
  </si>
  <si>
    <t>Kisumu All Stars</t>
  </si>
  <si>
    <t>Nzoia Sugar</t>
  </si>
  <si>
    <t>08/03/2026 10:00 | Kenya | Super League | Kisumu All Stars vs Nzoia Sugar</t>
  </si>
  <si>
    <t>Soy United</t>
  </si>
  <si>
    <t>Talanta</t>
  </si>
  <si>
    <t>08/03/2026 10:00 | Kenya | Super League | Soy United vs Talanta</t>
  </si>
  <si>
    <t>Hallescher FC U19</t>
  </si>
  <si>
    <t>Hansa Rostock U19</t>
  </si>
  <si>
    <t>08/03/2026 10:00 | Germany | U19 Bundesliga | Hallescher FC U19 vs Hansa Rostock U19</t>
  </si>
  <si>
    <t>Wolfsburg U19</t>
  </si>
  <si>
    <t>Schalke 04 U19</t>
  </si>
  <si>
    <t>08/03/2026 10:00 | Germany | U19 Bundesliga | Wolfsburg U19 vs Schalke 04 U19</t>
  </si>
  <si>
    <t>RB Leipzig U19</t>
  </si>
  <si>
    <t>Bayern München U19</t>
  </si>
  <si>
    <t>08/03/2026 10:00 | Germany | U19 Bundesliga | RB Leipzig U19 vs Bayern München U19</t>
  </si>
  <si>
    <t>BAK 07 U19</t>
  </si>
  <si>
    <t>Kaiserslautern U19</t>
  </si>
  <si>
    <t>08/03/2026 10:00 | Germany | U19 Bundesliga | BAK 07 U19 vs Kaiserslautern U19</t>
  </si>
  <si>
    <t>Bochum U19</t>
  </si>
  <si>
    <t>Ulm U19</t>
  </si>
  <si>
    <t>08/03/2026 10:00 | Germany | U19 Bundesliga | Bochum U19 vs Ulm U19</t>
  </si>
  <si>
    <t>Kickers Offenbach U19</t>
  </si>
  <si>
    <t>Erzgebirge Aue U19</t>
  </si>
  <si>
    <t>08/03/2026 10:00 | Germany | U19 Bundesliga | Kickers Offenbach U19 vs Erzgebirge Aue U19</t>
  </si>
  <si>
    <t>Osnabrück U19</t>
  </si>
  <si>
    <t>Darmstadt 98 U19</t>
  </si>
  <si>
    <t>08/03/2026 10:00 | Germany | U19 Bundesliga | Osnabrück U19 vs Darmstadt 98 U19</t>
  </si>
  <si>
    <t>Wacker Burghausen U19</t>
  </si>
  <si>
    <t>Unterhaching U19</t>
  </si>
  <si>
    <t>08/03/2026 10:00 | Germany | U19 Bundesliga | Wacker Burghausen U19 vs Unterhaching U19</t>
  </si>
  <si>
    <t>Rot-Weiß Walldorf U19</t>
  </si>
  <si>
    <t>1860 München U19</t>
  </si>
  <si>
    <t>08/03/2026 10:00 | Germany | U19 Bundesliga | Rot-Weiß Walldorf U19 vs 1860 München U19</t>
  </si>
  <si>
    <t>SGV Freiberg Fussball U19</t>
  </si>
  <si>
    <t>Jahn Regensburg U19</t>
  </si>
  <si>
    <t>08/03/2026 10:00 | Germany | U19 Bundesliga | SGV Freiberg Fussball U19 vs Jahn Regensburg U19</t>
  </si>
  <si>
    <t>MSV Duisburg U19</t>
  </si>
  <si>
    <t>Fortuna Köln U19</t>
  </si>
  <si>
    <t>08/03/2026 10:00 | Germany | U19 Bundesliga | MSV Duisburg U19 vs Fortuna Köln U19</t>
  </si>
  <si>
    <t>Atyrau</t>
  </si>
  <si>
    <t>Ulytau</t>
  </si>
  <si>
    <t>08/03/2026 10:00 | Kazakhstan | Premier League | Atyrau vs Ulytau</t>
  </si>
  <si>
    <t>Omladinac NB</t>
  </si>
  <si>
    <t>OFK Bačka</t>
  </si>
  <si>
    <t>08/03/2026 10:00 | Serbia | Srpska Liga - Vojvodina | Omladinac NB vs OFK Bačka</t>
  </si>
  <si>
    <t>08/03/2026 10:30</t>
  </si>
  <si>
    <t>Gaziantep FK</t>
  </si>
  <si>
    <t>08/03/2026 10:30 | Turkey | Süper Lig | Gaziantep FK vs Fatih Karagümrük</t>
  </si>
  <si>
    <t>Rizespor</t>
  </si>
  <si>
    <t>Antalyaspor</t>
  </si>
  <si>
    <t>08/03/2026 10:30 | Turkey | Süper Lig | Rizespor vs Antalyaspor</t>
  </si>
  <si>
    <t>Getafe II</t>
  </si>
  <si>
    <t>CD Coria</t>
  </si>
  <si>
    <t>08/03/2026 10:30 | Spain | Segunda División RFEF - Group 5 | Getafe II vs CD Coria</t>
  </si>
  <si>
    <t>Hang Yuen</t>
  </si>
  <si>
    <t>AC Taipei</t>
  </si>
  <si>
    <t>08/03/2026 10:30 | Chinese-Taipei | Taiwan Football Premier League | Hang Yuen vs AC Taipei</t>
  </si>
  <si>
    <t>Taichung Rock FC</t>
  </si>
  <si>
    <t>Ming Chuan University</t>
  </si>
  <si>
    <t>08/03/2026 10:30 | Chinese-Taipei | Taiwan Football Premier League | Taichung Rock FC vs Ming Chuan University</t>
  </si>
  <si>
    <t>Muş Menderesspor</t>
  </si>
  <si>
    <t>Bursaspor</t>
  </si>
  <si>
    <t>08/03/2026 10:30 | Turkey | 2. Lig | Muş Menderesspor vs Bursaspor</t>
  </si>
  <si>
    <t>68 Aksaray Belediyespor</t>
  </si>
  <si>
    <t xml:space="preserve"> Kahramanmaraş İstiklal Spor</t>
  </si>
  <si>
    <t>08/03/2026 10:30 | Turkey | 2. Lig | 68 Aksaray Belediyespor vs  Kahramanmaraş İstiklal Spor</t>
  </si>
  <si>
    <t>Kilis Belediyespor</t>
  </si>
  <si>
    <t>Silifke Belediyespor</t>
  </si>
  <si>
    <t>08/03/2026 10:30 | Turkey | 3. Lig - Group 2 | Kilis Belediyespor vs Silifke Belediyespor</t>
  </si>
  <si>
    <t>Kapadokyaspor</t>
  </si>
  <si>
    <t>Kahramanmaraşspor</t>
  </si>
  <si>
    <t>08/03/2026 10:30 | Turkey | 3. Lig - Group 2 | Kapadokyaspor vs Kahramanmaraşspor</t>
  </si>
  <si>
    <t>Karaköprü Belediyespor</t>
  </si>
  <si>
    <t>Osmaniyespor</t>
  </si>
  <si>
    <t>08/03/2026 10:30 | Turkey | 3. Lig - Group 2 | Karaköprü Belediyespor vs Osmaniyespor</t>
  </si>
  <si>
    <t>Yozgat Bld Bozokspor</t>
  </si>
  <si>
    <t>Çayelispor</t>
  </si>
  <si>
    <t>08/03/2026 10:30 | Turkey | 3. Lig - Group 3 | Yozgat Bld Bozokspor vs Çayelispor</t>
  </si>
  <si>
    <t>Artvin Hopaspor</t>
  </si>
  <si>
    <t>Tokat Bld Plevnespor</t>
  </si>
  <si>
    <t>08/03/2026 10:30 | Turkey | 3. Lig - Group 3 | Artvin Hopaspor vs Tokat Bld Plevnespor</t>
  </si>
  <si>
    <t>Karadeniz Ereğli BSK</t>
  </si>
  <si>
    <t>Düzcespor</t>
  </si>
  <si>
    <t>08/03/2026 10:30 | Turkey | 3. Lig - Group 3 | Karadeniz Ereğli BSK vs Düzcespor</t>
  </si>
  <si>
    <t>Fatsa Belediyespor</t>
  </si>
  <si>
    <t>Yeni Orduspor</t>
  </si>
  <si>
    <t>08/03/2026 10:30 | Turkey | 3. Lig - Group 3 | Fatsa Belediyespor vs Yeni Orduspor</t>
  </si>
  <si>
    <t>1926 Bulancak</t>
  </si>
  <si>
    <t>Amasyaspor 1968</t>
  </si>
  <si>
    <t>08/03/2026 10:30 | Turkey | 3. Lig - Group 3 | 1926 Bulancak vs Amasyaspor 1968</t>
  </si>
  <si>
    <t>Sebat Gençlikspor</t>
  </si>
  <si>
    <t>Zonguldak Kömürspor</t>
  </si>
  <si>
    <t>08/03/2026 10:30 | Turkey | 3. Lig - Group 3 | Sebat Gençlikspor vs Zonguldak Kömürspor</t>
  </si>
  <si>
    <t>Segunda División RFEF - Group 3</t>
  </si>
  <si>
    <t>Atlètic Lleida</t>
  </si>
  <si>
    <t>Poblense</t>
  </si>
  <si>
    <t>08/03/2026 10:30 | Spain | Segunda División RFEF - Group 3 | Atlètic Lleida vs Poblense</t>
  </si>
  <si>
    <t>Levante II</t>
  </si>
  <si>
    <t>Jove Español</t>
  </si>
  <si>
    <t>08/03/2026 10:30 | Spain | Tercera División RFEF - Group 6 | Levante II vs Jove Español</t>
  </si>
  <si>
    <t>Torrellano</t>
  </si>
  <si>
    <t>08/03/2026 10:30 | Spain | Tercera División RFEF - Group 6 | Torrellano vs Roda</t>
  </si>
  <si>
    <t>Castellonense</t>
  </si>
  <si>
    <t>Utiel</t>
  </si>
  <si>
    <t>08/03/2026 10:30 | Spain | Tercera División RFEF - Group 6 | Castellonense vs Utiel</t>
  </si>
  <si>
    <t>Tercera División RFEF - Group 7</t>
  </si>
  <si>
    <t>Villaverde-Boetticher</t>
  </si>
  <si>
    <t>Trival Valderas</t>
  </si>
  <si>
    <t>08/03/2026 10:30 | Spain | Tercera División RFEF - Group 7 | Villaverde-Boetticher vs Trival Valderas</t>
  </si>
  <si>
    <t>Santomera</t>
  </si>
  <si>
    <t>El Palmar</t>
  </si>
  <si>
    <t>08/03/2026 10:30 | Spain | Tercera División RFEF - Group 13 | Santomera vs El Palmar</t>
  </si>
  <si>
    <t>FC Levadia Tallinn</t>
  </si>
  <si>
    <t>Kuressaare</t>
  </si>
  <si>
    <t>08/03/2026 10:30 | Estonia | Meistriliiga | FC Levadia Tallinn vs Kuressaare</t>
  </si>
  <si>
    <t>Ararat-Armenia II</t>
  </si>
  <si>
    <t>08/03/2026 10:30 | Armenia | First League | Ararat-Armenia II vs Syunik</t>
  </si>
  <si>
    <t>Diamond Harbour</t>
  </si>
  <si>
    <t>Dempo</t>
  </si>
  <si>
    <t>08/03/2026 10:30 | India | I-League | Diamond Harbour vs Dempo</t>
  </si>
  <si>
    <t>Hong Kong FC</t>
  </si>
  <si>
    <t>North District</t>
  </si>
  <si>
    <t>08/03/2026 10:30 | Hong-Kong | FA Cup | Hong Kong FC vs North District</t>
  </si>
  <si>
    <t>08/03/2026 10:45</t>
  </si>
  <si>
    <t>Dobrudzha</t>
  </si>
  <si>
    <t>08/03/2026 10:45 | Bulgaria | First League | Dobrudzha vs Beroe</t>
  </si>
  <si>
    <t>Móstoles</t>
  </si>
  <si>
    <t>Tres Cantos</t>
  </si>
  <si>
    <t>08/03/2026 10:45 | Spain | Tercera División RFEF - Group 7 | Móstoles vs Tres Cantos</t>
  </si>
  <si>
    <t>Constància</t>
  </si>
  <si>
    <t>Alcúdia</t>
  </si>
  <si>
    <t>08/03/2026 10:45 | Spain | Tercera División RFEF - Group 11 | Constància vs Alcúdia</t>
  </si>
  <si>
    <t>08/03/2026 11:00</t>
  </si>
  <si>
    <t>Znicz Pruszków</t>
  </si>
  <si>
    <t>Odra Opole</t>
  </si>
  <si>
    <t>08/03/2026 11:00 | Poland | I Liga | Znicz Pruszków vs Odra Opole</t>
  </si>
  <si>
    <t>Zorya Luhansk</t>
  </si>
  <si>
    <t>08/03/2026 11:00 | Ukraine | Premier League | Zorya Luhansk vs SK Poltava</t>
  </si>
  <si>
    <t>Kalisz</t>
  </si>
  <si>
    <t>Chojniczanka Chojnice</t>
  </si>
  <si>
    <t>08/03/2026 11:00 | Poland | II Liga - East | Kalisz vs Chojniczanka Chojnice</t>
  </si>
  <si>
    <t>Vizela</t>
  </si>
  <si>
    <t>08/03/2026 11:00 | Portugal | Segunda Liga | Felgueiras 1932 vs Vizela</t>
  </si>
  <si>
    <t>Makkabi</t>
  </si>
  <si>
    <t>Tennis Borussia</t>
  </si>
  <si>
    <t>08/03/2026 11:00 | Germany | Oberliga - Nordost-Nord | Makkabi vs Tennis Borussia</t>
  </si>
  <si>
    <t>Zagłębie Lubin II</t>
  </si>
  <si>
    <t>Górnik Polkowice</t>
  </si>
  <si>
    <t>08/03/2026 11:00 | Poland | III Liga - Group 3 | Zagłębie Lubin II vs Górnik Polkowice</t>
  </si>
  <si>
    <t>Benfica Castelo Branco</t>
  </si>
  <si>
    <t>Lusitânia</t>
  </si>
  <si>
    <t>08/03/2026 11:00 | Portugal | Campeonato de Portugal Prio - Group C | Benfica Castelo Branco vs Lusitânia</t>
  </si>
  <si>
    <t>Veres Rivne U19</t>
  </si>
  <si>
    <t>LNZ Cherkasy U19</t>
  </si>
  <si>
    <t>08/03/2026 11:00 | Ukraine | U19 League | Veres Rivne U19 vs LNZ Cherkasy U19</t>
  </si>
  <si>
    <t>Teruel</t>
  </si>
  <si>
    <t>Villarreal II</t>
  </si>
  <si>
    <t>08/03/2026 11:00 | Spain | Primera División RFEF - Group 2 | Teruel vs Villarreal II</t>
  </si>
  <si>
    <t>Juventud Torremolinos</t>
  </si>
  <si>
    <t>Alcorcon</t>
  </si>
  <si>
    <t>08/03/2026 11:00 | Spain | Primera División RFEF - Group 2 | Juventud Torremolinos vs Alcorcon</t>
  </si>
  <si>
    <t>Real Avilés</t>
  </si>
  <si>
    <t>Zamora</t>
  </si>
  <si>
    <t>08/03/2026 11:00 | Spain | Primera División RFEF - Group 1 | Real Avilés vs Zamora</t>
  </si>
  <si>
    <t>Deportivo Alavés II</t>
  </si>
  <si>
    <t>Utebo</t>
  </si>
  <si>
    <t>08/03/2026 11:00 | Spain | Segunda División RFEF - Group 2 | Deportivo Alavés II vs Utebo</t>
  </si>
  <si>
    <t>Ejea</t>
  </si>
  <si>
    <t>Náxara</t>
  </si>
  <si>
    <t>08/03/2026 11:00 | Spain | Segunda División RFEF - Group 2 | Ejea vs Náxara</t>
  </si>
  <si>
    <t>Gernika</t>
  </si>
  <si>
    <t>UD Logroñés</t>
  </si>
  <si>
    <t>08/03/2026 11:00 | Spain | Segunda División RFEF - Group 2 | Gernika vs UD Logroñés</t>
  </si>
  <si>
    <t>Real Zaragoza II</t>
  </si>
  <si>
    <t>Basconia</t>
  </si>
  <si>
    <t>08/03/2026 11:00 | Spain | Segunda División RFEF - Group 2 | Real Zaragoza II vs Basconia</t>
  </si>
  <si>
    <t>Segunda División RFEF - Group 4</t>
  </si>
  <si>
    <t>Almería II</t>
  </si>
  <si>
    <t>Extremadura 1924</t>
  </si>
  <si>
    <t>08/03/2026 11:00 | Spain | Segunda División RFEF - Group 4 | Almería II vs Extremadura 1924</t>
  </si>
  <si>
    <t>Estepona</t>
  </si>
  <si>
    <t>La Unión Atlético</t>
  </si>
  <si>
    <t>08/03/2026 11:00 | Spain | Segunda División RFEF - Group 4 | Estepona vs La Unión Atlético</t>
  </si>
  <si>
    <t>Deportiva Minera</t>
  </si>
  <si>
    <t>Málaga II</t>
  </si>
  <si>
    <t>08/03/2026 11:00 | Spain | Segunda División RFEF - Group 4 | Deportiva Minera vs Málaga II</t>
  </si>
  <si>
    <t>Linares Deportivo</t>
  </si>
  <si>
    <t>Real Jaén</t>
  </si>
  <si>
    <t>08/03/2026 11:00 | Spain | Segunda División RFEF - Group 4 | Linares Deportivo vs Real Jaén</t>
  </si>
  <si>
    <t>Melilla</t>
  </si>
  <si>
    <t>Antoniano</t>
  </si>
  <si>
    <t>08/03/2026 11:00 | Spain | Segunda División RFEF - Group 4 | Melilla vs Antoniano</t>
  </si>
  <si>
    <t>Intercity</t>
  </si>
  <si>
    <t>Conquense</t>
  </si>
  <si>
    <t>08/03/2026 11:00 | Spain | Segunda División RFEF - Group 5 | Intercity vs Conquense</t>
  </si>
  <si>
    <t>Colonia Moscardó</t>
  </si>
  <si>
    <t>Rayo Vallecano II</t>
  </si>
  <si>
    <t>08/03/2026 11:00 | Spain | Segunda División RFEF - Group 5 | Colonia Moscardó vs Rayo Vallecano II</t>
  </si>
  <si>
    <t>Las Palmas II</t>
  </si>
  <si>
    <t>Quintanar del Rey</t>
  </si>
  <si>
    <t>08/03/2026 11:00 | Spain | Segunda División RFEF - Group 5 | Las Palmas II vs Quintanar del Rey</t>
  </si>
  <si>
    <t>Real Madrid III</t>
  </si>
  <si>
    <t>Tenerife II</t>
  </si>
  <si>
    <t>08/03/2026 11:00 | Spain | Segunda División RFEF - Group 5 | Real Madrid III vs Tenerife II</t>
  </si>
  <si>
    <t>Socuéllamos</t>
  </si>
  <si>
    <t>Navalcarnero</t>
  </si>
  <si>
    <t>08/03/2026 11:00 | Spain | Segunda División RFEF - Group 5 | Socuéllamos vs Navalcarnero</t>
  </si>
  <si>
    <t>Kırklarelispor</t>
  </si>
  <si>
    <t>08/03/2026 11:00 | Turkey | 2. Lig | Kırklarelispor vs Fethiyespor</t>
  </si>
  <si>
    <t>Keshla FC</t>
  </si>
  <si>
    <t>Mil-Muğan</t>
  </si>
  <si>
    <t>08/03/2026 11:00 | Azerbaijan | Premyer Liqa | Keshla FC vs Mil-Muğan</t>
  </si>
  <si>
    <t>Barcelona B</t>
  </si>
  <si>
    <t>Atlético Baleares</t>
  </si>
  <si>
    <t>08/03/2026 11:00 | Spain | Segunda División RFEF - Group 3 | Barcelona B vs Atlético Baleares</t>
  </si>
  <si>
    <t>Andratx</t>
  </si>
  <si>
    <t>Castellón II</t>
  </si>
  <si>
    <t>08/03/2026 11:00 | Spain | Segunda División RFEF - Group 3 | Andratx vs Castellón II</t>
  </si>
  <si>
    <t>Ibiza Islas Pitiusas</t>
  </si>
  <si>
    <t>Barbastro</t>
  </si>
  <si>
    <t>08/03/2026 11:00 | Spain | Segunda División RFEF - Group 3 | Ibiza Islas Pitiusas vs Barbastro</t>
  </si>
  <si>
    <t>Torrent</t>
  </si>
  <si>
    <t>Porreres</t>
  </si>
  <si>
    <t>08/03/2026 11:00 | Spain | Segunda División RFEF - Group 3 | Torrent vs Porreres</t>
  </si>
  <si>
    <t>Celtiga</t>
  </si>
  <si>
    <t>Cambados</t>
  </si>
  <si>
    <t>08/03/2026 11:00 | Spain | Tercera División RFEF - Group 1 | Celtiga vs Cambados</t>
  </si>
  <si>
    <t>Alondras</t>
  </si>
  <si>
    <t>Estradense</t>
  </si>
  <si>
    <t>08/03/2026 11:00 | Spain | Tercera División RFEF - Group 1 | Alondras vs Estradense</t>
  </si>
  <si>
    <t>Colunga</t>
  </si>
  <si>
    <t>Sporting Gijón II</t>
  </si>
  <si>
    <t>08/03/2026 11:00 | Spain | Tercera División RFEF - Group 2 | Colunga vs Sporting Gijón II</t>
  </si>
  <si>
    <t>Gijón Industrial</t>
  </si>
  <si>
    <t>San Martín</t>
  </si>
  <si>
    <t>08/03/2026 11:00 | Spain | Tercera División RFEF - Group 2 | Gijón Industrial vs San Martín</t>
  </si>
  <si>
    <t>Praviano</t>
  </si>
  <si>
    <t>Lenense</t>
  </si>
  <si>
    <t>08/03/2026 11:00 | Spain | Tercera División RFEF - Group 2 | Praviano vs Lenense</t>
  </si>
  <si>
    <t>Navarro</t>
  </si>
  <si>
    <t>Covadonga</t>
  </si>
  <si>
    <t>08/03/2026 11:00 | Spain | Tercera División RFEF - Group 2 | Navarro vs Covadonga</t>
  </si>
  <si>
    <t>Vic</t>
  </si>
  <si>
    <t>Tona</t>
  </si>
  <si>
    <t>08/03/2026 11:00 | Spain | Tercera División RFEF - Group 5 | Vic vs Tona</t>
  </si>
  <si>
    <t>Manresa</t>
  </si>
  <si>
    <t>Europa II</t>
  </si>
  <si>
    <t>08/03/2026 11:00 | Spain | Tercera División RFEF - Group 5 | Manresa vs Europa II</t>
  </si>
  <si>
    <t>Montañesa</t>
  </si>
  <si>
    <t>L'Escala</t>
  </si>
  <si>
    <t>08/03/2026 11:00 | Spain | Tercera División RFEF - Group 5 | Montañesa vs L'Escala</t>
  </si>
  <si>
    <t>Can Vidalet</t>
  </si>
  <si>
    <t>San Cristóbal</t>
  </si>
  <si>
    <t>08/03/2026 11:00 | Spain | Tercera División RFEF - Group 5 | Can Vidalet vs San Cristóbal</t>
  </si>
  <si>
    <t>Cerdanyola del Vallès</t>
  </si>
  <si>
    <t>Vilanova</t>
  </si>
  <si>
    <t>08/03/2026 11:00 | Spain | Tercera División RFEF - Group 5 | Cerdanyola del Vallès vs Vilanova</t>
  </si>
  <si>
    <t>Unión Adarve</t>
  </si>
  <si>
    <t>Torrejón</t>
  </si>
  <si>
    <t>08/03/2026 11:00 | Spain | Tercera División RFEF - Group 7 | Unión Adarve vs Torrejón</t>
  </si>
  <si>
    <t>Las Rozas</t>
  </si>
  <si>
    <t>AD Parla</t>
  </si>
  <si>
    <t>08/03/2026 11:00 | Spain | Tercera División RFEF - Group 7 | Las Rozas vs AD Parla</t>
  </si>
  <si>
    <t>Unionistas II</t>
  </si>
  <si>
    <t>Palencia CF</t>
  </si>
  <si>
    <t>08/03/2026 11:00 | Spain | Tercera División RFEF - Group 8 | Unionistas II vs Palencia CF</t>
  </si>
  <si>
    <t>Torre del Mar</t>
  </si>
  <si>
    <t>Huétor Tájar</t>
  </si>
  <si>
    <t>08/03/2026 11:00 | Spain | Tercera División RFEF - Group 9 | Torre del Mar vs Huétor Tájar</t>
  </si>
  <si>
    <t>UD San Pedro</t>
  </si>
  <si>
    <t>Granada II</t>
  </si>
  <si>
    <t>08/03/2026 11:00 | Spain | Tercera División RFEF - Group 9 | UD San Pedro vs Granada II</t>
  </si>
  <si>
    <t>Tomares</t>
  </si>
  <si>
    <t>Conil</t>
  </si>
  <si>
    <t>08/03/2026 11:00 | Spain | Tercera División RFEF - Group 10 | Tomares vs Conil</t>
  </si>
  <si>
    <t>Recreativo Huelva</t>
  </si>
  <si>
    <t>08/03/2026 11:00 | Spain | Tercera División RFEF - Group 10 | Linense vs Recreativo Huelva</t>
  </si>
  <si>
    <t>Cádiz II</t>
  </si>
  <si>
    <t>Coria CF</t>
  </si>
  <si>
    <t>08/03/2026 11:00 | Spain | Tercera División RFEF - Group 10 | Cádiz II vs Coria CF</t>
  </si>
  <si>
    <t>Atlético Central</t>
  </si>
  <si>
    <t>Chiclana</t>
  </si>
  <si>
    <t>08/03/2026 11:00 | Spain | Tercera División RFEF - Group 10 | Atlético Central vs Chiclana</t>
  </si>
  <si>
    <t>Utrera</t>
  </si>
  <si>
    <t>Córdoba II</t>
  </si>
  <si>
    <t>08/03/2026 11:00 | Spain | Tercera División RFEF - Group 10 | Utrera vs Córdoba II</t>
  </si>
  <si>
    <t>Mallorca II</t>
  </si>
  <si>
    <t>Son Cladera</t>
  </si>
  <si>
    <t>08/03/2026 11:00 | Spain | Tercera División RFEF - Group 11 | Mallorca II vs Son Cladera</t>
  </si>
  <si>
    <t>Mercadal</t>
  </si>
  <si>
    <t>Binissalem</t>
  </si>
  <si>
    <t>08/03/2026 11:00 | Spain | Tercera División RFEF - Group 11 | Mercadal vs Binissalem</t>
  </si>
  <si>
    <t>Lanzarote</t>
  </si>
  <si>
    <t>Unión Sur Yaiza</t>
  </si>
  <si>
    <t>08/03/2026 11:00 | Spain | Tercera División RFEF - Group 12 | Lanzarote vs Unión Sur Yaiza</t>
  </si>
  <si>
    <t>Cieza</t>
  </si>
  <si>
    <t>UCAM Murcia II</t>
  </si>
  <si>
    <t>08/03/2026 11:00 | Spain | Tercera División RFEF - Group 13 | Cieza vs UCAM Murcia II</t>
  </si>
  <si>
    <t>UD Caravaca</t>
  </si>
  <si>
    <t>Mazarrón FC</t>
  </si>
  <si>
    <t>08/03/2026 11:00 | Spain | Tercera División RFEF - Group 13 | UD Caravaca vs Mazarrón FC</t>
  </si>
  <si>
    <t>Tercera División RFEF - Group 14</t>
  </si>
  <si>
    <t>Calamonte</t>
  </si>
  <si>
    <t>Azuaga</t>
  </si>
  <si>
    <t>08/03/2026 11:00 | Spain | Tercera División RFEF - Group 14 | Calamonte vs Azuaga</t>
  </si>
  <si>
    <t>Badajoz</t>
  </si>
  <si>
    <t>Atlético Pueblonuevo</t>
  </si>
  <si>
    <t>08/03/2026 11:00 | Spain | Tercera División RFEF - Group 14 | Badajoz vs Atlético Pueblonuevo</t>
  </si>
  <si>
    <t>Villanovense</t>
  </si>
  <si>
    <t>Diocesano</t>
  </si>
  <si>
    <t>08/03/2026 11:00 | Spain | Tercera División RFEF - Group 14 | Villanovense vs Diocesano</t>
  </si>
  <si>
    <t>Calahorra</t>
  </si>
  <si>
    <t>Berceo</t>
  </si>
  <si>
    <t>08/03/2026 11:00 | Spain | Tercera División RFEF - Group 16 | Calahorra vs Berceo</t>
  </si>
  <si>
    <t>Villegas</t>
  </si>
  <si>
    <t>UD Logroñés II</t>
  </si>
  <si>
    <t>08/03/2026 11:00 | Spain | Tercera División RFEF - Group 16 | Villegas vs UD Logroñés II</t>
  </si>
  <si>
    <t>Comillas</t>
  </si>
  <si>
    <t>Autol</t>
  </si>
  <si>
    <t>08/03/2026 11:00 | Spain | Tercera División RFEF - Group 16 | Comillas vs Autol</t>
  </si>
  <si>
    <t>Cazalegas</t>
  </si>
  <si>
    <t>La Solana</t>
  </si>
  <si>
    <t>08/03/2026 11:00 | Spain | Tercera División RFEF - Group 18 | Cazalegas vs La Solana</t>
  </si>
  <si>
    <t>Pedroñeras</t>
  </si>
  <si>
    <t>Calvo Sotelo</t>
  </si>
  <si>
    <t>08/03/2026 11:00 | Spain | Tercera División RFEF - Group 18 | Pedroñeras vs Calvo Sotelo</t>
  </si>
  <si>
    <t>Binh Dinh</t>
  </si>
  <si>
    <t>PVF-CAND</t>
  </si>
  <si>
    <t>08/03/2026 11:00 | Vietnam | V.League 2 | Binh Dinh vs PVF-CAND</t>
  </si>
  <si>
    <t>Girona II</t>
  </si>
  <si>
    <t>Valencia II</t>
  </si>
  <si>
    <t>08/03/2026 11:00 | Spain | Segunda División RFEF - Group 3 | Girona II vs Valencia II</t>
  </si>
  <si>
    <t>Lechia Gdańsk U19</t>
  </si>
  <si>
    <t>Zagłębie Lubin U19</t>
  </si>
  <si>
    <t>08/03/2026 11:00 | Poland | Central Youth League | Lechia Gdańsk U19 vs Zagłębie Lubin U19</t>
  </si>
  <si>
    <t>Nakhon Si Thammarat</t>
  </si>
  <si>
    <t>08/03/2026 11:00 | Thailand | Thai League 2 | Nakhon Si Thammarat vs Sisaket United</t>
  </si>
  <si>
    <t>Police Tero</t>
  </si>
  <si>
    <t>Mahasarakham United</t>
  </si>
  <si>
    <t>08/03/2026 11:00 | Thailand | Thai League 2 | Police Tero vs Mahasarakham United</t>
  </si>
  <si>
    <t>Meshakhte</t>
  </si>
  <si>
    <t>08/03/2026 11:00 | Georgia | Erovnuli Liga | Meshakhte vs Samgurali</t>
  </si>
  <si>
    <t>Leningradets</t>
  </si>
  <si>
    <t>Rodina Moskva II</t>
  </si>
  <si>
    <t>08/03/2026 11:00 | Russia | Second League A - Division A Gold | Leningradets vs Rodina Moskva II</t>
  </si>
  <si>
    <t>Tekstilshchik</t>
  </si>
  <si>
    <t>Novosibirsk</t>
  </si>
  <si>
    <t>08/03/2026 11:00 | Russia | Second League A - Division A Gold | Tekstilshchik vs Novosibirsk</t>
  </si>
  <si>
    <t>Veles</t>
  </si>
  <si>
    <t>Kaluga</t>
  </si>
  <si>
    <t>08/03/2026 11:00 | Russia | Second League A - Division A Gold | Veles vs Kaluga</t>
  </si>
  <si>
    <t>Mafra</t>
  </si>
  <si>
    <t>Guimaraes B</t>
  </si>
  <si>
    <t>08/03/2026 11:00 | Portugal | Liga 3 | Mafra vs Guimaraes B</t>
  </si>
  <si>
    <t>Binh Duong</t>
  </si>
  <si>
    <t>Viettel</t>
  </si>
  <si>
    <t>08/03/2026 11:00 | Vietnam | V.League 1 | Binh Duong vs Viettel</t>
  </si>
  <si>
    <t>Pho Hien</t>
  </si>
  <si>
    <t>Nam Dinh</t>
  </si>
  <si>
    <t>08/03/2026 11:00 | Vietnam | V.League 1 | Pho Hien vs Nam Dinh</t>
  </si>
  <si>
    <t>Dinamo Brest</t>
  </si>
  <si>
    <t>ML Vitebsk</t>
  </si>
  <si>
    <t>08/03/2026 11:00 | Belarus | Coppa | Dinamo Brest vs ML Vitebsk</t>
  </si>
  <si>
    <t>Wuhan Three Towns</t>
  </si>
  <si>
    <t>Beijing Guoan</t>
  </si>
  <si>
    <t>08/03/2026 11:00 | China | Super League | Wuhan Three Towns vs Beijing Guoan</t>
  </si>
  <si>
    <t>Kaya</t>
  </si>
  <si>
    <t>Stallion</t>
  </si>
  <si>
    <t>08/03/2026 11:00 | Philippines | PFL | Kaya vs Stallion</t>
  </si>
  <si>
    <t>Boeung Ket</t>
  </si>
  <si>
    <t>Angkor Tiger</t>
  </si>
  <si>
    <t>08/03/2026 11:00 | Cambodia | C-League | Boeung Ket vs Angkor Tiger</t>
  </si>
  <si>
    <t>NagaWorld</t>
  </si>
  <si>
    <t>Svay Rieng</t>
  </si>
  <si>
    <t>08/03/2026 11:00 | Cambodia | C-League | NagaWorld vs Svay Rieng</t>
  </si>
  <si>
    <t>Phnom Penh Crown</t>
  </si>
  <si>
    <t>Kompong Dewa</t>
  </si>
  <si>
    <t>08/03/2026 11:00 | Cambodia | C-League | Phnom Penh Crown vs Kompong Dewa</t>
  </si>
  <si>
    <t>Parvoz</t>
  </si>
  <si>
    <t>Istaravshan</t>
  </si>
  <si>
    <t>08/03/2026 11:00 | Tajikistan | Vysshaya Liga | Parvoz vs Istaravshan</t>
  </si>
  <si>
    <t>Kaisar</t>
  </si>
  <si>
    <t>Zhenys</t>
  </si>
  <si>
    <t>08/03/2026 11:00 | Kazakhstan | Premier League | Kaisar vs Zhenys</t>
  </si>
  <si>
    <t>Limkokwing University</t>
  </si>
  <si>
    <t>Members</t>
  </si>
  <si>
    <t>08/03/2026 11:00 | Lesotho | Premier League | Limkokwing University vs Members</t>
  </si>
  <si>
    <t>Padinska Skela</t>
  </si>
  <si>
    <t>Radnički Obrenovac</t>
  </si>
  <si>
    <t>08/03/2026 11:00 | Serbia | Srpska Liga - Belgrade | Padinska Skela vs Radnički Obrenovac</t>
  </si>
  <si>
    <t>08/03/2026 11:15</t>
  </si>
  <si>
    <t>Motor Lublin</t>
  </si>
  <si>
    <t>Gornik Zabrze</t>
  </si>
  <si>
    <t>08/03/2026 11:15 | Poland | Ekstraklasa | Motor Lublin vs Gornik Zabrze</t>
  </si>
  <si>
    <t>Sparta Rotterdam</t>
  </si>
  <si>
    <t>PEC Zwolle</t>
  </si>
  <si>
    <t>08/03/2026 11:15 | Netherlands | Eredivisie | Sparta Rotterdam vs PEC Zwolle</t>
  </si>
  <si>
    <t>De Graafschap</t>
  </si>
  <si>
    <t>Vitesse</t>
  </si>
  <si>
    <t>08/03/2026 11:15 | Netherlands | Eerste Divisie | De Graafschap vs Vitesse</t>
  </si>
  <si>
    <t>HNK Cibalia</t>
  </si>
  <si>
    <t>Karlovac 1919</t>
  </si>
  <si>
    <t>08/03/2026 11:15 | Croatia | First NL | HNK Cibalia vs Karlovac 1919</t>
  </si>
  <si>
    <t>Alhaurino</t>
  </si>
  <si>
    <t>Ciudad de Torredonjimeno</t>
  </si>
  <si>
    <t>08/03/2026 11:15 | Spain | Tercera División RFEF - Group 9 | Alhaurino vs Ciudad de Torredonjimeno</t>
  </si>
  <si>
    <t>Formentera</t>
  </si>
  <si>
    <t>Collerense</t>
  </si>
  <si>
    <t>08/03/2026 11:15 | Spain | Tercera División RFEF - Group 11 | Formentera vs Collerense</t>
  </si>
  <si>
    <t>Binéfar</t>
  </si>
  <si>
    <t>Illueca</t>
  </si>
  <si>
    <t>08/03/2026 11:15 | Spain | Tercera División RFEF - Group 17 | Binéfar vs Illueca</t>
  </si>
  <si>
    <t>08/03/2026 11:30</t>
  </si>
  <si>
    <t>Lecce</t>
  </si>
  <si>
    <t>Cremonese</t>
  </si>
  <si>
    <t>08/03/2026 11:30 | Italy | Serie A | Lecce vs Cremonese</t>
  </si>
  <si>
    <t>Krylia Sovetov</t>
  </si>
  <si>
    <t>Dinamo Makhachkala</t>
  </si>
  <si>
    <t>08/03/2026 11:30 | Russia | Premier League | Krylia Sovetov vs Dinamo Makhachkala</t>
  </si>
  <si>
    <t>Halstenbek-Rellingen</t>
  </si>
  <si>
    <t>08/03/2026 11:30 | Germany | Oberliga - Hamburg | HT16 vs Halstenbek-Rellingen</t>
  </si>
  <si>
    <t>Serie C - Girone B</t>
  </si>
  <si>
    <t>Juventus U23</t>
  </si>
  <si>
    <t>Vis Pesaro</t>
  </si>
  <si>
    <t>08/03/2026 11:30 | Italy | Serie C - Girone B | Juventus U23 vs Vis Pesaro</t>
  </si>
  <si>
    <t>Forli</t>
  </si>
  <si>
    <t>Livorno</t>
  </si>
  <si>
    <t>08/03/2026 11:30 | Italy | Serie C - Girone B | Forli vs Livorno</t>
  </si>
  <si>
    <t>Terrassa</t>
  </si>
  <si>
    <t>Olot</t>
  </si>
  <si>
    <t>08/03/2026 11:30 | Spain | Segunda División RFEF - Group 3 | Terrassa vs Olot</t>
  </si>
  <si>
    <t>Silva</t>
  </si>
  <si>
    <t>Boiro</t>
  </si>
  <si>
    <t>08/03/2026 11:30 | Spain | Tercera División RFEF - Group 1 | Silva vs Boiro</t>
  </si>
  <si>
    <t>Cornellà</t>
  </si>
  <si>
    <t>Mollerussa</t>
  </si>
  <si>
    <t>08/03/2026 11:30 | Spain | Tercera División RFEF - Group 5 | Cornellà vs Mollerussa</t>
  </si>
  <si>
    <t>Churriana Vega</t>
  </si>
  <si>
    <t>Mijas Las Lagunas</t>
  </si>
  <si>
    <t>08/03/2026 11:30 | Spain | Tercera División RFEF - Group 9 | Churriana Vega vs Mijas Las Lagunas</t>
  </si>
  <si>
    <t>El Palo</t>
  </si>
  <si>
    <t>Huétor Vega</t>
  </si>
  <si>
    <t>08/03/2026 11:30 | Spain | Tercera División RFEF - Group 9 | El Palo vs Huétor Vega</t>
  </si>
  <si>
    <t>Sevilla III</t>
  </si>
  <si>
    <t>Pozoblanco</t>
  </si>
  <si>
    <t>08/03/2026 11:30 | Spain | Tercera División RFEF - Group 10 | Sevilla III vs Pozoblanco</t>
  </si>
  <si>
    <t>Jerez</t>
  </si>
  <si>
    <t>Gévora</t>
  </si>
  <si>
    <t>08/03/2026 11:30 | Spain | Tercera División RFEF - Group 14 | Jerez vs Gévora</t>
  </si>
  <si>
    <t>Cabeza Buey</t>
  </si>
  <si>
    <t>Moralo</t>
  </si>
  <si>
    <t>08/03/2026 11:30 | Spain | Tercera División RFEF - Group 14 | Cabeza Buey vs Moralo</t>
  </si>
  <si>
    <t>Kasetsart FC</t>
  </si>
  <si>
    <t>08/03/2026 11:30 | Thailand | Thai League 2 | Nakhon Pathom vs Kasetsart FC</t>
  </si>
  <si>
    <t>Trat FC</t>
  </si>
  <si>
    <t>Nong Bua Pitchaya</t>
  </si>
  <si>
    <t>08/03/2026 11:30 | Thailand | Thai League 2 | Trat FC vs Nong Bua Pitchaya</t>
  </si>
  <si>
    <t>Stuttgart U19</t>
  </si>
  <si>
    <t>Köln U19</t>
  </si>
  <si>
    <t>08/03/2026 11:30 | Germany | U19 Bundesliga | Stuttgart U19 vs Köln U19</t>
  </si>
  <si>
    <t>08/03/2026 12:00</t>
  </si>
  <si>
    <t>Baník Ostrava</t>
  </si>
  <si>
    <t>Zlin</t>
  </si>
  <si>
    <t>08/03/2026 12:00 | Czech-Republic | Czech Liga | Baník Ostrava vs Zlin</t>
  </si>
  <si>
    <t>AFC Wimbledon</t>
  </si>
  <si>
    <t>Northampton</t>
  </si>
  <si>
    <t>08/03/2026 12:00 | England | League One | AFC Wimbledon vs Northampton</t>
  </si>
  <si>
    <t>Triglav</t>
  </si>
  <si>
    <t>Brinje-Grosuplje</t>
  </si>
  <si>
    <t>08/03/2026 12:00 | Slovenia | 2. SNL | Triglav vs Brinje-Grosuplje</t>
  </si>
  <si>
    <t>OFK Vršac</t>
  </si>
  <si>
    <t>Zemun</t>
  </si>
  <si>
    <t>08/03/2026 12:00 | Serbia | Prva Liga | OFK Vršac vs Zemun</t>
  </si>
  <si>
    <t>Śląsk Wrocław II</t>
  </si>
  <si>
    <t>Olimpia Grudziądz</t>
  </si>
  <si>
    <t>08/03/2026 12:00 | Poland | II Liga - East | Śląsk Wrocław II vs Olimpia Grudziądz</t>
  </si>
  <si>
    <t>Internazionale U20</t>
  </si>
  <si>
    <t>Fiorentina U20</t>
  </si>
  <si>
    <t>08/03/2026 12:00 | Italy | Campionato Primavera - 1 | Internazionale U20 vs Fiorentina U20</t>
  </si>
  <si>
    <t>Backnang</t>
  </si>
  <si>
    <t>Reutlingen</t>
  </si>
  <si>
    <t>08/03/2026 12:00 | Germany | Oberliga - Baden-Württemberg | Backnang vs Reutlingen</t>
  </si>
  <si>
    <t>Eintracht Mahlsdorf</t>
  </si>
  <si>
    <t>Hansa Rostock II</t>
  </si>
  <si>
    <t>08/03/2026 12:00 | Germany | Oberliga - Nordost-Nord | Eintracht Mahlsdorf vs Hansa Rostock II</t>
  </si>
  <si>
    <t>Siedenbollentin</t>
  </si>
  <si>
    <t>Croatia Berlin</t>
  </si>
  <si>
    <t>08/03/2026 12:00 | Germany | Oberliga - Nordost-Nord | Siedenbollentin vs Croatia Berlin</t>
  </si>
  <si>
    <t>Lajense</t>
  </si>
  <si>
    <t>UD da Serra</t>
  </si>
  <si>
    <t>08/03/2026 12:00 | Portugal | Campeonato de Portugal Prio - Group C | Lajense vs UD da Serra</t>
  </si>
  <si>
    <t>III. Kerületi TUE</t>
  </si>
  <si>
    <t>Csep-Gól</t>
  </si>
  <si>
    <t>08/03/2026 12:00 | Hungary | NB III - Southeast | III. Kerületi TUE vs Csep-Gól</t>
  </si>
  <si>
    <t>Békéscsaba II</t>
  </si>
  <si>
    <t>Szegedi VSE</t>
  </si>
  <si>
    <t>08/03/2026 12:00 | Hungary | NB III - Southeast | Békéscsaba II vs Szegedi VSE</t>
  </si>
  <si>
    <t>NB III - Northeast</t>
  </si>
  <si>
    <t>Sényő Carnifex</t>
  </si>
  <si>
    <t>Tarpa</t>
  </si>
  <si>
    <t>08/03/2026 12:00 | Hungary | NB III - Northeast | Sényő Carnifex vs Tarpa</t>
  </si>
  <si>
    <t>ØB</t>
  </si>
  <si>
    <t>Silkeborg KFUM</t>
  </si>
  <si>
    <t>08/03/2026 12:00 | Denmark | Denmark Series - Group 3 | ØB vs Silkeborg KFUM</t>
  </si>
  <si>
    <t>Adanaspor</t>
  </si>
  <si>
    <t>Ankara Demirspor</t>
  </si>
  <si>
    <t>08/03/2026 12:00 | Turkey | 2. Lig | Adanaspor vs Ankara Demirspor</t>
  </si>
  <si>
    <t>Etimesgut SK</t>
  </si>
  <si>
    <t>İnegöl Kafkas Gençlik</t>
  </si>
  <si>
    <t>08/03/2026 12:00 | Turkey | 3. Lig - Group 1 | Etimesgut SK vs İnegöl Kafkas Gençlik</t>
  </si>
  <si>
    <t>SS Reyes II</t>
  </si>
  <si>
    <t>Alcobendas Sport</t>
  </si>
  <si>
    <t>08/03/2026 12:00 | Spain | Tercera División RFEF - Group 7 | SS Reyes II vs Alcobendas Sport</t>
  </si>
  <si>
    <t>Numancia II</t>
  </si>
  <si>
    <t>UD Santa Marta</t>
  </si>
  <si>
    <t>08/03/2026 12:00 | Spain | Tercera División RFEF - Group 8 | Numancia II vs UD Santa Marta</t>
  </si>
  <si>
    <t>Atlético Porcuna</t>
  </si>
  <si>
    <t>UD Melilla II</t>
  </si>
  <si>
    <t>08/03/2026 12:00 | Spain | Tercera División RFEF - Group 9 | Atlético Porcuna vs UD Melilla II</t>
  </si>
  <si>
    <t>Panadería Pulido</t>
  </si>
  <si>
    <t>Telde</t>
  </si>
  <si>
    <t>08/03/2026 12:00 | Spain | Tercera División RFEF - Group 12 | Panadería Pulido vs Telde</t>
  </si>
  <si>
    <t>Atlético Paso</t>
  </si>
  <si>
    <t>Arucas</t>
  </si>
  <si>
    <t>08/03/2026 12:00 | Spain | Tercera División RFEF - Group 12 | Atlético Paso vs Arucas</t>
  </si>
  <si>
    <t>Tenisca</t>
  </si>
  <si>
    <t>UD San Fernando</t>
  </si>
  <si>
    <t>08/03/2026 12:00 | Spain | Tercera División RFEF - Group 12 | Tenisca vs UD San Fernando</t>
  </si>
  <si>
    <t>BG Pathum United</t>
  </si>
  <si>
    <t>Chonburi FC</t>
  </si>
  <si>
    <t>08/03/2026 12:00 | Thailand | Thai League 1 | BG Pathum United vs Chonburi FC</t>
  </si>
  <si>
    <t>Santos AP</t>
  </si>
  <si>
    <t>08/03/2026 12:00 | Brazil | Amapaense | Santos AP vs Trem</t>
  </si>
  <si>
    <t>Ustrem Donchevo</t>
  </si>
  <si>
    <t>08/03/2026 12:00 | Bulgaria | Third League - Northeast | Ustrem Donchevo vs Cherno more II</t>
  </si>
  <si>
    <t>Bodø / Glimt U19</t>
  </si>
  <si>
    <t>Lillestrøm U19</t>
  </si>
  <si>
    <t>08/03/2026 12:00 | Norway | Nasjonal U19 Champions League | Bodø / Glimt U19 vs Lillestrøm U19</t>
  </si>
  <si>
    <t>Vihiga United FC</t>
  </si>
  <si>
    <t>Migori Youth</t>
  </si>
  <si>
    <t>08/03/2026 12:00 | Kenya | Super League | Vihiga United FC vs Migori Youth</t>
  </si>
  <si>
    <t>Luanda Villa</t>
  </si>
  <si>
    <t>MCF</t>
  </si>
  <si>
    <t>08/03/2026 12:00 | Kenya | Super League | Luanda Villa vs MCF</t>
  </si>
  <si>
    <t>Foncha ST</t>
  </si>
  <si>
    <t>Sable</t>
  </si>
  <si>
    <t>08/03/2026 12:00 | Cameroon | Elite Two | Foncha ST vs Sable</t>
  </si>
  <si>
    <t>FS Jelgava</t>
  </si>
  <si>
    <t>Tukums</t>
  </si>
  <si>
    <t>08/03/2026 12:00 | Latvia | Virsliga | FS Jelgava vs Tukums</t>
  </si>
  <si>
    <t>Hoffenheim U19</t>
  </si>
  <si>
    <t>Nürnberg U19</t>
  </si>
  <si>
    <t>08/03/2026 12:00 | Germany | U19 Bundesliga | Hoffenheim U19 vs Nürnberg U19</t>
  </si>
  <si>
    <t>Rot-Weiss Essen U19</t>
  </si>
  <si>
    <t>Alemannia Aachen U19</t>
  </si>
  <si>
    <t>08/03/2026 12:00 | Germany | U19 Bundesliga | Rot-Weiss Essen U19 vs Alemannia Aachen U19</t>
  </si>
  <si>
    <t>Babelsberg U19</t>
  </si>
  <si>
    <t>Lübeck U19</t>
  </si>
  <si>
    <t>08/03/2026 12:00 | Germany | U19 Bundesliga | Babelsberg U19 vs Lübeck U19</t>
  </si>
  <si>
    <t>08/03/2026 12:00 | Ethiopia | Premier League | Mekelakeya vs Welwalo Adigrat Uni</t>
  </si>
  <si>
    <t>08/03/2026 12:00 | Ethiopia | Premier League | Sheger Ketema vs Kedus Giorgis</t>
  </si>
  <si>
    <t>Djurgardens IF</t>
  </si>
  <si>
    <t>IF Brommapojkarna</t>
  </si>
  <si>
    <t>08/03/2026 12:00 | Sweden | Svenska Cupen | Djurgardens IF vs IF Brommapojkarna</t>
  </si>
  <si>
    <t>IFK Skövde</t>
  </si>
  <si>
    <t>08/03/2026 12:00 | Sweden | Svenska Cupen | Falkenbergs FF vs IFK Skövde</t>
  </si>
  <si>
    <t>IF Elfsborg</t>
  </si>
  <si>
    <t>Sirius</t>
  </si>
  <si>
    <t>08/03/2026 12:00 | Sweden | Svenska Cupen | IF Elfsborg vs Sirius</t>
  </si>
  <si>
    <t>Helsingborg</t>
  </si>
  <si>
    <t>GIF Sundsvall</t>
  </si>
  <si>
    <t>08/03/2026 12:00 | Sweden | Svenska Cupen | Helsingborg vs GIF Sundsvall</t>
  </si>
  <si>
    <t>Fulham</t>
  </si>
  <si>
    <t>Southampton</t>
  </si>
  <si>
    <t>08/03/2026 12:00 | England | FA Cup | Fulham vs Southampton</t>
  </si>
  <si>
    <t>US Ben Guerdane</t>
  </si>
  <si>
    <t>Club Africain</t>
  </si>
  <si>
    <t>08/03/2026 12:00 | Tunisia | Ligue 1 | US Ben Guerdane vs Club Africain</t>
  </si>
  <si>
    <t>JS Kairouanaise</t>
  </si>
  <si>
    <t>CA Bizertin</t>
  </si>
  <si>
    <t>08/03/2026 12:00 | Tunisia | Ligue 1 | JS Kairouanaise vs CA Bizertin</t>
  </si>
  <si>
    <t>Stade Tunisien</t>
  </si>
  <si>
    <t>ES Sahel</t>
  </si>
  <si>
    <t>08/03/2026 12:00 | Tunisia | Ligue 1 | Stade Tunisien vs ES Sahel</t>
  </si>
  <si>
    <t>Drenica Skënderaj</t>
  </si>
  <si>
    <t>Dukagjini</t>
  </si>
  <si>
    <t>08/03/2026 12:00 | Kosovo | Superliga | Drenica Skënderaj vs Dukagjini</t>
  </si>
  <si>
    <t>Liga E Pare</t>
  </si>
  <si>
    <t>FC Besa Peja</t>
  </si>
  <si>
    <t>Trepça Mitrovicë</t>
  </si>
  <si>
    <t>08/03/2026 12:00 | Kosovo | Liga E Pare | FC Besa Peja vs Trepça Mitrovicë</t>
  </si>
  <si>
    <t>Dinamo Ferizaj</t>
  </si>
  <si>
    <t>2 Korriku</t>
  </si>
  <si>
    <t>08/03/2026 12:00 | Kosovo | Liga E Pare | Dinamo Ferizaj vs 2 Korriku</t>
  </si>
  <si>
    <t>Kika</t>
  </si>
  <si>
    <t>Prizreni</t>
  </si>
  <si>
    <t>08/03/2026 12:00 | Kosovo | Liga E Pare | Kika vs Prizreni</t>
  </si>
  <si>
    <t>Liria Prizren</t>
  </si>
  <si>
    <t>Vushtrria</t>
  </si>
  <si>
    <t>08/03/2026 12:00 | Kosovo | Liga E Pare | Liria Prizren vs Vushtrria</t>
  </si>
  <si>
    <t>Rilindja 1974</t>
  </si>
  <si>
    <t>Feronikeli</t>
  </si>
  <si>
    <t>08/03/2026 12:00 | Kosovo | Liga E Pare | Rilindja 1974 vs Feronikeli</t>
  </si>
  <si>
    <t>Suhareka</t>
  </si>
  <si>
    <t>Istogu</t>
  </si>
  <si>
    <t>08/03/2026 12:00 | Kosovo | Liga E Pare | Suhareka vs Istogu</t>
  </si>
  <si>
    <t>Tefik Canga</t>
  </si>
  <si>
    <t>KEK-u</t>
  </si>
  <si>
    <t>08/03/2026 12:00 | Kosovo | Liga E Pare | Tefik Canga vs KEK-u</t>
  </si>
  <si>
    <t>Vëllaznimi</t>
  </si>
  <si>
    <t>Ramiz Sadiku</t>
  </si>
  <si>
    <t>08/03/2026 12:00 | Kosovo | Liga E Pare | Vëllaznimi vs Ramiz Sadiku</t>
  </si>
  <si>
    <t>Vjosa</t>
  </si>
  <si>
    <t>Trepça'89</t>
  </si>
  <si>
    <t>08/03/2026 12:00 | Kosovo | Liga E Pare | Vjosa vs Trepça'89</t>
  </si>
  <si>
    <t>08/03/2026 12:15</t>
  </si>
  <si>
    <t>FC Santa Coloma</t>
  </si>
  <si>
    <t>Inter Club d'Escaldes</t>
  </si>
  <si>
    <t>08/03/2026 12:15 | Andorra | 1a Divisió | FC Santa Coloma vs Inter Club d'Escaldes</t>
  </si>
  <si>
    <t>Ha Noi</t>
  </si>
  <si>
    <t>Công An Nhân Dân</t>
  </si>
  <si>
    <t>08/03/2026 12:15 | Vietnam | V.League 1 | Ha Noi vs Công An Nhân Dân</t>
  </si>
  <si>
    <t>Banga</t>
  </si>
  <si>
    <t>FK Trakai</t>
  </si>
  <si>
    <t>08/03/2026 12:15 | Lithuania | A Lyga | Banga vs FK Trakai</t>
  </si>
  <si>
    <t>08/03/2026 12:30</t>
  </si>
  <si>
    <t>MTK Budapest</t>
  </si>
  <si>
    <t>Diosgyori VTK</t>
  </si>
  <si>
    <t>08/03/2026 12:30 | Hungary | NB I | MTK Budapest vs Diosgyori VTK</t>
  </si>
  <si>
    <t>Club Brugge KV</t>
  </si>
  <si>
    <t>Anderlecht</t>
  </si>
  <si>
    <t>08/03/2026 12:30 | Belgium | Jupiler Pro League | Club Brugge KV vs Anderlecht</t>
  </si>
  <si>
    <t>Oţelul</t>
  </si>
  <si>
    <t>08/03/2026 12:30 | Romania | Liga I | Oţelul vs AFC Hermannstadt</t>
  </si>
  <si>
    <t>Hannover 96</t>
  </si>
  <si>
    <t>SpVgg Greuther Fürth</t>
  </si>
  <si>
    <t>08/03/2026 12:30 | Germany | 2. Bundesliga | Hannover 96 vs SpVgg Greuther Fürth</t>
  </si>
  <si>
    <t>Karlsruher SC</t>
  </si>
  <si>
    <t>Dynamo Dresden</t>
  </si>
  <si>
    <t>08/03/2026 12:30 | Germany | 2. Bundesliga | Karlsruher SC vs Dynamo Dresden</t>
  </si>
  <si>
    <t>Preußen Münster</t>
  </si>
  <si>
    <t>Hertha BSC</t>
  </si>
  <si>
    <t>08/03/2026 12:30 | Germany | 2. Bundesliga | Preußen Münster vs Hertha BSC</t>
  </si>
  <si>
    <t>Lokeren-Temse</t>
  </si>
  <si>
    <t>SK Beveren</t>
  </si>
  <si>
    <t>08/03/2026 12:30 | Belgium | Challenger Pro League | Lokeren-Temse vs SK Beveren</t>
  </si>
  <si>
    <t>Waldhof Mannheim</t>
  </si>
  <si>
    <t>Havelse</t>
  </si>
  <si>
    <t>08/03/2026 12:30 | Germany | 3. Liga | Waldhof Mannheim vs Havelse</t>
  </si>
  <si>
    <t>HSC Hannover</t>
  </si>
  <si>
    <t>VfB Oldenburg</t>
  </si>
  <si>
    <t>08/03/2026 12:30 | Germany | Regionalliga - Nord | HSC Hannover vs VfB Oldenburg</t>
  </si>
  <si>
    <t>Eiche Horn</t>
  </si>
  <si>
    <t>Woltmershausen</t>
  </si>
  <si>
    <t>08/03/2026 12:30 | Germany | Oberliga - Bremen | Eiche Horn vs Woltmershausen</t>
  </si>
  <si>
    <t>Young Lions</t>
  </si>
  <si>
    <t>Tampines Rovers</t>
  </si>
  <si>
    <t>08/03/2026 12:30 | Singapore | Premier League | Young Lions vs Tampines Rovers</t>
  </si>
  <si>
    <t>Menemen Belediyespor</t>
  </si>
  <si>
    <t>Belediye Derincespor</t>
  </si>
  <si>
    <t>08/03/2026 12:30 | Turkey | 2. Lig | Menemen Belediyespor vs Belediye Derincespor</t>
  </si>
  <si>
    <t>Arnavutköy Belediyespor</t>
  </si>
  <si>
    <t>Somaspor</t>
  </si>
  <si>
    <t>08/03/2026 12:30 | Turkey | 2. Lig | Arnavutköy Belediyespor vs Somaspor</t>
  </si>
  <si>
    <t>Nilüfer Belediye</t>
  </si>
  <si>
    <t>Çankaya FK</t>
  </si>
  <si>
    <t>08/03/2026 12:30 | Turkey | 3. Lig - Group 1 | Nilüfer Belediye vs Çankaya FK</t>
  </si>
  <si>
    <t>Silivrispor</t>
  </si>
  <si>
    <t>Edirnespor</t>
  </si>
  <si>
    <t>08/03/2026 12:30 | Turkey | 3. Lig - Group 1 | Silivrispor vs Edirnespor</t>
  </si>
  <si>
    <t>1926 Polatlı Belediye</t>
  </si>
  <si>
    <t>Bursa Yıldırımspor</t>
  </si>
  <si>
    <t>08/03/2026 12:30 | Turkey | 3. Lig - Group 1 | 1926 Polatlı Belediye vs Bursa Yıldırımspor</t>
  </si>
  <si>
    <t>Denizli İYG</t>
  </si>
  <si>
    <t>Söke 1970</t>
  </si>
  <si>
    <t>08/03/2026 12:30 | Turkey | 3. Lig - Group 4 | Denizli İYG vs Söke 1970</t>
  </si>
  <si>
    <t>Nazilli Spor</t>
  </si>
  <si>
    <t>Balıkesirspor</t>
  </si>
  <si>
    <t>08/03/2026 12:30 | Turkey | 3. Lig - Group 4 | Nazilli Spor vs Balıkesirspor</t>
  </si>
  <si>
    <t>Eskişehirspor</t>
  </si>
  <si>
    <t>Bornova 1877</t>
  </si>
  <si>
    <t>08/03/2026 12:30 | Turkey | 3. Lig - Group 4 | Eskişehirspor vs Bornova 1877</t>
  </si>
  <si>
    <t>İzmir Çoruhlu FK</t>
  </si>
  <si>
    <t>Alanya 1221 FK</t>
  </si>
  <si>
    <t>08/03/2026 12:30 | Turkey | 3. Lig - Group 4 | İzmir Çoruhlu FK vs Alanya 1221 FK</t>
  </si>
  <si>
    <t>Afjet Afyonspor</t>
  </si>
  <si>
    <t>Anadolu Üniversitesi</t>
  </si>
  <si>
    <t>08/03/2026 12:30 | Turkey | 3. Lig - Group 4 | Afjet Afyonspor vs Anadolu Üniversitesi</t>
  </si>
  <si>
    <t>Kütahyaspor</t>
  </si>
  <si>
    <t>08/03/2026 12:30 | Turkey | 3. Lig - Group 4 | Altay vs Kütahyaspor</t>
  </si>
  <si>
    <t>Sparta KW</t>
  </si>
  <si>
    <t>Avia Świdnik</t>
  </si>
  <si>
    <t>08/03/2026 12:30 | Poland | III Liga - Group 4 | Sparta KW vs Avia Świdnik</t>
  </si>
  <si>
    <t>Pattani</t>
  </si>
  <si>
    <t>Phrae United</t>
  </si>
  <si>
    <t>08/03/2026 12:30 | Thailand | Thai League 2 | Pattani vs Phrae United</t>
  </si>
  <si>
    <t>Tammeka</t>
  </si>
  <si>
    <t>Kalju Nomme</t>
  </si>
  <si>
    <t>08/03/2026 12:30 | Estonia | Meistriliiga | Tammeka vs Kalju Nomme</t>
  </si>
  <si>
    <t>Gremio Anapolis U20</t>
  </si>
  <si>
    <t>Atlético GO U20</t>
  </si>
  <si>
    <t>08/03/2026 12:30 | Brazil | Goiano U20 | Gremio Anapolis U20 vs Atlético GO U20</t>
  </si>
  <si>
    <t>08/03/2026 12:45</t>
  </si>
  <si>
    <t>Racing Montevideo</t>
  </si>
  <si>
    <t>Cerro</t>
  </si>
  <si>
    <t>08/03/2026 12:45 | Uruguay | Primera División - Apertura | Racing Montevideo vs Cerro</t>
  </si>
  <si>
    <t>08/03/2026 13:00</t>
  </si>
  <si>
    <t>Radnicki NIS</t>
  </si>
  <si>
    <t>08/03/2026 13:00 | Serbia | Super Liga | Radnik Surdulica vs Radnicki NIS</t>
  </si>
  <si>
    <t>Villarreal</t>
  </si>
  <si>
    <t>Elche</t>
  </si>
  <si>
    <t>08/03/2026 13:00 | Spain | La Liga | Villarreal vs Elche</t>
  </si>
  <si>
    <t>Las Palmas</t>
  </si>
  <si>
    <t>AD Ceuta FC</t>
  </si>
  <si>
    <t>08/03/2026 13:00 | Spain | Segunda División | Las Palmas vs AD Ceuta FC</t>
  </si>
  <si>
    <t>Budafoki LC</t>
  </si>
  <si>
    <t>08/03/2026 13:00 | Hungary | NB II | Budafoki LC vs Bekescsaba 1912</t>
  </si>
  <si>
    <t>BVSC</t>
  </si>
  <si>
    <t>Tiszakecske FC</t>
  </si>
  <si>
    <t>08/03/2026 13:00 | Hungary | NB II | BVSC vs Tiszakecske FC</t>
  </si>
  <si>
    <t>Szentlőrinc SE</t>
  </si>
  <si>
    <t>Soroksar</t>
  </si>
  <si>
    <t>08/03/2026 13:00 | Hungary | NB II | Szentlőrinc SE vs Soroksar</t>
  </si>
  <si>
    <t>Konyaspor</t>
  </si>
  <si>
    <t>Kasımpaşa</t>
  </si>
  <si>
    <t>08/03/2026 13:00 | Turkey | Süper Lig | Konyaspor vs Kasımpaşa</t>
  </si>
  <si>
    <t>Iğdır FK</t>
  </si>
  <si>
    <t>08/03/2026 13:00 | Turkey | 1. Lig | Boluspor vs Iğdır FK</t>
  </si>
  <si>
    <t>Sparta Lichtenberg</t>
  </si>
  <si>
    <t>Lichtenberg</t>
  </si>
  <si>
    <t>08/03/2026 13:00 | Germany | Oberliga - Nordost-Nord | Sparta Lichtenberg vs Lichtenberg</t>
  </si>
  <si>
    <t>Budissa Bautzen</t>
  </si>
  <si>
    <t>Empor Glauchau</t>
  </si>
  <si>
    <t>08/03/2026 13:00 | Germany | Oberliga - Nordost-Süd | Budissa Bautzen vs Empor Glauchau</t>
  </si>
  <si>
    <t>Einheit Rudolstadt</t>
  </si>
  <si>
    <t>Union Sandersdorf</t>
  </si>
  <si>
    <t>08/03/2026 13:00 | Germany | Oberliga - Nordost-Süd | Einheit Rudolstadt vs Union Sandersdorf</t>
  </si>
  <si>
    <t>VfL Halle</t>
  </si>
  <si>
    <t>FC Lok Stendal</t>
  </si>
  <si>
    <t>08/03/2026 13:00 | Germany | Oberliga - Nordost-Süd | VfL Halle vs FC Lok Stendal</t>
  </si>
  <si>
    <t>ZFC Meuselwitz</t>
  </si>
  <si>
    <t>08/03/2026 13:00 | Germany | Regionalliga - Nordost | ZFC Meuselwitz vs Altglienicke</t>
  </si>
  <si>
    <t>Hertha Zehlendorf</t>
  </si>
  <si>
    <t>Luckenwalde</t>
  </si>
  <si>
    <t>08/03/2026 13:00 | Germany | Regionalliga - Nordost | Hertha Zehlendorf vs Luckenwalde</t>
  </si>
  <si>
    <t>FC Rot-Weiß Erfurt</t>
  </si>
  <si>
    <t>BSG Chemie Leipzig</t>
  </si>
  <si>
    <t>08/03/2026 13:00 | Germany | Regionalliga - Nordost | FC Rot-Weiß Erfurt vs BSG Chemie Leipzig</t>
  </si>
  <si>
    <t>Lokomotive Leipzig</t>
  </si>
  <si>
    <t>08/03/2026 13:00 | Germany | Regionalliga - Nordost | Lokomotive Leipzig vs FC Carl Zeiss Jena</t>
  </si>
  <si>
    <t>Bremer SV</t>
  </si>
  <si>
    <t>Schöningen</t>
  </si>
  <si>
    <t>08/03/2026 13:00 | Germany | Regionalliga - Nord | Bremer SV vs Schöningen</t>
  </si>
  <si>
    <t>Eintracht Norderstedt</t>
  </si>
  <si>
    <t>St. Pauli II</t>
  </si>
  <si>
    <t>08/03/2026 13:00 | Germany | Regionalliga - Nord | Eintracht Norderstedt vs St. Pauli II</t>
  </si>
  <si>
    <t>FC 08 Homburg</t>
  </si>
  <si>
    <t>Kickers Offenbach</t>
  </si>
  <si>
    <t>08/03/2026 13:00 | Germany | Regionalliga - SudWest | FC 08 Homburg vs Kickers Offenbach</t>
  </si>
  <si>
    <t>SV Eichede</t>
  </si>
  <si>
    <t>Hohenwestedt</t>
  </si>
  <si>
    <t>08/03/2026 13:00 | Germany | Oberliga - Schleswig-Holstein | SV Eichede vs Hohenwestedt</t>
  </si>
  <si>
    <t>Todesfelde</t>
  </si>
  <si>
    <t>Holstein Kiel II</t>
  </si>
  <si>
    <t>08/03/2026 13:00 | Germany | Oberliga - Schleswig-Holstein | Todesfelde vs Holstein Kiel II</t>
  </si>
  <si>
    <t>Bochum II</t>
  </si>
  <si>
    <t>Wiedenbrück</t>
  </si>
  <si>
    <t>08/03/2026 13:00 | Germany | Regionalliga - West | Bochum II vs Wiedenbrück</t>
  </si>
  <si>
    <t>Elana Toruń</t>
  </si>
  <si>
    <t>Polonia Środa</t>
  </si>
  <si>
    <t>08/03/2026 13:00 | Poland | III Liga - Group 2 | Elana Toruń vs Polonia Środa</t>
  </si>
  <si>
    <t>Eintracht Braunschw. II</t>
  </si>
  <si>
    <t>Wetschen</t>
  </si>
  <si>
    <t>08/03/2026 13:00 | Germany | Oberliga - Niedersachsen | Eintracht Braunschw. II vs Wetschen</t>
  </si>
  <si>
    <t>Vatan Sport</t>
  </si>
  <si>
    <t>Sebaldsbrück</t>
  </si>
  <si>
    <t>08/03/2026 13:00 | Germany | Oberliga - Bremen | Vatan Sport vs Sebaldsbrück</t>
  </si>
  <si>
    <t>Majosi</t>
  </si>
  <si>
    <t>Nagykanizsai ULE</t>
  </si>
  <si>
    <t>08/03/2026 13:00 | Hungary | NB III - Southwest | Majosi vs Nagykanizsai ULE</t>
  </si>
  <si>
    <t>Kaposvar</t>
  </si>
  <si>
    <t>Balatonlelle SE</t>
  </si>
  <si>
    <t>08/03/2026 13:00 | Hungary | NB III - Southwest | Kaposvar vs Balatonlelle SE</t>
  </si>
  <si>
    <t>Szekszárd</t>
  </si>
  <si>
    <t>Iváncsa</t>
  </si>
  <si>
    <t>08/03/2026 13:00 | Hungary | NB III - Southwest | Szekszárd vs Iváncsa</t>
  </si>
  <si>
    <t>Pénzügyőr</t>
  </si>
  <si>
    <t>Paksi SE II</t>
  </si>
  <si>
    <t>08/03/2026 13:00 | Hungary | NB III - Southwest | Pénzügyőr vs Paksi SE II</t>
  </si>
  <si>
    <t>MTK Budapest II</t>
  </si>
  <si>
    <t>Siofok</t>
  </si>
  <si>
    <t>08/03/2026 13:00 | Hungary | NB III - Southwest | MTK Budapest II vs Siofok</t>
  </si>
  <si>
    <t>BKV Előre</t>
  </si>
  <si>
    <t>Vasas II</t>
  </si>
  <si>
    <t>08/03/2026 13:00 | Hungary | NB III - Southeast | BKV Előre vs Vasas II</t>
  </si>
  <si>
    <t>Hódmezővásárhely</t>
  </si>
  <si>
    <t>Dabas</t>
  </si>
  <si>
    <t>08/03/2026 13:00 | Hungary | NB III - Southeast | Hódmezővásárhely vs Dabas</t>
  </si>
  <si>
    <t>Gyulai Termál</t>
  </si>
  <si>
    <t>Martfűi LSE</t>
  </si>
  <si>
    <t>08/03/2026 13:00 | Hungary | NB III - Southeast | Gyulai Termál vs Martfűi LSE</t>
  </si>
  <si>
    <t>ESMTK</t>
  </si>
  <si>
    <t>Szeged-Csanád II</t>
  </si>
  <si>
    <t>08/03/2026 13:00 | Hungary | NB III - Southeast | ESMTK vs Szeged-Csanád II</t>
  </si>
  <si>
    <t>Tatabánya</t>
  </si>
  <si>
    <t>Budaörs</t>
  </si>
  <si>
    <t>08/03/2026 13:00 | Hungary | NB III - Northwest | Tatabánya vs Budaörs</t>
  </si>
  <si>
    <t>Balatonfüredi</t>
  </si>
  <si>
    <t>Puskás II</t>
  </si>
  <si>
    <t>08/03/2026 13:00 | Hungary | NB III - Northwest | Balatonfüredi vs Puskás II</t>
  </si>
  <si>
    <t>Komárom</t>
  </si>
  <si>
    <t>SC Sopron</t>
  </si>
  <si>
    <t>08/03/2026 13:00 | Hungary | NB III - Northwest | Komárom vs SC Sopron</t>
  </si>
  <si>
    <t>Cigand SE</t>
  </si>
  <si>
    <t>Diósgyőr II</t>
  </si>
  <si>
    <t>08/03/2026 13:00 | Hungary | NB III - Northeast | Cigand SE vs Diósgyőr II</t>
  </si>
  <si>
    <t>DEAC</t>
  </si>
  <si>
    <t>FC Hatvan</t>
  </si>
  <si>
    <t>08/03/2026 13:00 | Hungary | NB III - Northeast | DEAC vs FC Hatvan</t>
  </si>
  <si>
    <t>Tiszafuredi VSE</t>
  </si>
  <si>
    <t>Debrecen II</t>
  </si>
  <si>
    <t>08/03/2026 13:00 | Hungary | NB III - Northeast | Tiszafuredi VSE vs Debrecen II</t>
  </si>
  <si>
    <t>Eger</t>
  </si>
  <si>
    <t>Tiszaújváros</t>
  </si>
  <si>
    <t>08/03/2026 13:00 | Hungary | NB III - Northeast | Eger vs Tiszaújváros</t>
  </si>
  <si>
    <t>Gödöllő</t>
  </si>
  <si>
    <t>Putnok VSE</t>
  </si>
  <si>
    <t>08/03/2026 13:00 | Hungary | NB III - Northeast | Gödöllő vs Putnok VSE</t>
  </si>
  <si>
    <t>Füzesabony</t>
  </si>
  <si>
    <t>Nyiregyhaza II</t>
  </si>
  <si>
    <t>08/03/2026 13:00 | Hungary | NB III - Northeast | Füzesabony vs Nyiregyhaza II</t>
  </si>
  <si>
    <t>Ózd Sajóvölgye</t>
  </si>
  <si>
    <t>Kisvárda II</t>
  </si>
  <si>
    <t>08/03/2026 13:00 | Hungary | NB III - Northeast | Ózd Sajóvölgye vs Kisvárda II</t>
  </si>
  <si>
    <t>Nkwazi</t>
  </si>
  <si>
    <t>Mutondo Stars</t>
  </si>
  <si>
    <t>08/03/2026 13:00 | Zambia | Super League | Nkwazi vs Mutondo Stars</t>
  </si>
  <si>
    <t>NAPSA Stars</t>
  </si>
  <si>
    <t>Green Buffaloes</t>
  </si>
  <si>
    <t>08/03/2026 13:00 | Zambia | Super League | NAPSA Stars vs Green Buffaloes</t>
  </si>
  <si>
    <t>ZESCO United</t>
  </si>
  <si>
    <t>Power Dynamos</t>
  </si>
  <si>
    <t>08/03/2026 13:00 | Zambia | Super League | ZESCO United vs Power Dynamos</t>
  </si>
  <si>
    <t>Tekstilac Odžaci</t>
  </si>
  <si>
    <t>Loznica</t>
  </si>
  <si>
    <t>08/03/2026 13:00 | Serbia | Prva Liga | Tekstilac Odžaci vs Loznica</t>
  </si>
  <si>
    <t>Makedonija GjP</t>
  </si>
  <si>
    <t>08/03/2026 13:00 | Macedonia | First League | Bashkimi Kumanovo vs Makedonija GjP</t>
  </si>
  <si>
    <t>Tikveš</t>
  </si>
  <si>
    <t>08/03/2026 13:00 | Macedonia | First League | Tikveš vs Pelister</t>
  </si>
  <si>
    <t>Blois</t>
  </si>
  <si>
    <t>Bastia-Borgo</t>
  </si>
  <si>
    <t>08/03/2026 13:00 | France | National 2 - Group B | Blois vs Bastia-Borgo</t>
  </si>
  <si>
    <t>Servette II</t>
  </si>
  <si>
    <t>Martigny Sports</t>
  </si>
  <si>
    <t>08/03/2026 13:00 | Switzerland | 1. Liga Classic - Group 1 | Servette II vs Martigny Sports</t>
  </si>
  <si>
    <t>Widnau</t>
  </si>
  <si>
    <t>Wettswil-Bonstetten</t>
  </si>
  <si>
    <t>08/03/2026 13:00 | Switzerland | 1. Liga Classic - Group 3 | Widnau vs Wettswil-Bonstetten</t>
  </si>
  <si>
    <t>ADO '20</t>
  </si>
  <si>
    <t>Hsc 21</t>
  </si>
  <si>
    <t>08/03/2026 13:00 | Netherlands | Derde Divisie - Saturday | ADO '20 vs Hsc 21</t>
  </si>
  <si>
    <t>2. Frauen Bundesliga</t>
  </si>
  <si>
    <t>Turbine Potsdam W</t>
  </si>
  <si>
    <t>Borussia Monchengladbach W</t>
  </si>
  <si>
    <t>08/03/2026 13:00 | Germany | 2. Frauen Bundesliga | Turbine Potsdam W vs Borussia Monchengladbach W</t>
  </si>
  <si>
    <t>08/03/2026 13:00 | Macedonia | Second League | Golemo Konjari vs Shkëndija Haraçinë</t>
  </si>
  <si>
    <t>Tromsdalen Uil</t>
  </si>
  <si>
    <t>Brann</t>
  </si>
  <si>
    <t>08/03/2026 13:00 | Norway | NM Cupen | Tromsdalen Uil vs Brann</t>
  </si>
  <si>
    <t>Śląsk Wrocław U19</t>
  </si>
  <si>
    <t>Escola Varsovia U19</t>
  </si>
  <si>
    <t>08/03/2026 13:00 | Poland | Central Youth League | Śląsk Wrocław U19 vs Escola Varsovia U19</t>
  </si>
  <si>
    <t>Kroměříž II</t>
  </si>
  <si>
    <t>Tatran Všechovice</t>
  </si>
  <si>
    <t>08/03/2026 13:00 | Czech-Republic | 4. liga - Divizie E | Kroměříž II vs Tatran Všechovice</t>
  </si>
  <si>
    <t>Yverdon Sport</t>
  </si>
  <si>
    <t>Stade Lausanne-Ouchy</t>
  </si>
  <si>
    <t>08/03/2026 13:00 | Switzerland | Challenge League | Yverdon Sport vs Stade Lausanne-Ouchy</t>
  </si>
  <si>
    <t>Petrocub</t>
  </si>
  <si>
    <t>Dacia-Buiucani</t>
  </si>
  <si>
    <t>08/03/2026 13:00 | Moldova | Super Liga | Petrocub vs Dacia-Buiucani</t>
  </si>
  <si>
    <t>FC ST. Gallen</t>
  </si>
  <si>
    <t>FC Basel 1893</t>
  </si>
  <si>
    <t>08/03/2026 13:00 | Switzerland | Super League | FC ST. Gallen vs FC Basel 1893</t>
  </si>
  <si>
    <t>Spartak Plovdiv</t>
  </si>
  <si>
    <t>Dimitrovgrad</t>
  </si>
  <si>
    <t>08/03/2026 13:00 | Bulgaria | Third League - Southeast | Spartak Plovdiv vs Dimitrovgrad</t>
  </si>
  <si>
    <t>CAPS United</t>
  </si>
  <si>
    <t>Agama</t>
  </si>
  <si>
    <t>08/03/2026 13:00 | Zimbabwe | Premier Soccer League | CAPS United vs Agama</t>
  </si>
  <si>
    <t>Hardrock</t>
  </si>
  <si>
    <t>Scotland Mabvuku</t>
  </si>
  <si>
    <t>08/03/2026 13:00 | Zimbabwe | Premier Soccer League | Hardrock vs Scotland Mabvuku</t>
  </si>
  <si>
    <t>Bulawayo Chiefs</t>
  </si>
  <si>
    <t>08/03/2026 13:00 | Zimbabwe | Premier Soccer League | Highlanders vs Bulawayo Chiefs</t>
  </si>
  <si>
    <t>Manica Diamonds</t>
  </si>
  <si>
    <t>Simba Bhora</t>
  </si>
  <si>
    <t>08/03/2026 13:00 | Zimbabwe | Premier Soccer League | Manica Diamonds vs Simba Bhora</t>
  </si>
  <si>
    <t>Berane</t>
  </si>
  <si>
    <t>Internacional Podgorica</t>
  </si>
  <si>
    <t>08/03/2026 13:00 | Montenegro | Second League | Berane vs Internacional Podgorica</t>
  </si>
  <si>
    <t>Aigle Noir</t>
  </si>
  <si>
    <t>Flambeau du Centre</t>
  </si>
  <si>
    <t>08/03/2026 13:00 | Burundi | Ligue A | Aigle Noir vs Flambeau du Centre</t>
  </si>
  <si>
    <t>Kayanza United</t>
  </si>
  <si>
    <t>Vital'O</t>
  </si>
  <si>
    <t>08/03/2026 13:00 | Burundi | Ligue A | Kayanza United vs Vital'O</t>
  </si>
  <si>
    <t>Muzinga</t>
  </si>
  <si>
    <t>Bumamuru</t>
  </si>
  <si>
    <t>08/03/2026 13:00 | Burundi | Ligue A | Muzinga vs Bumamuru</t>
  </si>
  <si>
    <t>Itapirense</t>
  </si>
  <si>
    <t>EC São Bernardo</t>
  </si>
  <si>
    <t>08/03/2026 13:00 | Brazil | Paulista - A3 | Itapirense vs EC São Bernardo</t>
  </si>
  <si>
    <t>Portuguesa Santista</t>
  </si>
  <si>
    <t>Francana</t>
  </si>
  <si>
    <t>08/03/2026 13:00 | Brazil | Paulista - A3 | Portuguesa Santista vs Francana</t>
  </si>
  <si>
    <t>Rio Claro</t>
  </si>
  <si>
    <t>Bandeirante SP</t>
  </si>
  <si>
    <t>08/03/2026 13:00 | Brazil | Paulista - A3 | Rio Claro vs Bandeirante SP</t>
  </si>
  <si>
    <t>Hamrun Spartans</t>
  </si>
  <si>
    <t>Birkirkara</t>
  </si>
  <si>
    <t>08/03/2026 13:00 | Malta | Premier League | Hamrun Spartans vs Birkirkara</t>
  </si>
  <si>
    <t>Amagaju</t>
  </si>
  <si>
    <t>Gorilla</t>
  </si>
  <si>
    <t>08/03/2026 13:00 | Rwanda | National Soccer League | Amagaju vs Gorilla</t>
  </si>
  <si>
    <t>AS Kigali</t>
  </si>
  <si>
    <t>Muhanga</t>
  </si>
  <si>
    <t>08/03/2026 13:00 | Rwanda | National Soccer League | AS Kigali vs Muhanga</t>
  </si>
  <si>
    <t>Etincelles</t>
  </si>
  <si>
    <t>Rayon Sports</t>
  </si>
  <si>
    <t>08/03/2026 13:00 | Rwanda | National Soccer League | Etincelles vs Rayon Sports</t>
  </si>
  <si>
    <t>Ludogorets III</t>
  </si>
  <si>
    <t>Chernomorets Balchik</t>
  </si>
  <si>
    <t>08/03/2026 13:00 | Bulgaria | Third League - Northeast | Ludogorets III vs Chernomorets Balchik</t>
  </si>
  <si>
    <t>Volgar Astrakhan</t>
  </si>
  <si>
    <t>Mashuk-KMV</t>
  </si>
  <si>
    <t>08/03/2026 13:00 | Russia | Second League A - Division A Gold | Volgar Astrakhan vs Mashuk-KMV</t>
  </si>
  <si>
    <t>Malanti Chiefs</t>
  </si>
  <si>
    <t>Ubombo Sugar</t>
  </si>
  <si>
    <t>08/03/2026 13:00 | Eswatini | Premier League | Malanti Chiefs vs Ubombo Sugar</t>
  </si>
  <si>
    <t>Mbabane Swallows</t>
  </si>
  <si>
    <t>Nsingizini Hotspurs</t>
  </si>
  <si>
    <t>08/03/2026 13:00 | Eswatini | Premier League | Mbabane Swallows vs Nsingizini Hotspurs</t>
  </si>
  <si>
    <t>KFUM U19</t>
  </si>
  <si>
    <t>Sandnes Ulf U19</t>
  </si>
  <si>
    <t>08/03/2026 13:00 | Norway | Nasjonal U19 Champions League | KFUM U19 vs Sandnes Ulf U19</t>
  </si>
  <si>
    <t>Eding Sport</t>
  </si>
  <si>
    <t>Les Astres</t>
  </si>
  <si>
    <t>08/03/2026 13:00 | Cameroon | Elite Two | Eding Sport vs Les Astres</t>
  </si>
  <si>
    <t>PAS Giannina</t>
  </si>
  <si>
    <t>Nestos Chrisoupolis</t>
  </si>
  <si>
    <t>08/03/2026 13:00 | Greece | Super League 2 | PAS Giannina vs Nestos Chrisoupolis</t>
  </si>
  <si>
    <t>Makedonikos Neapolis</t>
  </si>
  <si>
    <t>Kavala</t>
  </si>
  <si>
    <t>08/03/2026 13:00 | Greece | Super League 2 | Makedonikos Neapolis vs Kavala</t>
  </si>
  <si>
    <t>PAOK II</t>
  </si>
  <si>
    <t>Kampaniakos Chalastra</t>
  </si>
  <si>
    <t>08/03/2026 13:00 | Greece | Super League 2 | PAOK II vs Kampaniakos Chalastra</t>
  </si>
  <si>
    <t>Asteras Tripolis II</t>
  </si>
  <si>
    <t>Iraklis 1908</t>
  </si>
  <si>
    <t>08/03/2026 13:00 | Greece | Super League 2 | Asteras Tripolis II vs Iraklis 1908</t>
  </si>
  <si>
    <t>Niki Volos</t>
  </si>
  <si>
    <t>Anagennisi Karditsas</t>
  </si>
  <si>
    <t>08/03/2026 13:00 | Greece | Super League 2 | Niki Volos vs Anagennisi Karditsas</t>
  </si>
  <si>
    <t>RW Oberhausen U19</t>
  </si>
  <si>
    <t>FSV Frankfurt U19</t>
  </si>
  <si>
    <t>08/03/2026 13:00 | Germany | U19 Bundesliga | RW Oberhausen U19 vs FSV Frankfurt U19</t>
  </si>
  <si>
    <t>Schott Mainz U19</t>
  </si>
  <si>
    <t>FK Pirmasens U19</t>
  </si>
  <si>
    <t>08/03/2026 13:00 | Germany | U19 Bundesliga | Schott Mainz U19 vs FK Pirmasens U19</t>
  </si>
  <si>
    <t>BKMA</t>
  </si>
  <si>
    <t>08/03/2026 13:00 | Armenia | Premier League | BKMA vs FC Noah</t>
  </si>
  <si>
    <t>Rangers</t>
  </si>
  <si>
    <t>Celtic</t>
  </si>
  <si>
    <t>08/03/2026 13:00 | Scotland | FA Cup | Rangers vs Celtic</t>
  </si>
  <si>
    <t>Slavia Mozyr</t>
  </si>
  <si>
    <t>08/03/2026 13:00 | Belarus | Coppa | Slavia Mozyr vs Arsenal</t>
  </si>
  <si>
    <t>Torpedo Moskva</t>
  </si>
  <si>
    <t>08/03/2026 13:00 | Russia | First League | Torpedo Moskva vs Rodina Moskva</t>
  </si>
  <si>
    <t>Marsa</t>
  </si>
  <si>
    <t>Gudja United</t>
  </si>
  <si>
    <t>08/03/2026 13:00 | Malta | Challenge League | Marsa vs Gudja United</t>
  </si>
  <si>
    <t>Shillong Lajong</t>
  </si>
  <si>
    <t>Real Kashmir</t>
  </si>
  <si>
    <t>08/03/2026 13:00 | India | I-League | Shillong Lajong vs Real Kashmir</t>
  </si>
  <si>
    <t>08/03/2026 13:00 | Kyrgyzstan | Premier League | Bishkek City vs Abdish-Ata</t>
  </si>
  <si>
    <t>Khatlon</t>
  </si>
  <si>
    <t>Barki Tajik</t>
  </si>
  <si>
    <t>08/03/2026 13:00 | Tajikistan | Vysshaya Liga | Khatlon vs Barki Tajik</t>
  </si>
  <si>
    <t>FC Astana</t>
  </si>
  <si>
    <t>Zhetysu</t>
  </si>
  <si>
    <t>08/03/2026 13:00 | Kazakhstan | Premier League | FC Astana vs Zhetysu</t>
  </si>
  <si>
    <t>Jacksa Spears</t>
  </si>
  <si>
    <t>08/03/2026 13:00 | South-Africa | Cup | TS Galaxy vs Jacksa Spears</t>
  </si>
  <si>
    <t>LCS</t>
  </si>
  <si>
    <t>LMPS</t>
  </si>
  <si>
    <t>08/03/2026 13:00 | Lesotho | Premier League | LCS vs LMPS</t>
  </si>
  <si>
    <t>Manonyane</t>
  </si>
  <si>
    <t>LDF</t>
  </si>
  <si>
    <t>08/03/2026 13:00 | Lesotho | Premier League | Manonyane vs LDF</t>
  </si>
  <si>
    <t>08/03/2026 13:15</t>
  </si>
  <si>
    <t>CSKA 1948</t>
  </si>
  <si>
    <t>08/03/2026 13:15 | Bulgaria | First League | CSKA 1948 vs Botev Plovdiv</t>
  </si>
  <si>
    <t>08/03/2026 13:30</t>
  </si>
  <si>
    <t>GO Ahead Eagles</t>
  </si>
  <si>
    <t>Twente</t>
  </si>
  <si>
    <t>08/03/2026 13:30 | Netherlands | Eredivisie | GO Ahead Eagles vs Twente</t>
  </si>
  <si>
    <t>Fortuna Sittard</t>
  </si>
  <si>
    <t>Telstar</t>
  </si>
  <si>
    <t>08/03/2026 13:30 | Netherlands | Eredivisie | Fortuna Sittard vs Telstar</t>
  </si>
  <si>
    <t>Polonia Bytom</t>
  </si>
  <si>
    <t>Ruch Chorzów</t>
  </si>
  <si>
    <t>08/03/2026 13:30 | Poland | I Liga | Polonia Bytom vs Ruch Chorzów</t>
  </si>
  <si>
    <t>Willem II</t>
  </si>
  <si>
    <t>Den Bosch</t>
  </si>
  <si>
    <t>08/03/2026 13:30 | Netherlands | Eerste Divisie | Willem II vs Den Bosch</t>
  </si>
  <si>
    <t>Karpaty</t>
  </si>
  <si>
    <t>08/03/2026 13:30 | Ukraine | Premier League | Karpaty vs Kudrivka</t>
  </si>
  <si>
    <t>TuBa Pohlheim</t>
  </si>
  <si>
    <t>Baunatal</t>
  </si>
  <si>
    <t>08/03/2026 13:30 | Germany | Oberliga - Hessen | TuBa Pohlheim vs Baunatal</t>
  </si>
  <si>
    <t>Nikola Tesla</t>
  </si>
  <si>
    <t>Niendorfer TSV</t>
  </si>
  <si>
    <t>08/03/2026 13:30 | Germany | Oberliga - Hamburg | Nikola Tesla vs Niendorfer TSV</t>
  </si>
  <si>
    <t>Oberliga - Westfalen</t>
  </si>
  <si>
    <t>Gievenbeck</t>
  </si>
  <si>
    <t>Lippstadt 08</t>
  </si>
  <si>
    <t>08/03/2026 13:30 | Germany | Oberliga - Westfalen | Gievenbeck vs Lippstadt 08</t>
  </si>
  <si>
    <t>Spišské Podhradie</t>
  </si>
  <si>
    <t>Poprad</t>
  </si>
  <si>
    <t>08/03/2026 13:30 | Slovakia | 3. liga - East | Spišské Podhradie vs Poprad</t>
  </si>
  <si>
    <t>Veľké Ludince</t>
  </si>
  <si>
    <t>Trenčín II</t>
  </si>
  <si>
    <t>08/03/2026 13:30 | Slovakia | 3. liga - West | Veľké Ludince vs Trenčín II</t>
  </si>
  <si>
    <t>Beluša</t>
  </si>
  <si>
    <t>DAC II</t>
  </si>
  <si>
    <t>08/03/2026 13:30 | Slovakia | 3. liga - West | Beluša vs DAC II</t>
  </si>
  <si>
    <t>Stade Payerne</t>
  </si>
  <si>
    <t>Echallens</t>
  </si>
  <si>
    <t>08/03/2026 13:30 | Switzerland | 1. Liga Classic - Group 1 | Stade Payerne vs Echallens</t>
  </si>
  <si>
    <t>La Sarraz-Eclépens</t>
  </si>
  <si>
    <t>Prishtina Bern</t>
  </si>
  <si>
    <t>08/03/2026 13:30 | Switzerland | 1. Liga Classic - Group 1 | La Sarraz-Eclépens vs Prishtina Bern</t>
  </si>
  <si>
    <t>Esbjerg II</t>
  </si>
  <si>
    <t>Tarup-Paarup</t>
  </si>
  <si>
    <t>08/03/2026 13:30 | Denmark | Denmark Series - Group 3 | Esbjerg II vs Tarup-Paarup</t>
  </si>
  <si>
    <t>Groene Ster</t>
  </si>
  <si>
    <t>UNA</t>
  </si>
  <si>
    <t>08/03/2026 13:30 | Netherlands | Derde Divisie - Sunday | Groene Ster vs UNA</t>
  </si>
  <si>
    <t>Pianese</t>
  </si>
  <si>
    <t>Pineto</t>
  </si>
  <si>
    <t>08/03/2026 13:30 | Italy | Serie C - Girone B | Pianese vs Pineto</t>
  </si>
  <si>
    <t>Athletic Carpi</t>
  </si>
  <si>
    <t>Torres</t>
  </si>
  <si>
    <t>08/03/2026 13:30 | Italy | Serie C - Girone B | Athletic Carpi vs Torres</t>
  </si>
  <si>
    <t>Serie C - Girone C</t>
  </si>
  <si>
    <t>Cosenza</t>
  </si>
  <si>
    <t>Team Altamura</t>
  </si>
  <si>
    <t>08/03/2026 13:30 | Italy | Serie C - Girone C | Cosenza vs Team Altamura</t>
  </si>
  <si>
    <t>Siracusa</t>
  </si>
  <si>
    <t>Giugliano</t>
  </si>
  <si>
    <t>08/03/2026 13:30 | Italy | Serie C - Girone C | Siracusa vs Giugliano</t>
  </si>
  <si>
    <t>Salernitana</t>
  </si>
  <si>
    <t>Latina</t>
  </si>
  <si>
    <t>08/03/2026 13:30 | Italy | Serie C - Girone C | Salernitana vs Latina</t>
  </si>
  <si>
    <t>Trapani 1905</t>
  </si>
  <si>
    <t>Crotone</t>
  </si>
  <si>
    <t>08/03/2026 13:30 | Italy | Serie C - Girone C | Trapani 1905 vs Crotone</t>
  </si>
  <si>
    <t>FK Polimlje Prijepolje</t>
  </si>
  <si>
    <t>Real Podunavci</t>
  </si>
  <si>
    <t>08/03/2026 13:30 | Serbia | Srpska Liga - West | FK Polimlje Prijepolje vs Real Podunavci</t>
  </si>
  <si>
    <t>Venda FC</t>
  </si>
  <si>
    <t>Baroka FC</t>
  </si>
  <si>
    <t>08/03/2026 13:30 | South-Africa | 1st Division | Venda FC vs Baroka FC</t>
  </si>
  <si>
    <t>The Bees</t>
  </si>
  <si>
    <t>Highbury</t>
  </si>
  <si>
    <t>08/03/2026 13:30 | South-Africa | 1st Division | The Bees vs Highbury</t>
  </si>
  <si>
    <t>Berg en Dal</t>
  </si>
  <si>
    <t>Rupel Boom</t>
  </si>
  <si>
    <t>08/03/2026 13:30 | Belgium | Second Amateur Division - VFV B | Berg en Dal vs Rupel Boom</t>
  </si>
  <si>
    <t>Fratria</t>
  </si>
  <si>
    <t>Sevlievo</t>
  </si>
  <si>
    <t>08/03/2026 13:30 | Bulgaria | Second League | Fratria vs Sevlievo</t>
  </si>
  <si>
    <t>Catanzaro U19</t>
  </si>
  <si>
    <t>Empoli U19</t>
  </si>
  <si>
    <t>08/03/2026 13:30 | Italy | Campionato Primavera - 2 | Catanzaro U19 vs Empoli U19</t>
  </si>
  <si>
    <t>Start Brno</t>
  </si>
  <si>
    <t>Blansko</t>
  </si>
  <si>
    <t>08/03/2026 13:30 | Czech-Republic | 3. liga - MSFL | Start Brno vs Blansko</t>
  </si>
  <si>
    <t>Pelhřimov</t>
  </si>
  <si>
    <t>Sparta Brno</t>
  </si>
  <si>
    <t>08/03/2026 13:30 | Czech-Republic | 4. liga - Divizie D | Pelhřimov vs Sparta Brno</t>
  </si>
  <si>
    <t>Velká Bíteš</t>
  </si>
  <si>
    <t>Tatran Bohunice</t>
  </si>
  <si>
    <t>08/03/2026 13:30 | Czech-Republic | 4. liga - Divizie D | Velká Bíteš vs Tatran Bohunice</t>
  </si>
  <si>
    <t>Kozlovice</t>
  </si>
  <si>
    <t>Nové Sady</t>
  </si>
  <si>
    <t>08/03/2026 13:30 | Czech-Republic | 4. liga - Divizie E | Kozlovice vs Nové Sady</t>
  </si>
  <si>
    <t>Sokol Lanžhot</t>
  </si>
  <si>
    <t>Šternberk</t>
  </si>
  <si>
    <t>08/03/2026 13:30 | Czech-Republic | 4. liga - Divizie E | Sokol Lanžhot vs Šternberk</t>
  </si>
  <si>
    <t>Pustá Polom</t>
  </si>
  <si>
    <t>Zabreh</t>
  </si>
  <si>
    <t>08/03/2026 13:30 | Czech-Republic | 4. liga - Divizie F | Pustá Polom vs Zabreh</t>
  </si>
  <si>
    <t>Šumperk</t>
  </si>
  <si>
    <t>Stonava</t>
  </si>
  <si>
    <t>08/03/2026 13:30 | Czech-Republic | 4. liga - Divizie F | Šumperk vs Stonava</t>
  </si>
  <si>
    <t>Sokol Brozany</t>
  </si>
  <si>
    <t>Arsenal Česká Lípa</t>
  </si>
  <si>
    <t>08/03/2026 13:30 | Czech-Republic | 3. liga - CFL B | Sokol Brozany vs Arsenal Česká Lípa</t>
  </si>
  <si>
    <t>Kolín</t>
  </si>
  <si>
    <t>Velké Hamry</t>
  </si>
  <si>
    <t>08/03/2026 13:30 | Czech-Republic | 3. liga - CFL B | Kolín vs Velké Hamry</t>
  </si>
  <si>
    <t>Sokol Zápy</t>
  </si>
  <si>
    <t>Hradec Králové II</t>
  </si>
  <si>
    <t>08/03/2026 13:30 | Czech-Republic | 3. liga - CFL B | Sokol Zápy vs Hradec Králové II</t>
  </si>
  <si>
    <t>Milevsko</t>
  </si>
  <si>
    <t>Rokycany</t>
  </si>
  <si>
    <t>08/03/2026 13:30 | Czech-Republic | 4. liga - Divizie A | Milevsko vs Rokycany</t>
  </si>
  <si>
    <t>Čáslav</t>
  </si>
  <si>
    <t>Slovan Hrádek nad Nisou</t>
  </si>
  <si>
    <t>08/03/2026 13:30 | Czech-Republic | 4. liga - Divizie C | Čáslav vs Slovan Hrádek nad Nisou</t>
  </si>
  <si>
    <t>Spartak Police n/Metují</t>
  </si>
  <si>
    <t>Trutnov</t>
  </si>
  <si>
    <t>08/03/2026 13:30 | Czech-Republic | 4. liga - Divizie C | Spartak Police n/Metují vs Trutnov</t>
  </si>
  <si>
    <t>Turnov</t>
  </si>
  <si>
    <t>Náchod</t>
  </si>
  <si>
    <t>08/03/2026 13:30 | Czech-Republic | 4. liga - Divizie C | Turnov vs Náchod</t>
  </si>
  <si>
    <t>Kom</t>
  </si>
  <si>
    <t>08/03/2026 13:30 | Montenegro | Second League | Kom vs Rudar</t>
  </si>
  <si>
    <t>ASIL Lysi</t>
  </si>
  <si>
    <t>PAEEK</t>
  </si>
  <si>
    <t>08/03/2026 13:30 | Cyprus | 2. Division | ASIL Lysi vs PAEEK</t>
  </si>
  <si>
    <t>Rhyl</t>
  </si>
  <si>
    <t>Caernarfon Town</t>
  </si>
  <si>
    <t>08/03/2026 13:30 | Wales | Welsh Cup | Rhyl vs Caernarfon Town</t>
  </si>
  <si>
    <t>Machokha</t>
  </si>
  <si>
    <t>Maroala</t>
  </si>
  <si>
    <t>08/03/2026 13:30 | Lesotho | Premier League | Machokha vs Maroala</t>
  </si>
  <si>
    <t>08/03/2026 13:30 | England | FA Cup | Port Vale vs Sunderland</t>
  </si>
  <si>
    <t>FK Mladost Omoljica</t>
  </si>
  <si>
    <t>Mladost Bački Jarak</t>
  </si>
  <si>
    <t>08/03/2026 13:30 | Serbia | Srpska Liga - Vojvodina | FK Mladost Omoljica vs Mladost Bački Jarak</t>
  </si>
  <si>
    <t>08/03/2026 13:45</t>
  </si>
  <si>
    <t>Radomiak Radom</t>
  </si>
  <si>
    <t>08/03/2026 13:45 | Poland | Ekstraklasa | Radomiak Radom vs GKS Katowice</t>
  </si>
  <si>
    <t>Táborsko</t>
  </si>
  <si>
    <t>Zbrojovka Brno</t>
  </si>
  <si>
    <t>08/03/2026 13:45 | Czech-Republic | FNL | Táborsko vs Zbrojovka Brno</t>
  </si>
  <si>
    <t>08/03/2026 14:00</t>
  </si>
  <si>
    <t>Hellas Verona</t>
  </si>
  <si>
    <t>08/03/2026 14:00 | Italy | Serie A | Bologna vs Hellas Verona</t>
  </si>
  <si>
    <t>Parma</t>
  </si>
  <si>
    <t>08/03/2026 14:00 | Italy | Serie A | Fiorentina vs Parma</t>
  </si>
  <si>
    <t>HNK Hajduk Split</t>
  </si>
  <si>
    <t>Dinamo Zagreb</t>
  </si>
  <si>
    <t>08/03/2026 14:00 | Croatia | HNL | HNK Hajduk Split vs Dinamo Zagreb</t>
  </si>
  <si>
    <t>Olimpija Ljubljana</t>
  </si>
  <si>
    <t>Maribor</t>
  </si>
  <si>
    <t>08/03/2026 14:00 | Slovenia | 1. SNL | Olimpija Ljubljana vs Maribor</t>
  </si>
  <si>
    <t>Lens</t>
  </si>
  <si>
    <t>Metz</t>
  </si>
  <si>
    <t>08/03/2026 14:00 | France | Ligue 1 | Lens vs Metz</t>
  </si>
  <si>
    <t>Krško</t>
  </si>
  <si>
    <t>Dekani</t>
  </si>
  <si>
    <t>08/03/2026 14:00 | Slovenia | 2. SNL | Krško vs Dekani</t>
  </si>
  <si>
    <t>Ajka</t>
  </si>
  <si>
    <t>Csakvar</t>
  </si>
  <si>
    <t>08/03/2026 14:00 | Hungary | NB II | Ajka vs Csakvar</t>
  </si>
  <si>
    <t>Karcag SE</t>
  </si>
  <si>
    <t>08/03/2026 14:00 | Hungary | NB II | Fehérvár FC vs Karcag SE</t>
  </si>
  <si>
    <t>Szeged 2011</t>
  </si>
  <si>
    <t>Mezokovesd-zsory</t>
  </si>
  <si>
    <t>08/03/2026 14:00 | Hungary | NB II | Szeged 2011 vs Mezokovesd-zsory</t>
  </si>
  <si>
    <t>Vasas</t>
  </si>
  <si>
    <t>Kozarmisleny FC</t>
  </si>
  <si>
    <t>08/03/2026 14:00 | Hungary | NB II | Vasas vs Kozarmisleny FC</t>
  </si>
  <si>
    <t>Leixoes</t>
  </si>
  <si>
    <t>União de Leiria</t>
  </si>
  <si>
    <t>08/03/2026 14:00 | Portugal | Segunda Liga | Leixoes vs União de Leiria</t>
  </si>
  <si>
    <t>Rubin</t>
  </si>
  <si>
    <t>FC Krasnodar</t>
  </si>
  <si>
    <t>08/03/2026 14:00 | Russia | Premier League | Rubin vs FC Krasnodar</t>
  </si>
  <si>
    <t>Asteras Tripolis</t>
  </si>
  <si>
    <t>Panserraikos</t>
  </si>
  <si>
    <t>08/03/2026 14:00 | Greece | Super League 1 | Asteras Tripolis vs Panserraikos</t>
  </si>
  <si>
    <t>Selangor</t>
  </si>
  <si>
    <t>Imigresen</t>
  </si>
  <si>
    <t>08/03/2026 14:00 | Malaysia | Super League | Selangor vs Imigresen</t>
  </si>
  <si>
    <t>Cagliari U20</t>
  </si>
  <si>
    <t>08/03/2026 14:00 | Italy | Campionato Primavera - 1 | Cagliari U20 vs Monza U20</t>
  </si>
  <si>
    <t>KFC Uerdingen 05</t>
  </si>
  <si>
    <t>SC St. Tönis</t>
  </si>
  <si>
    <t>08/03/2026 14:00 | Germany | Oberliga - Niederrhein | KFC Uerdingen 05 vs SC St. Tönis</t>
  </si>
  <si>
    <t>Schonnebeck</t>
  </si>
  <si>
    <t>BW Dingden</t>
  </si>
  <si>
    <t>08/03/2026 14:00 | Germany | Oberliga - Niederrhein | Schonnebeck vs BW Dingden</t>
  </si>
  <si>
    <t>Kleve</t>
  </si>
  <si>
    <t>Germania Ratingen</t>
  </si>
  <si>
    <t>08/03/2026 14:00 | Germany | Oberliga - Niederrhein | Kleve vs Germania Ratingen</t>
  </si>
  <si>
    <t>Sonsbeck</t>
  </si>
  <si>
    <t>Holzheimer SG</t>
  </si>
  <si>
    <t>08/03/2026 14:00 | Germany | Oberliga - Niederrhein | Sonsbeck vs Holzheimer SG</t>
  </si>
  <si>
    <t>Meerbusch</t>
  </si>
  <si>
    <t>Hilden</t>
  </si>
  <si>
    <t>08/03/2026 14:00 | Germany | Oberliga - Niederrhein | Meerbusch vs Hilden</t>
  </si>
  <si>
    <t>SF Baumberg</t>
  </si>
  <si>
    <t>Union Frintrop</t>
  </si>
  <si>
    <t>08/03/2026 14:00 | Germany | Oberliga - Niederrhein | SF Baumberg vs Union Frintrop</t>
  </si>
  <si>
    <t>Cosmos Koblenz</t>
  </si>
  <si>
    <t>Kaiserslautern II</t>
  </si>
  <si>
    <t>08/03/2026 14:00 | Germany | Oberliga - Rheinland-Pfalz / Saar | Cosmos Koblenz vs Kaiserslautern II</t>
  </si>
  <si>
    <t>Gau-Odernheim</t>
  </si>
  <si>
    <t>Eisbachtal</t>
  </si>
  <si>
    <t>08/03/2026 14:00 | Germany | Oberliga - Rheinland-Pfalz / Saar | Gau-Odernheim vs Eisbachtal</t>
  </si>
  <si>
    <t>Darmstadt 98 II</t>
  </si>
  <si>
    <t>FC Gießen</t>
  </si>
  <si>
    <t>08/03/2026 14:00 | Germany | Oberliga - Hessen | Darmstadt 98 II vs FC Gießen</t>
  </si>
  <si>
    <t>Eddersheim</t>
  </si>
  <si>
    <t>Eintracht Stadtallendorf</t>
  </si>
  <si>
    <t>08/03/2026 14:00 | Germany | Oberliga - Hessen | Eddersheim vs Eintracht Stadtallendorf</t>
  </si>
  <si>
    <t>Kassel</t>
  </si>
  <si>
    <t>Rot-Weiß Walldorf</t>
  </si>
  <si>
    <t>08/03/2026 14:00 | Germany | Oberliga - Hessen | Kassel vs Rot-Weiß Walldorf</t>
  </si>
  <si>
    <t>SSV Jeddeloh</t>
  </si>
  <si>
    <t>SV Meppen</t>
  </si>
  <si>
    <t>08/03/2026 14:00 | Germany | Regionalliga - Nord | SSV Jeddeloh vs SV Meppen</t>
  </si>
  <si>
    <t>Hannover 96 II</t>
  </si>
  <si>
    <t>Kickers Emden</t>
  </si>
  <si>
    <t>08/03/2026 14:00 | Germany | Regionalliga - Nord | Hannover 96 II vs Kickers Emden</t>
  </si>
  <si>
    <t>Hiltrup</t>
  </si>
  <si>
    <t>ASC Dortmund</t>
  </si>
  <si>
    <t>08/03/2026 14:00 | Germany | Oberliga - Westfalen | Hiltrup vs ASC Dortmund</t>
  </si>
  <si>
    <t>Türkspor Dortmund</t>
  </si>
  <si>
    <t>Preußen Münster II</t>
  </si>
  <si>
    <t>08/03/2026 14:00 | Germany | Oberliga - Westfalen | Türkspor Dortmund vs Preußen Münster II</t>
  </si>
  <si>
    <t>Arminia II</t>
  </si>
  <si>
    <t>Westfalia Rhynern</t>
  </si>
  <si>
    <t>08/03/2026 14:00 | Germany | Oberliga - Westfalen | Arminia II vs Westfalia Rhynern</t>
  </si>
  <si>
    <t>Rot Weiss Ahlen</t>
  </si>
  <si>
    <t>Victoria Clarholz</t>
  </si>
  <si>
    <t>08/03/2026 14:00 | Germany | Oberliga - Westfalen | Rot Weiss Ahlen vs Victoria Clarholz</t>
  </si>
  <si>
    <t>Sprockhovel</t>
  </si>
  <si>
    <t>Erkenschwick</t>
  </si>
  <si>
    <t>08/03/2026 14:00 | Germany | Oberliga - Westfalen | Sprockhovel vs Erkenschwick</t>
  </si>
  <si>
    <t>Heeslinger SC</t>
  </si>
  <si>
    <t>Meppen II</t>
  </si>
  <si>
    <t>08/03/2026 14:00 | Germany | Oberliga - Niedersachsen | Heeslinger SC vs Meppen II</t>
  </si>
  <si>
    <t>Lupo-Martini</t>
  </si>
  <si>
    <t>Bersenbrück</t>
  </si>
  <si>
    <t>08/03/2026 14:00 | Germany | Oberliga - Niedersachsen | Lupo-Martini vs Bersenbrück</t>
  </si>
  <si>
    <t>Spelle-Venhaus</t>
  </si>
  <si>
    <t>Atlas Delmenhorst</t>
  </si>
  <si>
    <t>08/03/2026 14:00 | Germany | Oberliga - Niedersachsen | Spelle-Venhaus vs Atlas Delmenhorst</t>
  </si>
  <si>
    <t>Borussia Hildesheim</t>
  </si>
  <si>
    <t>Germania Egestorf</t>
  </si>
  <si>
    <t>08/03/2026 14:00 | Germany | Oberliga - Niedersachsen | Borussia Hildesheim vs Germania Egestorf</t>
  </si>
  <si>
    <t>Tirana</t>
  </si>
  <si>
    <t>AF Elbasani</t>
  </si>
  <si>
    <t>08/03/2026 14:00 | Albania | Superliga | Tirana vs AF Elbasani</t>
  </si>
  <si>
    <t>Bylis</t>
  </si>
  <si>
    <t>Vora</t>
  </si>
  <si>
    <t>08/03/2026 14:00 | Albania | Superliga | Bylis vs Vora</t>
  </si>
  <si>
    <t>AEL</t>
  </si>
  <si>
    <t>08/03/2026 14:00 | Cyprus | 1. Division | Apollon Limassol vs AEL</t>
  </si>
  <si>
    <t>Enosis</t>
  </si>
  <si>
    <t>Aris</t>
  </si>
  <si>
    <t>08/03/2026 14:00 | Cyprus | 1. Division | Enosis vs Aris</t>
  </si>
  <si>
    <t>Spouwen-Mopertingen</t>
  </si>
  <si>
    <t>Knokke</t>
  </si>
  <si>
    <t>08/03/2026 14:00 | Belgium | First Amateur Division | Spouwen-Mopertingen vs Knokke</t>
  </si>
  <si>
    <t>Cercle Brugge II</t>
  </si>
  <si>
    <t>Lyra-Lierse Berlaar</t>
  </si>
  <si>
    <t>08/03/2026 14:00 | Belgium | First Amateur Division | Cercle Brugge II vs Lyra-Lierse Berlaar</t>
  </si>
  <si>
    <t>Diegem Sport</t>
  </si>
  <si>
    <t>Hoogstraten</t>
  </si>
  <si>
    <t>08/03/2026 14:00 | Belgium | First Amateur Division | Diegem Sport vs Hoogstraten</t>
  </si>
  <si>
    <t>Tienen</t>
  </si>
  <si>
    <t>Merelbeke</t>
  </si>
  <si>
    <t>08/03/2026 14:00 | Belgium | First Amateur Division | Tienen vs Merelbeke</t>
  </si>
  <si>
    <t>Zelzate</t>
  </si>
  <si>
    <t>Houtvenne</t>
  </si>
  <si>
    <t>08/03/2026 14:00 | Belgium | First Amateur Division | Zelzate vs Houtvenne</t>
  </si>
  <si>
    <t>Domagnano</t>
  </si>
  <si>
    <t>Tre Penne</t>
  </si>
  <si>
    <t>08/03/2026 14:00 | San-Marino | Campionato | Domagnano vs Tre Penne</t>
  </si>
  <si>
    <t>Folgore</t>
  </si>
  <si>
    <t>La Fiorita</t>
  </si>
  <si>
    <t>08/03/2026 14:00 | San-Marino | Campionato | Folgore vs La Fiorita</t>
  </si>
  <si>
    <t>Tre Fiori</t>
  </si>
  <si>
    <t>Cailungo</t>
  </si>
  <si>
    <t>08/03/2026 14:00 | San-Marino | Campionato | Tre Fiori vs Cailungo</t>
  </si>
  <si>
    <t>Virtus</t>
  </si>
  <si>
    <t>Juvenes / Dogana</t>
  </si>
  <si>
    <t>08/03/2026 14:00 | San-Marino | Campionato | Virtus vs Juvenes / Dogana</t>
  </si>
  <si>
    <t>Biel-Bienne</t>
  </si>
  <si>
    <t>Brühl</t>
  </si>
  <si>
    <t>08/03/2026 14:00 | Switzerland | 1. Liga Promotion | Biel-Bienne vs Brühl</t>
  </si>
  <si>
    <t>Frosinone</t>
  </si>
  <si>
    <t>Sampdoria</t>
  </si>
  <si>
    <t>08/03/2026 14:00 | Italy | Serie B | Frosinone vs Sampdoria</t>
  </si>
  <si>
    <t>Catanzaro</t>
  </si>
  <si>
    <t>Empoli</t>
  </si>
  <si>
    <t>08/03/2026 14:00 | Italy | Serie B | Catanzaro vs Empoli</t>
  </si>
  <si>
    <t>Mantova</t>
  </si>
  <si>
    <t>Juve Stabia</t>
  </si>
  <si>
    <t>08/03/2026 14:00 | Italy | Serie B | Mantova vs Juve Stabia</t>
  </si>
  <si>
    <t>Baník Kalinovo</t>
  </si>
  <si>
    <t>Dolný Kubín</t>
  </si>
  <si>
    <t>08/03/2026 14:00 | Slovakia | 3. liga - Center | Baník Kalinovo vs Dolný Kubín</t>
  </si>
  <si>
    <t>Düren Merzenich</t>
  </si>
  <si>
    <t>VfL Vichttal</t>
  </si>
  <si>
    <t>08/03/2026 14:00 | Germany | Oberliga - Mittelrhein | Düren Merzenich vs VfL Vichttal</t>
  </si>
  <si>
    <t>Saran Municipal</t>
  </si>
  <si>
    <t>Hauts Lyonnais</t>
  </si>
  <si>
    <t>08/03/2026 14:00 | France | National 3 - Group G | Saran Municipal vs Hauts Lyonnais</t>
  </si>
  <si>
    <t>Toulouse II</t>
  </si>
  <si>
    <t>Agde</t>
  </si>
  <si>
    <t>08/03/2026 14:00 | France | National 3 - Group A | Toulouse II vs Agde</t>
  </si>
  <si>
    <t>Nantes II</t>
  </si>
  <si>
    <t>St-Philbert Gd Lieu</t>
  </si>
  <si>
    <t>08/03/2026 14:00 | France | National 3 - Group B | Nantes II vs St-Philbert Gd Lieu</t>
  </si>
  <si>
    <t>Strasbourg II</t>
  </si>
  <si>
    <t>Ivry</t>
  </si>
  <si>
    <t>08/03/2026 14:00 | France | National 3 - Group F | Strasbourg II vs Ivry</t>
  </si>
  <si>
    <t>Sochaux II</t>
  </si>
  <si>
    <t>Belfort</t>
  </si>
  <si>
    <t>08/03/2026 14:00 | France | National 3 - Group F | Sochaux II vs Belfort</t>
  </si>
  <si>
    <t>Montpellier II</t>
  </si>
  <si>
    <t>Cannet Rocheville</t>
  </si>
  <si>
    <t>08/03/2026 14:00 | France | National 3 - Group H | Montpellier II vs Cannet Rocheville</t>
  </si>
  <si>
    <t>Havre Caucriauville</t>
  </si>
  <si>
    <t>Racing Colombes 92</t>
  </si>
  <si>
    <t>08/03/2026 14:00 | France | National 3 - Group D | Havre Caucriauville vs Racing Colombes 92</t>
  </si>
  <si>
    <t>Versailles II</t>
  </si>
  <si>
    <t>Dives-Cabourg</t>
  </si>
  <si>
    <t>08/03/2026 14:00 | France | National 3 - Group D | Versailles II vs Dives-Cabourg</t>
  </si>
  <si>
    <t>Metz II</t>
  </si>
  <si>
    <t>Pays de Cassel</t>
  </si>
  <si>
    <t>08/03/2026 14:00 | France | National 3 - Group E | Metz II vs Pays de Cassel</t>
  </si>
  <si>
    <t>Amiens SC II</t>
  </si>
  <si>
    <t>Drancy</t>
  </si>
  <si>
    <t>08/03/2026 14:00 | France | National 3 - Group E | Amiens SC II vs Drancy</t>
  </si>
  <si>
    <t>Langenthal</t>
  </si>
  <si>
    <t>Black Stars</t>
  </si>
  <si>
    <t>08/03/2026 14:00 | Switzerland | 1. Liga Classic - Group 2 | Langenthal vs Black Stars</t>
  </si>
  <si>
    <t>Liverpool U21</t>
  </si>
  <si>
    <t>08/03/2026 14:00 | England | Premier League 2 Division One | Liverpool U21 vs Wolves U21</t>
  </si>
  <si>
    <t>RUS Binche</t>
  </si>
  <si>
    <t>Acren-Lessines</t>
  </si>
  <si>
    <t>08/03/2026 14:00 | Belgium | Second Amateur Division - ACFF | RUS Binche vs Acren-Lessines</t>
  </si>
  <si>
    <t>Flénu</t>
  </si>
  <si>
    <t>Aywaille</t>
  </si>
  <si>
    <t>08/03/2026 14:00 | Belgium | Second Amateur Division - ACFF | Flénu vs Aywaille</t>
  </si>
  <si>
    <t>Raeren-Eynatten</t>
  </si>
  <si>
    <t>Huy</t>
  </si>
  <si>
    <t>08/03/2026 14:00 | Belgium | Second Amateur Division - ACFF | Raeren-Eynatten vs Huy</t>
  </si>
  <si>
    <t>Jette</t>
  </si>
  <si>
    <t>Richelle United</t>
  </si>
  <si>
    <t>08/03/2026 14:00 | Belgium | Second Amateur Division - ACFF | Jette vs Richelle United</t>
  </si>
  <si>
    <t>Sparta Petegem</t>
  </si>
  <si>
    <t>Oostkamp</t>
  </si>
  <si>
    <t>08/03/2026 14:00 | Belgium | Second Amateur Division - VFV A | Sparta Petegem vs Oostkamp</t>
  </si>
  <si>
    <t>Westhoek</t>
  </si>
  <si>
    <t>FC Lebbeke</t>
  </si>
  <si>
    <t>08/03/2026 14:00 | Belgium | Second Amateur Division - VFV A | Westhoek vs FC Lebbeke</t>
  </si>
  <si>
    <t>Landesliga - Niederosterreich</t>
  </si>
  <si>
    <t>Admira II</t>
  </si>
  <si>
    <t>St. Peter</t>
  </si>
  <si>
    <t>08/03/2026 14:00 | Austria | Landesliga - Niederosterreich | Admira II vs St. Peter</t>
  </si>
  <si>
    <t>Stockerau</t>
  </si>
  <si>
    <t>Ardagger</t>
  </si>
  <si>
    <t>08/03/2026 14:00 | Austria | Landesliga - Niederosterreich | Stockerau vs Ardagger</t>
  </si>
  <si>
    <t>St. Pölten II</t>
  </si>
  <si>
    <t>Langenrohr</t>
  </si>
  <si>
    <t>08/03/2026 14:00 | Austria | Landesliga - Niederosterreich | St. Pölten II vs Langenrohr</t>
  </si>
  <si>
    <t>SC Wiener Neustadt</t>
  </si>
  <si>
    <t>Zwettl</t>
  </si>
  <si>
    <t>08/03/2026 14:00 | Austria | Landesliga - Niederosterreich | SC Wiener Neustadt vs Zwettl</t>
  </si>
  <si>
    <t>Kilb</t>
  </si>
  <si>
    <t>Wieselburg</t>
  </si>
  <si>
    <t>08/03/2026 14:00 | Austria | Landesliga - Niederosterreich | Kilb vs Wieselburg</t>
  </si>
  <si>
    <t>Ortmann</t>
  </si>
  <si>
    <t>Scheiblingkirchen</t>
  </si>
  <si>
    <t>08/03/2026 14:00 | Austria | Landesliga - Niederosterreich | Ortmann vs Scheiblingkirchen</t>
  </si>
  <si>
    <t>Schrems</t>
  </si>
  <si>
    <t>Ybbs</t>
  </si>
  <si>
    <t>08/03/2026 14:00 | Austria | Landesliga - Niederosterreich | Schrems vs Ybbs</t>
  </si>
  <si>
    <t>Ebreichsdorf</t>
  </si>
  <si>
    <t>Korneuburg</t>
  </si>
  <si>
    <t>08/03/2026 14:00 | Austria | Landesliga - Niederosterreich | Ebreichsdorf vs Korneuburg</t>
  </si>
  <si>
    <t>CD Lunda-Sul</t>
  </si>
  <si>
    <t>08/03/2026 14:00 | Angola | Girabola | São Salvador vs CD Lunda-Sul</t>
  </si>
  <si>
    <t>08/03/2026 14:00 | Angola | Girabola | CD Lunda-Sul vs Kabuscorp</t>
  </si>
  <si>
    <t>Šmartno</t>
  </si>
  <si>
    <t>Brežice</t>
  </si>
  <si>
    <t>08/03/2026 14:00 | Slovenia | 3. SNL - East | Šmartno vs Brežice</t>
  </si>
  <si>
    <t>TAFIC</t>
  </si>
  <si>
    <t>Morupule Wanderers</t>
  </si>
  <si>
    <t>08/03/2026 14:00 | Botswana | Premier League | TAFIC vs Morupule Wanderers</t>
  </si>
  <si>
    <t>Neretvanac Opuzen</t>
  </si>
  <si>
    <t>Sloga Mravince</t>
  </si>
  <si>
    <t>08/03/2026 14:00 | Croatia | Third NL - Jug | Neretvanac Opuzen vs Sloga Mravince</t>
  </si>
  <si>
    <t>Petřvald na Moravě</t>
  </si>
  <si>
    <t>Opava II</t>
  </si>
  <si>
    <t>08/03/2026 14:00 | Czech-Republic | 4. liga - Divizie F | Petřvald na Moravě vs Opava II</t>
  </si>
  <si>
    <t>Spartak Soběslav</t>
  </si>
  <si>
    <t>Povltava FA</t>
  </si>
  <si>
    <t>08/03/2026 14:00 | Czech-Republic | 4. liga - Divizie A | Spartak Soběslav vs Povltava FA</t>
  </si>
  <si>
    <t>Igalo</t>
  </si>
  <si>
    <t>Grbalj</t>
  </si>
  <si>
    <t>08/03/2026 14:00 | Montenegro | Second League | Igalo vs Grbalj</t>
  </si>
  <si>
    <t>New Jack</t>
  </si>
  <si>
    <t>JSK</t>
  </si>
  <si>
    <t>08/03/2026 14:00 | Congo-DR | Ligue 1 | New Jack vs JSK</t>
  </si>
  <si>
    <t>Vita Club</t>
  </si>
  <si>
    <t>Bukavu Dawa</t>
  </si>
  <si>
    <t>08/03/2026 14:00 | Congo-DR | Ligue 1 | Vita Club vs Bukavu Dawa</t>
  </si>
  <si>
    <t>Åsane U19</t>
  </si>
  <si>
    <t>Bryne U19</t>
  </si>
  <si>
    <t>08/03/2026 14:00 | Norway | Nasjonal U19 Champions League | Åsane U19 vs Bryne U19</t>
  </si>
  <si>
    <t>Olympique Akbou</t>
  </si>
  <si>
    <t>JS Saoura</t>
  </si>
  <si>
    <t>08/03/2026 14:00 | Algeria | Ligue 1 | Olympique Akbou vs JS Saoura</t>
  </si>
  <si>
    <t>Atlantic</t>
  </si>
  <si>
    <t>Union Douala</t>
  </si>
  <si>
    <t>08/03/2026 14:00 | Cameroon | Elite Two | Atlantic vs Union Douala</t>
  </si>
  <si>
    <t>Bafmeng United</t>
  </si>
  <si>
    <t>Bamboutos</t>
  </si>
  <si>
    <t>08/03/2026 14:00 | Cameroon | Elite Two | Bafmeng United vs Bamboutos</t>
  </si>
  <si>
    <t>Kumba</t>
  </si>
  <si>
    <t>Avion Academy</t>
  </si>
  <si>
    <t>08/03/2026 14:00 | Cameroon | Elite Two | Kumba vs Avion Academy</t>
  </si>
  <si>
    <t>Auda</t>
  </si>
  <si>
    <t>Super Nova</t>
  </si>
  <si>
    <t>08/03/2026 14:00 | Latvia | Virsliga | Auda vs Super Nova</t>
  </si>
  <si>
    <t>Mumbai City</t>
  </si>
  <si>
    <t>SC Delhi</t>
  </si>
  <si>
    <t>08/03/2026 14:00 | India | Indian Super League | Mumbai City vs SC Delhi</t>
  </si>
  <si>
    <t>IFK Goteborg</t>
  </si>
  <si>
    <t>Degerfors IF</t>
  </si>
  <si>
    <t>08/03/2026 14:00 | Sweden | Svenska Cupen | IFK Goteborg vs Degerfors IF</t>
  </si>
  <si>
    <t>Ostersunds FK</t>
  </si>
  <si>
    <t>trelleborgs FF</t>
  </si>
  <si>
    <t>08/03/2026 14:00 | Sweden | Svenska Cupen | Ostersunds FK vs trelleborgs FF</t>
  </si>
  <si>
    <t>Crossing Schaerbeek</t>
  </si>
  <si>
    <t>08/03/2026 14:00 | Belgium | First Amateur Division | Crossing Schaerbeek vs Sporting Charleroi II</t>
  </si>
  <si>
    <t>Stockay-Warfusée</t>
  </si>
  <si>
    <t>Standard Liège II</t>
  </si>
  <si>
    <t>08/03/2026 14:00 | Belgium | First Amateur Division | Stockay-Warfusée vs Standard Liège II</t>
  </si>
  <si>
    <t>Neftchi</t>
  </si>
  <si>
    <t>Alay</t>
  </si>
  <si>
    <t>08/03/2026 14:00 | Kyrgyzstan | Premier League | Neftchi vs Alay</t>
  </si>
  <si>
    <t>HB Chelghoum Laïd</t>
  </si>
  <si>
    <t>CA Batna</t>
  </si>
  <si>
    <t>08/03/2026 14:00 | Algeria | Ligue 2 | HB Chelghoum Laïd vs CA Batna</t>
  </si>
  <si>
    <t>Radnicki Pirot</t>
  </si>
  <si>
    <t>Morava Ćuprija</t>
  </si>
  <si>
    <t>08/03/2026 14:00 | Serbia | Srpska Liga - East | Radnicki Pirot vs Morava Ćuprija</t>
  </si>
  <si>
    <t>Vlasina</t>
  </si>
  <si>
    <t>Jagodina</t>
  </si>
  <si>
    <t>08/03/2026 14:00 | Serbia | Srpska Liga - East | Vlasina vs Jagodina</t>
  </si>
  <si>
    <t>Brzi Brod</t>
  </si>
  <si>
    <t>OFK Bor 1919</t>
  </si>
  <si>
    <t>08/03/2026 14:00 | Serbia | Srpska Liga - East | Brzi Brod vs OFK Bor 1919</t>
  </si>
  <si>
    <t>FK Rudar 2016 Aleksinački Rudnik</t>
  </si>
  <si>
    <t>Rembas</t>
  </si>
  <si>
    <t>08/03/2026 14:00 | Serbia | Srpska Liga - East | FK Rudar 2016 Aleksinački Rudnik vs Rembas</t>
  </si>
  <si>
    <t>Women's President's Cup</t>
  </si>
  <si>
    <t>Athlone WFC W</t>
  </si>
  <si>
    <t>Shelbourne W</t>
  </si>
  <si>
    <t>08/03/2026 14:00 | Ireland | Women's President's Cup | Athlone WFC W vs Shelbourne W</t>
  </si>
  <si>
    <t>08/03/2026 14:15</t>
  </si>
  <si>
    <t>Biemenhorst</t>
  </si>
  <si>
    <t>Homberg</t>
  </si>
  <si>
    <t>08/03/2026 14:15 | Germany | Oberliga - Niederrhein | Biemenhorst vs Homberg</t>
  </si>
  <si>
    <t>08/03/2026 14:30</t>
  </si>
  <si>
    <t>Hradec Králové</t>
  </si>
  <si>
    <t>Plzen</t>
  </si>
  <si>
    <t>08/03/2026 14:30 | Czech-Republic | Czech Liga | Hradec Králové vs Plzen</t>
  </si>
  <si>
    <t>Karviná</t>
  </si>
  <si>
    <t>Pardubice</t>
  </si>
  <si>
    <t>08/03/2026 14:30 | Czech-Republic | Czech Liga | Karviná vs Pardubice</t>
  </si>
  <si>
    <t>Krka</t>
  </si>
  <si>
    <t>Nafta</t>
  </si>
  <si>
    <t>08/03/2026 14:30 | Slovenia | 2. SNL | Krka vs Nafta</t>
  </si>
  <si>
    <t>FC St. Pauli</t>
  </si>
  <si>
    <t>Eintracht Frankfurt</t>
  </si>
  <si>
    <t>08/03/2026 14:30 | Germany | Bundesliga | FC St. Pauli vs Eintracht Frankfurt</t>
  </si>
  <si>
    <t>Büderich</t>
  </si>
  <si>
    <t>SW Essen</t>
  </si>
  <si>
    <t>08/03/2026 14:30 | Germany | Oberliga - Niederrhein | Büderich vs SW Essen</t>
  </si>
  <si>
    <t>Finnentrop / Bamenohl</t>
  </si>
  <si>
    <t>SG Wattenscheid 09</t>
  </si>
  <si>
    <t>08/03/2026 14:30 | Germany | Oberliga - Westfalen | Finnentrop / Bamenohl vs SG Wattenscheid 09</t>
  </si>
  <si>
    <t>Ennepetal</t>
  </si>
  <si>
    <t>Vreden</t>
  </si>
  <si>
    <t>08/03/2026 14:30 | Germany | Oberliga - Westfalen | Ennepetal vs Vreden</t>
  </si>
  <si>
    <t>Hemelingen</t>
  </si>
  <si>
    <t>OSC Bremerhaven</t>
  </si>
  <si>
    <t>08/03/2026 14:30 | Germany | Oberliga - Bremen | Hemelingen vs OSC Bremerhaven</t>
  </si>
  <si>
    <t>Fortuna Köln II</t>
  </si>
  <si>
    <t>Hennef 05</t>
  </si>
  <si>
    <t>08/03/2026 14:30 | Germany | Oberliga - Mittelrhein | Fortuna Köln II vs Hennef 05</t>
  </si>
  <si>
    <t>Teutonia Weiden</t>
  </si>
  <si>
    <t>Porz</t>
  </si>
  <si>
    <t>08/03/2026 14:30 | Germany | Oberliga - Mittelrhein | Teutonia Weiden vs Porz</t>
  </si>
  <si>
    <t>Eintracht Hohkeppel</t>
  </si>
  <si>
    <t>SSV Merten</t>
  </si>
  <si>
    <t>08/03/2026 14:30 | Germany | Oberliga - Mittelrhein | Eintracht Hohkeppel vs SSV Merten</t>
  </si>
  <si>
    <t>Siegburger SV</t>
  </si>
  <si>
    <t>Wegberg-Beeck</t>
  </si>
  <si>
    <t>08/03/2026 14:30 | Germany | Oberliga - Mittelrhein | Siegburger SV vs Wegberg-Beeck</t>
  </si>
  <si>
    <t>Katsina United</t>
  </si>
  <si>
    <t>Kwara United</t>
  </si>
  <si>
    <t>08/03/2026 14:30 | Nigeria | NPFL | Katsina United vs Kwara United</t>
  </si>
  <si>
    <t>Kano Pillars</t>
  </si>
  <si>
    <t>08/03/2026 14:30 | Nigeria | NPFL | Kano Pillars vs Barau FC</t>
  </si>
  <si>
    <t>08/03/2026 14:30 | Angola | Girabola | 1º de Agosto vs Guelson FC</t>
  </si>
  <si>
    <t>Lovćen</t>
  </si>
  <si>
    <t>Otrant-Olympic</t>
  </si>
  <si>
    <t>08/03/2026 14:30 | Montenegro | Second League | Lovćen vs Otrant-Olympic</t>
  </si>
  <si>
    <t>Tonnerre</t>
  </si>
  <si>
    <t>08/03/2026 14:30 | Cameroon | Elite Two | Racing vs Tonnerre</t>
  </si>
  <si>
    <t>FK Neftekhimik</t>
  </si>
  <si>
    <t>Fakel</t>
  </si>
  <si>
    <t>08/03/2026 14:30 | Russia | First League | FK Neftekhimik vs Fakel</t>
  </si>
  <si>
    <t>Pietà Hotspurs</t>
  </si>
  <si>
    <t>Melita</t>
  </si>
  <si>
    <t>08/03/2026 14:30 | Malta | Challenge League | Pietà Hotspurs vs Melita</t>
  </si>
  <si>
    <t>Komárno</t>
  </si>
  <si>
    <t>Ružomberok</t>
  </si>
  <si>
    <t>08/03/2026 14:30 | Slovakia | Super Liga | Komárno vs Ružomberok</t>
  </si>
  <si>
    <t>08/03/2026 14:45</t>
  </si>
  <si>
    <t>Pesch</t>
  </si>
  <si>
    <t>SF Düren</t>
  </si>
  <si>
    <t>08/03/2026 14:45 | Germany | Oberliga - Mittelrhein | Pesch vs SF Düren</t>
  </si>
  <si>
    <t>08/03/2026 15:00</t>
  </si>
  <si>
    <t>Gent</t>
  </si>
  <si>
    <t>KV Mechelen</t>
  </si>
  <si>
    <t>08/03/2026 15:00 | Belgium | Jupiler Pro League | Gent vs KV Mechelen</t>
  </si>
  <si>
    <t>FK Crvena Zvezda</t>
  </si>
  <si>
    <t>Napredak</t>
  </si>
  <si>
    <t>08/03/2026 15:00 | Serbia | Super Liga | FK Crvena Zvezda vs Napredak</t>
  </si>
  <si>
    <t>FK Spartak Zdrepceva KRV</t>
  </si>
  <si>
    <t>08/03/2026 15:00 | Serbia | Super Liga | FK Spartak Zdrepceva KRV vs IMT Novi Beograd</t>
  </si>
  <si>
    <t>Arges Pitesti</t>
  </si>
  <si>
    <t>08/03/2026 15:00 | Romania | Liga I | Arges Pitesti vs Unirea Slobozia</t>
  </si>
  <si>
    <t>Seraing United</t>
  </si>
  <si>
    <t>Francs Borains</t>
  </si>
  <si>
    <t>08/03/2026 15:00 | Belgium | Challenger Pro League | Seraing United vs Francs Borains</t>
  </si>
  <si>
    <t>Rodange 91</t>
  </si>
  <si>
    <t>F91 Dudelange</t>
  </si>
  <si>
    <t>08/03/2026 15:00 | Luxembourg | National Division | Rodange 91 vs F91 Dudelange</t>
  </si>
  <si>
    <t>FC Differdange 03</t>
  </si>
  <si>
    <t>US Hostert</t>
  </si>
  <si>
    <t>08/03/2026 15:00 | Luxembourg | National Division | FC Differdange 03 vs US Hostert</t>
  </si>
  <si>
    <t>Swift Hesperange</t>
  </si>
  <si>
    <t>Mamer</t>
  </si>
  <si>
    <t>08/03/2026 15:00 | Luxembourg | National Division | Swift Hesperange vs Mamer</t>
  </si>
  <si>
    <t>AS Jeunesse Esch</t>
  </si>
  <si>
    <t>Jeunesse Canach</t>
  </si>
  <si>
    <t>08/03/2026 15:00 | Luxembourg | National Division | AS Jeunesse Esch vs Jeunesse Canach</t>
  </si>
  <si>
    <t>US Mondorf-les-bains</t>
  </si>
  <si>
    <t>Racing FC Union Luxembourg</t>
  </si>
  <si>
    <t>08/03/2026 15:00 | Luxembourg | National Division | US Mondorf-les-bains vs Racing FC Union Luxembourg</t>
  </si>
  <si>
    <t>UNA Strassen</t>
  </si>
  <si>
    <t>Progres Niederkorn</t>
  </si>
  <si>
    <t>08/03/2026 15:00 | Luxembourg | National Division | UNA Strassen vs Progres Niederkorn</t>
  </si>
  <si>
    <t>Union Titus Petange</t>
  </si>
  <si>
    <t>UN Kaerjeng 97</t>
  </si>
  <si>
    <t>08/03/2026 15:00 | Luxembourg | National Division | Union Titus Petange vs UN Kaerjeng 97</t>
  </si>
  <si>
    <t>Victoria Rosport</t>
  </si>
  <si>
    <t>Atert Bissen</t>
  </si>
  <si>
    <t>08/03/2026 15:00 | Luxembourg | National Division | Victoria Rosport vs Atert Bissen</t>
  </si>
  <si>
    <t>Esperança d'Andorra</t>
  </si>
  <si>
    <t>Carroi</t>
  </si>
  <si>
    <t>08/03/2026 15:00 | Andorra | 1a Divisió | Esperança d'Andorra vs Carroi</t>
  </si>
  <si>
    <t>Volos NFC</t>
  </si>
  <si>
    <t>OFI</t>
  </si>
  <si>
    <t>08/03/2026 15:00 | Greece | Super League 1 | Volos NFC vs OFI</t>
  </si>
  <si>
    <t>Inter Türkspor Kiel</t>
  </si>
  <si>
    <t>Phönix L. II</t>
  </si>
  <si>
    <t>08/03/2026 15:00 | Germany | Oberliga - Schleswig-Holstein | Inter Türkspor Kiel vs Phönix L. II</t>
  </si>
  <si>
    <t>Verl II</t>
  </si>
  <si>
    <t>Schermbeck</t>
  </si>
  <si>
    <t>08/03/2026 15:00 | Germany | Oberliga - Westfalen | Verl II vs Schermbeck</t>
  </si>
  <si>
    <t>Campeonato de Portugal Prio - Group A</t>
  </si>
  <si>
    <t>Mirandela</t>
  </si>
  <si>
    <t>Os Limianos</t>
  </si>
  <si>
    <t>08/03/2026 15:00 | Portugal | Campeonato de Portugal Prio - Group A | Mirandela vs Os Limianos</t>
  </si>
  <si>
    <t>Camacha</t>
  </si>
  <si>
    <t>AR São Martinho</t>
  </si>
  <si>
    <t>08/03/2026 15:00 | Portugal | Campeonato de Portugal Prio - Group A | Camacha vs AR São Martinho</t>
  </si>
  <si>
    <t>Bragança</t>
  </si>
  <si>
    <t>Monção</t>
  </si>
  <si>
    <t>08/03/2026 15:00 | Portugal | Campeonato de Portugal Prio - Group A | Bragança vs Monção</t>
  </si>
  <si>
    <t>Vilaverdense</t>
  </si>
  <si>
    <t>Vianense</t>
  </si>
  <si>
    <t>08/03/2026 15:00 | Portugal | Campeonato de Portugal Prio - Group A | Vilaverdense vs Vianense</t>
  </si>
  <si>
    <t>Machico</t>
  </si>
  <si>
    <t>Brito</t>
  </si>
  <si>
    <t>08/03/2026 15:00 | Portugal | Campeonato de Portugal Prio - Group A | Machico vs Brito</t>
  </si>
  <si>
    <t>Ribeira Brava</t>
  </si>
  <si>
    <t>Chaves II</t>
  </si>
  <si>
    <t>08/03/2026 15:00 | Portugal | Campeonato de Portugal Prio - Group A | Ribeira Brava vs Chaves II</t>
  </si>
  <si>
    <t>Celoricense</t>
  </si>
  <si>
    <t>Tirsense</t>
  </si>
  <si>
    <t>08/03/2026 15:00 | Portugal | Campeonato de Portugal Prio - Group A | Celoricense vs Tirsense</t>
  </si>
  <si>
    <t>Campeonato de Portugal Prio - Group B</t>
  </si>
  <si>
    <t>Beira-Mar</t>
  </si>
  <si>
    <t>Leça</t>
  </si>
  <si>
    <t>08/03/2026 15:00 | Portugal | Campeonato de Portugal Prio - Group B | Beira-Mar vs Leça</t>
  </si>
  <si>
    <t>Vila Meã</t>
  </si>
  <si>
    <t>Aparecida</t>
  </si>
  <si>
    <t>08/03/2026 15:00 | Portugal | Campeonato de Portugal Prio - Group B | Vila Meã vs Aparecida</t>
  </si>
  <si>
    <t>Anadia</t>
  </si>
  <si>
    <t>Florgrade</t>
  </si>
  <si>
    <t>08/03/2026 15:00 | Portugal | Campeonato de Portugal Prio - Group B | Anadia vs Florgrade</t>
  </si>
  <si>
    <t>Gouveia</t>
  </si>
  <si>
    <t>Cinfães</t>
  </si>
  <si>
    <t>08/03/2026 15:00 | Portugal | Campeonato de Portugal Prio - Group B | Gouveia vs Cinfães</t>
  </si>
  <si>
    <t>Salgueiros</t>
  </si>
  <si>
    <t>Vila Real</t>
  </si>
  <si>
    <t>08/03/2026 15:00 | Portugal | Campeonato de Portugal Prio - Group B | Salgueiros vs Vila Real</t>
  </si>
  <si>
    <t>União Lamas</t>
  </si>
  <si>
    <t>Alpendorada</t>
  </si>
  <si>
    <t>08/03/2026 15:00 | Portugal | Campeonato de Portugal Prio - Group B | União Lamas vs Alpendorada</t>
  </si>
  <si>
    <t>Resende</t>
  </si>
  <si>
    <t>Rebordosa</t>
  </si>
  <si>
    <t>08/03/2026 15:00 | Portugal | Campeonato de Portugal Prio - Group B | Resende vs Rebordosa</t>
  </si>
  <si>
    <t>Naval 1893</t>
  </si>
  <si>
    <t>Samora Correir</t>
  </si>
  <si>
    <t>08/03/2026 15:00 | Portugal | Campeonato de Portugal Prio - Group C | Naval 1893 vs Samora Correir</t>
  </si>
  <si>
    <t>Eléctrico</t>
  </si>
  <si>
    <t>Marinhense</t>
  </si>
  <si>
    <t>08/03/2026 15:00 | Portugal | Campeonato de Portugal Prio - Group C | Eléctrico vs Marinhense</t>
  </si>
  <si>
    <t>Vitória de Sernache</t>
  </si>
  <si>
    <t>Oliveira Hospital</t>
  </si>
  <si>
    <t>08/03/2026 15:00 | Portugal | Campeonato de Portugal Prio - Group C | Vitória de Sernache vs Oliveira Hospital</t>
  </si>
  <si>
    <t>Mortágua</t>
  </si>
  <si>
    <t>Fátima</t>
  </si>
  <si>
    <t>08/03/2026 15:00 | Portugal | Campeonato de Portugal Prio - Group C | Mortágua vs Fátima</t>
  </si>
  <si>
    <t>Campeonato de Portugal Prio - Group D</t>
  </si>
  <si>
    <t>FC Alverca II</t>
  </si>
  <si>
    <t>O Elvas</t>
  </si>
  <si>
    <t>08/03/2026 15:00 | Portugal | Campeonato de Portugal Prio - Group D | FC Alverca II vs O Elvas</t>
  </si>
  <si>
    <t>Moncarapachense</t>
  </si>
  <si>
    <t>Atlético Malveira</t>
  </si>
  <si>
    <t>08/03/2026 15:00 | Portugal | Campeonato de Portugal Prio - Group D | Moncarapachense vs Atlético Malveira</t>
  </si>
  <si>
    <t>Alcochetense</t>
  </si>
  <si>
    <t>Louletano</t>
  </si>
  <si>
    <t>08/03/2026 15:00 | Portugal | Campeonato de Portugal Prio - Group D | Alcochetense vs Louletano</t>
  </si>
  <si>
    <t>FC Serpa</t>
  </si>
  <si>
    <t>Sintrense</t>
  </si>
  <si>
    <t>08/03/2026 15:00 | Portugal | Campeonato de Portugal Prio - Group D | FC Serpa vs Sintrense</t>
  </si>
  <si>
    <t>Oriental Lisboa</t>
  </si>
  <si>
    <t>Juventude Évora</t>
  </si>
  <si>
    <t>08/03/2026 15:00 | Portugal | Campeonato de Portugal Prio - Group D | Oriental Lisboa vs Juventude Évora</t>
  </si>
  <si>
    <t>Comércio Indústria</t>
  </si>
  <si>
    <t>Portimonense B</t>
  </si>
  <si>
    <t>08/03/2026 15:00 | Portugal | Campeonato de Portugal Prio - Group D | Comércio Indústria vs Portimonense B</t>
  </si>
  <si>
    <t>Lagoa</t>
  </si>
  <si>
    <t>Vasco da Gama Vidigueira</t>
  </si>
  <si>
    <t>08/03/2026 15:00 | Portugal | Campeonato de Portugal Prio - Group D | Lagoa vs Vasco da Gama Vidigueira</t>
  </si>
  <si>
    <t>Dunaújváros-Pálhalma</t>
  </si>
  <si>
    <t>Dombóvári</t>
  </si>
  <si>
    <t>08/03/2026 15:00 | Hungary | NB III - Southwest | Dunaújváros-Pálhalma vs Dombóvári</t>
  </si>
  <si>
    <t>Bicskei</t>
  </si>
  <si>
    <t>Pápai Perutz</t>
  </si>
  <si>
    <t>08/03/2026 15:00 | Hungary | NB III - Northwest | Bicskei vs Pápai Perutz</t>
  </si>
  <si>
    <t>Apoel Nicosia</t>
  </si>
  <si>
    <t>Anorthosis</t>
  </si>
  <si>
    <t>08/03/2026 15:00 | Cyprus | 1. Division | Apoel Nicosia vs Anorthosis</t>
  </si>
  <si>
    <t>TuS BW Königsdorf</t>
  </si>
  <si>
    <t>Frechen</t>
  </si>
  <si>
    <t>08/03/2026 15:00 | Germany | Oberliga - Mittelrhein | TuS BW Königsdorf vs Frechen</t>
  </si>
  <si>
    <t>Tarazona</t>
  </si>
  <si>
    <t>FC Cartagena</t>
  </si>
  <si>
    <t>08/03/2026 15:00 | Spain | Primera División RFEF - Group 2 | Tarazona vs FC Cartagena</t>
  </si>
  <si>
    <t>Athletic Club II</t>
  </si>
  <si>
    <t>Arenas Getxo</t>
  </si>
  <si>
    <t>08/03/2026 15:00 | Spain | Primera División RFEF - Group 1 | Athletic Club II vs Arenas Getxo</t>
  </si>
  <si>
    <t>Guadalajara</t>
  </si>
  <si>
    <t>Celta de Vigo II</t>
  </si>
  <si>
    <t>08/03/2026 15:00 | Spain | Primera División RFEF - Group 1 | Guadalajara vs Celta de Vigo II</t>
  </si>
  <si>
    <t>Pontevedra</t>
  </si>
  <si>
    <t>Unionistas de Salamanca</t>
  </si>
  <si>
    <t>08/03/2026 15:00 | Spain | Primera División RFEF - Group 1 | Pontevedra vs Unionistas de Salamanca</t>
  </si>
  <si>
    <t>Lealtad</t>
  </si>
  <si>
    <t>Gimnástica Segoviana</t>
  </si>
  <si>
    <t>08/03/2026 15:00 | Spain | Segunda División RFEF - Group 1 | Lealtad vs Gimnástica Segoviana</t>
  </si>
  <si>
    <t>1461 Trabzon FK</t>
  </si>
  <si>
    <t>Yeni Malatyaspor</t>
  </si>
  <si>
    <t>08/03/2026 15:00 | Turkey | 2. Lig | 1461 Trabzon FK vs Yeni Malatyaspor</t>
  </si>
  <si>
    <t>İçel İdmanyurdu Spor</t>
  </si>
  <si>
    <t>Aliağa FAŞ</t>
  </si>
  <si>
    <t>08/03/2026 15:00 | Turkey | 2. Lig | İçel İdmanyurdu Spor vs Aliağa FAŞ</t>
  </si>
  <si>
    <t>Kun Khalifat FC</t>
  </si>
  <si>
    <t>Bayelsa United</t>
  </si>
  <si>
    <t>08/03/2026 15:00 | Nigeria | NPFL | Kun Khalifat FC vs Bayelsa United</t>
  </si>
  <si>
    <t>Niger Tornadoes</t>
  </si>
  <si>
    <t>08/03/2026 15:00 | Nigeria | NPFL | Plateau United vs Niger Tornadoes</t>
  </si>
  <si>
    <t>Warri Wolves</t>
  </si>
  <si>
    <t>Enyimba</t>
  </si>
  <si>
    <t>08/03/2026 15:00 | Nigeria | NPFL | Warri Wolves vs Enyimba</t>
  </si>
  <si>
    <t>Abia Warriors</t>
  </si>
  <si>
    <t>Shooting Stars</t>
  </si>
  <si>
    <t>08/03/2026 15:00 | Nigeria | NPFL | Abia Warriors vs Shooting Stars</t>
  </si>
  <si>
    <t>Enugu Rangers</t>
  </si>
  <si>
    <t>Remo Stars</t>
  </si>
  <si>
    <t>08/03/2026 15:00 | Nigeria | NPFL | Enugu Rangers vs Remo Stars</t>
  </si>
  <si>
    <t>Nasarawa United</t>
  </si>
  <si>
    <t>Ikorodu City</t>
  </si>
  <si>
    <t>08/03/2026 15:00 | Nigeria | NPFL | Nasarawa United vs Ikorodu City</t>
  </si>
  <si>
    <t>Rivers United</t>
  </si>
  <si>
    <t>Bendel Insurance</t>
  </si>
  <si>
    <t>08/03/2026 15:00 | Nigeria | NPFL | Rivers United vs Bendel Insurance</t>
  </si>
  <si>
    <t>Cardassar</t>
  </si>
  <si>
    <t>Peña Deportiva</t>
  </si>
  <si>
    <t>08/03/2026 15:00 | Spain | Tercera División RFEF - Group 11 | Cardassar vs Peña Deportiva</t>
  </si>
  <si>
    <t>Yagüe</t>
  </si>
  <si>
    <t>Anguiano</t>
  </si>
  <si>
    <t>08/03/2026 15:00 | Spain | Tercera División RFEF - Group 16 | Yagüe vs Anguiano</t>
  </si>
  <si>
    <t>Landesliga - Wien</t>
  </si>
  <si>
    <t>Mauerwerk</t>
  </si>
  <si>
    <t>Simmeringer SC</t>
  </si>
  <si>
    <t>08/03/2026 15:00 | Austria | Landesliga - Wien | Mauerwerk vs Simmeringer SC</t>
  </si>
  <si>
    <t>Slovan HAC</t>
  </si>
  <si>
    <t>Austria XIII</t>
  </si>
  <si>
    <t>08/03/2026 15:00 | Austria | Landesliga - Wien | Slovan HAC vs Austria XIII</t>
  </si>
  <si>
    <t>FAC Wien</t>
  </si>
  <si>
    <t>Stadlau</t>
  </si>
  <si>
    <t>08/03/2026 15:00 | Austria | Landesliga - Wien | FAC Wien vs Stadlau</t>
  </si>
  <si>
    <t>Red Star Penzing</t>
  </si>
  <si>
    <t>Gerasdorf Stammersdorf</t>
  </si>
  <si>
    <t>08/03/2026 15:00 | Austria | Landesliga - Wien | Red Star Penzing vs Gerasdorf Stammersdorf</t>
  </si>
  <si>
    <t>First Vienna II</t>
  </si>
  <si>
    <t>Hellas Kagran</t>
  </si>
  <si>
    <t>08/03/2026 15:00 | Austria | Landesliga - Wien | First Vienna II vs Hellas Kagran</t>
  </si>
  <si>
    <t>Vorwärts Brigittenau</t>
  </si>
  <si>
    <t>1980 Wien</t>
  </si>
  <si>
    <t>08/03/2026 15:00 | Austria | Landesliga - Wien | Vorwärts Brigittenau vs 1980 Wien</t>
  </si>
  <si>
    <t>Dinamo Helfort</t>
  </si>
  <si>
    <t>LAC-Inter</t>
  </si>
  <si>
    <t>08/03/2026 15:00 | Austria | Landesliga - Wien | Dinamo Helfort vs LAC-Inter</t>
  </si>
  <si>
    <t>Wienerberg</t>
  </si>
  <si>
    <t>Schwechat</t>
  </si>
  <si>
    <t>08/03/2026 15:00 | Austria | Landesliga - Wien | Wienerberg vs Schwechat</t>
  </si>
  <si>
    <t>Medeama</t>
  </si>
  <si>
    <t>Hohoe United</t>
  </si>
  <si>
    <t>08/03/2026 15:00 | Ghana | Premier League | Medeama vs Hohoe United</t>
  </si>
  <si>
    <t>Aduana Stars</t>
  </si>
  <si>
    <t>Eleven Wonders</t>
  </si>
  <si>
    <t>08/03/2026 15:00 | Ghana | Premier League | Aduana Stars vs Eleven Wonders</t>
  </si>
  <si>
    <t>Karela</t>
  </si>
  <si>
    <t>Asante Kotoko</t>
  </si>
  <si>
    <t>08/03/2026 15:00 | Ghana | Premier League | Karela vs Asante Kotoko</t>
  </si>
  <si>
    <t>Young Apostles</t>
  </si>
  <si>
    <t>Bibiani Gold Stars</t>
  </si>
  <si>
    <t>08/03/2026 15:00 | Ghana | Premier League | Young Apostles vs Bibiani Gold Stars</t>
  </si>
  <si>
    <t>Hearts of Oak</t>
  </si>
  <si>
    <t>Basake Holy Stars</t>
  </si>
  <si>
    <t>08/03/2026 15:00 | Ghana | Premier League | Hearts of Oak vs Basake Holy Stars</t>
  </si>
  <si>
    <t>Heart of Lions</t>
  </si>
  <si>
    <t>Swedru All Blacks</t>
  </si>
  <si>
    <t>08/03/2026 15:00 | Ghana | Premier League | Heart of Lions vs Swedru All Blacks</t>
  </si>
  <si>
    <t>1º de Maio</t>
  </si>
  <si>
    <t>08/03/2026 15:00 | Angola | Girabola | Wiliete vs 1º de Maio</t>
  </si>
  <si>
    <t>08/03/2026 15:00 | Angola | Girabola | 1º de Maio vs Recreativo do Libolo</t>
  </si>
  <si>
    <t>Bryne</t>
  </si>
  <si>
    <t>Rosenborg</t>
  </si>
  <si>
    <t>08/03/2026 15:00 | Norway | NM Cupen | Bryne vs Rosenborg</t>
  </si>
  <si>
    <t>Ashanti Gold</t>
  </si>
  <si>
    <t>Ebony FC</t>
  </si>
  <si>
    <t>08/03/2026 15:00 | Ghana | Division One League | Ashanti Gold vs Ebony FC</t>
  </si>
  <si>
    <t>Bolga AllStars</t>
  </si>
  <si>
    <t>Sankara Nationals</t>
  </si>
  <si>
    <t>08/03/2026 15:00 | Ghana | Division One League | Bolga AllStars vs Sankara Nationals</t>
  </si>
  <si>
    <t>Dormaa</t>
  </si>
  <si>
    <t>Mighty Royals</t>
  </si>
  <si>
    <t>08/03/2026 15:00 | Ghana | Division One League | Dormaa vs Mighty Royals</t>
  </si>
  <si>
    <t>Great Olympics</t>
  </si>
  <si>
    <t>WAFA</t>
  </si>
  <si>
    <t>08/03/2026 15:00 | Ghana | Division One League | Great Olympics vs WAFA</t>
  </si>
  <si>
    <t>Hakla SC</t>
  </si>
  <si>
    <t>Na God</t>
  </si>
  <si>
    <t>08/03/2026 15:00 | Ghana | Division One League | Hakla SC vs Na God</t>
  </si>
  <si>
    <t>Home Stars</t>
  </si>
  <si>
    <t>Koforidua</t>
  </si>
  <si>
    <t>08/03/2026 15:00 | Ghana | Division One League | Home Stars vs Koforidua</t>
  </si>
  <si>
    <t>KAC Soccer</t>
  </si>
  <si>
    <t>Berekum Arsenal</t>
  </si>
  <si>
    <t>08/03/2026 15:00 | Ghana | Division One League | KAC Soccer vs Berekum Arsenal</t>
  </si>
  <si>
    <t>Nsuopun Fidelity</t>
  </si>
  <si>
    <t>08/03/2026 15:00 | Ghana | Division One League | Nsuopun Fidelity vs Police National</t>
  </si>
  <si>
    <t>Okwawu</t>
  </si>
  <si>
    <t>Nania</t>
  </si>
  <si>
    <t>08/03/2026 15:00 | Ghana | Division One League | Okwawu vs Nania</t>
  </si>
  <si>
    <t>PAC Academy</t>
  </si>
  <si>
    <t>Eleven Wise</t>
  </si>
  <si>
    <t>08/03/2026 15:00 | Ghana | Division One League | PAC Academy vs Eleven Wise</t>
  </si>
  <si>
    <t>Sefwi All Stars</t>
  </si>
  <si>
    <t>08/03/2026 15:00 | Ghana | Division One League | Skyy vs Sefwi All Stars</t>
  </si>
  <si>
    <t>Soccer Intellectuals</t>
  </si>
  <si>
    <t>Ebusua Dwarfs</t>
  </si>
  <si>
    <t>08/03/2026 15:00 | Ghana | Division One League | Soccer Intellectuals vs Ebusua Dwarfs</t>
  </si>
  <si>
    <t>TF Exponential</t>
  </si>
  <si>
    <t>Tamale City</t>
  </si>
  <si>
    <t>08/03/2026 15:00 | Ghana | Division One League | TF Exponential vs Tamale City</t>
  </si>
  <si>
    <t>UCC Youngsters</t>
  </si>
  <si>
    <t>Future Stars</t>
  </si>
  <si>
    <t>08/03/2026 15:00 | Ghana | Division One League | UCC Youngsters vs Future Stars</t>
  </si>
  <si>
    <t>Chotebor</t>
  </si>
  <si>
    <t>Žďár nad Sázavou</t>
  </si>
  <si>
    <t>08/03/2026 15:00 | Czech-Republic | 4. liga - Divizie D | Chotebor vs Žďár nad Sázavou</t>
  </si>
  <si>
    <t>Queretaro U21</t>
  </si>
  <si>
    <t>Club America U21</t>
  </si>
  <si>
    <t>08/03/2026 15:00 | Mexico | Liga MX U21 | Queretaro U21 vs Club America U21</t>
  </si>
  <si>
    <t>Juarez U21</t>
  </si>
  <si>
    <t>08/03/2026 15:00 | Mexico | Liga MX U21 | Toluca U21 vs Juarez U21</t>
  </si>
  <si>
    <t>Start</t>
  </si>
  <si>
    <t>08/03/2026 15:00 | World | Friendlies Clubs | Sandefjord vs Start</t>
  </si>
  <si>
    <t>07 Vestur</t>
  </si>
  <si>
    <t>KI Klaksvik</t>
  </si>
  <si>
    <t>08/03/2026 15:00 | Faroe-Islands | Meistaradeildin | 07 Vestur vs KI Klaksvik</t>
  </si>
  <si>
    <t>B36 Torshavn</t>
  </si>
  <si>
    <t>EB / Streymur</t>
  </si>
  <si>
    <t>08/03/2026 15:00 | Faroe-Islands | Meistaradeildin | B36 Torshavn vs EB / Streymur</t>
  </si>
  <si>
    <t>NSI Runavik</t>
  </si>
  <si>
    <t>Vikingur Gota</t>
  </si>
  <si>
    <t>08/03/2026 15:00 | Faroe-Islands | Meistaradeildin | NSI Runavik vs Vikingur Gota</t>
  </si>
  <si>
    <t>Valletta FC</t>
  </si>
  <si>
    <t>Tarxien Rainbows</t>
  </si>
  <si>
    <t>08/03/2026 15:00 | Malta | Premier League | Valletta FC vs Tarxien Rainbows</t>
  </si>
  <si>
    <t>Vestri</t>
  </si>
  <si>
    <t>Stjarnan</t>
  </si>
  <si>
    <t>08/03/2026 15:00 | Iceland | League Cup | Vestri vs Stjarnan</t>
  </si>
  <si>
    <t>Amarante</t>
  </si>
  <si>
    <t>Trofense</t>
  </si>
  <si>
    <t>08/03/2026 15:00 | Portugal | Liga 3 | Amarante vs Trofense</t>
  </si>
  <si>
    <t>Paredes</t>
  </si>
  <si>
    <t>08/03/2026 15:00 | Portugal | Liga 3 | Paredes vs Fafe</t>
  </si>
  <si>
    <t>Sanjoanense</t>
  </si>
  <si>
    <t>AD Marco 09</t>
  </si>
  <si>
    <t>08/03/2026 15:00 | Portugal | Liga 3 | Sanjoanense vs AD Marco 09</t>
  </si>
  <si>
    <t>São João Ver</t>
  </si>
  <si>
    <t>SC Braga B</t>
  </si>
  <si>
    <t>08/03/2026 15:00 | Portugal | Liga 3 | São João Ver vs SC Braga B</t>
  </si>
  <si>
    <t>FAP</t>
  </si>
  <si>
    <t>APEJES Academy</t>
  </si>
  <si>
    <t>08/03/2026 15:00 | Cameroon | Elite Two | FAP vs APEJES Academy</t>
  </si>
  <si>
    <t>Nõmme United II</t>
  </si>
  <si>
    <t>Maardu</t>
  </si>
  <si>
    <t>08/03/2026 15:00 | Estonia | Esiliiga A | Nõmme United II vs Maardu</t>
  </si>
  <si>
    <t>Parnu JK Vaprus U21</t>
  </si>
  <si>
    <t>Tartu Kalev</t>
  </si>
  <si>
    <t>08/03/2026 15:00 | Estonia | Esiliiga B | Parnu JK Vaprus U21 vs Tartu Kalev</t>
  </si>
  <si>
    <t>Mebrat Hayl</t>
  </si>
  <si>
    <t>Ethiopia Bunna</t>
  </si>
  <si>
    <t>08/03/2026 15:00 | Ethiopia | Premier League | Mebrat Hayl vs Ethiopia Bunna</t>
  </si>
  <si>
    <t>Welayta Dicha</t>
  </si>
  <si>
    <t>Sidama Bunna</t>
  </si>
  <si>
    <t>08/03/2026 15:00 | Ethiopia | Premier League | Welayta Dicha vs Sidama Bunna</t>
  </si>
  <si>
    <t>Bani Gansè</t>
  </si>
  <si>
    <t>Damissa</t>
  </si>
  <si>
    <t>08/03/2026 15:00 | Benin | Championnat National | Bani Gansè vs Damissa</t>
  </si>
  <si>
    <t>Cavaliers</t>
  </si>
  <si>
    <t>Coton Sport Ouidah</t>
  </si>
  <si>
    <t>08/03/2026 15:00 | Benin | Championnat National | Cavaliers vs Coton Sport Ouidah</t>
  </si>
  <si>
    <t>Dadjè</t>
  </si>
  <si>
    <t>Kraké</t>
  </si>
  <si>
    <t>08/03/2026 15:00 | Benin | Championnat National | Dadjè vs Kraké</t>
  </si>
  <si>
    <t>JSP</t>
  </si>
  <si>
    <t>AS Cotonou</t>
  </si>
  <si>
    <t>08/03/2026 15:00 | Benin | Championnat National | JSP vs AS Cotonou</t>
  </si>
  <si>
    <t>Amal Tiznit</t>
  </si>
  <si>
    <t>KAC Kenitra</t>
  </si>
  <si>
    <t>08/03/2026 15:00 | Morocco | Botola 2 | Amal Tiznit vs KAC Kenitra</t>
  </si>
  <si>
    <t>USM Oujda</t>
  </si>
  <si>
    <t>Raja Beni Mellal</t>
  </si>
  <si>
    <t>08/03/2026 15:00 | Morocco | Botola 2 | USM Oujda vs Raja Beni Mellal</t>
  </si>
  <si>
    <t>08/03/2026 15:15</t>
  </si>
  <si>
    <t>Real Betis</t>
  </si>
  <si>
    <t>08/03/2026 15:15 | Spain | La Liga | Getafe vs Real Betis</t>
  </si>
  <si>
    <t>08/03/2026 15:15 | Spain | Segunda División | FC Andorra vs Sporting Gijon</t>
  </si>
  <si>
    <t>Qarabag</t>
  </si>
  <si>
    <t>Araz</t>
  </si>
  <si>
    <t>08/03/2026 15:15 | Azerbaijan | Premyer Liqa | Qarabag vs Araz</t>
  </si>
  <si>
    <t>Selaya</t>
  </si>
  <si>
    <t>Escobedo</t>
  </si>
  <si>
    <t>08/03/2026 15:15 | Spain | Tercera División RFEF - Group 3 | Selaya vs Escobedo</t>
  </si>
  <si>
    <t>08/03/2026 15:30</t>
  </si>
  <si>
    <t>MSV Duisburg</t>
  </si>
  <si>
    <t>FC Saarbrücken</t>
  </si>
  <si>
    <t>08/03/2026 15:30 | Germany | 3. Liga | MSV Duisburg vs FC Saarbrücken</t>
  </si>
  <si>
    <t>08/03/2026 15:30 | Portugal | Primeira Liga | Estrela vs GIL Vicente</t>
  </si>
  <si>
    <t>Maritimo</t>
  </si>
  <si>
    <t>FC Porto B</t>
  </si>
  <si>
    <t>08/03/2026 15:30 | Portugal | Segunda Liga | Maritimo vs FC Porto B</t>
  </si>
  <si>
    <t>Habenhauser FV</t>
  </si>
  <si>
    <t>Brinkumer SV</t>
  </si>
  <si>
    <t>08/03/2026 15:30 | Germany | Oberliga - Bremen | Habenhauser FV vs Brinkumer SV</t>
  </si>
  <si>
    <t>Lynx</t>
  </si>
  <si>
    <t>Glacis United</t>
  </si>
  <si>
    <t>08/03/2026 15:30 | Gibraltar | Premier Division | Lynx vs Glacis United</t>
  </si>
  <si>
    <t>Polvorín</t>
  </si>
  <si>
    <t>Compostela</t>
  </si>
  <si>
    <t>08/03/2026 15:30 | Spain | Tercera División RFEF - Group 1 | Polvorín vs Compostela</t>
  </si>
  <si>
    <t>Celta de Vigo III</t>
  </si>
  <si>
    <t>Barco</t>
  </si>
  <si>
    <t>08/03/2026 15:30 | Spain | Tercera División RFEF - Group 1 | Celta de Vigo III vs Barco</t>
  </si>
  <si>
    <t>Peralada</t>
  </si>
  <si>
    <t>Lleida Esportiu</t>
  </si>
  <si>
    <t>08/03/2026 15:30 | Spain | Tercera División RFEF - Group 5 | Peralada vs Lleida Esportiu</t>
  </si>
  <si>
    <t>Galapagar</t>
  </si>
  <si>
    <t>Carabanchel</t>
  </si>
  <si>
    <t>08/03/2026 15:30 | Spain | Tercera División RFEF - Group 7 | Galapagar vs Carabanchel</t>
  </si>
  <si>
    <t>Cirbonero</t>
  </si>
  <si>
    <t>Atlético Artajonés</t>
  </si>
  <si>
    <t>08/03/2026 15:30 | Spain | Tercera División RFEF - Group 15 | Cirbonero vs Atlético Artajonés</t>
  </si>
  <si>
    <t>Belchite 97</t>
  </si>
  <si>
    <t>Almudévar</t>
  </si>
  <si>
    <t>08/03/2026 15:30 | Spain | Tercera División RFEF - Group 17 | Belchite 97 vs Almudévar</t>
  </si>
  <si>
    <t>Andorra CF</t>
  </si>
  <si>
    <t>Atlético Monzón</t>
  </si>
  <si>
    <t>08/03/2026 15:30 | Spain | Tercera División RFEF - Group 17 | Andorra CF vs Atlético Monzón</t>
  </si>
  <si>
    <t>Zuera</t>
  </si>
  <si>
    <t>Huesca II</t>
  </si>
  <si>
    <t>08/03/2026 15:30 | Spain | Tercera División RFEF - Group 17 | Zuera vs Huesca II</t>
  </si>
  <si>
    <t>Grasshoppers</t>
  </si>
  <si>
    <t>Lausanne</t>
  </si>
  <si>
    <t>08/03/2026 15:30 | Switzerland | Super League | Grasshoppers vs Lausanne</t>
  </si>
  <si>
    <t>BSC Young Boys</t>
  </si>
  <si>
    <t>FC Thun</t>
  </si>
  <si>
    <t>08/03/2026 15:30 | Switzerland | Super League | BSC Young Boys vs FC Thun</t>
  </si>
  <si>
    <t>Marsaxlokk</t>
  </si>
  <si>
    <t>Naxxar Lions</t>
  </si>
  <si>
    <t>08/03/2026 15:30 | Malta | Premier League | Marsaxlokk vs Naxxar Lions</t>
  </si>
  <si>
    <t>Vittoriosa Stars</t>
  </si>
  <si>
    <t>Santa Lucía</t>
  </si>
  <si>
    <t>08/03/2026 15:30 | Malta | Challenge League | Vittoriosa Stars vs Santa Lucía</t>
  </si>
  <si>
    <t>08/03/2026 15:45</t>
  </si>
  <si>
    <t>NAC Breda</t>
  </si>
  <si>
    <t>Feyenoord</t>
  </si>
  <si>
    <t>08/03/2026 15:45 | Netherlands | Eredivisie | NAC Breda vs Feyenoord</t>
  </si>
  <si>
    <t>08/03/2026 15:45 | Netherlands | Eerste Divisie | Cambuur vs Jong Utrecht</t>
  </si>
  <si>
    <t>CSKA Sofia</t>
  </si>
  <si>
    <t>Lokomotiv Sofia</t>
  </si>
  <si>
    <t>08/03/2026 15:45 | Bulgaria | First League | CSKA Sofia vs Lokomotiv Sofia</t>
  </si>
  <si>
    <t>08/03/2026 16:00</t>
  </si>
  <si>
    <t>Lask Linz</t>
  </si>
  <si>
    <t>Wolfsberger AC</t>
  </si>
  <si>
    <t>08/03/2026 16:00 | Austria | Bundesliga | Lask Linz vs Wolfsberger AC</t>
  </si>
  <si>
    <t>Rapid Vienna</t>
  </si>
  <si>
    <t>Red Bull Salzburg</t>
  </si>
  <si>
    <t>08/03/2026 16:00 | Austria | Bundesliga | Rapid Vienna vs Red Bull Salzburg</t>
  </si>
  <si>
    <t>TSV Hartberg</t>
  </si>
  <si>
    <t>FC BW Linz</t>
  </si>
  <si>
    <t>08/03/2026 16:00 | Austria | Bundesliga | TSV Hartberg vs FC BW Linz</t>
  </si>
  <si>
    <t>WSG Wattens</t>
  </si>
  <si>
    <t>Grazer AK</t>
  </si>
  <si>
    <t>08/03/2026 16:00 | Austria | Bundesliga | WSG Wattens vs Grazer AK</t>
  </si>
  <si>
    <t>Ried</t>
  </si>
  <si>
    <t>Austria Vienna</t>
  </si>
  <si>
    <t>08/03/2026 16:00 | Austria | Bundesliga | Ried vs Austria Vienna</t>
  </si>
  <si>
    <t>Sturm Graz</t>
  </si>
  <si>
    <t>SCR Altach</t>
  </si>
  <si>
    <t>08/03/2026 16:00 | Austria | Bundesliga | Sturm Graz vs SCR Altach</t>
  </si>
  <si>
    <t>Polessya</t>
  </si>
  <si>
    <t>08/03/2026 16:00 | Ukraine | Premier League | Polessya vs Dynamo Kyiv</t>
  </si>
  <si>
    <t>Pécsi MFC</t>
  </si>
  <si>
    <t>PTE-PEAC</t>
  </si>
  <si>
    <t>08/03/2026 16:00 | Hungary | NB III - Southwest | Pécsi MFC vs PTE-PEAC</t>
  </si>
  <si>
    <t>Gyirmot SE</t>
  </si>
  <si>
    <t>Újpest II</t>
  </si>
  <si>
    <t>08/03/2026 16:00 | Hungary | NB III - Northwest | Gyirmot SE vs Újpest II</t>
  </si>
  <si>
    <t>Dorogi FC</t>
  </si>
  <si>
    <t>Zsámbéki SK</t>
  </si>
  <si>
    <t>08/03/2026 16:00 | Hungary | NB III - Northwest | Dorogi FC vs Zsámbéki SK</t>
  </si>
  <si>
    <t>Coruxo</t>
  </si>
  <si>
    <t>Langreo</t>
  </si>
  <si>
    <t>08/03/2026 16:00 | Spain | Segunda División RFEF - Group 1 | Coruxo vs Langreo</t>
  </si>
  <si>
    <t>Salamanca UDS</t>
  </si>
  <si>
    <t>Sámano</t>
  </si>
  <si>
    <t>08/03/2026 16:00 | Spain | Segunda División RFEF - Group 1 | Salamanca UDS vs Sámano</t>
  </si>
  <si>
    <t>UD Ourense</t>
  </si>
  <si>
    <t>Real Oviedo II</t>
  </si>
  <si>
    <t>08/03/2026 16:00 | Spain | Segunda División RFEF - Group 1 | UD Ourense vs Real Oviedo II</t>
  </si>
  <si>
    <t>Burgos Promesas</t>
  </si>
  <si>
    <t>Bergantiños</t>
  </si>
  <si>
    <t>08/03/2026 16:00 | Spain | Segunda División RFEF - Group 1 | Burgos Promesas vs Bergantiños</t>
  </si>
  <si>
    <t>Alfaro</t>
  </si>
  <si>
    <t>Amorebieta</t>
  </si>
  <si>
    <t>08/03/2026 16:00 | Spain | Segunda División RFEF - Group 2 | Alfaro vs Amorebieta</t>
  </si>
  <si>
    <t>Real Unión</t>
  </si>
  <si>
    <t>Beasain</t>
  </si>
  <si>
    <t>08/03/2026 16:00 | Spain | Segunda División RFEF - Group 2 | Real Unión vs Beasain</t>
  </si>
  <si>
    <t>SD Logroñés</t>
  </si>
  <si>
    <t>Mutilvera</t>
  </si>
  <si>
    <t>08/03/2026 16:00 | Spain | Segunda División RFEF - Group 2 | SD Logroñés vs Mutilvera</t>
  </si>
  <si>
    <t>Tudelano</t>
  </si>
  <si>
    <t>Ebro</t>
  </si>
  <si>
    <t>08/03/2026 16:00 | Spain | Segunda División RFEF - Group 2 | Tudelano vs Ebro</t>
  </si>
  <si>
    <t>Reddis</t>
  </si>
  <si>
    <t>Alcoyano</t>
  </si>
  <si>
    <t>08/03/2026 16:00 | Spain | Segunda División RFEF - Group 3 | Reddis vs Alcoyano</t>
  </si>
  <si>
    <t>Barbadás</t>
  </si>
  <si>
    <t>Somozas</t>
  </si>
  <si>
    <t>08/03/2026 16:00 | Spain | Tercera División RFEF - Group 1 | Barbadás vs Somozas</t>
  </si>
  <si>
    <t>Tuilla</t>
  </si>
  <si>
    <t>L'Entregu</t>
  </si>
  <si>
    <t>08/03/2026 16:00 | Spain | Tercera División RFEF - Group 2 | Tuilla vs L'Entregu</t>
  </si>
  <si>
    <t>Barquereño</t>
  </si>
  <si>
    <t>Noja</t>
  </si>
  <si>
    <t>08/03/2026 16:00 | Spain | Tercera División RFEF - Group 3 | Barquereño vs Noja</t>
  </si>
  <si>
    <t>Badalona</t>
  </si>
  <si>
    <t>Vilassar Mar</t>
  </si>
  <si>
    <t>08/03/2026 16:00 | Spain | Tercera División RFEF - Group 5 | Badalona vs Vilassar Mar</t>
  </si>
  <si>
    <t>Saguntino</t>
  </si>
  <si>
    <t>RC Catarroja</t>
  </si>
  <si>
    <t>08/03/2026 16:00 | Spain | Tercera División RFEF - Group 6 | Saguntino vs RC Catarroja</t>
  </si>
  <si>
    <t>Ontinyent 1931</t>
  </si>
  <si>
    <t>Buñol</t>
  </si>
  <si>
    <t>08/03/2026 16:00 | Spain | Tercera División RFEF - Group 6 | Ontinyent 1931 vs Buñol</t>
  </si>
  <si>
    <t>Villanueva Pardillo</t>
  </si>
  <si>
    <t>Pozuelo Alarcón</t>
  </si>
  <si>
    <t>08/03/2026 16:00 | Spain | Tercera División RFEF - Group 7 | Villanueva Pardillo vs Pozuelo Alarcón</t>
  </si>
  <si>
    <t>Atlético Tordesillas</t>
  </si>
  <si>
    <t>La Virgen del Camino</t>
  </si>
  <si>
    <t>08/03/2026 16:00 | Spain | Tercera División RFEF - Group 8 | Atlético Tordesillas vs La Virgen del Camino</t>
  </si>
  <si>
    <t>Bollullos</t>
  </si>
  <si>
    <t>San Roque Lepe</t>
  </si>
  <si>
    <t>08/03/2026 16:00 | Spain | Tercera División RFEF - Group 10 | Bollullos vs San Roque Lepe</t>
  </si>
  <si>
    <t>Olímpico Totana</t>
  </si>
  <si>
    <t>Atlético Pulpileño</t>
  </si>
  <si>
    <t>08/03/2026 16:00 | Spain | Tercera División RFEF - Group 13 | Olímpico Totana vs Atlético Pulpileño</t>
  </si>
  <si>
    <t>Bala Azul</t>
  </si>
  <si>
    <t>Águilas II</t>
  </si>
  <si>
    <t>08/03/2026 16:00 | Spain | Tercera División RFEF - Group 13 | Bala Azul vs Águilas II</t>
  </si>
  <si>
    <t>Llerenense</t>
  </si>
  <si>
    <t>Montijo</t>
  </si>
  <si>
    <t>08/03/2026 16:00 | Spain | Tercera División RFEF - Group 14 | Llerenense vs Montijo</t>
  </si>
  <si>
    <t>Jaraíz</t>
  </si>
  <si>
    <t>Don Benito</t>
  </si>
  <si>
    <t>08/03/2026 16:00 | Spain | Tercera División RFEF - Group 14 | Jaraíz vs Don Benito</t>
  </si>
  <si>
    <t>Arnedo</t>
  </si>
  <si>
    <t>Varea</t>
  </si>
  <si>
    <t>08/03/2026 16:00 | Spain | Tercera División RFEF - Group 16 | Arnedo vs Varea</t>
  </si>
  <si>
    <t>Vianés</t>
  </si>
  <si>
    <t>Peña Balsamaiso</t>
  </si>
  <si>
    <t>08/03/2026 16:00 | Spain | Tercera División RFEF - Group 16 | Vianés vs Peña Balsamaiso</t>
  </si>
  <si>
    <t>Haro Deportivo</t>
  </si>
  <si>
    <t>Pradejón</t>
  </si>
  <si>
    <t>08/03/2026 16:00 | Spain | Tercera División RFEF - Group 16 | Haro Deportivo vs Pradejón</t>
  </si>
  <si>
    <t>Utrillas</t>
  </si>
  <si>
    <t>CDJ Tamarite</t>
  </si>
  <si>
    <t>08/03/2026 16:00 | Spain | Tercera División RFEF - Group 17 | Utrillas vs CDJ Tamarite</t>
  </si>
  <si>
    <t>La Almunia</t>
  </si>
  <si>
    <t>Calamocha</t>
  </si>
  <si>
    <t>08/03/2026 16:00 | Spain | Tercera División RFEF - Group 17 | La Almunia vs Calamocha</t>
  </si>
  <si>
    <t>Épila</t>
  </si>
  <si>
    <t>Cariñena</t>
  </si>
  <si>
    <t>08/03/2026 16:00 | Spain | Tercera División RFEF - Group 17 | Épila vs Cariñena</t>
  </si>
  <si>
    <t>Sonseca</t>
  </si>
  <si>
    <t>08/03/2026 16:00 | Spain | Tercera División RFEF - Group 18 | Sonseca vs Toledo</t>
  </si>
  <si>
    <t>Burkina-Faso</t>
  </si>
  <si>
    <t>RC Bobo-Dioulasso</t>
  </si>
  <si>
    <t>ASFA-Yennenga</t>
  </si>
  <si>
    <t>08/03/2026 16:00 | Burkina-Faso | Ligue 1 | RC Bobo-Dioulasso vs ASFA-Yennenga</t>
  </si>
  <si>
    <t>Líšeň II</t>
  </si>
  <si>
    <t>FS Třebíč</t>
  </si>
  <si>
    <t>08/03/2026 16:00 | Czech-Republic | 4. liga - Divizie D | Líšeň II vs FS Třebíč</t>
  </si>
  <si>
    <t>CSF Bălți</t>
  </si>
  <si>
    <t>Sheriff Tiraspol</t>
  </si>
  <si>
    <t>08/03/2026 16:00 | Moldova | Super Liga | CSF Bălți vs Sheriff Tiraspol</t>
  </si>
  <si>
    <t>Aucas</t>
  </si>
  <si>
    <t>Deportivo Cuenca</t>
  </si>
  <si>
    <t>08/03/2026 16:00 | Ecuador | Liga Pro | Aucas vs Deportivo Cuenca</t>
  </si>
  <si>
    <t>Malmo FF</t>
  </si>
  <si>
    <t>Halmstad</t>
  </si>
  <si>
    <t>08/03/2026 16:00 | Sweden | Svenska Cupen | Malmo FF vs Halmstad</t>
  </si>
  <si>
    <t>Varbergs BoIS FC</t>
  </si>
  <si>
    <t>IF Karlstad</t>
  </si>
  <si>
    <t>08/03/2026 16:00 | Sweden | Svenska Cupen | Varbergs BoIS FC vs IF Karlstad</t>
  </si>
  <si>
    <t>Djoliba</t>
  </si>
  <si>
    <t>08/03/2026 16:00 | Mali | Première Division | Derby Academie vs Djoliba</t>
  </si>
  <si>
    <t>ASKO</t>
  </si>
  <si>
    <t>Stade Malien Bamako</t>
  </si>
  <si>
    <t>08/03/2026 16:00 | Mali | Première Division | ASKO vs Stade Malien Bamako</t>
  </si>
  <si>
    <t>Golden Arrows</t>
  </si>
  <si>
    <t>Durban City</t>
  </si>
  <si>
    <t>08/03/2026 16:00 | South-Africa | Cup | Golden Arrows vs Durban City</t>
  </si>
  <si>
    <t>Hafia</t>
  </si>
  <si>
    <t>Loubha Télimélé</t>
  </si>
  <si>
    <t>08/03/2026 16:00 | Guinea | Ligue 1 | Hafia vs Loubha Télimélé</t>
  </si>
  <si>
    <t>Korhogo</t>
  </si>
  <si>
    <t>Bouaké</t>
  </si>
  <si>
    <t>08/03/2026 16:00 | Ivory-Coast | Ligue 1 | Korhogo vs Bouaké</t>
  </si>
  <si>
    <t>AFAD</t>
  </si>
  <si>
    <t>US Tchologo</t>
  </si>
  <si>
    <t>08/03/2026 16:00 | Ivory-Coast | Ligue 1 | AFAD vs US Tchologo</t>
  </si>
  <si>
    <t>08/03/2026 16:15</t>
  </si>
  <si>
    <t>Stade Brestois 29</t>
  </si>
  <si>
    <t>Le Havre</t>
  </si>
  <si>
    <t>08/03/2026 16:15 | France | Ligue 1 | Stade Brestois 29 vs Le Havre</t>
  </si>
  <si>
    <t>Lille</t>
  </si>
  <si>
    <t>Lorient</t>
  </si>
  <si>
    <t>08/03/2026 16:15 | France | Ligue 1 | Lille vs Lorient</t>
  </si>
  <si>
    <t>Nice</t>
  </si>
  <si>
    <t>Rennes</t>
  </si>
  <si>
    <t>08/03/2026 16:15 | France | Ligue 1 | Nice vs Rennes</t>
  </si>
  <si>
    <t>Carrarese</t>
  </si>
  <si>
    <t>Palermo</t>
  </si>
  <si>
    <t>08/03/2026 16:15 | Italy | Serie B | Carrarese vs Palermo</t>
  </si>
  <si>
    <t>Huracán Balazote</t>
  </si>
  <si>
    <t>Albacete II</t>
  </si>
  <si>
    <t>08/03/2026 16:15 | Spain | Tercera División RFEF - Group 18 | Huracán Balazote vs Albacete II</t>
  </si>
  <si>
    <t>08/03/2026 16:30</t>
  </si>
  <si>
    <t>Raków Częstochowa</t>
  </si>
  <si>
    <t>Pogon Szczecin</t>
  </si>
  <si>
    <t>08/03/2026 16:30 | Poland | Ekstraklasa | Raków Częstochowa vs Pogon Szczecin</t>
  </si>
  <si>
    <t>Aluminij</t>
  </si>
  <si>
    <t>Koper</t>
  </si>
  <si>
    <t>08/03/2026 16:30 | Slovenia | 1. SNL | Aluminij vs Koper</t>
  </si>
  <si>
    <t>QPR</t>
  </si>
  <si>
    <t>08/03/2026 16:30 | England | Championship | QPR vs Middlesbrough</t>
  </si>
  <si>
    <t>Union Berlin</t>
  </si>
  <si>
    <t>Werder Bremen</t>
  </si>
  <si>
    <t>08/03/2026 16:30 | Germany | Bundesliga | Union Berlin vs Werder Bremen</t>
  </si>
  <si>
    <t>CSKA Moscow</t>
  </si>
  <si>
    <t>Dynamo</t>
  </si>
  <si>
    <t>08/03/2026 16:30 | Russia | Premier League | CSKA Moscow vs Dynamo</t>
  </si>
  <si>
    <t>Yeclano</t>
  </si>
  <si>
    <t>Ucam Murcia</t>
  </si>
  <si>
    <t>08/03/2026 16:30 | Spain | Segunda División RFEF - Group 4 | Yeclano vs Ucam Murcia</t>
  </si>
  <si>
    <t>Guidonia Montecelio 1937</t>
  </si>
  <si>
    <t>Sambenedettese</t>
  </si>
  <si>
    <t>08/03/2026 16:30 | Italy | Serie C - Girone B | Guidonia Montecelio 1937 vs Sambenedettese</t>
  </si>
  <si>
    <t>Benevento</t>
  </si>
  <si>
    <t>08/03/2026 16:30 | Italy | Serie C - Girone C | Sorrento vs Benevento</t>
  </si>
  <si>
    <t>Foggia</t>
  </si>
  <si>
    <t>Potenza</t>
  </si>
  <si>
    <t>08/03/2026 16:30 | Italy | Serie C - Girone C | Foggia vs Potenza</t>
  </si>
  <si>
    <t>Noia</t>
  </si>
  <si>
    <t>Arosa</t>
  </si>
  <si>
    <t>08/03/2026 16:30 | Spain | Tercera División RFEF - Group 1 | Noia vs Arosa</t>
  </si>
  <si>
    <t>Mosconia</t>
  </si>
  <si>
    <t>Llanes</t>
  </si>
  <si>
    <t>08/03/2026 16:30 | Spain | Tercera División RFEF - Group 2 | Mosconia vs Llanes</t>
  </si>
  <si>
    <t>Siero</t>
  </si>
  <si>
    <t>Avilés Stadium</t>
  </si>
  <si>
    <t>08/03/2026 16:30 | Spain | Tercera División RFEF - Group 2 | Siero vs Avilés Stadium</t>
  </si>
  <si>
    <t>Caudal</t>
  </si>
  <si>
    <t>Llanera</t>
  </si>
  <si>
    <t>08/03/2026 16:30 | Spain | Tercera División RFEF - Group 2 | Caudal vs Llanera</t>
  </si>
  <si>
    <t>Derio</t>
  </si>
  <si>
    <t>Zamudio</t>
  </si>
  <si>
    <t>08/03/2026 16:30 | Spain | Tercera División RFEF - Group 4 | Derio vs Zamudio</t>
  </si>
  <si>
    <t>Montehermoso</t>
  </si>
  <si>
    <t>Villafranca</t>
  </si>
  <si>
    <t>08/03/2026 16:30 | Spain | Tercera División RFEF - Group 14 | Montehermoso vs Villafranca</t>
  </si>
  <si>
    <t>Norwich</t>
  </si>
  <si>
    <t>08/03/2026 16:30 | England | FA Cup | Leeds vs Norwich</t>
  </si>
  <si>
    <t>AJEL</t>
  </si>
  <si>
    <t>Jaraaf</t>
  </si>
  <si>
    <t>08/03/2026 16:30 | Senegal | Ligue 1 | AJEL vs Jaraaf</t>
  </si>
  <si>
    <t>HLM</t>
  </si>
  <si>
    <t>AS Camberene</t>
  </si>
  <si>
    <t>08/03/2026 16:30 | Senegal | Ligue 1 | HLM vs AS Camberene</t>
  </si>
  <si>
    <t>La Linguère</t>
  </si>
  <si>
    <t>Guédiawaye</t>
  </si>
  <si>
    <t>08/03/2026 16:30 | Senegal | Ligue 1 | La Linguère vs Guédiawaye</t>
  </si>
  <si>
    <t>Ouakam</t>
  </si>
  <si>
    <t>Casa Sport</t>
  </si>
  <si>
    <t>08/03/2026 16:30 | Senegal | Ligue 1 | Ouakam vs Casa Sport</t>
  </si>
  <si>
    <t>Sonacos</t>
  </si>
  <si>
    <t>Stade de Mbour</t>
  </si>
  <si>
    <t>08/03/2026 16:30 | Senegal | Ligue 1 | Sonacos vs Stade de Mbour</t>
  </si>
  <si>
    <t>08/03/2026 16:45</t>
  </si>
  <si>
    <t>Kazincbarcikai</t>
  </si>
  <si>
    <t>Debreceni VSC</t>
  </si>
  <si>
    <t>08/03/2026 16:45 | Hungary | NB I | Kazincbarcikai vs Debreceni VSC</t>
  </si>
  <si>
    <t>Vukovar</t>
  </si>
  <si>
    <t>HNK Rijeka</t>
  </si>
  <si>
    <t>08/03/2026 16:45 | Croatia | HNL | Vukovar vs HNK Rijeka</t>
  </si>
  <si>
    <t>08/03/2026 17:00</t>
  </si>
  <si>
    <t>Genoa</t>
  </si>
  <si>
    <t>AS Roma</t>
  </si>
  <si>
    <t>08/03/2026 17:00 | Italy | Serie A | Genoa vs AS Roma</t>
  </si>
  <si>
    <t>Vojvodina</t>
  </si>
  <si>
    <t>FK Partizan</t>
  </si>
  <si>
    <t>08/03/2026 17:00 | Serbia | Super Liga | Vojvodina vs FK Partizan</t>
  </si>
  <si>
    <t>Fenerbahçe</t>
  </si>
  <si>
    <t>Samsunspor</t>
  </si>
  <si>
    <t>08/03/2026 17:00 | Turkey | Süper Lig | Fenerbahçe vs Samsunspor</t>
  </si>
  <si>
    <t>Bodrum FK</t>
  </si>
  <si>
    <t>Esenler Erokspor</t>
  </si>
  <si>
    <t>08/03/2026 17:00 | Turkey | 1. Lig | Bodrum FK vs Esenler Erokspor</t>
  </si>
  <si>
    <t>Levadiakos</t>
  </si>
  <si>
    <t>Panathinaikos</t>
  </si>
  <si>
    <t>08/03/2026 17:00 | Greece | Super League 1 | Levadiakos vs Panathinaikos</t>
  </si>
  <si>
    <t>Flamurtari</t>
  </si>
  <si>
    <t>Vllaznia Shkodër</t>
  </si>
  <si>
    <t>08/03/2026 17:00 | Albania | Superliga | Flamurtari vs Vllaznia Shkodër</t>
  </si>
  <si>
    <t>Lorca Deportiva</t>
  </si>
  <si>
    <t>Xerez Deportivo</t>
  </si>
  <si>
    <t>08/03/2026 17:00 | Spain | Segunda División RFEF - Group 4 | Lorca Deportiva vs Xerez Deportivo</t>
  </si>
  <si>
    <t>Xerez</t>
  </si>
  <si>
    <t>08/03/2026 17:00 | Spain | Segunda División RFEF - Group 4 | Xerez vs Recreativo Huelva</t>
  </si>
  <si>
    <t>Lexington W</t>
  </si>
  <si>
    <t>Dallas Trinity W</t>
  </si>
  <si>
    <t>08/03/2026 17:00 | USA | USL Super League | Lexington W vs Dallas Trinity W</t>
  </si>
  <si>
    <t>Caja Oblatos CFD</t>
  </si>
  <si>
    <t>Aguacateros CDU</t>
  </si>
  <si>
    <t>08/03/2026 17:00 | Mexico | Liga Premier Serie B | Caja Oblatos CFD vs Aguacateros CDU</t>
  </si>
  <si>
    <t>Espanyol II</t>
  </si>
  <si>
    <t>Sant Andreu</t>
  </si>
  <si>
    <t>08/03/2026 17:00 | Spain | Segunda División RFEF - Group 3 | Espanyol II vs Sant Andreu</t>
  </si>
  <si>
    <t>Deportivo Alavés III</t>
  </si>
  <si>
    <t>08/03/2026 17:00 | Spain | Tercera División RFEF - Group 4 | Deportivo Alavés III vs Durango</t>
  </si>
  <si>
    <t>Motril</t>
  </si>
  <si>
    <t>Mancha Real</t>
  </si>
  <si>
    <t>08/03/2026 17:00 | Spain | Tercera División RFEF - Group 9 | Motril vs Mancha Real</t>
  </si>
  <si>
    <t>Torreperogil</t>
  </si>
  <si>
    <t>Martos</t>
  </si>
  <si>
    <t>08/03/2026 17:00 | Spain | Tercera División RFEF - Group 9 | Torreperogil vs Martos</t>
  </si>
  <si>
    <t>Ciudad de Lucena</t>
  </si>
  <si>
    <t>Castilleja</t>
  </si>
  <si>
    <t>08/03/2026 17:00 | Spain | Tercera División RFEF - Group 10 | Ciudad de Lucena vs Castilleja</t>
  </si>
  <si>
    <t>San Marcial</t>
  </si>
  <si>
    <t>La Calzada</t>
  </si>
  <si>
    <t>08/03/2026 17:00 | Spain | Tercera División RFEF - Group 16 | San Marcial vs La Calzada</t>
  </si>
  <si>
    <t>Fredrikstad</t>
  </si>
  <si>
    <t>Sarpsborg 08 FF</t>
  </si>
  <si>
    <t>08/03/2026 17:00 | Norway | NM Cupen | Fredrikstad vs Sarpsborg 08 FF</t>
  </si>
  <si>
    <t>Puntarenas FC</t>
  </si>
  <si>
    <t>08/03/2026 17:00 | Costa-Rica | Primera División | CS Cartagines vs Puntarenas FC</t>
  </si>
  <si>
    <t>FC Midtjylland</t>
  </si>
  <si>
    <t>Aarhus</t>
  </si>
  <si>
    <t>08/03/2026 17:00 | Denmark | DBU Pokalen | FC Midtjylland vs Aarhus</t>
  </si>
  <si>
    <t>08/03/2026 17:00 | Guatemala | Liga Nacional | Aurora vs Xelajú</t>
  </si>
  <si>
    <t>Swieqi United</t>
  </si>
  <si>
    <t>Birzebbuga</t>
  </si>
  <si>
    <t>08/03/2026 17:00 | Malta | Challenge League | Swieqi United vs Birzebbuga</t>
  </si>
  <si>
    <t>Dunajska Streda</t>
  </si>
  <si>
    <t>08/03/2026 17:00 | Slovakia | Super Liga | Dunajska Streda vs Podbrezová</t>
  </si>
  <si>
    <t>08/03/2026 17:15</t>
  </si>
  <si>
    <t>Atlético Madrid II</t>
  </si>
  <si>
    <t>08/03/2026 17:15 | Spain | Primera División RFEF - Group 2 | Atlético Madrid II vs Hércules</t>
  </si>
  <si>
    <t>Skála</t>
  </si>
  <si>
    <t>HB Torshavn</t>
  </si>
  <si>
    <t>08/03/2026 17:15 | Faroe-Islands | Meistaradeildin | Skála vs HB Torshavn</t>
  </si>
  <si>
    <t>08/03/2026 17:30</t>
  </si>
  <si>
    <t>Nyiregyhaza</t>
  </si>
  <si>
    <t>Ferencvarosi TC</t>
  </si>
  <si>
    <t>08/03/2026 17:30 | Hungary | NB I | Nyiregyhaza vs Ferencvarosi TC</t>
  </si>
  <si>
    <t>Zulte Waregem</t>
  </si>
  <si>
    <t>Standard Liege</t>
  </si>
  <si>
    <t>08/03/2026 17:30 | Belgium | Jupiler Pro League | Zulte Waregem vs Standard Liege</t>
  </si>
  <si>
    <t>08/03/2026 17:30 | Czech-Republic | Czech Liga | Slavia Praha vs Sparta Praha</t>
  </si>
  <si>
    <t>Sevilla</t>
  </si>
  <si>
    <t>Rayo Vallecano</t>
  </si>
  <si>
    <t>08/03/2026 17:30 | Spain | La Liga | Sevilla vs Rayo Vallecano</t>
  </si>
  <si>
    <t>Racing Santander</t>
  </si>
  <si>
    <t>08/03/2026 17:30 | Spain | Segunda División | Racing Santander vs Cordoba</t>
  </si>
  <si>
    <t>Eibar</t>
  </si>
  <si>
    <t>08/03/2026 17:30 | Spain | Segunda División | Leganes vs Eibar</t>
  </si>
  <si>
    <t>Barakaldo</t>
  </si>
  <si>
    <t>Ourense CF</t>
  </si>
  <si>
    <t>08/03/2026 17:30 | Spain | Primera División RFEF - Group 1 | Barakaldo vs Ourense CF</t>
  </si>
  <si>
    <t>Águilas</t>
  </si>
  <si>
    <t>Puente Genil</t>
  </si>
  <si>
    <t>08/03/2026 17:30 | Spain | Segunda División RFEF - Group 4 | Águilas vs Puente Genil</t>
  </si>
  <si>
    <t>Orihuela</t>
  </si>
  <si>
    <t>Rayo Majadahonda</t>
  </si>
  <si>
    <t>08/03/2026 17:30 | Spain | Segunda División RFEF - Group 5 | Orihuela vs Rayo Majadahonda</t>
  </si>
  <si>
    <t>Puebla Calzada</t>
  </si>
  <si>
    <t>Santa Amalia</t>
  </si>
  <si>
    <t>08/03/2026 17:30 | Spain | Tercera División RFEF - Group 14 | Puebla Calzada vs Santa Amalia</t>
  </si>
  <si>
    <t>Oberena</t>
  </si>
  <si>
    <t>Ardoi</t>
  </si>
  <si>
    <t>08/03/2026 17:30 | Spain | Tercera División RFEF - Group 15 | Oberena vs Ardoi</t>
  </si>
  <si>
    <t>B36 II</t>
  </si>
  <si>
    <t>EB / Streymur II</t>
  </si>
  <si>
    <t>08/03/2026 17:30 | Faroe-Islands | 1. Deild | B36 II vs EB / Streymur II</t>
  </si>
  <si>
    <t>08/03/2026 18:00</t>
  </si>
  <si>
    <t>Universitatea Craiova</t>
  </si>
  <si>
    <t>08/03/2026 18:00 | Romania | Liga I | Rapid vs Universitatea Craiova</t>
  </si>
  <si>
    <t>Radnik Bijeljina</t>
  </si>
  <si>
    <t>08/03/2026 18:00 | Bosnia | Premijer Liga | Zrinjski vs Radnik Bijeljina</t>
  </si>
  <si>
    <t>08/03/2026 18:00 | Portugal | Primeira Liga | Benfica vs FC Porto</t>
  </si>
  <si>
    <t>UE Santa Coloma</t>
  </si>
  <si>
    <t>Atlètic Club d'Escaldes</t>
  </si>
  <si>
    <t>08/03/2026 18:00 | Andorra | 1a Divisió | UE Santa Coloma vs Atlètic Club d'Escaldes</t>
  </si>
  <si>
    <t>Lusitânia Lourosa</t>
  </si>
  <si>
    <t>Sporting CP B</t>
  </si>
  <si>
    <t>08/03/2026 18:00 | Portugal | Segunda Liga | Lusitânia Lourosa vs Sporting CP B</t>
  </si>
  <si>
    <t>La Nucía</t>
  </si>
  <si>
    <t>Crevillente</t>
  </si>
  <si>
    <t>08/03/2026 18:00 | Spain | Tercera División RFEF - Group 6 | La Nucía vs Crevillente</t>
  </si>
  <si>
    <t>A Madrid III</t>
  </si>
  <si>
    <t>Leganés II</t>
  </si>
  <si>
    <t>08/03/2026 18:00 | Spain | Tercera División RFEF - Group 7 | A Madrid III vs Leganés II</t>
  </si>
  <si>
    <t>Dubai City</t>
  </si>
  <si>
    <t>Masfut</t>
  </si>
  <si>
    <t>08/03/2026 18:00 | United-Arab-Emirates | Division 1 | Dubai City vs Masfut</t>
  </si>
  <si>
    <t>ECUS</t>
  </si>
  <si>
    <t>Jabaquara</t>
  </si>
  <si>
    <t>08/03/2026 18:00 | Brazil | Paulista - A4 | ECUS vs Jabaquara</t>
  </si>
  <si>
    <t>Miguelense</t>
  </si>
  <si>
    <t>Zumbi</t>
  </si>
  <si>
    <t>08/03/2026 18:00 | Brazil | Copa Alagoas | Miguelense vs Zumbi</t>
  </si>
  <si>
    <t>Réal Bamako</t>
  </si>
  <si>
    <t>Onze Créateurs</t>
  </si>
  <si>
    <t>08/03/2026 18:00 | Mali | Première Division | Réal Bamako vs Onze Créateurs</t>
  </si>
  <si>
    <t>Stella</t>
  </si>
  <si>
    <t>San-Pédro</t>
  </si>
  <si>
    <t>08/03/2026 18:00 | Ivory-Coast | Ligue 1 | Stella vs San-Pédro</t>
  </si>
  <si>
    <t>08/03/2026 18:15</t>
  </si>
  <si>
    <t>St. Truiden</t>
  </si>
  <si>
    <t>Cercle Brugge</t>
  </si>
  <si>
    <t>08/03/2026 18:15 | Belgium | Jupiler Pro League | St. Truiden vs Cercle Brugge</t>
  </si>
  <si>
    <t>Hapoel Katamon</t>
  </si>
  <si>
    <t>Beitar Jerusalem</t>
  </si>
  <si>
    <t>08/03/2026 18:15 | Israel | Ligat Ha'al | Hapoel Katamon vs Beitar Jerusalem</t>
  </si>
  <si>
    <t>ADT</t>
  </si>
  <si>
    <t>Juan Pablo II College</t>
  </si>
  <si>
    <t>08/03/2026 18:15 | Peru | Primera División | ADT vs Juan Pablo II College</t>
  </si>
  <si>
    <t>Old Road</t>
  </si>
  <si>
    <t>Green City</t>
  </si>
  <si>
    <t>08/03/2026 18:15 | Antigua-And-Barbuda | Premier Division | Old Road vs Green City</t>
  </si>
  <si>
    <t>08/03/2026 18:30</t>
  </si>
  <si>
    <t>FC Ingolstadt 04</t>
  </si>
  <si>
    <t>08/03/2026 18:30 | Germany | 3. Liga | FC Ingolstadt 04 vs Verl</t>
  </si>
  <si>
    <t>Unia Skierniewice</t>
  </si>
  <si>
    <t>Stal Stalowa Wola</t>
  </si>
  <si>
    <t>08/03/2026 18:30 | Poland | II Liga - East | Unia Skierniewice vs Stal Stalowa Wola</t>
  </si>
  <si>
    <t>Pescara</t>
  </si>
  <si>
    <t>Bari</t>
  </si>
  <si>
    <t>08/03/2026 18:30 | Italy | Serie B | Pescara vs Bari</t>
  </si>
  <si>
    <t>Lions Gibraltar</t>
  </si>
  <si>
    <t>Hound Dogs</t>
  </si>
  <si>
    <t>08/03/2026 18:30 | Gibraltar | Premier Division | Lions Gibraltar vs Hound Dogs</t>
  </si>
  <si>
    <t>Villarreal III</t>
  </si>
  <si>
    <t>Soneja</t>
  </si>
  <si>
    <t>08/03/2026 18:30 | Spain | Tercera División RFEF - Group 6 | Villarreal III vs Soneja</t>
  </si>
  <si>
    <t>Tecnico Universitario</t>
  </si>
  <si>
    <t>08/03/2026 18:30 | Ecuador | Liga Pro | Macara vs Tecnico Universitario</t>
  </si>
  <si>
    <t>Al Tadhamon</t>
  </si>
  <si>
    <t>08/03/2026 18:30 | Kuwait | Premier League | Al Arabi vs Al Tadhamon</t>
  </si>
  <si>
    <t>Kazma</t>
  </si>
  <si>
    <t>08/03/2026 18:30 | Kuwait | Premier League | Al Shabab vs Kazma</t>
  </si>
  <si>
    <t>Batel</t>
  </si>
  <si>
    <t>Rio Branco PR</t>
  </si>
  <si>
    <t>08/03/2026 18:30 | Brazil | Paranaense - 2 | Batel vs Rio Branco PR</t>
  </si>
  <si>
    <t>Laranja Mecânica</t>
  </si>
  <si>
    <t>Parana</t>
  </si>
  <si>
    <t>08/03/2026 18:30 | Brazil | Paranaense - 2 | Laranja Mecânica vs Parana</t>
  </si>
  <si>
    <t>Royal U20</t>
  </si>
  <si>
    <t>Guanabara City U20</t>
  </si>
  <si>
    <t>08/03/2026 18:30 | Brazil | Goiano U20 | Royal U20 vs Guanabara City U20</t>
  </si>
  <si>
    <t>08/03/2026 18:45</t>
  </si>
  <si>
    <t>Abha</t>
  </si>
  <si>
    <t>Al Jubail</t>
  </si>
  <si>
    <t>08/03/2026 18:45 | Saudi-Arabia | Division 1 | Abha vs Al Jubail</t>
  </si>
  <si>
    <t>08/03/2026 18:45 | Saudi-Arabia | Division 1 | Al Orubah vs Al Arabi SC</t>
  </si>
  <si>
    <t>Al Anwar</t>
  </si>
  <si>
    <t>08/03/2026 18:45 | Saudi-Arabia | Division 1 | Al Taee vs Al Anwar</t>
  </si>
  <si>
    <t>08/03/2026 18:45 | Saudi-Arabia | Division 1 | Al Zulfi vs Al Wehda Club</t>
  </si>
  <si>
    <t>08/03/2026 18:45 | Saudi-Arabia | Division 1 | Jeddah Club vs Al Ula</t>
  </si>
  <si>
    <t>08/03/2026 19:00</t>
  </si>
  <si>
    <t>FC Volendam</t>
  </si>
  <si>
    <t>08/03/2026 19:00 | Netherlands | Eredivisie | NEC Nijmegen vs FC Volendam</t>
  </si>
  <si>
    <t>Olympiakos Piraeus</t>
  </si>
  <si>
    <t>PAOK</t>
  </si>
  <si>
    <t>08/03/2026 19:00 | Greece | Super League 1 | Olympiakos Piraeus vs PAOK</t>
  </si>
  <si>
    <t>Racing Madrid</t>
  </si>
  <si>
    <t>Alcorcón II</t>
  </si>
  <si>
    <t>08/03/2026 19:00 | Spain | Tercera División RFEF - Group 7 | Racing Madrid vs Alcorcón II</t>
  </si>
  <si>
    <t>Tormenta</t>
  </si>
  <si>
    <t>Spokane Velocity</t>
  </si>
  <si>
    <t>08/03/2026 19:00 | USA | USL League One | Tormenta vs Spokane Velocity</t>
  </si>
  <si>
    <t>Brooklyn</t>
  </si>
  <si>
    <t>Indy Eleven</t>
  </si>
  <si>
    <t>08/03/2026 19:00 | USA | USL Championship | Brooklyn vs Indy Eleven</t>
  </si>
  <si>
    <t>Chattanooga</t>
  </si>
  <si>
    <t>Connecticut FC</t>
  </si>
  <si>
    <t>08/03/2026 19:00 | USA | MLS Next Pro | Chattanooga vs Connecticut FC</t>
  </si>
  <si>
    <t>Columbus Crew II</t>
  </si>
  <si>
    <t>New York City II</t>
  </si>
  <si>
    <t>08/03/2026 19:00 | USA | MLS Next Pro | Columbus Crew II vs New York City II</t>
  </si>
  <si>
    <t>Philadelphia Union II</t>
  </si>
  <si>
    <t>FC Cincinnati II</t>
  </si>
  <si>
    <t>08/03/2026 19:00 | USA | MLS Next Pro | Philadelphia Union II vs FC Cincinnati II</t>
  </si>
  <si>
    <t>Nova Iguaçu</t>
  </si>
  <si>
    <t>08/03/2026 19:00 | Brazil | Carioca - 1 | Nova Iguaçu vs Sampaio Corrêa RJ</t>
  </si>
  <si>
    <t>CFRJ / Maricá</t>
  </si>
  <si>
    <t>08/03/2026 19:00 | Brazil | Carioca - 1 | Portuguesa RJ vs CFRJ / Maricá</t>
  </si>
  <si>
    <t>Paranavaí</t>
  </si>
  <si>
    <t>08/03/2026 19:00 | Brazil | Paranaense - 2 | Patriotas vs Paranavaí</t>
  </si>
  <si>
    <t>Jataiense</t>
  </si>
  <si>
    <t>ABECAT Ouvidorense</t>
  </si>
  <si>
    <t>08/03/2026 19:00 | Brazil | Goiano - 1 | Jataiense vs ABECAT Ouvidorense</t>
  </si>
  <si>
    <t>Porto Vitória</t>
  </si>
  <si>
    <t>Vitória ES</t>
  </si>
  <si>
    <t>08/03/2026 19:00 | Brazil | Capixaba | Porto Vitória vs Vitória ES</t>
  </si>
  <si>
    <t>Ceilândia</t>
  </si>
  <si>
    <t>Gama</t>
  </si>
  <si>
    <t>08/03/2026 19:00 | Brazil | Brasiliense | Ceilândia vs Gama</t>
  </si>
  <si>
    <t>Sul-Matogrossense</t>
  </si>
  <si>
    <t>Bataguassu</t>
  </si>
  <si>
    <t>Ivinhema</t>
  </si>
  <si>
    <t>08/03/2026 19:00 | Brazil | Sul-Matogrossense | Bataguassu vs Ivinhema</t>
  </si>
  <si>
    <t>08/03/2026 19:00 | Jordan | League | Al Ramtha vs Al Wihdat</t>
  </si>
  <si>
    <t>QFC</t>
  </si>
  <si>
    <t>ABC</t>
  </si>
  <si>
    <t>08/03/2026 19:00 | Brazil | Potiguar | QFC vs ABC</t>
  </si>
  <si>
    <t>08/03/2026 19:15</t>
  </si>
  <si>
    <t>Legia Warszawa</t>
  </si>
  <si>
    <t>Cracovia Krakow</t>
  </si>
  <si>
    <t>08/03/2026 19:15 | Poland | Ekstraklasa | Legia Warszawa vs Cracovia Krakow</t>
  </si>
  <si>
    <t>Deportivo Upala</t>
  </si>
  <si>
    <t>AD Cofutpa</t>
  </si>
  <si>
    <t>08/03/2026 19:15 | Costa-Rica | Liga de Ascenso | Deportivo Upala vs AD Cofutpa</t>
  </si>
  <si>
    <t>08/03/2026 19:30</t>
  </si>
  <si>
    <t>Racing Ferrol</t>
  </si>
  <si>
    <t>Cacereño</t>
  </si>
  <si>
    <t>08/03/2026 19:30 | Spain | Primera División RFEF - Group 1 | Racing Ferrol vs Cacereño</t>
  </si>
  <si>
    <t>Ternana</t>
  </si>
  <si>
    <t>Gubbio</t>
  </si>
  <si>
    <t>08/03/2026 19:30 | Italy | Serie C - Girone B | Ternana vs Gubbio</t>
  </si>
  <si>
    <t>Cavese</t>
  </si>
  <si>
    <t>AZ Picerno</t>
  </si>
  <si>
    <t>08/03/2026 19:30 | Italy | Serie C - Girone C | Cavese vs AZ Picerno</t>
  </si>
  <si>
    <t>Rayo Zuliano</t>
  </si>
  <si>
    <t>UCV</t>
  </si>
  <si>
    <t>08/03/2026 19:30 | Venezuela | Primera División | Rayo Zuliano vs UCV</t>
  </si>
  <si>
    <t>Partick</t>
  </si>
  <si>
    <t>08/03/2026 19:30 | Scotland | FA Cup | ST Mirren vs Partick</t>
  </si>
  <si>
    <t>Zebbug Rangers</t>
  </si>
  <si>
    <t>Mgarr United</t>
  </si>
  <si>
    <t>08/03/2026 19:30 | Malta | Challenge League | Zebbug Rangers vs Mgarr United</t>
  </si>
  <si>
    <t>Dourados Atlético</t>
  </si>
  <si>
    <t>Corumbaense</t>
  </si>
  <si>
    <t>08/03/2026 19:30 | Brazil | Sul-Matogrossense | Dourados Atlético vs Corumbaense</t>
  </si>
  <si>
    <t>Puerto Cabello II</t>
  </si>
  <si>
    <t>Club Atletico Barinas</t>
  </si>
  <si>
    <t>08/03/2026 19:30 | Venezuela | Segunda División | Puerto Cabello II vs Club Atletico Barinas</t>
  </si>
  <si>
    <t>Zamora FC B</t>
  </si>
  <si>
    <t>Urena SC</t>
  </si>
  <si>
    <t>08/03/2026 19:30 | Venezuela | Segunda División | Zamora FC B vs Urena SC</t>
  </si>
  <si>
    <t>08/03/2026 19:45</t>
  </si>
  <si>
    <t>AC Milan</t>
  </si>
  <si>
    <t>08/03/2026 19:45 | Italy | Serie A | AC Milan vs Inter</t>
  </si>
  <si>
    <t>Lyon</t>
  </si>
  <si>
    <t>Paris FC</t>
  </si>
  <si>
    <t>08/03/2026 19:45 | France | Ligue 1 | Lyon vs Paris FC</t>
  </si>
  <si>
    <t>08/03/2026 20:00</t>
  </si>
  <si>
    <t>Valencia</t>
  </si>
  <si>
    <t>Alaves</t>
  </si>
  <si>
    <t>08/03/2026 20:00 | Spain | La Liga | Valencia vs Alaves</t>
  </si>
  <si>
    <t>Deportivo La Coruna</t>
  </si>
  <si>
    <t>Granada CF</t>
  </si>
  <si>
    <t>08/03/2026 20:00 | Spain | Segunda División | Deportivo La Coruna vs Granada CF</t>
  </si>
  <si>
    <t>Almirante Brown</t>
  </si>
  <si>
    <t>Atletico Mitre</t>
  </si>
  <si>
    <t>08/03/2026 20:00 | Argentina | Primera Nacional | Almirante Brown vs Atletico Mitre</t>
  </si>
  <si>
    <t>Chacarita Juniors</t>
  </si>
  <si>
    <t>Tristan Suarez</t>
  </si>
  <si>
    <t>08/03/2026 20:00 | Argentina | Primera Nacional | Chacarita Juniors vs Tristan Suarez</t>
  </si>
  <si>
    <t>Ciudad de Bolívar</t>
  </si>
  <si>
    <t>CA Estudiantes</t>
  </si>
  <si>
    <t>08/03/2026 20:00 | Argentina | Primera Nacional | Ciudad de Bolívar vs CA Estudiantes</t>
  </si>
  <si>
    <t>Club Atlético Güemes</t>
  </si>
  <si>
    <t>Gimnasia Jujuy</t>
  </si>
  <si>
    <t>08/03/2026 20:00 | Argentina | Primera Nacional | Club Atlético Güemes vs Gimnasia Jujuy</t>
  </si>
  <si>
    <t>Deportivo Madryn</t>
  </si>
  <si>
    <t>Los Andes</t>
  </si>
  <si>
    <t>08/03/2026 20:00 | Argentina | Primera Nacional | Deportivo Madryn vs Los Andes</t>
  </si>
  <si>
    <t>San Telmo</t>
  </si>
  <si>
    <t>Racing Cordoba</t>
  </si>
  <si>
    <t>08/03/2026 20:00 | Argentina | Primera Nacional | San Telmo vs Racing Cordoba</t>
  </si>
  <si>
    <t>Portland Timbers II</t>
  </si>
  <si>
    <t>08/03/2026 20:00 | USA | MLS Next Pro | Portland Timbers II vs Vancouver Whitecaps II</t>
  </si>
  <si>
    <t>Wotton</t>
  </si>
  <si>
    <t>08/03/2026 20:00 | Barbados | Premier League | Wotton vs Bagatelle</t>
  </si>
  <si>
    <t>União Santarém</t>
  </si>
  <si>
    <t>CF Os Belenenses</t>
  </si>
  <si>
    <t>08/03/2026 20:00 | Portugal | Liga 3 | União Santarém vs CF Os Belenenses</t>
  </si>
  <si>
    <t>Paraense</t>
  </si>
  <si>
    <t>remo</t>
  </si>
  <si>
    <t>08/03/2026 20:00 | Brazil | Paraense | Paysandu vs remo</t>
  </si>
  <si>
    <t>Club Nacional</t>
  </si>
  <si>
    <t>08/03/2026 20:00 | Uruguay | Primera División - Apertura | Juventud vs Club Nacional</t>
  </si>
  <si>
    <t>Atletico Avila FC</t>
  </si>
  <si>
    <t>Petare FC</t>
  </si>
  <si>
    <t>08/03/2026 20:00 | Venezuela | Segunda División | Atletico Avila FC vs Petare FC</t>
  </si>
  <si>
    <t>Torneo Amistoso de Verano</t>
  </si>
  <si>
    <t>Always Ready</t>
  </si>
  <si>
    <t>08/03/2026 20:00 | Bolivia | Torneo Amistoso de Verano | Bolívar vs Always Ready</t>
  </si>
  <si>
    <t>AO Itabaiana</t>
  </si>
  <si>
    <t>América SE</t>
  </si>
  <si>
    <t>08/03/2026 20:00 | Brazil | Sergipano | AO Itabaiana vs América SE</t>
  </si>
  <si>
    <t>Universidad O&amp;M</t>
  </si>
  <si>
    <t>Cibao</t>
  </si>
  <si>
    <t>08/03/2026 20:00 | Dominican-Republic | Liga Mayor | Universidad O&amp;M vs Cibao</t>
  </si>
  <si>
    <t>Britannia</t>
  </si>
  <si>
    <t>08/03/2026 20:00 | Aruba | Division di Honor | RCA vs Britannia</t>
  </si>
  <si>
    <t>08/03/2026 20:15</t>
  </si>
  <si>
    <t>Aston Villa</t>
  </si>
  <si>
    <t>John Hughes</t>
  </si>
  <si>
    <t>08/03/2026 20:15 | Antigua-And-Barbuda | Premier Division | Aston Villa vs John Hughes</t>
  </si>
  <si>
    <t>08/03/2026 20:30</t>
  </si>
  <si>
    <t>08/03/2026 20:30 | Portugal | Primeira Liga | Santa Clara vs Guimaraes</t>
  </si>
  <si>
    <t>New York Red Bulls</t>
  </si>
  <si>
    <t>CF Montreal</t>
  </si>
  <si>
    <t>08/03/2026 20:30 | USA | Major League Soccer | New York Red Bulls vs CF Montreal</t>
  </si>
  <si>
    <t>Treasure Beach</t>
  </si>
  <si>
    <t>08/03/2026 20:30 | Jamaica | Premier League | Portmore United vs Treasure Beach</t>
  </si>
  <si>
    <t>Tivoli Gardens</t>
  </si>
  <si>
    <t>Dunbeholden</t>
  </si>
  <si>
    <t>08/03/2026 20:30 | Jamaica | Premier League | Tivoli Gardens vs Dunbeholden</t>
  </si>
  <si>
    <t>08/03/2026 20:30 | Jamaica | Premier League | Spanish Town Police vs Mount Pleasant Academy</t>
  </si>
  <si>
    <t>Club Deportivo Los Chankas</t>
  </si>
  <si>
    <t>Universitario</t>
  </si>
  <si>
    <t>08/03/2026 20:30 | Peru | Primera División | Club Deportivo Los Chankas vs Universitario</t>
  </si>
  <si>
    <t>FC Inter Wanica</t>
  </si>
  <si>
    <t>Notch</t>
  </si>
  <si>
    <t>08/03/2026 20:30 | Suriname | Eerste Divisie | FC Inter Wanica vs Notch</t>
  </si>
  <si>
    <t>08/03/2026 21:00</t>
  </si>
  <si>
    <t>Limón Black Star</t>
  </si>
  <si>
    <t>08/03/2026 21:00 | Costa-Rica | Liga de Ascenso | Limón Black Star vs Pitbulls Santa Barbara FC</t>
  </si>
  <si>
    <t>Turrialba Fc</t>
  </si>
  <si>
    <t>ADR Jicaral</t>
  </si>
  <si>
    <t>08/03/2026 21:00 | Costa-Rica | Liga de Ascenso | Turrialba Fc vs ADR Jicaral</t>
  </si>
  <si>
    <t>Central Norte</t>
  </si>
  <si>
    <t>Godoy Cruz</t>
  </si>
  <si>
    <t>08/03/2026 21:00 | Argentina | Primera Nacional | Central Norte vs Godoy Cruz</t>
  </si>
  <si>
    <t>Midland</t>
  </si>
  <si>
    <t>08/03/2026 21:00 | Argentina | Primera Nacional | Patronato vs Midland</t>
  </si>
  <si>
    <t>Municipal</t>
  </si>
  <si>
    <t>08/03/2026 21:00 | Guatemala | Liga Nacional | Mictlán vs Municipal</t>
  </si>
  <si>
    <t>Cavalier</t>
  </si>
  <si>
    <t>Chapelton</t>
  </si>
  <si>
    <t>08/03/2026 21:00 | Jamaica | Premier League | Cavalier vs Chapelton</t>
  </si>
  <si>
    <t>Cacahuatique</t>
  </si>
  <si>
    <t>Municipal Limeño</t>
  </si>
  <si>
    <t>08/03/2026 21:00 | El-Salvador | Primera Division | Cacahuatique vs Municipal Limeño</t>
  </si>
  <si>
    <t>Union Cocle</t>
  </si>
  <si>
    <t>Sporting San Miguelito</t>
  </si>
  <si>
    <t>08/03/2026 21:00 | Panama | Liga Panameña de Fútbol | Union Cocle vs Sporting San Miguelito</t>
  </si>
  <si>
    <t>D. Puerto Montt</t>
  </si>
  <si>
    <t>Recoleta</t>
  </si>
  <si>
    <t>08/03/2026 21:00 | Chile | Primera B | D. Puerto Montt vs Recoleta</t>
  </si>
  <si>
    <t>Toronto II</t>
  </si>
  <si>
    <t>08/03/2026 21:00 | USA | MLS Next Pro | New England II vs Toronto II</t>
  </si>
  <si>
    <t>St. Louis City II</t>
  </si>
  <si>
    <t>08/03/2026 21:00 | USA | MLS Next Pro | St. Louis City II vs Minnesota United II</t>
  </si>
  <si>
    <t>USM Alger</t>
  </si>
  <si>
    <t>08/03/2026 21:00 | Algeria | Ligue 1 | USM Alger vs CS Constantine</t>
  </si>
  <si>
    <t>Universidad Catolica</t>
  </si>
  <si>
    <t>Leones del Norte</t>
  </si>
  <si>
    <t>08/03/2026 21:00 | Ecuador | Liga Pro | Universidad Catolica vs Leones del Norte</t>
  </si>
  <si>
    <t>Victoria</t>
  </si>
  <si>
    <t>08/03/2026 21:00 | Honduras | Liga Nacional | Victoria vs Génesis</t>
  </si>
  <si>
    <t>H&amp;H Export</t>
  </si>
  <si>
    <t>08/03/2026 21:00 | Nicaragua | Primera Division | Jalapa vs H&amp;H Export</t>
  </si>
  <si>
    <t>Cearense - 1</t>
  </si>
  <si>
    <t>Ceara</t>
  </si>
  <si>
    <t>Fortaleza EC</t>
  </si>
  <si>
    <t>08/03/2026 21:00 | Brazil | Cearense - 1 | Ceara vs Fortaleza EC</t>
  </si>
  <si>
    <t>Nautico Recife</t>
  </si>
  <si>
    <t>Sport Recife</t>
  </si>
  <si>
    <t>08/03/2026 21:00 | Brazil | Pernambucano - 1 | Nautico Recife vs Sport Recife</t>
  </si>
  <si>
    <t>Campinense</t>
  </si>
  <si>
    <t>08/03/2026 21:00 | Brazil | Paraibano | Campinense vs Sousa</t>
  </si>
  <si>
    <t>Chapecoense-sc</t>
  </si>
  <si>
    <t>Barra</t>
  </si>
  <si>
    <t>08/03/2026 21:00 | Brazil | Catarinense - 1 | Chapecoense-sc vs Barra</t>
  </si>
  <si>
    <t>Internacional</t>
  </si>
  <si>
    <t>Gremio</t>
  </si>
  <si>
    <t>08/03/2026 21:00 | Brazil | Gaúcho - 1 | Internacional vs Gremio</t>
  </si>
  <si>
    <t>Matogrossense</t>
  </si>
  <si>
    <t>Luverdense</t>
  </si>
  <si>
    <t>Mixto</t>
  </si>
  <si>
    <t>08/03/2026 21:00 | Brazil | Matogrossense | Luverdense vs Mixto</t>
  </si>
  <si>
    <t>Cruzeiro</t>
  </si>
  <si>
    <t>Atletico-MG</t>
  </si>
  <si>
    <t>08/03/2026 21:00 | Brazil | Mineiro - 1 | Cruzeiro vs Atletico-MG</t>
  </si>
  <si>
    <t>Fluminense</t>
  </si>
  <si>
    <t>08/03/2026 21:00 | Brazil | Carioca - 1 | Fluminense vs Flamengo</t>
  </si>
  <si>
    <t>08/03/2026 21:30</t>
  </si>
  <si>
    <t>Olimpia</t>
  </si>
  <si>
    <t>08/03/2026 21:30 | Paraguay | Division Profesional - Apertura | Olimpia vs Club Sp. San Lorenzo</t>
  </si>
  <si>
    <t>Metropolitanos FC</t>
  </si>
  <si>
    <t>Portuguesa FC</t>
  </si>
  <si>
    <t>08/03/2026 21:30 | Venezuela | Primera División | Metropolitanos FC vs Portuguesa FC</t>
  </si>
  <si>
    <t>08/03/2026 22:00</t>
  </si>
  <si>
    <t>Neza</t>
  </si>
  <si>
    <t>Pioneros de Cancún</t>
  </si>
  <si>
    <t>08/03/2026 22:00 | Mexico | Liga Premier Serie A | Neza vs Pioneros de Cancún</t>
  </si>
  <si>
    <t>Ferro Carril Oeste</t>
  </si>
  <si>
    <t>Deportivo Moron</t>
  </si>
  <si>
    <t>08/03/2026 22:00 | Argentina | Primera Nacional | Ferro Carril Oeste vs Deportivo Moron</t>
  </si>
  <si>
    <t>08/03/2026 22:00 | Barbados | Premier League | Pride of Gall Hill vs Weymouth Wales</t>
  </si>
  <si>
    <t>Renaissance Berkane</t>
  </si>
  <si>
    <t>Difaa EL Jadida</t>
  </si>
  <si>
    <t>08/03/2026 22:00 | Morocco | Botola Pro | Renaissance Berkane vs Difaa EL Jadida</t>
  </si>
  <si>
    <t>UTS Rabat</t>
  </si>
  <si>
    <t>Wydad AC</t>
  </si>
  <si>
    <t>08/03/2026 22:00 | Morocco | Botola Pro | UTS Rabat vs Wydad AC</t>
  </si>
  <si>
    <t>Nouakchott King's</t>
  </si>
  <si>
    <t>08/03/2026 22:00 | Mauritania | Premier League | Tevragh-Zeïne vs Nouakchott King's</t>
  </si>
  <si>
    <t>Moghreb Tetouan</t>
  </si>
  <si>
    <t>Widad Témara</t>
  </si>
  <si>
    <t>08/03/2026 22:00 | Morocco | Botola 2 | Moghreb Tetouan vs Widad Témara</t>
  </si>
  <si>
    <t>Union Sportive Boujaad</t>
  </si>
  <si>
    <t>El Massira</t>
  </si>
  <si>
    <t>08/03/2026 22:00 | Morocco | Botola 2 | Union Sportive Boujaad vs El Massira</t>
  </si>
  <si>
    <t>Sporting Cristal U20</t>
  </si>
  <si>
    <t>Olimpia U20</t>
  </si>
  <si>
    <t>08/03/2026 22:00 | World | CONMEBOL Libertadores U20 | Sporting Cristal U20 vs Olimpia U20</t>
  </si>
  <si>
    <t>La Fama</t>
  </si>
  <si>
    <t>08/03/2026 22:00 | Aruba | Division di Honor | La Fama vs Dakota</t>
  </si>
  <si>
    <t>08/03/2026 22:45</t>
  </si>
  <si>
    <t>Club Tijuana U21</t>
  </si>
  <si>
    <t>08/03/2026 22:45 | Mexico | Liga MX U21 | Club Tijuana U21 vs Santos Laguna U21</t>
  </si>
  <si>
    <t>08/03/2026 23:00</t>
  </si>
  <si>
    <t>CS Herediano</t>
  </si>
  <si>
    <t>08/03/2026 23:00 | Costa-Rica | Primera División | Deportivo Saprissa vs CS Herediano</t>
  </si>
  <si>
    <t>FC Cincinnati</t>
  </si>
  <si>
    <t>Toronto FC</t>
  </si>
  <si>
    <t>08/03/2026 23:00 | USA | Major League Soccer | FC Cincinnati vs Toronto FC</t>
  </si>
  <si>
    <t>Toluca</t>
  </si>
  <si>
    <t>FC Juarez</t>
  </si>
  <si>
    <t>08/03/2026 23:00 | Mexico | Liga MX | Toluca vs FC Juarez</t>
  </si>
  <si>
    <t>CDS Tampico Madero</t>
  </si>
  <si>
    <t>Dorados</t>
  </si>
  <si>
    <t>08/03/2026 23:00 | Mexico | Liga de Expansión MX | CDS Tampico Madero vs Dorados</t>
  </si>
  <si>
    <t>Tepatitlán</t>
  </si>
  <si>
    <t>Mineros de Zacatecas</t>
  </si>
  <si>
    <t>08/03/2026 23:00 | Mexico | Liga de Expansión MX | Tepatitlán vs Mineros de Zacatecas</t>
  </si>
  <si>
    <t>Deportivo Maipu</t>
  </si>
  <si>
    <t>Gimnasia Y Tiro</t>
  </si>
  <si>
    <t>08/03/2026 23:00 | Argentina | Primera Nacional | Deportivo Maipu vs Gimnasia Y Tiro</t>
  </si>
  <si>
    <t>San Martin S.J.</t>
  </si>
  <si>
    <t>Agropecuario</t>
  </si>
  <si>
    <t>08/03/2026 23:00 | Argentina | Primera Nacional | San Martin S.J. vs Agropecuario</t>
  </si>
  <si>
    <t>FAS</t>
  </si>
  <si>
    <t>08/03/2026 23:00 | El-Salvador | Primera Division | Platense vs FAS</t>
  </si>
  <si>
    <t>Carolina Core</t>
  </si>
  <si>
    <t>08/03/2026 23:00 | USA | MLS Next Pro | Atlanta United II vs Carolina Core</t>
  </si>
  <si>
    <t>08/03/2026 23:00 | USA | MLS Next Pro | Houston Dynamo FC II vs Tacoma Defiance</t>
  </si>
  <si>
    <t>08/03/2026 23:00 | USA | MLS Next Pro | Orlando City II vs Chicago Fire</t>
  </si>
  <si>
    <t>Ji-Paraná</t>
  </si>
  <si>
    <t>08/03/2026 23:00 | Brazil | Rondoniense | Guaporé vs Ji-Paraná</t>
  </si>
  <si>
    <t>Real Madriz</t>
  </si>
  <si>
    <t>Managua</t>
  </si>
  <si>
    <t>08/03/2026 23:00 | Nicaragua | Primera Division | Real Madriz vs Managua</t>
  </si>
  <si>
    <t>Central Espanol</t>
  </si>
  <si>
    <t>08/03/2026 23:00 | Uruguay | Primera División - Apertura | Defensor Sporting vs Central Espanol</t>
  </si>
  <si>
    <t>Leo Victor</t>
  </si>
  <si>
    <t>Inter Moengotapoe</t>
  </si>
  <si>
    <t>08/03/2026 23:00 | Suriname | Eerste Divisie | Leo Victor vs Inter Moengotapoe</t>
  </si>
  <si>
    <t>Manauara</t>
  </si>
  <si>
    <t>08/03/2026 23:00 | Brazil | Amazonense | Manauara vs Nacional AM</t>
  </si>
  <si>
    <t>08/03/2026 23:15</t>
  </si>
  <si>
    <t>Independiente de La Chorrera</t>
  </si>
  <si>
    <t>UMECIT</t>
  </si>
  <si>
    <t>08/03/2026 23:15 | Panama | Liga Panameña de Fútbol | Independiente de La Chorrera vs UMECIT</t>
  </si>
  <si>
    <t>CD Olimpia</t>
  </si>
  <si>
    <t>08/03/2026 23:15 | Honduras | Liga Nacional | CD Olimpia vs Real Espana</t>
  </si>
  <si>
    <t>08/03/2026 23:30</t>
  </si>
  <si>
    <t>2 de Mayo</t>
  </si>
  <si>
    <t>08/03/2026 23:30 | Paraguay | Division Profesional - Apertura | Rubio NU vs 2 de Mayo</t>
  </si>
  <si>
    <t>Palestino</t>
  </si>
  <si>
    <t>Cobresal</t>
  </si>
  <si>
    <t>08/03/2026 23:30 | Chile | Primera División | Palestino vs Cobresal</t>
  </si>
  <si>
    <t>Monagas SC</t>
  </si>
  <si>
    <t>Trujillanos FC</t>
  </si>
  <si>
    <t>08/03/2026 23:30 | Venezuela | Primera División | Monagas SC vs Trujillanos FC</t>
  </si>
  <si>
    <t>Rangers de Talca</t>
  </si>
  <si>
    <t>08/03/2026 23:30 | Chile | Primera B | Rangers de Talca vs San Luis</t>
  </si>
  <si>
    <t>Novorizontino</t>
  </si>
  <si>
    <t>Palmeiras</t>
  </si>
  <si>
    <t>08/03/2026 23:30 | Brazil | Paulista - A1 | Novorizontino vs Palmeiras</t>
  </si>
  <si>
    <t>08/03/2026 23:59</t>
  </si>
  <si>
    <t>Inter Nouakchott</t>
  </si>
  <si>
    <t>08/03/2026 23:59 | Mauritania | Premier League | Police vs Inter Nouakchott</t>
  </si>
  <si>
    <t>09/03/2026 00:00</t>
  </si>
  <si>
    <t>Antigua GFC</t>
  </si>
  <si>
    <t>Cobán Imperial</t>
  </si>
  <si>
    <t>09/03/2026 00:00 | Guatemala | Liga Nacional | Antigua GFC vs Cobán Imperial</t>
  </si>
  <si>
    <t>Arnett Gardens</t>
  </si>
  <si>
    <t>09/03/2026 00:00 | Jamaica | Premier League | Arnett Gardens vs Molynes United</t>
  </si>
  <si>
    <t>New York RB II</t>
  </si>
  <si>
    <t>Inter Miami II</t>
  </si>
  <si>
    <t>09/03/2026 00:00 | USA | MLS Next Pro | New York RB II vs Inter Miami II</t>
  </si>
  <si>
    <t>Sporting KC II</t>
  </si>
  <si>
    <t>Real Monarchs</t>
  </si>
  <si>
    <t>09/03/2026 00:00 | USA | MLS Next Pro | Sporting KC II vs Real Monarchs</t>
  </si>
  <si>
    <t>Brittons Hill</t>
  </si>
  <si>
    <t>Ellerton</t>
  </si>
  <si>
    <t>09/03/2026 00:00 | Barbados | Premier League | Brittons Hill vs Ellerton</t>
  </si>
  <si>
    <t>Palmeiras U20</t>
  </si>
  <si>
    <t>Universidad Católica del Ecuador U20</t>
  </si>
  <si>
    <t>09/03/2026 00:00 | World | CONMEBOL Libertadores U20 | Palmeiras U20 vs Universidad Católica del Ecuador U20</t>
  </si>
  <si>
    <t>Bubali</t>
  </si>
  <si>
    <t>Sporting</t>
  </si>
  <si>
    <t>09/03/2026 00:00 | Aruba | Division di Honor | Bubali vs Sporting</t>
  </si>
  <si>
    <t>09/03/2026 00:30</t>
  </si>
  <si>
    <t>Montego Bay United</t>
  </si>
  <si>
    <t>09/03/2026 00:30 | Jamaica | Premier League | Waterhouse vs Montego Bay United</t>
  </si>
  <si>
    <t>09/03/2026 00:30 | USA | MLS Next Pro | Austin II vs Ventura County</t>
  </si>
  <si>
    <t>09/03/2026 01:00</t>
  </si>
  <si>
    <t>Rancho Santana</t>
  </si>
  <si>
    <t>09/03/2026 01:00 | Nicaragua | Primera Division | Rancho Santana vs Real Estelí</t>
  </si>
  <si>
    <t>09/03/2026 01:30</t>
  </si>
  <si>
    <t>Juticalpa</t>
  </si>
  <si>
    <t>09/03/2026 01:30 | Honduras | Liga Nacional | Lobos Upnfm vs Juticalpa</t>
  </si>
  <si>
    <t>09/03/2026 02:00</t>
  </si>
  <si>
    <t>Achuapa</t>
  </si>
  <si>
    <t>09/03/2026 02:00 | Guatemala | Liga Nacional | Comunicaciones vs Achuapa</t>
  </si>
  <si>
    <t>The Town</t>
  </si>
  <si>
    <t>09/03/2026 02:00 | USA | MLS Next Pro | The Town vs Los Angeles FC II</t>
  </si>
  <si>
    <t>09/03/2026 03:06</t>
  </si>
  <si>
    <t>Club Tijuana</t>
  </si>
  <si>
    <t>Santos Laguna</t>
  </si>
  <si>
    <t>09/03/2026 03:06 | Mexico | Liga MX | Club Tijuana vs Santos Laguna</t>
  </si>
  <si>
    <t>09/03/2026 09:00</t>
  </si>
  <si>
    <t>09/03/2026 09:00 | World | Asian Cup Women | Bangladesh W vs Uzbekistan W</t>
  </si>
  <si>
    <t>09/03/2026 09:00 | World | Asian Cup Women | Korea DPR vs China W</t>
  </si>
  <si>
    <t>Melbourne Victory II</t>
  </si>
  <si>
    <t>09/03/2026 09:00 | Australia | Victoria NPL 2 | Melbourne Victory II vs Bulleen Lions</t>
  </si>
  <si>
    <t>09/03/2026 09:30</t>
  </si>
  <si>
    <t>Thitsar Arman</t>
  </si>
  <si>
    <t>09/03/2026 09:30 | Myanmar | National League | Thitsar Arman vs Dagon</t>
  </si>
  <si>
    <t>09/03/2026 10:00</t>
  </si>
  <si>
    <t>Lecce U20</t>
  </si>
  <si>
    <t>Torino U20</t>
  </si>
  <si>
    <t>09/03/2026 10:00 | Italy | Campionato Primavera - 1 | Lecce U20 vs Torino U20</t>
  </si>
  <si>
    <t>09/03/2026 11:00</t>
  </si>
  <si>
    <t>Pyunik Yerevan</t>
  </si>
  <si>
    <t>Shirak</t>
  </si>
  <si>
    <t>09/03/2026 11:00 | Armenia | Premier League | Pyunik Yerevan vs Shirak</t>
  </si>
  <si>
    <t>Rotor Volgograd</t>
  </si>
  <si>
    <t>Ural</t>
  </si>
  <si>
    <t>09/03/2026 11:00 | Russia | First League | Rotor Volgograd vs Ural</t>
  </si>
  <si>
    <t>09/03/2026 11:00 | Armenia | First League | Van II vs Hayq</t>
  </si>
  <si>
    <t>09/03/2026 12:00</t>
  </si>
  <si>
    <t>Cremonese U20</t>
  </si>
  <si>
    <t>Atalanta U20</t>
  </si>
  <si>
    <t>09/03/2026 12:00 | Italy | Campionato Primavera - 1 | Cremonese U20 vs Atalanta U20</t>
  </si>
  <si>
    <t>Bahardar</t>
  </si>
  <si>
    <t>09/03/2026 12:00 | Ethiopia | Premier League | Bahardar vs Negelle Arsi</t>
  </si>
  <si>
    <t>Fasil Ketema</t>
  </si>
  <si>
    <t>09/03/2026 12:00 | Ethiopia | Premier League | Suhul Shire vs Fasil Ketema</t>
  </si>
  <si>
    <t>FC UFA</t>
  </si>
  <si>
    <t>09/03/2026 12:00 | Russia | First League | Shinnik Yaroslavl vs FC UFA</t>
  </si>
  <si>
    <t>Ferizaj</t>
  </si>
  <si>
    <t>Gjilani</t>
  </si>
  <si>
    <t>09/03/2026 12:00 | Kosovo | Superliga | Ferizaj vs Gjilani</t>
  </si>
  <si>
    <t>Llapi</t>
  </si>
  <si>
    <t>Ballkani</t>
  </si>
  <si>
    <t>09/03/2026 12:00 | Kosovo | Superliga | Llapi vs Ballkani</t>
  </si>
  <si>
    <t>Malisheva</t>
  </si>
  <si>
    <t>Prishtina</t>
  </si>
  <si>
    <t>09/03/2026 12:00 | Kosovo | Superliga | Malisheva vs Prishtina</t>
  </si>
  <si>
    <t>09/03/2026 12:30</t>
  </si>
  <si>
    <t>Hougang United</t>
  </si>
  <si>
    <t>Balestier Khalsa</t>
  </si>
  <si>
    <t>09/03/2026 12:30 | Singapore | Premier League | Hougang United vs Balestier Khalsa</t>
  </si>
  <si>
    <t>09/03/2026 13:00</t>
  </si>
  <si>
    <t>Eyüpspor</t>
  </si>
  <si>
    <t>Kocaelispor</t>
  </si>
  <si>
    <t>09/03/2026 13:00 | Turkey | Süper Lig | Eyüpspor vs Kocaelispor</t>
  </si>
  <si>
    <t>Grafičar</t>
  </si>
  <si>
    <t>Dubočica</t>
  </si>
  <si>
    <t>09/03/2026 13:00 | Serbia | Prva Liga | Grafičar vs Dubočica</t>
  </si>
  <si>
    <t>Stepojevac Vaga</t>
  </si>
  <si>
    <t>FK Trayal</t>
  </si>
  <si>
    <t>09/03/2026 13:00 | Serbia | Prva Liga | Stepojevac Vaga vs FK Trayal</t>
  </si>
  <si>
    <t>09/03/2026 13:00 | Macedonia | First League | Shkendija vs Akademija Pandev</t>
  </si>
  <si>
    <t>Sileks</t>
  </si>
  <si>
    <t>Vardar Skopje</t>
  </si>
  <si>
    <t>09/03/2026 13:00 | Macedonia | First League | Sileks vs Vardar Skopje</t>
  </si>
  <si>
    <t>09/03/2026 13:00 | England | Professional Development League | AFC Bournemouth U21 vs Brentford U21</t>
  </si>
  <si>
    <t>Mladost Lješkopolje</t>
  </si>
  <si>
    <t>09/03/2026 13:00 | Montenegro | Second League | Mladost Lješkopolje vs Iskra</t>
  </si>
  <si>
    <t>09/03/2026 13:00 | Armenia | First League | BKMA II vs Pyunik II</t>
  </si>
  <si>
    <t>Parana Clube U20</t>
  </si>
  <si>
    <t>Cascavel U20</t>
  </si>
  <si>
    <t>09/03/2026 13:00 | Brazil | Paranaense U20 | Parana Clube U20 vs Cascavel U20</t>
  </si>
  <si>
    <t>09/03/2026 13:30</t>
  </si>
  <si>
    <t>Ruh Lviv</t>
  </si>
  <si>
    <t>Metalist 1925 Kharkiv</t>
  </si>
  <si>
    <t>09/03/2026 13:30 | Ukraine | Premier League | Ruh Lviv vs Metalist 1925 Kharkiv</t>
  </si>
  <si>
    <t>Lokomotiv</t>
  </si>
  <si>
    <t>Akhmat</t>
  </si>
  <si>
    <t>09/03/2026 13:30 | Russia | Premier League | Lokomotiv vs Akhmat</t>
  </si>
  <si>
    <t>Persik Kediri</t>
  </si>
  <si>
    <t>09/03/2026 13:30 | Indonesia | Liga 1 | Persib Bandung vs Persik Kediri</t>
  </si>
  <si>
    <t>PSBS Biak Numfor</t>
  </si>
  <si>
    <t>Semen Padang</t>
  </si>
  <si>
    <t>09/03/2026 13:30 | Indonesia | Liga 1 | PSBS Biak Numfor vs Semen Padang</t>
  </si>
  <si>
    <t>09/03/2026 13:30 | Bulgaria | First League | Montana vs Ludogorets</t>
  </si>
  <si>
    <t>Pirin Blagoevgrad</t>
  </si>
  <si>
    <t>09/03/2026 13:30 | Bulgaria | Second League | CSKA Sofia II vs Pirin Blagoevgrad</t>
  </si>
  <si>
    <t>09/03/2026 14:00</t>
  </si>
  <si>
    <t>Jedinstvo Ub</t>
  </si>
  <si>
    <t>Semendrija 1924</t>
  </si>
  <si>
    <t>09/03/2026 14:00 | Serbia | Prva Liga | Jedinstvo Ub vs Semendrija 1924</t>
  </si>
  <si>
    <t>Cesena U20</t>
  </si>
  <si>
    <t>Milan U20</t>
  </si>
  <si>
    <t>09/03/2026 14:00 | Italy | Campionato Primavera - 1 | Cesena U20 vs Milan U20</t>
  </si>
  <si>
    <t>09/03/2026 14:00 | England | Premier League 2 Division One | Birmingham City U21 vs Chelsea U21</t>
  </si>
  <si>
    <t>Minerva Punjab</t>
  </si>
  <si>
    <t>NorthEast United</t>
  </si>
  <si>
    <t>09/03/2026 14:00 | India | Indian Super League | Minerva Punjab vs NorthEast United</t>
  </si>
  <si>
    <t>Arsenal Tula</t>
  </si>
  <si>
    <t>Volga Ulyanovsk</t>
  </si>
  <si>
    <t>09/03/2026 14:00 | Russia | First League | Arsenal Tula vs Volga Ulyanovsk</t>
  </si>
  <si>
    <t>09/03/2026 14:00 | Armenia | First League | Noah II vs Sardarapat</t>
  </si>
  <si>
    <t>09/03/2026 14:00 | Armenia | First League | Banants II vs Araks Ararat</t>
  </si>
  <si>
    <t>MC Saida</t>
  </si>
  <si>
    <t>WA Tlemcen</t>
  </si>
  <si>
    <t>09/03/2026 14:00 | Algeria | Ligue 2 | MC Saida vs WA Tlemcen</t>
  </si>
  <si>
    <t>09/03/2026 14:30</t>
  </si>
  <si>
    <t>Kapaz</t>
  </si>
  <si>
    <t>09/03/2026 14:30 | Azerbaijan | Premyer Liqa | Zira vs Kapaz</t>
  </si>
  <si>
    <t>09/03/2026 15:00</t>
  </si>
  <si>
    <t>ASA Targu Mures</t>
  </si>
  <si>
    <t>Chindia Targoviste</t>
  </si>
  <si>
    <t>09/03/2026 15:00 | Romania | Liga II | ASA Targu Mures vs Chindia Targoviste</t>
  </si>
  <si>
    <t>09/03/2026 15:00 | Portugal | Liga Revelação U23 | Estrela U23 vs União Leiria U23</t>
  </si>
  <si>
    <t>09/03/2026 15:00 | Portugal | Liga Revelação U23 | Gil Vicente U23 vs Vizela U23</t>
  </si>
  <si>
    <t>Dire Dawa Kenema</t>
  </si>
  <si>
    <t>09/03/2026 15:00 | Ethiopia | Premier League | Dire Dawa Kenema vs Ethiopia Nigd Bank</t>
  </si>
  <si>
    <t>Hadiya Hosaena</t>
  </si>
  <si>
    <t>09/03/2026 15:00 | Ethiopia | Premier League | Ethiopian Medhin vs Hadiya Hosaena</t>
  </si>
  <si>
    <t>09/03/2026 16:00</t>
  </si>
  <si>
    <t>Veres Rivne</t>
  </si>
  <si>
    <t>LNZ Cherkasy</t>
  </si>
  <si>
    <t>09/03/2026 16:00 | Ukraine | Premier League | Veres Rivne vs LNZ Cherkasy</t>
  </si>
  <si>
    <t>Macva</t>
  </si>
  <si>
    <t>09/03/2026 16:00 | Serbia | Prva Liga | Macva vs FAP</t>
  </si>
  <si>
    <t>Akron</t>
  </si>
  <si>
    <t>09/03/2026 16:00 | Russia | Premier League | Spartak Moscow vs Akron</t>
  </si>
  <si>
    <t>Panetolikos</t>
  </si>
  <si>
    <t>Kifisia</t>
  </si>
  <si>
    <t>09/03/2026 16:00 | Greece | Super League 1 | Panetolikos vs Kifisia</t>
  </si>
  <si>
    <t>Levski Sofia</t>
  </si>
  <si>
    <t>09/03/2026 16:00 | Bulgaria | First League | Levski Sofia vs Lokomotiv Plovdiv</t>
  </si>
  <si>
    <t>Majestic</t>
  </si>
  <si>
    <t>AJEB</t>
  </si>
  <si>
    <t>09/03/2026 16:00 | Burkina-Faso | Ligue 1 | Majestic vs AJEB</t>
  </si>
  <si>
    <t>SONABEL</t>
  </si>
  <si>
    <t>Rahimo</t>
  </si>
  <si>
    <t>09/03/2026 16:00 | Burkina-Faso | Ligue 1 | SONABEL vs Rahimo</t>
  </si>
  <si>
    <t>Réal du Faso</t>
  </si>
  <si>
    <t>USFA</t>
  </si>
  <si>
    <t>09/03/2026 16:00 | Burkina-Faso | Ligue 1 | Réal du Faso vs USFA</t>
  </si>
  <si>
    <t>CFFEB</t>
  </si>
  <si>
    <t>Salitas</t>
  </si>
  <si>
    <t>09/03/2026 16:00 | Burkina-Faso | Ligue 1 | CFFEB vs Salitas</t>
  </si>
  <si>
    <t>ASFB</t>
  </si>
  <si>
    <t>09/03/2026 16:00 | Burkina-Faso | Ligue 1 | ASFB vs Vitesse</t>
  </si>
  <si>
    <t>SOL</t>
  </si>
  <si>
    <t>SOA</t>
  </si>
  <si>
    <t>09/03/2026 16:00 | Ivory-Coast | Ligue 1 | SOL vs SOA</t>
  </si>
  <si>
    <t>09/03/2026 16:30</t>
  </si>
  <si>
    <t>Radomlje</t>
  </si>
  <si>
    <t>Bravo</t>
  </si>
  <si>
    <t>09/03/2026 16:30 | Slovenia | 1. SNL | Radomlje vs Bravo</t>
  </si>
  <si>
    <t>Neftchi Baku</t>
  </si>
  <si>
    <t>Turan</t>
  </si>
  <si>
    <t>09/03/2026 16:30 | Azerbaijan | Premyer Liqa | Neftchi Baku vs Turan</t>
  </si>
  <si>
    <t>09/03/2026 17:00</t>
  </si>
  <si>
    <t>ŁKS Łódź</t>
  </si>
  <si>
    <t>09/03/2026 17:00 | Poland | I Liga | Polonia Warszawa vs ŁKS Łódź</t>
  </si>
  <si>
    <t>Mladost Lucani</t>
  </si>
  <si>
    <t>Novi Pazar</t>
  </si>
  <si>
    <t>09/03/2026 17:00 | Serbia | Super Liga | Mladost Lucani vs Novi Pazar</t>
  </si>
  <si>
    <t>OFK Beograd</t>
  </si>
  <si>
    <t>Radnicki 1923</t>
  </si>
  <si>
    <t>09/03/2026 17:00 | Serbia | Super Liga | OFK Beograd vs Radnicki 1923</t>
  </si>
  <si>
    <t>Hapoel Ra'anana</t>
  </si>
  <si>
    <t>Maccabi Petah Tikva</t>
  </si>
  <si>
    <t>09/03/2026 17:00 | Israel | Liga Leumit | Hapoel Ra'anana vs Maccabi Petah Tikva</t>
  </si>
  <si>
    <t>Ironi Modi'in</t>
  </si>
  <si>
    <t>09/03/2026 17:00 | Israel | Liga Leumit | Ironi Modi'in vs Hapoel Kfar Saba</t>
  </si>
  <si>
    <t>Gençlerbirliği S.K.</t>
  </si>
  <si>
    <t>09/03/2026 17:00 | Turkey | Süper Lig | Alanyaspor vs Gençlerbirliği S.K.</t>
  </si>
  <si>
    <t>Kayserispor</t>
  </si>
  <si>
    <t>09/03/2026 17:00 | Turkey | Süper Lig | Kayserispor vs Trabzonspor</t>
  </si>
  <si>
    <t>09/03/2026 18:00</t>
  </si>
  <si>
    <t>AC Horsens</t>
  </si>
  <si>
    <t>Lyngby</t>
  </si>
  <si>
    <t>09/03/2026 18:00 | Denmark | 1. Division | AC Horsens vs Lyngby</t>
  </si>
  <si>
    <t>Arka Gdynia</t>
  </si>
  <si>
    <t>09/03/2026 18:00 | Poland | Ekstraklasa | Wisla Plock vs Arka Gdynia</t>
  </si>
  <si>
    <t>CFR 1907 Cluj</t>
  </si>
  <si>
    <t>Dinamo Bucuresti</t>
  </si>
  <si>
    <t>09/03/2026 18:00 | Romania | Liga I | CFR 1907 Cluj vs Dinamo Bucuresti</t>
  </si>
  <si>
    <t>Hapoel Rishon LeZion</t>
  </si>
  <si>
    <t>09/03/2026 18:00 | Israel | Liga Leumit | Hapoel Rishon LeZion vs Kafr Qasim</t>
  </si>
  <si>
    <t>Benfica B</t>
  </si>
  <si>
    <t>09/03/2026 18:00 | Portugal | Segunda Liga | Benfica B vs Feirense</t>
  </si>
  <si>
    <t>Egnatia Rrogozhinë</t>
  </si>
  <si>
    <t>Teuta Durrës</t>
  </si>
  <si>
    <t>09/03/2026 18:00 | Albania | Superliga | Egnatia Rrogozhinë vs Teuta Durrës</t>
  </si>
  <si>
    <t>Dinamo Tirana</t>
  </si>
  <si>
    <t>Partizani</t>
  </si>
  <si>
    <t>09/03/2026 18:00 | Albania | Superliga | Dinamo Tirana vs Partizani</t>
  </si>
  <si>
    <t>Egersund</t>
  </si>
  <si>
    <t>Aalesund</t>
  </si>
  <si>
    <t>09/03/2026 18:00 | Norway | NM Cupen | Egersund vs Aalesund</t>
  </si>
  <si>
    <t>AIK Stockholm</t>
  </si>
  <si>
    <t>BK Hacken</t>
  </si>
  <si>
    <t>09/03/2026 18:00 | Sweden | Svenska Cupen | AIK Stockholm vs BK Hacken</t>
  </si>
  <si>
    <t>Vasteras SK FK</t>
  </si>
  <si>
    <t>Oddevold</t>
  </si>
  <si>
    <t>09/03/2026 18:00 | Sweden | Svenska Cupen | Vasteras SK FK vs Oddevold</t>
  </si>
  <si>
    <t>América RJ U20</t>
  </si>
  <si>
    <t>Sampaio Corrêa U20</t>
  </si>
  <si>
    <t>09/03/2026 18:00 | Brazil | Copa Rio U20 | América RJ U20 vs Sampaio Corrêa U20</t>
  </si>
  <si>
    <t>09/03/2026 18:15</t>
  </si>
  <si>
    <t>09/03/2026 18:15 | World | AFC Champions League | Tractor Sazi vs Shabab Al Ahli Dubai</t>
  </si>
  <si>
    <t>09/03/2026 18:30</t>
  </si>
  <si>
    <t>Maccabi Tel Aviv</t>
  </si>
  <si>
    <t>Hapoel Beer Sheva</t>
  </si>
  <si>
    <t>09/03/2026 18:30 | Israel | Ligat Ha'al | Maccabi Tel Aviv vs Hapoel Beer Sheva</t>
  </si>
  <si>
    <t>Al Merreikh</t>
  </si>
  <si>
    <t>09/03/2026 18:30 | Rwanda | National Soccer League | Police vs Al Merreikh</t>
  </si>
  <si>
    <t>09/03/2026 19:00</t>
  </si>
  <si>
    <t>Jong AZ</t>
  </si>
  <si>
    <t>09/03/2026 19:00 | Netherlands | Eerste Divisie | Jong AZ vs Emmen</t>
  </si>
  <si>
    <t>Budapest Honved</t>
  </si>
  <si>
    <t>09/03/2026 19:00 | Hungary | NB II | Budapest Honved vs Kecskeméti TE</t>
  </si>
  <si>
    <t>Colchester United U21</t>
  </si>
  <si>
    <t>09/03/2026 19:00 | England | Professional Development League | Colchester United U21 vs Swansea City U21</t>
  </si>
  <si>
    <t>Stoke City U21</t>
  </si>
  <si>
    <t>Burnley U21</t>
  </si>
  <si>
    <t>09/03/2026 19:00 | England | Premier League 2 Division One | Stoke City U21 vs Burnley U21</t>
  </si>
  <si>
    <t>Leeds United U21</t>
  </si>
  <si>
    <t>09/03/2026 19:00 | England | Premier League 2 Division One | Sunderland U21 vs Leeds United U21</t>
  </si>
  <si>
    <t>Leicester City U21</t>
  </si>
  <si>
    <t>Newcastle United U21</t>
  </si>
  <si>
    <t>09/03/2026 19:00 | England | Premier League 2 Division One | Leicester City U21 vs Newcastle United U21</t>
  </si>
  <si>
    <t>Everton U21</t>
  </si>
  <si>
    <t>09/03/2026 19:00 | England | Premier League 2 Division One | Reading U21 vs Everton U21</t>
  </si>
  <si>
    <t>09/03/2026 19:30</t>
  </si>
  <si>
    <t>Almeria</t>
  </si>
  <si>
    <t>Cultural Leonesa</t>
  </si>
  <si>
    <t>09/03/2026 19:30 | Spain | Segunda División | Almeria vs Cultural Leonesa</t>
  </si>
  <si>
    <t>El Geish</t>
  </si>
  <si>
    <t>Al Ahly</t>
  </si>
  <si>
    <t>09/03/2026 19:30 | Egypt | Premier League | El Geish vs Al Ahly</t>
  </si>
  <si>
    <t>National Bank of Egypt</t>
  </si>
  <si>
    <t>Pyramids FC</t>
  </si>
  <si>
    <t>09/03/2026 19:30 | Egypt | Premier League | National Bank of Egypt vs Pyramids FC</t>
  </si>
  <si>
    <t>Campobasso FC</t>
  </si>
  <si>
    <t>Arezzo</t>
  </si>
  <si>
    <t>09/03/2026 19:30 | Italy | Serie C - Girone B | Campobasso FC vs Arezzo</t>
  </si>
  <si>
    <t>Perugia</t>
  </si>
  <si>
    <t>Pontedera</t>
  </si>
  <si>
    <t>09/03/2026 19:30 | Italy | Serie C - Girone B | Perugia vs Pontedera</t>
  </si>
  <si>
    <t>Ascoli</t>
  </si>
  <si>
    <t>Ravenna</t>
  </si>
  <si>
    <t>09/03/2026 19:30 | Italy | Serie C - Girone B | Ascoli vs Ravenna</t>
  </si>
  <si>
    <t>SS Monopoli</t>
  </si>
  <si>
    <t>Casarano</t>
  </si>
  <si>
    <t>09/03/2026 19:30 | Italy | Serie C - Girone C | SS Monopoli vs Casarano</t>
  </si>
  <si>
    <t>Catania</t>
  </si>
  <si>
    <t>Casertana</t>
  </si>
  <si>
    <t>09/03/2026 19:30 | Italy | Serie C - Girone C | Catania vs Casertana</t>
  </si>
  <si>
    <t>Atalanta II</t>
  </si>
  <si>
    <t>Audace Cerignola</t>
  </si>
  <si>
    <t>09/03/2026 19:30 | Italy | Serie C - Girone C | Atalanta II vs Audace Cerignola</t>
  </si>
  <si>
    <t>West Ham</t>
  </si>
  <si>
    <t>09/03/2026 19:30 | England | FA Cup | West Ham vs Brentford</t>
  </si>
  <si>
    <t>09/03/2026 19:45</t>
  </si>
  <si>
    <t>Lazio</t>
  </si>
  <si>
    <t>Sassuolo</t>
  </si>
  <si>
    <t>09/03/2026 19:45 | Italy | Serie A | Lazio vs Sassuolo</t>
  </si>
  <si>
    <t>Dunkerque</t>
  </si>
  <si>
    <t>09/03/2026 19:45 | France | Ligue 2 | Dunkerque vs Reims</t>
  </si>
  <si>
    <t>09/03/2026 19:45 | Wales | FAW Championship | Trethomas Bluebirds vs Newport City</t>
  </si>
  <si>
    <t>09/03/2026 19:45 | Ireland | Premier Division | Shelbourne vs Shamrock Rovers</t>
  </si>
  <si>
    <t>09/03/2026 20:00</t>
  </si>
  <si>
    <t>Espanyol</t>
  </si>
  <si>
    <t>Oviedo</t>
  </si>
  <si>
    <t>09/03/2026 20:00 | Spain | La Liga | Espanyol vs Oviedo</t>
  </si>
  <si>
    <t>Liga Femenina</t>
  </si>
  <si>
    <t>Deportivo Cali W</t>
  </si>
  <si>
    <t>La Equidad W</t>
  </si>
  <si>
    <t>09/03/2026 20:00 | Colombia | Liga Femenina | Deportivo Cali W vs La Equidad W</t>
  </si>
  <si>
    <t>Real Santander W</t>
  </si>
  <si>
    <t>Deportivo Pasto W</t>
  </si>
  <si>
    <t>09/03/2026 20:00 | Colombia | Liga Femenina | Real Santander W vs Deportivo Pasto W</t>
  </si>
  <si>
    <t>Santa Fe W</t>
  </si>
  <si>
    <t>Atlético Bucaramanga W</t>
  </si>
  <si>
    <t>09/03/2026 20:00 | Colombia | Liga Femenina | Santa Fe W vs Atlético Bucaramanga W</t>
  </si>
  <si>
    <t>09/03/2026 20:15</t>
  </si>
  <si>
    <t>09/03/2026 20:15 | Portugal | Primeira Liga | Tondela vs Rio Ave</t>
  </si>
  <si>
    <t>09/03/2026 20:30</t>
  </si>
  <si>
    <t>Racing United</t>
  </si>
  <si>
    <t>09/03/2026 20:30 | Jamaica | Premier League | Harbour View vs Racing United</t>
  </si>
  <si>
    <t>09/03/2026 20:30 | World | AFC Champions League | Al-Ahli Jeddah vs Al-Duhail SC</t>
  </si>
  <si>
    <t>09/03/2026 21:00</t>
  </si>
  <si>
    <t>Santiago Wanderers</t>
  </si>
  <si>
    <t>Deportes Santa Cruz</t>
  </si>
  <si>
    <t>09/03/2026 21:00 | Chile | Primera B | Santiago Wanderers vs Deportes Santa Cruz</t>
  </si>
  <si>
    <t>09/03/2026 21:30</t>
  </si>
  <si>
    <t>Sportivo Trinidense</t>
  </si>
  <si>
    <t>Nacional Asuncion</t>
  </si>
  <si>
    <t>09/03/2026 21:30 | Paraguay | Division Profesional - Apertura | Sportivo Trinidense vs Nacional Asuncion</t>
  </si>
  <si>
    <t>Cerro Largo</t>
  </si>
  <si>
    <t>09/03/2026 21:30 | Uruguay | Primera División - Apertura | Cerro Largo vs Atletico Torque</t>
  </si>
  <si>
    <t>09/03/2026 22:00</t>
  </si>
  <si>
    <t>Piauí</t>
  </si>
  <si>
    <t>Fluminense PI</t>
  </si>
  <si>
    <t>09/03/2026 22:00 | Brazil | Piauiense | Piauí vs Fluminense PI</t>
  </si>
  <si>
    <t>Belgrano U20</t>
  </si>
  <si>
    <t>LDU Quito U20</t>
  </si>
  <si>
    <t>09/03/2026 22:00 | World | CONMEBOL Libertadores U20 | Belgrano U20 vs LDU Quito U20</t>
  </si>
  <si>
    <t>09/03/2026 22:30</t>
  </si>
  <si>
    <t>Sport Boys</t>
  </si>
  <si>
    <t>09/03/2026 22:30 | Peru | Primera División | Cienciano vs Sport Boys</t>
  </si>
  <si>
    <t>Gendrim</t>
  </si>
  <si>
    <t>09/03/2026 22:30 | Mauritania | Premier League | Gendrim vs Chemal</t>
  </si>
  <si>
    <t>09/03/2026 23:00</t>
  </si>
  <si>
    <t>Independente AP</t>
  </si>
  <si>
    <t>09/03/2026 23:00 | Brazil | Amapaense | Macapá vs Independente AP</t>
  </si>
  <si>
    <t>Universidad de Chile</t>
  </si>
  <si>
    <t>Universidad de Concepcion</t>
  </si>
  <si>
    <t>09/03/2026 23:00 | Chile | Primera División | Universidad de Chile vs Universidad de Concepcion</t>
  </si>
  <si>
    <t>Llaneros</t>
  </si>
  <si>
    <t>Jaguares</t>
  </si>
  <si>
    <t>09/03/2026 23:00 | Colombia | Primera A | Llaneros vs Jaguares</t>
  </si>
  <si>
    <t>09/03/2026 23:20</t>
  </si>
  <si>
    <t>Millonarios</t>
  </si>
  <si>
    <t>Cucuta</t>
  </si>
  <si>
    <t>09/03/2026 23:20 | Colombia | Primera A | Millonarios vs Cucuta</t>
  </si>
  <si>
    <t>09/03/2026 23:30</t>
  </si>
  <si>
    <t>Deportivo Recoleta</t>
  </si>
  <si>
    <t>Sportivo Ameliano</t>
  </si>
  <si>
    <t>09/03/2026 23:30 | Paraguay | Division Profesional - Apertura | Deportivo Recoleta vs Sportivo Ameliano</t>
  </si>
  <si>
    <t>Deportes Copiapo</t>
  </si>
  <si>
    <t>Deportes Temuco</t>
  </si>
  <si>
    <t>09/03/2026 23:30 | Chile | Primera B | Deportes Copiapo vs Deportes Temuco</t>
  </si>
  <si>
    <t>Product</t>
  </si>
  <si>
    <t>Version</t>
  </si>
  <si>
    <t>Email</t>
  </si>
  <si>
    <t>Plan</t>
  </si>
  <si>
    <t>Status</t>
  </si>
  <si>
    <t>Expiry Date</t>
  </si>
  <si>
    <t>License Key</t>
  </si>
  <si>
    <t>Last Validation</t>
  </si>
  <si>
    <t>NVM PRO SYSTEM</t>
  </si>
  <si>
    <t>Client Name</t>
  </si>
  <si>
    <t>https://media.api-sports.io/football/teams/1374.png</t>
  </si>
  <si>
    <t>https://media.api-sports.io/football/teams/42.png</t>
  </si>
  <si>
    <t>https://media.api-sports.io/football/leagues/45.png</t>
  </si>
  <si>
    <t>https://media.api-sports.io/flags/gb-eng.svg</t>
  </si>
  <si>
    <t>28/02/2026 15:00</t>
  </si>
  <si>
    <t>https://media.api-sports.io/football/teams/1333.png</t>
  </si>
  <si>
    <t>https://media.api-sports.io/football/leagues/41.png</t>
  </si>
  <si>
    <t>21/02/2026 15:00</t>
  </si>
  <si>
    <t>https://media.api-sports.io/football/teams/1379.png</t>
  </si>
  <si>
    <t>10/02/2026 19:45</t>
  </si>
  <si>
    <t>https://media.api-sports.io/football/teams/1350.png</t>
  </si>
  <si>
    <t>07/02/2026 15:01</t>
  </si>
  <si>
    <t>https://media.api-sports.io/football/teams/1364.png</t>
  </si>
  <si>
    <t>31/01/2026 15:00</t>
  </si>
  <si>
    <t>https://media.api-sports.io/football/teams/1358.png</t>
  </si>
  <si>
    <t>17/01/2026 15:00</t>
  </si>
  <si>
    <t>https://media.api-sports.io/football/teams/1351.png</t>
  </si>
  <si>
    <t>01/01/2026 15:00</t>
  </si>
  <si>
    <t>https://media.api-sports.io/football/teams/1343.png</t>
  </si>
  <si>
    <t>20/12/2025 15:00</t>
  </si>
  <si>
    <t>https://media.api-sports.io/football/teams/4686.png</t>
  </si>
  <si>
    <t>09/12/2025 19:45</t>
  </si>
  <si>
    <t>https://media.api-sports.io/football/teams/68.png</t>
  </si>
  <si>
    <t>04/03/2026 19:30</t>
  </si>
  <si>
    <t>https://media.api-sports.io/football/teams/51.png</t>
  </si>
  <si>
    <t>Brighton</t>
  </si>
  <si>
    <t>https://media.api-sports.io/football/leagues/39.png</t>
  </si>
  <si>
    <t>22/02/2026 16:30</t>
  </si>
  <si>
    <t>https://media.api-sports.io/football/teams/47.png</t>
  </si>
  <si>
    <t>Tottenham</t>
  </si>
  <si>
    <t>18/02/2026 20:00</t>
  </si>
  <si>
    <t>https://media.api-sports.io/football/teams/39.png</t>
  </si>
  <si>
    <t>Wolves</t>
  </si>
  <si>
    <t>12/02/2026 20:00</t>
  </si>
  <si>
    <t>https://media.api-sports.io/football/teams/55.png</t>
  </si>
  <si>
    <t>https://media.api-sports.io/football/teams/63.png</t>
  </si>
  <si>
    <t>20/01/2026 20:00</t>
  </si>
  <si>
    <t>UEFA Champions League</t>
  </si>
  <si>
    <t>https://media.api-sports.io/football/teams/505.png</t>
  </si>
  <si>
    <t>https://media.api-sports.io/football/leagues/2.png</t>
  </si>
  <si>
    <t>17/01/2026 17:30</t>
  </si>
  <si>
    <t>https://media.api-sports.io/football/teams/65.png</t>
  </si>
  <si>
    <t>Nottingham Forest</t>
  </si>
  <si>
    <t>14/01/2026 20:00</t>
  </si>
  <si>
    <t>https://media.api-sports.io/football/teams/49.png</t>
  </si>
  <si>
    <t>https://media.api-sports.io/football/leagues/48.png</t>
  </si>
  <si>
    <t>11/01/2026 14:00</t>
  </si>
  <si>
    <t>https://media.api-sports.io/football/teams/1355.png</t>
  </si>
  <si>
    <t>09/03/2026 05:00</t>
  </si>
  <si>
    <t>09/03/2026 05:00 | USA | MLS Next Pro | The Town vs Los Angeles FC II</t>
  </si>
  <si>
    <t>Youth Viareggio Cup</t>
  </si>
  <si>
    <t>Vllaznia U18</t>
  </si>
  <si>
    <t>AS Police Viareggio Team</t>
  </si>
  <si>
    <t>09/03/2026 13:30 | World | Youth Viareggio Cup | Vllaznia U18 vs AS Police Viareggio Team</t>
  </si>
  <si>
    <t>Fiorentina U19</t>
  </si>
  <si>
    <t>Enugu Rangers Viareggio Team</t>
  </si>
  <si>
    <t>09/03/2026 13:30 | World | Youth Viareggio Cup | Fiorentina U19 vs Enugu Rangers Viareggio Team</t>
  </si>
  <si>
    <t>Sassuolo U18</t>
  </si>
  <si>
    <t>Nexus U18</t>
  </si>
  <si>
    <t>09/03/2026 13:30 | World | Youth Viareggio Cup | Sassuolo U18 vs Nexus U18</t>
  </si>
  <si>
    <t>UYSS New York U18</t>
  </si>
  <si>
    <t>RBM U18</t>
  </si>
  <si>
    <t>09/03/2026 13:30 | World | Youth Viareggio Cup | UYSS New York U18 vs RBM U18</t>
  </si>
  <si>
    <t>Viareggio U18</t>
  </si>
  <si>
    <t>One Touch U18</t>
  </si>
  <si>
    <t>09/03/2026 13:30 | World | Youth Viareggio Cup | Viareggio U18 vs One Touch U18</t>
  </si>
  <si>
    <t>Genoa U19</t>
  </si>
  <si>
    <t>Mavlon U18</t>
  </si>
  <si>
    <t>09/03/2026 14:00 | World | Youth Viareggio Cup | Genoa U19 vs Mavlon U18</t>
  </si>
  <si>
    <t>Extra Time</t>
  </si>
  <si>
    <t>09/03/2026 20:00 | Argentina | Primera C | Leones de Rosario vs El Porvenir</t>
  </si>
  <si>
    <t>09/03/2026 21:00 | Colombia | Primera A | Llaneros vs Jaguares</t>
  </si>
  <si>
    <t>09/03/2026 23:30 | Brazil | Rondoniense | Guaporé vs Ji-Paraná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</si>
</sst>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Rockwell"/>
      <family val="1"/>
    </font>
    <font>
      <b/>
      <sz val="16"/>
      <name val="Rockwell"/>
      <family val="1"/>
    </font>
    <font>
      <b/>
      <sz val="11"/>
      <name val="Calibri"/>
      <family val="2"/>
      <scheme val="minor"/>
    </font>
    <font>
      <b/>
      <sz val="14"/>
      <color theme="0"/>
      <name val="Rockwell"/>
      <family val="1"/>
    </font>
    <font>
      <b/>
      <sz val="18"/>
      <color theme="0"/>
      <name val="Rockwell"/>
      <family val="1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Rockwell"/>
      <family val="1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haroni"/>
      <charset val="177"/>
    </font>
    <font>
      <b/>
      <sz val="11"/>
      <color theme="0"/>
      <name val="Aharoni"/>
      <charset val="177"/>
    </font>
    <font>
      <sz val="11"/>
      <name val="Calibri"/>
      <family val="2"/>
      <scheme val="minor"/>
    </font>
    <font>
      <sz val="18"/>
      <color theme="0"/>
      <name val="Aharoni"/>
      <charset val="177"/>
    </font>
    <font>
      <sz val="11"/>
      <color theme="0"/>
      <name val="Aharoni"/>
      <charset val="177"/>
    </font>
    <font>
      <sz val="24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vertical="center"/>
    </xf>
    <xf numFmtId="0" fontId="1" fillId="10" borderId="1" xfId="0" applyFont="1" applyFill="1" applyBorder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9" fillId="13" borderId="0" xfId="0" applyFont="1" applyFill="1" applyAlignment="1">
      <alignment vertical="center"/>
    </xf>
    <xf numFmtId="9" fontId="0" fillId="13" borderId="0" xfId="2" applyFont="1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1" xfId="1" applyNumberFormat="1" applyFont="1" applyFill="1" applyBorder="1" applyAlignment="1">
      <alignment horizontal="center" vertical="center"/>
    </xf>
    <xf numFmtId="9" fontId="0" fillId="15" borderId="1" xfId="2" applyFont="1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9" fontId="0" fillId="16" borderId="9" xfId="2" applyFont="1" applyFill="1" applyBorder="1" applyAlignment="1">
      <alignment horizontal="center" vertical="center"/>
    </xf>
    <xf numFmtId="9" fontId="0" fillId="16" borderId="2" xfId="2" applyFont="1" applyFill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17" fontId="0" fillId="0" borderId="0" xfId="0" applyNumberFormat="1"/>
    <xf numFmtId="16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9" fontId="0" fillId="16" borderId="1" xfId="2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9" fillId="19" borderId="0" xfId="0" applyFont="1" applyFill="1" applyAlignment="1">
      <alignment vertical="center"/>
    </xf>
    <xf numFmtId="0" fontId="0" fillId="19" borderId="0" xfId="0" applyFill="1" applyAlignment="1">
      <alignment vertical="center"/>
    </xf>
    <xf numFmtId="0" fontId="7" fillId="19" borderId="0" xfId="0" applyFont="1" applyFill="1" applyAlignment="1">
      <alignment vertical="center"/>
    </xf>
    <xf numFmtId="0" fontId="6" fillId="19" borderId="0" xfId="0" applyFont="1" applyFill="1" applyAlignment="1">
      <alignment vertical="center" wrapText="1"/>
    </xf>
    <xf numFmtId="0" fontId="6" fillId="19" borderId="0" xfId="0" applyFont="1" applyFill="1" applyAlignment="1">
      <alignment vertical="center"/>
    </xf>
    <xf numFmtId="0" fontId="1" fillId="19" borderId="0" xfId="0" applyFont="1" applyFill="1" applyAlignment="1">
      <alignment vertical="center"/>
    </xf>
    <xf numFmtId="0" fontId="13" fillId="19" borderId="0" xfId="0" applyFont="1" applyFill="1" applyAlignment="1">
      <alignment vertical="center" wrapText="1"/>
    </xf>
    <xf numFmtId="0" fontId="15" fillId="19" borderId="0" xfId="0" applyFont="1" applyFill="1" applyAlignment="1">
      <alignment vertical="center"/>
    </xf>
    <xf numFmtId="22" fontId="0" fillId="16" borderId="9" xfId="0" applyNumberFormat="1" applyFill="1" applyBorder="1" applyAlignment="1">
      <alignment horizontal="center" vertical="center"/>
    </xf>
    <xf numFmtId="0" fontId="0" fillId="16" borderId="9" xfId="0" applyFill="1" applyBorder="1" applyAlignment="1">
      <alignment vertical="center"/>
    </xf>
    <xf numFmtId="0" fontId="0" fillId="16" borderId="2" xfId="0" applyFill="1" applyBorder="1" applyAlignment="1">
      <alignment vertical="center"/>
    </xf>
    <xf numFmtId="22" fontId="0" fillId="16" borderId="9" xfId="0" applyNumberFormat="1" applyFill="1" applyBorder="1" applyAlignment="1">
      <alignment vertical="center"/>
    </xf>
    <xf numFmtId="22" fontId="0" fillId="16" borderId="1" xfId="0" applyNumberFormat="1" applyFill="1" applyBorder="1" applyAlignment="1">
      <alignment horizontal="center" vertical="center"/>
    </xf>
    <xf numFmtId="0" fontId="9" fillId="19" borderId="0" xfId="0" applyFont="1" applyFill="1"/>
    <xf numFmtId="0" fontId="9" fillId="19" borderId="16" xfId="0" applyFont="1" applyFill="1" applyBorder="1"/>
    <xf numFmtId="165" fontId="9" fillId="19" borderId="16" xfId="0" applyNumberFormat="1" applyFont="1" applyFill="1" applyBorder="1"/>
    <xf numFmtId="22" fontId="9" fillId="19" borderId="16" xfId="0" applyNumberFormat="1" applyFont="1" applyFill="1" applyBorder="1"/>
    <xf numFmtId="0" fontId="9" fillId="11" borderId="1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/>
    </xf>
    <xf numFmtId="9" fontId="11" fillId="0" borderId="1" xfId="2" applyFont="1" applyBorder="1" applyAlignment="1">
      <alignment horizontal="center" vertical="center"/>
    </xf>
    <xf numFmtId="9" fontId="11" fillId="0" borderId="1" xfId="0" applyNumberFormat="1" applyFont="1" applyBorder="1" applyAlignment="1">
      <alignment horizontal="center" vertical="center"/>
    </xf>
    <xf numFmtId="2" fontId="11" fillId="15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22" fontId="5" fillId="2" borderId="5" xfId="0" applyNumberFormat="1" applyFont="1" applyFill="1" applyBorder="1" applyAlignment="1">
      <alignment horizontal="center" vertical="center"/>
    </xf>
    <xf numFmtId="22" fontId="5" fillId="2" borderId="6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 wrapText="1"/>
    </xf>
    <xf numFmtId="0" fontId="6" fillId="14" borderId="6" xfId="0" applyFont="1" applyFill="1" applyBorder="1" applyAlignment="1">
      <alignment horizontal="center" vertical="center" wrapText="1"/>
    </xf>
    <xf numFmtId="0" fontId="6" fillId="14" borderId="13" xfId="0" applyFont="1" applyFill="1" applyBorder="1" applyAlignment="1">
      <alignment horizontal="center" vertical="center" wrapText="1"/>
    </xf>
    <xf numFmtId="0" fontId="6" fillId="14" borderId="14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/>
    </xf>
    <xf numFmtId="0" fontId="10" fillId="14" borderId="14" xfId="0" applyFont="1" applyFill="1" applyBorder="1" applyAlignment="1">
      <alignment horizontal="center" vertical="center"/>
    </xf>
    <xf numFmtId="0" fontId="6" fillId="14" borderId="12" xfId="0" applyFont="1" applyFill="1" applyBorder="1" applyAlignment="1">
      <alignment horizontal="center" vertical="center" wrapText="1"/>
    </xf>
    <xf numFmtId="0" fontId="6" fillId="14" borderId="15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17" borderId="0" xfId="0" applyFont="1" applyFill="1" applyAlignment="1">
      <alignment horizontal="center" vertical="center"/>
    </xf>
    <xf numFmtId="0" fontId="16" fillId="17" borderId="14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9" fontId="0" fillId="12" borderId="1" xfId="2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9" fontId="0" fillId="16" borderId="9" xfId="2" applyFont="1" applyFill="1" applyBorder="1" applyAlignment="1">
      <alignment horizontal="center" vertical="center"/>
    </xf>
    <xf numFmtId="9" fontId="0" fillId="16" borderId="2" xfId="2" applyFont="1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3" fillId="2" borderId="5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3" fillId="2" borderId="11" xfId="0" applyFont="1" applyFill="1" applyBorder="1" applyAlignment="1">
      <alignment horizontal="center" vertical="center" wrapText="1"/>
    </xf>
    <xf numFmtId="0" fontId="13" fillId="2" borderId="13" xfId="0" applyFont="1" applyFill="1" applyBorder="1" applyAlignment="1">
      <alignment horizontal="center" vertical="center" wrapText="1"/>
    </xf>
    <xf numFmtId="0" fontId="13" fillId="2" borderId="15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9" fontId="2" fillId="12" borderId="1" xfId="2" applyFont="1" applyFill="1" applyBorder="1" applyAlignment="1">
      <alignment horizontal="center" vertical="center" wrapText="1"/>
    </xf>
    <xf numFmtId="9" fontId="14" fillId="11" borderId="1" xfId="2" applyFont="1" applyFill="1" applyBorder="1" applyAlignment="1">
      <alignment horizontal="center" vertical="center" wrapText="1"/>
    </xf>
    <xf numFmtId="0" fontId="18" fillId="18" borderId="0" xfId="0" applyFont="1" applyFill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bgColor theme="5" tint="0.79998168889431442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3" dropStyle="combo" dx="22" fmlaLink="Control!$D$4" fmlaRange="Control!$C$4:$C$6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57150</xdr:rowOff>
        </xdr:from>
        <xdr:to>
          <xdr:col>3</xdr:col>
          <xdr:colOff>95250</xdr:colOff>
          <xdr:row>2</xdr:row>
          <xdr:rowOff>47625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174826</xdr:colOff>
      <xdr:row>0</xdr:row>
      <xdr:rowOff>17834</xdr:rowOff>
    </xdr:from>
    <xdr:to>
      <xdr:col>5</xdr:col>
      <xdr:colOff>152655</xdr:colOff>
      <xdr:row>2</xdr:row>
      <xdr:rowOff>111403</xdr:rowOff>
    </xdr:to>
    <xdr:sp macro="[0]!UPDATE_LI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3F479CC-19E4-55D5-7ECC-E9529C5EDB9A}"/>
            </a:ext>
          </a:extLst>
        </xdr:cNvPr>
        <xdr:cNvSpPr/>
      </xdr:nvSpPr>
      <xdr:spPr>
        <a:xfrm>
          <a:off x="1998762" y="17834"/>
          <a:ext cx="1193787" cy="474569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latin typeface="Rockwell" panose="02060603020205020403" pitchFamily="18" charset="0"/>
            </a:rPr>
            <a:t>UPDATE LIST</a:t>
          </a:r>
        </a:p>
      </xdr:txBody>
    </xdr:sp>
    <xdr:clientData/>
  </xdr:twoCellAnchor>
  <xdr:twoCellAnchor>
    <xdr:from>
      <xdr:col>0</xdr:col>
      <xdr:colOff>95250</xdr:colOff>
      <xdr:row>37</xdr:row>
      <xdr:rowOff>128838</xdr:rowOff>
    </xdr:from>
    <xdr:to>
      <xdr:col>8</xdr:col>
      <xdr:colOff>111293</xdr:colOff>
      <xdr:row>39</xdr:row>
      <xdr:rowOff>85726</xdr:rowOff>
    </xdr:to>
    <xdr:sp macro="[0]!UPDATE_GAM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7F8A1E-3651-266F-5D06-2723FA6A3C3D}"/>
            </a:ext>
          </a:extLst>
        </xdr:cNvPr>
        <xdr:cNvSpPr/>
      </xdr:nvSpPr>
      <xdr:spPr>
        <a:xfrm>
          <a:off x="95250" y="7177338"/>
          <a:ext cx="4926710" cy="337888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  <a:latin typeface="Rockwell" panose="02060603020205020403" pitchFamily="18" charset="0"/>
            </a:rPr>
            <a:t>UPDATE</a:t>
          </a:r>
          <a:r>
            <a:rPr lang="en-GB" sz="1400" b="1" baseline="0">
              <a:solidFill>
                <a:sysClr val="windowText" lastClr="000000"/>
              </a:solidFill>
              <a:latin typeface="Rockwell" panose="02060603020205020403" pitchFamily="18" charset="0"/>
            </a:rPr>
            <a:t> GAME</a:t>
          </a:r>
          <a:endParaRPr lang="en-GB" sz="1400" b="1">
            <a:solidFill>
              <a:sysClr val="windowText" lastClr="000000"/>
            </a:solidFill>
            <a:latin typeface="Rockwell" panose="02060603020205020403" pitchFamily="18" charset="0"/>
          </a:endParaRPr>
        </a:p>
      </xdr:txBody>
    </xdr:sp>
    <xdr:clientData/>
  </xdr:twoCellAnchor>
  <xdr:twoCellAnchor>
    <xdr:from>
      <xdr:col>0</xdr:col>
      <xdr:colOff>93764</xdr:colOff>
      <xdr:row>3</xdr:row>
      <xdr:rowOff>3024</xdr:rowOff>
    </xdr:from>
    <xdr:to>
      <xdr:col>5</xdr:col>
      <xdr:colOff>155643</xdr:colOff>
      <xdr:row>5</xdr:row>
      <xdr:rowOff>3024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6A531E56-6C96-3B16-349C-9EFDA2E11B24}"/>
            </a:ext>
          </a:extLst>
        </xdr:cNvPr>
        <xdr:cNvGrpSpPr/>
      </xdr:nvGrpSpPr>
      <xdr:grpSpPr>
        <a:xfrm>
          <a:off x="93764" y="574524"/>
          <a:ext cx="3109879" cy="381000"/>
          <a:chOff x="-716773" y="6737012"/>
          <a:chExt cx="3657600" cy="381000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122F2CF4-A849-68E8-9E01-B96BDF9C1EE9}"/>
              </a:ext>
            </a:extLst>
          </xdr:cNvPr>
          <xdr:cNvSpPr/>
        </xdr:nvSpPr>
        <xdr:spPr>
          <a:xfrm>
            <a:off x="-716773" y="6737012"/>
            <a:ext cx="3657600" cy="381000"/>
          </a:xfrm>
          <a:prstGeom prst="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GB" sz="1100" b="1"/>
              <a:t>Search for</a:t>
            </a:r>
            <a:r>
              <a:rPr lang="en-GB" sz="1100" b="1" baseline="0"/>
              <a:t> match</a:t>
            </a:r>
            <a:endParaRPr lang="en-GB" sz="11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txtSearch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632793" y="6782415"/>
                <a:ext cx="2187119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5</xdr:row>
          <xdr:rowOff>95250</xdr:rowOff>
        </xdr:from>
        <xdr:to>
          <xdr:col>8</xdr:col>
          <xdr:colOff>114300</xdr:colOff>
          <xdr:row>37</xdr:row>
          <xdr:rowOff>47625</xdr:rowOff>
        </xdr:to>
        <xdr:sp macro="" textlink="">
          <xdr:nvSpPr>
            <xdr:cNvPr id="2055" name="lstMatches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337366</xdr:colOff>
      <xdr:row>4</xdr:row>
      <xdr:rowOff>77178</xdr:rowOff>
    </xdr:from>
    <xdr:to>
      <xdr:col>11</xdr:col>
      <xdr:colOff>550335</xdr:colOff>
      <xdr:row>5</xdr:row>
      <xdr:rowOff>91832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6D047BDC-6A54-DD3A-3891-0FA9D4AA9491}"/>
            </a:ext>
          </a:extLst>
        </xdr:cNvPr>
        <xdr:cNvSpPr/>
      </xdr:nvSpPr>
      <xdr:spPr>
        <a:xfrm>
          <a:off x="5427949" y="839178"/>
          <a:ext cx="1440636" cy="205154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>
              <a:latin typeface="Rockwell Extra Bold" panose="02060903040505020403" pitchFamily="18" charset="0"/>
            </a:rPr>
            <a:t>HIGH VALUE</a:t>
          </a:r>
          <a:endParaRPr lang="en-GB" sz="1100">
            <a:latin typeface="Rockwell Extra Bold" panose="02060903040505020403" pitchFamily="18" charset="0"/>
          </a:endParaRPr>
        </a:p>
      </xdr:txBody>
    </xdr:sp>
    <xdr:clientData/>
  </xdr:twoCellAnchor>
  <xdr:twoCellAnchor>
    <xdr:from>
      <xdr:col>12</xdr:col>
      <xdr:colOff>30448</xdr:colOff>
      <xdr:row>4</xdr:row>
      <xdr:rowOff>76364</xdr:rowOff>
    </xdr:from>
    <xdr:to>
      <xdr:col>15</xdr:col>
      <xdr:colOff>63500</xdr:colOff>
      <xdr:row>5</xdr:row>
      <xdr:rowOff>91018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417C628C-0D1E-4BDE-83BA-F4BF2644E8A6}"/>
            </a:ext>
          </a:extLst>
        </xdr:cNvPr>
        <xdr:cNvSpPr/>
      </xdr:nvSpPr>
      <xdr:spPr>
        <a:xfrm>
          <a:off x="6962531" y="838364"/>
          <a:ext cx="1440636" cy="205154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900">
              <a:solidFill>
                <a:sysClr val="windowText" lastClr="000000"/>
              </a:solidFill>
              <a:latin typeface="Rockwell Extra Bold" panose="02060903040505020403" pitchFamily="18" charset="0"/>
            </a:rPr>
            <a:t>MODERATE RISK</a:t>
          </a:r>
        </a:p>
      </xdr:txBody>
    </xdr:sp>
    <xdr:clientData/>
  </xdr:twoCellAnchor>
  <xdr:twoCellAnchor>
    <xdr:from>
      <xdr:col>15</xdr:col>
      <xdr:colOff>183824</xdr:colOff>
      <xdr:row>4</xdr:row>
      <xdr:rowOff>70828</xdr:rowOff>
    </xdr:from>
    <xdr:to>
      <xdr:col>17</xdr:col>
      <xdr:colOff>396794</xdr:colOff>
      <xdr:row>5</xdr:row>
      <xdr:rowOff>85482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1117550D-ABDC-4952-9266-E6E6E60D9DC0}"/>
            </a:ext>
          </a:extLst>
        </xdr:cNvPr>
        <xdr:cNvSpPr/>
      </xdr:nvSpPr>
      <xdr:spPr>
        <a:xfrm>
          <a:off x="8523491" y="832828"/>
          <a:ext cx="1440636" cy="20515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>
              <a:latin typeface="Rockwell Extra Bold" panose="02060903040505020403" pitchFamily="18" charset="0"/>
            </a:rPr>
            <a:t>NO BET</a:t>
          </a:r>
          <a:endParaRPr lang="en-GB" sz="1100">
            <a:latin typeface="Rockwell Extra Bold" panose="02060903040505020403" pitchFamily="18" charset="0"/>
          </a:endParaRPr>
        </a:p>
      </xdr:txBody>
    </xdr:sp>
    <xdr:clientData/>
  </xdr:twoCellAnchor>
  <xdr:twoCellAnchor editAs="oneCell">
    <xdr:from>
      <xdr:col>5</xdr:col>
      <xdr:colOff>570652</xdr:colOff>
      <xdr:row>0</xdr:row>
      <xdr:rowOff>38524</xdr:rowOff>
    </xdr:from>
    <xdr:to>
      <xdr:col>7</xdr:col>
      <xdr:colOff>502920</xdr:colOff>
      <xdr:row>5</xdr:row>
      <xdr:rowOff>80213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F60F4F7-128A-2B03-030E-18F55616D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8652" y="38524"/>
          <a:ext cx="1151468" cy="9941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9525</xdr:colOff>
      <xdr:row>10</xdr:row>
      <xdr:rowOff>19050</xdr:rowOff>
    </xdr:from>
    <xdr:to>
      <xdr:col>28</xdr:col>
      <xdr:colOff>466725</xdr:colOff>
      <xdr:row>24</xdr:row>
      <xdr:rowOff>57149</xdr:rowOff>
    </xdr:to>
    <xdr:sp macro="[0]!GENERATE_SLI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E36C2A-97A0-3CF3-DD2B-FD9527407FA8}"/>
            </a:ext>
          </a:extLst>
        </xdr:cNvPr>
        <xdr:cNvSpPr/>
      </xdr:nvSpPr>
      <xdr:spPr>
        <a:xfrm>
          <a:off x="10096500" y="1924050"/>
          <a:ext cx="1066800" cy="270509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n-GB" sz="1200">
              <a:latin typeface="Aharoni" panose="02010803020104030203" pitchFamily="2" charset="-79"/>
              <a:cs typeface="Aharoni" panose="02010803020104030203" pitchFamily="2" charset="-79"/>
            </a:rPr>
            <a:t>GENERATE SLIP</a:t>
          </a:r>
        </a:p>
      </xdr:txBody>
    </xdr:sp>
    <xdr:clientData/>
  </xdr:twoCellAnchor>
  <xdr:twoCellAnchor editAs="oneCell">
    <xdr:from>
      <xdr:col>24</xdr:col>
      <xdr:colOff>161925</xdr:colOff>
      <xdr:row>4</xdr:row>
      <xdr:rowOff>95250</xdr:rowOff>
    </xdr:from>
    <xdr:to>
      <xdr:col>28</xdr:col>
      <xdr:colOff>522818</xdr:colOff>
      <xdr:row>9</xdr:row>
      <xdr:rowOff>136939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C532212-6553-4CAF-8638-B55E9BD87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857250"/>
          <a:ext cx="1151468" cy="994189"/>
        </a:xfrm>
        <a:prstGeom prst="rect">
          <a:avLst/>
        </a:prstGeom>
      </xdr:spPr>
    </xdr:pic>
    <xdr:clientData/>
  </xdr:twoCellAnchor>
  <xdr:twoCellAnchor>
    <xdr:from>
      <xdr:col>27</xdr:col>
      <xdr:colOff>19050</xdr:colOff>
      <xdr:row>24</xdr:row>
      <xdr:rowOff>180974</xdr:rowOff>
    </xdr:from>
    <xdr:to>
      <xdr:col>28</xdr:col>
      <xdr:colOff>476250</xdr:colOff>
      <xdr:row>28</xdr:row>
      <xdr:rowOff>190499</xdr:rowOff>
    </xdr:to>
    <xdr:sp macro="[0]!SG_ClearMatchLi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C69D123-45E3-79A4-674A-B9194033E317}"/>
            </a:ext>
          </a:extLst>
        </xdr:cNvPr>
        <xdr:cNvSpPr/>
      </xdr:nvSpPr>
      <xdr:spPr>
        <a:xfrm>
          <a:off x="10106025" y="4752974"/>
          <a:ext cx="1066800" cy="7715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ysClr val="windowText" lastClr="000000"/>
              </a:solidFill>
              <a:latin typeface="Aharoni" panose="02010803020104030203" pitchFamily="2" charset="-79"/>
              <a:cs typeface="Aharoni" panose="02010803020104030203" pitchFamily="2" charset="-79"/>
            </a:rPr>
            <a:t>DELETE</a:t>
          </a:r>
          <a:r>
            <a:rPr lang="en-GB" sz="1400" baseline="0">
              <a:solidFill>
                <a:sysClr val="windowText" lastClr="000000"/>
              </a:solidFill>
              <a:latin typeface="Aharoni" panose="02010803020104030203" pitchFamily="2" charset="-79"/>
              <a:cs typeface="Aharoni" panose="02010803020104030203" pitchFamily="2" charset="-79"/>
            </a:rPr>
            <a:t> MATCH LIST</a:t>
          </a:r>
          <a:endParaRPr lang="en-GB" sz="1400">
            <a:solidFill>
              <a:sysClr val="windowText" lastClr="00000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27</xdr:col>
      <xdr:colOff>19050</xdr:colOff>
      <xdr:row>29</xdr:row>
      <xdr:rowOff>142875</xdr:rowOff>
    </xdr:from>
    <xdr:to>
      <xdr:col>28</xdr:col>
      <xdr:colOff>476250</xdr:colOff>
      <xdr:row>33</xdr:row>
      <xdr:rowOff>85725</xdr:rowOff>
    </xdr:to>
    <xdr:sp macro="[0]!SG_ClearGeneratedSlip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898128F-890E-485B-A23F-3B2364B1035C}"/>
            </a:ext>
          </a:extLst>
        </xdr:cNvPr>
        <xdr:cNvSpPr/>
      </xdr:nvSpPr>
      <xdr:spPr>
        <a:xfrm>
          <a:off x="10106025" y="5667375"/>
          <a:ext cx="1066800" cy="70485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latin typeface="Aharoni" panose="02010803020104030203" pitchFamily="2" charset="-79"/>
              <a:cs typeface="Aharoni" panose="02010803020104030203" pitchFamily="2" charset="-79"/>
            </a:rPr>
            <a:t>RESET GENERATED SLIP</a:t>
          </a:r>
          <a:endParaRPr lang="en-GB" sz="1100">
            <a:solidFill>
              <a:sysClr val="windowText" lastClr="00000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10914257-1C1D-4046-8147-ADE4FD2F9A67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CF1599B6-FE19-40F5-B025-71D8BF75E822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88A535F8-780C-4FE2-8FE7-339AD91C065B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5B50563F-8572-4E9B-A591-719F738163A2}" autoFormatId="16" applyNumberFormats="0" applyBorderFormats="0" applyFontFormats="0" applyPatternFormats="0" applyAlignmentFormats="0" applyWidthHeightFormats="0">
  <queryTableRefresh nextId="21">
    <queryTableFields count="11">
      <queryTableField id="1" name="rank" tableColumnId="1"/>
      <queryTableField id="2" name="team_name" tableColumnId="2"/>
      <queryTableField id="6" name="all_played" tableColumnId="6"/>
      <queryTableField id="7" name="all_win" tableColumnId="7"/>
      <queryTableField id="8" name="all_draw" tableColumnId="8"/>
      <queryTableField id="9" name="all_lose" tableColumnId="9"/>
      <queryTableField id="10" name="all_gf" tableColumnId="10"/>
      <queryTableField id="11" name="all_ga" tableColumnId="11"/>
      <queryTableField id="12" name="goalsDiff" tableColumnId="12"/>
      <queryTableField id="5" name="points" tableColumnId="5"/>
      <queryTableField id="4" name="form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27364DBB-DE33-4FD0-8B02-18585FAFA46D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CF03A4C5-59D1-4513-9370-26F694DF5160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1E189DD8-F616-421A-A28B-48B604648AF3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D7E095-C51D-4793-B89C-81427143213A}" name="Q_Fixtures_Prematch_Today" displayName="Q_Fixtures_Prematch_Today" ref="A1:H141" tableType="queryTable" totalsRowShown="0">
  <autoFilter ref="A1:H141" xr:uid="{70D7E095-C51D-4793-B89C-81427143213A}"/>
  <tableColumns count="8">
    <tableColumn id="1" xr3:uid="{9A543A52-8AC5-4E2B-9F02-328A33C9D0B6}" uniqueName="1" name="fixture_id" queryTableFieldId="1"/>
    <tableColumn id="2" xr3:uid="{0F512E45-7A00-4E35-AD1E-09794EF05000}" uniqueName="2" name="fixture_date" queryTableFieldId="2" dataDxfId="5"/>
    <tableColumn id="3" xr3:uid="{6ECCAC44-BCC2-49E9-8CE7-8A7F2B7716E5}" uniqueName="3" name="status_long" queryTableFieldId="3"/>
    <tableColumn id="4" xr3:uid="{6FBB96B1-2A75-4FB2-B59A-5B7CC6131399}" uniqueName="4" name="league_country" queryTableFieldId="4"/>
    <tableColumn id="5" xr3:uid="{E2B85908-F034-4A4C-AD6C-FDB8A7BC80A9}" uniqueName="5" name="league_name" queryTableFieldId="5"/>
    <tableColumn id="6" xr3:uid="{6E4263DD-E908-4F36-A5F6-4968415D575E}" uniqueName="6" name="home_name" queryTableFieldId="6"/>
    <tableColumn id="7" xr3:uid="{97EBAEE5-BD54-4EE8-80C7-74E1110F186C}" uniqueName="7" name="away_name" queryTableFieldId="7"/>
    <tableColumn id="8" xr3:uid="{73A6498D-3346-431A-8039-C95D942484C3}" uniqueName="8" name="Display" queryTableFieldId="8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2C130C-3C90-48E6-A68F-4558F2C1FD59}" name="Q_Fixtures_Prematch_Tomorrow" displayName="Q_Fixtures_Prematch_Tomorrow" ref="A1:H1070" tableType="queryTable" totalsRowShown="0">
  <autoFilter ref="A1:H1070" xr:uid="{F52C130C-3C90-48E6-A68F-4558F2C1FD59}"/>
  <tableColumns count="8">
    <tableColumn id="1" xr3:uid="{66C5E7EE-786D-42FC-8B3D-443F0EBA50C7}" uniqueName="1" name="fixture_id" queryTableFieldId="1"/>
    <tableColumn id="2" xr3:uid="{E48ED6E4-E52F-4415-9789-2BD3738A6659}" uniqueName="2" name="fixture_date" queryTableFieldId="2" dataDxfId="3"/>
    <tableColumn id="3" xr3:uid="{C15A7323-15A2-4543-A07A-4E92E24FE53E}" uniqueName="3" name="status_long" queryTableFieldId="3"/>
    <tableColumn id="4" xr3:uid="{8B2AF35D-9105-4E72-A321-3FB74A404293}" uniqueName="4" name="league_country" queryTableFieldId="4"/>
    <tableColumn id="5" xr3:uid="{D21F67FC-9573-445F-A93B-B592D2FFB912}" uniqueName="5" name="league_name" queryTableFieldId="5"/>
    <tableColumn id="6" xr3:uid="{651D6F3C-A92E-49FF-93E2-3DC8A6328310}" uniqueName="6" name="home_name" queryTableFieldId="6"/>
    <tableColumn id="7" xr3:uid="{8CDAE258-45EC-4559-BE4D-F5F2EFF3A1D8}" uniqueName="7" name="away_name" queryTableFieldId="7"/>
    <tableColumn id="8" xr3:uid="{34A68761-F099-4A6F-BCE5-C6B5FA87AFAE}" uniqueName="8" name="Display" queryTableFieldId="8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4741F1-41D3-4663-AFDE-D9D93481611F}" name="Q_Fixtures_Prematch_DayAfter" displayName="Q_Fixtures_Prematch_DayAfter" ref="A1:H135" tableType="queryTable" totalsRowShown="0">
  <autoFilter ref="A1:H135" xr:uid="{744741F1-41D3-4663-AFDE-D9D93481611F}"/>
  <tableColumns count="8">
    <tableColumn id="1" xr3:uid="{C09D9F29-F771-41A6-B766-02E6D18FE546}" uniqueName="1" name="fixture_id" queryTableFieldId="1"/>
    <tableColumn id="2" xr3:uid="{FC3BDABC-33A9-4633-AE11-96561AE4AC0A}" uniqueName="2" name="fixture_date" queryTableFieldId="2" dataDxfId="1"/>
    <tableColumn id="3" xr3:uid="{D332108F-8EA2-4047-8901-1E14763C5D34}" uniqueName="3" name="status_long" queryTableFieldId="3"/>
    <tableColumn id="4" xr3:uid="{D612039F-F916-4FE8-895F-110752BE5B7D}" uniqueName="4" name="league_country" queryTableFieldId="4"/>
    <tableColumn id="5" xr3:uid="{B3D6AD61-2B1D-43D7-BDBA-6BE13AB7F512}" uniqueName="5" name="league_name" queryTableFieldId="5"/>
    <tableColumn id="6" xr3:uid="{FEB15CA4-C10E-49C6-B5A4-AF554FE16C3B}" uniqueName="6" name="home_name" queryTableFieldId="6"/>
    <tableColumn id="7" xr3:uid="{63E4377F-14AC-4484-8FDA-634C7BCF9C05}" uniqueName="7" name="away_name" queryTableFieldId="7"/>
    <tableColumn id="8" xr3:uid="{E14C4392-ED05-451F-A8FA-EB4DE82B1CA5}" uniqueName="8" name="Display" queryTableFieldId="8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CD37FB-8366-4474-9D67-151B41DD5AC1}" name="tblStandings" displayName="tblStandings" ref="A1:K2" tableType="queryTable" insertRow="1" totalsRowShown="0">
  <autoFilter ref="A1:K2" xr:uid="{3ACD37FB-8366-4474-9D67-151B41DD5AC1}"/>
  <tableColumns count="11">
    <tableColumn id="1" xr3:uid="{83B8683A-64E8-44DB-8AA3-CE2C83CD5FF1}" uniqueName="1" name="rank" queryTableFieldId="1"/>
    <tableColumn id="2" xr3:uid="{3FD8E6BA-FF58-41F7-946B-B0888EE73D80}" uniqueName="2" name="team_name" queryTableFieldId="2"/>
    <tableColumn id="6" xr3:uid="{48EF7F1A-1FC8-445F-ABED-0935059C4782}" uniqueName="6" name="all_played" queryTableFieldId="6"/>
    <tableColumn id="7" xr3:uid="{73BFD0ED-B6DA-48CC-8C95-E5F497F18692}" uniqueName="7" name="all_win" queryTableFieldId="7"/>
    <tableColumn id="8" xr3:uid="{AA02E5A7-DA75-44A5-A308-BED6457291AC}" uniqueName="8" name="all_draw" queryTableFieldId="8"/>
    <tableColumn id="9" xr3:uid="{3B5E3853-D55A-44B6-B7E9-0CCBA99F8AA2}" uniqueName="9" name="all_lose" queryTableFieldId="9"/>
    <tableColumn id="10" xr3:uid="{5102913F-5774-4FEC-8641-B5C6DAA0F582}" uniqueName="10" name="all_gf" queryTableFieldId="10"/>
    <tableColumn id="11" xr3:uid="{3651A523-2E07-4AA8-A1AF-9B313B7238BF}" uniqueName="11" name="all_ga" queryTableFieldId="11"/>
    <tableColumn id="12" xr3:uid="{636D294C-FFBB-4D63-97C9-10DAB5F36EFB}" uniqueName="12" name="goalsDiff" queryTableFieldId="12"/>
    <tableColumn id="5" xr3:uid="{B176D666-A6B6-44DB-8E62-237C1793986A}" uniqueName="5" name="points" queryTableFieldId="5"/>
    <tableColumn id="4" xr3:uid="{89B6E883-1497-43B3-B92A-9656B36D5650}" uniqueName="4" name="form" queryTableField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D675BF-F358-481D-86AB-FED80F03A1FB}" name="Q_Last10Home_Stats_All" displayName="Q_Last10Home_Stats_All" ref="A1:AZ11" tableType="queryTable" totalsRowShown="0">
  <autoFilter ref="A1:AZ11" xr:uid="{B6D675BF-F358-481D-86AB-FED80F03A1FB}"/>
  <tableColumns count="52">
    <tableColumn id="1" xr3:uid="{4B8B698F-74FD-43B2-8342-FFA7D9DA80FB}" uniqueName="1" name="fixture_id" queryTableFieldId="1"/>
    <tableColumn id="2" xr3:uid="{0DE1E7F5-191E-46D3-8C67-0F8727E96AE6}" uniqueName="2" name="kickoff" queryTableFieldId="2"/>
    <tableColumn id="3" xr3:uid="{4095FAE2-D8E9-4036-ACD2-D232242DD224}" uniqueName="3" name="league_country" queryTableFieldId="3"/>
    <tableColumn id="4" xr3:uid="{98DA83E2-2F64-4194-938C-222694A01FBA}" uniqueName="4" name="league_name" queryTableFieldId="4"/>
    <tableColumn id="5" xr3:uid="{EF1ABB13-F39B-4A62-BA02-D84ADE22ECB3}" uniqueName="5" name="home_logo" queryTableFieldId="5"/>
    <tableColumn id="6" xr3:uid="{254356B0-6514-413E-867A-41429968FAD0}" uniqueName="6" name="home_name" queryTableFieldId="6"/>
    <tableColumn id="7" xr3:uid="{B9222945-9B26-4816-B287-27F7334447CF}" uniqueName="7" name="away_logo" queryTableFieldId="7"/>
    <tableColumn id="8" xr3:uid="{B9998205-545A-4129-A946-057C9462F95B}" uniqueName="8" name="opponent" queryTableFieldId="8"/>
    <tableColumn id="9" xr3:uid="{5EAD9360-5617-4412-8CED-17CFA3C31CC2}" uniqueName="9" name="league_logo" queryTableFieldId="9"/>
    <tableColumn id="10" xr3:uid="{7929DD70-5953-4B8B-ACB8-04D9AEBA8629}" uniqueName="10" name="league_flag" queryTableFieldId="10"/>
    <tableColumn id="11" xr3:uid="{42A76E50-5D3C-41AB-A1CD-2ED2893FC9BF}" uniqueName="11" name="home_goals" queryTableFieldId="11"/>
    <tableColumn id="12" xr3:uid="{1DD5EC5B-09EE-4560-B0B4-878A25C8A9D5}" uniqueName="12" name="away_goals" queryTableFieldId="12"/>
    <tableColumn id="13" xr3:uid="{A5D418CD-6CB2-41E4-937D-263D69B27F3C}" uniqueName="13" name="ht_home" queryTableFieldId="13"/>
    <tableColumn id="14" xr3:uid="{61879A74-71C4-4A25-84B8-94853DE617F0}" uniqueName="14" name="ht_away" queryTableFieldId="14"/>
    <tableColumn id="15" xr3:uid="{61CD373E-7EAB-4B6C-A718-BADDA989CB7B}" uniqueName="15" name="ft_home" queryTableFieldId="15"/>
    <tableColumn id="16" xr3:uid="{6B4A20A9-1677-4029-8FA4-1398588ED1C6}" uniqueName="16" name="ft_away" queryTableFieldId="16"/>
    <tableColumn id="17" xr3:uid="{FF87E580-D2D1-4CB8-843A-84B3920787DD}" uniqueName="17" name="Home_ShotsOnGoal" queryTableFieldId="17"/>
    <tableColumn id="18" xr3:uid="{4572694C-303B-4E6B-B657-1EC6A3C9A4A4}" uniqueName="18" name="Away_ShotsOnGoal" queryTableFieldId="18"/>
    <tableColumn id="19" xr3:uid="{E53AF8AD-CD98-4562-B4BE-A25845A42586}" uniqueName="19" name="Home_ShotsOffGoal" queryTableFieldId="19"/>
    <tableColumn id="20" xr3:uid="{11B4B3C2-ABA5-4F39-937A-26CD08AC399A}" uniqueName="20" name="Away_ShotsOffGoal" queryTableFieldId="20"/>
    <tableColumn id="21" xr3:uid="{18CFF873-1A55-4267-B306-86917C3A41E1}" uniqueName="21" name="Home_TotalShots" queryTableFieldId="21"/>
    <tableColumn id="22" xr3:uid="{0C420069-C78E-44B9-9BED-8207F37B01C4}" uniqueName="22" name="Away_TotalShots" queryTableFieldId="22"/>
    <tableColumn id="23" xr3:uid="{464C752F-D84C-46B0-8BFF-D101EBB59293}" uniqueName="23" name="Home_BlockedShots" queryTableFieldId="23"/>
    <tableColumn id="24" xr3:uid="{0887DE4A-1323-42D3-99C0-A4E16CFF46C8}" uniqueName="24" name="Away_BlockedShots" queryTableFieldId="24"/>
    <tableColumn id="25" xr3:uid="{28E79655-F5F6-4C1B-80F5-2ADAF868F0FE}" uniqueName="25" name="Home_ShotsInsideBox" queryTableFieldId="25"/>
    <tableColumn id="26" xr3:uid="{AFE3142B-1B58-4FFF-A921-E92C0A2972C1}" uniqueName="26" name="Away_ShotsInsideBox" queryTableFieldId="26"/>
    <tableColumn id="27" xr3:uid="{67E30742-DDAC-42AC-8B38-C53B111E2319}" uniqueName="27" name="Home_ShotsOutsideBox" queryTableFieldId="27"/>
    <tableColumn id="28" xr3:uid="{BB4B7D27-F2E7-4290-8A82-E0A4AAD2CBC4}" uniqueName="28" name="Away_ShotsOutsideBox" queryTableFieldId="28"/>
    <tableColumn id="29" xr3:uid="{D343035B-3066-43CF-BFD6-BE3BCB3A8ED6}" uniqueName="29" name="Home_Fouls" queryTableFieldId="29"/>
    <tableColumn id="30" xr3:uid="{E78321D0-3419-40B0-99C9-FE2419D1E390}" uniqueName="30" name="Away_Fouls" queryTableFieldId="30"/>
    <tableColumn id="31" xr3:uid="{C1A3BDE2-3B84-44A0-B42B-0BF29C7E10ED}" uniqueName="31" name="Home_CornerKicks" queryTableFieldId="31"/>
    <tableColumn id="32" xr3:uid="{01464BC4-3B1F-4389-98B3-93FFDB4D424D}" uniqueName="32" name="Away_CornerKicks" queryTableFieldId="32"/>
    <tableColumn id="33" xr3:uid="{FBB909BA-57ED-4802-AE2F-9C61A827F9D0}" uniqueName="33" name="Home_Offsides" queryTableFieldId="33"/>
    <tableColumn id="34" xr3:uid="{282F22EC-A87A-48B2-9C76-B4FA13BD50C8}" uniqueName="34" name="Away_Offsides" queryTableFieldId="34"/>
    <tableColumn id="35" xr3:uid="{9A57E6CE-9FBA-4834-8FE6-7D4DCA6C05C0}" uniqueName="35" name="Home_BallPossession" queryTableFieldId="35"/>
    <tableColumn id="36" xr3:uid="{8FCADF99-C935-4428-B1CA-1A12305D2707}" uniqueName="36" name="Away_BallPossession" queryTableFieldId="36"/>
    <tableColumn id="37" xr3:uid="{9F12D231-1FC5-4DF5-81EB-CFDF2D837942}" uniqueName="37" name="Home_YellowCards" queryTableFieldId="37"/>
    <tableColumn id="38" xr3:uid="{4C3EE175-CD8A-4632-9E9C-9022D848229C}" uniqueName="38" name="Away_YellowCards" queryTableFieldId="38"/>
    <tableColumn id="39" xr3:uid="{61ACF331-626B-4A21-B373-BC75ABD5E4D6}" uniqueName="39" name="Home_RedCards" queryTableFieldId="39"/>
    <tableColumn id="40" xr3:uid="{B9B809EF-1204-4E65-86A1-C6C5A80C1C53}" uniqueName="40" name="Away_RedCards" queryTableFieldId="40"/>
    <tableColumn id="41" xr3:uid="{739E5280-C947-4308-A5B6-5A97371D4718}" uniqueName="41" name="Home_GoalkeeperSaves" queryTableFieldId="41"/>
    <tableColumn id="42" xr3:uid="{8512DAA7-0C58-4B06-BD0A-CBC45E7BE0D2}" uniqueName="42" name="Away_GoalkeeperSaves" queryTableFieldId="42"/>
    <tableColumn id="43" xr3:uid="{EC4E1756-2DA7-457B-88A8-4FDB069B4E17}" uniqueName="43" name="Home_TotalPasses" queryTableFieldId="43"/>
    <tableColumn id="44" xr3:uid="{52408809-D440-4A59-B05E-F7A81C561457}" uniqueName="44" name="Away_TotalPasses" queryTableFieldId="44"/>
    <tableColumn id="45" xr3:uid="{C6466907-0FC8-4B3F-BCBD-5C80FA59B860}" uniqueName="45" name="Home_PassesAccurate" queryTableFieldId="45"/>
    <tableColumn id="46" xr3:uid="{295F9701-332D-4C35-A6A3-0C9A10F675B4}" uniqueName="46" name="Away_PassesAccurate" queryTableFieldId="46"/>
    <tableColumn id="47" xr3:uid="{B7D2DFF6-40A6-46D6-9782-2D18BD6D8353}" uniqueName="47" name="Home_PassesPct" queryTableFieldId="47"/>
    <tableColumn id="48" xr3:uid="{7E7754EC-70A8-4BC6-BFA0-817319747F70}" uniqueName="48" name="Away_PassesPct" queryTableFieldId="48"/>
    <tableColumn id="49" xr3:uid="{50367B3F-B506-4430-91D3-96CF9E5305E7}" uniqueName="49" name="Home_ExpectedGoals" queryTableFieldId="49"/>
    <tableColumn id="50" xr3:uid="{0BF2D973-CCF9-4EC6-960A-0EA3A77A7E70}" uniqueName="50" name="Away_ExpectedGoals" queryTableFieldId="50"/>
    <tableColumn id="51" xr3:uid="{97B860BB-7761-491C-AF2D-A20C72D12A84}" uniqueName="51" name="Home_GoalsPrevented" queryTableFieldId="51"/>
    <tableColumn id="52" xr3:uid="{2F35D92A-FD02-4A39-B388-15B60943A64D}" uniqueName="52" name="Away_GoalsPrevented" queryTableField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7332FF-575E-451F-8366-D43097C7442D}" name="Q_Last10Away_Stats_All" displayName="Q_Last10Away_Stats_All" ref="A1:AZ11" tableType="queryTable" totalsRowShown="0">
  <autoFilter ref="A1:AZ11" xr:uid="{4A7332FF-575E-451F-8366-D43097C7442D}"/>
  <tableColumns count="52">
    <tableColumn id="1" xr3:uid="{95E3BFD9-27C7-4877-A8F8-643E2949FE21}" uniqueName="1" name="fixture_id" queryTableFieldId="1"/>
    <tableColumn id="2" xr3:uid="{FC85BCAD-3B77-49E9-8B63-C4A0C5E994E7}" uniqueName="2" name="kickoff" queryTableFieldId="2"/>
    <tableColumn id="3" xr3:uid="{5A3DBB87-7AF3-4DC7-9B1F-0D73D9D570AB}" uniqueName="3" name="league_country" queryTableFieldId="3"/>
    <tableColumn id="4" xr3:uid="{866DA35E-FCCC-40FB-AF1C-6BCDECC2B197}" uniqueName="4" name="league_name" queryTableFieldId="4"/>
    <tableColumn id="5" xr3:uid="{2B72BE25-26BF-4805-9F2D-661145D54DBE}" uniqueName="5" name="home_logo" queryTableFieldId="5"/>
    <tableColumn id="6" xr3:uid="{89827BD2-2AC3-4AF1-B830-9854E39FF9F5}" uniqueName="6" name="home_name" queryTableFieldId="6"/>
    <tableColumn id="7" xr3:uid="{074534D8-9A8E-4B8E-998C-F76F0E2C2D04}" uniqueName="7" name="away_logo" queryTableFieldId="7"/>
    <tableColumn id="8" xr3:uid="{EF330BE3-F44B-445D-B61F-BB82B501EC81}" uniqueName="8" name="opponent" queryTableFieldId="8"/>
    <tableColumn id="9" xr3:uid="{FB2FC1ED-1F10-4A35-9FAE-A6EC41D15B18}" uniqueName="9" name="league_logo" queryTableFieldId="9"/>
    <tableColumn id="10" xr3:uid="{3B34534C-CD24-45D9-BCAE-FA7305355C0A}" uniqueName="10" name="league_flag" queryTableFieldId="10"/>
    <tableColumn id="11" xr3:uid="{B6C123E6-76A7-467E-AE6E-188035E2F4DA}" uniqueName="11" name="home_goals" queryTableFieldId="11"/>
    <tableColumn id="12" xr3:uid="{CD0679F1-0471-4D0A-AA03-34CE49FB597E}" uniqueName="12" name="away_goals" queryTableFieldId="12"/>
    <tableColumn id="13" xr3:uid="{556CD797-17FC-4611-91E7-D8F8367638F6}" uniqueName="13" name="ht_home" queryTableFieldId="13"/>
    <tableColumn id="14" xr3:uid="{2C894C3E-F303-417F-BC41-F90FBF06603C}" uniqueName="14" name="ht_away" queryTableFieldId="14"/>
    <tableColumn id="15" xr3:uid="{F7A54810-CF28-491F-81DF-5DB661D033B1}" uniqueName="15" name="ft_home" queryTableFieldId="15"/>
    <tableColumn id="16" xr3:uid="{3EE93061-5BD2-49F2-8A17-41E6515E5E34}" uniqueName="16" name="ft_away" queryTableFieldId="16"/>
    <tableColumn id="17" xr3:uid="{787F6500-74D7-4EF4-A029-6C76B979F457}" uniqueName="17" name="Home_ShotsOnGoal" queryTableFieldId="17"/>
    <tableColumn id="18" xr3:uid="{9DC70AA4-0531-4413-94A4-2E8BC86B15AB}" uniqueName="18" name="Away_ShotsOnGoal" queryTableFieldId="18"/>
    <tableColumn id="19" xr3:uid="{3077CF56-CCD3-47E7-A5B1-3C8D54880AA2}" uniqueName="19" name="Home_ShotsOffGoal" queryTableFieldId="19"/>
    <tableColumn id="20" xr3:uid="{AD0ADF23-5F89-4509-9024-255A6BDEA406}" uniqueName="20" name="Away_ShotsOffGoal" queryTableFieldId="20"/>
    <tableColumn id="21" xr3:uid="{5CC61270-DBD0-42BB-80DD-482B6C9D8413}" uniqueName="21" name="Home_TotalShots" queryTableFieldId="21"/>
    <tableColumn id="22" xr3:uid="{98FE4865-A24E-4EB7-981E-09B5426A1A34}" uniqueName="22" name="Away_TotalShots" queryTableFieldId="22"/>
    <tableColumn id="23" xr3:uid="{CC583B7C-83B0-4ABC-B7F8-6EF99F383FFE}" uniqueName="23" name="Home_BlockedShots" queryTableFieldId="23"/>
    <tableColumn id="24" xr3:uid="{E4FCB737-999C-49BF-AB09-937F15698C0F}" uniqueName="24" name="Away_BlockedShots" queryTableFieldId="24"/>
    <tableColumn id="25" xr3:uid="{6658163C-FD1F-4AA0-B010-CFCBA6FC52E7}" uniqueName="25" name="Home_ShotsInsideBox" queryTableFieldId="25"/>
    <tableColumn id="26" xr3:uid="{65893342-35FD-455A-BB53-9968F89FC93F}" uniqueName="26" name="Away_ShotsInsideBox" queryTableFieldId="26"/>
    <tableColumn id="27" xr3:uid="{6CAF2335-6D81-4DE5-845F-1DED044F92FA}" uniqueName="27" name="Home_ShotsOutsideBox" queryTableFieldId="27"/>
    <tableColumn id="28" xr3:uid="{51C9B50E-CDFA-44EE-A1DA-D9B3C097E5C6}" uniqueName="28" name="Away_ShotsOutsideBox" queryTableFieldId="28"/>
    <tableColumn id="29" xr3:uid="{5004CE12-1355-4BB1-81AD-8BA676A8B0FF}" uniqueName="29" name="Home_Fouls" queryTableFieldId="29"/>
    <tableColumn id="30" xr3:uid="{3EF429CC-8F88-44BB-8959-ABD373AE5AE1}" uniqueName="30" name="Away_Fouls" queryTableFieldId="30"/>
    <tableColumn id="31" xr3:uid="{77EAF0F5-FBFF-4FC0-A7EE-F3BFA5D01D83}" uniqueName="31" name="Home_CornerKicks" queryTableFieldId="31"/>
    <tableColumn id="32" xr3:uid="{03D6E6FE-ABAE-40D1-BEAD-19498116838D}" uniqueName="32" name="Away_CornerKicks" queryTableFieldId="32"/>
    <tableColumn id="33" xr3:uid="{FEFE9795-6D51-4D7E-A3FA-E238CFE217E0}" uniqueName="33" name="Home_Offsides" queryTableFieldId="33"/>
    <tableColumn id="34" xr3:uid="{E4097B51-E0CE-46DC-9FBE-1E9AEDF80D79}" uniqueName="34" name="Away_Offsides" queryTableFieldId="34"/>
    <tableColumn id="35" xr3:uid="{1CC6DCA6-F6D3-4FF5-BD7D-6BA527F59CE4}" uniqueName="35" name="Home_BallPossession" queryTableFieldId="35"/>
    <tableColumn id="36" xr3:uid="{09DB94C3-1A80-44C4-9996-691803868BBD}" uniqueName="36" name="Away_BallPossession" queryTableFieldId="36"/>
    <tableColumn id="37" xr3:uid="{54680E3A-8622-4AF4-8BAA-FF0EE8A6C5E8}" uniqueName="37" name="Home_YellowCards" queryTableFieldId="37"/>
    <tableColumn id="38" xr3:uid="{EBD3B390-3D62-4280-8662-573DAC44287E}" uniqueName="38" name="Away_YellowCards" queryTableFieldId="38"/>
    <tableColumn id="39" xr3:uid="{0E115CF7-DD13-4AC4-AA71-9539054351AB}" uniqueName="39" name="Home_RedCards" queryTableFieldId="39"/>
    <tableColumn id="40" xr3:uid="{BDBAF835-2B08-4D82-9635-794CD8093CD3}" uniqueName="40" name="Away_RedCards" queryTableFieldId="40"/>
    <tableColumn id="41" xr3:uid="{B25FA127-794F-4D8B-B169-C66A28687EF6}" uniqueName="41" name="Home_GoalkeeperSaves" queryTableFieldId="41"/>
    <tableColumn id="42" xr3:uid="{29BEEFA4-EDB0-424C-8C44-F1A9B34DE822}" uniqueName="42" name="Away_GoalkeeperSaves" queryTableFieldId="42"/>
    <tableColumn id="43" xr3:uid="{1D3EC6BD-6A8E-4E43-86D2-3F3160F0787F}" uniqueName="43" name="Home_TotalPasses" queryTableFieldId="43"/>
    <tableColumn id="44" xr3:uid="{B40B2606-2AAA-4E77-BAB6-6F480511DDB8}" uniqueName="44" name="Away_TotalPasses" queryTableFieldId="44"/>
    <tableColumn id="45" xr3:uid="{2A9C80ED-4FBF-4D45-847E-AF2D7F2EED3F}" uniqueName="45" name="Home_PassesAccurate" queryTableFieldId="45"/>
    <tableColumn id="46" xr3:uid="{C4114866-F506-471E-949E-ED043EE6FC38}" uniqueName="46" name="Away_PassesAccurate" queryTableFieldId="46"/>
    <tableColumn id="47" xr3:uid="{47CD640B-1046-4659-9B95-32D85C5B3E17}" uniqueName="47" name="Home_PassesPct" queryTableFieldId="47"/>
    <tableColumn id="48" xr3:uid="{B7B23CFC-C9FB-4AC1-A99C-6D47EDD9CC1E}" uniqueName="48" name="Away_PassesPct" queryTableFieldId="48"/>
    <tableColumn id="49" xr3:uid="{444BF43E-18A7-4A0D-B507-BA650DD89CA9}" uniqueName="49" name="Home_ExpectedGoals" queryTableFieldId="49"/>
    <tableColumn id="50" xr3:uid="{D7936EE2-AF4D-4469-8EAA-9B93A1ED1D9B}" uniqueName="50" name="Away_ExpectedGoals" queryTableFieldId="50"/>
    <tableColumn id="51" xr3:uid="{8A322C31-4931-460D-9BFC-AFC8ACEA3E21}" uniqueName="51" name="Home_GoalsPrevented" queryTableFieldId="51"/>
    <tableColumn id="52" xr3:uid="{98F6BF41-EC7D-461A-AFF9-4DD56D9ABF9D}" uniqueName="52" name="Away_GoalsPrevented" queryTableFieldId="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C412EF2-D7ED-4779-92C1-B660C01DA49C}" name="Q_H2H_Last5_Stats_All" displayName="Q_H2H_Last5_Stats_All" ref="A1:AZ2" tableType="queryTable" totalsRowShown="0">
  <autoFilter ref="A1:AZ2" xr:uid="{2C412EF2-D7ED-4779-92C1-B660C01DA49C}"/>
  <tableColumns count="52">
    <tableColumn id="1" xr3:uid="{C6DEE2F9-32E6-4917-AFD1-9725321F048C}" uniqueName="1" name="fixture_id" queryTableFieldId="1"/>
    <tableColumn id="2" xr3:uid="{A718AA6C-D346-4CEA-A57D-F05A533CEBBA}" uniqueName="2" name="kickoff" queryTableFieldId="2"/>
    <tableColumn id="3" xr3:uid="{49E2528C-ACB8-4853-A3FD-F0694DD7C740}" uniqueName="3" name="league_country" queryTableFieldId="3"/>
    <tableColumn id="4" xr3:uid="{43C7EDD8-4348-40A0-995E-FDB8CB7E20B2}" uniqueName="4" name="league_name" queryTableFieldId="4"/>
    <tableColumn id="5" xr3:uid="{729E96DD-AF3F-41F8-A1DD-90AD058A2CCE}" uniqueName="5" name="home_logo" queryTableFieldId="5"/>
    <tableColumn id="6" xr3:uid="{EDA255B6-ABD9-46EF-9429-6AEB12E02F9B}" uniqueName="6" name="home_name" queryTableFieldId="6"/>
    <tableColumn id="7" xr3:uid="{8B0D5897-C33A-42DF-B76B-F7D5FAFD5BCE}" uniqueName="7" name="away_logo" queryTableFieldId="7"/>
    <tableColumn id="8" xr3:uid="{E674170D-6AA3-423E-9EC0-23F7D3FECCBC}" uniqueName="8" name="opponent" queryTableFieldId="8"/>
    <tableColumn id="9" xr3:uid="{5C6BEE90-0206-40A7-AF87-D321DF9C3151}" uniqueName="9" name="league_logo" queryTableFieldId="9"/>
    <tableColumn id="10" xr3:uid="{55ACFEED-7AD8-415D-BE8A-45AAABFF558E}" uniqueName="10" name="league_flag" queryTableFieldId="10"/>
    <tableColumn id="11" xr3:uid="{89F39291-1C0C-4C3B-80B7-A78ECC1A76D3}" uniqueName="11" name="home_goals" queryTableFieldId="11"/>
    <tableColumn id="12" xr3:uid="{542E468D-829A-4B02-8688-27760390BE19}" uniqueName="12" name="away_goals" queryTableFieldId="12"/>
    <tableColumn id="13" xr3:uid="{E7948A14-C9C3-45D1-9E30-591B48FB2EA8}" uniqueName="13" name="ht_home" queryTableFieldId="13"/>
    <tableColumn id="14" xr3:uid="{7D5C1792-C31D-466D-8882-8A0D2C1FC16E}" uniqueName="14" name="ht_away" queryTableFieldId="14"/>
    <tableColumn id="15" xr3:uid="{62060667-0D59-424C-B75F-FDDAFDE1AD6F}" uniqueName="15" name="ft_home" queryTableFieldId="15"/>
    <tableColumn id="16" xr3:uid="{4A855B58-F440-4583-8728-3B0DC54810A2}" uniqueName="16" name="ft_away" queryTableFieldId="16"/>
    <tableColumn id="17" xr3:uid="{36182B62-0216-4F7E-97D7-2518A2B29CA0}" uniqueName="17" name="Home_ShotsOnGoal" queryTableFieldId="17"/>
    <tableColumn id="18" xr3:uid="{99996AA8-0B5E-4271-BD86-0C1AE1576734}" uniqueName="18" name="Away_ShotsOnGoal" queryTableFieldId="18"/>
    <tableColumn id="19" xr3:uid="{637B316C-01E3-4D01-B866-323D180B1F17}" uniqueName="19" name="Home_ShotsOffGoal" queryTableFieldId="19"/>
    <tableColumn id="20" xr3:uid="{5B4ED9BD-C01F-4E58-BDEB-C5B4090DD5D3}" uniqueName="20" name="Away_ShotsOffGoal" queryTableFieldId="20"/>
    <tableColumn id="21" xr3:uid="{C6F5D492-7F60-416B-AAF7-1876CB134E9A}" uniqueName="21" name="Home_TotalShots" queryTableFieldId="21"/>
    <tableColumn id="22" xr3:uid="{A1DFE3D2-1ADB-44BF-815B-91CC49E01B86}" uniqueName="22" name="Away_TotalShots" queryTableFieldId="22"/>
    <tableColumn id="23" xr3:uid="{527DE84F-82A3-481F-9C0B-891C1AAD1AE3}" uniqueName="23" name="Home_BlockedShots" queryTableFieldId="23"/>
    <tableColumn id="24" xr3:uid="{B8B959CF-3111-43E2-8B96-D7B5498F08FD}" uniqueName="24" name="Away_BlockedShots" queryTableFieldId="24"/>
    <tableColumn id="25" xr3:uid="{F109E4C2-19B3-4FA1-A713-3A9FB6386EFE}" uniqueName="25" name="Home_ShotsInsideBox" queryTableFieldId="25"/>
    <tableColumn id="26" xr3:uid="{E13668D4-39CE-4A3F-B909-9190512E1403}" uniqueName="26" name="Away_ShotsInsideBox" queryTableFieldId="26"/>
    <tableColumn id="27" xr3:uid="{4F044EA1-158A-4223-87BB-FD91E64DA95E}" uniqueName="27" name="Home_ShotsOutsideBox" queryTableFieldId="27"/>
    <tableColumn id="28" xr3:uid="{05150F31-E80F-454C-99C0-405724EF9A87}" uniqueName="28" name="Away_ShotsOutsideBox" queryTableFieldId="28"/>
    <tableColumn id="29" xr3:uid="{B369A480-B015-4FF6-A6A0-807056168478}" uniqueName="29" name="Home_Fouls" queryTableFieldId="29"/>
    <tableColumn id="30" xr3:uid="{4C7F1FBA-2270-42EF-AAA6-8C271C3D2AE4}" uniqueName="30" name="Away_Fouls" queryTableFieldId="30"/>
    <tableColumn id="31" xr3:uid="{FEFCB045-C907-4DFA-918C-908A581BF6FB}" uniqueName="31" name="Home_CornerKicks" queryTableFieldId="31"/>
    <tableColumn id="32" xr3:uid="{6B8335DA-0923-4181-8E42-ED144AAE5694}" uniqueName="32" name="Away_CornerKicks" queryTableFieldId="32"/>
    <tableColumn id="33" xr3:uid="{47B9956B-1AB0-4919-8B64-73E911FC4D32}" uniqueName="33" name="Home_Offsides" queryTableFieldId="33"/>
    <tableColumn id="34" xr3:uid="{65F4A3C2-106E-476C-BF01-E4D3DAB6C2F2}" uniqueName="34" name="Away_Offsides" queryTableFieldId="34"/>
    <tableColumn id="35" xr3:uid="{63120B5A-437D-40F0-BA12-3A1B40109734}" uniqueName="35" name="Home_BallPossession" queryTableFieldId="35"/>
    <tableColumn id="36" xr3:uid="{724808BC-6A15-4A07-8A3D-3BE1999BD268}" uniqueName="36" name="Away_BallPossession" queryTableFieldId="36"/>
    <tableColumn id="37" xr3:uid="{305ADFE7-EE8F-4B2C-A5F7-A0909CE44C01}" uniqueName="37" name="Home_YellowCards" queryTableFieldId="37"/>
    <tableColumn id="38" xr3:uid="{82FD3A5E-1129-4A04-AAA0-FBAA4DD5E73C}" uniqueName="38" name="Away_YellowCards" queryTableFieldId="38"/>
    <tableColumn id="39" xr3:uid="{5A342B77-A581-48C4-AB90-D0644A0D416A}" uniqueName="39" name="Home_RedCards" queryTableFieldId="39"/>
    <tableColumn id="40" xr3:uid="{256A84C7-E5E2-476D-A338-03FB20D26458}" uniqueName="40" name="Away_RedCards" queryTableFieldId="40"/>
    <tableColumn id="41" xr3:uid="{0091B211-A35B-4537-865A-3583B534F2EC}" uniqueName="41" name="Home_GoalkeeperSaves" queryTableFieldId="41"/>
    <tableColumn id="42" xr3:uid="{E877B0B6-B64B-4B50-9BF0-3716A73FDC75}" uniqueName="42" name="Away_GoalkeeperSaves" queryTableFieldId="42"/>
    <tableColumn id="43" xr3:uid="{CFB1AF44-256A-4D8F-B97F-A1038572F553}" uniqueName="43" name="Home_TotalPasses" queryTableFieldId="43"/>
    <tableColumn id="44" xr3:uid="{59DA5E2B-D7E7-4A6A-8E00-F528E45024A5}" uniqueName="44" name="Away_TotalPasses" queryTableFieldId="44"/>
    <tableColumn id="45" xr3:uid="{8B825579-A869-4780-856C-6C69B2155F15}" uniqueName="45" name="Home_PassesAccurate" queryTableFieldId="45"/>
    <tableColumn id="46" xr3:uid="{07403584-443D-4F02-AAEB-F2A1A0137E8F}" uniqueName="46" name="Away_PassesAccurate" queryTableFieldId="46"/>
    <tableColumn id="47" xr3:uid="{C9E1CCEF-1C24-4FE0-8789-B0B175398510}" uniqueName="47" name="Home_PassesPct" queryTableFieldId="47"/>
    <tableColumn id="48" xr3:uid="{CB90849E-919C-46C6-A4F9-79D06749B351}" uniqueName="48" name="Away_PassesPct" queryTableFieldId="48"/>
    <tableColumn id="49" xr3:uid="{4A3D5291-3E09-4667-9959-9FF70E3D63E9}" uniqueName="49" name="Home_ExpectedGoals" queryTableFieldId="49"/>
    <tableColumn id="50" xr3:uid="{09B38158-3592-4E04-8333-4B95498C81BC}" uniqueName="50" name="Away_ExpectedGoals" queryTableFieldId="50"/>
    <tableColumn id="51" xr3:uid="{95E552F9-93D9-4F4B-B7EB-FBC50EAF2AA0}" uniqueName="51" name="Home_GoalsPrevented" queryTableFieldId="51"/>
    <tableColumn id="52" xr3:uid="{61160A65-DF70-4AFB-85B9-52E9509961E0}" uniqueName="52" name="Away_GoalsPrevented" queryTableFieldId="5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DBA55-CB81-4257-BE3C-8492513A2D46}">
  <sheetPr codeName="Sheet2">
    <tabColor theme="1"/>
  </sheetPr>
  <dimension ref="A1:DD1696"/>
  <sheetViews>
    <sheetView zoomScale="115" zoomScaleNormal="115" workbookViewId="0">
      <selection activeCell="DO25" sqref="DO25"/>
    </sheetView>
  </sheetViews>
  <sheetFormatPr defaultRowHeight="15" x14ac:dyDescent="0.25"/>
  <cols>
    <col min="1" max="1" width="51.5703125" style="1" bestFit="1" customWidth="1"/>
    <col min="2" max="2" width="38.5703125" style="1" bestFit="1" customWidth="1"/>
    <col min="3" max="3" width="29.5703125" style="1" bestFit="1" customWidth="1"/>
    <col min="4" max="4" width="2" style="1" bestFit="1" customWidth="1"/>
    <col min="5" max="5" width="11.85546875" style="1" bestFit="1" customWidth="1"/>
    <col min="6" max="6" width="18.5703125" style="1" bestFit="1" customWidth="1"/>
    <col min="7" max="7" width="9.140625" style="1"/>
    <col min="8" max="8" width="9.7109375" style="1" bestFit="1" customWidth="1"/>
    <col min="9" max="9" width="17.5703125" style="1" bestFit="1" customWidth="1"/>
    <col min="10" max="10" width="11.140625" style="1" bestFit="1" customWidth="1"/>
    <col min="11" max="11" width="20.42578125" style="1" bestFit="1" customWidth="1"/>
    <col min="12" max="12" width="35" style="1" bestFit="1" customWidth="1"/>
    <col min="13" max="13" width="23.7109375" style="1" bestFit="1" customWidth="1"/>
    <col min="14" max="14" width="23.85546875" style="1" bestFit="1" customWidth="1"/>
    <col min="15" max="15" width="108.5703125" style="1" bestFit="1" customWidth="1"/>
    <col min="16" max="16" width="9.140625" style="1"/>
    <col min="17" max="17" width="9.7109375" style="1" bestFit="1" customWidth="1"/>
    <col min="18" max="18" width="15.85546875" style="1" bestFit="1" customWidth="1"/>
    <col min="19" max="19" width="14.85546875" style="1" bestFit="1" customWidth="1"/>
    <col min="20" max="20" width="15.28515625" style="1" bestFit="1" customWidth="1"/>
    <col min="21" max="21" width="48.28515625" style="1" bestFit="1" customWidth="1"/>
    <col min="22" max="22" width="16.7109375" style="1" bestFit="1" customWidth="1"/>
    <col min="23" max="23" width="49.28515625" style="1" bestFit="1" customWidth="1"/>
    <col min="24" max="24" width="17.7109375" style="1" bestFit="1" customWidth="1"/>
    <col min="25" max="25" width="49.7109375" style="1" bestFit="1" customWidth="1"/>
    <col min="26" max="26" width="37.140625" style="1" bestFit="1" customWidth="1"/>
    <col min="27" max="27" width="11.7109375" style="1" bestFit="1" customWidth="1"/>
    <col min="28" max="28" width="11.140625" style="1" bestFit="1" customWidth="1"/>
    <col min="29" max="29" width="9" style="1" bestFit="1" customWidth="1"/>
    <col min="30" max="30" width="8.42578125" style="1" bestFit="1" customWidth="1"/>
    <col min="31" max="31" width="8.5703125" style="1" bestFit="1" customWidth="1"/>
    <col min="32" max="32" width="8" style="1" bestFit="1" customWidth="1"/>
    <col min="33" max="33" width="19" style="1" bestFit="1" customWidth="1"/>
    <col min="34" max="34" width="18.5703125" style="1" bestFit="1" customWidth="1"/>
    <col min="35" max="35" width="19.28515625" style="1" bestFit="1" customWidth="1"/>
    <col min="36" max="36" width="18.85546875" style="1" bestFit="1" customWidth="1"/>
    <col min="37" max="37" width="16.7109375" style="1" bestFit="1" customWidth="1"/>
    <col min="38" max="38" width="16.28515625" style="1" bestFit="1" customWidth="1"/>
    <col min="39" max="39" width="19.42578125" style="1" bestFit="1" customWidth="1"/>
    <col min="40" max="40" width="19" style="1" bestFit="1" customWidth="1"/>
    <col min="41" max="41" width="21.140625" style="1" bestFit="1" customWidth="1"/>
    <col min="42" max="42" width="20.7109375" style="1" bestFit="1" customWidth="1"/>
    <col min="43" max="43" width="22.85546875" style="1" bestFit="1" customWidth="1"/>
    <col min="44" max="44" width="22.42578125" style="1" bestFit="1" customWidth="1"/>
    <col min="45" max="45" width="12" style="1" bestFit="1" customWidth="1"/>
    <col min="46" max="46" width="11.5703125" style="1" bestFit="1" customWidth="1"/>
    <col min="47" max="47" width="18" style="1" bestFit="1" customWidth="1"/>
    <col min="48" max="48" width="17.5703125" style="1" bestFit="1" customWidth="1"/>
    <col min="49" max="49" width="14.85546875" style="1" bestFit="1" customWidth="1"/>
    <col min="50" max="50" width="14.42578125" style="1" bestFit="1" customWidth="1"/>
    <col min="51" max="51" width="20.5703125" style="1" bestFit="1" customWidth="1"/>
    <col min="52" max="52" width="20.140625" style="1" bestFit="1" customWidth="1"/>
    <col min="53" max="53" width="18.42578125" style="1" bestFit="1" customWidth="1"/>
    <col min="54" max="54" width="18" style="1" bestFit="1" customWidth="1"/>
    <col min="55" max="55" width="15.7109375" style="1" bestFit="1" customWidth="1"/>
    <col min="56" max="56" width="15.28515625" style="1" bestFit="1" customWidth="1"/>
    <col min="57" max="57" width="23" style="1" bestFit="1" customWidth="1"/>
    <col min="58" max="58" width="22.5703125" style="1" bestFit="1" customWidth="1"/>
    <col min="59" max="59" width="17.85546875" style="1" bestFit="1" customWidth="1"/>
    <col min="60" max="60" width="17.42578125" style="1" bestFit="1" customWidth="1"/>
    <col min="61" max="61" width="21.140625" style="1" bestFit="1" customWidth="1"/>
    <col min="62" max="62" width="20.7109375" style="1" bestFit="1" customWidth="1"/>
    <col min="63" max="63" width="16" style="1" bestFit="1" customWidth="1"/>
    <col min="64" max="64" width="15.5703125" style="1" bestFit="1" customWidth="1"/>
    <col min="65" max="65" width="20.5703125" style="1" bestFit="1" customWidth="1"/>
    <col min="66" max="66" width="20.140625" style="1" bestFit="1" customWidth="1"/>
    <col min="67" max="67" width="21.85546875" style="1" bestFit="1" customWidth="1"/>
    <col min="68" max="68" width="21.42578125" style="1" bestFit="1" customWidth="1"/>
    <col min="69" max="73" width="9.140625" style="1"/>
    <col min="74" max="74" width="5" style="1" bestFit="1" customWidth="1"/>
    <col min="75" max="75" width="20.140625" style="1" bestFit="1" customWidth="1"/>
    <col min="76" max="76" width="10.140625" style="1" bestFit="1" customWidth="1"/>
    <col min="77" max="77" width="7.42578125" style="1" bestFit="1" customWidth="1"/>
    <col min="78" max="78" width="8.5703125" style="1" bestFit="1" customWidth="1"/>
    <col min="79" max="79" width="7.85546875" style="1" bestFit="1" customWidth="1"/>
    <col min="80" max="80" width="5.85546875" style="1" bestFit="1" customWidth="1"/>
    <col min="81" max="81" width="6.140625" style="1" bestFit="1" customWidth="1"/>
    <col min="82" max="82" width="8.85546875" style="1" bestFit="1" customWidth="1"/>
    <col min="83" max="83" width="6.5703125" style="1" bestFit="1" customWidth="1"/>
    <col min="84" max="84" width="10.42578125" style="1" bestFit="1" customWidth="1"/>
    <col min="85" max="90" width="9.140625" style="1"/>
    <col min="91" max="91" width="16.85546875" style="1" bestFit="1" customWidth="1"/>
    <col min="92" max="92" width="16.42578125" style="1" bestFit="1" customWidth="1"/>
    <col min="93" max="95" width="9.140625" style="1"/>
    <col min="96" max="96" width="18.28515625" style="1" bestFit="1" customWidth="1"/>
    <col min="97" max="97" width="9.140625" style="1"/>
    <col min="98" max="98" width="29.28515625" style="1" bestFit="1" customWidth="1"/>
    <col min="99" max="103" width="9.140625" style="1"/>
    <col min="104" max="104" width="11.5703125" style="1" bestFit="1" customWidth="1"/>
    <col min="105" max="105" width="9.140625" style="1"/>
    <col min="106" max="106" width="10.5703125" style="1" bestFit="1" customWidth="1"/>
    <col min="107" max="107" width="9.140625" style="1"/>
    <col min="108" max="108" width="12.5703125" style="1" bestFit="1" customWidth="1"/>
    <col min="109" max="16384" width="9.140625" style="1"/>
  </cols>
  <sheetData>
    <row r="1" spans="1:108" x14ac:dyDescent="0.25">
      <c r="A1" s="1" t="s">
        <v>0</v>
      </c>
      <c r="B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Q1" s="1" t="str">
        <f>IFERROR(Last10Home_Stats_All!A1,"")</f>
        <v>fixture_id</v>
      </c>
      <c r="R1" s="1" t="str">
        <f>IFERROR(Last10Home_Stats_All!B1,"")</f>
        <v>kickoff</v>
      </c>
      <c r="S1" s="1" t="str">
        <f>IFERROR(Last10Home_Stats_All!C1,"")</f>
        <v>league_country</v>
      </c>
      <c r="T1" s="1" t="str">
        <f>IFERROR(Last10Home_Stats_All!D1,"")</f>
        <v>league_name</v>
      </c>
      <c r="U1" s="1" t="str">
        <f>IFERROR(Last10Home_Stats_All!E1,"")</f>
        <v>home_logo</v>
      </c>
      <c r="V1" s="1" t="str">
        <f>IFERROR(Last10Home_Stats_All!F1,"")</f>
        <v>home_name</v>
      </c>
      <c r="W1" s="1" t="str">
        <f>IFERROR(Last10Home_Stats_All!G1,"")</f>
        <v>away_logo</v>
      </c>
      <c r="X1" s="1" t="str">
        <f>IFERROR(Last10Home_Stats_All!H1,"")</f>
        <v>opponent</v>
      </c>
      <c r="Y1" s="1" t="str">
        <f>IFERROR(Last10Home_Stats_All!I1,"")</f>
        <v>league_logo</v>
      </c>
      <c r="Z1" s="1" t="str">
        <f>IFERROR(Last10Home_Stats_All!J1,"")</f>
        <v>league_flag</v>
      </c>
      <c r="AA1" s="1" t="str">
        <f>IFERROR(Last10Home_Stats_All!K1,"")</f>
        <v>home_goals</v>
      </c>
      <c r="AB1" s="1" t="str">
        <f>IFERROR(Last10Home_Stats_All!L1,"")</f>
        <v>away_goals</v>
      </c>
      <c r="AC1" s="1" t="str">
        <f>IFERROR(Last10Home_Stats_All!M1,"")</f>
        <v>ht_home</v>
      </c>
      <c r="AD1" s="1" t="str">
        <f>IFERROR(Last10Home_Stats_All!N1,"")</f>
        <v>ht_away</v>
      </c>
      <c r="AE1" s="1" t="str">
        <f>IFERROR(Last10Home_Stats_All!O1,"")</f>
        <v>ft_home</v>
      </c>
      <c r="AF1" s="1" t="str">
        <f>IFERROR(Last10Home_Stats_All!P1,"")</f>
        <v>ft_away</v>
      </c>
      <c r="AG1" s="1" t="str">
        <f>IFERROR(Last10Home_Stats_All!Q1,"")</f>
        <v>Home_ShotsOnGoal</v>
      </c>
      <c r="AH1" s="1" t="str">
        <f>IFERROR(Last10Home_Stats_All!R1,"")</f>
        <v>Away_ShotsOnGoal</v>
      </c>
      <c r="AI1" s="1" t="str">
        <f>IFERROR(Last10Home_Stats_All!S1,"")</f>
        <v>Home_ShotsOffGoal</v>
      </c>
      <c r="AJ1" s="1" t="str">
        <f>IFERROR(Last10Home_Stats_All!T1,"")</f>
        <v>Away_ShotsOffGoal</v>
      </c>
      <c r="AK1" s="1" t="str">
        <f>IFERROR(Last10Home_Stats_All!U1,"")</f>
        <v>Home_TotalShots</v>
      </c>
      <c r="AL1" s="1" t="str">
        <f>IFERROR(Last10Home_Stats_All!V1,"")</f>
        <v>Away_TotalShots</v>
      </c>
      <c r="AM1" s="1" t="str">
        <f>IFERROR(Last10Home_Stats_All!W1,"")</f>
        <v>Home_BlockedShots</v>
      </c>
      <c r="AN1" s="1" t="str">
        <f>IFERROR(Last10Home_Stats_All!X1,"")</f>
        <v>Away_BlockedShots</v>
      </c>
      <c r="AO1" s="1" t="str">
        <f>IFERROR(Last10Home_Stats_All!Y1,"")</f>
        <v>Home_ShotsInsideBox</v>
      </c>
      <c r="AP1" s="1" t="str">
        <f>IFERROR(Last10Home_Stats_All!Z1,"")</f>
        <v>Away_ShotsInsideBox</v>
      </c>
      <c r="AQ1" s="1" t="str">
        <f>IFERROR(Last10Home_Stats_All!AA1,"")</f>
        <v>Home_ShotsOutsideBox</v>
      </c>
      <c r="AR1" s="1" t="str">
        <f>IFERROR(Last10Home_Stats_All!AB1,"")</f>
        <v>Away_ShotsOutsideBox</v>
      </c>
      <c r="AS1" s="1" t="str">
        <f>IFERROR(Last10Home_Stats_All!AC1,"")</f>
        <v>Home_Fouls</v>
      </c>
      <c r="AT1" s="1" t="str">
        <f>IFERROR(Last10Home_Stats_All!AD1,"")</f>
        <v>Away_Fouls</v>
      </c>
      <c r="AU1" s="1" t="str">
        <f>IFERROR(Last10Home_Stats_All!AE1,"")</f>
        <v>Home_CornerKicks</v>
      </c>
      <c r="AV1" s="1" t="str">
        <f>IFERROR(Last10Home_Stats_All!AF1,"")</f>
        <v>Away_CornerKicks</v>
      </c>
      <c r="AW1" s="1" t="str">
        <f>IFERROR(Last10Home_Stats_All!AG1,"")</f>
        <v>Home_Offsides</v>
      </c>
      <c r="AX1" s="1" t="str">
        <f>IFERROR(Last10Home_Stats_All!AH1,"")</f>
        <v>Away_Offsides</v>
      </c>
      <c r="AY1" s="1" t="str">
        <f>IFERROR(Last10Home_Stats_All!AI1,"")</f>
        <v>Home_BallPossession</v>
      </c>
      <c r="AZ1" s="1" t="str">
        <f>IFERROR(Last10Home_Stats_All!AJ1,"")</f>
        <v>Away_BallPossession</v>
      </c>
      <c r="BA1" s="1" t="str">
        <f>IFERROR(Last10Home_Stats_All!AK1,"")</f>
        <v>Home_YellowCards</v>
      </c>
      <c r="BB1" s="1" t="str">
        <f>IFERROR(Last10Home_Stats_All!AL1,"")</f>
        <v>Away_YellowCards</v>
      </c>
      <c r="BC1" s="1" t="str">
        <f>IFERROR(Last10Home_Stats_All!AM1,"")</f>
        <v>Home_RedCards</v>
      </c>
      <c r="BD1" s="1" t="str">
        <f>IFERROR(Last10Home_Stats_All!AN1,"")</f>
        <v>Away_RedCards</v>
      </c>
      <c r="BE1" s="1" t="str">
        <f>IFERROR(Last10Home_Stats_All!AO1,"")</f>
        <v>Home_GoalkeeperSaves</v>
      </c>
      <c r="BF1" s="1" t="str">
        <f>IFERROR(Last10Home_Stats_All!AP1,"")</f>
        <v>Away_GoalkeeperSaves</v>
      </c>
      <c r="BG1" s="1" t="str">
        <f>IFERROR(Last10Home_Stats_All!AQ1,"")</f>
        <v>Home_TotalPasses</v>
      </c>
      <c r="BH1" s="1" t="str">
        <f>IFERROR(Last10Home_Stats_All!AR1,"")</f>
        <v>Away_TotalPasses</v>
      </c>
      <c r="BI1" s="1" t="str">
        <f>IFERROR(Last10Home_Stats_All!AS1,"")</f>
        <v>Home_PassesAccurate</v>
      </c>
      <c r="BJ1" s="1" t="str">
        <f>IFERROR(Last10Home_Stats_All!AT1,"")</f>
        <v>Away_PassesAccurate</v>
      </c>
      <c r="BK1" s="1" t="str">
        <f>IFERROR(Last10Home_Stats_All!AU1,"")</f>
        <v>Home_PassesPct</v>
      </c>
      <c r="BL1" s="1" t="str">
        <f>IFERROR(Last10Home_Stats_All!AV1,"")</f>
        <v>Away_PassesPct</v>
      </c>
      <c r="BM1" s="1" t="str">
        <f>IFERROR(Last10Home_Stats_All!AW1,"")</f>
        <v>Home_ExpectedGoals</v>
      </c>
      <c r="BN1" s="1" t="str">
        <f>IFERROR(Last10Home_Stats_All!AX1,"")</f>
        <v>Away_ExpectedGoals</v>
      </c>
      <c r="BO1" s="1" t="str">
        <f>IFERROR(Last10Home_Stats_All!AY1,"")</f>
        <v>Home_GoalsPrevented</v>
      </c>
      <c r="BP1" s="1" t="str">
        <f>IFERROR(Last10Home_Stats_All!AZ1,"")</f>
        <v>Away_GoalsPrevented</v>
      </c>
      <c r="BR1" s="1" t="s">
        <v>215</v>
      </c>
      <c r="BS1" s="1" t="s">
        <v>216</v>
      </c>
      <c r="BT1" s="1" t="s">
        <v>217</v>
      </c>
      <c r="BV1" s="1" t="str">
        <f>IFERROR(INDEX(tblStandings[#All],ROW(A1),COLUMN(A1)),"")</f>
        <v>rank</v>
      </c>
      <c r="BW1" s="1" t="str">
        <f>IFERROR(INDEX(tblStandings[#All],ROW(B1),COLUMN(B1)),"")</f>
        <v>team_name</v>
      </c>
      <c r="BX1" s="1" t="str">
        <f>IFERROR(INDEX(tblStandings[#All],ROW(C1),COLUMN(C1)),"")</f>
        <v>all_played</v>
      </c>
      <c r="BY1" s="1" t="str">
        <f>IFERROR(INDEX(tblStandings[#All],ROW(D1),COLUMN(D1)),"")</f>
        <v>all_win</v>
      </c>
      <c r="BZ1" s="1" t="str">
        <f>IFERROR(INDEX(tblStandings[#All],ROW(E1),COLUMN(E1)),"")</f>
        <v>all_draw</v>
      </c>
      <c r="CA1" s="1" t="str">
        <f>IFERROR(INDEX(tblStandings[#All],ROW(F1),COLUMN(F1)),"")</f>
        <v>all_lose</v>
      </c>
      <c r="CB1" s="1" t="str">
        <f>IFERROR(INDEX(tblStandings[#All],ROW(G1),COLUMN(G1)),"")</f>
        <v>all_gf</v>
      </c>
      <c r="CC1" s="1" t="str">
        <f>IFERROR(INDEX(tblStandings[#All],ROW(H1),COLUMN(H1)),"")</f>
        <v>all_ga</v>
      </c>
      <c r="CD1" s="1" t="str">
        <f>IFERROR(INDEX(tblStandings[#All],ROW(I1),COLUMN(I1)),"")</f>
        <v>goalsDiff</v>
      </c>
      <c r="CE1" s="1" t="str">
        <f>IFERROR(INDEX(tblStandings[#All],ROW(J1),COLUMN(J1)),"")</f>
        <v>points</v>
      </c>
      <c r="CF1" s="1" t="str">
        <f>IFERROR(INDEX(tblStandings[#All],ROW(K1),COLUMN(K1)),"")</f>
        <v>form</v>
      </c>
      <c r="CM1" s="1" t="s">
        <v>220</v>
      </c>
      <c r="CN1" s="1" t="s">
        <v>223</v>
      </c>
      <c r="CP1" s="1" t="s">
        <v>227</v>
      </c>
      <c r="CR1" s="1" t="s">
        <v>231</v>
      </c>
      <c r="CT1" s="1" t="s">
        <v>235</v>
      </c>
      <c r="CV1" s="1">
        <v>1</v>
      </c>
      <c r="CX1" s="1" t="s">
        <v>186</v>
      </c>
      <c r="CZ1" s="1">
        <v>1</v>
      </c>
      <c r="DB1" s="1">
        <v>1</v>
      </c>
      <c r="DD1" s="1" t="s">
        <v>258</v>
      </c>
    </row>
    <row r="2" spans="1:108" x14ac:dyDescent="0.25">
      <c r="A2" s="1" t="s">
        <v>1</v>
      </c>
      <c r="B2" s="1" t="s">
        <v>2</v>
      </c>
      <c r="H2" s="1">
        <v>1499186</v>
      </c>
      <c r="I2" s="4">
        <v>46268</v>
      </c>
      <c r="J2" s="1" t="s">
        <v>17</v>
      </c>
      <c r="K2" s="1" t="s">
        <v>276</v>
      </c>
      <c r="L2" s="1" t="s">
        <v>27</v>
      </c>
      <c r="M2" s="1" t="s">
        <v>3955</v>
      </c>
      <c r="N2" s="1" t="s">
        <v>3956</v>
      </c>
      <c r="O2" s="1" t="s">
        <v>3957</v>
      </c>
      <c r="Q2" s="1">
        <f>IF(INDEX(Last10Home_Stats_All!$A:$A,ROW()-ROW($Q$2)+2)="","",
IFERROR(
INDEX(Last10Home_Stats_All!$A:$ZZ,ROW()-ROW($Q$2)+2,COLUMN()-COLUMN($Q$2)+1),
""))</f>
        <v>1523412</v>
      </c>
      <c r="R2" s="1" t="str">
        <f>IF(INDEX(Last10Home_Stats_All!$A:$A,ROW()-ROW($Q$2)+2)="","",
IFERROR(
INDEX(Last10Home_Stats_All!$A:$ZZ,ROW()-ROW($Q$2)+2,COLUMN()-COLUMN($Q$2)+1),
""))</f>
        <v>07/03/2026 12:15</v>
      </c>
      <c r="S2" s="1" t="str">
        <f>IF(INDEX(Last10Home_Stats_All!$A:$A,ROW()-ROW($Q$2)+2)="","",
IFERROR(
INDEX(Last10Home_Stats_All!$A:$ZZ,ROW()-ROW($Q$2)+2,COLUMN()-COLUMN($Q$2)+1),
""))</f>
        <v>England</v>
      </c>
      <c r="T2" s="1" t="str">
        <f>IF(INDEX(Last10Home_Stats_All!$A:$A,ROW()-ROW($Q$2)+2)="","",
IFERROR(
INDEX(Last10Home_Stats_All!$A:$ZZ,ROW()-ROW($Q$2)+2,COLUMN()-COLUMN($Q$2)+1),
""))</f>
        <v>FA Cup</v>
      </c>
      <c r="U2" s="1" t="str">
        <f>IF(INDEX(Last10Home_Stats_All!$A:$A,ROW()-ROW($Q$2)+2)="","",
IFERROR(
INDEX(Last10Home_Stats_All!$A:$ZZ,ROW()-ROW($Q$2)+2,COLUMN()-COLUMN($Q$2)+1),
""))</f>
        <v>https://media.api-sports.io/football/teams/1374.png</v>
      </c>
      <c r="V2" s="1" t="str">
        <f>IF(INDEX(Last10Home_Stats_All!$A:$A,ROW()-ROW($Q$2)+2)="","",
IFERROR(
INDEX(Last10Home_Stats_All!$A:$ZZ,ROW()-ROW($Q$2)+2,COLUMN()-COLUMN($Q$2)+1),
""))</f>
        <v>Mansfield Town</v>
      </c>
      <c r="W2" s="1" t="str">
        <f>IF(INDEX(Last10Home_Stats_All!$A:$A,ROW()-ROW($Q$2)+2)="","",
IFERROR(
INDEX(Last10Home_Stats_All!$A:$ZZ,ROW()-ROW($Q$2)+2,COLUMN()-COLUMN($Q$2)+1),
""))</f>
        <v>https://media.api-sports.io/football/teams/42.png</v>
      </c>
      <c r="X2" s="1" t="str">
        <f>IF(INDEX(Last10Home_Stats_All!$A:$A,ROW()-ROW($Q$2)+2)="","",
IFERROR(
INDEX(Last10Home_Stats_All!$A:$ZZ,ROW()-ROW($Q$2)+2,COLUMN()-COLUMN($Q$2)+1),
""))</f>
        <v>Arsenal</v>
      </c>
      <c r="Y2" s="1" t="str">
        <f>IF(INDEX(Last10Home_Stats_All!$A:$A,ROW()-ROW($Q$2)+2)="","",
IFERROR(
INDEX(Last10Home_Stats_All!$A:$ZZ,ROW()-ROW($Q$2)+2,COLUMN()-COLUMN($Q$2)+1),
""))</f>
        <v>https://media.api-sports.io/football/leagues/45.png</v>
      </c>
      <c r="Z2" s="1" t="str">
        <f>IF(INDEX(Last10Home_Stats_All!$A:$A,ROW()-ROW($Q$2)+2)="","",
IFERROR(
INDEX(Last10Home_Stats_All!$A:$ZZ,ROW()-ROW($Q$2)+2,COLUMN()-COLUMN($Q$2)+1),
""))</f>
        <v>https://media.api-sports.io/flags/gb-eng.svg</v>
      </c>
      <c r="AA2" s="1">
        <f>IF(INDEX(Last10Home_Stats_All!$A:$A,ROW()-ROW($Q$2)+2)="","",
IFERROR(
INDEX(Last10Home_Stats_All!$A:$ZZ,ROW()-ROW($Q$2)+2,COLUMN()-COLUMN($Q$2)+1),
""))</f>
        <v>1</v>
      </c>
      <c r="AB2" s="1">
        <f>IF(INDEX(Last10Home_Stats_All!$A:$A,ROW()-ROW($Q$2)+2)="","",
IFERROR(
INDEX(Last10Home_Stats_All!$A:$ZZ,ROW()-ROW($Q$2)+2,COLUMN()-COLUMN($Q$2)+1),
""))</f>
        <v>2</v>
      </c>
      <c r="AC2" s="1">
        <f>IF(INDEX(Last10Home_Stats_All!$A:$A,ROW()-ROW($Q$2)+2)="","",
IFERROR(
INDEX(Last10Home_Stats_All!$A:$ZZ,ROW()-ROW($Q$2)+2,COLUMN()-COLUMN($Q$2)+1),
""))</f>
        <v>0</v>
      </c>
      <c r="AD2" s="1">
        <f>IF(INDEX(Last10Home_Stats_All!$A:$A,ROW()-ROW($Q$2)+2)="","",
IFERROR(
INDEX(Last10Home_Stats_All!$A:$ZZ,ROW()-ROW($Q$2)+2,COLUMN()-COLUMN($Q$2)+1),
""))</f>
        <v>1</v>
      </c>
      <c r="AE2" s="1">
        <f>IF(INDEX(Last10Home_Stats_All!$A:$A,ROW()-ROW($Q$2)+2)="","",
IFERROR(
INDEX(Last10Home_Stats_All!$A:$ZZ,ROW()-ROW($Q$2)+2,COLUMN()-COLUMN($Q$2)+1),
""))</f>
        <v>1</v>
      </c>
      <c r="AF2" s="1">
        <f>IF(INDEX(Last10Home_Stats_All!$A:$A,ROW()-ROW($Q$2)+2)="","",
IFERROR(
INDEX(Last10Home_Stats_All!$A:$ZZ,ROW()-ROW($Q$2)+2,COLUMN()-COLUMN($Q$2)+1),
""))</f>
        <v>2</v>
      </c>
      <c r="AG2" s="1">
        <f>IF(INDEX(Last10Home_Stats_All!$A:$A,ROW()-ROW($Q$2)+2)="","",
IFERROR(
INDEX(Last10Home_Stats_All!$A:$ZZ,ROW()-ROW($Q$2)+2,COLUMN()-COLUMN($Q$2)+1),
""))</f>
        <v>5</v>
      </c>
      <c r="AH2" s="1">
        <f>IF(INDEX(Last10Home_Stats_All!$A:$A,ROW()-ROW($Q$2)+2)="","",
IFERROR(
INDEX(Last10Home_Stats_All!$A:$ZZ,ROW()-ROW($Q$2)+2,COLUMN()-COLUMN($Q$2)+1),
""))</f>
        <v>8</v>
      </c>
      <c r="AI2" s="1">
        <f>IF(INDEX(Last10Home_Stats_All!$A:$A,ROW()-ROW($Q$2)+2)="","",
IFERROR(
INDEX(Last10Home_Stats_All!$A:$ZZ,ROW()-ROW($Q$2)+2,COLUMN()-COLUMN($Q$2)+1),
""))</f>
        <v>9</v>
      </c>
      <c r="AJ2" s="1">
        <f>IF(INDEX(Last10Home_Stats_All!$A:$A,ROW()-ROW($Q$2)+2)="","",
IFERROR(
INDEX(Last10Home_Stats_All!$A:$ZZ,ROW()-ROW($Q$2)+2,COLUMN()-COLUMN($Q$2)+1),
""))</f>
        <v>6</v>
      </c>
      <c r="AK2" s="1">
        <f>IF(INDEX(Last10Home_Stats_All!$A:$A,ROW()-ROW($Q$2)+2)="","",
IFERROR(
INDEX(Last10Home_Stats_All!$A:$ZZ,ROW()-ROW($Q$2)+2,COLUMN()-COLUMN($Q$2)+1),
""))</f>
        <v>18</v>
      </c>
      <c r="AL2" s="1">
        <f>IF(INDEX(Last10Home_Stats_All!$A:$A,ROW()-ROW($Q$2)+2)="","",
IFERROR(
INDEX(Last10Home_Stats_All!$A:$ZZ,ROW()-ROW($Q$2)+2,COLUMN()-COLUMN($Q$2)+1),
""))</f>
        <v>19</v>
      </c>
      <c r="AM2" s="1">
        <f>IF(INDEX(Last10Home_Stats_All!$A:$A,ROW()-ROW($Q$2)+2)="","",
IFERROR(
INDEX(Last10Home_Stats_All!$A:$ZZ,ROW()-ROW($Q$2)+2,COLUMN()-COLUMN($Q$2)+1),
""))</f>
        <v>4</v>
      </c>
      <c r="AN2" s="1">
        <f>IF(INDEX(Last10Home_Stats_All!$A:$A,ROW()-ROW($Q$2)+2)="","",
IFERROR(
INDEX(Last10Home_Stats_All!$A:$ZZ,ROW()-ROW($Q$2)+2,COLUMN()-COLUMN($Q$2)+1),
""))</f>
        <v>5</v>
      </c>
      <c r="AO2" s="1">
        <f>IF(INDEX(Last10Home_Stats_All!$A:$A,ROW()-ROW($Q$2)+2)="","",
IFERROR(
INDEX(Last10Home_Stats_All!$A:$ZZ,ROW()-ROW($Q$2)+2,COLUMN()-COLUMN($Q$2)+1),
""))</f>
        <v>11</v>
      </c>
      <c r="AP2" s="1">
        <f>IF(INDEX(Last10Home_Stats_All!$A:$A,ROW()-ROW($Q$2)+2)="","",
IFERROR(
INDEX(Last10Home_Stats_All!$A:$ZZ,ROW()-ROW($Q$2)+2,COLUMN()-COLUMN($Q$2)+1),
""))</f>
        <v>17</v>
      </c>
      <c r="AQ2" s="1">
        <f>IF(INDEX(Last10Home_Stats_All!$A:$A,ROW()-ROW($Q$2)+2)="","",
IFERROR(
INDEX(Last10Home_Stats_All!$A:$ZZ,ROW()-ROW($Q$2)+2,COLUMN()-COLUMN($Q$2)+1),
""))</f>
        <v>7</v>
      </c>
      <c r="AR2" s="1">
        <f>IF(INDEX(Last10Home_Stats_All!$A:$A,ROW()-ROW($Q$2)+2)="","",
IFERROR(
INDEX(Last10Home_Stats_All!$A:$ZZ,ROW()-ROW($Q$2)+2,COLUMN()-COLUMN($Q$2)+1),
""))</f>
        <v>2</v>
      </c>
      <c r="AS2" s="1">
        <f>IF(INDEX(Last10Home_Stats_All!$A:$A,ROW()-ROW($Q$2)+2)="","",
IFERROR(
INDEX(Last10Home_Stats_All!$A:$ZZ,ROW()-ROW($Q$2)+2,COLUMN()-COLUMN($Q$2)+1),
""))</f>
        <v>16</v>
      </c>
      <c r="AT2" s="1">
        <f>IF(INDEX(Last10Home_Stats_All!$A:$A,ROW()-ROW($Q$2)+2)="","",
IFERROR(
INDEX(Last10Home_Stats_All!$A:$ZZ,ROW()-ROW($Q$2)+2,COLUMN()-COLUMN($Q$2)+1),
""))</f>
        <v>6</v>
      </c>
      <c r="AU2" s="1">
        <f>IF(INDEX(Last10Home_Stats_All!$A:$A,ROW()-ROW($Q$2)+2)="","",
IFERROR(
INDEX(Last10Home_Stats_All!$A:$ZZ,ROW()-ROW($Q$2)+2,COLUMN()-COLUMN($Q$2)+1),
""))</f>
        <v>4</v>
      </c>
      <c r="AV2" s="1">
        <f>IF(INDEX(Last10Home_Stats_All!$A:$A,ROW()-ROW($Q$2)+2)="","",
IFERROR(
INDEX(Last10Home_Stats_All!$A:$ZZ,ROW()-ROW($Q$2)+2,COLUMN()-COLUMN($Q$2)+1),
""))</f>
        <v>8</v>
      </c>
      <c r="AW2" s="1">
        <f>IF(INDEX(Last10Home_Stats_All!$A:$A,ROW()-ROW($Q$2)+2)="","",
IFERROR(
INDEX(Last10Home_Stats_All!$A:$ZZ,ROW()-ROW($Q$2)+2,COLUMN()-COLUMN($Q$2)+1),
""))</f>
        <v>1</v>
      </c>
      <c r="AX2" s="1">
        <f>IF(INDEX(Last10Home_Stats_All!$A:$A,ROW()-ROW($Q$2)+2)="","",
IFERROR(
INDEX(Last10Home_Stats_All!$A:$ZZ,ROW()-ROW($Q$2)+2,COLUMN()-COLUMN($Q$2)+1),
""))</f>
        <v>1</v>
      </c>
      <c r="AY2" s="1">
        <f>IF(INDEX(Last10Home_Stats_All!$A:$A,ROW()-ROW($Q$2)+2)="","",
IFERROR(
INDEX(Last10Home_Stats_All!$A:$ZZ,ROW()-ROW($Q$2)+2,COLUMN()-COLUMN($Q$2)+1),
""))</f>
        <v>33</v>
      </c>
      <c r="AZ2" s="1">
        <f>IF(INDEX(Last10Home_Stats_All!$A:$A,ROW()-ROW($Q$2)+2)="","",
IFERROR(
INDEX(Last10Home_Stats_All!$A:$ZZ,ROW()-ROW($Q$2)+2,COLUMN()-COLUMN($Q$2)+1),
""))</f>
        <v>67</v>
      </c>
      <c r="BA2" s="1">
        <f>IF(INDEX(Last10Home_Stats_All!$A:$A,ROW()-ROW($Q$2)+2)="","",
IFERROR(
INDEX(Last10Home_Stats_All!$A:$ZZ,ROW()-ROW($Q$2)+2,COLUMN()-COLUMN($Q$2)+1),
""))</f>
        <v>4</v>
      </c>
      <c r="BB2" s="1">
        <f>IF(INDEX(Last10Home_Stats_All!$A:$A,ROW()-ROW($Q$2)+2)="","",
IFERROR(
INDEX(Last10Home_Stats_All!$A:$ZZ,ROW()-ROW($Q$2)+2,COLUMN()-COLUMN($Q$2)+1),
""))</f>
        <v>2</v>
      </c>
      <c r="BC2" s="1">
        <f>IF(INDEX(Last10Home_Stats_All!$A:$A,ROW()-ROW($Q$2)+2)="","",
IFERROR(
INDEX(Last10Home_Stats_All!$A:$ZZ,ROW()-ROW($Q$2)+2,COLUMN()-COLUMN($Q$2)+1),
""))</f>
        <v>0</v>
      </c>
      <c r="BD2" s="1">
        <f>IF(INDEX(Last10Home_Stats_All!$A:$A,ROW()-ROW($Q$2)+2)="","",
IFERROR(
INDEX(Last10Home_Stats_All!$A:$ZZ,ROW()-ROW($Q$2)+2,COLUMN()-COLUMN($Q$2)+1),
""))</f>
        <v>0</v>
      </c>
      <c r="BE2" s="1">
        <f>IF(INDEX(Last10Home_Stats_All!$A:$A,ROW()-ROW($Q$2)+2)="","",
IFERROR(
INDEX(Last10Home_Stats_All!$A:$ZZ,ROW()-ROW($Q$2)+2,COLUMN()-COLUMN($Q$2)+1),
""))</f>
        <v>5</v>
      </c>
      <c r="BF2" s="1">
        <f>IF(INDEX(Last10Home_Stats_All!$A:$A,ROW()-ROW($Q$2)+2)="","",
IFERROR(
INDEX(Last10Home_Stats_All!$A:$ZZ,ROW()-ROW($Q$2)+2,COLUMN()-COLUMN($Q$2)+1),
""))</f>
        <v>4</v>
      </c>
      <c r="BG2" s="1">
        <f>IF(INDEX(Last10Home_Stats_All!$A:$A,ROW()-ROW($Q$2)+2)="","",
IFERROR(
INDEX(Last10Home_Stats_All!$A:$ZZ,ROW()-ROW($Q$2)+2,COLUMN()-COLUMN($Q$2)+1),
""))</f>
        <v>260</v>
      </c>
      <c r="BH2" s="1">
        <f>IF(INDEX(Last10Home_Stats_All!$A:$A,ROW()-ROW($Q$2)+2)="","",
IFERROR(
INDEX(Last10Home_Stats_All!$A:$ZZ,ROW()-ROW($Q$2)+2,COLUMN()-COLUMN($Q$2)+1),
""))</f>
        <v>544</v>
      </c>
      <c r="BI2" s="1">
        <f>IF(INDEX(Last10Home_Stats_All!$A:$A,ROW()-ROW($Q$2)+2)="","",
IFERROR(
INDEX(Last10Home_Stats_All!$A:$ZZ,ROW()-ROW($Q$2)+2,COLUMN()-COLUMN($Q$2)+1),
""))</f>
        <v>191</v>
      </c>
      <c r="BJ2" s="1">
        <f>IF(INDEX(Last10Home_Stats_All!$A:$A,ROW()-ROW($Q$2)+2)="","",
IFERROR(
INDEX(Last10Home_Stats_All!$A:$ZZ,ROW()-ROW($Q$2)+2,COLUMN()-COLUMN($Q$2)+1),
""))</f>
        <v>459</v>
      </c>
      <c r="BK2" s="1">
        <f>IF(INDEX(Last10Home_Stats_All!$A:$A,ROW()-ROW($Q$2)+2)="","",
IFERROR(
INDEX(Last10Home_Stats_All!$A:$ZZ,ROW()-ROW($Q$2)+2,COLUMN()-COLUMN($Q$2)+1),
""))</f>
        <v>73</v>
      </c>
      <c r="BL2" s="1">
        <f>IF(INDEX(Last10Home_Stats_All!$A:$A,ROW()-ROW($Q$2)+2)="","",
IFERROR(
INDEX(Last10Home_Stats_All!$A:$ZZ,ROW()-ROW($Q$2)+2,COLUMN()-COLUMN($Q$2)+1),
""))</f>
        <v>84</v>
      </c>
      <c r="BM2" s="1">
        <f>IF(INDEX(Last10Home_Stats_All!$A:$A,ROW()-ROW($Q$2)+2)="","",
IFERROR(
INDEX(Last10Home_Stats_All!$A:$ZZ,ROW()-ROW($Q$2)+2,COLUMN()-COLUMN($Q$2)+1),
""))</f>
        <v>0</v>
      </c>
      <c r="BN2" s="1">
        <f>IF(INDEX(Last10Home_Stats_All!$A:$A,ROW()-ROW($Q$2)+2)="","",
IFERROR(
INDEX(Last10Home_Stats_All!$A:$ZZ,ROW()-ROW($Q$2)+2,COLUMN()-COLUMN($Q$2)+1),
""))</f>
        <v>0</v>
      </c>
      <c r="BO2" s="1">
        <f>IF(INDEX(Last10Home_Stats_All!$A:$A,ROW()-ROW($Q$2)+2)="","",
IFERROR(
INDEX(Last10Home_Stats_All!$A:$ZZ,ROW()-ROW($Q$2)+2,COLUMN()-COLUMN($Q$2)+1),
""))</f>
        <v>0</v>
      </c>
      <c r="BP2" s="1">
        <f>IF(INDEX(Last10Home_Stats_All!$A:$A,ROW()-ROW($Q$2)+2)="","",
IFERROR(
INDEX(Last10Home_Stats_All!$A:$ZZ,ROW()-ROW($Q$2)+2,COLUMN()-COLUMN($Q$2)+1),
""))</f>
        <v>0</v>
      </c>
      <c r="BR2" s="1" t="str">
        <f>IF(OR(Control!AC2="",Control!AD2=""),"",Control!AC2&amp;" : "&amp;Control!AD2)</f>
        <v>0 : 1</v>
      </c>
      <c r="BS2" s="1" t="str">
        <f>IF(OR(Control!AE2="",Control!AF2=""),"",Control!AE2&amp;" : "&amp;Control!AF2)</f>
        <v>1 : 2</v>
      </c>
      <c r="BT2" s="1" t="str">
        <f>IF(OR(Control!AU2="",Control!AV2=""),"",Control!AU2&amp;" : "&amp;Control!AV2)</f>
        <v>4 : 8</v>
      </c>
      <c r="BV2" s="1">
        <f>IFERROR(INDEX(tblStandings[#All],ROW(A2),COLUMN(A2)),"")</f>
        <v>0</v>
      </c>
      <c r="BW2" s="1">
        <f>IFERROR(INDEX(tblStandings[#All],ROW(B2),COLUMN(B2)),"")</f>
        <v>0</v>
      </c>
      <c r="BX2" s="1">
        <f>IFERROR(INDEX(tblStandings[#All],ROW(C2),COLUMN(C2)),"")</f>
        <v>0</v>
      </c>
      <c r="BY2" s="1">
        <f>IFERROR(INDEX(tblStandings[#All],ROW(D2),COLUMN(D2)),"")</f>
        <v>0</v>
      </c>
      <c r="BZ2" s="1">
        <f>IFERROR(INDEX(tblStandings[#All],ROW(E2),COLUMN(E2)),"")</f>
        <v>0</v>
      </c>
      <c r="CA2" s="1">
        <f>IFERROR(INDEX(tblStandings[#All],ROW(F2),COLUMN(F2)),"")</f>
        <v>0</v>
      </c>
      <c r="CB2" s="1">
        <f>IFERROR(INDEX(tblStandings[#All],ROW(G2),COLUMN(G2)),"")</f>
        <v>0</v>
      </c>
      <c r="CC2" s="1">
        <f>IFERROR(INDEX(tblStandings[#All],ROW(H2),COLUMN(H2)),"")</f>
        <v>0</v>
      </c>
      <c r="CD2" s="1">
        <f>IFERROR(INDEX(tblStandings[#All],ROW(I2),COLUMN(I2)),"")</f>
        <v>0</v>
      </c>
      <c r="CE2" s="1">
        <f>IFERROR(INDEX(tblStandings[#All],ROW(J2),COLUMN(J2)),"")</f>
        <v>0</v>
      </c>
      <c r="CF2" s="1">
        <f>IFERROR(INDEX(tblStandings[#All],ROW(K2),COLUMN(K2)),"")</f>
        <v>0</v>
      </c>
      <c r="CG2" s="1" t="str">
        <f>IFERROR(MID($CF2,1,1),"")</f>
        <v>0</v>
      </c>
      <c r="CH2" s="1" t="str">
        <f>IFERROR(MID($CF2,2,1),"")</f>
        <v/>
      </c>
      <c r="CI2" s="1" t="str">
        <f>IFERROR(MID($CF2,3,1),"")</f>
        <v/>
      </c>
      <c r="CJ2" s="1" t="str">
        <f>IFERROR(MID($CF2,4,1),"")</f>
        <v/>
      </c>
      <c r="CK2" s="1" t="str">
        <f>IFERROR(MID($CF2,5,1),"")</f>
        <v/>
      </c>
      <c r="CM2" s="3" t="str">
        <f>IFERROR(
(
0.45 *
IF(
SUMPRODUCT(--ISNUMBER($AC$2:$AC$11),--ISNUMBER($AD$2:$AD$11))=0,
0,
SUMPRODUCT(--ISNUMBER($AC$2:$AC$11),--ISNUMBER($AD$2:$AD$11),--(($AC$2:$AC$11+$AD$2:$AD$11)&gt;=1))
/
SUMPRODUCT(--ISNUMBER($AC$2:$AC$11),--ISNUMBER($AD$2:$AD$11))
)
+
0.45 *
IF(
SUMPRODUCT(--ISNUMBER($AC$16:$AC$25),--ISNUMBER($AD$16:$AD$25))=0,
0,
SUMPRODUCT(--ISNUMBER($AC$16:$AC$25),--ISNUMBER($AD$16:$AD$25),--(($AC$16:$AC$25+$AD$16:$AD$25)&gt;=1))
/
SUMPRODUCT(--ISNUMBER($AC$16:$AC$25),--ISNUMBER($AD$16:$AD$25))
)
+
0.1 *
IF(
SUMPRODUCT(--ISNUMBER($AC$31:$AC$35),--ISNUMBER($AD$31:$AD$35))=0,
0,
SUMPRODUCT(--ISNUMBER($AC$31:$AC$35),--ISNUMBER($AD$31:$AD$35),--(($AC$31:$AC$35+$AD$31:$AD$35)&gt;=1))
/
SUMPRODUCT(--ISNUMBER($AC$31:$AC$35),--ISNUMBER($AD$31:$AD$35))
)
),"")</f>
        <v/>
      </c>
      <c r="CN2" s="3" t="str">
        <f>IFERROR(
(
0.45 *
IF(
SUMPRODUCT(--ISNUMBER($AE$2:$AE$11),--ISNUMBER($AF$2:$AF$11))=0,
0,
SUMPRODUCT(--ISNUMBER($AE$2:$AE$11),--ISNUMBER($AF$2:$AF$11),--(($AE$2:$AE$11+$AF$2:$AF$11)&gt;=2))
/
SUMPRODUCT(--ISNUMBER($AE$2:$AE$11),--ISNUMBER($AF$2:$AF$11))
)
+
0.45 *
IF(
SUMPRODUCT(--ISNUMBER($AE$16:$AE$25),--ISNUMBER($AF$16:$AF$25))=0,
0,
SUMPRODUCT(--ISNUMBER($AE$16:$AE$25),--ISNUMBER($AF$16:$AF$25),--(($AE$16:$AE$25+$AF$16:$AF$25)&gt;=2))
/
SUMPRODUCT(--ISNUMBER($AE$16:$AE$25),--ISNUMBER($AF$16:$AF$25))
)
+
0.1 *
IF(
SUMPRODUCT(--ISNUMBER($AE$31:$AE$35),--ISNUMBER($AF$31:$AF$35))=0,
0,
SUMPRODUCT(--ISNUMBER($AE$31:$AE$35),--ISNUMBER($AF$31:$AF$35),--(($AE$31:$AE$35+$AF$31:$AF$35)&gt;=2))
/
SUMPRODUCT(--ISNUMBER($AE$31:$AE$35),--ISNUMBER($AF$31:$AF$35))
)
),"")</f>
        <v/>
      </c>
      <c r="CP2" s="3">
        <f>IFERROR(
IF(
COUNT($AC$2:$AC$11)=0,
"",
AVERAGE($AC$2:$AC$11)
),"")</f>
        <v>0.5</v>
      </c>
      <c r="CR2" s="3" t="str">
        <f>IFERROR(
(
0.45 *
IF(
SUMPRODUCT(--ISNUMBER($AU$2:$AU$11),--ISNUMBER($AV$2:$AV$11))=0,
0,
SUMPRODUCT(--ISNUMBER($AU$2:$AU$11),--ISNUMBER($AV$2:$AV$11),--(($AU$2:$AU$11+$AV$2:$AV$11)&gt;=8))
/
SUMPRODUCT(--ISNUMBER($AU$2:$AU$11),--ISNUMBER($AV$2:$AV$11))
)
+
0.45 *
IF(
SUMPRODUCT(--ISNUMBER($AU$16:$AU$25),--ISNUMBER($AV$16:$AV$25))=0,
0,
SUMPRODUCT(--ISNUMBER($AU$16:$AU$25),--ISNUMBER($AV$16:$AV$25),--(($AU$16:$AU$25+$AV$16:$AV$25)&gt;=8))
/
SUMPRODUCT(--ISNUMBER($AU$16:$AU$25),--ISNUMBER($AV$16:$AV$25))
)
+
0.1 *
IF(
SUMPRODUCT(--ISNUMBER($AU$31:$AU$35),--ISNUMBER($AV$31:$AV$35))=0,
0,
SUMPRODUCT(--ISNUMBER($AU$31:$AU$35),--ISNUMBER($AV$31:$AV$35),--(($AU$31:$AU$35+$AV$31:$AV$35)&gt;=8))
/
SUMPRODUCT(--ISNUMBER($AU$31:$AU$35),--ISNUMBER($AV$31:$AV$35))
)
),"")</f>
        <v/>
      </c>
      <c r="CT2" s="1" t="s">
        <v>171</v>
      </c>
      <c r="CV2" s="3">
        <f>IFERROR(
CX2 / SUMPRODUCT(--ISNUMBER($AE$31:$AE$35),--ISNUMBER($AF$31:$AF$35)),"")</f>
        <v>0</v>
      </c>
      <c r="CX2" s="3">
        <f>IFERROR(SUMPRODUCT(--ISNUMBER($AE$31:$AE$35),--ISNUMBER($AF$31:$AF$35),--($AE$31:$AE$35&gt;$AF$31:$AF$35)),"")</f>
        <v>0</v>
      </c>
      <c r="CZ2" s="3">
        <f>IFERROR(SUMPRODUCT(--ISNUMBER($AE$2:$AE$11),--ISNUMBER($AF$2:$AF$11),--($AE$2:$AE$11&gt;$AF$2:$AF$11)),"")</f>
        <v>2</v>
      </c>
      <c r="DB2" s="3">
        <f>IFERROR(SUMPRODUCT(--ISNUMBER($AE$16:$AE$25),--ISNUMBER($AF$16:$AF$25),--($AF$16:$AF$25&gt;$AE$16:$AE$25)),"")</f>
        <v>7</v>
      </c>
      <c r="DD2" s="3">
        <f>IFERROR(
ROUND(
SUMPRODUCT(--ISNUMBER($AC$31:$AC$35),$AC$31:$AC$35) /
SUMPRODUCT(--ISNUMBER($AC$31:$AC$35)),2),
"")</f>
        <v>0</v>
      </c>
    </row>
    <row r="3" spans="1:108" x14ac:dyDescent="0.25">
      <c r="H3" s="1">
        <v>1501583</v>
      </c>
      <c r="I3" s="4">
        <v>46268</v>
      </c>
      <c r="J3" s="1" t="s">
        <v>17</v>
      </c>
      <c r="K3" s="1" t="s">
        <v>290</v>
      </c>
      <c r="L3" s="1" t="s">
        <v>50</v>
      </c>
      <c r="M3" s="1" t="s">
        <v>3958</v>
      </c>
      <c r="N3" s="1" t="s">
        <v>545</v>
      </c>
      <c r="O3" s="1" t="s">
        <v>3959</v>
      </c>
      <c r="Q3" s="1">
        <f>IF(INDEX(Last10Home_Stats_All!$A:$A,ROW()-ROW($Q$2)+2)="","",
IFERROR(
INDEX(Last10Home_Stats_All!$A:$ZZ,ROW()-ROW($Q$2)+2,COLUMN()-COLUMN($Q$2)+1),
""))</f>
        <v>1387514</v>
      </c>
      <c r="R3" s="1" t="str">
        <f>IF(INDEX(Last10Home_Stats_All!$A:$A,ROW()-ROW($Q$2)+2)="","",
IFERROR(
INDEX(Last10Home_Stats_All!$A:$ZZ,ROW()-ROW($Q$2)+2,COLUMN()-COLUMN($Q$2)+1),
""))</f>
        <v>28/02/2026 15:00</v>
      </c>
      <c r="S3" s="1" t="str">
        <f>IF(INDEX(Last10Home_Stats_All!$A:$A,ROW()-ROW($Q$2)+2)="","",
IFERROR(
INDEX(Last10Home_Stats_All!$A:$ZZ,ROW()-ROW($Q$2)+2,COLUMN()-COLUMN($Q$2)+1),
""))</f>
        <v>England</v>
      </c>
      <c r="T3" s="1" t="str">
        <f>IF(INDEX(Last10Home_Stats_All!$A:$A,ROW()-ROW($Q$2)+2)="","",
IFERROR(
INDEX(Last10Home_Stats_All!$A:$ZZ,ROW()-ROW($Q$2)+2,COLUMN()-COLUMN($Q$2)+1),
""))</f>
        <v>League One</v>
      </c>
      <c r="U3" s="1" t="str">
        <f>IF(INDEX(Last10Home_Stats_All!$A:$A,ROW()-ROW($Q$2)+2)="","",
IFERROR(
INDEX(Last10Home_Stats_All!$A:$ZZ,ROW()-ROW($Q$2)+2,COLUMN()-COLUMN($Q$2)+1),
""))</f>
        <v>https://media.api-sports.io/football/teams/1374.png</v>
      </c>
      <c r="V3" s="1" t="str">
        <f>IF(INDEX(Last10Home_Stats_All!$A:$A,ROW()-ROW($Q$2)+2)="","",
IFERROR(
INDEX(Last10Home_Stats_All!$A:$ZZ,ROW()-ROW($Q$2)+2,COLUMN()-COLUMN($Q$2)+1),
""))</f>
        <v>Mansfield Town</v>
      </c>
      <c r="W3" s="1" t="str">
        <f>IF(INDEX(Last10Home_Stats_All!$A:$A,ROW()-ROW($Q$2)+2)="","",
IFERROR(
INDEX(Last10Home_Stats_All!$A:$ZZ,ROW()-ROW($Q$2)+2,COLUMN()-COLUMN($Q$2)+1),
""))</f>
        <v>https://media.api-sports.io/football/teams/1333.png</v>
      </c>
      <c r="X3" s="1" t="str">
        <f>IF(INDEX(Last10Home_Stats_All!$A:$A,ROW()-ROW($Q$2)+2)="","",
IFERROR(
INDEX(Last10Home_Stats_All!$A:$ZZ,ROW()-ROW($Q$2)+2,COLUMN()-COLUMN($Q$2)+1),
""))</f>
        <v>AFC Wimbledon</v>
      </c>
      <c r="Y3" s="1" t="str">
        <f>IF(INDEX(Last10Home_Stats_All!$A:$A,ROW()-ROW($Q$2)+2)="","",
IFERROR(
INDEX(Last10Home_Stats_All!$A:$ZZ,ROW()-ROW($Q$2)+2,COLUMN()-COLUMN($Q$2)+1),
""))</f>
        <v>https://media.api-sports.io/football/leagues/41.png</v>
      </c>
      <c r="Z3" s="1" t="str">
        <f>IF(INDEX(Last10Home_Stats_All!$A:$A,ROW()-ROW($Q$2)+2)="","",
IFERROR(
INDEX(Last10Home_Stats_All!$A:$ZZ,ROW()-ROW($Q$2)+2,COLUMN()-COLUMN($Q$2)+1),
""))</f>
        <v>https://media.api-sports.io/flags/gb-eng.svg</v>
      </c>
      <c r="AA3" s="1">
        <f>IF(INDEX(Last10Home_Stats_All!$A:$A,ROW()-ROW($Q$2)+2)="","",
IFERROR(
INDEX(Last10Home_Stats_All!$A:$ZZ,ROW()-ROW($Q$2)+2,COLUMN()-COLUMN($Q$2)+1),
""))</f>
        <v>2</v>
      </c>
      <c r="AB3" s="1">
        <f>IF(INDEX(Last10Home_Stats_All!$A:$A,ROW()-ROW($Q$2)+2)="","",
IFERROR(
INDEX(Last10Home_Stats_All!$A:$ZZ,ROW()-ROW($Q$2)+2,COLUMN()-COLUMN($Q$2)+1),
""))</f>
        <v>2</v>
      </c>
      <c r="AC3" s="1">
        <f>IF(INDEX(Last10Home_Stats_All!$A:$A,ROW()-ROW($Q$2)+2)="","",
IFERROR(
INDEX(Last10Home_Stats_All!$A:$ZZ,ROW()-ROW($Q$2)+2,COLUMN()-COLUMN($Q$2)+1),
""))</f>
        <v>2</v>
      </c>
      <c r="AD3" s="1">
        <f>IF(INDEX(Last10Home_Stats_All!$A:$A,ROW()-ROW($Q$2)+2)="","",
IFERROR(
INDEX(Last10Home_Stats_All!$A:$ZZ,ROW()-ROW($Q$2)+2,COLUMN()-COLUMN($Q$2)+1),
""))</f>
        <v>1</v>
      </c>
      <c r="AE3" s="1">
        <f>IF(INDEX(Last10Home_Stats_All!$A:$A,ROW()-ROW($Q$2)+2)="","",
IFERROR(
INDEX(Last10Home_Stats_All!$A:$ZZ,ROW()-ROW($Q$2)+2,COLUMN()-COLUMN($Q$2)+1),
""))</f>
        <v>2</v>
      </c>
      <c r="AF3" s="1">
        <f>IF(INDEX(Last10Home_Stats_All!$A:$A,ROW()-ROW($Q$2)+2)="","",
IFERROR(
INDEX(Last10Home_Stats_All!$A:$ZZ,ROW()-ROW($Q$2)+2,COLUMN()-COLUMN($Q$2)+1),
""))</f>
        <v>2</v>
      </c>
      <c r="AG3" s="1">
        <f>IF(INDEX(Last10Home_Stats_All!$A:$A,ROW()-ROW($Q$2)+2)="","",
IFERROR(
INDEX(Last10Home_Stats_All!$A:$ZZ,ROW()-ROW($Q$2)+2,COLUMN()-COLUMN($Q$2)+1),
""))</f>
        <v>6</v>
      </c>
      <c r="AH3" s="1">
        <f>IF(INDEX(Last10Home_Stats_All!$A:$A,ROW()-ROW($Q$2)+2)="","",
IFERROR(
INDEX(Last10Home_Stats_All!$A:$ZZ,ROW()-ROW($Q$2)+2,COLUMN()-COLUMN($Q$2)+1),
""))</f>
        <v>4</v>
      </c>
      <c r="AI3" s="1">
        <f>IF(INDEX(Last10Home_Stats_All!$A:$A,ROW()-ROW($Q$2)+2)="","",
IFERROR(
INDEX(Last10Home_Stats_All!$A:$ZZ,ROW()-ROW($Q$2)+2,COLUMN()-COLUMN($Q$2)+1),
""))</f>
        <v>4</v>
      </c>
      <c r="AJ3" s="1">
        <f>IF(INDEX(Last10Home_Stats_All!$A:$A,ROW()-ROW($Q$2)+2)="","",
IFERROR(
INDEX(Last10Home_Stats_All!$A:$ZZ,ROW()-ROW($Q$2)+2,COLUMN()-COLUMN($Q$2)+1),
""))</f>
        <v>6</v>
      </c>
      <c r="AK3" s="1">
        <f>IF(INDEX(Last10Home_Stats_All!$A:$A,ROW()-ROW($Q$2)+2)="","",
IFERROR(
INDEX(Last10Home_Stats_All!$A:$ZZ,ROW()-ROW($Q$2)+2,COLUMN()-COLUMN($Q$2)+1),
""))</f>
        <v>14</v>
      </c>
      <c r="AL3" s="1">
        <f>IF(INDEX(Last10Home_Stats_All!$A:$A,ROW()-ROW($Q$2)+2)="","",
IFERROR(
INDEX(Last10Home_Stats_All!$A:$ZZ,ROW()-ROW($Q$2)+2,COLUMN()-COLUMN($Q$2)+1),
""))</f>
        <v>16</v>
      </c>
      <c r="AM3" s="1">
        <f>IF(INDEX(Last10Home_Stats_All!$A:$A,ROW()-ROW($Q$2)+2)="","",
IFERROR(
INDEX(Last10Home_Stats_All!$A:$ZZ,ROW()-ROW($Q$2)+2,COLUMN()-COLUMN($Q$2)+1),
""))</f>
        <v>4</v>
      </c>
      <c r="AN3" s="1">
        <f>IF(INDEX(Last10Home_Stats_All!$A:$A,ROW()-ROW($Q$2)+2)="","",
IFERROR(
INDEX(Last10Home_Stats_All!$A:$ZZ,ROW()-ROW($Q$2)+2,COLUMN()-COLUMN($Q$2)+1),
""))</f>
        <v>6</v>
      </c>
      <c r="AO3" s="1">
        <f>IF(INDEX(Last10Home_Stats_All!$A:$A,ROW()-ROW($Q$2)+2)="","",
IFERROR(
INDEX(Last10Home_Stats_All!$A:$ZZ,ROW()-ROW($Q$2)+2,COLUMN()-COLUMN($Q$2)+1),
""))</f>
        <v>13</v>
      </c>
      <c r="AP3" s="1">
        <f>IF(INDEX(Last10Home_Stats_All!$A:$A,ROW()-ROW($Q$2)+2)="","",
IFERROR(
INDEX(Last10Home_Stats_All!$A:$ZZ,ROW()-ROW($Q$2)+2,COLUMN()-COLUMN($Q$2)+1),
""))</f>
        <v>13</v>
      </c>
      <c r="AQ3" s="1">
        <f>IF(INDEX(Last10Home_Stats_All!$A:$A,ROW()-ROW($Q$2)+2)="","",
IFERROR(
INDEX(Last10Home_Stats_All!$A:$ZZ,ROW()-ROW($Q$2)+2,COLUMN()-COLUMN($Q$2)+1),
""))</f>
        <v>1</v>
      </c>
      <c r="AR3" s="1">
        <f>IF(INDEX(Last10Home_Stats_All!$A:$A,ROW()-ROW($Q$2)+2)="","",
IFERROR(
INDEX(Last10Home_Stats_All!$A:$ZZ,ROW()-ROW($Q$2)+2,COLUMN()-COLUMN($Q$2)+1),
""))</f>
        <v>3</v>
      </c>
      <c r="AS3" s="1">
        <f>IF(INDEX(Last10Home_Stats_All!$A:$A,ROW()-ROW($Q$2)+2)="","",
IFERROR(
INDEX(Last10Home_Stats_All!$A:$ZZ,ROW()-ROW($Q$2)+2,COLUMN()-COLUMN($Q$2)+1),
""))</f>
        <v>11</v>
      </c>
      <c r="AT3" s="1">
        <f>IF(INDEX(Last10Home_Stats_All!$A:$A,ROW()-ROW($Q$2)+2)="","",
IFERROR(
INDEX(Last10Home_Stats_All!$A:$ZZ,ROW()-ROW($Q$2)+2,COLUMN()-COLUMN($Q$2)+1),
""))</f>
        <v>17</v>
      </c>
      <c r="AU3" s="1">
        <f>IF(INDEX(Last10Home_Stats_All!$A:$A,ROW()-ROW($Q$2)+2)="","",
IFERROR(
INDEX(Last10Home_Stats_All!$A:$ZZ,ROW()-ROW($Q$2)+2,COLUMN()-COLUMN($Q$2)+1),
""))</f>
        <v>7</v>
      </c>
      <c r="AV3" s="1">
        <f>IF(INDEX(Last10Home_Stats_All!$A:$A,ROW()-ROW($Q$2)+2)="","",
IFERROR(
INDEX(Last10Home_Stats_All!$A:$ZZ,ROW()-ROW($Q$2)+2,COLUMN()-COLUMN($Q$2)+1),
""))</f>
        <v>6</v>
      </c>
      <c r="AW3" s="1">
        <f>IF(INDEX(Last10Home_Stats_All!$A:$A,ROW()-ROW($Q$2)+2)="","",
IFERROR(
INDEX(Last10Home_Stats_All!$A:$ZZ,ROW()-ROW($Q$2)+2,COLUMN()-COLUMN($Q$2)+1),
""))</f>
        <v>3</v>
      </c>
      <c r="AX3" s="1">
        <f>IF(INDEX(Last10Home_Stats_All!$A:$A,ROW()-ROW($Q$2)+2)="","",
IFERROR(
INDEX(Last10Home_Stats_All!$A:$ZZ,ROW()-ROW($Q$2)+2,COLUMN()-COLUMN($Q$2)+1),
""))</f>
        <v>1</v>
      </c>
      <c r="AY3" s="1">
        <f>IF(INDEX(Last10Home_Stats_All!$A:$A,ROW()-ROW($Q$2)+2)="","",
IFERROR(
INDEX(Last10Home_Stats_All!$A:$ZZ,ROW()-ROW($Q$2)+2,COLUMN()-COLUMN($Q$2)+1),
""))</f>
        <v>51</v>
      </c>
      <c r="AZ3" s="1">
        <f>IF(INDEX(Last10Home_Stats_All!$A:$A,ROW()-ROW($Q$2)+2)="","",
IFERROR(
INDEX(Last10Home_Stats_All!$A:$ZZ,ROW()-ROW($Q$2)+2,COLUMN()-COLUMN($Q$2)+1),
""))</f>
        <v>49</v>
      </c>
      <c r="BA3" s="1">
        <f>IF(INDEX(Last10Home_Stats_All!$A:$A,ROW()-ROW($Q$2)+2)="","",
IFERROR(
INDEX(Last10Home_Stats_All!$A:$ZZ,ROW()-ROW($Q$2)+2,COLUMN()-COLUMN($Q$2)+1),
""))</f>
        <v>2</v>
      </c>
      <c r="BB3" s="1">
        <f>IF(INDEX(Last10Home_Stats_All!$A:$A,ROW()-ROW($Q$2)+2)="","",
IFERROR(
INDEX(Last10Home_Stats_All!$A:$ZZ,ROW()-ROW($Q$2)+2,COLUMN()-COLUMN($Q$2)+1),
""))</f>
        <v>1</v>
      </c>
      <c r="BC3" s="1">
        <f>IF(INDEX(Last10Home_Stats_All!$A:$A,ROW()-ROW($Q$2)+2)="","",
IFERROR(
INDEX(Last10Home_Stats_All!$A:$ZZ,ROW()-ROW($Q$2)+2,COLUMN()-COLUMN($Q$2)+1),
""))</f>
        <v>0</v>
      </c>
      <c r="BD3" s="1">
        <f>IF(INDEX(Last10Home_Stats_All!$A:$A,ROW()-ROW($Q$2)+2)="","",
IFERROR(
INDEX(Last10Home_Stats_All!$A:$ZZ,ROW()-ROW($Q$2)+2,COLUMN()-COLUMN($Q$2)+1),
""))</f>
        <v>0</v>
      </c>
      <c r="BE3" s="1">
        <f>IF(INDEX(Last10Home_Stats_All!$A:$A,ROW()-ROW($Q$2)+2)="","",
IFERROR(
INDEX(Last10Home_Stats_All!$A:$ZZ,ROW()-ROW($Q$2)+2,COLUMN()-COLUMN($Q$2)+1),
""))</f>
        <v>2</v>
      </c>
      <c r="BF3" s="1">
        <f>IF(INDEX(Last10Home_Stats_All!$A:$A,ROW()-ROW($Q$2)+2)="","",
IFERROR(
INDEX(Last10Home_Stats_All!$A:$ZZ,ROW()-ROW($Q$2)+2,COLUMN()-COLUMN($Q$2)+1),
""))</f>
        <v>4</v>
      </c>
      <c r="BG3" s="1">
        <f>IF(INDEX(Last10Home_Stats_All!$A:$A,ROW()-ROW($Q$2)+2)="","",
IFERROR(
INDEX(Last10Home_Stats_All!$A:$ZZ,ROW()-ROW($Q$2)+2,COLUMN()-COLUMN($Q$2)+1),
""))</f>
        <v>406</v>
      </c>
      <c r="BH3" s="1">
        <f>IF(INDEX(Last10Home_Stats_All!$A:$A,ROW()-ROW($Q$2)+2)="","",
IFERROR(
INDEX(Last10Home_Stats_All!$A:$ZZ,ROW()-ROW($Q$2)+2,COLUMN()-COLUMN($Q$2)+1),
""))</f>
        <v>383</v>
      </c>
      <c r="BI3" s="1">
        <f>IF(INDEX(Last10Home_Stats_All!$A:$A,ROW()-ROW($Q$2)+2)="","",
IFERROR(
INDEX(Last10Home_Stats_All!$A:$ZZ,ROW()-ROW($Q$2)+2,COLUMN()-COLUMN($Q$2)+1),
""))</f>
        <v>296</v>
      </c>
      <c r="BJ3" s="1">
        <f>IF(INDEX(Last10Home_Stats_All!$A:$A,ROW()-ROW($Q$2)+2)="","",
IFERROR(
INDEX(Last10Home_Stats_All!$A:$ZZ,ROW()-ROW($Q$2)+2,COLUMN()-COLUMN($Q$2)+1),
""))</f>
        <v>260</v>
      </c>
      <c r="BK3" s="1">
        <f>IF(INDEX(Last10Home_Stats_All!$A:$A,ROW()-ROW($Q$2)+2)="","",
IFERROR(
INDEX(Last10Home_Stats_All!$A:$ZZ,ROW()-ROW($Q$2)+2,COLUMN()-COLUMN($Q$2)+1),
""))</f>
        <v>73</v>
      </c>
      <c r="BL3" s="1">
        <f>IF(INDEX(Last10Home_Stats_All!$A:$A,ROW()-ROW($Q$2)+2)="","",
IFERROR(
INDEX(Last10Home_Stats_All!$A:$ZZ,ROW()-ROW($Q$2)+2,COLUMN()-COLUMN($Q$2)+1),
""))</f>
        <v>68</v>
      </c>
      <c r="BM3" s="1">
        <f>IF(INDEX(Last10Home_Stats_All!$A:$A,ROW()-ROW($Q$2)+2)="","",
IFERROR(
INDEX(Last10Home_Stats_All!$A:$ZZ,ROW()-ROW($Q$2)+2,COLUMN()-COLUMN($Q$2)+1),
""))</f>
        <v>2.69</v>
      </c>
      <c r="BN3" s="1">
        <f>IF(INDEX(Last10Home_Stats_All!$A:$A,ROW()-ROW($Q$2)+2)="","",
IFERROR(
INDEX(Last10Home_Stats_All!$A:$ZZ,ROW()-ROW($Q$2)+2,COLUMN()-COLUMN($Q$2)+1),
""))</f>
        <v>2.29</v>
      </c>
      <c r="BO3" s="1">
        <f>IF(INDEX(Last10Home_Stats_All!$A:$A,ROW()-ROW($Q$2)+2)="","",
IFERROR(
INDEX(Last10Home_Stats_All!$A:$ZZ,ROW()-ROW($Q$2)+2,COLUMN()-COLUMN($Q$2)+1),
""))</f>
        <v>0</v>
      </c>
      <c r="BP3" s="1">
        <f>IF(INDEX(Last10Home_Stats_All!$A:$A,ROW()-ROW($Q$2)+2)="","",
IFERROR(
INDEX(Last10Home_Stats_All!$A:$ZZ,ROW()-ROW($Q$2)+2,COLUMN()-COLUMN($Q$2)+1),
""))</f>
        <v>0</v>
      </c>
      <c r="BR3" s="1" t="str">
        <f>IF(OR(Control!AC3="",Control!AD3=""),"",Control!AC3&amp;" : "&amp;Control!AD3)</f>
        <v>2 : 1</v>
      </c>
      <c r="BS3" s="1" t="str">
        <f>IF(OR(Control!AE3="",Control!AF3=""),"",Control!AE3&amp;" : "&amp;Control!AF3)</f>
        <v>2 : 2</v>
      </c>
      <c r="BT3" s="1" t="str">
        <f>IF(OR(Control!AU3="",Control!AV3=""),"",Control!AU3&amp;" : "&amp;Control!AV3)</f>
        <v>7 : 6</v>
      </c>
      <c r="BV3" s="1" t="str">
        <f>IFERROR(INDEX(tblStandings[#All],ROW(A3),COLUMN(A3)),"")</f>
        <v/>
      </c>
      <c r="BW3" s="1" t="str">
        <f>IFERROR(INDEX(tblStandings[#All],ROW(B3),COLUMN(B3)),"")</f>
        <v/>
      </c>
      <c r="BX3" s="1" t="str">
        <f>IFERROR(INDEX(tblStandings[#All],ROW(C3),COLUMN(C3)),"")</f>
        <v/>
      </c>
      <c r="BY3" s="1" t="str">
        <f>IFERROR(INDEX(tblStandings[#All],ROW(D3),COLUMN(D3)),"")</f>
        <v/>
      </c>
      <c r="BZ3" s="1" t="str">
        <f>IFERROR(INDEX(tblStandings[#All],ROW(E3),COLUMN(E3)),"")</f>
        <v/>
      </c>
      <c r="CA3" s="1" t="str">
        <f>IFERROR(INDEX(tblStandings[#All],ROW(F3),COLUMN(F3)),"")</f>
        <v/>
      </c>
      <c r="CB3" s="1" t="str">
        <f>IFERROR(INDEX(tblStandings[#All],ROW(G3),COLUMN(G3)),"")</f>
        <v/>
      </c>
      <c r="CC3" s="1" t="str">
        <f>IFERROR(INDEX(tblStandings[#All],ROW(H3),COLUMN(H3)),"")</f>
        <v/>
      </c>
      <c r="CD3" s="1" t="str">
        <f>IFERROR(INDEX(tblStandings[#All],ROW(I3),COLUMN(I3)),"")</f>
        <v/>
      </c>
      <c r="CE3" s="1" t="str">
        <f>IFERROR(INDEX(tblStandings[#All],ROW(J3),COLUMN(J3)),"")</f>
        <v/>
      </c>
      <c r="CF3" s="1" t="str">
        <f>IFERROR(INDEX(tblStandings[#All],ROW(K3),COLUMN(K3)),"")</f>
        <v/>
      </c>
      <c r="CG3" s="1" t="str">
        <f t="shared" ref="CG3:CG50" si="0">IFERROR(MID($CF3,1,1),"")</f>
        <v/>
      </c>
      <c r="CH3" s="1" t="str">
        <f t="shared" ref="CH3:CH50" si="1">IFERROR(MID($CF3,2,1),"")</f>
        <v/>
      </c>
      <c r="CI3" s="1" t="str">
        <f t="shared" ref="CI3:CI50" si="2">IFERROR(MID($CF3,3,1),"")</f>
        <v/>
      </c>
      <c r="CJ3" s="1" t="str">
        <f t="shared" ref="CJ3:CJ50" si="3">IFERROR(MID($CF3,4,1),"")</f>
        <v/>
      </c>
      <c r="CK3" s="1" t="str">
        <f t="shared" ref="CK3:CK50" si="4">IFERROR(MID($CF3,5,1),"")</f>
        <v/>
      </c>
      <c r="CT3" s="3">
        <f>IFERROR(ROUND(
(
IF(COUNT($BA$2:$BA$11)=0,0,AVERAGE($BA$2:$BA$11)) +
IF(COUNT($BB$16:$BB$25)=0,0,AVERAGE($BB$16:$BB$25)) +
IF(COUNT($BA$31:$BA$35)=0,0,AVERAGE($BA$31:$BA$35))
)
/
(
--(COUNT($BA$2:$BA$11)&gt;0) + --(COUNT($BB$16:$BB$25)&gt;0) + --(COUNT($BA$31:$BA$35)&gt;0)
),2),"")</f>
        <v>2.4700000000000002</v>
      </c>
      <c r="CV3" s="1" t="s">
        <v>246</v>
      </c>
      <c r="CX3" s="1" t="s">
        <v>187</v>
      </c>
      <c r="CZ3" s="1" t="s">
        <v>246</v>
      </c>
      <c r="DB3" s="1" t="s">
        <v>246</v>
      </c>
      <c r="DD3" s="1" t="s">
        <v>259</v>
      </c>
    </row>
    <row r="4" spans="1:108" x14ac:dyDescent="0.25">
      <c r="A4" s="1" t="s">
        <v>3</v>
      </c>
      <c r="B4" s="2">
        <f ca="1">TODAY()</f>
        <v>46098</v>
      </c>
      <c r="C4" s="1" t="str">
        <f ca="1">TEXT(B4,"dd/mm/yyyy dddd")</f>
        <v>17/03/2026 Tuesday</v>
      </c>
      <c r="D4" s="1">
        <v>1</v>
      </c>
      <c r="E4" s="2">
        <f ca="1">IFERROR(INDEX($B$4:$B$6,$D$4),"")</f>
        <v>46098</v>
      </c>
      <c r="F4" s="1" t="str">
        <f ca="1">IFERROR(INDEX($C$4:$C$6,$D$4),"")</f>
        <v>17/03/2026 Tuesday</v>
      </c>
      <c r="H4" s="1">
        <v>1512974</v>
      </c>
      <c r="I4" s="4">
        <v>46268</v>
      </c>
      <c r="J4" s="1" t="s">
        <v>17</v>
      </c>
      <c r="K4" s="1" t="s">
        <v>389</v>
      </c>
      <c r="L4" s="1" t="s">
        <v>390</v>
      </c>
      <c r="M4" s="1" t="s">
        <v>3960</v>
      </c>
      <c r="N4" s="1" t="s">
        <v>3961</v>
      </c>
      <c r="O4" s="1" t="s">
        <v>3962</v>
      </c>
      <c r="Q4" s="1">
        <f>IF(INDEX(Last10Home_Stats_All!$A:$A,ROW()-ROW($Q$2)+2)="","",
IFERROR(
INDEX(Last10Home_Stats_All!$A:$ZZ,ROW()-ROW($Q$2)+2,COLUMN()-COLUMN($Q$2)+1),
""))</f>
        <v>1387503</v>
      </c>
      <c r="R4" s="1" t="str">
        <f>IF(INDEX(Last10Home_Stats_All!$A:$A,ROW()-ROW($Q$2)+2)="","",
IFERROR(
INDEX(Last10Home_Stats_All!$A:$ZZ,ROW()-ROW($Q$2)+2,COLUMN()-COLUMN($Q$2)+1),
""))</f>
        <v>21/02/2026 15:00</v>
      </c>
      <c r="S4" s="1" t="str">
        <f>IF(INDEX(Last10Home_Stats_All!$A:$A,ROW()-ROW($Q$2)+2)="","",
IFERROR(
INDEX(Last10Home_Stats_All!$A:$ZZ,ROW()-ROW($Q$2)+2,COLUMN()-COLUMN($Q$2)+1),
""))</f>
        <v>England</v>
      </c>
      <c r="T4" s="1" t="str">
        <f>IF(INDEX(Last10Home_Stats_All!$A:$A,ROW()-ROW($Q$2)+2)="","",
IFERROR(
INDEX(Last10Home_Stats_All!$A:$ZZ,ROW()-ROW($Q$2)+2,COLUMN()-COLUMN($Q$2)+1),
""))</f>
        <v>League One</v>
      </c>
      <c r="U4" s="1" t="str">
        <f>IF(INDEX(Last10Home_Stats_All!$A:$A,ROW()-ROW($Q$2)+2)="","",
IFERROR(
INDEX(Last10Home_Stats_All!$A:$ZZ,ROW()-ROW($Q$2)+2,COLUMN()-COLUMN($Q$2)+1),
""))</f>
        <v>https://media.api-sports.io/football/teams/1374.png</v>
      </c>
      <c r="V4" s="1" t="str">
        <f>IF(INDEX(Last10Home_Stats_All!$A:$A,ROW()-ROW($Q$2)+2)="","",
IFERROR(
INDEX(Last10Home_Stats_All!$A:$ZZ,ROW()-ROW($Q$2)+2,COLUMN()-COLUMN($Q$2)+1),
""))</f>
        <v>Mansfield Town</v>
      </c>
      <c r="W4" s="1" t="str">
        <f>IF(INDEX(Last10Home_Stats_All!$A:$A,ROW()-ROW($Q$2)+2)="","",
IFERROR(
INDEX(Last10Home_Stats_All!$A:$ZZ,ROW()-ROW($Q$2)+2,COLUMN()-COLUMN($Q$2)+1),
""))</f>
        <v>https://media.api-sports.io/football/teams/1379.png</v>
      </c>
      <c r="X4" s="1" t="str">
        <f>IF(INDEX(Last10Home_Stats_All!$A:$A,ROW()-ROW($Q$2)+2)="","",
IFERROR(
INDEX(Last10Home_Stats_All!$A:$ZZ,ROW()-ROW($Q$2)+2,COLUMN()-COLUMN($Q$2)+1),
""))</f>
        <v>Lincoln</v>
      </c>
      <c r="Y4" s="1" t="str">
        <f>IF(INDEX(Last10Home_Stats_All!$A:$A,ROW()-ROW($Q$2)+2)="","",
IFERROR(
INDEX(Last10Home_Stats_All!$A:$ZZ,ROW()-ROW($Q$2)+2,COLUMN()-COLUMN($Q$2)+1),
""))</f>
        <v>https://media.api-sports.io/football/leagues/41.png</v>
      </c>
      <c r="Z4" s="1" t="str">
        <f>IF(INDEX(Last10Home_Stats_All!$A:$A,ROW()-ROW($Q$2)+2)="","",
IFERROR(
INDEX(Last10Home_Stats_All!$A:$ZZ,ROW()-ROW($Q$2)+2,COLUMN()-COLUMN($Q$2)+1),
""))</f>
        <v>https://media.api-sports.io/flags/gb-eng.svg</v>
      </c>
      <c r="AA4" s="1">
        <f>IF(INDEX(Last10Home_Stats_All!$A:$A,ROW()-ROW($Q$2)+2)="","",
IFERROR(
INDEX(Last10Home_Stats_All!$A:$ZZ,ROW()-ROW($Q$2)+2,COLUMN()-COLUMN($Q$2)+1),
""))</f>
        <v>0</v>
      </c>
      <c r="AB4" s="1">
        <f>IF(INDEX(Last10Home_Stats_All!$A:$A,ROW()-ROW($Q$2)+2)="","",
IFERROR(
INDEX(Last10Home_Stats_All!$A:$ZZ,ROW()-ROW($Q$2)+2,COLUMN()-COLUMN($Q$2)+1),
""))</f>
        <v>2</v>
      </c>
      <c r="AC4" s="1">
        <f>IF(INDEX(Last10Home_Stats_All!$A:$A,ROW()-ROW($Q$2)+2)="","",
IFERROR(
INDEX(Last10Home_Stats_All!$A:$ZZ,ROW()-ROW($Q$2)+2,COLUMN()-COLUMN($Q$2)+1),
""))</f>
        <v>0</v>
      </c>
      <c r="AD4" s="1">
        <f>IF(INDEX(Last10Home_Stats_All!$A:$A,ROW()-ROW($Q$2)+2)="","",
IFERROR(
INDEX(Last10Home_Stats_All!$A:$ZZ,ROW()-ROW($Q$2)+2,COLUMN()-COLUMN($Q$2)+1),
""))</f>
        <v>1</v>
      </c>
      <c r="AE4" s="1">
        <f>IF(INDEX(Last10Home_Stats_All!$A:$A,ROW()-ROW($Q$2)+2)="","",
IFERROR(
INDEX(Last10Home_Stats_All!$A:$ZZ,ROW()-ROW($Q$2)+2,COLUMN()-COLUMN($Q$2)+1),
""))</f>
        <v>0</v>
      </c>
      <c r="AF4" s="1">
        <f>IF(INDEX(Last10Home_Stats_All!$A:$A,ROW()-ROW($Q$2)+2)="","",
IFERROR(
INDEX(Last10Home_Stats_All!$A:$ZZ,ROW()-ROW($Q$2)+2,COLUMN()-COLUMN($Q$2)+1),
""))</f>
        <v>2</v>
      </c>
      <c r="AG4" s="1">
        <f>IF(INDEX(Last10Home_Stats_All!$A:$A,ROW()-ROW($Q$2)+2)="","",
IFERROR(
INDEX(Last10Home_Stats_All!$A:$ZZ,ROW()-ROW($Q$2)+2,COLUMN()-COLUMN($Q$2)+1),
""))</f>
        <v>1</v>
      </c>
      <c r="AH4" s="1">
        <f>IF(INDEX(Last10Home_Stats_All!$A:$A,ROW()-ROW($Q$2)+2)="","",
IFERROR(
INDEX(Last10Home_Stats_All!$A:$ZZ,ROW()-ROW($Q$2)+2,COLUMN()-COLUMN($Q$2)+1),
""))</f>
        <v>4</v>
      </c>
      <c r="AI4" s="1">
        <f>IF(INDEX(Last10Home_Stats_All!$A:$A,ROW()-ROW($Q$2)+2)="","",
IFERROR(
INDEX(Last10Home_Stats_All!$A:$ZZ,ROW()-ROW($Q$2)+2,COLUMN()-COLUMN($Q$2)+1),
""))</f>
        <v>5</v>
      </c>
      <c r="AJ4" s="1">
        <f>IF(INDEX(Last10Home_Stats_All!$A:$A,ROW()-ROW($Q$2)+2)="","",
IFERROR(
INDEX(Last10Home_Stats_All!$A:$ZZ,ROW()-ROW($Q$2)+2,COLUMN()-COLUMN($Q$2)+1),
""))</f>
        <v>3</v>
      </c>
      <c r="AK4" s="1">
        <f>IF(INDEX(Last10Home_Stats_All!$A:$A,ROW()-ROW($Q$2)+2)="","",
IFERROR(
INDEX(Last10Home_Stats_All!$A:$ZZ,ROW()-ROW($Q$2)+2,COLUMN()-COLUMN($Q$2)+1),
""))</f>
        <v>11</v>
      </c>
      <c r="AL4" s="1">
        <f>IF(INDEX(Last10Home_Stats_All!$A:$A,ROW()-ROW($Q$2)+2)="","",
IFERROR(
INDEX(Last10Home_Stats_All!$A:$ZZ,ROW()-ROW($Q$2)+2,COLUMN()-COLUMN($Q$2)+1),
""))</f>
        <v>13</v>
      </c>
      <c r="AM4" s="1">
        <f>IF(INDEX(Last10Home_Stats_All!$A:$A,ROW()-ROW($Q$2)+2)="","",
IFERROR(
INDEX(Last10Home_Stats_All!$A:$ZZ,ROW()-ROW($Q$2)+2,COLUMN()-COLUMN($Q$2)+1),
""))</f>
        <v>5</v>
      </c>
      <c r="AN4" s="1">
        <f>IF(INDEX(Last10Home_Stats_All!$A:$A,ROW()-ROW($Q$2)+2)="","",
IFERROR(
INDEX(Last10Home_Stats_All!$A:$ZZ,ROW()-ROW($Q$2)+2,COLUMN()-COLUMN($Q$2)+1),
""))</f>
        <v>6</v>
      </c>
      <c r="AO4" s="1">
        <f>IF(INDEX(Last10Home_Stats_All!$A:$A,ROW()-ROW($Q$2)+2)="","",
IFERROR(
INDEX(Last10Home_Stats_All!$A:$ZZ,ROW()-ROW($Q$2)+2,COLUMN()-COLUMN($Q$2)+1),
""))</f>
        <v>5</v>
      </c>
      <c r="AP4" s="1">
        <f>IF(INDEX(Last10Home_Stats_All!$A:$A,ROW()-ROW($Q$2)+2)="","",
IFERROR(
INDEX(Last10Home_Stats_All!$A:$ZZ,ROW()-ROW($Q$2)+2,COLUMN()-COLUMN($Q$2)+1),
""))</f>
        <v>9</v>
      </c>
      <c r="AQ4" s="1">
        <f>IF(INDEX(Last10Home_Stats_All!$A:$A,ROW()-ROW($Q$2)+2)="","",
IFERROR(
INDEX(Last10Home_Stats_All!$A:$ZZ,ROW()-ROW($Q$2)+2,COLUMN()-COLUMN($Q$2)+1),
""))</f>
        <v>6</v>
      </c>
      <c r="AR4" s="1">
        <f>IF(INDEX(Last10Home_Stats_All!$A:$A,ROW()-ROW($Q$2)+2)="","",
IFERROR(
INDEX(Last10Home_Stats_All!$A:$ZZ,ROW()-ROW($Q$2)+2,COLUMN()-COLUMN($Q$2)+1),
""))</f>
        <v>4</v>
      </c>
      <c r="AS4" s="1">
        <f>IF(INDEX(Last10Home_Stats_All!$A:$A,ROW()-ROW($Q$2)+2)="","",
IFERROR(
INDEX(Last10Home_Stats_All!$A:$ZZ,ROW()-ROW($Q$2)+2,COLUMN()-COLUMN($Q$2)+1),
""))</f>
        <v>13</v>
      </c>
      <c r="AT4" s="1">
        <f>IF(INDEX(Last10Home_Stats_All!$A:$A,ROW()-ROW($Q$2)+2)="","",
IFERROR(
INDEX(Last10Home_Stats_All!$A:$ZZ,ROW()-ROW($Q$2)+2,COLUMN()-COLUMN($Q$2)+1),
""))</f>
        <v>13</v>
      </c>
      <c r="AU4" s="1">
        <f>IF(INDEX(Last10Home_Stats_All!$A:$A,ROW()-ROW($Q$2)+2)="","",
IFERROR(
INDEX(Last10Home_Stats_All!$A:$ZZ,ROW()-ROW($Q$2)+2,COLUMN()-COLUMN($Q$2)+1),
""))</f>
        <v>2</v>
      </c>
      <c r="AV4" s="1">
        <f>IF(INDEX(Last10Home_Stats_All!$A:$A,ROW()-ROW($Q$2)+2)="","",
IFERROR(
INDEX(Last10Home_Stats_All!$A:$ZZ,ROW()-ROW($Q$2)+2,COLUMN()-COLUMN($Q$2)+1),
""))</f>
        <v>4</v>
      </c>
      <c r="AW4" s="1">
        <f>IF(INDEX(Last10Home_Stats_All!$A:$A,ROW()-ROW($Q$2)+2)="","",
IFERROR(
INDEX(Last10Home_Stats_All!$A:$ZZ,ROW()-ROW($Q$2)+2,COLUMN()-COLUMN($Q$2)+1),
""))</f>
        <v>2</v>
      </c>
      <c r="AX4" s="1">
        <f>IF(INDEX(Last10Home_Stats_All!$A:$A,ROW()-ROW($Q$2)+2)="","",
IFERROR(
INDEX(Last10Home_Stats_All!$A:$ZZ,ROW()-ROW($Q$2)+2,COLUMN()-COLUMN($Q$2)+1),
""))</f>
        <v>2</v>
      </c>
      <c r="AY4" s="1">
        <f>IF(INDEX(Last10Home_Stats_All!$A:$A,ROW()-ROW($Q$2)+2)="","",
IFERROR(
INDEX(Last10Home_Stats_All!$A:$ZZ,ROW()-ROW($Q$2)+2,COLUMN()-COLUMN($Q$2)+1),
""))</f>
        <v>55</v>
      </c>
      <c r="AZ4" s="1">
        <f>IF(INDEX(Last10Home_Stats_All!$A:$A,ROW()-ROW($Q$2)+2)="","",
IFERROR(
INDEX(Last10Home_Stats_All!$A:$ZZ,ROW()-ROW($Q$2)+2,COLUMN()-COLUMN($Q$2)+1),
""))</f>
        <v>45</v>
      </c>
      <c r="BA4" s="1">
        <f>IF(INDEX(Last10Home_Stats_All!$A:$A,ROW()-ROW($Q$2)+2)="","",
IFERROR(
INDEX(Last10Home_Stats_All!$A:$ZZ,ROW()-ROW($Q$2)+2,COLUMN()-COLUMN($Q$2)+1),
""))</f>
        <v>2</v>
      </c>
      <c r="BB4" s="1">
        <f>IF(INDEX(Last10Home_Stats_All!$A:$A,ROW()-ROW($Q$2)+2)="","",
IFERROR(
INDEX(Last10Home_Stats_All!$A:$ZZ,ROW()-ROW($Q$2)+2,COLUMN()-COLUMN($Q$2)+1),
""))</f>
        <v>3</v>
      </c>
      <c r="BC4" s="1">
        <f>IF(INDEX(Last10Home_Stats_All!$A:$A,ROW()-ROW($Q$2)+2)="","",
IFERROR(
INDEX(Last10Home_Stats_All!$A:$ZZ,ROW()-ROW($Q$2)+2,COLUMN()-COLUMN($Q$2)+1),
""))</f>
        <v>0</v>
      </c>
      <c r="BD4" s="1">
        <f>IF(INDEX(Last10Home_Stats_All!$A:$A,ROW()-ROW($Q$2)+2)="","",
IFERROR(
INDEX(Last10Home_Stats_All!$A:$ZZ,ROW()-ROW($Q$2)+2,COLUMN()-COLUMN($Q$2)+1),
""))</f>
        <v>0</v>
      </c>
      <c r="BE4" s="1">
        <f>IF(INDEX(Last10Home_Stats_All!$A:$A,ROW()-ROW($Q$2)+2)="","",
IFERROR(
INDEX(Last10Home_Stats_All!$A:$ZZ,ROW()-ROW($Q$2)+2,COLUMN()-COLUMN($Q$2)+1),
""))</f>
        <v>2</v>
      </c>
      <c r="BF4" s="1">
        <f>IF(INDEX(Last10Home_Stats_All!$A:$A,ROW()-ROW($Q$2)+2)="","",
IFERROR(
INDEX(Last10Home_Stats_All!$A:$ZZ,ROW()-ROW($Q$2)+2,COLUMN()-COLUMN($Q$2)+1),
""))</f>
        <v>1</v>
      </c>
      <c r="BG4" s="1">
        <f>IF(INDEX(Last10Home_Stats_All!$A:$A,ROW()-ROW($Q$2)+2)="","",
IFERROR(
INDEX(Last10Home_Stats_All!$A:$ZZ,ROW()-ROW($Q$2)+2,COLUMN()-COLUMN($Q$2)+1),
""))</f>
        <v>419</v>
      </c>
      <c r="BH4" s="1">
        <f>IF(INDEX(Last10Home_Stats_All!$A:$A,ROW()-ROW($Q$2)+2)="","",
IFERROR(
INDEX(Last10Home_Stats_All!$A:$ZZ,ROW()-ROW($Q$2)+2,COLUMN()-COLUMN($Q$2)+1),
""))</f>
        <v>354</v>
      </c>
      <c r="BI4" s="1">
        <f>IF(INDEX(Last10Home_Stats_All!$A:$A,ROW()-ROW($Q$2)+2)="","",
IFERROR(
INDEX(Last10Home_Stats_All!$A:$ZZ,ROW()-ROW($Q$2)+2,COLUMN()-COLUMN($Q$2)+1),
""))</f>
        <v>303</v>
      </c>
      <c r="BJ4" s="1">
        <f>IF(INDEX(Last10Home_Stats_All!$A:$A,ROW()-ROW($Q$2)+2)="","",
IFERROR(
INDEX(Last10Home_Stats_All!$A:$ZZ,ROW()-ROW($Q$2)+2,COLUMN()-COLUMN($Q$2)+1),
""))</f>
        <v>242</v>
      </c>
      <c r="BK4" s="1">
        <f>IF(INDEX(Last10Home_Stats_All!$A:$A,ROW()-ROW($Q$2)+2)="","",
IFERROR(
INDEX(Last10Home_Stats_All!$A:$ZZ,ROW()-ROW($Q$2)+2,COLUMN()-COLUMN($Q$2)+1),
""))</f>
        <v>72</v>
      </c>
      <c r="BL4" s="1">
        <f>IF(INDEX(Last10Home_Stats_All!$A:$A,ROW()-ROW($Q$2)+2)="","",
IFERROR(
INDEX(Last10Home_Stats_All!$A:$ZZ,ROW()-ROW($Q$2)+2,COLUMN()-COLUMN($Q$2)+1),
""))</f>
        <v>68</v>
      </c>
      <c r="BM4" s="1">
        <f>IF(INDEX(Last10Home_Stats_All!$A:$A,ROW()-ROW($Q$2)+2)="","",
IFERROR(
INDEX(Last10Home_Stats_All!$A:$ZZ,ROW()-ROW($Q$2)+2,COLUMN()-COLUMN($Q$2)+1),
""))</f>
        <v>0</v>
      </c>
      <c r="BN4" s="1">
        <f>IF(INDEX(Last10Home_Stats_All!$A:$A,ROW()-ROW($Q$2)+2)="","",
IFERROR(
INDEX(Last10Home_Stats_All!$A:$ZZ,ROW()-ROW($Q$2)+2,COLUMN()-COLUMN($Q$2)+1),
""))</f>
        <v>0</v>
      </c>
      <c r="BO4" s="1">
        <f>IF(INDEX(Last10Home_Stats_All!$A:$A,ROW()-ROW($Q$2)+2)="","",
IFERROR(
INDEX(Last10Home_Stats_All!$A:$ZZ,ROW()-ROW($Q$2)+2,COLUMN()-COLUMN($Q$2)+1),
""))</f>
        <v>0</v>
      </c>
      <c r="BP4" s="1">
        <f>IF(INDEX(Last10Home_Stats_All!$A:$A,ROW()-ROW($Q$2)+2)="","",
IFERROR(
INDEX(Last10Home_Stats_All!$A:$ZZ,ROW()-ROW($Q$2)+2,COLUMN()-COLUMN($Q$2)+1),
""))</f>
        <v>0</v>
      </c>
      <c r="BR4" s="1" t="str">
        <f>IF(OR(Control!AC4="",Control!AD4=""),"",Control!AC4&amp;" : "&amp;Control!AD4)</f>
        <v>0 : 1</v>
      </c>
      <c r="BS4" s="1" t="str">
        <f>IF(OR(Control!AE4="",Control!AF4=""),"",Control!AE4&amp;" : "&amp;Control!AF4)</f>
        <v>0 : 2</v>
      </c>
      <c r="BT4" s="1" t="str">
        <f>IF(OR(Control!AU4="",Control!AV4=""),"",Control!AU4&amp;" : "&amp;Control!AV4)</f>
        <v>2 : 4</v>
      </c>
      <c r="BV4" s="1" t="str">
        <f>IFERROR(INDEX(tblStandings[#All],ROW(A4),COLUMN(A4)),"")</f>
        <v/>
      </c>
      <c r="BW4" s="1" t="str">
        <f>IFERROR(INDEX(tblStandings[#All],ROW(B4),COLUMN(B4)),"")</f>
        <v/>
      </c>
      <c r="BX4" s="1" t="str">
        <f>IFERROR(INDEX(tblStandings[#All],ROW(C4),COLUMN(C4)),"")</f>
        <v/>
      </c>
      <c r="BY4" s="1" t="str">
        <f>IFERROR(INDEX(tblStandings[#All],ROW(D4),COLUMN(D4)),"")</f>
        <v/>
      </c>
      <c r="BZ4" s="1" t="str">
        <f>IFERROR(INDEX(tblStandings[#All],ROW(E4),COLUMN(E4)),"")</f>
        <v/>
      </c>
      <c r="CA4" s="1" t="str">
        <f>IFERROR(INDEX(tblStandings[#All],ROW(F4),COLUMN(F4)),"")</f>
        <v/>
      </c>
      <c r="CB4" s="1" t="str">
        <f>IFERROR(INDEX(tblStandings[#All],ROW(G4),COLUMN(G4)),"")</f>
        <v/>
      </c>
      <c r="CC4" s="1" t="str">
        <f>IFERROR(INDEX(tblStandings[#All],ROW(H4),COLUMN(H4)),"")</f>
        <v/>
      </c>
      <c r="CD4" s="1" t="str">
        <f>IFERROR(INDEX(tblStandings[#All],ROW(I4),COLUMN(I4)),"")</f>
        <v/>
      </c>
      <c r="CE4" s="1" t="str">
        <f>IFERROR(INDEX(tblStandings[#All],ROW(J4),COLUMN(J4)),"")</f>
        <v/>
      </c>
      <c r="CF4" s="1" t="str">
        <f>IFERROR(INDEX(tblStandings[#All],ROW(K4),COLUMN(K4)),"")</f>
        <v/>
      </c>
      <c r="CG4" s="1" t="str">
        <f t="shared" si="0"/>
        <v/>
      </c>
      <c r="CH4" s="1" t="str">
        <f t="shared" si="1"/>
        <v/>
      </c>
      <c r="CI4" s="1" t="str">
        <f t="shared" si="2"/>
        <v/>
      </c>
      <c r="CJ4" s="1" t="str">
        <f t="shared" si="3"/>
        <v/>
      </c>
      <c r="CK4" s="1" t="str">
        <f t="shared" si="4"/>
        <v/>
      </c>
      <c r="CM4" s="1" t="s">
        <v>224</v>
      </c>
      <c r="CN4" s="1" t="s">
        <v>225</v>
      </c>
      <c r="CP4" s="1" t="s">
        <v>228</v>
      </c>
      <c r="CR4" s="1" t="s">
        <v>232</v>
      </c>
      <c r="CT4" s="1" t="s">
        <v>172</v>
      </c>
      <c r="CV4" s="3">
        <f>IFERROR(
CX4 / SUMPRODUCT(--ISNUMBER($AE$31:$AE$35),--ISNUMBER($AF$31:$AF$35)),"")</f>
        <v>0</v>
      </c>
      <c r="CX4" s="3">
        <f>IFERROR(SUMPRODUCT(--ISNUMBER($AE$31:$AE$35),--ISNUMBER($AF$31:$AF$35),--($AE$31:$AE$35=$AF$31:$AF$35)),"")</f>
        <v>0</v>
      </c>
      <c r="CZ4" s="3">
        <f>IFERROR(SUMPRODUCT(--ISNUMBER($AE$2:$AE$11),--ISNUMBER($AF$2:$AF$11),--($AE$2:$AE$11=$AF$2:$AF$11)),"")</f>
        <v>3</v>
      </c>
      <c r="DB4" s="3">
        <f>IFERROR(SUMPRODUCT(--ISNUMBER($AE$16:$AE$25),--ISNUMBER($AF$16:$AF$25),--($AE$16:$AE$25=$AF$16:$AF$25)),"")</f>
        <v>3</v>
      </c>
      <c r="DD4" s="3">
        <f>IFERROR(
ROUND(
SUMPRODUCT(--ISNUMBER($AD$31:$AD$35),$AD$31:$AD$35) /
SUMPRODUCT(--ISNUMBER($AD$31:$AD$35)),2),
"")</f>
        <v>1</v>
      </c>
    </row>
    <row r="5" spans="1:108" x14ac:dyDescent="0.25">
      <c r="A5" s="1" t="s">
        <v>4</v>
      </c>
      <c r="B5" s="2">
        <f ca="1">TODAY()+1</f>
        <v>46099</v>
      </c>
      <c r="C5" s="1" t="str">
        <f t="shared" ref="C5:C6" ca="1" si="5">TEXT(B5,"dd/mm/yyyy dddd")</f>
        <v>18/03/2026 Wednesday</v>
      </c>
      <c r="H5" s="1">
        <v>1512986</v>
      </c>
      <c r="I5" s="4">
        <v>46268</v>
      </c>
      <c r="J5" s="1" t="s">
        <v>17</v>
      </c>
      <c r="K5" s="1" t="s">
        <v>389</v>
      </c>
      <c r="L5" s="1" t="s">
        <v>390</v>
      </c>
      <c r="M5" s="1" t="s">
        <v>3963</v>
      </c>
      <c r="N5" s="1" t="s">
        <v>3964</v>
      </c>
      <c r="O5" s="1" t="s">
        <v>3965</v>
      </c>
      <c r="Q5" s="1">
        <f>IF(INDEX(Last10Home_Stats_All!$A:$A,ROW()-ROW($Q$2)+2)="","",
IFERROR(
INDEX(Last10Home_Stats_All!$A:$ZZ,ROW()-ROW($Q$2)+2,COLUMN()-COLUMN($Q$2)+1),
""))</f>
        <v>1387289</v>
      </c>
      <c r="R5" s="1" t="str">
        <f>IF(INDEX(Last10Home_Stats_All!$A:$A,ROW()-ROW($Q$2)+2)="","",
IFERROR(
INDEX(Last10Home_Stats_All!$A:$ZZ,ROW()-ROW($Q$2)+2,COLUMN()-COLUMN($Q$2)+1),
""))</f>
        <v>10/02/2026 19:45</v>
      </c>
      <c r="S5" s="1" t="str">
        <f>IF(INDEX(Last10Home_Stats_All!$A:$A,ROW()-ROW($Q$2)+2)="","",
IFERROR(
INDEX(Last10Home_Stats_All!$A:$ZZ,ROW()-ROW($Q$2)+2,COLUMN()-COLUMN($Q$2)+1),
""))</f>
        <v>England</v>
      </c>
      <c r="T5" s="1" t="str">
        <f>IF(INDEX(Last10Home_Stats_All!$A:$A,ROW()-ROW($Q$2)+2)="","",
IFERROR(
INDEX(Last10Home_Stats_All!$A:$ZZ,ROW()-ROW($Q$2)+2,COLUMN()-COLUMN($Q$2)+1),
""))</f>
        <v>League One</v>
      </c>
      <c r="U5" s="1" t="str">
        <f>IF(INDEX(Last10Home_Stats_All!$A:$A,ROW()-ROW($Q$2)+2)="","",
IFERROR(
INDEX(Last10Home_Stats_All!$A:$ZZ,ROW()-ROW($Q$2)+2,COLUMN()-COLUMN($Q$2)+1),
""))</f>
        <v>https://media.api-sports.io/football/teams/1374.png</v>
      </c>
      <c r="V5" s="1" t="str">
        <f>IF(INDEX(Last10Home_Stats_All!$A:$A,ROW()-ROW($Q$2)+2)="","",
IFERROR(
INDEX(Last10Home_Stats_All!$A:$ZZ,ROW()-ROW($Q$2)+2,COLUMN()-COLUMN($Q$2)+1),
""))</f>
        <v>Mansfield Town</v>
      </c>
      <c r="W5" s="1" t="str">
        <f>IF(INDEX(Last10Home_Stats_All!$A:$A,ROW()-ROW($Q$2)+2)="","",
IFERROR(
INDEX(Last10Home_Stats_All!$A:$ZZ,ROW()-ROW($Q$2)+2,COLUMN()-COLUMN($Q$2)+1),
""))</f>
        <v>https://media.api-sports.io/football/teams/1350.png</v>
      </c>
      <c r="X5" s="1" t="str">
        <f>IF(INDEX(Last10Home_Stats_All!$A:$A,ROW()-ROW($Q$2)+2)="","",
IFERROR(
INDEX(Last10Home_Stats_All!$A:$ZZ,ROW()-ROW($Q$2)+2,COLUMN()-COLUMN($Q$2)+1),
""))</f>
        <v>Peterborough</v>
      </c>
      <c r="Y5" s="1" t="str">
        <f>IF(INDEX(Last10Home_Stats_All!$A:$A,ROW()-ROW($Q$2)+2)="","",
IFERROR(
INDEX(Last10Home_Stats_All!$A:$ZZ,ROW()-ROW($Q$2)+2,COLUMN()-COLUMN($Q$2)+1),
""))</f>
        <v>https://media.api-sports.io/football/leagues/41.png</v>
      </c>
      <c r="Z5" s="1" t="str">
        <f>IF(INDEX(Last10Home_Stats_All!$A:$A,ROW()-ROW($Q$2)+2)="","",
IFERROR(
INDEX(Last10Home_Stats_All!$A:$ZZ,ROW()-ROW($Q$2)+2,COLUMN()-COLUMN($Q$2)+1),
""))</f>
        <v>https://media.api-sports.io/flags/gb-eng.svg</v>
      </c>
      <c r="AA5" s="1">
        <f>IF(INDEX(Last10Home_Stats_All!$A:$A,ROW()-ROW($Q$2)+2)="","",
IFERROR(
INDEX(Last10Home_Stats_All!$A:$ZZ,ROW()-ROW($Q$2)+2,COLUMN()-COLUMN($Q$2)+1),
""))</f>
        <v>1</v>
      </c>
      <c r="AB5" s="1">
        <f>IF(INDEX(Last10Home_Stats_All!$A:$A,ROW()-ROW($Q$2)+2)="","",
IFERROR(
INDEX(Last10Home_Stats_All!$A:$ZZ,ROW()-ROW($Q$2)+2,COLUMN()-COLUMN($Q$2)+1),
""))</f>
        <v>2</v>
      </c>
      <c r="AC5" s="1">
        <f>IF(INDEX(Last10Home_Stats_All!$A:$A,ROW()-ROW($Q$2)+2)="","",
IFERROR(
INDEX(Last10Home_Stats_All!$A:$ZZ,ROW()-ROW($Q$2)+2,COLUMN()-COLUMN($Q$2)+1),
""))</f>
        <v>0</v>
      </c>
      <c r="AD5" s="1">
        <f>IF(INDEX(Last10Home_Stats_All!$A:$A,ROW()-ROW($Q$2)+2)="","",
IFERROR(
INDEX(Last10Home_Stats_All!$A:$ZZ,ROW()-ROW($Q$2)+2,COLUMN()-COLUMN($Q$2)+1),
""))</f>
        <v>0</v>
      </c>
      <c r="AE5" s="1">
        <f>IF(INDEX(Last10Home_Stats_All!$A:$A,ROW()-ROW($Q$2)+2)="","",
IFERROR(
INDEX(Last10Home_Stats_All!$A:$ZZ,ROW()-ROW($Q$2)+2,COLUMN()-COLUMN($Q$2)+1),
""))</f>
        <v>1</v>
      </c>
      <c r="AF5" s="1">
        <f>IF(INDEX(Last10Home_Stats_All!$A:$A,ROW()-ROW($Q$2)+2)="","",
IFERROR(
INDEX(Last10Home_Stats_All!$A:$ZZ,ROW()-ROW($Q$2)+2,COLUMN()-COLUMN($Q$2)+1),
""))</f>
        <v>2</v>
      </c>
      <c r="AG5" s="1">
        <f>IF(INDEX(Last10Home_Stats_All!$A:$A,ROW()-ROW($Q$2)+2)="","",
IFERROR(
INDEX(Last10Home_Stats_All!$A:$ZZ,ROW()-ROW($Q$2)+2,COLUMN()-COLUMN($Q$2)+1),
""))</f>
        <v>10</v>
      </c>
      <c r="AH5" s="1">
        <f>IF(INDEX(Last10Home_Stats_All!$A:$A,ROW()-ROW($Q$2)+2)="","",
IFERROR(
INDEX(Last10Home_Stats_All!$A:$ZZ,ROW()-ROW($Q$2)+2,COLUMN()-COLUMN($Q$2)+1),
""))</f>
        <v>3</v>
      </c>
      <c r="AI5" s="1">
        <f>IF(INDEX(Last10Home_Stats_All!$A:$A,ROW()-ROW($Q$2)+2)="","",
IFERROR(
INDEX(Last10Home_Stats_All!$A:$ZZ,ROW()-ROW($Q$2)+2,COLUMN()-COLUMN($Q$2)+1),
""))</f>
        <v>8</v>
      </c>
      <c r="AJ5" s="1">
        <f>IF(INDEX(Last10Home_Stats_All!$A:$A,ROW()-ROW($Q$2)+2)="","",
IFERROR(
INDEX(Last10Home_Stats_All!$A:$ZZ,ROW()-ROW($Q$2)+2,COLUMN()-COLUMN($Q$2)+1),
""))</f>
        <v>4</v>
      </c>
      <c r="AK5" s="1">
        <f>IF(INDEX(Last10Home_Stats_All!$A:$A,ROW()-ROW($Q$2)+2)="","",
IFERROR(
INDEX(Last10Home_Stats_All!$A:$ZZ,ROW()-ROW($Q$2)+2,COLUMN()-COLUMN($Q$2)+1),
""))</f>
        <v>26</v>
      </c>
      <c r="AL5" s="1">
        <f>IF(INDEX(Last10Home_Stats_All!$A:$A,ROW()-ROW($Q$2)+2)="","",
IFERROR(
INDEX(Last10Home_Stats_All!$A:$ZZ,ROW()-ROW($Q$2)+2,COLUMN()-COLUMN($Q$2)+1),
""))</f>
        <v>7</v>
      </c>
      <c r="AM5" s="1">
        <f>IF(INDEX(Last10Home_Stats_All!$A:$A,ROW()-ROW($Q$2)+2)="","",
IFERROR(
INDEX(Last10Home_Stats_All!$A:$ZZ,ROW()-ROW($Q$2)+2,COLUMN()-COLUMN($Q$2)+1),
""))</f>
        <v>8</v>
      </c>
      <c r="AN5" s="1">
        <f>IF(INDEX(Last10Home_Stats_All!$A:$A,ROW()-ROW($Q$2)+2)="","",
IFERROR(
INDEX(Last10Home_Stats_All!$A:$ZZ,ROW()-ROW($Q$2)+2,COLUMN()-COLUMN($Q$2)+1),
""))</f>
        <v>0</v>
      </c>
      <c r="AO5" s="1">
        <f>IF(INDEX(Last10Home_Stats_All!$A:$A,ROW()-ROW($Q$2)+2)="","",
IFERROR(
INDEX(Last10Home_Stats_All!$A:$ZZ,ROW()-ROW($Q$2)+2,COLUMN()-COLUMN($Q$2)+1),
""))</f>
        <v>20</v>
      </c>
      <c r="AP5" s="1">
        <f>IF(INDEX(Last10Home_Stats_All!$A:$A,ROW()-ROW($Q$2)+2)="","",
IFERROR(
INDEX(Last10Home_Stats_All!$A:$ZZ,ROW()-ROW($Q$2)+2,COLUMN()-COLUMN($Q$2)+1),
""))</f>
        <v>5</v>
      </c>
      <c r="AQ5" s="1">
        <f>IF(INDEX(Last10Home_Stats_All!$A:$A,ROW()-ROW($Q$2)+2)="","",
IFERROR(
INDEX(Last10Home_Stats_All!$A:$ZZ,ROW()-ROW($Q$2)+2,COLUMN()-COLUMN($Q$2)+1),
""))</f>
        <v>6</v>
      </c>
      <c r="AR5" s="1">
        <f>IF(INDEX(Last10Home_Stats_All!$A:$A,ROW()-ROW($Q$2)+2)="","",
IFERROR(
INDEX(Last10Home_Stats_All!$A:$ZZ,ROW()-ROW($Q$2)+2,COLUMN()-COLUMN($Q$2)+1),
""))</f>
        <v>2</v>
      </c>
      <c r="AS5" s="1">
        <f>IF(INDEX(Last10Home_Stats_All!$A:$A,ROW()-ROW($Q$2)+2)="","",
IFERROR(
INDEX(Last10Home_Stats_All!$A:$ZZ,ROW()-ROW($Q$2)+2,COLUMN()-COLUMN($Q$2)+1),
""))</f>
        <v>9</v>
      </c>
      <c r="AT5" s="1">
        <f>IF(INDEX(Last10Home_Stats_All!$A:$A,ROW()-ROW($Q$2)+2)="","",
IFERROR(
INDEX(Last10Home_Stats_All!$A:$ZZ,ROW()-ROW($Q$2)+2,COLUMN()-COLUMN($Q$2)+1),
""))</f>
        <v>8</v>
      </c>
      <c r="AU5" s="1">
        <f>IF(INDEX(Last10Home_Stats_All!$A:$A,ROW()-ROW($Q$2)+2)="","",
IFERROR(
INDEX(Last10Home_Stats_All!$A:$ZZ,ROW()-ROW($Q$2)+2,COLUMN()-COLUMN($Q$2)+1),
""))</f>
        <v>19</v>
      </c>
      <c r="AV5" s="1">
        <f>IF(INDEX(Last10Home_Stats_All!$A:$A,ROW()-ROW($Q$2)+2)="","",
IFERROR(
INDEX(Last10Home_Stats_All!$A:$ZZ,ROW()-ROW($Q$2)+2,COLUMN()-COLUMN($Q$2)+1),
""))</f>
        <v>0</v>
      </c>
      <c r="AW5" s="1">
        <f>IF(INDEX(Last10Home_Stats_All!$A:$A,ROW()-ROW($Q$2)+2)="","",
IFERROR(
INDEX(Last10Home_Stats_All!$A:$ZZ,ROW()-ROW($Q$2)+2,COLUMN()-COLUMN($Q$2)+1),
""))</f>
        <v>4</v>
      </c>
      <c r="AX5" s="1">
        <f>IF(INDEX(Last10Home_Stats_All!$A:$A,ROW()-ROW($Q$2)+2)="","",
IFERROR(
INDEX(Last10Home_Stats_All!$A:$ZZ,ROW()-ROW($Q$2)+2,COLUMN()-COLUMN($Q$2)+1),
""))</f>
        <v>1</v>
      </c>
      <c r="AY5" s="1">
        <f>IF(INDEX(Last10Home_Stats_All!$A:$A,ROW()-ROW($Q$2)+2)="","",
IFERROR(
INDEX(Last10Home_Stats_All!$A:$ZZ,ROW()-ROW($Q$2)+2,COLUMN()-COLUMN($Q$2)+1),
""))</f>
        <v>60</v>
      </c>
      <c r="AZ5" s="1">
        <f>IF(INDEX(Last10Home_Stats_All!$A:$A,ROW()-ROW($Q$2)+2)="","",
IFERROR(
INDEX(Last10Home_Stats_All!$A:$ZZ,ROW()-ROW($Q$2)+2,COLUMN()-COLUMN($Q$2)+1),
""))</f>
        <v>40</v>
      </c>
      <c r="BA5" s="1">
        <f>IF(INDEX(Last10Home_Stats_All!$A:$A,ROW()-ROW($Q$2)+2)="","",
IFERROR(
INDEX(Last10Home_Stats_All!$A:$ZZ,ROW()-ROW($Q$2)+2,COLUMN()-COLUMN($Q$2)+1),
""))</f>
        <v>2</v>
      </c>
      <c r="BB5" s="1">
        <f>IF(INDEX(Last10Home_Stats_All!$A:$A,ROW()-ROW($Q$2)+2)="","",
IFERROR(
INDEX(Last10Home_Stats_All!$A:$ZZ,ROW()-ROW($Q$2)+2,COLUMN()-COLUMN($Q$2)+1),
""))</f>
        <v>2</v>
      </c>
      <c r="BC5" s="1">
        <f>IF(INDEX(Last10Home_Stats_All!$A:$A,ROW()-ROW($Q$2)+2)="","",
IFERROR(
INDEX(Last10Home_Stats_All!$A:$ZZ,ROW()-ROW($Q$2)+2,COLUMN()-COLUMN($Q$2)+1),
""))</f>
        <v>0</v>
      </c>
      <c r="BD5" s="1">
        <f>IF(INDEX(Last10Home_Stats_All!$A:$A,ROW()-ROW($Q$2)+2)="","",
IFERROR(
INDEX(Last10Home_Stats_All!$A:$ZZ,ROW()-ROW($Q$2)+2,COLUMN()-COLUMN($Q$2)+1),
""))</f>
        <v>0</v>
      </c>
      <c r="BE5" s="1">
        <f>IF(INDEX(Last10Home_Stats_All!$A:$A,ROW()-ROW($Q$2)+2)="","",
IFERROR(
INDEX(Last10Home_Stats_All!$A:$ZZ,ROW()-ROW($Q$2)+2,COLUMN()-COLUMN($Q$2)+1),
""))</f>
        <v>1</v>
      </c>
      <c r="BF5" s="1">
        <f>IF(INDEX(Last10Home_Stats_All!$A:$A,ROW()-ROW($Q$2)+2)="","",
IFERROR(
INDEX(Last10Home_Stats_All!$A:$ZZ,ROW()-ROW($Q$2)+2,COLUMN()-COLUMN($Q$2)+1),
""))</f>
        <v>9</v>
      </c>
      <c r="BG5" s="1">
        <f>IF(INDEX(Last10Home_Stats_All!$A:$A,ROW()-ROW($Q$2)+2)="","",
IFERROR(
INDEX(Last10Home_Stats_All!$A:$ZZ,ROW()-ROW($Q$2)+2,COLUMN()-COLUMN($Q$2)+1),
""))</f>
        <v>435</v>
      </c>
      <c r="BH5" s="1">
        <f>IF(INDEX(Last10Home_Stats_All!$A:$A,ROW()-ROW($Q$2)+2)="","",
IFERROR(
INDEX(Last10Home_Stats_All!$A:$ZZ,ROW()-ROW($Q$2)+2,COLUMN()-COLUMN($Q$2)+1),
""))</f>
        <v>321</v>
      </c>
      <c r="BI5" s="1">
        <f>IF(INDEX(Last10Home_Stats_All!$A:$A,ROW()-ROW($Q$2)+2)="","",
IFERROR(
INDEX(Last10Home_Stats_All!$A:$ZZ,ROW()-ROW($Q$2)+2,COLUMN()-COLUMN($Q$2)+1),
""))</f>
        <v>341</v>
      </c>
      <c r="BJ5" s="1">
        <f>IF(INDEX(Last10Home_Stats_All!$A:$A,ROW()-ROW($Q$2)+2)="","",
IFERROR(
INDEX(Last10Home_Stats_All!$A:$ZZ,ROW()-ROW($Q$2)+2,COLUMN()-COLUMN($Q$2)+1),
""))</f>
        <v>231</v>
      </c>
      <c r="BK5" s="1">
        <f>IF(INDEX(Last10Home_Stats_All!$A:$A,ROW()-ROW($Q$2)+2)="","",
IFERROR(
INDEX(Last10Home_Stats_All!$A:$ZZ,ROW()-ROW($Q$2)+2,COLUMN()-COLUMN($Q$2)+1),
""))</f>
        <v>78</v>
      </c>
      <c r="BL5" s="1">
        <f>IF(INDEX(Last10Home_Stats_All!$A:$A,ROW()-ROW($Q$2)+2)="","",
IFERROR(
INDEX(Last10Home_Stats_All!$A:$ZZ,ROW()-ROW($Q$2)+2,COLUMN()-COLUMN($Q$2)+1),
""))</f>
        <v>72</v>
      </c>
      <c r="BM5" s="1">
        <f>IF(INDEX(Last10Home_Stats_All!$A:$A,ROW()-ROW($Q$2)+2)="","",
IFERROR(
INDEX(Last10Home_Stats_All!$A:$ZZ,ROW()-ROW($Q$2)+2,COLUMN()-COLUMN($Q$2)+1),
""))</f>
        <v>0</v>
      </c>
      <c r="BN5" s="1">
        <f>IF(INDEX(Last10Home_Stats_All!$A:$A,ROW()-ROW($Q$2)+2)="","",
IFERROR(
INDEX(Last10Home_Stats_All!$A:$ZZ,ROW()-ROW($Q$2)+2,COLUMN()-COLUMN($Q$2)+1),
""))</f>
        <v>0</v>
      </c>
      <c r="BO5" s="1">
        <f>IF(INDEX(Last10Home_Stats_All!$A:$A,ROW()-ROW($Q$2)+2)="","",
IFERROR(
INDEX(Last10Home_Stats_All!$A:$ZZ,ROW()-ROW($Q$2)+2,COLUMN()-COLUMN($Q$2)+1),
""))</f>
        <v>0</v>
      </c>
      <c r="BP5" s="1">
        <f>IF(INDEX(Last10Home_Stats_All!$A:$A,ROW()-ROW($Q$2)+2)="","",
IFERROR(
INDEX(Last10Home_Stats_All!$A:$ZZ,ROW()-ROW($Q$2)+2,COLUMN()-COLUMN($Q$2)+1),
""))</f>
        <v>0</v>
      </c>
      <c r="BR5" s="1" t="str">
        <f>IF(OR(Control!AC5="",Control!AD5=""),"",Control!AC5&amp;" : "&amp;Control!AD5)</f>
        <v>0 : 0</v>
      </c>
      <c r="BS5" s="1" t="str">
        <f>IF(OR(Control!AE5="",Control!AF5=""),"",Control!AE5&amp;" : "&amp;Control!AF5)</f>
        <v>1 : 2</v>
      </c>
      <c r="BT5" s="1" t="str">
        <f>IF(OR(Control!AU5="",Control!AV5=""),"",Control!AU5&amp;" : "&amp;Control!AV5)</f>
        <v>19 : 0</v>
      </c>
      <c r="BV5" s="1" t="str">
        <f>IFERROR(INDEX(tblStandings[#All],ROW(A5),COLUMN(A5)),"")</f>
        <v/>
      </c>
      <c r="BW5" s="1" t="str">
        <f>IFERROR(INDEX(tblStandings[#All],ROW(B5),COLUMN(B5)),"")</f>
        <v/>
      </c>
      <c r="BX5" s="1" t="str">
        <f>IFERROR(INDEX(tblStandings[#All],ROW(C5),COLUMN(C5)),"")</f>
        <v/>
      </c>
      <c r="BY5" s="1" t="str">
        <f>IFERROR(INDEX(tblStandings[#All],ROW(D5),COLUMN(D5)),"")</f>
        <v/>
      </c>
      <c r="BZ5" s="1" t="str">
        <f>IFERROR(INDEX(tblStandings[#All],ROW(E5),COLUMN(E5)),"")</f>
        <v/>
      </c>
      <c r="CA5" s="1" t="str">
        <f>IFERROR(INDEX(tblStandings[#All],ROW(F5),COLUMN(F5)),"")</f>
        <v/>
      </c>
      <c r="CB5" s="1" t="str">
        <f>IFERROR(INDEX(tblStandings[#All],ROW(G5),COLUMN(G5)),"")</f>
        <v/>
      </c>
      <c r="CC5" s="1" t="str">
        <f>IFERROR(INDEX(tblStandings[#All],ROW(H5),COLUMN(H5)),"")</f>
        <v/>
      </c>
      <c r="CD5" s="1" t="str">
        <f>IFERROR(INDEX(tblStandings[#All],ROW(I5),COLUMN(I5)),"")</f>
        <v/>
      </c>
      <c r="CE5" s="1" t="str">
        <f>IFERROR(INDEX(tblStandings[#All],ROW(J5),COLUMN(J5)),"")</f>
        <v/>
      </c>
      <c r="CF5" s="1" t="str">
        <f>IFERROR(INDEX(tblStandings[#All],ROW(K5),COLUMN(K5)),"")</f>
        <v/>
      </c>
      <c r="CG5" s="1" t="str">
        <f t="shared" si="0"/>
        <v/>
      </c>
      <c r="CH5" s="1" t="str">
        <f t="shared" si="1"/>
        <v/>
      </c>
      <c r="CI5" s="1" t="str">
        <f t="shared" si="2"/>
        <v/>
      </c>
      <c r="CJ5" s="1" t="str">
        <f t="shared" si="3"/>
        <v/>
      </c>
      <c r="CK5" s="1" t="str">
        <f t="shared" si="4"/>
        <v/>
      </c>
      <c r="CM5" s="3" t="str">
        <f>IFERROR(
(
0.45 *
IF(
SUMPRODUCT(--ISNUMBER($AC$2:$AC$11),--ISNUMBER($AD$2:$AD$11))=0,
0,
SUMPRODUCT(--ISNUMBER($AC$2:$AC$11),--ISNUMBER($AD$2:$AD$11),--(($AC$2:$AC$11+$AD$2:$AD$11)&gt;=2))
/
SUMPRODUCT(--ISNUMBER($AC$2:$AC$11),--ISNUMBER($AD$2:$AD$11))
)
+
0.45 *
IF(
SUMPRODUCT(--ISNUMBER($AC$16:$AC$25),--ISNUMBER($AD$16:$AD$25))=0,
0,
SUMPRODUCT(--ISNUMBER($AC$16:$AC$25),--ISNUMBER($AD$16:$AD$25),--(($AC$16:$AC$25+$AD$16:$AD$25)&gt;=2))
/
SUMPRODUCT(--ISNUMBER($AC$16:$AC$25),--ISNUMBER($AD$16:$AD$25))
)
+
0.1 *
IF(
SUMPRODUCT(--ISNUMBER($AC$31:$AC$35),--ISNUMBER($AD$31:$AD$35))=0,
0,
SUMPRODUCT(--ISNUMBER($AC$31:$AC$35),--ISNUMBER($AD$31:$AD$35),--(($AC$31:$AC$35+$AD$31:$AD$35)&gt;=2))
/
SUMPRODUCT(--ISNUMBER($AC$31:$AC$35),--ISNUMBER($AD$31:$AD$35))
)
),"")</f>
        <v/>
      </c>
      <c r="CN5" s="3" t="str">
        <f>IFERROR(
(
0.45 *
IF(
SUMPRODUCT(--ISNUMBER($AE$2:$AE$11),--ISNUMBER($AF$2:$AF$11))=0,
0,
SUMPRODUCT(--ISNUMBER($AE$2:$AE$11),--ISNUMBER($AF$2:$AF$11),--(($AE$2:$AE$11+$AF$2:$AF$11)&gt;=3))
/
SUMPRODUCT(--ISNUMBER($AE$2:$AE$11),--ISNUMBER($AF$2:$AF$11))
)
+
0.45 *
IF(
SUMPRODUCT(--ISNUMBER($AE$16:$AE$25),--ISNUMBER($AF$16:$AF$25))=0,
0,
SUMPRODUCT(--ISNUMBER($AE$16:$AE$25),--ISNUMBER($AF$16:$AF$25),--(($AE$16:$AE$25+$AF$16:$AF$25)&gt;=3))
/
SUMPRODUCT(--ISNUMBER($AE$16:$AE$25),--ISNUMBER($AF$16:$AF$25))
)
+
0.1 *
IF(
SUMPRODUCT(--ISNUMBER($AE$31:$AE$35),--ISNUMBER($AF$31:$AF$35))=0,
0,
SUMPRODUCT(--ISNUMBER($AE$31:$AE$35),--ISNUMBER($AF$31:$AF$35),--(($AE$31:$AE$35+$AF$31:$AF$35)&gt;=3))
/
SUMPRODUCT(--ISNUMBER($AE$31:$AE$35),--ISNUMBER($AF$31:$AF$35))
)
),"")</f>
        <v/>
      </c>
      <c r="CP5" s="3">
        <f>IFERROR(
IF(
COUNT($AD$16:$AD$25)=0,
"",
AVERAGE($AD$16:$AD$25)
),"")</f>
        <v>1.1000000000000001</v>
      </c>
      <c r="CR5" s="3" t="str">
        <f>IFERROR(
(
0.45 *
IF(
SUMPRODUCT(--ISNUMBER($AU$2:$AU$11),--ISNUMBER($AV$2:$AV$11))=0,
0,
SUMPRODUCT(--ISNUMBER($AU$2:$AU$11),--ISNUMBER($AV$2:$AV$11),--(($AU$2:$AU$11+$AV$2:$AV$11)&gt;=9))
/
SUMPRODUCT(--ISNUMBER($AU$2:$AU$11),--ISNUMBER($AV$2:$AV$11))
)
+
0.45 *
IF(
SUMPRODUCT(--ISNUMBER($AU$16:$AU$25),--ISNUMBER($AV$16:$AV$25))=0,
0,
SUMPRODUCT(--ISNUMBER($AU$16:$AU$25),--ISNUMBER($AV$16:$AV$25),--(($AU$16:$AU$25+$AV$16:$AV$25)&gt;=9))
/
SUMPRODUCT(--ISNUMBER($AU$16:$AU$25),--ISNUMBER($AV$16:$AV$25))
)
+
0.1 *
IF(
SUMPRODUCT(--ISNUMBER($AU$31:$AU$35),--ISNUMBER($AV$31:$AV$35))=0,
0,
SUMPRODUCT(--ISNUMBER($AU$31:$AU$35),--ISNUMBER($AV$31:$AV$35),--(($AU$31:$AU$35+$AV$31:$AV$35)&gt;=9))
/
SUMPRODUCT(--ISNUMBER($AU$31:$AU$35),--ISNUMBER($AV$31:$AV$35))
)
),"")</f>
        <v/>
      </c>
      <c r="CT5" s="3">
        <f>IFERROR(ROUND(
(
IF(COUNT($BB$2:$BB$11)=0,0,AVERAGE($BB$2:$BB$11)) +
IF(COUNT($BA$16:$BA$25)=0,0,AVERAGE($BA$16:$BA$25)) +
IF(COUNT($BB$31:$BB$35)=0,0,AVERAGE($BB$31:$BB$35))
)
/
(
--(COUNT($BB$2:$BB$11)&gt;0) + --(COUNT($BA$16:$BA$25)&gt;0) + --(COUNT($BB$31:$BB$35)&gt;0)
),2),"")</f>
        <v>2</v>
      </c>
      <c r="CV5" s="1">
        <v>2</v>
      </c>
      <c r="CX5" s="1" t="s">
        <v>188</v>
      </c>
      <c r="CZ5" s="1">
        <v>2</v>
      </c>
      <c r="DB5" s="1">
        <v>2</v>
      </c>
      <c r="DD5" s="1" t="s">
        <v>260</v>
      </c>
    </row>
    <row r="6" spans="1:108" x14ac:dyDescent="0.25">
      <c r="A6" s="1" t="s">
        <v>5</v>
      </c>
      <c r="B6" s="2">
        <f ca="1">TODAY()+2</f>
        <v>46100</v>
      </c>
      <c r="C6" s="1" t="str">
        <f t="shared" ca="1" si="5"/>
        <v>19/03/2026 Thursday</v>
      </c>
      <c r="H6" s="1">
        <v>1514408</v>
      </c>
      <c r="I6" s="4">
        <v>46268</v>
      </c>
      <c r="J6" s="1" t="s">
        <v>17</v>
      </c>
      <c r="K6" s="1" t="s">
        <v>284</v>
      </c>
      <c r="L6" s="1" t="s">
        <v>50</v>
      </c>
      <c r="M6" s="1" t="s">
        <v>3966</v>
      </c>
      <c r="N6" s="1" t="s">
        <v>3967</v>
      </c>
      <c r="O6" s="1" t="s">
        <v>3968</v>
      </c>
      <c r="Q6" s="1">
        <f>IF(INDEX(Last10Home_Stats_All!$A:$A,ROW()-ROW($Q$2)+2)="","",
IFERROR(
INDEX(Last10Home_Stats_All!$A:$ZZ,ROW()-ROW($Q$2)+2,COLUMN()-COLUMN($Q$2)+1),
""))</f>
        <v>1387467</v>
      </c>
      <c r="R6" s="1" t="str">
        <f>IF(INDEX(Last10Home_Stats_All!$A:$A,ROW()-ROW($Q$2)+2)="","",
IFERROR(
INDEX(Last10Home_Stats_All!$A:$ZZ,ROW()-ROW($Q$2)+2,COLUMN()-COLUMN($Q$2)+1),
""))</f>
        <v>07/02/2026 15:01</v>
      </c>
      <c r="S6" s="1" t="str">
        <f>IF(INDEX(Last10Home_Stats_All!$A:$A,ROW()-ROW($Q$2)+2)="","",
IFERROR(
INDEX(Last10Home_Stats_All!$A:$ZZ,ROW()-ROW($Q$2)+2,COLUMN()-COLUMN($Q$2)+1),
""))</f>
        <v>England</v>
      </c>
      <c r="T6" s="1" t="str">
        <f>IF(INDEX(Last10Home_Stats_All!$A:$A,ROW()-ROW($Q$2)+2)="","",
IFERROR(
INDEX(Last10Home_Stats_All!$A:$ZZ,ROW()-ROW($Q$2)+2,COLUMN()-COLUMN($Q$2)+1),
""))</f>
        <v>League One</v>
      </c>
      <c r="U6" s="1" t="str">
        <f>IF(INDEX(Last10Home_Stats_All!$A:$A,ROW()-ROW($Q$2)+2)="","",
IFERROR(
INDEX(Last10Home_Stats_All!$A:$ZZ,ROW()-ROW($Q$2)+2,COLUMN()-COLUMN($Q$2)+1),
""))</f>
        <v>https://media.api-sports.io/football/teams/1374.png</v>
      </c>
      <c r="V6" s="1" t="str">
        <f>IF(INDEX(Last10Home_Stats_All!$A:$A,ROW()-ROW($Q$2)+2)="","",
IFERROR(
INDEX(Last10Home_Stats_All!$A:$ZZ,ROW()-ROW($Q$2)+2,COLUMN()-COLUMN($Q$2)+1),
""))</f>
        <v>Mansfield Town</v>
      </c>
      <c r="W6" s="1" t="str">
        <f>IF(INDEX(Last10Home_Stats_All!$A:$A,ROW()-ROW($Q$2)+2)="","",
IFERROR(
INDEX(Last10Home_Stats_All!$A:$ZZ,ROW()-ROW($Q$2)+2,COLUMN()-COLUMN($Q$2)+1),
""))</f>
        <v>https://media.api-sports.io/football/teams/1364.png</v>
      </c>
      <c r="X6" s="1" t="str">
        <f>IF(INDEX(Last10Home_Stats_All!$A:$A,ROW()-ROW($Q$2)+2)="","",
IFERROR(
INDEX(Last10Home_Stats_All!$A:$ZZ,ROW()-ROW($Q$2)+2,COLUMN()-COLUMN($Q$2)+1),
""))</f>
        <v>Exeter City</v>
      </c>
      <c r="Y6" s="1" t="str">
        <f>IF(INDEX(Last10Home_Stats_All!$A:$A,ROW()-ROW($Q$2)+2)="","",
IFERROR(
INDEX(Last10Home_Stats_All!$A:$ZZ,ROW()-ROW($Q$2)+2,COLUMN()-COLUMN($Q$2)+1),
""))</f>
        <v>https://media.api-sports.io/football/leagues/41.png</v>
      </c>
      <c r="Z6" s="1" t="str">
        <f>IF(INDEX(Last10Home_Stats_All!$A:$A,ROW()-ROW($Q$2)+2)="","",
IFERROR(
INDEX(Last10Home_Stats_All!$A:$ZZ,ROW()-ROW($Q$2)+2,COLUMN()-COLUMN($Q$2)+1),
""))</f>
        <v>https://media.api-sports.io/flags/gb-eng.svg</v>
      </c>
      <c r="AA6" s="1">
        <f>IF(INDEX(Last10Home_Stats_All!$A:$A,ROW()-ROW($Q$2)+2)="","",
IFERROR(
INDEX(Last10Home_Stats_All!$A:$ZZ,ROW()-ROW($Q$2)+2,COLUMN()-COLUMN($Q$2)+1),
""))</f>
        <v>0</v>
      </c>
      <c r="AB6" s="1">
        <f>IF(INDEX(Last10Home_Stats_All!$A:$A,ROW()-ROW($Q$2)+2)="","",
IFERROR(
INDEX(Last10Home_Stats_All!$A:$ZZ,ROW()-ROW($Q$2)+2,COLUMN()-COLUMN($Q$2)+1),
""))</f>
        <v>0</v>
      </c>
      <c r="AC6" s="1">
        <f>IF(INDEX(Last10Home_Stats_All!$A:$A,ROW()-ROW($Q$2)+2)="","",
IFERROR(
INDEX(Last10Home_Stats_All!$A:$ZZ,ROW()-ROW($Q$2)+2,COLUMN()-COLUMN($Q$2)+1),
""))</f>
        <v>0</v>
      </c>
      <c r="AD6" s="1">
        <f>IF(INDEX(Last10Home_Stats_All!$A:$A,ROW()-ROW($Q$2)+2)="","",
IFERROR(
INDEX(Last10Home_Stats_All!$A:$ZZ,ROW()-ROW($Q$2)+2,COLUMN()-COLUMN($Q$2)+1),
""))</f>
        <v>0</v>
      </c>
      <c r="AE6" s="1">
        <f>IF(INDEX(Last10Home_Stats_All!$A:$A,ROW()-ROW($Q$2)+2)="","",
IFERROR(
INDEX(Last10Home_Stats_All!$A:$ZZ,ROW()-ROW($Q$2)+2,COLUMN()-COLUMN($Q$2)+1),
""))</f>
        <v>0</v>
      </c>
      <c r="AF6" s="1">
        <f>IF(INDEX(Last10Home_Stats_All!$A:$A,ROW()-ROW($Q$2)+2)="","",
IFERROR(
INDEX(Last10Home_Stats_All!$A:$ZZ,ROW()-ROW($Q$2)+2,COLUMN()-COLUMN($Q$2)+1),
""))</f>
        <v>0</v>
      </c>
      <c r="AG6" s="1">
        <f>IF(INDEX(Last10Home_Stats_All!$A:$A,ROW()-ROW($Q$2)+2)="","",
IFERROR(
INDEX(Last10Home_Stats_All!$A:$ZZ,ROW()-ROW($Q$2)+2,COLUMN()-COLUMN($Q$2)+1),
""))</f>
        <v>5</v>
      </c>
      <c r="AH6" s="1">
        <f>IF(INDEX(Last10Home_Stats_All!$A:$A,ROW()-ROW($Q$2)+2)="","",
IFERROR(
INDEX(Last10Home_Stats_All!$A:$ZZ,ROW()-ROW($Q$2)+2,COLUMN()-COLUMN($Q$2)+1),
""))</f>
        <v>2</v>
      </c>
      <c r="AI6" s="1">
        <f>IF(INDEX(Last10Home_Stats_All!$A:$A,ROW()-ROW($Q$2)+2)="","",
IFERROR(
INDEX(Last10Home_Stats_All!$A:$ZZ,ROW()-ROW($Q$2)+2,COLUMN()-COLUMN($Q$2)+1),
""))</f>
        <v>5</v>
      </c>
      <c r="AJ6" s="1">
        <f>IF(INDEX(Last10Home_Stats_All!$A:$A,ROW()-ROW($Q$2)+2)="","",
IFERROR(
INDEX(Last10Home_Stats_All!$A:$ZZ,ROW()-ROW($Q$2)+2,COLUMN()-COLUMN($Q$2)+1),
""))</f>
        <v>3</v>
      </c>
      <c r="AK6" s="1">
        <f>IF(INDEX(Last10Home_Stats_All!$A:$A,ROW()-ROW($Q$2)+2)="","",
IFERROR(
INDEX(Last10Home_Stats_All!$A:$ZZ,ROW()-ROW($Q$2)+2,COLUMN()-COLUMN($Q$2)+1),
""))</f>
        <v>13</v>
      </c>
      <c r="AL6" s="1">
        <f>IF(INDEX(Last10Home_Stats_All!$A:$A,ROW()-ROW($Q$2)+2)="","",
IFERROR(
INDEX(Last10Home_Stats_All!$A:$ZZ,ROW()-ROW($Q$2)+2,COLUMN()-COLUMN($Q$2)+1),
""))</f>
        <v>8</v>
      </c>
      <c r="AM6" s="1">
        <f>IF(INDEX(Last10Home_Stats_All!$A:$A,ROW()-ROW($Q$2)+2)="","",
IFERROR(
INDEX(Last10Home_Stats_All!$A:$ZZ,ROW()-ROW($Q$2)+2,COLUMN()-COLUMN($Q$2)+1),
""))</f>
        <v>3</v>
      </c>
      <c r="AN6" s="1">
        <f>IF(INDEX(Last10Home_Stats_All!$A:$A,ROW()-ROW($Q$2)+2)="","",
IFERROR(
INDEX(Last10Home_Stats_All!$A:$ZZ,ROW()-ROW($Q$2)+2,COLUMN()-COLUMN($Q$2)+1),
""))</f>
        <v>3</v>
      </c>
      <c r="AO6" s="1">
        <f>IF(INDEX(Last10Home_Stats_All!$A:$A,ROW()-ROW($Q$2)+2)="","",
IFERROR(
INDEX(Last10Home_Stats_All!$A:$ZZ,ROW()-ROW($Q$2)+2,COLUMN()-COLUMN($Q$2)+1),
""))</f>
        <v>7</v>
      </c>
      <c r="AP6" s="1">
        <f>IF(INDEX(Last10Home_Stats_All!$A:$A,ROW()-ROW($Q$2)+2)="","",
IFERROR(
INDEX(Last10Home_Stats_All!$A:$ZZ,ROW()-ROW($Q$2)+2,COLUMN()-COLUMN($Q$2)+1),
""))</f>
        <v>5</v>
      </c>
      <c r="AQ6" s="1">
        <f>IF(INDEX(Last10Home_Stats_All!$A:$A,ROW()-ROW($Q$2)+2)="","",
IFERROR(
INDEX(Last10Home_Stats_All!$A:$ZZ,ROW()-ROW($Q$2)+2,COLUMN()-COLUMN($Q$2)+1),
""))</f>
        <v>6</v>
      </c>
      <c r="AR6" s="1">
        <f>IF(INDEX(Last10Home_Stats_All!$A:$A,ROW()-ROW($Q$2)+2)="","",
IFERROR(
INDEX(Last10Home_Stats_All!$A:$ZZ,ROW()-ROW($Q$2)+2,COLUMN()-COLUMN($Q$2)+1),
""))</f>
        <v>3</v>
      </c>
      <c r="AS6" s="1">
        <f>IF(INDEX(Last10Home_Stats_All!$A:$A,ROW()-ROW($Q$2)+2)="","",
IFERROR(
INDEX(Last10Home_Stats_All!$A:$ZZ,ROW()-ROW($Q$2)+2,COLUMN()-COLUMN($Q$2)+1),
""))</f>
        <v>9</v>
      </c>
      <c r="AT6" s="1">
        <f>IF(INDEX(Last10Home_Stats_All!$A:$A,ROW()-ROW($Q$2)+2)="","",
IFERROR(
INDEX(Last10Home_Stats_All!$A:$ZZ,ROW()-ROW($Q$2)+2,COLUMN()-COLUMN($Q$2)+1),
""))</f>
        <v>9</v>
      </c>
      <c r="AU6" s="1">
        <f>IF(INDEX(Last10Home_Stats_All!$A:$A,ROW()-ROW($Q$2)+2)="","",
IFERROR(
INDEX(Last10Home_Stats_All!$A:$ZZ,ROW()-ROW($Q$2)+2,COLUMN()-COLUMN($Q$2)+1),
""))</f>
        <v>4</v>
      </c>
      <c r="AV6" s="1">
        <f>IF(INDEX(Last10Home_Stats_All!$A:$A,ROW()-ROW($Q$2)+2)="","",
IFERROR(
INDEX(Last10Home_Stats_All!$A:$ZZ,ROW()-ROW($Q$2)+2,COLUMN()-COLUMN($Q$2)+1),
""))</f>
        <v>4</v>
      </c>
      <c r="AW6" s="1">
        <f>IF(INDEX(Last10Home_Stats_All!$A:$A,ROW()-ROW($Q$2)+2)="","",
IFERROR(
INDEX(Last10Home_Stats_All!$A:$ZZ,ROW()-ROW($Q$2)+2,COLUMN()-COLUMN($Q$2)+1),
""))</f>
        <v>1</v>
      </c>
      <c r="AX6" s="1">
        <f>IF(INDEX(Last10Home_Stats_All!$A:$A,ROW()-ROW($Q$2)+2)="","",
IFERROR(
INDEX(Last10Home_Stats_All!$A:$ZZ,ROW()-ROW($Q$2)+2,COLUMN()-COLUMN($Q$2)+1),
""))</f>
        <v>2</v>
      </c>
      <c r="AY6" s="1">
        <f>IF(INDEX(Last10Home_Stats_All!$A:$A,ROW()-ROW($Q$2)+2)="","",
IFERROR(
INDEX(Last10Home_Stats_All!$A:$ZZ,ROW()-ROW($Q$2)+2,COLUMN()-COLUMN($Q$2)+1),
""))</f>
        <v>48</v>
      </c>
      <c r="AZ6" s="1">
        <f>IF(INDEX(Last10Home_Stats_All!$A:$A,ROW()-ROW($Q$2)+2)="","",
IFERROR(
INDEX(Last10Home_Stats_All!$A:$ZZ,ROW()-ROW($Q$2)+2,COLUMN()-COLUMN($Q$2)+1),
""))</f>
        <v>52</v>
      </c>
      <c r="BA6" s="1">
        <f>IF(INDEX(Last10Home_Stats_All!$A:$A,ROW()-ROW($Q$2)+2)="","",
IFERROR(
INDEX(Last10Home_Stats_All!$A:$ZZ,ROW()-ROW($Q$2)+2,COLUMN()-COLUMN($Q$2)+1),
""))</f>
        <v>1</v>
      </c>
      <c r="BB6" s="1">
        <f>IF(INDEX(Last10Home_Stats_All!$A:$A,ROW()-ROW($Q$2)+2)="","",
IFERROR(
INDEX(Last10Home_Stats_All!$A:$ZZ,ROW()-ROW($Q$2)+2,COLUMN()-COLUMN($Q$2)+1),
""))</f>
        <v>4</v>
      </c>
      <c r="BC6" s="1">
        <f>IF(INDEX(Last10Home_Stats_All!$A:$A,ROW()-ROW($Q$2)+2)="","",
IFERROR(
INDEX(Last10Home_Stats_All!$A:$ZZ,ROW()-ROW($Q$2)+2,COLUMN()-COLUMN($Q$2)+1),
""))</f>
        <v>0</v>
      </c>
      <c r="BD6" s="1">
        <f>IF(INDEX(Last10Home_Stats_All!$A:$A,ROW()-ROW($Q$2)+2)="","",
IFERROR(
INDEX(Last10Home_Stats_All!$A:$ZZ,ROW()-ROW($Q$2)+2,COLUMN()-COLUMN($Q$2)+1),
""))</f>
        <v>0</v>
      </c>
      <c r="BE6" s="1">
        <f>IF(INDEX(Last10Home_Stats_All!$A:$A,ROW()-ROW($Q$2)+2)="","",
IFERROR(
INDEX(Last10Home_Stats_All!$A:$ZZ,ROW()-ROW($Q$2)+2,COLUMN()-COLUMN($Q$2)+1),
""))</f>
        <v>2</v>
      </c>
      <c r="BF6" s="1">
        <f>IF(INDEX(Last10Home_Stats_All!$A:$A,ROW()-ROW($Q$2)+2)="","",
IFERROR(
INDEX(Last10Home_Stats_All!$A:$ZZ,ROW()-ROW($Q$2)+2,COLUMN()-COLUMN($Q$2)+1),
""))</f>
        <v>5</v>
      </c>
      <c r="BG6" s="1">
        <f>IF(INDEX(Last10Home_Stats_All!$A:$A,ROW()-ROW($Q$2)+2)="","",
IFERROR(
INDEX(Last10Home_Stats_All!$A:$ZZ,ROW()-ROW($Q$2)+2,COLUMN()-COLUMN($Q$2)+1),
""))</f>
        <v>448</v>
      </c>
      <c r="BH6" s="1">
        <f>IF(INDEX(Last10Home_Stats_All!$A:$A,ROW()-ROW($Q$2)+2)="","",
IFERROR(
INDEX(Last10Home_Stats_All!$A:$ZZ,ROW()-ROW($Q$2)+2,COLUMN()-COLUMN($Q$2)+1),
""))</f>
        <v>499</v>
      </c>
      <c r="BI6" s="1">
        <f>IF(INDEX(Last10Home_Stats_All!$A:$A,ROW()-ROW($Q$2)+2)="","",
IFERROR(
INDEX(Last10Home_Stats_All!$A:$ZZ,ROW()-ROW($Q$2)+2,COLUMN()-COLUMN($Q$2)+1),
""))</f>
        <v>344</v>
      </c>
      <c r="BJ6" s="1">
        <f>IF(INDEX(Last10Home_Stats_All!$A:$A,ROW()-ROW($Q$2)+2)="","",
IFERROR(
INDEX(Last10Home_Stats_All!$A:$ZZ,ROW()-ROW($Q$2)+2,COLUMN()-COLUMN($Q$2)+1),
""))</f>
        <v>405</v>
      </c>
      <c r="BK6" s="1">
        <f>IF(INDEX(Last10Home_Stats_All!$A:$A,ROW()-ROW($Q$2)+2)="","",
IFERROR(
INDEX(Last10Home_Stats_All!$A:$ZZ,ROW()-ROW($Q$2)+2,COLUMN()-COLUMN($Q$2)+1),
""))</f>
        <v>77</v>
      </c>
      <c r="BL6" s="1">
        <f>IF(INDEX(Last10Home_Stats_All!$A:$A,ROW()-ROW($Q$2)+2)="","",
IFERROR(
INDEX(Last10Home_Stats_All!$A:$ZZ,ROW()-ROW($Q$2)+2,COLUMN()-COLUMN($Q$2)+1),
""))</f>
        <v>81</v>
      </c>
      <c r="BM6" s="1">
        <f>IF(INDEX(Last10Home_Stats_All!$A:$A,ROW()-ROW($Q$2)+2)="","",
IFERROR(
INDEX(Last10Home_Stats_All!$A:$ZZ,ROW()-ROW($Q$2)+2,COLUMN()-COLUMN($Q$2)+1),
""))</f>
        <v>1.57</v>
      </c>
      <c r="BN6" s="1">
        <f>IF(INDEX(Last10Home_Stats_All!$A:$A,ROW()-ROW($Q$2)+2)="","",
IFERROR(
INDEX(Last10Home_Stats_All!$A:$ZZ,ROW()-ROW($Q$2)+2,COLUMN()-COLUMN($Q$2)+1),
""))</f>
        <v>0.28000000000000003</v>
      </c>
      <c r="BO6" s="1">
        <f>IF(INDEX(Last10Home_Stats_All!$A:$A,ROW()-ROW($Q$2)+2)="","",
IFERROR(
INDEX(Last10Home_Stats_All!$A:$ZZ,ROW()-ROW($Q$2)+2,COLUMN()-COLUMN($Q$2)+1),
""))</f>
        <v>0</v>
      </c>
      <c r="BP6" s="1">
        <f>IF(INDEX(Last10Home_Stats_All!$A:$A,ROW()-ROW($Q$2)+2)="","",
IFERROR(
INDEX(Last10Home_Stats_All!$A:$ZZ,ROW()-ROW($Q$2)+2,COLUMN()-COLUMN($Q$2)+1),
""))</f>
        <v>0</v>
      </c>
      <c r="BR6" s="1" t="str">
        <f>IF(OR(Control!AC6="",Control!AD6=""),"",Control!AC6&amp;" : "&amp;Control!AD6)</f>
        <v>0 : 0</v>
      </c>
      <c r="BS6" s="1" t="str">
        <f>IF(OR(Control!AE6="",Control!AF6=""),"",Control!AE6&amp;" : "&amp;Control!AF6)</f>
        <v>0 : 0</v>
      </c>
      <c r="BT6" s="1" t="str">
        <f>IF(OR(Control!AU6="",Control!AV6=""),"",Control!AU6&amp;" : "&amp;Control!AV6)</f>
        <v>4 : 4</v>
      </c>
      <c r="BV6" s="1" t="str">
        <f>IFERROR(INDEX(tblStandings[#All],ROW(A6),COLUMN(A6)),"")</f>
        <v/>
      </c>
      <c r="BW6" s="1" t="str">
        <f>IFERROR(INDEX(tblStandings[#All],ROW(B6),COLUMN(B6)),"")</f>
        <v/>
      </c>
      <c r="BX6" s="1" t="str">
        <f>IFERROR(INDEX(tblStandings[#All],ROW(C6),COLUMN(C6)),"")</f>
        <v/>
      </c>
      <c r="BY6" s="1" t="str">
        <f>IFERROR(INDEX(tblStandings[#All],ROW(D6),COLUMN(D6)),"")</f>
        <v/>
      </c>
      <c r="BZ6" s="1" t="str">
        <f>IFERROR(INDEX(tblStandings[#All],ROW(E6),COLUMN(E6)),"")</f>
        <v/>
      </c>
      <c r="CA6" s="1" t="str">
        <f>IFERROR(INDEX(tblStandings[#All],ROW(F6),COLUMN(F6)),"")</f>
        <v/>
      </c>
      <c r="CB6" s="1" t="str">
        <f>IFERROR(INDEX(tblStandings[#All],ROW(G6),COLUMN(G6)),"")</f>
        <v/>
      </c>
      <c r="CC6" s="1" t="str">
        <f>IFERROR(INDEX(tblStandings[#All],ROW(H6),COLUMN(H6)),"")</f>
        <v/>
      </c>
      <c r="CD6" s="1" t="str">
        <f>IFERROR(INDEX(tblStandings[#All],ROW(I6),COLUMN(I6)),"")</f>
        <v/>
      </c>
      <c r="CE6" s="1" t="str">
        <f>IFERROR(INDEX(tblStandings[#All],ROW(J6),COLUMN(J6)),"")</f>
        <v/>
      </c>
      <c r="CF6" s="1" t="str">
        <f>IFERROR(INDEX(tblStandings[#All],ROW(K6),COLUMN(K6)),"")</f>
        <v/>
      </c>
      <c r="CG6" s="1" t="str">
        <f t="shared" si="0"/>
        <v/>
      </c>
      <c r="CH6" s="1" t="str">
        <f t="shared" si="1"/>
        <v/>
      </c>
      <c r="CI6" s="1" t="str">
        <f t="shared" si="2"/>
        <v/>
      </c>
      <c r="CJ6" s="1" t="str">
        <f t="shared" si="3"/>
        <v/>
      </c>
      <c r="CK6" s="1" t="str">
        <f t="shared" si="4"/>
        <v/>
      </c>
      <c r="CT6" s="1" t="s">
        <v>189</v>
      </c>
      <c r="CV6" s="3">
        <f>IFERROR(
CX6 / SUMPRODUCT(--ISNUMBER($AE$31:$AE$35),--ISNUMBER($AF$31:$AF$35)),"")</f>
        <v>1</v>
      </c>
      <c r="CX6" s="3">
        <f>IFERROR(SUMPRODUCT(--ISNUMBER($AE$31:$AE$35),--ISNUMBER($AF$31:$AF$35),--($AE$31:$AE$35&lt;$AF$31:$AF$35)),"")</f>
        <v>1</v>
      </c>
      <c r="CZ6" s="3">
        <f>IFERROR(SUMPRODUCT(--ISNUMBER($AE$2:$AE$11),--ISNUMBER($AF$2:$AF$11),--($AE$2:$AE$11&lt;$AF$2:$AF$11)),"")</f>
        <v>5</v>
      </c>
      <c r="DB6" s="3">
        <f>IFERROR(SUMPRODUCT(--ISNUMBER($AE$16:$AE$25),--ISNUMBER($AF$16:$AF$25),--($AF$16:$AF$25&lt;$AE$16:$AE$25)),"")</f>
        <v>0</v>
      </c>
      <c r="DD6" s="3">
        <f>IFERROR(
ROUND(
SUMPRODUCT(--ISNUMBER($AE$31:$AE$35),$AE$31:$AE$35) /
SUMPRODUCT(--ISNUMBER($AE$31:$AE$35)),2),
"")</f>
        <v>1</v>
      </c>
    </row>
    <row r="7" spans="1:108" x14ac:dyDescent="0.25">
      <c r="H7" s="1">
        <v>1530165</v>
      </c>
      <c r="I7" s="4">
        <v>46268</v>
      </c>
      <c r="J7" s="1" t="s">
        <v>17</v>
      </c>
      <c r="K7" s="1" t="s">
        <v>22</v>
      </c>
      <c r="L7" s="1" t="s">
        <v>822</v>
      </c>
      <c r="M7" s="1" t="s">
        <v>3969</v>
      </c>
      <c r="N7" s="1" t="s">
        <v>3970</v>
      </c>
      <c r="O7" s="1" t="s">
        <v>3971</v>
      </c>
      <c r="Q7" s="1">
        <f>IF(INDEX(Last10Home_Stats_All!$A:$A,ROW()-ROW($Q$2)+2)="","",
IFERROR(
INDEX(Last10Home_Stats_All!$A:$ZZ,ROW()-ROW($Q$2)+2,COLUMN()-COLUMN($Q$2)+1),
""))</f>
        <v>1387457</v>
      </c>
      <c r="R7" s="1" t="str">
        <f>IF(INDEX(Last10Home_Stats_All!$A:$A,ROW()-ROW($Q$2)+2)="","",
IFERROR(
INDEX(Last10Home_Stats_All!$A:$ZZ,ROW()-ROW($Q$2)+2,COLUMN()-COLUMN($Q$2)+1),
""))</f>
        <v>31/01/2026 15:00</v>
      </c>
      <c r="S7" s="1" t="str">
        <f>IF(INDEX(Last10Home_Stats_All!$A:$A,ROW()-ROW($Q$2)+2)="","",
IFERROR(
INDEX(Last10Home_Stats_All!$A:$ZZ,ROW()-ROW($Q$2)+2,COLUMN()-COLUMN($Q$2)+1),
""))</f>
        <v>England</v>
      </c>
      <c r="T7" s="1" t="str">
        <f>IF(INDEX(Last10Home_Stats_All!$A:$A,ROW()-ROW($Q$2)+2)="","",
IFERROR(
INDEX(Last10Home_Stats_All!$A:$ZZ,ROW()-ROW($Q$2)+2,COLUMN()-COLUMN($Q$2)+1),
""))</f>
        <v>League One</v>
      </c>
      <c r="U7" s="1" t="str">
        <f>IF(INDEX(Last10Home_Stats_All!$A:$A,ROW()-ROW($Q$2)+2)="","",
IFERROR(
INDEX(Last10Home_Stats_All!$A:$ZZ,ROW()-ROW($Q$2)+2,COLUMN()-COLUMN($Q$2)+1),
""))</f>
        <v>https://media.api-sports.io/football/teams/1374.png</v>
      </c>
      <c r="V7" s="1" t="str">
        <f>IF(INDEX(Last10Home_Stats_All!$A:$A,ROW()-ROW($Q$2)+2)="","",
IFERROR(
INDEX(Last10Home_Stats_All!$A:$ZZ,ROW()-ROW($Q$2)+2,COLUMN()-COLUMN($Q$2)+1),
""))</f>
        <v>Mansfield Town</v>
      </c>
      <c r="W7" s="1" t="str">
        <f>IF(INDEX(Last10Home_Stats_All!$A:$A,ROW()-ROW($Q$2)+2)="","",
IFERROR(
INDEX(Last10Home_Stats_All!$A:$ZZ,ROW()-ROW($Q$2)+2,COLUMN()-COLUMN($Q$2)+1),
""))</f>
        <v>https://media.api-sports.io/football/teams/1358.png</v>
      </c>
      <c r="X7" s="1" t="str">
        <f>IF(INDEX(Last10Home_Stats_All!$A:$A,ROW()-ROW($Q$2)+2)="","",
IFERROR(
INDEX(Last10Home_Stats_All!$A:$ZZ,ROW()-ROW($Q$2)+2,COLUMN()-COLUMN($Q$2)+1),
""))</f>
        <v>Wycombe</v>
      </c>
      <c r="Y7" s="1" t="str">
        <f>IF(INDEX(Last10Home_Stats_All!$A:$A,ROW()-ROW($Q$2)+2)="","",
IFERROR(
INDEX(Last10Home_Stats_All!$A:$ZZ,ROW()-ROW($Q$2)+2,COLUMN()-COLUMN($Q$2)+1),
""))</f>
        <v>https://media.api-sports.io/football/leagues/41.png</v>
      </c>
      <c r="Z7" s="1" t="str">
        <f>IF(INDEX(Last10Home_Stats_All!$A:$A,ROW()-ROW($Q$2)+2)="","",
IFERROR(
INDEX(Last10Home_Stats_All!$A:$ZZ,ROW()-ROW($Q$2)+2,COLUMN()-COLUMN($Q$2)+1),
""))</f>
        <v>https://media.api-sports.io/flags/gb-eng.svg</v>
      </c>
      <c r="AA7" s="1">
        <f>IF(INDEX(Last10Home_Stats_All!$A:$A,ROW()-ROW($Q$2)+2)="","",
IFERROR(
INDEX(Last10Home_Stats_All!$A:$ZZ,ROW()-ROW($Q$2)+2,COLUMN()-COLUMN($Q$2)+1),
""))</f>
        <v>0</v>
      </c>
      <c r="AB7" s="1">
        <f>IF(INDEX(Last10Home_Stats_All!$A:$A,ROW()-ROW($Q$2)+2)="","",
IFERROR(
INDEX(Last10Home_Stats_All!$A:$ZZ,ROW()-ROW($Q$2)+2,COLUMN()-COLUMN($Q$2)+1),
""))</f>
        <v>0</v>
      </c>
      <c r="AC7" s="1">
        <f>IF(INDEX(Last10Home_Stats_All!$A:$A,ROW()-ROW($Q$2)+2)="","",
IFERROR(
INDEX(Last10Home_Stats_All!$A:$ZZ,ROW()-ROW($Q$2)+2,COLUMN()-COLUMN($Q$2)+1),
""))</f>
        <v>0</v>
      </c>
      <c r="AD7" s="1">
        <f>IF(INDEX(Last10Home_Stats_All!$A:$A,ROW()-ROW($Q$2)+2)="","",
IFERROR(
INDEX(Last10Home_Stats_All!$A:$ZZ,ROW()-ROW($Q$2)+2,COLUMN()-COLUMN($Q$2)+1),
""))</f>
        <v>0</v>
      </c>
      <c r="AE7" s="1">
        <f>IF(INDEX(Last10Home_Stats_All!$A:$A,ROW()-ROW($Q$2)+2)="","",
IFERROR(
INDEX(Last10Home_Stats_All!$A:$ZZ,ROW()-ROW($Q$2)+2,COLUMN()-COLUMN($Q$2)+1),
""))</f>
        <v>0</v>
      </c>
      <c r="AF7" s="1">
        <f>IF(INDEX(Last10Home_Stats_All!$A:$A,ROW()-ROW($Q$2)+2)="","",
IFERROR(
INDEX(Last10Home_Stats_All!$A:$ZZ,ROW()-ROW($Q$2)+2,COLUMN()-COLUMN($Q$2)+1),
""))</f>
        <v>0</v>
      </c>
      <c r="AG7" s="1">
        <f>IF(INDEX(Last10Home_Stats_All!$A:$A,ROW()-ROW($Q$2)+2)="","",
IFERROR(
INDEX(Last10Home_Stats_All!$A:$ZZ,ROW()-ROW($Q$2)+2,COLUMN()-COLUMN($Q$2)+1),
""))</f>
        <v>1</v>
      </c>
      <c r="AH7" s="1">
        <f>IF(INDEX(Last10Home_Stats_All!$A:$A,ROW()-ROW($Q$2)+2)="","",
IFERROR(
INDEX(Last10Home_Stats_All!$A:$ZZ,ROW()-ROW($Q$2)+2,COLUMN()-COLUMN($Q$2)+1),
""))</f>
        <v>2</v>
      </c>
      <c r="AI7" s="1">
        <f>IF(INDEX(Last10Home_Stats_All!$A:$A,ROW()-ROW($Q$2)+2)="","",
IFERROR(
INDEX(Last10Home_Stats_All!$A:$ZZ,ROW()-ROW($Q$2)+2,COLUMN()-COLUMN($Q$2)+1),
""))</f>
        <v>4</v>
      </c>
      <c r="AJ7" s="1">
        <f>IF(INDEX(Last10Home_Stats_All!$A:$A,ROW()-ROW($Q$2)+2)="","",
IFERROR(
INDEX(Last10Home_Stats_All!$A:$ZZ,ROW()-ROW($Q$2)+2,COLUMN()-COLUMN($Q$2)+1),
""))</f>
        <v>8</v>
      </c>
      <c r="AK7" s="1">
        <f>IF(INDEX(Last10Home_Stats_All!$A:$A,ROW()-ROW($Q$2)+2)="","",
IFERROR(
INDEX(Last10Home_Stats_All!$A:$ZZ,ROW()-ROW($Q$2)+2,COLUMN()-COLUMN($Q$2)+1),
""))</f>
        <v>8</v>
      </c>
      <c r="AL7" s="1">
        <f>IF(INDEX(Last10Home_Stats_All!$A:$A,ROW()-ROW($Q$2)+2)="","",
IFERROR(
INDEX(Last10Home_Stats_All!$A:$ZZ,ROW()-ROW($Q$2)+2,COLUMN()-COLUMN($Q$2)+1),
""))</f>
        <v>18</v>
      </c>
      <c r="AM7" s="1">
        <f>IF(INDEX(Last10Home_Stats_All!$A:$A,ROW()-ROW($Q$2)+2)="","",
IFERROR(
INDEX(Last10Home_Stats_All!$A:$ZZ,ROW()-ROW($Q$2)+2,COLUMN()-COLUMN($Q$2)+1),
""))</f>
        <v>3</v>
      </c>
      <c r="AN7" s="1">
        <f>IF(INDEX(Last10Home_Stats_All!$A:$A,ROW()-ROW($Q$2)+2)="","",
IFERROR(
INDEX(Last10Home_Stats_All!$A:$ZZ,ROW()-ROW($Q$2)+2,COLUMN()-COLUMN($Q$2)+1),
""))</f>
        <v>8</v>
      </c>
      <c r="AO7" s="1">
        <f>IF(INDEX(Last10Home_Stats_All!$A:$A,ROW()-ROW($Q$2)+2)="","",
IFERROR(
INDEX(Last10Home_Stats_All!$A:$ZZ,ROW()-ROW($Q$2)+2,COLUMN()-COLUMN($Q$2)+1),
""))</f>
        <v>2</v>
      </c>
      <c r="AP7" s="1">
        <f>IF(INDEX(Last10Home_Stats_All!$A:$A,ROW()-ROW($Q$2)+2)="","",
IFERROR(
INDEX(Last10Home_Stats_All!$A:$ZZ,ROW()-ROW($Q$2)+2,COLUMN()-COLUMN($Q$2)+1),
""))</f>
        <v>11</v>
      </c>
      <c r="AQ7" s="1">
        <f>IF(INDEX(Last10Home_Stats_All!$A:$A,ROW()-ROW($Q$2)+2)="","",
IFERROR(
INDEX(Last10Home_Stats_All!$A:$ZZ,ROW()-ROW($Q$2)+2,COLUMN()-COLUMN($Q$2)+1),
""))</f>
        <v>6</v>
      </c>
      <c r="AR7" s="1">
        <f>IF(INDEX(Last10Home_Stats_All!$A:$A,ROW()-ROW($Q$2)+2)="","",
IFERROR(
INDEX(Last10Home_Stats_All!$A:$ZZ,ROW()-ROW($Q$2)+2,COLUMN()-COLUMN($Q$2)+1),
""))</f>
        <v>7</v>
      </c>
      <c r="AS7" s="1">
        <f>IF(INDEX(Last10Home_Stats_All!$A:$A,ROW()-ROW($Q$2)+2)="","",
IFERROR(
INDEX(Last10Home_Stats_All!$A:$ZZ,ROW()-ROW($Q$2)+2,COLUMN()-COLUMN($Q$2)+1),
""))</f>
        <v>11</v>
      </c>
      <c r="AT7" s="1">
        <f>IF(INDEX(Last10Home_Stats_All!$A:$A,ROW()-ROW($Q$2)+2)="","",
IFERROR(
INDEX(Last10Home_Stats_All!$A:$ZZ,ROW()-ROW($Q$2)+2,COLUMN()-COLUMN($Q$2)+1),
""))</f>
        <v>7</v>
      </c>
      <c r="AU7" s="1">
        <f>IF(INDEX(Last10Home_Stats_All!$A:$A,ROW()-ROW($Q$2)+2)="","",
IFERROR(
INDEX(Last10Home_Stats_All!$A:$ZZ,ROW()-ROW($Q$2)+2,COLUMN()-COLUMN($Q$2)+1),
""))</f>
        <v>5</v>
      </c>
      <c r="AV7" s="1">
        <f>IF(INDEX(Last10Home_Stats_All!$A:$A,ROW()-ROW($Q$2)+2)="","",
IFERROR(
INDEX(Last10Home_Stats_All!$A:$ZZ,ROW()-ROW($Q$2)+2,COLUMN()-COLUMN($Q$2)+1),
""))</f>
        <v>6</v>
      </c>
      <c r="AW7" s="1">
        <f>IF(INDEX(Last10Home_Stats_All!$A:$A,ROW()-ROW($Q$2)+2)="","",
IFERROR(
INDEX(Last10Home_Stats_All!$A:$ZZ,ROW()-ROW($Q$2)+2,COLUMN()-COLUMN($Q$2)+1),
""))</f>
        <v>1</v>
      </c>
      <c r="AX7" s="1">
        <f>IF(INDEX(Last10Home_Stats_All!$A:$A,ROW()-ROW($Q$2)+2)="","",
IFERROR(
INDEX(Last10Home_Stats_All!$A:$ZZ,ROW()-ROW($Q$2)+2,COLUMN()-COLUMN($Q$2)+1),
""))</f>
        <v>1</v>
      </c>
      <c r="AY7" s="1">
        <f>IF(INDEX(Last10Home_Stats_All!$A:$A,ROW()-ROW($Q$2)+2)="","",
IFERROR(
INDEX(Last10Home_Stats_All!$A:$ZZ,ROW()-ROW($Q$2)+2,COLUMN()-COLUMN($Q$2)+1),
""))</f>
        <v>40</v>
      </c>
      <c r="AZ7" s="1">
        <f>IF(INDEX(Last10Home_Stats_All!$A:$A,ROW()-ROW($Q$2)+2)="","",
IFERROR(
INDEX(Last10Home_Stats_All!$A:$ZZ,ROW()-ROW($Q$2)+2,COLUMN()-COLUMN($Q$2)+1),
""))</f>
        <v>60</v>
      </c>
      <c r="BA7" s="1">
        <f>IF(INDEX(Last10Home_Stats_All!$A:$A,ROW()-ROW($Q$2)+2)="","",
IFERROR(
INDEX(Last10Home_Stats_All!$A:$ZZ,ROW()-ROW($Q$2)+2,COLUMN()-COLUMN($Q$2)+1),
""))</f>
        <v>0</v>
      </c>
      <c r="BB7" s="1">
        <f>IF(INDEX(Last10Home_Stats_All!$A:$A,ROW()-ROW($Q$2)+2)="","",
IFERROR(
INDEX(Last10Home_Stats_All!$A:$ZZ,ROW()-ROW($Q$2)+2,COLUMN()-COLUMN($Q$2)+1),
""))</f>
        <v>1</v>
      </c>
      <c r="BC7" s="1">
        <f>IF(INDEX(Last10Home_Stats_All!$A:$A,ROW()-ROW($Q$2)+2)="","",
IFERROR(
INDEX(Last10Home_Stats_All!$A:$ZZ,ROW()-ROW($Q$2)+2,COLUMN()-COLUMN($Q$2)+1),
""))</f>
        <v>0</v>
      </c>
      <c r="BD7" s="1">
        <f>IF(INDEX(Last10Home_Stats_All!$A:$A,ROW()-ROW($Q$2)+2)="","",
IFERROR(
INDEX(Last10Home_Stats_All!$A:$ZZ,ROW()-ROW($Q$2)+2,COLUMN()-COLUMN($Q$2)+1),
""))</f>
        <v>0</v>
      </c>
      <c r="BE7" s="1">
        <f>IF(INDEX(Last10Home_Stats_All!$A:$A,ROW()-ROW($Q$2)+2)="","",
IFERROR(
INDEX(Last10Home_Stats_All!$A:$ZZ,ROW()-ROW($Q$2)+2,COLUMN()-COLUMN($Q$2)+1),
""))</f>
        <v>2</v>
      </c>
      <c r="BF7" s="1">
        <f>IF(INDEX(Last10Home_Stats_All!$A:$A,ROW()-ROW($Q$2)+2)="","",
IFERROR(
INDEX(Last10Home_Stats_All!$A:$ZZ,ROW()-ROW($Q$2)+2,COLUMN()-COLUMN($Q$2)+1),
""))</f>
        <v>1</v>
      </c>
      <c r="BG7" s="1">
        <f>IF(INDEX(Last10Home_Stats_All!$A:$A,ROW()-ROW($Q$2)+2)="","",
IFERROR(
INDEX(Last10Home_Stats_All!$A:$ZZ,ROW()-ROW($Q$2)+2,COLUMN()-COLUMN($Q$2)+1),
""))</f>
        <v>302</v>
      </c>
      <c r="BH7" s="1">
        <f>IF(INDEX(Last10Home_Stats_All!$A:$A,ROW()-ROW($Q$2)+2)="","",
IFERROR(
INDEX(Last10Home_Stats_All!$A:$ZZ,ROW()-ROW($Q$2)+2,COLUMN()-COLUMN($Q$2)+1),
""))</f>
        <v>457</v>
      </c>
      <c r="BI7" s="1">
        <f>IF(INDEX(Last10Home_Stats_All!$A:$A,ROW()-ROW($Q$2)+2)="","",
IFERROR(
INDEX(Last10Home_Stats_All!$A:$ZZ,ROW()-ROW($Q$2)+2,COLUMN()-COLUMN($Q$2)+1),
""))</f>
        <v>191</v>
      </c>
      <c r="BJ7" s="1">
        <f>IF(INDEX(Last10Home_Stats_All!$A:$A,ROW()-ROW($Q$2)+2)="","",
IFERROR(
INDEX(Last10Home_Stats_All!$A:$ZZ,ROW()-ROW($Q$2)+2,COLUMN()-COLUMN($Q$2)+1),
""))</f>
        <v>333</v>
      </c>
      <c r="BK7" s="1">
        <f>IF(INDEX(Last10Home_Stats_All!$A:$A,ROW()-ROW($Q$2)+2)="","",
IFERROR(
INDEX(Last10Home_Stats_All!$A:$ZZ,ROW()-ROW($Q$2)+2,COLUMN()-COLUMN($Q$2)+1),
""))</f>
        <v>63</v>
      </c>
      <c r="BL7" s="1">
        <f>IF(INDEX(Last10Home_Stats_All!$A:$A,ROW()-ROW($Q$2)+2)="","",
IFERROR(
INDEX(Last10Home_Stats_All!$A:$ZZ,ROW()-ROW($Q$2)+2,COLUMN()-COLUMN($Q$2)+1),
""))</f>
        <v>73</v>
      </c>
      <c r="BM7" s="1">
        <f>IF(INDEX(Last10Home_Stats_All!$A:$A,ROW()-ROW($Q$2)+2)="","",
IFERROR(
INDEX(Last10Home_Stats_All!$A:$ZZ,ROW()-ROW($Q$2)+2,COLUMN()-COLUMN($Q$2)+1),
""))</f>
        <v>0.51</v>
      </c>
      <c r="BN7" s="1">
        <f>IF(INDEX(Last10Home_Stats_All!$A:$A,ROW()-ROW($Q$2)+2)="","",
IFERROR(
INDEX(Last10Home_Stats_All!$A:$ZZ,ROW()-ROW($Q$2)+2,COLUMN()-COLUMN($Q$2)+1),
""))</f>
        <v>1.79</v>
      </c>
      <c r="BO7" s="1">
        <f>IF(INDEX(Last10Home_Stats_All!$A:$A,ROW()-ROW($Q$2)+2)="","",
IFERROR(
INDEX(Last10Home_Stats_All!$A:$ZZ,ROW()-ROW($Q$2)+2,COLUMN()-COLUMN($Q$2)+1),
""))</f>
        <v>0</v>
      </c>
      <c r="BP7" s="1">
        <f>IF(INDEX(Last10Home_Stats_All!$A:$A,ROW()-ROW($Q$2)+2)="","",
IFERROR(
INDEX(Last10Home_Stats_All!$A:$ZZ,ROW()-ROW($Q$2)+2,COLUMN()-COLUMN($Q$2)+1),
""))</f>
        <v>0</v>
      </c>
      <c r="BR7" s="1" t="str">
        <f>IF(OR(Control!AC7="",Control!AD7=""),"",Control!AC7&amp;" : "&amp;Control!AD7)</f>
        <v>0 : 0</v>
      </c>
      <c r="BS7" s="1" t="str">
        <f>IF(OR(Control!AE7="",Control!AF7=""),"",Control!AE7&amp;" : "&amp;Control!AF7)</f>
        <v>0 : 0</v>
      </c>
      <c r="BT7" s="1" t="str">
        <f>IF(OR(Control!AU7="",Control!AV7=""),"",Control!AU7&amp;" : "&amp;Control!AV7)</f>
        <v>5 : 6</v>
      </c>
      <c r="BV7" s="1" t="str">
        <f>IFERROR(INDEX(tblStandings[#All],ROW(A7),COLUMN(A7)),"")</f>
        <v/>
      </c>
      <c r="BW7" s="1" t="str">
        <f>IFERROR(INDEX(tblStandings[#All],ROW(B7),COLUMN(B7)),"")</f>
        <v/>
      </c>
      <c r="BX7" s="1" t="str">
        <f>IFERROR(INDEX(tblStandings[#All],ROW(C7),COLUMN(C7)),"")</f>
        <v/>
      </c>
      <c r="BY7" s="1" t="str">
        <f>IFERROR(INDEX(tblStandings[#All],ROW(D7),COLUMN(D7)),"")</f>
        <v/>
      </c>
      <c r="BZ7" s="1" t="str">
        <f>IFERROR(INDEX(tblStandings[#All],ROW(E7),COLUMN(E7)),"")</f>
        <v/>
      </c>
      <c r="CA7" s="1" t="str">
        <f>IFERROR(INDEX(tblStandings[#All],ROW(F7),COLUMN(F7)),"")</f>
        <v/>
      </c>
      <c r="CB7" s="1" t="str">
        <f>IFERROR(INDEX(tblStandings[#All],ROW(G7),COLUMN(G7)),"")</f>
        <v/>
      </c>
      <c r="CC7" s="1" t="str">
        <f>IFERROR(INDEX(tblStandings[#All],ROW(H7),COLUMN(H7)),"")</f>
        <v/>
      </c>
      <c r="CD7" s="1" t="str">
        <f>IFERROR(INDEX(tblStandings[#All],ROW(I7),COLUMN(I7)),"")</f>
        <v/>
      </c>
      <c r="CE7" s="1" t="str">
        <f>IFERROR(INDEX(tblStandings[#All],ROW(J7),COLUMN(J7)),"")</f>
        <v/>
      </c>
      <c r="CF7" s="1" t="str">
        <f>IFERROR(INDEX(tblStandings[#All],ROW(K7),COLUMN(K7)),"")</f>
        <v/>
      </c>
      <c r="CG7" s="1" t="str">
        <f t="shared" si="0"/>
        <v/>
      </c>
      <c r="CH7" s="1" t="str">
        <f t="shared" si="1"/>
        <v/>
      </c>
      <c r="CI7" s="1" t="str">
        <f t="shared" si="2"/>
        <v/>
      </c>
      <c r="CJ7" s="1" t="str">
        <f t="shared" si="3"/>
        <v/>
      </c>
      <c r="CK7" s="1" t="str">
        <f t="shared" si="4"/>
        <v/>
      </c>
      <c r="CN7" s="1" t="s">
        <v>226</v>
      </c>
      <c r="CP7" s="1" t="s">
        <v>229</v>
      </c>
      <c r="CR7" s="1" t="s">
        <v>233</v>
      </c>
      <c r="CT7" s="3" t="str">
        <f>IFERROR(ROUND(
(
IF(SUMPRODUCT(--ISNUMBER($BA$2:$BA$11),--ISNUMBER($BB$2:$BB$11))=0,0,
SUMPRODUCT(--ISNUMBER($BA$2:$BA$11),--ISNUMBER($BB$2:$BB$11),($BA$2:$BA$11+$BB$2:$BB$11))
/
SUMPRODUCT(--ISNUMBER($BA$2:$BA$11),--ISNUMBER($BB$2:$BB$11))
)
+
IF(SUMPRODUCT(--ISNUMBER($BA$16:$BA$25),--ISNUMBER($BB$16:$BB$25))=0,0,
SUMPRODUCT(--ISNUMBER($BA$16:$BA$25),--ISNUMBER($BB$16:$BB$25),($BA$16:$BA$25+$BB$16:$BB$25))
/
SUMPRODUCT(--ISNUMBER($BA$16:$BA$25),--ISNUMBER($BB$16:$BB$25))
)
+
IF(SUMPRODUCT(--ISNUMBER($BA$31:$BA$35),--ISNUMBER($BB$31:$BB$35))=0,0,
SUMPRODUCT(--ISNUMBER($BA$31:$BA$35),--ISNUMBER($BB$31:$BB$35),($BA$31:$BA$35+$BB$31:$BB$35))
/
SUMPRODUCT(--ISNUMBER($BA$31:$BA$35),--ISNUMBER($BB$31:$BB$35))
)
)
/
(
--(SUMPRODUCT(--ISNUMBER($BA$2:$BA$11),--ISNUMBER($BB$2:$BB$11))&gt;0) +
--(SUMPRODUCT(--ISNUMBER($BA$16:$BA$25),--ISNUMBER($BB$16:$BB$25))&gt;0) +
--(SUMPRODUCT(--ISNUMBER($BA$31:$BA$35),--ISNUMBER($BB$31:$BB$35))&gt;0)
),2),"")</f>
        <v/>
      </c>
      <c r="DD7" s="1" t="s">
        <v>261</v>
      </c>
    </row>
    <row r="8" spans="1:108" x14ac:dyDescent="0.25">
      <c r="A8" s="1" t="s">
        <v>6</v>
      </c>
      <c r="B8" s="3">
        <v>496</v>
      </c>
      <c r="H8" s="1">
        <v>1530493</v>
      </c>
      <c r="I8" s="4">
        <v>46268</v>
      </c>
      <c r="J8" s="1" t="s">
        <v>17</v>
      </c>
      <c r="K8" s="1" t="s">
        <v>391</v>
      </c>
      <c r="L8" s="1" t="s">
        <v>392</v>
      </c>
      <c r="M8" s="1" t="s">
        <v>3972</v>
      </c>
      <c r="N8" s="1" t="s">
        <v>3973</v>
      </c>
      <c r="O8" s="1" t="s">
        <v>3974</v>
      </c>
      <c r="Q8" s="1">
        <f>IF(INDEX(Last10Home_Stats_All!$A:$A,ROW()-ROW($Q$2)+2)="","",
IFERROR(
INDEX(Last10Home_Stats_All!$A:$ZZ,ROW()-ROW($Q$2)+2,COLUMN()-COLUMN($Q$2)+1),
""))</f>
        <v>1387421</v>
      </c>
      <c r="R8" s="1" t="str">
        <f>IF(INDEX(Last10Home_Stats_All!$A:$A,ROW()-ROW($Q$2)+2)="","",
IFERROR(
INDEX(Last10Home_Stats_All!$A:$ZZ,ROW()-ROW($Q$2)+2,COLUMN()-COLUMN($Q$2)+1),
""))</f>
        <v>17/01/2026 15:00</v>
      </c>
      <c r="S8" s="1" t="str">
        <f>IF(INDEX(Last10Home_Stats_All!$A:$A,ROW()-ROW($Q$2)+2)="","",
IFERROR(
INDEX(Last10Home_Stats_All!$A:$ZZ,ROW()-ROW($Q$2)+2,COLUMN()-COLUMN($Q$2)+1),
""))</f>
        <v>England</v>
      </c>
      <c r="T8" s="1" t="str">
        <f>IF(INDEX(Last10Home_Stats_All!$A:$A,ROW()-ROW($Q$2)+2)="","",
IFERROR(
INDEX(Last10Home_Stats_All!$A:$ZZ,ROW()-ROW($Q$2)+2,COLUMN()-COLUMN($Q$2)+1),
""))</f>
        <v>League One</v>
      </c>
      <c r="U8" s="1" t="str">
        <f>IF(INDEX(Last10Home_Stats_All!$A:$A,ROW()-ROW($Q$2)+2)="","",
IFERROR(
INDEX(Last10Home_Stats_All!$A:$ZZ,ROW()-ROW($Q$2)+2,COLUMN()-COLUMN($Q$2)+1),
""))</f>
        <v>https://media.api-sports.io/football/teams/1374.png</v>
      </c>
      <c r="V8" s="1" t="str">
        <f>IF(INDEX(Last10Home_Stats_All!$A:$A,ROW()-ROW($Q$2)+2)="","",
IFERROR(
INDEX(Last10Home_Stats_All!$A:$ZZ,ROW()-ROW($Q$2)+2,COLUMN()-COLUMN($Q$2)+1),
""))</f>
        <v>Mansfield Town</v>
      </c>
      <c r="W8" s="1" t="str">
        <f>IF(INDEX(Last10Home_Stats_All!$A:$A,ROW()-ROW($Q$2)+2)="","",
IFERROR(
INDEX(Last10Home_Stats_All!$A:$ZZ,ROW()-ROW($Q$2)+2,COLUMN()-COLUMN($Q$2)+1),
""))</f>
        <v>https://media.api-sports.io/football/teams/1351.png</v>
      </c>
      <c r="X8" s="1" t="str">
        <f>IF(INDEX(Last10Home_Stats_All!$A:$A,ROW()-ROW($Q$2)+2)="","",
IFERROR(
INDEX(Last10Home_Stats_All!$A:$ZZ,ROW()-ROW($Q$2)+2,COLUMN()-COLUMN($Q$2)+1),
""))</f>
        <v>Port Vale</v>
      </c>
      <c r="Y8" s="1" t="str">
        <f>IF(INDEX(Last10Home_Stats_All!$A:$A,ROW()-ROW($Q$2)+2)="","",
IFERROR(
INDEX(Last10Home_Stats_All!$A:$ZZ,ROW()-ROW($Q$2)+2,COLUMN()-COLUMN($Q$2)+1),
""))</f>
        <v>https://media.api-sports.io/football/leagues/41.png</v>
      </c>
      <c r="Z8" s="1" t="str">
        <f>IF(INDEX(Last10Home_Stats_All!$A:$A,ROW()-ROW($Q$2)+2)="","",
IFERROR(
INDEX(Last10Home_Stats_All!$A:$ZZ,ROW()-ROW($Q$2)+2,COLUMN()-COLUMN($Q$2)+1),
""))</f>
        <v>https://media.api-sports.io/flags/gb-eng.svg</v>
      </c>
      <c r="AA8" s="1">
        <f>IF(INDEX(Last10Home_Stats_All!$A:$A,ROW()-ROW($Q$2)+2)="","",
IFERROR(
INDEX(Last10Home_Stats_All!$A:$ZZ,ROW()-ROW($Q$2)+2,COLUMN()-COLUMN($Q$2)+1),
""))</f>
        <v>3</v>
      </c>
      <c r="AB8" s="1">
        <f>IF(INDEX(Last10Home_Stats_All!$A:$A,ROW()-ROW($Q$2)+2)="","",
IFERROR(
INDEX(Last10Home_Stats_All!$A:$ZZ,ROW()-ROW($Q$2)+2,COLUMN()-COLUMN($Q$2)+1),
""))</f>
        <v>0</v>
      </c>
      <c r="AC8" s="1">
        <f>IF(INDEX(Last10Home_Stats_All!$A:$A,ROW()-ROW($Q$2)+2)="","",
IFERROR(
INDEX(Last10Home_Stats_All!$A:$ZZ,ROW()-ROW($Q$2)+2,COLUMN()-COLUMN($Q$2)+1),
""))</f>
        <v>0</v>
      </c>
      <c r="AD8" s="1">
        <f>IF(INDEX(Last10Home_Stats_All!$A:$A,ROW()-ROW($Q$2)+2)="","",
IFERROR(
INDEX(Last10Home_Stats_All!$A:$ZZ,ROW()-ROW($Q$2)+2,COLUMN()-COLUMN($Q$2)+1),
""))</f>
        <v>0</v>
      </c>
      <c r="AE8" s="1">
        <f>IF(INDEX(Last10Home_Stats_All!$A:$A,ROW()-ROW($Q$2)+2)="","",
IFERROR(
INDEX(Last10Home_Stats_All!$A:$ZZ,ROW()-ROW($Q$2)+2,COLUMN()-COLUMN($Q$2)+1),
""))</f>
        <v>3</v>
      </c>
      <c r="AF8" s="1">
        <f>IF(INDEX(Last10Home_Stats_All!$A:$A,ROW()-ROW($Q$2)+2)="","",
IFERROR(
INDEX(Last10Home_Stats_All!$A:$ZZ,ROW()-ROW($Q$2)+2,COLUMN()-COLUMN($Q$2)+1),
""))</f>
        <v>0</v>
      </c>
      <c r="AG8" s="1">
        <f>IF(INDEX(Last10Home_Stats_All!$A:$A,ROW()-ROW($Q$2)+2)="","",
IFERROR(
INDEX(Last10Home_Stats_All!$A:$ZZ,ROW()-ROW($Q$2)+2,COLUMN()-COLUMN($Q$2)+1),
""))</f>
        <v>4</v>
      </c>
      <c r="AH8" s="1">
        <f>IF(INDEX(Last10Home_Stats_All!$A:$A,ROW()-ROW($Q$2)+2)="","",
IFERROR(
INDEX(Last10Home_Stats_All!$A:$ZZ,ROW()-ROW($Q$2)+2,COLUMN()-COLUMN($Q$2)+1),
""))</f>
        <v>1</v>
      </c>
      <c r="AI8" s="1">
        <f>IF(INDEX(Last10Home_Stats_All!$A:$A,ROW()-ROW($Q$2)+2)="","",
IFERROR(
INDEX(Last10Home_Stats_All!$A:$ZZ,ROW()-ROW($Q$2)+2,COLUMN()-COLUMN($Q$2)+1),
""))</f>
        <v>4</v>
      </c>
      <c r="AJ8" s="1">
        <f>IF(INDEX(Last10Home_Stats_All!$A:$A,ROW()-ROW($Q$2)+2)="","",
IFERROR(
INDEX(Last10Home_Stats_All!$A:$ZZ,ROW()-ROW($Q$2)+2,COLUMN()-COLUMN($Q$2)+1),
""))</f>
        <v>2</v>
      </c>
      <c r="AK8" s="1">
        <f>IF(INDEX(Last10Home_Stats_All!$A:$A,ROW()-ROW($Q$2)+2)="","",
IFERROR(
INDEX(Last10Home_Stats_All!$A:$ZZ,ROW()-ROW($Q$2)+2,COLUMN()-COLUMN($Q$2)+1),
""))</f>
        <v>10</v>
      </c>
      <c r="AL8" s="1">
        <f>IF(INDEX(Last10Home_Stats_All!$A:$A,ROW()-ROW($Q$2)+2)="","",
IFERROR(
INDEX(Last10Home_Stats_All!$A:$ZZ,ROW()-ROW($Q$2)+2,COLUMN()-COLUMN($Q$2)+1),
""))</f>
        <v>3</v>
      </c>
      <c r="AM8" s="1">
        <f>IF(INDEX(Last10Home_Stats_All!$A:$A,ROW()-ROW($Q$2)+2)="","",
IFERROR(
INDEX(Last10Home_Stats_All!$A:$ZZ,ROW()-ROW($Q$2)+2,COLUMN()-COLUMN($Q$2)+1),
""))</f>
        <v>2</v>
      </c>
      <c r="AN8" s="1">
        <f>IF(INDEX(Last10Home_Stats_All!$A:$A,ROW()-ROW($Q$2)+2)="","",
IFERROR(
INDEX(Last10Home_Stats_All!$A:$ZZ,ROW()-ROW($Q$2)+2,COLUMN()-COLUMN($Q$2)+1),
""))</f>
        <v>0</v>
      </c>
      <c r="AO8" s="1">
        <f>IF(INDEX(Last10Home_Stats_All!$A:$A,ROW()-ROW($Q$2)+2)="","",
IFERROR(
INDEX(Last10Home_Stats_All!$A:$ZZ,ROW()-ROW($Q$2)+2,COLUMN()-COLUMN($Q$2)+1),
""))</f>
        <v>8</v>
      </c>
      <c r="AP8" s="1">
        <f>IF(INDEX(Last10Home_Stats_All!$A:$A,ROW()-ROW($Q$2)+2)="","",
IFERROR(
INDEX(Last10Home_Stats_All!$A:$ZZ,ROW()-ROW($Q$2)+2,COLUMN()-COLUMN($Q$2)+1),
""))</f>
        <v>3</v>
      </c>
      <c r="AQ8" s="1">
        <f>IF(INDEX(Last10Home_Stats_All!$A:$A,ROW()-ROW($Q$2)+2)="","",
IFERROR(
INDEX(Last10Home_Stats_All!$A:$ZZ,ROW()-ROW($Q$2)+2,COLUMN()-COLUMN($Q$2)+1),
""))</f>
        <v>2</v>
      </c>
      <c r="AR8" s="1">
        <f>IF(INDEX(Last10Home_Stats_All!$A:$A,ROW()-ROW($Q$2)+2)="","",
IFERROR(
INDEX(Last10Home_Stats_All!$A:$ZZ,ROW()-ROW($Q$2)+2,COLUMN()-COLUMN($Q$2)+1),
""))</f>
        <v>0</v>
      </c>
      <c r="AS8" s="1">
        <f>IF(INDEX(Last10Home_Stats_All!$A:$A,ROW()-ROW($Q$2)+2)="","",
IFERROR(
INDEX(Last10Home_Stats_All!$A:$ZZ,ROW()-ROW($Q$2)+2,COLUMN()-COLUMN($Q$2)+1),
""))</f>
        <v>13</v>
      </c>
      <c r="AT8" s="1">
        <f>IF(INDEX(Last10Home_Stats_All!$A:$A,ROW()-ROW($Q$2)+2)="","",
IFERROR(
INDEX(Last10Home_Stats_All!$A:$ZZ,ROW()-ROW($Q$2)+2,COLUMN()-COLUMN($Q$2)+1),
""))</f>
        <v>9</v>
      </c>
      <c r="AU8" s="1">
        <f>IF(INDEX(Last10Home_Stats_All!$A:$A,ROW()-ROW($Q$2)+2)="","",
IFERROR(
INDEX(Last10Home_Stats_All!$A:$ZZ,ROW()-ROW($Q$2)+2,COLUMN()-COLUMN($Q$2)+1),
""))</f>
        <v>3</v>
      </c>
      <c r="AV8" s="1">
        <f>IF(INDEX(Last10Home_Stats_All!$A:$A,ROW()-ROW($Q$2)+2)="","",
IFERROR(
INDEX(Last10Home_Stats_All!$A:$ZZ,ROW()-ROW($Q$2)+2,COLUMN()-COLUMN($Q$2)+1),
""))</f>
        <v>2</v>
      </c>
      <c r="AW8" s="1">
        <f>IF(INDEX(Last10Home_Stats_All!$A:$A,ROW()-ROW($Q$2)+2)="","",
IFERROR(
INDEX(Last10Home_Stats_All!$A:$ZZ,ROW()-ROW($Q$2)+2,COLUMN()-COLUMN($Q$2)+1),
""))</f>
        <v>0</v>
      </c>
      <c r="AX8" s="1">
        <f>IF(INDEX(Last10Home_Stats_All!$A:$A,ROW()-ROW($Q$2)+2)="","",
IFERROR(
INDEX(Last10Home_Stats_All!$A:$ZZ,ROW()-ROW($Q$2)+2,COLUMN()-COLUMN($Q$2)+1),
""))</f>
        <v>1</v>
      </c>
      <c r="AY8" s="1">
        <f>IF(INDEX(Last10Home_Stats_All!$A:$A,ROW()-ROW($Q$2)+2)="","",
IFERROR(
INDEX(Last10Home_Stats_All!$A:$ZZ,ROW()-ROW($Q$2)+2,COLUMN()-COLUMN($Q$2)+1),
""))</f>
        <v>44</v>
      </c>
      <c r="AZ8" s="1">
        <f>IF(INDEX(Last10Home_Stats_All!$A:$A,ROW()-ROW($Q$2)+2)="","",
IFERROR(
INDEX(Last10Home_Stats_All!$A:$ZZ,ROW()-ROW($Q$2)+2,COLUMN()-COLUMN($Q$2)+1),
""))</f>
        <v>56</v>
      </c>
      <c r="BA8" s="1">
        <f>IF(INDEX(Last10Home_Stats_All!$A:$A,ROW()-ROW($Q$2)+2)="","",
IFERROR(
INDEX(Last10Home_Stats_All!$A:$ZZ,ROW()-ROW($Q$2)+2,COLUMN()-COLUMN($Q$2)+1),
""))</f>
        <v>2</v>
      </c>
      <c r="BB8" s="1">
        <f>IF(INDEX(Last10Home_Stats_All!$A:$A,ROW()-ROW($Q$2)+2)="","",
IFERROR(
INDEX(Last10Home_Stats_All!$A:$ZZ,ROW()-ROW($Q$2)+2,COLUMN()-COLUMN($Q$2)+1),
""))</f>
        <v>0</v>
      </c>
      <c r="BC8" s="1">
        <f>IF(INDEX(Last10Home_Stats_All!$A:$A,ROW()-ROW($Q$2)+2)="","",
IFERROR(
INDEX(Last10Home_Stats_All!$A:$ZZ,ROW()-ROW($Q$2)+2,COLUMN()-COLUMN($Q$2)+1),
""))</f>
        <v>0</v>
      </c>
      <c r="BD8" s="1">
        <f>IF(INDEX(Last10Home_Stats_All!$A:$A,ROW()-ROW($Q$2)+2)="","",
IFERROR(
INDEX(Last10Home_Stats_All!$A:$ZZ,ROW()-ROW($Q$2)+2,COLUMN()-COLUMN($Q$2)+1),
""))</f>
        <v>0</v>
      </c>
      <c r="BE8" s="1">
        <f>IF(INDEX(Last10Home_Stats_All!$A:$A,ROW()-ROW($Q$2)+2)="","",
IFERROR(
INDEX(Last10Home_Stats_All!$A:$ZZ,ROW()-ROW($Q$2)+2,COLUMN()-COLUMN($Q$2)+1),
""))</f>
        <v>1</v>
      </c>
      <c r="BF8" s="1">
        <f>IF(INDEX(Last10Home_Stats_All!$A:$A,ROW()-ROW($Q$2)+2)="","",
IFERROR(
INDEX(Last10Home_Stats_All!$A:$ZZ,ROW()-ROW($Q$2)+2,COLUMN()-COLUMN($Q$2)+1),
""))</f>
        <v>1</v>
      </c>
      <c r="BG8" s="1">
        <f>IF(INDEX(Last10Home_Stats_All!$A:$A,ROW()-ROW($Q$2)+2)="","",
IFERROR(
INDEX(Last10Home_Stats_All!$A:$ZZ,ROW()-ROW($Q$2)+2,COLUMN()-COLUMN($Q$2)+1),
""))</f>
        <v>347</v>
      </c>
      <c r="BH8" s="1">
        <f>IF(INDEX(Last10Home_Stats_All!$A:$A,ROW()-ROW($Q$2)+2)="","",
IFERROR(
INDEX(Last10Home_Stats_All!$A:$ZZ,ROW()-ROW($Q$2)+2,COLUMN()-COLUMN($Q$2)+1),
""))</f>
        <v>468</v>
      </c>
      <c r="BI8" s="1">
        <f>IF(INDEX(Last10Home_Stats_All!$A:$A,ROW()-ROW($Q$2)+2)="","",
IFERROR(
INDEX(Last10Home_Stats_All!$A:$ZZ,ROW()-ROW($Q$2)+2,COLUMN()-COLUMN($Q$2)+1),
""))</f>
        <v>243</v>
      </c>
      <c r="BJ8" s="1">
        <f>IF(INDEX(Last10Home_Stats_All!$A:$A,ROW()-ROW($Q$2)+2)="","",
IFERROR(
INDEX(Last10Home_Stats_All!$A:$ZZ,ROW()-ROW($Q$2)+2,COLUMN()-COLUMN($Q$2)+1),
""))</f>
        <v>362</v>
      </c>
      <c r="BK8" s="1">
        <f>IF(INDEX(Last10Home_Stats_All!$A:$A,ROW()-ROW($Q$2)+2)="","",
IFERROR(
INDEX(Last10Home_Stats_All!$A:$ZZ,ROW()-ROW($Q$2)+2,COLUMN()-COLUMN($Q$2)+1),
""))</f>
        <v>70</v>
      </c>
      <c r="BL8" s="1">
        <f>IF(INDEX(Last10Home_Stats_All!$A:$A,ROW()-ROW($Q$2)+2)="","",
IFERROR(
INDEX(Last10Home_Stats_All!$A:$ZZ,ROW()-ROW($Q$2)+2,COLUMN()-COLUMN($Q$2)+1),
""))</f>
        <v>77</v>
      </c>
      <c r="BM8" s="1">
        <f>IF(INDEX(Last10Home_Stats_All!$A:$A,ROW()-ROW($Q$2)+2)="","",
IFERROR(
INDEX(Last10Home_Stats_All!$A:$ZZ,ROW()-ROW($Q$2)+2,COLUMN()-COLUMN($Q$2)+1),
""))</f>
        <v>0</v>
      </c>
      <c r="BN8" s="1">
        <f>IF(INDEX(Last10Home_Stats_All!$A:$A,ROW()-ROW($Q$2)+2)="","",
IFERROR(
INDEX(Last10Home_Stats_All!$A:$ZZ,ROW()-ROW($Q$2)+2,COLUMN()-COLUMN($Q$2)+1),
""))</f>
        <v>0</v>
      </c>
      <c r="BO8" s="1">
        <f>IF(INDEX(Last10Home_Stats_All!$A:$A,ROW()-ROW($Q$2)+2)="","",
IFERROR(
INDEX(Last10Home_Stats_All!$A:$ZZ,ROW()-ROW($Q$2)+2,COLUMN()-COLUMN($Q$2)+1),
""))</f>
        <v>0</v>
      </c>
      <c r="BP8" s="1">
        <f>IF(INDEX(Last10Home_Stats_All!$A:$A,ROW()-ROW($Q$2)+2)="","",
IFERROR(
INDEX(Last10Home_Stats_All!$A:$ZZ,ROW()-ROW($Q$2)+2,COLUMN()-COLUMN($Q$2)+1),
""))</f>
        <v>0</v>
      </c>
      <c r="BR8" s="1" t="str">
        <f>IF(OR(Control!AC8="",Control!AD8=""),"",Control!AC8&amp;" : "&amp;Control!AD8)</f>
        <v>0 : 0</v>
      </c>
      <c r="BS8" s="1" t="str">
        <f>IF(OR(Control!AE8="",Control!AF8=""),"",Control!AE8&amp;" : "&amp;Control!AF8)</f>
        <v>3 : 0</v>
      </c>
      <c r="BT8" s="1" t="str">
        <f>IF(OR(Control!AU8="",Control!AV8=""),"",Control!AU8&amp;" : "&amp;Control!AV8)</f>
        <v>3 : 2</v>
      </c>
      <c r="BV8" s="1" t="str">
        <f>IFERROR(INDEX(tblStandings[#All],ROW(A8),COLUMN(A8)),"")</f>
        <v/>
      </c>
      <c r="BW8" s="1" t="str">
        <f>IFERROR(INDEX(tblStandings[#All],ROW(B8),COLUMN(B8)),"")</f>
        <v/>
      </c>
      <c r="BX8" s="1" t="str">
        <f>IFERROR(INDEX(tblStandings[#All],ROW(C8),COLUMN(C8)),"")</f>
        <v/>
      </c>
      <c r="BY8" s="1" t="str">
        <f>IFERROR(INDEX(tblStandings[#All],ROW(D8),COLUMN(D8)),"")</f>
        <v/>
      </c>
      <c r="BZ8" s="1" t="str">
        <f>IFERROR(INDEX(tblStandings[#All],ROW(E8),COLUMN(E8)),"")</f>
        <v/>
      </c>
      <c r="CA8" s="1" t="str">
        <f>IFERROR(INDEX(tblStandings[#All],ROW(F8),COLUMN(F8)),"")</f>
        <v/>
      </c>
      <c r="CB8" s="1" t="str">
        <f>IFERROR(INDEX(tblStandings[#All],ROW(G8),COLUMN(G8)),"")</f>
        <v/>
      </c>
      <c r="CC8" s="1" t="str">
        <f>IFERROR(INDEX(tblStandings[#All],ROW(H8),COLUMN(H8)),"")</f>
        <v/>
      </c>
      <c r="CD8" s="1" t="str">
        <f>IFERROR(INDEX(tblStandings[#All],ROW(I8),COLUMN(I8)),"")</f>
        <v/>
      </c>
      <c r="CE8" s="1" t="str">
        <f>IFERROR(INDEX(tblStandings[#All],ROW(J8),COLUMN(J8)),"")</f>
        <v/>
      </c>
      <c r="CF8" s="1" t="str">
        <f>IFERROR(INDEX(tblStandings[#All],ROW(K8),COLUMN(K8)),"")</f>
        <v/>
      </c>
      <c r="CG8" s="1" t="str">
        <f t="shared" si="0"/>
        <v/>
      </c>
      <c r="CH8" s="1" t="str">
        <f t="shared" si="1"/>
        <v/>
      </c>
      <c r="CI8" s="1" t="str">
        <f t="shared" si="2"/>
        <v/>
      </c>
      <c r="CJ8" s="1" t="str">
        <f t="shared" si="3"/>
        <v/>
      </c>
      <c r="CK8" s="1" t="str">
        <f t="shared" si="4"/>
        <v/>
      </c>
      <c r="CN8" s="3" t="str">
        <f>IFERROR(
(
0.45 *
IF(
SUMPRODUCT(--ISNUMBER($AE$2:$AE$11),--ISNUMBER($AF$2:$AF$11))=0,
0,
SUMPRODUCT(--ISNUMBER($AE$2:$AE$11),--ISNUMBER($AF$2:$AF$11),--(($AE$2:$AE$11+$AF$2:$AF$11)&gt;=4))
/
SUMPRODUCT(--ISNUMBER($AE$2:$AE$11),--ISNUMBER($AF$2:$AF$11))
)
+
0.45 *
IF(
SUMPRODUCT(--ISNUMBER($AE$16:$AE$25),--ISNUMBER($AF$16:$AF$25))=0,
0,
SUMPRODUCT(--ISNUMBER($AE$16:$AE$25),--ISNUMBER($AF$16:$AF$25),--(($AE$16:$AE$25+$AF$16:$AF$25)&gt;=4))
/
SUMPRODUCT(--ISNUMBER($AE$16:$AE$25),--ISNUMBER($AF$16:$AF$25))
)
+
0.1 *
IF(
SUMPRODUCT(--ISNUMBER($AE$31:$AE$35),--ISNUMBER($AF$31:$AF$35))=0,
0,
SUMPRODUCT(--ISNUMBER($AE$31:$AE$35),--ISNUMBER($AF$31:$AF$35),--(($AE$31:$AE$35+$AF$31:$AF$35)&gt;=4))
/
SUMPRODUCT(--ISNUMBER($AE$31:$AE$35),--ISNUMBER($AF$31:$AF$35))
)
),"")</f>
        <v/>
      </c>
      <c r="CP8" s="3">
        <f>IFERROR(
IF(
COUNT($AE$2:$AE$11)=0,
"",
AVERAGE($AE$2:$AE$11)
),"")</f>
        <v>1.1000000000000001</v>
      </c>
      <c r="CR8" s="3" t="str">
        <f>IFERROR(
(
0.45 *
IF(
SUMPRODUCT(--ISNUMBER($AU$2:$AU$11),--ISNUMBER($AV$2:$AV$11))=0,
0,
SUMPRODUCT(--ISNUMBER($AU$2:$AU$11),--ISNUMBER($AV$2:$AV$11),--(($AU$2:$AU$11+$AV$2:$AV$11)&gt;=10))
/
SUMPRODUCT(--ISNUMBER($AU$2:$AU$11),--ISNUMBER($AV$2:$AV$11))
)
+
0.45 *
IF(
SUMPRODUCT(--ISNUMBER($AU$16:$AU$25),--ISNUMBER($AV$16:$AV$25))=0,
0,
SUMPRODUCT(--ISNUMBER($AU$16:$AU$25),--ISNUMBER($AV$16:$AV$25),--(($AU$16:$AU$25+$AV$16:$AV$25)&gt;=10))
/
SUMPRODUCT(--ISNUMBER($AU$16:$AU$25),--ISNUMBER($AV$16:$AV$25))
)
+
0.1 *
IF(
SUMPRODUCT(--ISNUMBER($AU$31:$AU$35),--ISNUMBER($AV$31:$AV$35))=0,
0,
SUMPRODUCT(--ISNUMBER($AU$31:$AU$35),--ISNUMBER($AV$31:$AV$35),--(($AU$31:$AU$35+$AV$31:$AV$35)&gt;=10))
/
SUMPRODUCT(--ISNUMBER($AU$31:$AU$35),--ISNUMBER($AV$31:$AV$35))
)
),"")</f>
        <v/>
      </c>
      <c r="CV8" s="109" t="s">
        <v>245</v>
      </c>
      <c r="CW8" s="109"/>
      <c r="CX8" s="109"/>
      <c r="CZ8" s="1" t="s">
        <v>256</v>
      </c>
      <c r="DB8" s="1" t="s">
        <v>257</v>
      </c>
      <c r="DD8" s="3">
        <f>IFERROR(
ROUND(
SUMPRODUCT(--ISNUMBER($AF$31:$AF$35),$AF$31:$AF$35) /
SUMPRODUCT(--ISNUMBER($AF$31:$AF$35)),2),
"")</f>
        <v>2</v>
      </c>
    </row>
    <row r="9" spans="1:108" x14ac:dyDescent="0.25">
      <c r="H9" s="1">
        <v>1512987</v>
      </c>
      <c r="I9" s="4">
        <v>46268.020833333336</v>
      </c>
      <c r="J9" s="1" t="s">
        <v>17</v>
      </c>
      <c r="K9" s="1" t="s">
        <v>389</v>
      </c>
      <c r="L9" s="1" t="s">
        <v>390</v>
      </c>
      <c r="M9" s="1" t="s">
        <v>480</v>
      </c>
      <c r="N9" s="1" t="s">
        <v>476</v>
      </c>
      <c r="O9" s="1" t="s">
        <v>3978</v>
      </c>
      <c r="Q9" s="1">
        <f>IF(INDEX(Last10Home_Stats_All!$A:$A,ROW()-ROW($Q$2)+2)="","",
IFERROR(
INDEX(Last10Home_Stats_All!$A:$ZZ,ROW()-ROW($Q$2)+2,COLUMN()-COLUMN($Q$2)+1),
""))</f>
        <v>1387383</v>
      </c>
      <c r="R9" s="1" t="str">
        <f>IF(INDEX(Last10Home_Stats_All!$A:$A,ROW()-ROW($Q$2)+2)="","",
IFERROR(
INDEX(Last10Home_Stats_All!$A:$ZZ,ROW()-ROW($Q$2)+2,COLUMN()-COLUMN($Q$2)+1),
""))</f>
        <v>01/01/2026 15:00</v>
      </c>
      <c r="S9" s="1" t="str">
        <f>IF(INDEX(Last10Home_Stats_All!$A:$A,ROW()-ROW($Q$2)+2)="","",
IFERROR(
INDEX(Last10Home_Stats_All!$A:$ZZ,ROW()-ROW($Q$2)+2,COLUMN()-COLUMN($Q$2)+1),
""))</f>
        <v>England</v>
      </c>
      <c r="T9" s="1" t="str">
        <f>IF(INDEX(Last10Home_Stats_All!$A:$A,ROW()-ROW($Q$2)+2)="","",
IFERROR(
INDEX(Last10Home_Stats_All!$A:$ZZ,ROW()-ROW($Q$2)+2,COLUMN()-COLUMN($Q$2)+1),
""))</f>
        <v>League One</v>
      </c>
      <c r="U9" s="1" t="str">
        <f>IF(INDEX(Last10Home_Stats_All!$A:$A,ROW()-ROW($Q$2)+2)="","",
IFERROR(
INDEX(Last10Home_Stats_All!$A:$ZZ,ROW()-ROW($Q$2)+2,COLUMN()-COLUMN($Q$2)+1),
""))</f>
        <v>https://media.api-sports.io/football/teams/1374.png</v>
      </c>
      <c r="V9" s="1" t="str">
        <f>IF(INDEX(Last10Home_Stats_All!$A:$A,ROW()-ROW($Q$2)+2)="","",
IFERROR(
INDEX(Last10Home_Stats_All!$A:$ZZ,ROW()-ROW($Q$2)+2,COLUMN()-COLUMN($Q$2)+1),
""))</f>
        <v>Mansfield Town</v>
      </c>
      <c r="W9" s="1" t="str">
        <f>IF(INDEX(Last10Home_Stats_All!$A:$A,ROW()-ROW($Q$2)+2)="","",
IFERROR(
INDEX(Last10Home_Stats_All!$A:$ZZ,ROW()-ROW($Q$2)+2,COLUMN()-COLUMN($Q$2)+1),
""))</f>
        <v>https://media.api-sports.io/football/teams/1343.png</v>
      </c>
      <c r="X9" s="1" t="str">
        <f>IF(INDEX(Last10Home_Stats_All!$A:$A,ROW()-ROW($Q$2)+2)="","",
IFERROR(
INDEX(Last10Home_Stats_All!$A:$ZZ,ROW()-ROW($Q$2)+2,COLUMN()-COLUMN($Q$2)+1),
""))</f>
        <v>Bradford</v>
      </c>
      <c r="Y9" s="1" t="str">
        <f>IF(INDEX(Last10Home_Stats_All!$A:$A,ROW()-ROW($Q$2)+2)="","",
IFERROR(
INDEX(Last10Home_Stats_All!$A:$ZZ,ROW()-ROW($Q$2)+2,COLUMN()-COLUMN($Q$2)+1),
""))</f>
        <v>https://media.api-sports.io/football/leagues/41.png</v>
      </c>
      <c r="Z9" s="1" t="str">
        <f>IF(INDEX(Last10Home_Stats_All!$A:$A,ROW()-ROW($Q$2)+2)="","",
IFERROR(
INDEX(Last10Home_Stats_All!$A:$ZZ,ROW()-ROW($Q$2)+2,COLUMN()-COLUMN($Q$2)+1),
""))</f>
        <v>https://media.api-sports.io/flags/gb-eng.svg</v>
      </c>
      <c r="AA9" s="1">
        <f>IF(INDEX(Last10Home_Stats_All!$A:$A,ROW()-ROW($Q$2)+2)="","",
IFERROR(
INDEX(Last10Home_Stats_All!$A:$ZZ,ROW()-ROW($Q$2)+2,COLUMN()-COLUMN($Q$2)+1),
""))</f>
        <v>3</v>
      </c>
      <c r="AB9" s="1">
        <f>IF(INDEX(Last10Home_Stats_All!$A:$A,ROW()-ROW($Q$2)+2)="","",
IFERROR(
INDEX(Last10Home_Stats_All!$A:$ZZ,ROW()-ROW($Q$2)+2,COLUMN()-COLUMN($Q$2)+1),
""))</f>
        <v>0</v>
      </c>
      <c r="AC9" s="1">
        <f>IF(INDEX(Last10Home_Stats_All!$A:$A,ROW()-ROW($Q$2)+2)="","",
IFERROR(
INDEX(Last10Home_Stats_All!$A:$ZZ,ROW()-ROW($Q$2)+2,COLUMN()-COLUMN($Q$2)+1),
""))</f>
        <v>2</v>
      </c>
      <c r="AD9" s="1">
        <f>IF(INDEX(Last10Home_Stats_All!$A:$A,ROW()-ROW($Q$2)+2)="","",
IFERROR(
INDEX(Last10Home_Stats_All!$A:$ZZ,ROW()-ROW($Q$2)+2,COLUMN()-COLUMN($Q$2)+1),
""))</f>
        <v>0</v>
      </c>
      <c r="AE9" s="1">
        <f>IF(INDEX(Last10Home_Stats_All!$A:$A,ROW()-ROW($Q$2)+2)="","",
IFERROR(
INDEX(Last10Home_Stats_All!$A:$ZZ,ROW()-ROW($Q$2)+2,COLUMN()-COLUMN($Q$2)+1),
""))</f>
        <v>3</v>
      </c>
      <c r="AF9" s="1">
        <f>IF(INDEX(Last10Home_Stats_All!$A:$A,ROW()-ROW($Q$2)+2)="","",
IFERROR(
INDEX(Last10Home_Stats_All!$A:$ZZ,ROW()-ROW($Q$2)+2,COLUMN()-COLUMN($Q$2)+1),
""))</f>
        <v>0</v>
      </c>
      <c r="AG9" s="1">
        <f>IF(INDEX(Last10Home_Stats_All!$A:$A,ROW()-ROW($Q$2)+2)="","",
IFERROR(
INDEX(Last10Home_Stats_All!$A:$ZZ,ROW()-ROW($Q$2)+2,COLUMN()-COLUMN($Q$2)+1),
""))</f>
        <v>8</v>
      </c>
      <c r="AH9" s="1">
        <f>IF(INDEX(Last10Home_Stats_All!$A:$A,ROW()-ROW($Q$2)+2)="","",
IFERROR(
INDEX(Last10Home_Stats_All!$A:$ZZ,ROW()-ROW($Q$2)+2,COLUMN()-COLUMN($Q$2)+1),
""))</f>
        <v>2</v>
      </c>
      <c r="AI9" s="1">
        <f>IF(INDEX(Last10Home_Stats_All!$A:$A,ROW()-ROW($Q$2)+2)="","",
IFERROR(
INDEX(Last10Home_Stats_All!$A:$ZZ,ROW()-ROW($Q$2)+2,COLUMN()-COLUMN($Q$2)+1),
""))</f>
        <v>2</v>
      </c>
      <c r="AJ9" s="1">
        <f>IF(INDEX(Last10Home_Stats_All!$A:$A,ROW()-ROW($Q$2)+2)="","",
IFERROR(
INDEX(Last10Home_Stats_All!$A:$ZZ,ROW()-ROW($Q$2)+2,COLUMN()-COLUMN($Q$2)+1),
""))</f>
        <v>4</v>
      </c>
      <c r="AK9" s="1">
        <f>IF(INDEX(Last10Home_Stats_All!$A:$A,ROW()-ROW($Q$2)+2)="","",
IFERROR(
INDEX(Last10Home_Stats_All!$A:$ZZ,ROW()-ROW($Q$2)+2,COLUMN()-COLUMN($Q$2)+1),
""))</f>
        <v>14</v>
      </c>
      <c r="AL9" s="1">
        <f>IF(INDEX(Last10Home_Stats_All!$A:$A,ROW()-ROW($Q$2)+2)="","",
IFERROR(
INDEX(Last10Home_Stats_All!$A:$ZZ,ROW()-ROW($Q$2)+2,COLUMN()-COLUMN($Q$2)+1),
""))</f>
        <v>11</v>
      </c>
      <c r="AM9" s="1">
        <f>IF(INDEX(Last10Home_Stats_All!$A:$A,ROW()-ROW($Q$2)+2)="","",
IFERROR(
INDEX(Last10Home_Stats_All!$A:$ZZ,ROW()-ROW($Q$2)+2,COLUMN()-COLUMN($Q$2)+1),
""))</f>
        <v>4</v>
      </c>
      <c r="AN9" s="1">
        <f>IF(INDEX(Last10Home_Stats_All!$A:$A,ROW()-ROW($Q$2)+2)="","",
IFERROR(
INDEX(Last10Home_Stats_All!$A:$ZZ,ROW()-ROW($Q$2)+2,COLUMN()-COLUMN($Q$2)+1),
""))</f>
        <v>5</v>
      </c>
      <c r="AO9" s="1">
        <f>IF(INDEX(Last10Home_Stats_All!$A:$A,ROW()-ROW($Q$2)+2)="","",
IFERROR(
INDEX(Last10Home_Stats_All!$A:$ZZ,ROW()-ROW($Q$2)+2,COLUMN()-COLUMN($Q$2)+1),
""))</f>
        <v>10</v>
      </c>
      <c r="AP9" s="1">
        <f>IF(INDEX(Last10Home_Stats_All!$A:$A,ROW()-ROW($Q$2)+2)="","",
IFERROR(
INDEX(Last10Home_Stats_All!$A:$ZZ,ROW()-ROW($Q$2)+2,COLUMN()-COLUMN($Q$2)+1),
""))</f>
        <v>8</v>
      </c>
      <c r="AQ9" s="1">
        <f>IF(INDEX(Last10Home_Stats_All!$A:$A,ROW()-ROW($Q$2)+2)="","",
IFERROR(
INDEX(Last10Home_Stats_All!$A:$ZZ,ROW()-ROW($Q$2)+2,COLUMN()-COLUMN($Q$2)+1),
""))</f>
        <v>4</v>
      </c>
      <c r="AR9" s="1">
        <f>IF(INDEX(Last10Home_Stats_All!$A:$A,ROW()-ROW($Q$2)+2)="","",
IFERROR(
INDEX(Last10Home_Stats_All!$A:$ZZ,ROW()-ROW($Q$2)+2,COLUMN()-COLUMN($Q$2)+1),
""))</f>
        <v>3</v>
      </c>
      <c r="AS9" s="1">
        <f>IF(INDEX(Last10Home_Stats_All!$A:$A,ROW()-ROW($Q$2)+2)="","",
IFERROR(
INDEX(Last10Home_Stats_All!$A:$ZZ,ROW()-ROW($Q$2)+2,COLUMN()-COLUMN($Q$2)+1),
""))</f>
        <v>9</v>
      </c>
      <c r="AT9" s="1">
        <f>IF(INDEX(Last10Home_Stats_All!$A:$A,ROW()-ROW($Q$2)+2)="","",
IFERROR(
INDEX(Last10Home_Stats_All!$A:$ZZ,ROW()-ROW($Q$2)+2,COLUMN()-COLUMN($Q$2)+1),
""))</f>
        <v>4</v>
      </c>
      <c r="AU9" s="1">
        <f>IF(INDEX(Last10Home_Stats_All!$A:$A,ROW()-ROW($Q$2)+2)="","",
IFERROR(
INDEX(Last10Home_Stats_All!$A:$ZZ,ROW()-ROW($Q$2)+2,COLUMN()-COLUMN($Q$2)+1),
""))</f>
        <v>2</v>
      </c>
      <c r="AV9" s="1">
        <f>IF(INDEX(Last10Home_Stats_All!$A:$A,ROW()-ROW($Q$2)+2)="","",
IFERROR(
INDEX(Last10Home_Stats_All!$A:$ZZ,ROW()-ROW($Q$2)+2,COLUMN()-COLUMN($Q$2)+1),
""))</f>
        <v>4</v>
      </c>
      <c r="AW9" s="1">
        <f>IF(INDEX(Last10Home_Stats_All!$A:$A,ROW()-ROW($Q$2)+2)="","",
IFERROR(
INDEX(Last10Home_Stats_All!$A:$ZZ,ROW()-ROW($Q$2)+2,COLUMN()-COLUMN($Q$2)+1),
""))</f>
        <v>0</v>
      </c>
      <c r="AX9" s="1">
        <f>IF(INDEX(Last10Home_Stats_All!$A:$A,ROW()-ROW($Q$2)+2)="","",
IFERROR(
INDEX(Last10Home_Stats_All!$A:$ZZ,ROW()-ROW($Q$2)+2,COLUMN()-COLUMN($Q$2)+1),
""))</f>
        <v>1</v>
      </c>
      <c r="AY9" s="1">
        <f>IF(INDEX(Last10Home_Stats_All!$A:$A,ROW()-ROW($Q$2)+2)="","",
IFERROR(
INDEX(Last10Home_Stats_All!$A:$ZZ,ROW()-ROW($Q$2)+2,COLUMN()-COLUMN($Q$2)+1),
""))</f>
        <v>47</v>
      </c>
      <c r="AZ9" s="1">
        <f>IF(INDEX(Last10Home_Stats_All!$A:$A,ROW()-ROW($Q$2)+2)="","",
IFERROR(
INDEX(Last10Home_Stats_All!$A:$ZZ,ROW()-ROW($Q$2)+2,COLUMN()-COLUMN($Q$2)+1),
""))</f>
        <v>53</v>
      </c>
      <c r="BA9" s="1">
        <f>IF(INDEX(Last10Home_Stats_All!$A:$A,ROW()-ROW($Q$2)+2)="","",
IFERROR(
INDEX(Last10Home_Stats_All!$A:$ZZ,ROW()-ROW($Q$2)+2,COLUMN()-COLUMN($Q$2)+1),
""))</f>
        <v>2</v>
      </c>
      <c r="BB9" s="1">
        <f>IF(INDEX(Last10Home_Stats_All!$A:$A,ROW()-ROW($Q$2)+2)="","",
IFERROR(
INDEX(Last10Home_Stats_All!$A:$ZZ,ROW()-ROW($Q$2)+2,COLUMN()-COLUMN($Q$2)+1),
""))</f>
        <v>0</v>
      </c>
      <c r="BC9" s="1">
        <f>IF(INDEX(Last10Home_Stats_All!$A:$A,ROW()-ROW($Q$2)+2)="","",
IFERROR(
INDEX(Last10Home_Stats_All!$A:$ZZ,ROW()-ROW($Q$2)+2,COLUMN()-COLUMN($Q$2)+1),
""))</f>
        <v>0</v>
      </c>
      <c r="BD9" s="1">
        <f>IF(INDEX(Last10Home_Stats_All!$A:$A,ROW()-ROW($Q$2)+2)="","",
IFERROR(
INDEX(Last10Home_Stats_All!$A:$ZZ,ROW()-ROW($Q$2)+2,COLUMN()-COLUMN($Q$2)+1),
""))</f>
        <v>0</v>
      </c>
      <c r="BE9" s="1">
        <f>IF(INDEX(Last10Home_Stats_All!$A:$A,ROW()-ROW($Q$2)+2)="","",
IFERROR(
INDEX(Last10Home_Stats_All!$A:$ZZ,ROW()-ROW($Q$2)+2,COLUMN()-COLUMN($Q$2)+1),
""))</f>
        <v>2</v>
      </c>
      <c r="BF9" s="1">
        <f>IF(INDEX(Last10Home_Stats_All!$A:$A,ROW()-ROW($Q$2)+2)="","",
IFERROR(
INDEX(Last10Home_Stats_All!$A:$ZZ,ROW()-ROW($Q$2)+2,COLUMN()-COLUMN($Q$2)+1),
""))</f>
        <v>5</v>
      </c>
      <c r="BG9" s="1">
        <f>IF(INDEX(Last10Home_Stats_All!$A:$A,ROW()-ROW($Q$2)+2)="","",
IFERROR(
INDEX(Last10Home_Stats_All!$A:$ZZ,ROW()-ROW($Q$2)+2,COLUMN()-COLUMN($Q$2)+1),
""))</f>
        <v>359</v>
      </c>
      <c r="BH9" s="1">
        <f>IF(INDEX(Last10Home_Stats_All!$A:$A,ROW()-ROW($Q$2)+2)="","",
IFERROR(
INDEX(Last10Home_Stats_All!$A:$ZZ,ROW()-ROW($Q$2)+2,COLUMN()-COLUMN($Q$2)+1),
""))</f>
        <v>411</v>
      </c>
      <c r="BI9" s="1">
        <f>IF(INDEX(Last10Home_Stats_All!$A:$A,ROW()-ROW($Q$2)+2)="","",
IFERROR(
INDEX(Last10Home_Stats_All!$A:$ZZ,ROW()-ROW($Q$2)+2,COLUMN()-COLUMN($Q$2)+1),
""))</f>
        <v>243</v>
      </c>
      <c r="BJ9" s="1">
        <f>IF(INDEX(Last10Home_Stats_All!$A:$A,ROW()-ROW($Q$2)+2)="","",
IFERROR(
INDEX(Last10Home_Stats_All!$A:$ZZ,ROW()-ROW($Q$2)+2,COLUMN()-COLUMN($Q$2)+1),
""))</f>
        <v>275</v>
      </c>
      <c r="BK9" s="1">
        <f>IF(INDEX(Last10Home_Stats_All!$A:$A,ROW()-ROW($Q$2)+2)="","",
IFERROR(
INDEX(Last10Home_Stats_All!$A:$ZZ,ROW()-ROW($Q$2)+2,COLUMN()-COLUMN($Q$2)+1),
""))</f>
        <v>68</v>
      </c>
      <c r="BL9" s="1">
        <f>IF(INDEX(Last10Home_Stats_All!$A:$A,ROW()-ROW($Q$2)+2)="","",
IFERROR(
INDEX(Last10Home_Stats_All!$A:$ZZ,ROW()-ROW($Q$2)+2,COLUMN()-COLUMN($Q$2)+1),
""))</f>
        <v>67</v>
      </c>
      <c r="BM9" s="1">
        <f>IF(INDEX(Last10Home_Stats_All!$A:$A,ROW()-ROW($Q$2)+2)="","",
IFERROR(
INDEX(Last10Home_Stats_All!$A:$ZZ,ROW()-ROW($Q$2)+2,COLUMN()-COLUMN($Q$2)+1),
""))</f>
        <v>2.52</v>
      </c>
      <c r="BN9" s="1">
        <f>IF(INDEX(Last10Home_Stats_All!$A:$A,ROW()-ROW($Q$2)+2)="","",
IFERROR(
INDEX(Last10Home_Stats_All!$A:$ZZ,ROW()-ROW($Q$2)+2,COLUMN()-COLUMN($Q$2)+1),
""))</f>
        <v>1.52</v>
      </c>
      <c r="BO9" s="1">
        <f>IF(INDEX(Last10Home_Stats_All!$A:$A,ROW()-ROW($Q$2)+2)="","",
IFERROR(
INDEX(Last10Home_Stats_All!$A:$ZZ,ROW()-ROW($Q$2)+2,COLUMN()-COLUMN($Q$2)+1),
""))</f>
        <v>0</v>
      </c>
      <c r="BP9" s="1">
        <f>IF(INDEX(Last10Home_Stats_All!$A:$A,ROW()-ROW($Q$2)+2)="","",
IFERROR(
INDEX(Last10Home_Stats_All!$A:$ZZ,ROW()-ROW($Q$2)+2,COLUMN()-COLUMN($Q$2)+1),
""))</f>
        <v>0</v>
      </c>
      <c r="BR9" s="1" t="str">
        <f>IF(OR(Control!AC9="",Control!AD9=""),"",Control!AC9&amp;" : "&amp;Control!AD9)</f>
        <v>2 : 0</v>
      </c>
      <c r="BS9" s="1" t="str">
        <f>IF(OR(Control!AE9="",Control!AF9=""),"",Control!AE9&amp;" : "&amp;Control!AF9)</f>
        <v>3 : 0</v>
      </c>
      <c r="BT9" s="1" t="str">
        <f>IF(OR(Control!AU9="",Control!AV9=""),"",Control!AU9&amp;" : "&amp;Control!AV9)</f>
        <v>2 : 4</v>
      </c>
      <c r="BV9" s="1" t="str">
        <f>IFERROR(INDEX(tblStandings[#All],ROW(A9),COLUMN(A9)),"")</f>
        <v/>
      </c>
      <c r="BW9" s="1" t="str">
        <f>IFERROR(INDEX(tblStandings[#All],ROW(B9),COLUMN(B9)),"")</f>
        <v/>
      </c>
      <c r="BX9" s="1" t="str">
        <f>IFERROR(INDEX(tblStandings[#All],ROW(C9),COLUMN(C9)),"")</f>
        <v/>
      </c>
      <c r="BY9" s="1" t="str">
        <f>IFERROR(INDEX(tblStandings[#All],ROW(D9),COLUMN(D9)),"")</f>
        <v/>
      </c>
      <c r="BZ9" s="1" t="str">
        <f>IFERROR(INDEX(tblStandings[#All],ROW(E9),COLUMN(E9)),"")</f>
        <v/>
      </c>
      <c r="CA9" s="1" t="str">
        <f>IFERROR(INDEX(tblStandings[#All],ROW(F9),COLUMN(F9)),"")</f>
        <v/>
      </c>
      <c r="CB9" s="1" t="str">
        <f>IFERROR(INDEX(tblStandings[#All],ROW(G9),COLUMN(G9)),"")</f>
        <v/>
      </c>
      <c r="CC9" s="1" t="str">
        <f>IFERROR(INDEX(tblStandings[#All],ROW(H9),COLUMN(H9)),"")</f>
        <v/>
      </c>
      <c r="CD9" s="1" t="str">
        <f>IFERROR(INDEX(tblStandings[#All],ROW(I9),COLUMN(I9)),"")</f>
        <v/>
      </c>
      <c r="CE9" s="1" t="str">
        <f>IFERROR(INDEX(tblStandings[#All],ROW(J9),COLUMN(J9)),"")</f>
        <v/>
      </c>
      <c r="CF9" s="1" t="str">
        <f>IFERROR(INDEX(tblStandings[#All],ROW(K9),COLUMN(K9)),"")</f>
        <v/>
      </c>
      <c r="CG9" s="1" t="str">
        <f t="shared" si="0"/>
        <v/>
      </c>
      <c r="CH9" s="1" t="str">
        <f t="shared" si="1"/>
        <v/>
      </c>
      <c r="CI9" s="1" t="str">
        <f t="shared" si="2"/>
        <v/>
      </c>
      <c r="CJ9" s="1" t="str">
        <f t="shared" si="3"/>
        <v/>
      </c>
      <c r="CK9" s="1" t="str">
        <f t="shared" si="4"/>
        <v/>
      </c>
    </row>
    <row r="10" spans="1:108" x14ac:dyDescent="0.25">
      <c r="A10" s="1" t="s">
        <v>7</v>
      </c>
      <c r="B10" s="1">
        <v>1523412</v>
      </c>
      <c r="H10" s="1">
        <v>1525806</v>
      </c>
      <c r="I10" s="4">
        <v>46268.041666666664</v>
      </c>
      <c r="J10" s="1" t="s">
        <v>17</v>
      </c>
      <c r="K10" s="1" t="s">
        <v>24</v>
      </c>
      <c r="L10" s="1" t="s">
        <v>25</v>
      </c>
      <c r="M10" s="1" t="s">
        <v>3980</v>
      </c>
      <c r="N10" s="1" t="s">
        <v>482</v>
      </c>
      <c r="O10" s="1" t="s">
        <v>3981</v>
      </c>
      <c r="Q10" s="1">
        <f>IF(INDEX(Last10Home_Stats_All!$A:$A,ROW()-ROW($Q$2)+2)="","",
IFERROR(
INDEX(Last10Home_Stats_All!$A:$ZZ,ROW()-ROW($Q$2)+2,COLUMN()-COLUMN($Q$2)+1),
""))</f>
        <v>1387346</v>
      </c>
      <c r="R10" s="1" t="str">
        <f>IF(INDEX(Last10Home_Stats_All!$A:$A,ROW()-ROW($Q$2)+2)="","",
IFERROR(
INDEX(Last10Home_Stats_All!$A:$ZZ,ROW()-ROW($Q$2)+2,COLUMN()-COLUMN($Q$2)+1),
""))</f>
        <v>20/12/2025 15:00</v>
      </c>
      <c r="S10" s="1" t="str">
        <f>IF(INDEX(Last10Home_Stats_All!$A:$A,ROW()-ROW($Q$2)+2)="","",
IFERROR(
INDEX(Last10Home_Stats_All!$A:$ZZ,ROW()-ROW($Q$2)+2,COLUMN()-COLUMN($Q$2)+1),
""))</f>
        <v>England</v>
      </c>
      <c r="T10" s="1" t="str">
        <f>IF(INDEX(Last10Home_Stats_All!$A:$A,ROW()-ROW($Q$2)+2)="","",
IFERROR(
INDEX(Last10Home_Stats_All!$A:$ZZ,ROW()-ROW($Q$2)+2,COLUMN()-COLUMN($Q$2)+1),
""))</f>
        <v>League One</v>
      </c>
      <c r="U10" s="1" t="str">
        <f>IF(INDEX(Last10Home_Stats_All!$A:$A,ROW()-ROW($Q$2)+2)="","",
IFERROR(
INDEX(Last10Home_Stats_All!$A:$ZZ,ROW()-ROW($Q$2)+2,COLUMN()-COLUMN($Q$2)+1),
""))</f>
        <v>https://media.api-sports.io/football/teams/1374.png</v>
      </c>
      <c r="V10" s="1" t="str">
        <f>IF(INDEX(Last10Home_Stats_All!$A:$A,ROW()-ROW($Q$2)+2)="","",
IFERROR(
INDEX(Last10Home_Stats_All!$A:$ZZ,ROW()-ROW($Q$2)+2,COLUMN()-COLUMN($Q$2)+1),
""))</f>
        <v>Mansfield Town</v>
      </c>
      <c r="W10" s="1" t="str">
        <f>IF(INDEX(Last10Home_Stats_All!$A:$A,ROW()-ROW($Q$2)+2)="","",
IFERROR(
INDEX(Last10Home_Stats_All!$A:$ZZ,ROW()-ROW($Q$2)+2,COLUMN()-COLUMN($Q$2)+1),
""))</f>
        <v>https://media.api-sports.io/football/teams/4686.png</v>
      </c>
      <c r="X10" s="1" t="str">
        <f>IF(INDEX(Last10Home_Stats_All!$A:$A,ROW()-ROW($Q$2)+2)="","",
IFERROR(
INDEX(Last10Home_Stats_All!$A:$ZZ,ROW()-ROW($Q$2)+2,COLUMN()-COLUMN($Q$2)+1),
""))</f>
        <v>Stockport County</v>
      </c>
      <c r="Y10" s="1" t="str">
        <f>IF(INDEX(Last10Home_Stats_All!$A:$A,ROW()-ROW($Q$2)+2)="","",
IFERROR(
INDEX(Last10Home_Stats_All!$A:$ZZ,ROW()-ROW($Q$2)+2,COLUMN()-COLUMN($Q$2)+1),
""))</f>
        <v>https://media.api-sports.io/football/leagues/41.png</v>
      </c>
      <c r="Z10" s="1" t="str">
        <f>IF(INDEX(Last10Home_Stats_All!$A:$A,ROW()-ROW($Q$2)+2)="","",
IFERROR(
INDEX(Last10Home_Stats_All!$A:$ZZ,ROW()-ROW($Q$2)+2,COLUMN()-COLUMN($Q$2)+1),
""))</f>
        <v>https://media.api-sports.io/flags/gb-eng.svg</v>
      </c>
      <c r="AA10" s="1">
        <f>IF(INDEX(Last10Home_Stats_All!$A:$A,ROW()-ROW($Q$2)+2)="","",
IFERROR(
INDEX(Last10Home_Stats_All!$A:$ZZ,ROW()-ROW($Q$2)+2,COLUMN()-COLUMN($Q$2)+1),
""))</f>
        <v>1</v>
      </c>
      <c r="AB10" s="1">
        <f>IF(INDEX(Last10Home_Stats_All!$A:$A,ROW()-ROW($Q$2)+2)="","",
IFERROR(
INDEX(Last10Home_Stats_All!$A:$ZZ,ROW()-ROW($Q$2)+2,COLUMN()-COLUMN($Q$2)+1),
""))</f>
        <v>2</v>
      </c>
      <c r="AC10" s="1">
        <f>IF(INDEX(Last10Home_Stats_All!$A:$A,ROW()-ROW($Q$2)+2)="","",
IFERROR(
INDEX(Last10Home_Stats_All!$A:$ZZ,ROW()-ROW($Q$2)+2,COLUMN()-COLUMN($Q$2)+1),
""))</f>
        <v>1</v>
      </c>
      <c r="AD10" s="1">
        <f>IF(INDEX(Last10Home_Stats_All!$A:$A,ROW()-ROW($Q$2)+2)="","",
IFERROR(
INDEX(Last10Home_Stats_All!$A:$ZZ,ROW()-ROW($Q$2)+2,COLUMN()-COLUMN($Q$2)+1),
""))</f>
        <v>1</v>
      </c>
      <c r="AE10" s="1">
        <f>IF(INDEX(Last10Home_Stats_All!$A:$A,ROW()-ROW($Q$2)+2)="","",
IFERROR(
INDEX(Last10Home_Stats_All!$A:$ZZ,ROW()-ROW($Q$2)+2,COLUMN()-COLUMN($Q$2)+1),
""))</f>
        <v>1</v>
      </c>
      <c r="AF10" s="1">
        <f>IF(INDEX(Last10Home_Stats_All!$A:$A,ROW()-ROW($Q$2)+2)="","",
IFERROR(
INDEX(Last10Home_Stats_All!$A:$ZZ,ROW()-ROW($Q$2)+2,COLUMN()-COLUMN($Q$2)+1),
""))</f>
        <v>2</v>
      </c>
      <c r="AG10" s="1">
        <f>IF(INDEX(Last10Home_Stats_All!$A:$A,ROW()-ROW($Q$2)+2)="","",
IFERROR(
INDEX(Last10Home_Stats_All!$A:$ZZ,ROW()-ROW($Q$2)+2,COLUMN()-COLUMN($Q$2)+1),
""))</f>
        <v>3</v>
      </c>
      <c r="AH10" s="1">
        <f>IF(INDEX(Last10Home_Stats_All!$A:$A,ROW()-ROW($Q$2)+2)="","",
IFERROR(
INDEX(Last10Home_Stats_All!$A:$ZZ,ROW()-ROW($Q$2)+2,COLUMN()-COLUMN($Q$2)+1),
""))</f>
        <v>6</v>
      </c>
      <c r="AI10" s="1">
        <f>IF(INDEX(Last10Home_Stats_All!$A:$A,ROW()-ROW($Q$2)+2)="","",
IFERROR(
INDEX(Last10Home_Stats_All!$A:$ZZ,ROW()-ROW($Q$2)+2,COLUMN()-COLUMN($Q$2)+1),
""))</f>
        <v>7</v>
      </c>
      <c r="AJ10" s="1">
        <f>IF(INDEX(Last10Home_Stats_All!$A:$A,ROW()-ROW($Q$2)+2)="","",
IFERROR(
INDEX(Last10Home_Stats_All!$A:$ZZ,ROW()-ROW($Q$2)+2,COLUMN()-COLUMN($Q$2)+1),
""))</f>
        <v>2</v>
      </c>
      <c r="AK10" s="1">
        <f>IF(INDEX(Last10Home_Stats_All!$A:$A,ROW()-ROW($Q$2)+2)="","",
IFERROR(
INDEX(Last10Home_Stats_All!$A:$ZZ,ROW()-ROW($Q$2)+2,COLUMN()-COLUMN($Q$2)+1),
""))</f>
        <v>17</v>
      </c>
      <c r="AL10" s="1">
        <f>IF(INDEX(Last10Home_Stats_All!$A:$A,ROW()-ROW($Q$2)+2)="","",
IFERROR(
INDEX(Last10Home_Stats_All!$A:$ZZ,ROW()-ROW($Q$2)+2,COLUMN()-COLUMN($Q$2)+1),
""))</f>
        <v>9</v>
      </c>
      <c r="AM10" s="1">
        <f>IF(INDEX(Last10Home_Stats_All!$A:$A,ROW()-ROW($Q$2)+2)="","",
IFERROR(
INDEX(Last10Home_Stats_All!$A:$ZZ,ROW()-ROW($Q$2)+2,COLUMN()-COLUMN($Q$2)+1),
""))</f>
        <v>7</v>
      </c>
      <c r="AN10" s="1">
        <f>IF(INDEX(Last10Home_Stats_All!$A:$A,ROW()-ROW($Q$2)+2)="","",
IFERROR(
INDEX(Last10Home_Stats_All!$A:$ZZ,ROW()-ROW($Q$2)+2,COLUMN()-COLUMN($Q$2)+1),
""))</f>
        <v>1</v>
      </c>
      <c r="AO10" s="1">
        <f>IF(INDEX(Last10Home_Stats_All!$A:$A,ROW()-ROW($Q$2)+2)="","",
IFERROR(
INDEX(Last10Home_Stats_All!$A:$ZZ,ROW()-ROW($Q$2)+2,COLUMN()-COLUMN($Q$2)+1),
""))</f>
        <v>13</v>
      </c>
      <c r="AP10" s="1">
        <f>IF(INDEX(Last10Home_Stats_All!$A:$A,ROW()-ROW($Q$2)+2)="","",
IFERROR(
INDEX(Last10Home_Stats_All!$A:$ZZ,ROW()-ROW($Q$2)+2,COLUMN()-COLUMN($Q$2)+1),
""))</f>
        <v>6</v>
      </c>
      <c r="AQ10" s="1">
        <f>IF(INDEX(Last10Home_Stats_All!$A:$A,ROW()-ROW($Q$2)+2)="","",
IFERROR(
INDEX(Last10Home_Stats_All!$A:$ZZ,ROW()-ROW($Q$2)+2,COLUMN()-COLUMN($Q$2)+1),
""))</f>
        <v>4</v>
      </c>
      <c r="AR10" s="1">
        <f>IF(INDEX(Last10Home_Stats_All!$A:$A,ROW()-ROW($Q$2)+2)="","",
IFERROR(
INDEX(Last10Home_Stats_All!$A:$ZZ,ROW()-ROW($Q$2)+2,COLUMN()-COLUMN($Q$2)+1),
""))</f>
        <v>3</v>
      </c>
      <c r="AS10" s="1">
        <f>IF(INDEX(Last10Home_Stats_All!$A:$A,ROW()-ROW($Q$2)+2)="","",
IFERROR(
INDEX(Last10Home_Stats_All!$A:$ZZ,ROW()-ROW($Q$2)+2,COLUMN()-COLUMN($Q$2)+1),
""))</f>
        <v>7</v>
      </c>
      <c r="AT10" s="1">
        <f>IF(INDEX(Last10Home_Stats_All!$A:$A,ROW()-ROW($Q$2)+2)="","",
IFERROR(
INDEX(Last10Home_Stats_All!$A:$ZZ,ROW()-ROW($Q$2)+2,COLUMN()-COLUMN($Q$2)+1),
""))</f>
        <v>16</v>
      </c>
      <c r="AU10" s="1">
        <f>IF(INDEX(Last10Home_Stats_All!$A:$A,ROW()-ROW($Q$2)+2)="","",
IFERROR(
INDEX(Last10Home_Stats_All!$A:$ZZ,ROW()-ROW($Q$2)+2,COLUMN()-COLUMN($Q$2)+1),
""))</f>
        <v>5</v>
      </c>
      <c r="AV10" s="1">
        <f>IF(INDEX(Last10Home_Stats_All!$A:$A,ROW()-ROW($Q$2)+2)="","",
IFERROR(
INDEX(Last10Home_Stats_All!$A:$ZZ,ROW()-ROW($Q$2)+2,COLUMN()-COLUMN($Q$2)+1),
""))</f>
        <v>0</v>
      </c>
      <c r="AW10" s="1">
        <f>IF(INDEX(Last10Home_Stats_All!$A:$A,ROW()-ROW($Q$2)+2)="","",
IFERROR(
INDEX(Last10Home_Stats_All!$A:$ZZ,ROW()-ROW($Q$2)+2,COLUMN()-COLUMN($Q$2)+1),
""))</f>
        <v>2</v>
      </c>
      <c r="AX10" s="1">
        <f>IF(INDEX(Last10Home_Stats_All!$A:$A,ROW()-ROW($Q$2)+2)="","",
IFERROR(
INDEX(Last10Home_Stats_All!$A:$ZZ,ROW()-ROW($Q$2)+2,COLUMN()-COLUMN($Q$2)+1),
""))</f>
        <v>5</v>
      </c>
      <c r="AY10" s="1">
        <f>IF(INDEX(Last10Home_Stats_All!$A:$A,ROW()-ROW($Q$2)+2)="","",
IFERROR(
INDEX(Last10Home_Stats_All!$A:$ZZ,ROW()-ROW($Q$2)+2,COLUMN()-COLUMN($Q$2)+1),
""))</f>
        <v>47</v>
      </c>
      <c r="AZ10" s="1">
        <f>IF(INDEX(Last10Home_Stats_All!$A:$A,ROW()-ROW($Q$2)+2)="","",
IFERROR(
INDEX(Last10Home_Stats_All!$A:$ZZ,ROW()-ROW($Q$2)+2,COLUMN()-COLUMN($Q$2)+1),
""))</f>
        <v>53</v>
      </c>
      <c r="BA10" s="1">
        <f>IF(INDEX(Last10Home_Stats_All!$A:$A,ROW()-ROW($Q$2)+2)="","",
IFERROR(
INDEX(Last10Home_Stats_All!$A:$ZZ,ROW()-ROW($Q$2)+2,COLUMN()-COLUMN($Q$2)+1),
""))</f>
        <v>2</v>
      </c>
      <c r="BB10" s="1">
        <f>IF(INDEX(Last10Home_Stats_All!$A:$A,ROW()-ROW($Q$2)+2)="","",
IFERROR(
INDEX(Last10Home_Stats_All!$A:$ZZ,ROW()-ROW($Q$2)+2,COLUMN()-COLUMN($Q$2)+1),
""))</f>
        <v>2</v>
      </c>
      <c r="BC10" s="1">
        <f>IF(INDEX(Last10Home_Stats_All!$A:$A,ROW()-ROW($Q$2)+2)="","",
IFERROR(
INDEX(Last10Home_Stats_All!$A:$ZZ,ROW()-ROW($Q$2)+2,COLUMN()-COLUMN($Q$2)+1),
""))</f>
        <v>0</v>
      </c>
      <c r="BD10" s="1">
        <f>IF(INDEX(Last10Home_Stats_All!$A:$A,ROW()-ROW($Q$2)+2)="","",
IFERROR(
INDEX(Last10Home_Stats_All!$A:$ZZ,ROW()-ROW($Q$2)+2,COLUMN()-COLUMN($Q$2)+1),
""))</f>
        <v>0</v>
      </c>
      <c r="BE10" s="1">
        <f>IF(INDEX(Last10Home_Stats_All!$A:$A,ROW()-ROW($Q$2)+2)="","",
IFERROR(
INDEX(Last10Home_Stats_All!$A:$ZZ,ROW()-ROW($Q$2)+2,COLUMN()-COLUMN($Q$2)+1),
""))</f>
        <v>5</v>
      </c>
      <c r="BF10" s="1">
        <f>IF(INDEX(Last10Home_Stats_All!$A:$A,ROW()-ROW($Q$2)+2)="","",
IFERROR(
INDEX(Last10Home_Stats_All!$A:$ZZ,ROW()-ROW($Q$2)+2,COLUMN()-COLUMN($Q$2)+1),
""))</f>
        <v>3</v>
      </c>
      <c r="BG10" s="1">
        <f>IF(INDEX(Last10Home_Stats_All!$A:$A,ROW()-ROW($Q$2)+2)="","",
IFERROR(
INDEX(Last10Home_Stats_All!$A:$ZZ,ROW()-ROW($Q$2)+2,COLUMN()-COLUMN($Q$2)+1),
""))</f>
        <v>378</v>
      </c>
      <c r="BH10" s="1">
        <f>IF(INDEX(Last10Home_Stats_All!$A:$A,ROW()-ROW($Q$2)+2)="","",
IFERROR(
INDEX(Last10Home_Stats_All!$A:$ZZ,ROW()-ROW($Q$2)+2,COLUMN()-COLUMN($Q$2)+1),
""))</f>
        <v>445</v>
      </c>
      <c r="BI10" s="1">
        <f>IF(INDEX(Last10Home_Stats_All!$A:$A,ROW()-ROW($Q$2)+2)="","",
IFERROR(
INDEX(Last10Home_Stats_All!$A:$ZZ,ROW()-ROW($Q$2)+2,COLUMN()-COLUMN($Q$2)+1),
""))</f>
        <v>269</v>
      </c>
      <c r="BJ10" s="1">
        <f>IF(INDEX(Last10Home_Stats_All!$A:$A,ROW()-ROW($Q$2)+2)="","",
IFERROR(
INDEX(Last10Home_Stats_All!$A:$ZZ,ROW()-ROW($Q$2)+2,COLUMN()-COLUMN($Q$2)+1),
""))</f>
        <v>338</v>
      </c>
      <c r="BK10" s="1">
        <f>IF(INDEX(Last10Home_Stats_All!$A:$A,ROW()-ROW($Q$2)+2)="","",
IFERROR(
INDEX(Last10Home_Stats_All!$A:$ZZ,ROW()-ROW($Q$2)+2,COLUMN()-COLUMN($Q$2)+1),
""))</f>
        <v>71</v>
      </c>
      <c r="BL10" s="1">
        <f>IF(INDEX(Last10Home_Stats_All!$A:$A,ROW()-ROW($Q$2)+2)="","",
IFERROR(
INDEX(Last10Home_Stats_All!$A:$ZZ,ROW()-ROW($Q$2)+2,COLUMN()-COLUMN($Q$2)+1),
""))</f>
        <v>76</v>
      </c>
      <c r="BM10" s="1">
        <f>IF(INDEX(Last10Home_Stats_All!$A:$A,ROW()-ROW($Q$2)+2)="","",
IFERROR(
INDEX(Last10Home_Stats_All!$A:$ZZ,ROW()-ROW($Q$2)+2,COLUMN()-COLUMN($Q$2)+1),
""))</f>
        <v>2.16</v>
      </c>
      <c r="BN10" s="1">
        <f>IF(INDEX(Last10Home_Stats_All!$A:$A,ROW()-ROW($Q$2)+2)="","",
IFERROR(
INDEX(Last10Home_Stats_All!$A:$ZZ,ROW()-ROW($Q$2)+2,COLUMN()-COLUMN($Q$2)+1),
""))</f>
        <v>0.65</v>
      </c>
      <c r="BO10" s="1">
        <f>IF(INDEX(Last10Home_Stats_All!$A:$A,ROW()-ROW($Q$2)+2)="","",
IFERROR(
INDEX(Last10Home_Stats_All!$A:$ZZ,ROW()-ROW($Q$2)+2,COLUMN()-COLUMN($Q$2)+1),
""))</f>
        <v>0</v>
      </c>
      <c r="BP10" s="1">
        <f>IF(INDEX(Last10Home_Stats_All!$A:$A,ROW()-ROW($Q$2)+2)="","",
IFERROR(
INDEX(Last10Home_Stats_All!$A:$ZZ,ROW()-ROW($Q$2)+2,COLUMN()-COLUMN($Q$2)+1),
""))</f>
        <v>0</v>
      </c>
      <c r="BR10" s="1" t="str">
        <f>IF(OR(Control!AC10="",Control!AD10=""),"",Control!AC10&amp;" : "&amp;Control!AD10)</f>
        <v>1 : 1</v>
      </c>
      <c r="BS10" s="1" t="str">
        <f>IF(OR(Control!AE10="",Control!AF10=""),"",Control!AE10&amp;" : "&amp;Control!AF10)</f>
        <v>1 : 2</v>
      </c>
      <c r="BT10" s="1" t="str">
        <f>IF(OR(Control!AU10="",Control!AV10=""),"",Control!AU10&amp;" : "&amp;Control!AV10)</f>
        <v>5 : 0</v>
      </c>
      <c r="BV10" s="1" t="str">
        <f>IFERROR(INDEX(tblStandings[#All],ROW(A10),COLUMN(A10)),"")</f>
        <v/>
      </c>
      <c r="BW10" s="1" t="str">
        <f>IFERROR(INDEX(tblStandings[#All],ROW(B10),COLUMN(B10)),"")</f>
        <v/>
      </c>
      <c r="BX10" s="1" t="str">
        <f>IFERROR(INDEX(tblStandings[#All],ROW(C10),COLUMN(C10)),"")</f>
        <v/>
      </c>
      <c r="BY10" s="1" t="str">
        <f>IFERROR(INDEX(tblStandings[#All],ROW(D10),COLUMN(D10)),"")</f>
        <v/>
      </c>
      <c r="BZ10" s="1" t="str">
        <f>IFERROR(INDEX(tblStandings[#All],ROW(E10),COLUMN(E10)),"")</f>
        <v/>
      </c>
      <c r="CA10" s="1" t="str">
        <f>IFERROR(INDEX(tblStandings[#All],ROW(F10),COLUMN(F10)),"")</f>
        <v/>
      </c>
      <c r="CB10" s="1" t="str">
        <f>IFERROR(INDEX(tblStandings[#All],ROW(G10),COLUMN(G10)),"")</f>
        <v/>
      </c>
      <c r="CC10" s="1" t="str">
        <f>IFERROR(INDEX(tblStandings[#All],ROW(H10),COLUMN(H10)),"")</f>
        <v/>
      </c>
      <c r="CD10" s="1" t="str">
        <f>IFERROR(INDEX(tblStandings[#All],ROW(I10),COLUMN(I10)),"")</f>
        <v/>
      </c>
      <c r="CE10" s="1" t="str">
        <f>IFERROR(INDEX(tblStandings[#All],ROW(J10),COLUMN(J10)),"")</f>
        <v/>
      </c>
      <c r="CF10" s="1" t="str">
        <f>IFERROR(INDEX(tblStandings[#All],ROW(K10),COLUMN(K10)),"")</f>
        <v/>
      </c>
      <c r="CG10" s="1" t="str">
        <f t="shared" si="0"/>
        <v/>
      </c>
      <c r="CH10" s="1" t="str">
        <f t="shared" si="1"/>
        <v/>
      </c>
      <c r="CI10" s="1" t="str">
        <f t="shared" si="2"/>
        <v/>
      </c>
      <c r="CJ10" s="1" t="str">
        <f t="shared" si="3"/>
        <v/>
      </c>
      <c r="CK10" s="1" t="str">
        <f t="shared" si="4"/>
        <v/>
      </c>
      <c r="CN10" s="1" t="s">
        <v>179</v>
      </c>
      <c r="CP10" s="1" t="s">
        <v>230</v>
      </c>
    </row>
    <row r="11" spans="1:108" x14ac:dyDescent="0.25">
      <c r="H11" s="1">
        <v>1522573</v>
      </c>
      <c r="I11" s="4">
        <v>46268.0625</v>
      </c>
      <c r="J11" s="1" t="s">
        <v>17</v>
      </c>
      <c r="K11" s="1" t="s">
        <v>452</v>
      </c>
      <c r="L11" s="1" t="s">
        <v>27</v>
      </c>
      <c r="M11" s="1" t="s">
        <v>544</v>
      </c>
      <c r="N11" s="1" t="s">
        <v>3983</v>
      </c>
      <c r="O11" s="1" t="s">
        <v>3984</v>
      </c>
      <c r="Q11" s="1">
        <f>IF(INDEX(Last10Home_Stats_All!$A:$A,ROW()-ROW($Q$2)+2)="","",
IFERROR(
INDEX(Last10Home_Stats_All!$A:$ZZ,ROW()-ROW($Q$2)+2,COLUMN()-COLUMN($Q$2)+1),
""))</f>
        <v>1387323</v>
      </c>
      <c r="R11" s="1" t="str">
        <f>IF(INDEX(Last10Home_Stats_All!$A:$A,ROW()-ROW($Q$2)+2)="","",
IFERROR(
INDEX(Last10Home_Stats_All!$A:$ZZ,ROW()-ROW($Q$2)+2,COLUMN()-COLUMN($Q$2)+1),
""))</f>
        <v>09/12/2025 19:45</v>
      </c>
      <c r="S11" s="1" t="str">
        <f>IF(INDEX(Last10Home_Stats_All!$A:$A,ROW()-ROW($Q$2)+2)="","",
IFERROR(
INDEX(Last10Home_Stats_All!$A:$ZZ,ROW()-ROW($Q$2)+2,COLUMN()-COLUMN($Q$2)+1),
""))</f>
        <v>England</v>
      </c>
      <c r="T11" s="1" t="str">
        <f>IF(INDEX(Last10Home_Stats_All!$A:$A,ROW()-ROW($Q$2)+2)="","",
IFERROR(
INDEX(Last10Home_Stats_All!$A:$ZZ,ROW()-ROW($Q$2)+2,COLUMN()-COLUMN($Q$2)+1),
""))</f>
        <v>League One</v>
      </c>
      <c r="U11" s="1" t="str">
        <f>IF(INDEX(Last10Home_Stats_All!$A:$A,ROW()-ROW($Q$2)+2)="","",
IFERROR(
INDEX(Last10Home_Stats_All!$A:$ZZ,ROW()-ROW($Q$2)+2,COLUMN()-COLUMN($Q$2)+1),
""))</f>
        <v>https://media.api-sports.io/football/teams/1374.png</v>
      </c>
      <c r="V11" s="1" t="str">
        <f>IF(INDEX(Last10Home_Stats_All!$A:$A,ROW()-ROW($Q$2)+2)="","",
IFERROR(
INDEX(Last10Home_Stats_All!$A:$ZZ,ROW()-ROW($Q$2)+2,COLUMN()-COLUMN($Q$2)+1),
""))</f>
        <v>Mansfield Town</v>
      </c>
      <c r="W11" s="1" t="str">
        <f>IF(INDEX(Last10Home_Stats_All!$A:$A,ROW()-ROW($Q$2)+2)="","",
IFERROR(
INDEX(Last10Home_Stats_All!$A:$ZZ,ROW()-ROW($Q$2)+2,COLUMN()-COLUMN($Q$2)+1),
""))</f>
        <v>https://media.api-sports.io/football/teams/68.png</v>
      </c>
      <c r="X11" s="1" t="str">
        <f>IF(INDEX(Last10Home_Stats_All!$A:$A,ROW()-ROW($Q$2)+2)="","",
IFERROR(
INDEX(Last10Home_Stats_All!$A:$ZZ,ROW()-ROW($Q$2)+2,COLUMN()-COLUMN($Q$2)+1),
""))</f>
        <v>Bolton</v>
      </c>
      <c r="Y11" s="1" t="str">
        <f>IF(INDEX(Last10Home_Stats_All!$A:$A,ROW()-ROW($Q$2)+2)="","",
IFERROR(
INDEX(Last10Home_Stats_All!$A:$ZZ,ROW()-ROW($Q$2)+2,COLUMN()-COLUMN($Q$2)+1),
""))</f>
        <v>https://media.api-sports.io/football/leagues/41.png</v>
      </c>
      <c r="Z11" s="1" t="str">
        <f>IF(INDEX(Last10Home_Stats_All!$A:$A,ROW()-ROW($Q$2)+2)="","",
IFERROR(
INDEX(Last10Home_Stats_All!$A:$ZZ,ROW()-ROW($Q$2)+2,COLUMN()-COLUMN($Q$2)+1),
""))</f>
        <v>https://media.api-sports.io/flags/gb-eng.svg</v>
      </c>
      <c r="AA11" s="1">
        <f>IF(INDEX(Last10Home_Stats_All!$A:$A,ROW()-ROW($Q$2)+2)="","",
IFERROR(
INDEX(Last10Home_Stats_All!$A:$ZZ,ROW()-ROW($Q$2)+2,COLUMN()-COLUMN($Q$2)+1),
""))</f>
        <v>0</v>
      </c>
      <c r="AB11" s="1">
        <f>IF(INDEX(Last10Home_Stats_All!$A:$A,ROW()-ROW($Q$2)+2)="","",
IFERROR(
INDEX(Last10Home_Stats_All!$A:$ZZ,ROW()-ROW($Q$2)+2,COLUMN()-COLUMN($Q$2)+1),
""))</f>
        <v>1</v>
      </c>
      <c r="AC11" s="1">
        <f>IF(INDEX(Last10Home_Stats_All!$A:$A,ROW()-ROW($Q$2)+2)="","",
IFERROR(
INDEX(Last10Home_Stats_All!$A:$ZZ,ROW()-ROW($Q$2)+2,COLUMN()-COLUMN($Q$2)+1),
""))</f>
        <v>0</v>
      </c>
      <c r="AD11" s="1">
        <f>IF(INDEX(Last10Home_Stats_All!$A:$A,ROW()-ROW($Q$2)+2)="","",
IFERROR(
INDEX(Last10Home_Stats_All!$A:$ZZ,ROW()-ROW($Q$2)+2,COLUMN()-COLUMN($Q$2)+1),
""))</f>
        <v>1</v>
      </c>
      <c r="AE11" s="1">
        <f>IF(INDEX(Last10Home_Stats_All!$A:$A,ROW()-ROW($Q$2)+2)="","",
IFERROR(
INDEX(Last10Home_Stats_All!$A:$ZZ,ROW()-ROW($Q$2)+2,COLUMN()-COLUMN($Q$2)+1),
""))</f>
        <v>0</v>
      </c>
      <c r="AF11" s="1">
        <f>IF(INDEX(Last10Home_Stats_All!$A:$A,ROW()-ROW($Q$2)+2)="","",
IFERROR(
INDEX(Last10Home_Stats_All!$A:$ZZ,ROW()-ROW($Q$2)+2,COLUMN()-COLUMN($Q$2)+1),
""))</f>
        <v>1</v>
      </c>
      <c r="AG11" s="1">
        <f>IF(INDEX(Last10Home_Stats_All!$A:$A,ROW()-ROW($Q$2)+2)="","",
IFERROR(
INDEX(Last10Home_Stats_All!$A:$ZZ,ROW()-ROW($Q$2)+2,COLUMN()-COLUMN($Q$2)+1),
""))</f>
        <v>1</v>
      </c>
      <c r="AH11" s="1">
        <f>IF(INDEX(Last10Home_Stats_All!$A:$A,ROW()-ROW($Q$2)+2)="","",
IFERROR(
INDEX(Last10Home_Stats_All!$A:$ZZ,ROW()-ROW($Q$2)+2,COLUMN()-COLUMN($Q$2)+1),
""))</f>
        <v>5</v>
      </c>
      <c r="AI11" s="1">
        <f>IF(INDEX(Last10Home_Stats_All!$A:$A,ROW()-ROW($Q$2)+2)="","",
IFERROR(
INDEX(Last10Home_Stats_All!$A:$ZZ,ROW()-ROW($Q$2)+2,COLUMN()-COLUMN($Q$2)+1),
""))</f>
        <v>2</v>
      </c>
      <c r="AJ11" s="1">
        <f>IF(INDEX(Last10Home_Stats_All!$A:$A,ROW()-ROW($Q$2)+2)="","",
IFERROR(
INDEX(Last10Home_Stats_All!$A:$ZZ,ROW()-ROW($Q$2)+2,COLUMN()-COLUMN($Q$2)+1),
""))</f>
        <v>7</v>
      </c>
      <c r="AK11" s="1">
        <f>IF(INDEX(Last10Home_Stats_All!$A:$A,ROW()-ROW($Q$2)+2)="","",
IFERROR(
INDEX(Last10Home_Stats_All!$A:$ZZ,ROW()-ROW($Q$2)+2,COLUMN()-COLUMN($Q$2)+1),
""))</f>
        <v>6</v>
      </c>
      <c r="AL11" s="1">
        <f>IF(INDEX(Last10Home_Stats_All!$A:$A,ROW()-ROW($Q$2)+2)="","",
IFERROR(
INDEX(Last10Home_Stats_All!$A:$ZZ,ROW()-ROW($Q$2)+2,COLUMN()-COLUMN($Q$2)+1),
""))</f>
        <v>20</v>
      </c>
      <c r="AM11" s="1">
        <f>IF(INDEX(Last10Home_Stats_All!$A:$A,ROW()-ROW($Q$2)+2)="","",
IFERROR(
INDEX(Last10Home_Stats_All!$A:$ZZ,ROW()-ROW($Q$2)+2,COLUMN()-COLUMN($Q$2)+1),
""))</f>
        <v>3</v>
      </c>
      <c r="AN11" s="1">
        <f>IF(INDEX(Last10Home_Stats_All!$A:$A,ROW()-ROW($Q$2)+2)="","",
IFERROR(
INDEX(Last10Home_Stats_All!$A:$ZZ,ROW()-ROW($Q$2)+2,COLUMN()-COLUMN($Q$2)+1),
""))</f>
        <v>8</v>
      </c>
      <c r="AO11" s="1">
        <f>IF(INDEX(Last10Home_Stats_All!$A:$A,ROW()-ROW($Q$2)+2)="","",
IFERROR(
INDEX(Last10Home_Stats_All!$A:$ZZ,ROW()-ROW($Q$2)+2,COLUMN()-COLUMN($Q$2)+1),
""))</f>
        <v>2</v>
      </c>
      <c r="AP11" s="1">
        <f>IF(INDEX(Last10Home_Stats_All!$A:$A,ROW()-ROW($Q$2)+2)="","",
IFERROR(
INDEX(Last10Home_Stats_All!$A:$ZZ,ROW()-ROW($Q$2)+2,COLUMN()-COLUMN($Q$2)+1),
""))</f>
        <v>12</v>
      </c>
      <c r="AQ11" s="1">
        <f>IF(INDEX(Last10Home_Stats_All!$A:$A,ROW()-ROW($Q$2)+2)="","",
IFERROR(
INDEX(Last10Home_Stats_All!$A:$ZZ,ROW()-ROW($Q$2)+2,COLUMN()-COLUMN($Q$2)+1),
""))</f>
        <v>4</v>
      </c>
      <c r="AR11" s="1">
        <f>IF(INDEX(Last10Home_Stats_All!$A:$A,ROW()-ROW($Q$2)+2)="","",
IFERROR(
INDEX(Last10Home_Stats_All!$A:$ZZ,ROW()-ROW($Q$2)+2,COLUMN()-COLUMN($Q$2)+1),
""))</f>
        <v>8</v>
      </c>
      <c r="AS11" s="1">
        <f>IF(INDEX(Last10Home_Stats_All!$A:$A,ROW()-ROW($Q$2)+2)="","",
IFERROR(
INDEX(Last10Home_Stats_All!$A:$ZZ,ROW()-ROW($Q$2)+2,COLUMN()-COLUMN($Q$2)+1),
""))</f>
        <v>10</v>
      </c>
      <c r="AT11" s="1">
        <f>IF(INDEX(Last10Home_Stats_All!$A:$A,ROW()-ROW($Q$2)+2)="","",
IFERROR(
INDEX(Last10Home_Stats_All!$A:$ZZ,ROW()-ROW($Q$2)+2,COLUMN()-COLUMN($Q$2)+1),
""))</f>
        <v>10</v>
      </c>
      <c r="AU11" s="1">
        <f>IF(INDEX(Last10Home_Stats_All!$A:$A,ROW()-ROW($Q$2)+2)="","",
IFERROR(
INDEX(Last10Home_Stats_All!$A:$ZZ,ROW()-ROW($Q$2)+2,COLUMN()-COLUMN($Q$2)+1),
""))</f>
        <v>3</v>
      </c>
      <c r="AV11" s="1">
        <f>IF(INDEX(Last10Home_Stats_All!$A:$A,ROW()-ROW($Q$2)+2)="","",
IFERROR(
INDEX(Last10Home_Stats_All!$A:$ZZ,ROW()-ROW($Q$2)+2,COLUMN()-COLUMN($Q$2)+1),
""))</f>
        <v>5</v>
      </c>
      <c r="AW11" s="1">
        <f>IF(INDEX(Last10Home_Stats_All!$A:$A,ROW()-ROW($Q$2)+2)="","",
IFERROR(
INDEX(Last10Home_Stats_All!$A:$ZZ,ROW()-ROW($Q$2)+2,COLUMN()-COLUMN($Q$2)+1),
""))</f>
        <v>0</v>
      </c>
      <c r="AX11" s="1">
        <f>IF(INDEX(Last10Home_Stats_All!$A:$A,ROW()-ROW($Q$2)+2)="","",
IFERROR(
INDEX(Last10Home_Stats_All!$A:$ZZ,ROW()-ROW($Q$2)+2,COLUMN()-COLUMN($Q$2)+1),
""))</f>
        <v>0</v>
      </c>
      <c r="AY11" s="1">
        <f>IF(INDEX(Last10Home_Stats_All!$A:$A,ROW()-ROW($Q$2)+2)="","",
IFERROR(
INDEX(Last10Home_Stats_All!$A:$ZZ,ROW()-ROW($Q$2)+2,COLUMN()-COLUMN($Q$2)+1),
""))</f>
        <v>25</v>
      </c>
      <c r="AZ11" s="1">
        <f>IF(INDEX(Last10Home_Stats_All!$A:$A,ROW()-ROW($Q$2)+2)="","",
IFERROR(
INDEX(Last10Home_Stats_All!$A:$ZZ,ROW()-ROW($Q$2)+2,COLUMN()-COLUMN($Q$2)+1),
""))</f>
        <v>75</v>
      </c>
      <c r="BA11" s="1">
        <f>IF(INDEX(Last10Home_Stats_All!$A:$A,ROW()-ROW($Q$2)+2)="","",
IFERROR(
INDEX(Last10Home_Stats_All!$A:$ZZ,ROW()-ROW($Q$2)+2,COLUMN()-COLUMN($Q$2)+1),
""))</f>
        <v>0</v>
      </c>
      <c r="BB11" s="1">
        <f>IF(INDEX(Last10Home_Stats_All!$A:$A,ROW()-ROW($Q$2)+2)="","",
IFERROR(
INDEX(Last10Home_Stats_All!$A:$ZZ,ROW()-ROW($Q$2)+2,COLUMN()-COLUMN($Q$2)+1),
""))</f>
        <v>1</v>
      </c>
      <c r="BC11" s="1">
        <f>IF(INDEX(Last10Home_Stats_All!$A:$A,ROW()-ROW($Q$2)+2)="","",
IFERROR(
INDEX(Last10Home_Stats_All!$A:$ZZ,ROW()-ROW($Q$2)+2,COLUMN()-COLUMN($Q$2)+1),
""))</f>
        <v>1</v>
      </c>
      <c r="BD11" s="1">
        <f>IF(INDEX(Last10Home_Stats_All!$A:$A,ROW()-ROW($Q$2)+2)="","",
IFERROR(
INDEX(Last10Home_Stats_All!$A:$ZZ,ROW()-ROW($Q$2)+2,COLUMN()-COLUMN($Q$2)+1),
""))</f>
        <v>0</v>
      </c>
      <c r="BE11" s="1">
        <f>IF(INDEX(Last10Home_Stats_All!$A:$A,ROW()-ROW($Q$2)+2)="","",
IFERROR(
INDEX(Last10Home_Stats_All!$A:$ZZ,ROW()-ROW($Q$2)+2,COLUMN()-COLUMN($Q$2)+1),
""))</f>
        <v>4</v>
      </c>
      <c r="BF11" s="1">
        <f>IF(INDEX(Last10Home_Stats_All!$A:$A,ROW()-ROW($Q$2)+2)="","",
IFERROR(
INDEX(Last10Home_Stats_All!$A:$ZZ,ROW()-ROW($Q$2)+2,COLUMN()-COLUMN($Q$2)+1),
""))</f>
        <v>1</v>
      </c>
      <c r="BG11" s="1">
        <f>IF(INDEX(Last10Home_Stats_All!$A:$A,ROW()-ROW($Q$2)+2)="","",
IFERROR(
INDEX(Last10Home_Stats_All!$A:$ZZ,ROW()-ROW($Q$2)+2,COLUMN()-COLUMN($Q$2)+1),
""))</f>
        <v>222</v>
      </c>
      <c r="BH11" s="1">
        <f>IF(INDEX(Last10Home_Stats_All!$A:$A,ROW()-ROW($Q$2)+2)="","",
IFERROR(
INDEX(Last10Home_Stats_All!$A:$ZZ,ROW()-ROW($Q$2)+2,COLUMN()-COLUMN($Q$2)+1),
""))</f>
        <v>699</v>
      </c>
      <c r="BI11" s="1">
        <f>IF(INDEX(Last10Home_Stats_All!$A:$A,ROW()-ROW($Q$2)+2)="","",
IFERROR(
INDEX(Last10Home_Stats_All!$A:$ZZ,ROW()-ROW($Q$2)+2,COLUMN()-COLUMN($Q$2)+1),
""))</f>
        <v>140</v>
      </c>
      <c r="BJ11" s="1">
        <f>IF(INDEX(Last10Home_Stats_All!$A:$A,ROW()-ROW($Q$2)+2)="","",
IFERROR(
INDEX(Last10Home_Stats_All!$A:$ZZ,ROW()-ROW($Q$2)+2,COLUMN()-COLUMN($Q$2)+1),
""))</f>
        <v>642</v>
      </c>
      <c r="BK11" s="1">
        <f>IF(INDEX(Last10Home_Stats_All!$A:$A,ROW()-ROW($Q$2)+2)="","",
IFERROR(
INDEX(Last10Home_Stats_All!$A:$ZZ,ROW()-ROW($Q$2)+2,COLUMN()-COLUMN($Q$2)+1),
""))</f>
        <v>63</v>
      </c>
      <c r="BL11" s="1">
        <f>IF(INDEX(Last10Home_Stats_All!$A:$A,ROW()-ROW($Q$2)+2)="","",
IFERROR(
INDEX(Last10Home_Stats_All!$A:$ZZ,ROW()-ROW($Q$2)+2,COLUMN()-COLUMN($Q$2)+1),
""))</f>
        <v>92</v>
      </c>
      <c r="BM11" s="1">
        <f>IF(INDEX(Last10Home_Stats_All!$A:$A,ROW()-ROW($Q$2)+2)="","",
IFERROR(
INDEX(Last10Home_Stats_All!$A:$ZZ,ROW()-ROW($Q$2)+2,COLUMN()-COLUMN($Q$2)+1),
""))</f>
        <v>0</v>
      </c>
      <c r="BN11" s="1">
        <f>IF(INDEX(Last10Home_Stats_All!$A:$A,ROW()-ROW($Q$2)+2)="","",
IFERROR(
INDEX(Last10Home_Stats_All!$A:$ZZ,ROW()-ROW($Q$2)+2,COLUMN()-COLUMN($Q$2)+1),
""))</f>
        <v>0</v>
      </c>
      <c r="BO11" s="1">
        <f>IF(INDEX(Last10Home_Stats_All!$A:$A,ROW()-ROW($Q$2)+2)="","",
IFERROR(
INDEX(Last10Home_Stats_All!$A:$ZZ,ROW()-ROW($Q$2)+2,COLUMN()-COLUMN($Q$2)+1),
""))</f>
        <v>0</v>
      </c>
      <c r="BP11" s="1">
        <f>IF(INDEX(Last10Home_Stats_All!$A:$A,ROW()-ROW($Q$2)+2)="","",
IFERROR(
INDEX(Last10Home_Stats_All!$A:$ZZ,ROW()-ROW($Q$2)+2,COLUMN()-COLUMN($Q$2)+1),
""))</f>
        <v>0</v>
      </c>
      <c r="BR11" s="1" t="str">
        <f>IF(OR(Control!AC11="",Control!AD11=""),"",Control!AC11&amp;" : "&amp;Control!AD11)</f>
        <v>0 : 1</v>
      </c>
      <c r="BS11" s="1" t="str">
        <f>IF(OR(Control!AE11="",Control!AF11=""),"",Control!AE11&amp;" : "&amp;Control!AF11)</f>
        <v>0 : 1</v>
      </c>
      <c r="BT11" s="1" t="str">
        <f>IF(OR(Control!AU11="",Control!AV11=""),"",Control!AU11&amp;" : "&amp;Control!AV11)</f>
        <v>3 : 5</v>
      </c>
      <c r="BV11" s="1" t="str">
        <f>IFERROR(INDEX(tblStandings[#All],ROW(A11),COLUMN(A11)),"")</f>
        <v/>
      </c>
      <c r="BW11" s="1" t="str">
        <f>IFERROR(INDEX(tblStandings[#All],ROW(B11),COLUMN(B11)),"")</f>
        <v/>
      </c>
      <c r="BX11" s="1" t="str">
        <f>IFERROR(INDEX(tblStandings[#All],ROW(C11),COLUMN(C11)),"")</f>
        <v/>
      </c>
      <c r="BY11" s="1" t="str">
        <f>IFERROR(INDEX(tblStandings[#All],ROW(D11),COLUMN(D11)),"")</f>
        <v/>
      </c>
      <c r="BZ11" s="1" t="str">
        <f>IFERROR(INDEX(tblStandings[#All],ROW(E11),COLUMN(E11)),"")</f>
        <v/>
      </c>
      <c r="CA11" s="1" t="str">
        <f>IFERROR(INDEX(tblStandings[#All],ROW(F11),COLUMN(F11)),"")</f>
        <v/>
      </c>
      <c r="CB11" s="1" t="str">
        <f>IFERROR(INDEX(tblStandings[#All],ROW(G11),COLUMN(G11)),"")</f>
        <v/>
      </c>
      <c r="CC11" s="1" t="str">
        <f>IFERROR(INDEX(tblStandings[#All],ROW(H11),COLUMN(H11)),"")</f>
        <v/>
      </c>
      <c r="CD11" s="1" t="str">
        <f>IFERROR(INDEX(tblStandings[#All],ROW(I11),COLUMN(I11)),"")</f>
        <v/>
      </c>
      <c r="CE11" s="1" t="str">
        <f>IFERROR(INDEX(tblStandings[#All],ROW(J11),COLUMN(J11)),"")</f>
        <v/>
      </c>
      <c r="CF11" s="1" t="str">
        <f>IFERROR(INDEX(tblStandings[#All],ROW(K11),COLUMN(K11)),"")</f>
        <v/>
      </c>
      <c r="CG11" s="1" t="str">
        <f t="shared" si="0"/>
        <v/>
      </c>
      <c r="CH11" s="1" t="str">
        <f t="shared" si="1"/>
        <v/>
      </c>
      <c r="CI11" s="1" t="str">
        <f t="shared" si="2"/>
        <v/>
      </c>
      <c r="CJ11" s="1" t="str">
        <f t="shared" si="3"/>
        <v/>
      </c>
      <c r="CK11" s="1" t="str">
        <f t="shared" si="4"/>
        <v/>
      </c>
      <c r="CN11" s="3">
        <f>IFERROR(
(
0.45 *
IF(
SUMPRODUCT(--ISNUMBER($AA$2:$AA$11),--ISNUMBER($AB$2:$AB$11))=0,
0,
SUMPRODUCT(--ISNUMBER($AA$2:$AA$11),--ISNUMBER($AB$2:$AB$11),--($AA$2:$AA$11&gt;=1),--($AB$2:$AB$11&gt;=1))
/
SUMPRODUCT(--ISNUMBER($AA$2:$AA$11),--ISNUMBER($AB$2:$AB$11))
)
+
0.45 *
IF(
SUMPRODUCT(--ISNUMBER($AA$16:$AA$25),--ISNUMBER($AB$16:$AB$25))=0,
0,
SUMPRODUCT(--ISNUMBER($AA$16:$AA$25),--ISNUMBER($AB$16:$AB$25),--($AA$16:$AA$25&gt;=1),--($AB$16:$AB$25&gt;=1))
/
SUMPRODUCT(--ISNUMBER($AA$16:$AA$25),--ISNUMBER($AB$16:$AB$25))
)
+
0.1 *
IF(
SUMPRODUCT(--ISNUMBER($AA$31:$AA$35),--ISNUMBER($AB$31:$AB$35))=0,
0,
SUMPRODUCT(--ISNUMBER($AA$31:$AA$35),--ISNUMBER($AB$31:$AB$35),--($AA$31:$AA$35&gt;=1),--($AB$31:$AB$35&gt;=1))
/
SUMPRODUCT(--ISNUMBER($AA$31:$AA$35),--ISNUMBER($AB$31:$AB$35))
)
),"")</f>
        <v>0.59499999999999997</v>
      </c>
      <c r="CP11" s="3">
        <f>IFERROR(
IF(
COUNT($AF$16:$AF$25)=0,
"",
AVERAGE($AF$16:$AF$25)
),"")</f>
        <v>2.4</v>
      </c>
    </row>
    <row r="12" spans="1:108" x14ac:dyDescent="0.25">
      <c r="A12" s="1" t="s">
        <v>206</v>
      </c>
      <c r="B12" s="4" t="str">
        <f>IFERROR(INDEX($I:$I, MATCH($B$10, $H:$H, 0)), "")</f>
        <v/>
      </c>
      <c r="H12" s="1">
        <v>1499188</v>
      </c>
      <c r="I12" s="4">
        <v>46268.083333333336</v>
      </c>
      <c r="J12" s="1" t="s">
        <v>17</v>
      </c>
      <c r="K12" s="1" t="s">
        <v>276</v>
      </c>
      <c r="L12" s="1" t="s">
        <v>27</v>
      </c>
      <c r="M12" s="1" t="s">
        <v>818</v>
      </c>
      <c r="N12" s="1" t="s">
        <v>3986</v>
      </c>
      <c r="O12" s="1" t="s">
        <v>3987</v>
      </c>
      <c r="BR12" s="1" t="str">
        <f>IF(OR(Control!AC12="",Control!AD12=""),"",Control!AC12&amp;" : "&amp;Control!AD12)</f>
        <v/>
      </c>
      <c r="BS12" s="1" t="str">
        <f>IF(OR(Control!AE12="",Control!AF12=""),"",Control!AE12&amp;" : "&amp;Control!AF12)</f>
        <v/>
      </c>
      <c r="BT12" s="1" t="str">
        <f>IF(OR(Control!AU12="",Control!AV12=""),"",Control!AU12&amp;" : "&amp;Control!AV12)</f>
        <v/>
      </c>
      <c r="BV12" s="1" t="str">
        <f>IFERROR(INDEX(tblStandings[#All],ROW(A12),COLUMN(A12)),"")</f>
        <v/>
      </c>
      <c r="BW12" s="1" t="str">
        <f>IFERROR(INDEX(tblStandings[#All],ROW(B12),COLUMN(B12)),"")</f>
        <v/>
      </c>
      <c r="BX12" s="1" t="str">
        <f>IFERROR(INDEX(tblStandings[#All],ROW(C12),COLUMN(C12)),"")</f>
        <v/>
      </c>
      <c r="BY12" s="1" t="str">
        <f>IFERROR(INDEX(tblStandings[#All],ROW(D12),COLUMN(D12)),"")</f>
        <v/>
      </c>
      <c r="BZ12" s="1" t="str">
        <f>IFERROR(INDEX(tblStandings[#All],ROW(E12),COLUMN(E12)),"")</f>
        <v/>
      </c>
      <c r="CA12" s="1" t="str">
        <f>IFERROR(INDEX(tblStandings[#All],ROW(F12),COLUMN(F12)),"")</f>
        <v/>
      </c>
      <c r="CB12" s="1" t="str">
        <f>IFERROR(INDEX(tblStandings[#All],ROW(G12),COLUMN(G12)),"")</f>
        <v/>
      </c>
      <c r="CC12" s="1" t="str">
        <f>IFERROR(INDEX(tblStandings[#All],ROW(H12),COLUMN(H12)),"")</f>
        <v/>
      </c>
      <c r="CD12" s="1" t="str">
        <f>IFERROR(INDEX(tblStandings[#All],ROW(I12),COLUMN(I12)),"")</f>
        <v/>
      </c>
      <c r="CE12" s="1" t="str">
        <f>IFERROR(INDEX(tblStandings[#All],ROW(J12),COLUMN(J12)),"")</f>
        <v/>
      </c>
      <c r="CF12" s="1" t="str">
        <f>IFERROR(INDEX(tblStandings[#All],ROW(K12),COLUMN(K12)),"")</f>
        <v/>
      </c>
      <c r="CG12" s="1" t="str">
        <f t="shared" si="0"/>
        <v/>
      </c>
      <c r="CH12" s="1" t="str">
        <f t="shared" si="1"/>
        <v/>
      </c>
      <c r="CI12" s="1" t="str">
        <f t="shared" si="2"/>
        <v/>
      </c>
      <c r="CJ12" s="1" t="str">
        <f t="shared" si="3"/>
        <v/>
      </c>
      <c r="CK12" s="1" t="str">
        <f t="shared" si="4"/>
        <v/>
      </c>
    </row>
    <row r="13" spans="1:108" x14ac:dyDescent="0.25">
      <c r="H13" s="1">
        <v>1492552</v>
      </c>
      <c r="I13" s="4">
        <v>46268.129166666666</v>
      </c>
      <c r="J13" s="1" t="s">
        <v>17</v>
      </c>
      <c r="K13" s="1" t="s">
        <v>18</v>
      </c>
      <c r="L13" s="1" t="s">
        <v>395</v>
      </c>
      <c r="M13" s="1" t="s">
        <v>3991</v>
      </c>
      <c r="N13" s="1" t="s">
        <v>3992</v>
      </c>
      <c r="O13" s="1" t="s">
        <v>3993</v>
      </c>
      <c r="BR13" s="1" t="str">
        <f>IF(OR(Control!AC13="",Control!AD13=""),"",Control!AC13&amp;" : "&amp;Control!AD13)</f>
        <v/>
      </c>
      <c r="BS13" s="1" t="str">
        <f>IF(OR(Control!AE13="",Control!AF13=""),"",Control!AE13&amp;" : "&amp;Control!AF13)</f>
        <v/>
      </c>
      <c r="BT13" s="1" t="str">
        <f>IF(OR(Control!AU13="",Control!AV13=""),"",Control!AU13&amp;" : "&amp;Control!AV13)</f>
        <v/>
      </c>
      <c r="BV13" s="1" t="str">
        <f>IFERROR(INDEX(tblStandings[#All],ROW(A13),COLUMN(A13)),"")</f>
        <v/>
      </c>
      <c r="BW13" s="1" t="str">
        <f>IFERROR(INDEX(tblStandings[#All],ROW(B13),COLUMN(B13)),"")</f>
        <v/>
      </c>
      <c r="BX13" s="1" t="str">
        <f>IFERROR(INDEX(tblStandings[#All],ROW(C13),COLUMN(C13)),"")</f>
        <v/>
      </c>
      <c r="BY13" s="1" t="str">
        <f>IFERROR(INDEX(tblStandings[#All],ROW(D13),COLUMN(D13)),"")</f>
        <v/>
      </c>
      <c r="BZ13" s="1" t="str">
        <f>IFERROR(INDEX(tblStandings[#All],ROW(E13),COLUMN(E13)),"")</f>
        <v/>
      </c>
      <c r="CA13" s="1" t="str">
        <f>IFERROR(INDEX(tblStandings[#All],ROW(F13),COLUMN(F13)),"")</f>
        <v/>
      </c>
      <c r="CB13" s="1" t="str">
        <f>IFERROR(INDEX(tblStandings[#All],ROW(G13),COLUMN(G13)),"")</f>
        <v/>
      </c>
      <c r="CC13" s="1" t="str">
        <f>IFERROR(INDEX(tblStandings[#All],ROW(H13),COLUMN(H13)),"")</f>
        <v/>
      </c>
      <c r="CD13" s="1" t="str">
        <f>IFERROR(INDEX(tblStandings[#All],ROW(I13),COLUMN(I13)),"")</f>
        <v/>
      </c>
      <c r="CE13" s="1" t="str">
        <f>IFERROR(INDEX(tblStandings[#All],ROW(J13),COLUMN(J13)),"")</f>
        <v/>
      </c>
      <c r="CF13" s="1" t="str">
        <f>IFERROR(INDEX(tblStandings[#All],ROW(K13),COLUMN(K13)),"")</f>
        <v/>
      </c>
      <c r="CG13" s="1" t="str">
        <f t="shared" si="0"/>
        <v/>
      </c>
      <c r="CH13" s="1" t="str">
        <f t="shared" si="1"/>
        <v/>
      </c>
      <c r="CI13" s="1" t="str">
        <f t="shared" si="2"/>
        <v/>
      </c>
      <c r="CJ13" s="1" t="str">
        <f t="shared" si="3"/>
        <v/>
      </c>
      <c r="CK13" s="1" t="str">
        <f t="shared" si="4"/>
        <v/>
      </c>
    </row>
    <row r="14" spans="1:108" x14ac:dyDescent="0.25">
      <c r="A14" s="1" t="s">
        <v>207</v>
      </c>
      <c r="B14" s="1" t="str">
        <f>IFERROR(INDEX($J:$J, MATCH($B$10, $H:$H, 0)), "")</f>
        <v/>
      </c>
      <c r="H14" s="1">
        <v>1512981</v>
      </c>
      <c r="I14" s="4">
        <v>46268.208333333336</v>
      </c>
      <c r="J14" s="1" t="s">
        <v>17</v>
      </c>
      <c r="K14" s="1" t="s">
        <v>389</v>
      </c>
      <c r="L14" s="1" t="s">
        <v>390</v>
      </c>
      <c r="M14" s="1" t="s">
        <v>3988</v>
      </c>
      <c r="N14" s="1" t="s">
        <v>486</v>
      </c>
      <c r="O14" s="1" t="s">
        <v>4375</v>
      </c>
      <c r="BR14" s="1" t="str">
        <f>IF(OR(Control!AC14="",Control!AD14=""),"",Control!AC14&amp;" : "&amp;Control!AD14)</f>
        <v/>
      </c>
      <c r="BS14" s="1" t="str">
        <f>IF(OR(Control!AE14="",Control!AF14=""),"",Control!AE14&amp;" : "&amp;Control!AF14)</f>
        <v/>
      </c>
      <c r="BT14" s="1" t="str">
        <f>IF(OR(Control!AU14="",Control!AV14=""),"",Control!AU14&amp;" : "&amp;Control!AV14)</f>
        <v/>
      </c>
      <c r="BV14" s="1" t="str">
        <f>IFERROR(INDEX(tblStandings[#All],ROW(A14),COLUMN(A14)),"")</f>
        <v/>
      </c>
      <c r="BW14" s="1" t="str">
        <f>IFERROR(INDEX(tblStandings[#All],ROW(B14),COLUMN(B14)),"")</f>
        <v/>
      </c>
      <c r="BX14" s="1" t="str">
        <f>IFERROR(INDEX(tblStandings[#All],ROW(C14),COLUMN(C14)),"")</f>
        <v/>
      </c>
      <c r="BY14" s="1" t="str">
        <f>IFERROR(INDEX(tblStandings[#All],ROW(D14),COLUMN(D14)),"")</f>
        <v/>
      </c>
      <c r="BZ14" s="1" t="str">
        <f>IFERROR(INDEX(tblStandings[#All],ROW(E14),COLUMN(E14)),"")</f>
        <v/>
      </c>
      <c r="CA14" s="1" t="str">
        <f>IFERROR(INDEX(tblStandings[#All],ROW(F14),COLUMN(F14)),"")</f>
        <v/>
      </c>
      <c r="CB14" s="1" t="str">
        <f>IFERROR(INDEX(tblStandings[#All],ROW(G14),COLUMN(G14)),"")</f>
        <v/>
      </c>
      <c r="CC14" s="1" t="str">
        <f>IFERROR(INDEX(tblStandings[#All],ROW(H14),COLUMN(H14)),"")</f>
        <v/>
      </c>
      <c r="CD14" s="1" t="str">
        <f>IFERROR(INDEX(tblStandings[#All],ROW(I14),COLUMN(I14)),"")</f>
        <v/>
      </c>
      <c r="CE14" s="1" t="str">
        <f>IFERROR(INDEX(tblStandings[#All],ROW(J14),COLUMN(J14)),"")</f>
        <v/>
      </c>
      <c r="CF14" s="1" t="str">
        <f>IFERROR(INDEX(tblStandings[#All],ROW(K14),COLUMN(K14)),"")</f>
        <v/>
      </c>
      <c r="CG14" s="1" t="str">
        <f t="shared" si="0"/>
        <v/>
      </c>
      <c r="CH14" s="1" t="str">
        <f t="shared" si="1"/>
        <v/>
      </c>
      <c r="CI14" s="1" t="str">
        <f t="shared" si="2"/>
        <v/>
      </c>
      <c r="CJ14" s="1" t="str">
        <f t="shared" si="3"/>
        <v/>
      </c>
      <c r="CK14" s="1" t="str">
        <f t="shared" si="4"/>
        <v/>
      </c>
    </row>
    <row r="15" spans="1:108" x14ac:dyDescent="0.25">
      <c r="H15" s="1">
        <v>1516374</v>
      </c>
      <c r="I15" s="4">
        <v>46268.375</v>
      </c>
      <c r="J15" s="1" t="s">
        <v>17</v>
      </c>
      <c r="K15" s="1" t="s">
        <v>22</v>
      </c>
      <c r="L15" s="1" t="s">
        <v>453</v>
      </c>
      <c r="M15" s="1" t="s">
        <v>561</v>
      </c>
      <c r="N15" s="1" t="s">
        <v>559</v>
      </c>
      <c r="O15" s="1" t="s">
        <v>3995</v>
      </c>
      <c r="Q15" s="1" t="str">
        <f>IFERROR(Last10Away_Stats_All!A1,"")</f>
        <v>fixture_id</v>
      </c>
      <c r="R15" s="1" t="str">
        <f>IFERROR(Last10Away_Stats_All!B1,"")</f>
        <v>kickoff</v>
      </c>
      <c r="S15" s="1" t="str">
        <f>IFERROR(Last10Away_Stats_All!C1,"")</f>
        <v>league_country</v>
      </c>
      <c r="T15" s="1" t="str">
        <f>IFERROR(Last10Away_Stats_All!D1,"")</f>
        <v>league_name</v>
      </c>
      <c r="U15" s="1" t="str">
        <f>IFERROR(Last10Away_Stats_All!E1,"")</f>
        <v>home_logo</v>
      </c>
      <c r="V15" s="1" t="str">
        <f>IFERROR(Last10Away_Stats_All!F1,"")</f>
        <v>home_name</v>
      </c>
      <c r="W15" s="1" t="str">
        <f>IFERROR(Last10Away_Stats_All!G1,"")</f>
        <v>away_logo</v>
      </c>
      <c r="X15" s="1" t="str">
        <f>IFERROR(Last10Away_Stats_All!H1,"")</f>
        <v>opponent</v>
      </c>
      <c r="Y15" s="1" t="str">
        <f>IFERROR(Last10Away_Stats_All!I1,"")</f>
        <v>league_logo</v>
      </c>
      <c r="Z15" s="1" t="str">
        <f>IFERROR(Last10Away_Stats_All!J1,"")</f>
        <v>league_flag</v>
      </c>
      <c r="AA15" s="1" t="str">
        <f>IFERROR(Last10Away_Stats_All!K1,"")</f>
        <v>home_goals</v>
      </c>
      <c r="AB15" s="1" t="str">
        <f>IFERROR(Last10Away_Stats_All!L1,"")</f>
        <v>away_goals</v>
      </c>
      <c r="AC15" s="1" t="str">
        <f>IFERROR(Last10Away_Stats_All!M1,"")</f>
        <v>ht_home</v>
      </c>
      <c r="AD15" s="1" t="str">
        <f>IFERROR(Last10Away_Stats_All!N1,"")</f>
        <v>ht_away</v>
      </c>
      <c r="AE15" s="1" t="str">
        <f>IFERROR(Last10Away_Stats_All!O1,"")</f>
        <v>ft_home</v>
      </c>
      <c r="AF15" s="1" t="str">
        <f>IFERROR(Last10Away_Stats_All!P1,"")</f>
        <v>ft_away</v>
      </c>
      <c r="AG15" s="1" t="str">
        <f>IFERROR(Last10Away_Stats_All!Q1,"")</f>
        <v>Home_ShotsOnGoal</v>
      </c>
      <c r="AH15" s="1" t="str">
        <f>IFERROR(Last10Away_Stats_All!R1,"")</f>
        <v>Away_ShotsOnGoal</v>
      </c>
      <c r="AI15" s="1" t="str">
        <f>IFERROR(Last10Away_Stats_All!S1,"")</f>
        <v>Home_ShotsOffGoal</v>
      </c>
      <c r="AJ15" s="1" t="str">
        <f>IFERROR(Last10Away_Stats_All!T1,"")</f>
        <v>Away_ShotsOffGoal</v>
      </c>
      <c r="AK15" s="1" t="str">
        <f>IFERROR(Last10Away_Stats_All!U1,"")</f>
        <v>Home_TotalShots</v>
      </c>
      <c r="AL15" s="1" t="str">
        <f>IFERROR(Last10Away_Stats_All!V1,"")</f>
        <v>Away_TotalShots</v>
      </c>
      <c r="AM15" s="1" t="str">
        <f>IFERROR(Last10Away_Stats_All!W1,"")</f>
        <v>Home_BlockedShots</v>
      </c>
      <c r="AN15" s="1" t="str">
        <f>IFERROR(Last10Away_Stats_All!X1,"")</f>
        <v>Away_BlockedShots</v>
      </c>
      <c r="AO15" s="1" t="str">
        <f>IFERROR(Last10Away_Stats_All!Y1,"")</f>
        <v>Home_ShotsInsideBox</v>
      </c>
      <c r="AP15" s="1" t="str">
        <f>IFERROR(Last10Away_Stats_All!Z1,"")</f>
        <v>Away_ShotsInsideBox</v>
      </c>
      <c r="AQ15" s="1" t="str">
        <f>IFERROR(Last10Away_Stats_All!AA1,"")</f>
        <v>Home_ShotsOutsideBox</v>
      </c>
      <c r="AR15" s="1" t="str">
        <f>IFERROR(Last10Away_Stats_All!AB1,"")</f>
        <v>Away_ShotsOutsideBox</v>
      </c>
      <c r="AS15" s="1" t="str">
        <f>IFERROR(Last10Away_Stats_All!AC1,"")</f>
        <v>Home_Fouls</v>
      </c>
      <c r="AT15" s="1" t="str">
        <f>IFERROR(Last10Away_Stats_All!AD1,"")</f>
        <v>Away_Fouls</v>
      </c>
      <c r="AU15" s="1" t="str">
        <f>IFERROR(Last10Away_Stats_All!AE1,"")</f>
        <v>Home_CornerKicks</v>
      </c>
      <c r="AV15" s="1" t="str">
        <f>IFERROR(Last10Away_Stats_All!AF1,"")</f>
        <v>Away_CornerKicks</v>
      </c>
      <c r="AW15" s="1" t="str">
        <f>IFERROR(Last10Away_Stats_All!AG1,"")</f>
        <v>Home_Offsides</v>
      </c>
      <c r="AX15" s="1" t="str">
        <f>IFERROR(Last10Away_Stats_All!AH1,"")</f>
        <v>Away_Offsides</v>
      </c>
      <c r="AY15" s="1" t="str">
        <f>IFERROR(Last10Away_Stats_All!AI1,"")</f>
        <v>Home_BallPossession</v>
      </c>
      <c r="AZ15" s="1" t="str">
        <f>IFERROR(Last10Away_Stats_All!AJ1,"")</f>
        <v>Away_BallPossession</v>
      </c>
      <c r="BA15" s="1" t="str">
        <f>IFERROR(Last10Away_Stats_All!AK1,"")</f>
        <v>Home_YellowCards</v>
      </c>
      <c r="BB15" s="1" t="str">
        <f>IFERROR(Last10Away_Stats_All!AL1,"")</f>
        <v>Away_YellowCards</v>
      </c>
      <c r="BC15" s="1" t="str">
        <f>IFERROR(Last10Away_Stats_All!AM1,"")</f>
        <v>Home_RedCards</v>
      </c>
      <c r="BD15" s="1" t="str">
        <f>IFERROR(Last10Away_Stats_All!AN1,"")</f>
        <v>Away_RedCards</v>
      </c>
      <c r="BE15" s="1" t="str">
        <f>IFERROR(Last10Away_Stats_All!AO1,"")</f>
        <v>Home_GoalkeeperSaves</v>
      </c>
      <c r="BF15" s="1" t="str">
        <f>IFERROR(Last10Away_Stats_All!AP1,"")</f>
        <v>Away_GoalkeeperSaves</v>
      </c>
      <c r="BG15" s="1" t="str">
        <f>IFERROR(Last10Away_Stats_All!AQ1,"")</f>
        <v>Home_TotalPasses</v>
      </c>
      <c r="BH15" s="1" t="str">
        <f>IFERROR(Last10Away_Stats_All!AR1,"")</f>
        <v>Away_TotalPasses</v>
      </c>
      <c r="BI15" s="1" t="str">
        <f>IFERROR(Last10Away_Stats_All!AS1,"")</f>
        <v>Home_PassesAccurate</v>
      </c>
      <c r="BJ15" s="1" t="str">
        <f>IFERROR(Last10Away_Stats_All!AT1,"")</f>
        <v>Away_PassesAccurate</v>
      </c>
      <c r="BK15" s="1" t="str">
        <f>IFERROR(Last10Away_Stats_All!AU1,"")</f>
        <v>Home_PassesPct</v>
      </c>
      <c r="BL15" s="1" t="str">
        <f>IFERROR(Last10Away_Stats_All!AV1,"")</f>
        <v>Away_PassesPct</v>
      </c>
      <c r="BM15" s="1" t="str">
        <f>IFERROR(Last10Away_Stats_All!AW1,"")</f>
        <v>Home_ExpectedGoals</v>
      </c>
      <c r="BN15" s="1" t="str">
        <f>IFERROR(Last10Away_Stats_All!AX1,"")</f>
        <v>Away_ExpectedGoals</v>
      </c>
      <c r="BO15" s="1" t="str">
        <f>IFERROR(Last10Away_Stats_All!AY1,"")</f>
        <v>Home_GoalsPrevented</v>
      </c>
      <c r="BP15" s="1" t="str">
        <f>IFERROR(Last10Away_Stats_All!AZ1,"")</f>
        <v>Away_GoalsPrevented</v>
      </c>
      <c r="BR15" s="1" t="s">
        <v>215</v>
      </c>
      <c r="BS15" s="1" t="s">
        <v>216</v>
      </c>
      <c r="BT15" s="1" t="s">
        <v>217</v>
      </c>
      <c r="BV15" s="1" t="str">
        <f>IFERROR(INDEX(tblStandings[#All],ROW(A15),COLUMN(A15)),"")</f>
        <v/>
      </c>
      <c r="BW15" s="1" t="str">
        <f>IFERROR(INDEX(tblStandings[#All],ROW(B15),COLUMN(B15)),"")</f>
        <v/>
      </c>
      <c r="BX15" s="1" t="str">
        <f>IFERROR(INDEX(tblStandings[#All],ROW(C15),COLUMN(C15)),"")</f>
        <v/>
      </c>
      <c r="BY15" s="1" t="str">
        <f>IFERROR(INDEX(tblStandings[#All],ROW(D15),COLUMN(D15)),"")</f>
        <v/>
      </c>
      <c r="BZ15" s="1" t="str">
        <f>IFERROR(INDEX(tblStandings[#All],ROW(E15),COLUMN(E15)),"")</f>
        <v/>
      </c>
      <c r="CA15" s="1" t="str">
        <f>IFERROR(INDEX(tblStandings[#All],ROW(F15),COLUMN(F15)),"")</f>
        <v/>
      </c>
      <c r="CB15" s="1" t="str">
        <f>IFERROR(INDEX(tblStandings[#All],ROW(G15),COLUMN(G15)),"")</f>
        <v/>
      </c>
      <c r="CC15" s="1" t="str">
        <f>IFERROR(INDEX(tblStandings[#All],ROW(H15),COLUMN(H15)),"")</f>
        <v/>
      </c>
      <c r="CD15" s="1" t="str">
        <f>IFERROR(INDEX(tblStandings[#All],ROW(I15),COLUMN(I15)),"")</f>
        <v/>
      </c>
      <c r="CE15" s="1" t="str">
        <f>IFERROR(INDEX(tblStandings[#All],ROW(J15),COLUMN(J15)),"")</f>
        <v/>
      </c>
      <c r="CF15" s="1" t="str">
        <f>IFERROR(INDEX(tblStandings[#All],ROW(K15),COLUMN(K15)),"")</f>
        <v/>
      </c>
      <c r="CG15" s="1" t="str">
        <f t="shared" si="0"/>
        <v/>
      </c>
      <c r="CH15" s="1" t="str">
        <f t="shared" si="1"/>
        <v/>
      </c>
      <c r="CI15" s="1" t="str">
        <f t="shared" si="2"/>
        <v/>
      </c>
      <c r="CJ15" s="1" t="str">
        <f t="shared" si="3"/>
        <v/>
      </c>
      <c r="CK15" s="1" t="str">
        <f t="shared" si="4"/>
        <v/>
      </c>
    </row>
    <row r="16" spans="1:108" x14ac:dyDescent="0.25">
      <c r="A16" s="1" t="s">
        <v>210</v>
      </c>
      <c r="B16" s="1" t="str">
        <f>IFERROR(INDEX($K:$K, MATCH($B$10, $H:$H, 0)), "")</f>
        <v/>
      </c>
      <c r="H16" s="1">
        <v>1516375</v>
      </c>
      <c r="I16" s="4">
        <v>46268.375</v>
      </c>
      <c r="J16" s="1" t="s">
        <v>17</v>
      </c>
      <c r="K16" s="1" t="s">
        <v>22</v>
      </c>
      <c r="L16" s="1" t="s">
        <v>453</v>
      </c>
      <c r="M16" s="1" t="s">
        <v>558</v>
      </c>
      <c r="N16" s="1" t="s">
        <v>560</v>
      </c>
      <c r="O16" s="1" t="s">
        <v>3996</v>
      </c>
      <c r="Q16" s="1">
        <f>IF(INDEX(Last10Away_Stats_All!$A:$A,ROW()-ROW($Q$16)+2)="","",
IFERROR(
INDEX(Last10Away_Stats_All!$A:$ZZ,ROW()-ROW($Q$16)+2,COLUMN()-COLUMN($Q$16)+1),
""))</f>
        <v>1523412</v>
      </c>
      <c r="R16" s="1" t="str">
        <f>IF(INDEX(Last10Away_Stats_All!$A:$A,ROW()-ROW($Q$16)+2)="","",
IFERROR(
INDEX(Last10Away_Stats_All!$A:$ZZ,ROW()-ROW($Q$16)+2,COLUMN()-COLUMN($Q$16)+1),
""))</f>
        <v>07/03/2026 12:15</v>
      </c>
      <c r="S16" s="1" t="str">
        <f>IF(INDEX(Last10Away_Stats_All!$A:$A,ROW()-ROW($Q$16)+2)="","",
IFERROR(
INDEX(Last10Away_Stats_All!$A:$ZZ,ROW()-ROW($Q$16)+2,COLUMN()-COLUMN($Q$16)+1),
""))</f>
        <v>England</v>
      </c>
      <c r="T16" s="1" t="str">
        <f>IF(INDEX(Last10Away_Stats_All!$A:$A,ROW()-ROW($Q$16)+2)="","",
IFERROR(
INDEX(Last10Away_Stats_All!$A:$ZZ,ROW()-ROW($Q$16)+2,COLUMN()-COLUMN($Q$16)+1),
""))</f>
        <v>FA Cup</v>
      </c>
      <c r="U16" s="1" t="str">
        <f>IF(INDEX(Last10Away_Stats_All!$A:$A,ROW()-ROW($Q$16)+2)="","",
IFERROR(
INDEX(Last10Away_Stats_All!$A:$ZZ,ROW()-ROW($Q$16)+2,COLUMN()-COLUMN($Q$16)+1),
""))</f>
        <v>https://media.api-sports.io/football/teams/1374.png</v>
      </c>
      <c r="V16" s="1" t="str">
        <f>IF(INDEX(Last10Away_Stats_All!$A:$A,ROW()-ROW($Q$16)+2)="","",
IFERROR(
INDEX(Last10Away_Stats_All!$A:$ZZ,ROW()-ROW($Q$16)+2,COLUMN()-COLUMN($Q$16)+1),
""))</f>
        <v>Mansfield Town</v>
      </c>
      <c r="W16" s="1" t="str">
        <f>IF(INDEX(Last10Away_Stats_All!$A:$A,ROW()-ROW($Q$16)+2)="","",
IFERROR(
INDEX(Last10Away_Stats_All!$A:$ZZ,ROW()-ROW($Q$16)+2,COLUMN()-COLUMN($Q$16)+1),
""))</f>
        <v>https://media.api-sports.io/football/teams/42.png</v>
      </c>
      <c r="X16" s="1" t="str">
        <f>IF(INDEX(Last10Away_Stats_All!$A:$A,ROW()-ROW($Q$16)+2)="","",
IFERROR(
INDEX(Last10Away_Stats_All!$A:$ZZ,ROW()-ROW($Q$16)+2,COLUMN()-COLUMN($Q$16)+1),
""))</f>
        <v>Arsenal</v>
      </c>
      <c r="Y16" s="1" t="str">
        <f>IF(INDEX(Last10Away_Stats_All!$A:$A,ROW()-ROW($Q$16)+2)="","",
IFERROR(
INDEX(Last10Away_Stats_All!$A:$ZZ,ROW()-ROW($Q$16)+2,COLUMN()-COLUMN($Q$16)+1),
""))</f>
        <v>https://media.api-sports.io/football/leagues/45.png</v>
      </c>
      <c r="Z16" s="1" t="str">
        <f>IF(INDEX(Last10Away_Stats_All!$A:$A,ROW()-ROW($Q$16)+2)="","",
IFERROR(
INDEX(Last10Away_Stats_All!$A:$ZZ,ROW()-ROW($Q$16)+2,COLUMN()-COLUMN($Q$16)+1),
""))</f>
        <v>https://media.api-sports.io/flags/gb-eng.svg</v>
      </c>
      <c r="AA16" s="1">
        <f>IF(INDEX(Last10Away_Stats_All!$A:$A,ROW()-ROW($Q$16)+2)="","",
IFERROR(
INDEX(Last10Away_Stats_All!$A:$ZZ,ROW()-ROW($Q$16)+2,COLUMN()-COLUMN($Q$16)+1),
""))</f>
        <v>1</v>
      </c>
      <c r="AB16" s="1">
        <f>IF(INDEX(Last10Away_Stats_All!$A:$A,ROW()-ROW($Q$16)+2)="","",
IFERROR(
INDEX(Last10Away_Stats_All!$A:$ZZ,ROW()-ROW($Q$16)+2,COLUMN()-COLUMN($Q$16)+1),
""))</f>
        <v>2</v>
      </c>
      <c r="AC16" s="1">
        <f>IF(INDEX(Last10Away_Stats_All!$A:$A,ROW()-ROW($Q$16)+2)="","",
IFERROR(
INDEX(Last10Away_Stats_All!$A:$ZZ,ROW()-ROW($Q$16)+2,COLUMN()-COLUMN($Q$16)+1),
""))</f>
        <v>0</v>
      </c>
      <c r="AD16" s="1">
        <f>IF(INDEX(Last10Away_Stats_All!$A:$A,ROW()-ROW($Q$16)+2)="","",
IFERROR(
INDEX(Last10Away_Stats_All!$A:$ZZ,ROW()-ROW($Q$16)+2,COLUMN()-COLUMN($Q$16)+1),
""))</f>
        <v>1</v>
      </c>
      <c r="AE16" s="1">
        <f>IF(INDEX(Last10Away_Stats_All!$A:$A,ROW()-ROW($Q$16)+2)="","",
IFERROR(
INDEX(Last10Away_Stats_All!$A:$ZZ,ROW()-ROW($Q$16)+2,COLUMN()-COLUMN($Q$16)+1),
""))</f>
        <v>1</v>
      </c>
      <c r="AF16" s="1">
        <f>IF(INDEX(Last10Away_Stats_All!$A:$A,ROW()-ROW($Q$16)+2)="","",
IFERROR(
INDEX(Last10Away_Stats_All!$A:$ZZ,ROW()-ROW($Q$16)+2,COLUMN()-COLUMN($Q$16)+1),
""))</f>
        <v>2</v>
      </c>
      <c r="AG16" s="1">
        <f>IF(INDEX(Last10Away_Stats_All!$A:$A,ROW()-ROW($Q$16)+2)="","",
IFERROR(
INDEX(Last10Away_Stats_All!$A:$ZZ,ROW()-ROW($Q$16)+2,COLUMN()-COLUMN($Q$16)+1),
""))</f>
        <v>5</v>
      </c>
      <c r="AH16" s="1">
        <f>IF(INDEX(Last10Away_Stats_All!$A:$A,ROW()-ROW($Q$16)+2)="","",
IFERROR(
INDEX(Last10Away_Stats_All!$A:$ZZ,ROW()-ROW($Q$16)+2,COLUMN()-COLUMN($Q$16)+1),
""))</f>
        <v>8</v>
      </c>
      <c r="AI16" s="1">
        <f>IF(INDEX(Last10Away_Stats_All!$A:$A,ROW()-ROW($Q$16)+2)="","",
IFERROR(
INDEX(Last10Away_Stats_All!$A:$ZZ,ROW()-ROW($Q$16)+2,COLUMN()-COLUMN($Q$16)+1),
""))</f>
        <v>9</v>
      </c>
      <c r="AJ16" s="1">
        <f>IF(INDEX(Last10Away_Stats_All!$A:$A,ROW()-ROW($Q$16)+2)="","",
IFERROR(
INDEX(Last10Away_Stats_All!$A:$ZZ,ROW()-ROW($Q$16)+2,COLUMN()-COLUMN($Q$16)+1),
""))</f>
        <v>6</v>
      </c>
      <c r="AK16" s="1">
        <f>IF(INDEX(Last10Away_Stats_All!$A:$A,ROW()-ROW($Q$16)+2)="","",
IFERROR(
INDEX(Last10Away_Stats_All!$A:$ZZ,ROW()-ROW($Q$16)+2,COLUMN()-COLUMN($Q$16)+1),
""))</f>
        <v>18</v>
      </c>
      <c r="AL16" s="1">
        <f>IF(INDEX(Last10Away_Stats_All!$A:$A,ROW()-ROW($Q$16)+2)="","",
IFERROR(
INDEX(Last10Away_Stats_All!$A:$ZZ,ROW()-ROW($Q$16)+2,COLUMN()-COLUMN($Q$16)+1),
""))</f>
        <v>19</v>
      </c>
      <c r="AM16" s="1">
        <f>IF(INDEX(Last10Away_Stats_All!$A:$A,ROW()-ROW($Q$16)+2)="","",
IFERROR(
INDEX(Last10Away_Stats_All!$A:$ZZ,ROW()-ROW($Q$16)+2,COLUMN()-COLUMN($Q$16)+1),
""))</f>
        <v>4</v>
      </c>
      <c r="AN16" s="1">
        <f>IF(INDEX(Last10Away_Stats_All!$A:$A,ROW()-ROW($Q$16)+2)="","",
IFERROR(
INDEX(Last10Away_Stats_All!$A:$ZZ,ROW()-ROW($Q$16)+2,COLUMN()-COLUMN($Q$16)+1),
""))</f>
        <v>5</v>
      </c>
      <c r="AO16" s="1">
        <f>IF(INDEX(Last10Away_Stats_All!$A:$A,ROW()-ROW($Q$16)+2)="","",
IFERROR(
INDEX(Last10Away_Stats_All!$A:$ZZ,ROW()-ROW($Q$16)+2,COLUMN()-COLUMN($Q$16)+1),
""))</f>
        <v>11</v>
      </c>
      <c r="AP16" s="1">
        <f>IF(INDEX(Last10Away_Stats_All!$A:$A,ROW()-ROW($Q$16)+2)="","",
IFERROR(
INDEX(Last10Away_Stats_All!$A:$ZZ,ROW()-ROW($Q$16)+2,COLUMN()-COLUMN($Q$16)+1),
""))</f>
        <v>17</v>
      </c>
      <c r="AQ16" s="1">
        <f>IF(INDEX(Last10Away_Stats_All!$A:$A,ROW()-ROW($Q$16)+2)="","",
IFERROR(
INDEX(Last10Away_Stats_All!$A:$ZZ,ROW()-ROW($Q$16)+2,COLUMN()-COLUMN($Q$16)+1),
""))</f>
        <v>7</v>
      </c>
      <c r="AR16" s="1">
        <f>IF(INDEX(Last10Away_Stats_All!$A:$A,ROW()-ROW($Q$16)+2)="","",
IFERROR(
INDEX(Last10Away_Stats_All!$A:$ZZ,ROW()-ROW($Q$16)+2,COLUMN()-COLUMN($Q$16)+1),
""))</f>
        <v>2</v>
      </c>
      <c r="AS16" s="1">
        <f>IF(INDEX(Last10Away_Stats_All!$A:$A,ROW()-ROW($Q$16)+2)="","",
IFERROR(
INDEX(Last10Away_Stats_All!$A:$ZZ,ROW()-ROW($Q$16)+2,COLUMN()-COLUMN($Q$16)+1),
""))</f>
        <v>16</v>
      </c>
      <c r="AT16" s="1">
        <f>IF(INDEX(Last10Away_Stats_All!$A:$A,ROW()-ROW($Q$16)+2)="","",
IFERROR(
INDEX(Last10Away_Stats_All!$A:$ZZ,ROW()-ROW($Q$16)+2,COLUMN()-COLUMN($Q$16)+1),
""))</f>
        <v>6</v>
      </c>
      <c r="AU16" s="1">
        <f>IF(INDEX(Last10Away_Stats_All!$A:$A,ROW()-ROW($Q$16)+2)="","",
IFERROR(
INDEX(Last10Away_Stats_All!$A:$ZZ,ROW()-ROW($Q$16)+2,COLUMN()-COLUMN($Q$16)+1),
""))</f>
        <v>4</v>
      </c>
      <c r="AV16" s="1">
        <f>IF(INDEX(Last10Away_Stats_All!$A:$A,ROW()-ROW($Q$16)+2)="","",
IFERROR(
INDEX(Last10Away_Stats_All!$A:$ZZ,ROW()-ROW($Q$16)+2,COLUMN()-COLUMN($Q$16)+1),
""))</f>
        <v>8</v>
      </c>
      <c r="AW16" s="1">
        <f>IF(INDEX(Last10Away_Stats_All!$A:$A,ROW()-ROW($Q$16)+2)="","",
IFERROR(
INDEX(Last10Away_Stats_All!$A:$ZZ,ROW()-ROW($Q$16)+2,COLUMN()-COLUMN($Q$16)+1),
""))</f>
        <v>1</v>
      </c>
      <c r="AX16" s="1">
        <f>IF(INDEX(Last10Away_Stats_All!$A:$A,ROW()-ROW($Q$16)+2)="","",
IFERROR(
INDEX(Last10Away_Stats_All!$A:$ZZ,ROW()-ROW($Q$16)+2,COLUMN()-COLUMN($Q$16)+1),
""))</f>
        <v>1</v>
      </c>
      <c r="AY16" s="1">
        <f>IF(INDEX(Last10Away_Stats_All!$A:$A,ROW()-ROW($Q$16)+2)="","",
IFERROR(
INDEX(Last10Away_Stats_All!$A:$ZZ,ROW()-ROW($Q$16)+2,COLUMN()-COLUMN($Q$16)+1),
""))</f>
        <v>33</v>
      </c>
      <c r="AZ16" s="1">
        <f>IF(INDEX(Last10Away_Stats_All!$A:$A,ROW()-ROW($Q$16)+2)="","",
IFERROR(
INDEX(Last10Away_Stats_All!$A:$ZZ,ROW()-ROW($Q$16)+2,COLUMN()-COLUMN($Q$16)+1),
""))</f>
        <v>67</v>
      </c>
      <c r="BA16" s="1">
        <f>IF(INDEX(Last10Away_Stats_All!$A:$A,ROW()-ROW($Q$16)+2)="","",
IFERROR(
INDEX(Last10Away_Stats_All!$A:$ZZ,ROW()-ROW($Q$16)+2,COLUMN()-COLUMN($Q$16)+1),
""))</f>
        <v>4</v>
      </c>
      <c r="BB16" s="1">
        <f>IF(INDEX(Last10Away_Stats_All!$A:$A,ROW()-ROW($Q$16)+2)="","",
IFERROR(
INDEX(Last10Away_Stats_All!$A:$ZZ,ROW()-ROW($Q$16)+2,COLUMN()-COLUMN($Q$16)+1),
""))</f>
        <v>2</v>
      </c>
      <c r="BC16" s="1">
        <f>IF(INDEX(Last10Away_Stats_All!$A:$A,ROW()-ROW($Q$16)+2)="","",
IFERROR(
INDEX(Last10Away_Stats_All!$A:$ZZ,ROW()-ROW($Q$16)+2,COLUMN()-COLUMN($Q$16)+1),
""))</f>
        <v>0</v>
      </c>
      <c r="BD16" s="1">
        <f>IF(INDEX(Last10Away_Stats_All!$A:$A,ROW()-ROW($Q$16)+2)="","",
IFERROR(
INDEX(Last10Away_Stats_All!$A:$ZZ,ROW()-ROW($Q$16)+2,COLUMN()-COLUMN($Q$16)+1),
""))</f>
        <v>0</v>
      </c>
      <c r="BE16" s="1">
        <f>IF(INDEX(Last10Away_Stats_All!$A:$A,ROW()-ROW($Q$16)+2)="","",
IFERROR(
INDEX(Last10Away_Stats_All!$A:$ZZ,ROW()-ROW($Q$16)+2,COLUMN()-COLUMN($Q$16)+1),
""))</f>
        <v>5</v>
      </c>
      <c r="BF16" s="1">
        <f>IF(INDEX(Last10Away_Stats_All!$A:$A,ROW()-ROW($Q$16)+2)="","",
IFERROR(
INDEX(Last10Away_Stats_All!$A:$ZZ,ROW()-ROW($Q$16)+2,COLUMN()-COLUMN($Q$16)+1),
""))</f>
        <v>4</v>
      </c>
      <c r="BG16" s="1">
        <f>IF(INDEX(Last10Away_Stats_All!$A:$A,ROW()-ROW($Q$16)+2)="","",
IFERROR(
INDEX(Last10Away_Stats_All!$A:$ZZ,ROW()-ROW($Q$16)+2,COLUMN()-COLUMN($Q$16)+1),
""))</f>
        <v>260</v>
      </c>
      <c r="BH16" s="1">
        <f>IF(INDEX(Last10Away_Stats_All!$A:$A,ROW()-ROW($Q$16)+2)="","",
IFERROR(
INDEX(Last10Away_Stats_All!$A:$ZZ,ROW()-ROW($Q$16)+2,COLUMN()-COLUMN($Q$16)+1),
""))</f>
        <v>544</v>
      </c>
      <c r="BI16" s="1">
        <f>IF(INDEX(Last10Away_Stats_All!$A:$A,ROW()-ROW($Q$16)+2)="","",
IFERROR(
INDEX(Last10Away_Stats_All!$A:$ZZ,ROW()-ROW($Q$16)+2,COLUMN()-COLUMN($Q$16)+1),
""))</f>
        <v>191</v>
      </c>
      <c r="BJ16" s="1">
        <f>IF(INDEX(Last10Away_Stats_All!$A:$A,ROW()-ROW($Q$16)+2)="","",
IFERROR(
INDEX(Last10Away_Stats_All!$A:$ZZ,ROW()-ROW($Q$16)+2,COLUMN()-COLUMN($Q$16)+1),
""))</f>
        <v>459</v>
      </c>
      <c r="BK16" s="1">
        <f>IF(INDEX(Last10Away_Stats_All!$A:$A,ROW()-ROW($Q$16)+2)="","",
IFERROR(
INDEX(Last10Away_Stats_All!$A:$ZZ,ROW()-ROW($Q$16)+2,COLUMN()-COLUMN($Q$16)+1),
""))</f>
        <v>73</v>
      </c>
      <c r="BL16" s="1">
        <f>IF(INDEX(Last10Away_Stats_All!$A:$A,ROW()-ROW($Q$16)+2)="","",
IFERROR(
INDEX(Last10Away_Stats_All!$A:$ZZ,ROW()-ROW($Q$16)+2,COLUMN()-COLUMN($Q$16)+1),
""))</f>
        <v>84</v>
      </c>
      <c r="BM16" s="1">
        <f>IF(INDEX(Last10Away_Stats_All!$A:$A,ROW()-ROW($Q$16)+2)="","",
IFERROR(
INDEX(Last10Away_Stats_All!$A:$ZZ,ROW()-ROW($Q$16)+2,COLUMN()-COLUMN($Q$16)+1),
""))</f>
        <v>0</v>
      </c>
      <c r="BN16" s="1">
        <f>IF(INDEX(Last10Away_Stats_All!$A:$A,ROW()-ROW($Q$16)+2)="","",
IFERROR(
INDEX(Last10Away_Stats_All!$A:$ZZ,ROW()-ROW($Q$16)+2,COLUMN()-COLUMN($Q$16)+1),
""))</f>
        <v>0</v>
      </c>
      <c r="BO16" s="1">
        <f>IF(INDEX(Last10Away_Stats_All!$A:$A,ROW()-ROW($Q$16)+2)="","",
IFERROR(
INDEX(Last10Away_Stats_All!$A:$ZZ,ROW()-ROW($Q$16)+2,COLUMN()-COLUMN($Q$16)+1),
""))</f>
        <v>0</v>
      </c>
      <c r="BP16" s="1">
        <f>IF(INDEX(Last10Away_Stats_All!$A:$A,ROW()-ROW($Q$16)+2)="","",
IFERROR(
INDEX(Last10Away_Stats_All!$A:$ZZ,ROW()-ROW($Q$16)+2,COLUMN()-COLUMN($Q$16)+1),
""))</f>
        <v>0</v>
      </c>
      <c r="BR16" s="1" t="str">
        <f>IF(OR(Control!AC16="",Control!AD16=""),"",Control!AC16&amp;" : "&amp;Control!AD16)</f>
        <v>0 : 1</v>
      </c>
      <c r="BS16" s="1" t="str">
        <f>IF(OR(Control!AE16="",Control!AF16=""),"",Control!AE16&amp;" : "&amp;Control!AF16)</f>
        <v>1 : 2</v>
      </c>
      <c r="BT16" s="1" t="str">
        <f>IF(OR(Control!AU16="",Control!AV16=""),"",Control!AU16&amp;" : "&amp;Control!AV16)</f>
        <v>4 : 8</v>
      </c>
      <c r="BV16" s="1" t="str">
        <f>IFERROR(INDEX(tblStandings[#All],ROW(A16),COLUMN(A16)),"")</f>
        <v/>
      </c>
      <c r="BW16" s="1" t="str">
        <f>IFERROR(INDEX(tblStandings[#All],ROW(B16),COLUMN(B16)),"")</f>
        <v/>
      </c>
      <c r="BX16" s="1" t="str">
        <f>IFERROR(INDEX(tblStandings[#All],ROW(C16),COLUMN(C16)),"")</f>
        <v/>
      </c>
      <c r="BY16" s="1" t="str">
        <f>IFERROR(INDEX(tblStandings[#All],ROW(D16),COLUMN(D16)),"")</f>
        <v/>
      </c>
      <c r="BZ16" s="1" t="str">
        <f>IFERROR(INDEX(tblStandings[#All],ROW(E16),COLUMN(E16)),"")</f>
        <v/>
      </c>
      <c r="CA16" s="1" t="str">
        <f>IFERROR(INDEX(tblStandings[#All],ROW(F16),COLUMN(F16)),"")</f>
        <v/>
      </c>
      <c r="CB16" s="1" t="str">
        <f>IFERROR(INDEX(tblStandings[#All],ROW(G16),COLUMN(G16)),"")</f>
        <v/>
      </c>
      <c r="CC16" s="1" t="str">
        <f>IFERROR(INDEX(tblStandings[#All],ROW(H16),COLUMN(H16)),"")</f>
        <v/>
      </c>
      <c r="CD16" s="1" t="str">
        <f>IFERROR(INDEX(tblStandings[#All],ROW(I16),COLUMN(I16)),"")</f>
        <v/>
      </c>
      <c r="CE16" s="1" t="str">
        <f>IFERROR(INDEX(tblStandings[#All],ROW(J16),COLUMN(J16)),"")</f>
        <v/>
      </c>
      <c r="CF16" s="1" t="str">
        <f>IFERROR(INDEX(tblStandings[#All],ROW(K16),COLUMN(K16)),"")</f>
        <v/>
      </c>
      <c r="CG16" s="1" t="str">
        <f t="shared" si="0"/>
        <v/>
      </c>
      <c r="CH16" s="1" t="str">
        <f t="shared" si="1"/>
        <v/>
      </c>
      <c r="CI16" s="1" t="str">
        <f t="shared" si="2"/>
        <v/>
      </c>
      <c r="CJ16" s="1" t="str">
        <f t="shared" si="3"/>
        <v/>
      </c>
      <c r="CK16" s="1" t="str">
        <f t="shared" si="4"/>
        <v/>
      </c>
    </row>
    <row r="17" spans="1:89" x14ac:dyDescent="0.25">
      <c r="H17" s="1">
        <v>1522062</v>
      </c>
      <c r="I17" s="4">
        <v>46268.375</v>
      </c>
      <c r="J17" s="1" t="s">
        <v>17</v>
      </c>
      <c r="K17" s="1" t="s">
        <v>36</v>
      </c>
      <c r="L17" s="1" t="s">
        <v>236</v>
      </c>
      <c r="M17" s="1" t="s">
        <v>3997</v>
      </c>
      <c r="N17" s="1" t="s">
        <v>332</v>
      </c>
      <c r="O17" s="1" t="s">
        <v>3998</v>
      </c>
      <c r="Q17" s="1">
        <f>IF(INDEX(Last10Away_Stats_All!$A:$A,ROW()-ROW($Q$16)+2)="","",
IFERROR(
INDEX(Last10Away_Stats_All!$A:$ZZ,ROW()-ROW($Q$16)+2,COLUMN()-COLUMN($Q$16)+1),
""))</f>
        <v>1379251</v>
      </c>
      <c r="R17" s="1" t="str">
        <f>IF(INDEX(Last10Away_Stats_All!$A:$A,ROW()-ROW($Q$16)+2)="","",
IFERROR(
INDEX(Last10Away_Stats_All!$A:$ZZ,ROW()-ROW($Q$16)+2,COLUMN()-COLUMN($Q$16)+1),
""))</f>
        <v>04/03/2026 19:30</v>
      </c>
      <c r="S17" s="1" t="str">
        <f>IF(INDEX(Last10Away_Stats_All!$A:$A,ROW()-ROW($Q$16)+2)="","",
IFERROR(
INDEX(Last10Away_Stats_All!$A:$ZZ,ROW()-ROW($Q$16)+2,COLUMN()-COLUMN($Q$16)+1),
""))</f>
        <v>England</v>
      </c>
      <c r="T17" s="1" t="str">
        <f>IF(INDEX(Last10Away_Stats_All!$A:$A,ROW()-ROW($Q$16)+2)="","",
IFERROR(
INDEX(Last10Away_Stats_All!$A:$ZZ,ROW()-ROW($Q$16)+2,COLUMN()-COLUMN($Q$16)+1),
""))</f>
        <v>Premier League</v>
      </c>
      <c r="U17" s="1" t="str">
        <f>IF(INDEX(Last10Away_Stats_All!$A:$A,ROW()-ROW($Q$16)+2)="","",
IFERROR(
INDEX(Last10Away_Stats_All!$A:$ZZ,ROW()-ROW($Q$16)+2,COLUMN()-COLUMN($Q$16)+1),
""))</f>
        <v>https://media.api-sports.io/football/teams/51.png</v>
      </c>
      <c r="V17" s="1" t="str">
        <f>IF(INDEX(Last10Away_Stats_All!$A:$A,ROW()-ROW($Q$16)+2)="","",
IFERROR(
INDEX(Last10Away_Stats_All!$A:$ZZ,ROW()-ROW($Q$16)+2,COLUMN()-COLUMN($Q$16)+1),
""))</f>
        <v>Brighton</v>
      </c>
      <c r="W17" s="1" t="str">
        <f>IF(INDEX(Last10Away_Stats_All!$A:$A,ROW()-ROW($Q$16)+2)="","",
IFERROR(
INDEX(Last10Away_Stats_All!$A:$ZZ,ROW()-ROW($Q$16)+2,COLUMN()-COLUMN($Q$16)+1),
""))</f>
        <v>https://media.api-sports.io/football/teams/42.png</v>
      </c>
      <c r="X17" s="1" t="str">
        <f>IF(INDEX(Last10Away_Stats_All!$A:$A,ROW()-ROW($Q$16)+2)="","",
IFERROR(
INDEX(Last10Away_Stats_All!$A:$ZZ,ROW()-ROW($Q$16)+2,COLUMN()-COLUMN($Q$16)+1),
""))</f>
        <v>Arsenal</v>
      </c>
      <c r="Y17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17" s="1" t="str">
        <f>IF(INDEX(Last10Away_Stats_All!$A:$A,ROW()-ROW($Q$16)+2)="","",
IFERROR(
INDEX(Last10Away_Stats_All!$A:$ZZ,ROW()-ROW($Q$16)+2,COLUMN()-COLUMN($Q$16)+1),
""))</f>
        <v>https://media.api-sports.io/flags/gb-eng.svg</v>
      </c>
      <c r="AA17" s="1">
        <f>IF(INDEX(Last10Away_Stats_All!$A:$A,ROW()-ROW($Q$16)+2)="","",
IFERROR(
INDEX(Last10Away_Stats_All!$A:$ZZ,ROW()-ROW($Q$16)+2,COLUMN()-COLUMN($Q$16)+1),
""))</f>
        <v>0</v>
      </c>
      <c r="AB17" s="1">
        <f>IF(INDEX(Last10Away_Stats_All!$A:$A,ROW()-ROW($Q$16)+2)="","",
IFERROR(
INDEX(Last10Away_Stats_All!$A:$ZZ,ROW()-ROW($Q$16)+2,COLUMN()-COLUMN($Q$16)+1),
""))</f>
        <v>1</v>
      </c>
      <c r="AC17" s="1">
        <f>IF(INDEX(Last10Away_Stats_All!$A:$A,ROW()-ROW($Q$16)+2)="","",
IFERROR(
INDEX(Last10Away_Stats_All!$A:$ZZ,ROW()-ROW($Q$16)+2,COLUMN()-COLUMN($Q$16)+1),
""))</f>
        <v>0</v>
      </c>
      <c r="AD17" s="1">
        <f>IF(INDEX(Last10Away_Stats_All!$A:$A,ROW()-ROW($Q$16)+2)="","",
IFERROR(
INDEX(Last10Away_Stats_All!$A:$ZZ,ROW()-ROW($Q$16)+2,COLUMN()-COLUMN($Q$16)+1),
""))</f>
        <v>1</v>
      </c>
      <c r="AE17" s="1">
        <f>IF(INDEX(Last10Away_Stats_All!$A:$A,ROW()-ROW($Q$16)+2)="","",
IFERROR(
INDEX(Last10Away_Stats_All!$A:$ZZ,ROW()-ROW($Q$16)+2,COLUMN()-COLUMN($Q$16)+1),
""))</f>
        <v>0</v>
      </c>
      <c r="AF17" s="1">
        <f>IF(INDEX(Last10Away_Stats_All!$A:$A,ROW()-ROW($Q$16)+2)="","",
IFERROR(
INDEX(Last10Away_Stats_All!$A:$ZZ,ROW()-ROW($Q$16)+2,COLUMN()-COLUMN($Q$16)+1),
""))</f>
        <v>1</v>
      </c>
      <c r="AG17" s="1">
        <f>IF(INDEX(Last10Away_Stats_All!$A:$A,ROW()-ROW($Q$16)+2)="","",
IFERROR(
INDEX(Last10Away_Stats_All!$A:$ZZ,ROW()-ROW($Q$16)+2,COLUMN()-COLUMN($Q$16)+1),
""))</f>
        <v>3</v>
      </c>
      <c r="AH17" s="1">
        <f>IF(INDEX(Last10Away_Stats_All!$A:$A,ROW()-ROW($Q$16)+2)="","",
IFERROR(
INDEX(Last10Away_Stats_All!$A:$ZZ,ROW()-ROW($Q$16)+2,COLUMN()-COLUMN($Q$16)+1),
""))</f>
        <v>2</v>
      </c>
      <c r="AI17" s="1">
        <f>IF(INDEX(Last10Away_Stats_All!$A:$A,ROW()-ROW($Q$16)+2)="","",
IFERROR(
INDEX(Last10Away_Stats_All!$A:$ZZ,ROW()-ROW($Q$16)+2,COLUMN()-COLUMN($Q$16)+1),
""))</f>
        <v>3</v>
      </c>
      <c r="AJ17" s="1">
        <f>IF(INDEX(Last10Away_Stats_All!$A:$A,ROW()-ROW($Q$16)+2)="","",
IFERROR(
INDEX(Last10Away_Stats_All!$A:$ZZ,ROW()-ROW($Q$16)+2,COLUMN()-COLUMN($Q$16)+1),
""))</f>
        <v>4</v>
      </c>
      <c r="AK17" s="1">
        <f>IF(INDEX(Last10Away_Stats_All!$A:$A,ROW()-ROW($Q$16)+2)="","",
IFERROR(
INDEX(Last10Away_Stats_All!$A:$ZZ,ROW()-ROW($Q$16)+2,COLUMN()-COLUMN($Q$16)+1),
""))</f>
        <v>11</v>
      </c>
      <c r="AL17" s="1">
        <f>IF(INDEX(Last10Away_Stats_All!$A:$A,ROW()-ROW($Q$16)+2)="","",
IFERROR(
INDEX(Last10Away_Stats_All!$A:$ZZ,ROW()-ROW($Q$16)+2,COLUMN()-COLUMN($Q$16)+1),
""))</f>
        <v>7</v>
      </c>
      <c r="AM17" s="1">
        <f>IF(INDEX(Last10Away_Stats_All!$A:$A,ROW()-ROW($Q$16)+2)="","",
IFERROR(
INDEX(Last10Away_Stats_All!$A:$ZZ,ROW()-ROW($Q$16)+2,COLUMN()-COLUMN($Q$16)+1),
""))</f>
        <v>5</v>
      </c>
      <c r="AN17" s="1">
        <f>IF(INDEX(Last10Away_Stats_All!$A:$A,ROW()-ROW($Q$16)+2)="","",
IFERROR(
INDEX(Last10Away_Stats_All!$A:$ZZ,ROW()-ROW($Q$16)+2,COLUMN()-COLUMN($Q$16)+1),
""))</f>
        <v>1</v>
      </c>
      <c r="AO17" s="1">
        <f>IF(INDEX(Last10Away_Stats_All!$A:$A,ROW()-ROW($Q$16)+2)="","",
IFERROR(
INDEX(Last10Away_Stats_All!$A:$ZZ,ROW()-ROW($Q$16)+2,COLUMN()-COLUMN($Q$16)+1),
""))</f>
        <v>6</v>
      </c>
      <c r="AP17" s="1">
        <f>IF(INDEX(Last10Away_Stats_All!$A:$A,ROW()-ROW($Q$16)+2)="","",
IFERROR(
INDEX(Last10Away_Stats_All!$A:$ZZ,ROW()-ROW($Q$16)+2,COLUMN()-COLUMN($Q$16)+1),
""))</f>
        <v>6</v>
      </c>
      <c r="AQ17" s="1">
        <f>IF(INDEX(Last10Away_Stats_All!$A:$A,ROW()-ROW($Q$16)+2)="","",
IFERROR(
INDEX(Last10Away_Stats_All!$A:$ZZ,ROW()-ROW($Q$16)+2,COLUMN()-COLUMN($Q$16)+1),
""))</f>
        <v>5</v>
      </c>
      <c r="AR17" s="1">
        <f>IF(INDEX(Last10Away_Stats_All!$A:$A,ROW()-ROW($Q$16)+2)="","",
IFERROR(
INDEX(Last10Away_Stats_All!$A:$ZZ,ROW()-ROW($Q$16)+2,COLUMN()-COLUMN($Q$16)+1),
""))</f>
        <v>1</v>
      </c>
      <c r="AS17" s="1">
        <f>IF(INDEX(Last10Away_Stats_All!$A:$A,ROW()-ROW($Q$16)+2)="","",
IFERROR(
INDEX(Last10Away_Stats_All!$A:$ZZ,ROW()-ROW($Q$16)+2,COLUMN()-COLUMN($Q$16)+1),
""))</f>
        <v>14</v>
      </c>
      <c r="AT17" s="1">
        <f>IF(INDEX(Last10Away_Stats_All!$A:$A,ROW()-ROW($Q$16)+2)="","",
IFERROR(
INDEX(Last10Away_Stats_All!$A:$ZZ,ROW()-ROW($Q$16)+2,COLUMN()-COLUMN($Q$16)+1),
""))</f>
        <v>12</v>
      </c>
      <c r="AU17" s="1">
        <f>IF(INDEX(Last10Away_Stats_All!$A:$A,ROW()-ROW($Q$16)+2)="","",
IFERROR(
INDEX(Last10Away_Stats_All!$A:$ZZ,ROW()-ROW($Q$16)+2,COLUMN()-COLUMN($Q$16)+1),
""))</f>
        <v>4</v>
      </c>
      <c r="AV17" s="1">
        <f>IF(INDEX(Last10Away_Stats_All!$A:$A,ROW()-ROW($Q$16)+2)="","",
IFERROR(
INDEX(Last10Away_Stats_All!$A:$ZZ,ROW()-ROW($Q$16)+2,COLUMN()-COLUMN($Q$16)+1),
""))</f>
        <v>3</v>
      </c>
      <c r="AW17" s="1">
        <f>IF(INDEX(Last10Away_Stats_All!$A:$A,ROW()-ROW($Q$16)+2)="","",
IFERROR(
INDEX(Last10Away_Stats_All!$A:$ZZ,ROW()-ROW($Q$16)+2,COLUMN()-COLUMN($Q$16)+1),
""))</f>
        <v>3</v>
      </c>
      <c r="AX17" s="1">
        <f>IF(INDEX(Last10Away_Stats_All!$A:$A,ROW()-ROW($Q$16)+2)="","",
IFERROR(
INDEX(Last10Away_Stats_All!$A:$ZZ,ROW()-ROW($Q$16)+2,COLUMN()-COLUMN($Q$16)+1),
""))</f>
        <v>0</v>
      </c>
      <c r="AY17" s="1">
        <f>IF(INDEX(Last10Away_Stats_All!$A:$A,ROW()-ROW($Q$16)+2)="","",
IFERROR(
INDEX(Last10Away_Stats_All!$A:$ZZ,ROW()-ROW($Q$16)+2,COLUMN()-COLUMN($Q$16)+1),
""))</f>
        <v>60</v>
      </c>
      <c r="AZ17" s="1">
        <f>IF(INDEX(Last10Away_Stats_All!$A:$A,ROW()-ROW($Q$16)+2)="","",
IFERROR(
INDEX(Last10Away_Stats_All!$A:$ZZ,ROW()-ROW($Q$16)+2,COLUMN()-COLUMN($Q$16)+1),
""))</f>
        <v>40</v>
      </c>
      <c r="BA17" s="1">
        <f>IF(INDEX(Last10Away_Stats_All!$A:$A,ROW()-ROW($Q$16)+2)="","",
IFERROR(
INDEX(Last10Away_Stats_All!$A:$ZZ,ROW()-ROW($Q$16)+2,COLUMN()-COLUMN($Q$16)+1),
""))</f>
        <v>4</v>
      </c>
      <c r="BB17" s="1">
        <f>IF(INDEX(Last10Away_Stats_All!$A:$A,ROW()-ROW($Q$16)+2)="","",
IFERROR(
INDEX(Last10Away_Stats_All!$A:$ZZ,ROW()-ROW($Q$16)+2,COLUMN()-COLUMN($Q$16)+1),
""))</f>
        <v>1</v>
      </c>
      <c r="BC17" s="1">
        <f>IF(INDEX(Last10Away_Stats_All!$A:$A,ROW()-ROW($Q$16)+2)="","",
IFERROR(
INDEX(Last10Away_Stats_All!$A:$ZZ,ROW()-ROW($Q$16)+2,COLUMN()-COLUMN($Q$16)+1),
""))</f>
        <v>0</v>
      </c>
      <c r="BD17" s="1">
        <f>IF(INDEX(Last10Away_Stats_All!$A:$A,ROW()-ROW($Q$16)+2)="","",
IFERROR(
INDEX(Last10Away_Stats_All!$A:$ZZ,ROW()-ROW($Q$16)+2,COLUMN()-COLUMN($Q$16)+1),
""))</f>
        <v>0</v>
      </c>
      <c r="BE17" s="1">
        <f>IF(INDEX(Last10Away_Stats_All!$A:$A,ROW()-ROW($Q$16)+2)="","",
IFERROR(
INDEX(Last10Away_Stats_All!$A:$ZZ,ROW()-ROW($Q$16)+2,COLUMN()-COLUMN($Q$16)+1),
""))</f>
        <v>1</v>
      </c>
      <c r="BF17" s="1">
        <f>IF(INDEX(Last10Away_Stats_All!$A:$A,ROW()-ROW($Q$16)+2)="","",
IFERROR(
INDEX(Last10Away_Stats_All!$A:$ZZ,ROW()-ROW($Q$16)+2,COLUMN()-COLUMN($Q$16)+1),
""))</f>
        <v>2</v>
      </c>
      <c r="BG17" s="1">
        <f>IF(INDEX(Last10Away_Stats_All!$A:$A,ROW()-ROW($Q$16)+2)="","",
IFERROR(
INDEX(Last10Away_Stats_All!$A:$ZZ,ROW()-ROW($Q$16)+2,COLUMN()-COLUMN($Q$16)+1),
""))</f>
        <v>470</v>
      </c>
      <c r="BH17" s="1">
        <f>IF(INDEX(Last10Away_Stats_All!$A:$A,ROW()-ROW($Q$16)+2)="","",
IFERROR(
INDEX(Last10Away_Stats_All!$A:$ZZ,ROW()-ROW($Q$16)+2,COLUMN()-COLUMN($Q$16)+1),
""))</f>
        <v>322</v>
      </c>
      <c r="BI17" s="1">
        <f>IF(INDEX(Last10Away_Stats_All!$A:$A,ROW()-ROW($Q$16)+2)="","",
IFERROR(
INDEX(Last10Away_Stats_All!$A:$ZZ,ROW()-ROW($Q$16)+2,COLUMN()-COLUMN($Q$16)+1),
""))</f>
        <v>385</v>
      </c>
      <c r="BJ17" s="1">
        <f>IF(INDEX(Last10Away_Stats_All!$A:$A,ROW()-ROW($Q$16)+2)="","",
IFERROR(
INDEX(Last10Away_Stats_All!$A:$ZZ,ROW()-ROW($Q$16)+2,COLUMN()-COLUMN($Q$16)+1),
""))</f>
        <v>226</v>
      </c>
      <c r="BK17" s="1">
        <f>IF(INDEX(Last10Away_Stats_All!$A:$A,ROW()-ROW($Q$16)+2)="","",
IFERROR(
INDEX(Last10Away_Stats_All!$A:$ZZ,ROW()-ROW($Q$16)+2,COLUMN()-COLUMN($Q$16)+1),
""))</f>
        <v>82</v>
      </c>
      <c r="BL17" s="1">
        <f>IF(INDEX(Last10Away_Stats_All!$A:$A,ROW()-ROW($Q$16)+2)="","",
IFERROR(
INDEX(Last10Away_Stats_All!$A:$ZZ,ROW()-ROW($Q$16)+2,COLUMN()-COLUMN($Q$16)+1),
""))</f>
        <v>70</v>
      </c>
      <c r="BM17" s="1">
        <f>IF(INDEX(Last10Away_Stats_All!$A:$A,ROW()-ROW($Q$16)+2)="","",
IFERROR(
INDEX(Last10Away_Stats_All!$A:$ZZ,ROW()-ROW($Q$16)+2,COLUMN()-COLUMN($Q$16)+1),
""))</f>
        <v>0.82</v>
      </c>
      <c r="BN17" s="1">
        <f>IF(INDEX(Last10Away_Stats_All!$A:$A,ROW()-ROW($Q$16)+2)="","",
IFERROR(
INDEX(Last10Away_Stats_All!$A:$ZZ,ROW()-ROW($Q$16)+2,COLUMN()-COLUMN($Q$16)+1),
""))</f>
        <v>0.47</v>
      </c>
      <c r="BO17" s="1">
        <f>IF(INDEX(Last10Away_Stats_All!$A:$A,ROW()-ROW($Q$16)+2)="","",
IFERROR(
INDEX(Last10Away_Stats_All!$A:$ZZ,ROW()-ROW($Q$16)+2,COLUMN()-COLUMN($Q$16)+1),
""))</f>
        <v>0</v>
      </c>
      <c r="BP17" s="1">
        <f>IF(INDEX(Last10Away_Stats_All!$A:$A,ROW()-ROW($Q$16)+2)="","",
IFERROR(
INDEX(Last10Away_Stats_All!$A:$ZZ,ROW()-ROW($Q$16)+2,COLUMN()-COLUMN($Q$16)+1),
""))</f>
        <v>0</v>
      </c>
      <c r="BR17" s="1" t="str">
        <f>IF(OR(Control!AC17="",Control!AD17=""),"",Control!AC17&amp;" : "&amp;Control!AD17)</f>
        <v>0 : 1</v>
      </c>
      <c r="BS17" s="1" t="str">
        <f>IF(OR(Control!AE17="",Control!AF17=""),"",Control!AE17&amp;" : "&amp;Control!AF17)</f>
        <v>0 : 1</v>
      </c>
      <c r="BT17" s="1" t="str">
        <f>IF(OR(Control!AU17="",Control!AV17=""),"",Control!AU17&amp;" : "&amp;Control!AV17)</f>
        <v>4 : 3</v>
      </c>
      <c r="BV17" s="1" t="str">
        <f>IFERROR(INDEX(tblStandings[#All],ROW(A17),COLUMN(A17)),"")</f>
        <v/>
      </c>
      <c r="BW17" s="1" t="str">
        <f>IFERROR(INDEX(tblStandings[#All],ROW(B17),COLUMN(B17)),"")</f>
        <v/>
      </c>
      <c r="BX17" s="1" t="str">
        <f>IFERROR(INDEX(tblStandings[#All],ROW(C17),COLUMN(C17)),"")</f>
        <v/>
      </c>
      <c r="BY17" s="1" t="str">
        <f>IFERROR(INDEX(tblStandings[#All],ROW(D17),COLUMN(D17)),"")</f>
        <v/>
      </c>
      <c r="BZ17" s="1" t="str">
        <f>IFERROR(INDEX(tblStandings[#All],ROW(E17),COLUMN(E17)),"")</f>
        <v/>
      </c>
      <c r="CA17" s="1" t="str">
        <f>IFERROR(INDEX(tblStandings[#All],ROW(F17),COLUMN(F17)),"")</f>
        <v/>
      </c>
      <c r="CB17" s="1" t="str">
        <f>IFERROR(INDEX(tblStandings[#All],ROW(G17),COLUMN(G17)),"")</f>
        <v/>
      </c>
      <c r="CC17" s="1" t="str">
        <f>IFERROR(INDEX(tblStandings[#All],ROW(H17),COLUMN(H17)),"")</f>
        <v/>
      </c>
      <c r="CD17" s="1" t="str">
        <f>IFERROR(INDEX(tblStandings[#All],ROW(I17),COLUMN(I17)),"")</f>
        <v/>
      </c>
      <c r="CE17" s="1" t="str">
        <f>IFERROR(INDEX(tblStandings[#All],ROW(J17),COLUMN(J17)),"")</f>
        <v/>
      </c>
      <c r="CF17" s="1" t="str">
        <f>IFERROR(INDEX(tblStandings[#All],ROW(K17),COLUMN(K17)),"")</f>
        <v/>
      </c>
      <c r="CG17" s="1" t="str">
        <f t="shared" si="0"/>
        <v/>
      </c>
      <c r="CH17" s="1" t="str">
        <f t="shared" si="1"/>
        <v/>
      </c>
      <c r="CI17" s="1" t="str">
        <f t="shared" si="2"/>
        <v/>
      </c>
      <c r="CJ17" s="1" t="str">
        <f t="shared" si="3"/>
        <v/>
      </c>
      <c r="CK17" s="1" t="str">
        <f t="shared" si="4"/>
        <v/>
      </c>
    </row>
    <row r="18" spans="1:89" x14ac:dyDescent="0.25">
      <c r="A18" s="1" t="s">
        <v>211</v>
      </c>
      <c r="B18" s="1" t="str">
        <f>IFERROR(INDEX($L:$L, MATCH($B$10, $H:$H, 0)), "")</f>
        <v/>
      </c>
      <c r="H18" s="1">
        <v>1503473</v>
      </c>
      <c r="I18" s="4">
        <v>46268.395833333336</v>
      </c>
      <c r="J18" s="1" t="s">
        <v>17</v>
      </c>
      <c r="K18" s="1" t="s">
        <v>333</v>
      </c>
      <c r="L18" s="1" t="s">
        <v>106</v>
      </c>
      <c r="M18" s="1" t="s">
        <v>4000</v>
      </c>
      <c r="N18" s="1" t="s">
        <v>562</v>
      </c>
      <c r="O18" s="1" t="s">
        <v>4001</v>
      </c>
      <c r="Q18" s="1">
        <f>IF(INDEX(Last10Away_Stats_All!$A:$A,ROW()-ROW($Q$16)+2)="","",
IFERROR(
INDEX(Last10Away_Stats_All!$A:$ZZ,ROW()-ROW($Q$16)+2,COLUMN()-COLUMN($Q$16)+1),
""))</f>
        <v>1379237</v>
      </c>
      <c r="R18" s="1" t="str">
        <f>IF(INDEX(Last10Away_Stats_All!$A:$A,ROW()-ROW($Q$16)+2)="","",
IFERROR(
INDEX(Last10Away_Stats_All!$A:$ZZ,ROW()-ROW($Q$16)+2,COLUMN()-COLUMN($Q$16)+1),
""))</f>
        <v>22/02/2026 16:30</v>
      </c>
      <c r="S18" s="1" t="str">
        <f>IF(INDEX(Last10Away_Stats_All!$A:$A,ROW()-ROW($Q$16)+2)="","",
IFERROR(
INDEX(Last10Away_Stats_All!$A:$ZZ,ROW()-ROW($Q$16)+2,COLUMN()-COLUMN($Q$16)+1),
""))</f>
        <v>England</v>
      </c>
      <c r="T18" s="1" t="str">
        <f>IF(INDEX(Last10Away_Stats_All!$A:$A,ROW()-ROW($Q$16)+2)="","",
IFERROR(
INDEX(Last10Away_Stats_All!$A:$ZZ,ROW()-ROW($Q$16)+2,COLUMN()-COLUMN($Q$16)+1),
""))</f>
        <v>Premier League</v>
      </c>
      <c r="U18" s="1" t="str">
        <f>IF(INDEX(Last10Away_Stats_All!$A:$A,ROW()-ROW($Q$16)+2)="","",
IFERROR(
INDEX(Last10Away_Stats_All!$A:$ZZ,ROW()-ROW($Q$16)+2,COLUMN()-COLUMN($Q$16)+1),
""))</f>
        <v>https://media.api-sports.io/football/teams/47.png</v>
      </c>
      <c r="V18" s="1" t="str">
        <f>IF(INDEX(Last10Away_Stats_All!$A:$A,ROW()-ROW($Q$16)+2)="","",
IFERROR(
INDEX(Last10Away_Stats_All!$A:$ZZ,ROW()-ROW($Q$16)+2,COLUMN()-COLUMN($Q$16)+1),
""))</f>
        <v>Tottenham</v>
      </c>
      <c r="W18" s="1" t="str">
        <f>IF(INDEX(Last10Away_Stats_All!$A:$A,ROW()-ROW($Q$16)+2)="","",
IFERROR(
INDEX(Last10Away_Stats_All!$A:$ZZ,ROW()-ROW($Q$16)+2,COLUMN()-COLUMN($Q$16)+1),
""))</f>
        <v>https://media.api-sports.io/football/teams/42.png</v>
      </c>
      <c r="X18" s="1" t="str">
        <f>IF(INDEX(Last10Away_Stats_All!$A:$A,ROW()-ROW($Q$16)+2)="","",
IFERROR(
INDEX(Last10Away_Stats_All!$A:$ZZ,ROW()-ROW($Q$16)+2,COLUMN()-COLUMN($Q$16)+1),
""))</f>
        <v>Arsenal</v>
      </c>
      <c r="Y18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18" s="1" t="str">
        <f>IF(INDEX(Last10Away_Stats_All!$A:$A,ROW()-ROW($Q$16)+2)="","",
IFERROR(
INDEX(Last10Away_Stats_All!$A:$ZZ,ROW()-ROW($Q$16)+2,COLUMN()-COLUMN($Q$16)+1),
""))</f>
        <v>https://media.api-sports.io/flags/gb-eng.svg</v>
      </c>
      <c r="AA18" s="1">
        <f>IF(INDEX(Last10Away_Stats_All!$A:$A,ROW()-ROW($Q$16)+2)="","",
IFERROR(
INDEX(Last10Away_Stats_All!$A:$ZZ,ROW()-ROW($Q$16)+2,COLUMN()-COLUMN($Q$16)+1),
""))</f>
        <v>1</v>
      </c>
      <c r="AB18" s="1">
        <f>IF(INDEX(Last10Away_Stats_All!$A:$A,ROW()-ROW($Q$16)+2)="","",
IFERROR(
INDEX(Last10Away_Stats_All!$A:$ZZ,ROW()-ROW($Q$16)+2,COLUMN()-COLUMN($Q$16)+1),
""))</f>
        <v>4</v>
      </c>
      <c r="AC18" s="1">
        <f>IF(INDEX(Last10Away_Stats_All!$A:$A,ROW()-ROW($Q$16)+2)="","",
IFERROR(
INDEX(Last10Away_Stats_All!$A:$ZZ,ROW()-ROW($Q$16)+2,COLUMN()-COLUMN($Q$16)+1),
""))</f>
        <v>1</v>
      </c>
      <c r="AD18" s="1">
        <f>IF(INDEX(Last10Away_Stats_All!$A:$A,ROW()-ROW($Q$16)+2)="","",
IFERROR(
INDEX(Last10Away_Stats_All!$A:$ZZ,ROW()-ROW($Q$16)+2,COLUMN()-COLUMN($Q$16)+1),
""))</f>
        <v>1</v>
      </c>
      <c r="AE18" s="1">
        <f>IF(INDEX(Last10Away_Stats_All!$A:$A,ROW()-ROW($Q$16)+2)="","",
IFERROR(
INDEX(Last10Away_Stats_All!$A:$ZZ,ROW()-ROW($Q$16)+2,COLUMN()-COLUMN($Q$16)+1),
""))</f>
        <v>1</v>
      </c>
      <c r="AF18" s="1">
        <f>IF(INDEX(Last10Away_Stats_All!$A:$A,ROW()-ROW($Q$16)+2)="","",
IFERROR(
INDEX(Last10Away_Stats_All!$A:$ZZ,ROW()-ROW($Q$16)+2,COLUMN()-COLUMN($Q$16)+1),
""))</f>
        <v>4</v>
      </c>
      <c r="AG18" s="1">
        <f>IF(INDEX(Last10Away_Stats_All!$A:$A,ROW()-ROW($Q$16)+2)="","",
IFERROR(
INDEX(Last10Away_Stats_All!$A:$ZZ,ROW()-ROW($Q$16)+2,COLUMN()-COLUMN($Q$16)+1),
""))</f>
        <v>5</v>
      </c>
      <c r="AH18" s="1">
        <f>IF(INDEX(Last10Away_Stats_All!$A:$A,ROW()-ROW($Q$16)+2)="","",
IFERROR(
INDEX(Last10Away_Stats_All!$A:$ZZ,ROW()-ROW($Q$16)+2,COLUMN()-COLUMN($Q$16)+1),
""))</f>
        <v>7</v>
      </c>
      <c r="AI18" s="1">
        <f>IF(INDEX(Last10Away_Stats_All!$A:$A,ROW()-ROW($Q$16)+2)="","",
IFERROR(
INDEX(Last10Away_Stats_All!$A:$ZZ,ROW()-ROW($Q$16)+2,COLUMN()-COLUMN($Q$16)+1),
""))</f>
        <v>0</v>
      </c>
      <c r="AJ18" s="1">
        <f>IF(INDEX(Last10Away_Stats_All!$A:$A,ROW()-ROW($Q$16)+2)="","",
IFERROR(
INDEX(Last10Away_Stats_All!$A:$ZZ,ROW()-ROW($Q$16)+2,COLUMN()-COLUMN($Q$16)+1),
""))</f>
        <v>6</v>
      </c>
      <c r="AK18" s="1">
        <f>IF(INDEX(Last10Away_Stats_All!$A:$A,ROW()-ROW($Q$16)+2)="","",
IFERROR(
INDEX(Last10Away_Stats_All!$A:$ZZ,ROW()-ROW($Q$16)+2,COLUMN()-COLUMN($Q$16)+1),
""))</f>
        <v>6</v>
      </c>
      <c r="AL18" s="1">
        <f>IF(INDEX(Last10Away_Stats_All!$A:$A,ROW()-ROW($Q$16)+2)="","",
IFERROR(
INDEX(Last10Away_Stats_All!$A:$ZZ,ROW()-ROW($Q$16)+2,COLUMN()-COLUMN($Q$16)+1),
""))</f>
        <v>20</v>
      </c>
      <c r="AM18" s="1">
        <f>IF(INDEX(Last10Away_Stats_All!$A:$A,ROW()-ROW($Q$16)+2)="","",
IFERROR(
INDEX(Last10Away_Stats_All!$A:$ZZ,ROW()-ROW($Q$16)+2,COLUMN()-COLUMN($Q$16)+1),
""))</f>
        <v>1</v>
      </c>
      <c r="AN18" s="1">
        <f>IF(INDEX(Last10Away_Stats_All!$A:$A,ROW()-ROW($Q$16)+2)="","",
IFERROR(
INDEX(Last10Away_Stats_All!$A:$ZZ,ROW()-ROW($Q$16)+2,COLUMN()-COLUMN($Q$16)+1),
""))</f>
        <v>7</v>
      </c>
      <c r="AO18" s="1">
        <f>IF(INDEX(Last10Away_Stats_All!$A:$A,ROW()-ROW($Q$16)+2)="","",
IFERROR(
INDEX(Last10Away_Stats_All!$A:$ZZ,ROW()-ROW($Q$16)+2,COLUMN()-COLUMN($Q$16)+1),
""))</f>
        <v>3</v>
      </c>
      <c r="AP18" s="1">
        <f>IF(INDEX(Last10Away_Stats_All!$A:$A,ROW()-ROW($Q$16)+2)="","",
IFERROR(
INDEX(Last10Away_Stats_All!$A:$ZZ,ROW()-ROW($Q$16)+2,COLUMN()-COLUMN($Q$16)+1),
""))</f>
        <v>13</v>
      </c>
      <c r="AQ18" s="1">
        <f>IF(INDEX(Last10Away_Stats_All!$A:$A,ROW()-ROW($Q$16)+2)="","",
IFERROR(
INDEX(Last10Away_Stats_All!$A:$ZZ,ROW()-ROW($Q$16)+2,COLUMN()-COLUMN($Q$16)+1),
""))</f>
        <v>3</v>
      </c>
      <c r="AR18" s="1">
        <f>IF(INDEX(Last10Away_Stats_All!$A:$A,ROW()-ROW($Q$16)+2)="","",
IFERROR(
INDEX(Last10Away_Stats_All!$A:$ZZ,ROW()-ROW($Q$16)+2,COLUMN()-COLUMN($Q$16)+1),
""))</f>
        <v>7</v>
      </c>
      <c r="AS18" s="1">
        <f>IF(INDEX(Last10Away_Stats_All!$A:$A,ROW()-ROW($Q$16)+2)="","",
IFERROR(
INDEX(Last10Away_Stats_All!$A:$ZZ,ROW()-ROW($Q$16)+2,COLUMN()-COLUMN($Q$16)+1),
""))</f>
        <v>17</v>
      </c>
      <c r="AT18" s="1">
        <f>IF(INDEX(Last10Away_Stats_All!$A:$A,ROW()-ROW($Q$16)+2)="","",
IFERROR(
INDEX(Last10Away_Stats_All!$A:$ZZ,ROW()-ROW($Q$16)+2,COLUMN()-COLUMN($Q$16)+1),
""))</f>
        <v>11</v>
      </c>
      <c r="AU18" s="1">
        <f>IF(INDEX(Last10Away_Stats_All!$A:$A,ROW()-ROW($Q$16)+2)="","",
IFERROR(
INDEX(Last10Away_Stats_All!$A:$ZZ,ROW()-ROW($Q$16)+2,COLUMN()-COLUMN($Q$16)+1),
""))</f>
        <v>2</v>
      </c>
      <c r="AV18" s="1">
        <f>IF(INDEX(Last10Away_Stats_All!$A:$A,ROW()-ROW($Q$16)+2)="","",
IFERROR(
INDEX(Last10Away_Stats_All!$A:$ZZ,ROW()-ROW($Q$16)+2,COLUMN()-COLUMN($Q$16)+1),
""))</f>
        <v>5</v>
      </c>
      <c r="AW18" s="1">
        <f>IF(INDEX(Last10Away_Stats_All!$A:$A,ROW()-ROW($Q$16)+2)="","",
IFERROR(
INDEX(Last10Away_Stats_All!$A:$ZZ,ROW()-ROW($Q$16)+2,COLUMN()-COLUMN($Q$16)+1),
""))</f>
        <v>0</v>
      </c>
      <c r="AX18" s="1">
        <f>IF(INDEX(Last10Away_Stats_All!$A:$A,ROW()-ROW($Q$16)+2)="","",
IFERROR(
INDEX(Last10Away_Stats_All!$A:$ZZ,ROW()-ROW($Q$16)+2,COLUMN()-COLUMN($Q$16)+1),
""))</f>
        <v>0</v>
      </c>
      <c r="AY18" s="1">
        <f>IF(INDEX(Last10Away_Stats_All!$A:$A,ROW()-ROW($Q$16)+2)="","",
IFERROR(
INDEX(Last10Away_Stats_All!$A:$ZZ,ROW()-ROW($Q$16)+2,COLUMN()-COLUMN($Q$16)+1),
""))</f>
        <v>40</v>
      </c>
      <c r="AZ18" s="1">
        <f>IF(INDEX(Last10Away_Stats_All!$A:$A,ROW()-ROW($Q$16)+2)="","",
IFERROR(
INDEX(Last10Away_Stats_All!$A:$ZZ,ROW()-ROW($Q$16)+2,COLUMN()-COLUMN($Q$16)+1),
""))</f>
        <v>60</v>
      </c>
      <c r="BA18" s="1">
        <f>IF(INDEX(Last10Away_Stats_All!$A:$A,ROW()-ROW($Q$16)+2)="","",
IFERROR(
INDEX(Last10Away_Stats_All!$A:$ZZ,ROW()-ROW($Q$16)+2,COLUMN()-COLUMN($Q$16)+1),
""))</f>
        <v>2</v>
      </c>
      <c r="BB18" s="1">
        <f>IF(INDEX(Last10Away_Stats_All!$A:$A,ROW()-ROW($Q$16)+2)="","",
IFERROR(
INDEX(Last10Away_Stats_All!$A:$ZZ,ROW()-ROW($Q$16)+2,COLUMN()-COLUMN($Q$16)+1),
""))</f>
        <v>1</v>
      </c>
      <c r="BC18" s="1">
        <f>IF(INDEX(Last10Away_Stats_All!$A:$A,ROW()-ROW($Q$16)+2)="","",
IFERROR(
INDEX(Last10Away_Stats_All!$A:$ZZ,ROW()-ROW($Q$16)+2,COLUMN()-COLUMN($Q$16)+1),
""))</f>
        <v>0</v>
      </c>
      <c r="BD18" s="1">
        <f>IF(INDEX(Last10Away_Stats_All!$A:$A,ROW()-ROW($Q$16)+2)="","",
IFERROR(
INDEX(Last10Away_Stats_All!$A:$ZZ,ROW()-ROW($Q$16)+2,COLUMN()-COLUMN($Q$16)+1),
""))</f>
        <v>0</v>
      </c>
      <c r="BE18" s="1">
        <f>IF(INDEX(Last10Away_Stats_All!$A:$A,ROW()-ROW($Q$16)+2)="","",
IFERROR(
INDEX(Last10Away_Stats_All!$A:$ZZ,ROW()-ROW($Q$16)+2,COLUMN()-COLUMN($Q$16)+1),
""))</f>
        <v>2</v>
      </c>
      <c r="BF18" s="1">
        <f>IF(INDEX(Last10Away_Stats_All!$A:$A,ROW()-ROW($Q$16)+2)="","",
IFERROR(
INDEX(Last10Away_Stats_All!$A:$ZZ,ROW()-ROW($Q$16)+2,COLUMN()-COLUMN($Q$16)+1),
""))</f>
        <v>4</v>
      </c>
      <c r="BG18" s="1">
        <f>IF(INDEX(Last10Away_Stats_All!$A:$A,ROW()-ROW($Q$16)+2)="","",
IFERROR(
INDEX(Last10Away_Stats_All!$A:$ZZ,ROW()-ROW($Q$16)+2,COLUMN()-COLUMN($Q$16)+1),
""))</f>
        <v>320</v>
      </c>
      <c r="BH18" s="1">
        <f>IF(INDEX(Last10Away_Stats_All!$A:$A,ROW()-ROW($Q$16)+2)="","",
IFERROR(
INDEX(Last10Away_Stats_All!$A:$ZZ,ROW()-ROW($Q$16)+2,COLUMN()-COLUMN($Q$16)+1),
""))</f>
        <v>480</v>
      </c>
      <c r="BI18" s="1">
        <f>IF(INDEX(Last10Away_Stats_All!$A:$A,ROW()-ROW($Q$16)+2)="","",
IFERROR(
INDEX(Last10Away_Stats_All!$A:$ZZ,ROW()-ROW($Q$16)+2,COLUMN()-COLUMN($Q$16)+1),
""))</f>
        <v>232</v>
      </c>
      <c r="BJ18" s="1">
        <f>IF(INDEX(Last10Away_Stats_All!$A:$A,ROW()-ROW($Q$16)+2)="","",
IFERROR(
INDEX(Last10Away_Stats_All!$A:$ZZ,ROW()-ROW($Q$16)+2,COLUMN()-COLUMN($Q$16)+1),
""))</f>
        <v>378</v>
      </c>
      <c r="BK18" s="1">
        <f>IF(INDEX(Last10Away_Stats_All!$A:$A,ROW()-ROW($Q$16)+2)="","",
IFERROR(
INDEX(Last10Away_Stats_All!$A:$ZZ,ROW()-ROW($Q$16)+2,COLUMN()-COLUMN($Q$16)+1),
""))</f>
        <v>73</v>
      </c>
      <c r="BL18" s="1">
        <f>IF(INDEX(Last10Away_Stats_All!$A:$A,ROW()-ROW($Q$16)+2)="","",
IFERROR(
INDEX(Last10Away_Stats_All!$A:$ZZ,ROW()-ROW($Q$16)+2,COLUMN()-COLUMN($Q$16)+1),
""))</f>
        <v>79</v>
      </c>
      <c r="BM18" s="1">
        <f>IF(INDEX(Last10Away_Stats_All!$A:$A,ROW()-ROW($Q$16)+2)="","",
IFERROR(
INDEX(Last10Away_Stats_All!$A:$ZZ,ROW()-ROW($Q$16)+2,COLUMN()-COLUMN($Q$16)+1),
""))</f>
        <v>0.76</v>
      </c>
      <c r="BN18" s="1">
        <f>IF(INDEX(Last10Away_Stats_All!$A:$A,ROW()-ROW($Q$16)+2)="","",
IFERROR(
INDEX(Last10Away_Stats_All!$A:$ZZ,ROW()-ROW($Q$16)+2,COLUMN()-COLUMN($Q$16)+1),
""))</f>
        <v>2.0699999999999998</v>
      </c>
      <c r="BO18" s="1">
        <f>IF(INDEX(Last10Away_Stats_All!$A:$A,ROW()-ROW($Q$16)+2)="","",
IFERROR(
INDEX(Last10Away_Stats_All!$A:$ZZ,ROW()-ROW($Q$16)+2,COLUMN()-COLUMN($Q$16)+1),
""))</f>
        <v>0</v>
      </c>
      <c r="BP18" s="1">
        <f>IF(INDEX(Last10Away_Stats_All!$A:$A,ROW()-ROW($Q$16)+2)="","",
IFERROR(
INDEX(Last10Away_Stats_All!$A:$ZZ,ROW()-ROW($Q$16)+2,COLUMN()-COLUMN($Q$16)+1),
""))</f>
        <v>0</v>
      </c>
      <c r="BR18" s="1" t="str">
        <f>IF(OR(Control!AC18="",Control!AD18=""),"",Control!AC18&amp;" : "&amp;Control!AD18)</f>
        <v>1 : 1</v>
      </c>
      <c r="BS18" s="1" t="str">
        <f>IF(OR(Control!AE18="",Control!AF18=""),"",Control!AE18&amp;" : "&amp;Control!AF18)</f>
        <v>1 : 4</v>
      </c>
      <c r="BT18" s="1" t="str">
        <f>IF(OR(Control!AU18="",Control!AV18=""),"",Control!AU18&amp;" : "&amp;Control!AV18)</f>
        <v>2 : 5</v>
      </c>
      <c r="BV18" s="1" t="str">
        <f>IFERROR(INDEX(tblStandings[#All],ROW(A18),COLUMN(A18)),"")</f>
        <v/>
      </c>
      <c r="BW18" s="1" t="str">
        <f>IFERROR(INDEX(tblStandings[#All],ROW(B18),COLUMN(B18)),"")</f>
        <v/>
      </c>
      <c r="BX18" s="1" t="str">
        <f>IFERROR(INDEX(tblStandings[#All],ROW(C18),COLUMN(C18)),"")</f>
        <v/>
      </c>
      <c r="BY18" s="1" t="str">
        <f>IFERROR(INDEX(tblStandings[#All],ROW(D18),COLUMN(D18)),"")</f>
        <v/>
      </c>
      <c r="BZ18" s="1" t="str">
        <f>IFERROR(INDEX(tblStandings[#All],ROW(E18),COLUMN(E18)),"")</f>
        <v/>
      </c>
      <c r="CA18" s="1" t="str">
        <f>IFERROR(INDEX(tblStandings[#All],ROW(F18),COLUMN(F18)),"")</f>
        <v/>
      </c>
      <c r="CB18" s="1" t="str">
        <f>IFERROR(INDEX(tblStandings[#All],ROW(G18),COLUMN(G18)),"")</f>
        <v/>
      </c>
      <c r="CC18" s="1" t="str">
        <f>IFERROR(INDEX(tblStandings[#All],ROW(H18),COLUMN(H18)),"")</f>
        <v/>
      </c>
      <c r="CD18" s="1" t="str">
        <f>IFERROR(INDEX(tblStandings[#All],ROW(I18),COLUMN(I18)),"")</f>
        <v/>
      </c>
      <c r="CE18" s="1" t="str">
        <f>IFERROR(INDEX(tblStandings[#All],ROW(J18),COLUMN(J18)),"")</f>
        <v/>
      </c>
      <c r="CF18" s="1" t="str">
        <f>IFERROR(INDEX(tblStandings[#All],ROW(K18),COLUMN(K18)),"")</f>
        <v/>
      </c>
      <c r="CG18" s="1" t="str">
        <f t="shared" si="0"/>
        <v/>
      </c>
      <c r="CH18" s="1" t="str">
        <f t="shared" si="1"/>
        <v/>
      </c>
      <c r="CI18" s="1" t="str">
        <f t="shared" si="2"/>
        <v/>
      </c>
      <c r="CJ18" s="1" t="str">
        <f t="shared" si="3"/>
        <v/>
      </c>
      <c r="CK18" s="1" t="str">
        <f t="shared" si="4"/>
        <v/>
      </c>
    </row>
    <row r="19" spans="1:89" x14ac:dyDescent="0.25">
      <c r="H19" s="1">
        <v>1404565</v>
      </c>
      <c r="I19" s="4">
        <v>46268.416666666664</v>
      </c>
      <c r="J19" s="1" t="s">
        <v>17</v>
      </c>
      <c r="K19" s="1" t="s">
        <v>42</v>
      </c>
      <c r="L19" s="1" t="s">
        <v>264</v>
      </c>
      <c r="M19" s="1" t="s">
        <v>4003</v>
      </c>
      <c r="N19" s="1" t="s">
        <v>4004</v>
      </c>
      <c r="O19" s="1" t="s">
        <v>4005</v>
      </c>
      <c r="Q19" s="1">
        <f>IF(INDEX(Last10Away_Stats_All!$A:$A,ROW()-ROW($Q$16)+2)="","",
IFERROR(
INDEX(Last10Away_Stats_All!$A:$ZZ,ROW()-ROW($Q$16)+2,COLUMN()-COLUMN($Q$16)+1),
""))</f>
        <v>1379278</v>
      </c>
      <c r="R19" s="1" t="str">
        <f>IF(INDEX(Last10Away_Stats_All!$A:$A,ROW()-ROW($Q$16)+2)="","",
IFERROR(
INDEX(Last10Away_Stats_All!$A:$ZZ,ROW()-ROW($Q$16)+2,COLUMN()-COLUMN($Q$16)+1),
""))</f>
        <v>18/02/2026 20:00</v>
      </c>
      <c r="S19" s="1" t="str">
        <f>IF(INDEX(Last10Away_Stats_All!$A:$A,ROW()-ROW($Q$16)+2)="","",
IFERROR(
INDEX(Last10Away_Stats_All!$A:$ZZ,ROW()-ROW($Q$16)+2,COLUMN()-COLUMN($Q$16)+1),
""))</f>
        <v>England</v>
      </c>
      <c r="T19" s="1" t="str">
        <f>IF(INDEX(Last10Away_Stats_All!$A:$A,ROW()-ROW($Q$16)+2)="","",
IFERROR(
INDEX(Last10Away_Stats_All!$A:$ZZ,ROW()-ROW($Q$16)+2,COLUMN()-COLUMN($Q$16)+1),
""))</f>
        <v>Premier League</v>
      </c>
      <c r="U19" s="1" t="str">
        <f>IF(INDEX(Last10Away_Stats_All!$A:$A,ROW()-ROW($Q$16)+2)="","",
IFERROR(
INDEX(Last10Away_Stats_All!$A:$ZZ,ROW()-ROW($Q$16)+2,COLUMN()-COLUMN($Q$16)+1),
""))</f>
        <v>https://media.api-sports.io/football/teams/39.png</v>
      </c>
      <c r="V19" s="1" t="str">
        <f>IF(INDEX(Last10Away_Stats_All!$A:$A,ROW()-ROW($Q$16)+2)="","",
IFERROR(
INDEX(Last10Away_Stats_All!$A:$ZZ,ROW()-ROW($Q$16)+2,COLUMN()-COLUMN($Q$16)+1),
""))</f>
        <v>Wolves</v>
      </c>
      <c r="W19" s="1" t="str">
        <f>IF(INDEX(Last10Away_Stats_All!$A:$A,ROW()-ROW($Q$16)+2)="","",
IFERROR(
INDEX(Last10Away_Stats_All!$A:$ZZ,ROW()-ROW($Q$16)+2,COLUMN()-COLUMN($Q$16)+1),
""))</f>
        <v>https://media.api-sports.io/football/teams/42.png</v>
      </c>
      <c r="X19" s="1" t="str">
        <f>IF(INDEX(Last10Away_Stats_All!$A:$A,ROW()-ROW($Q$16)+2)="","",
IFERROR(
INDEX(Last10Away_Stats_All!$A:$ZZ,ROW()-ROW($Q$16)+2,COLUMN()-COLUMN($Q$16)+1),
""))</f>
        <v>Arsenal</v>
      </c>
      <c r="Y19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19" s="1" t="str">
        <f>IF(INDEX(Last10Away_Stats_All!$A:$A,ROW()-ROW($Q$16)+2)="","",
IFERROR(
INDEX(Last10Away_Stats_All!$A:$ZZ,ROW()-ROW($Q$16)+2,COLUMN()-COLUMN($Q$16)+1),
""))</f>
        <v>https://media.api-sports.io/flags/gb-eng.svg</v>
      </c>
      <c r="AA19" s="1">
        <f>IF(INDEX(Last10Away_Stats_All!$A:$A,ROW()-ROW($Q$16)+2)="","",
IFERROR(
INDEX(Last10Away_Stats_All!$A:$ZZ,ROW()-ROW($Q$16)+2,COLUMN()-COLUMN($Q$16)+1),
""))</f>
        <v>2</v>
      </c>
      <c r="AB19" s="1">
        <f>IF(INDEX(Last10Away_Stats_All!$A:$A,ROW()-ROW($Q$16)+2)="","",
IFERROR(
INDEX(Last10Away_Stats_All!$A:$ZZ,ROW()-ROW($Q$16)+2,COLUMN()-COLUMN($Q$16)+1),
""))</f>
        <v>2</v>
      </c>
      <c r="AC19" s="1">
        <f>IF(INDEX(Last10Away_Stats_All!$A:$A,ROW()-ROW($Q$16)+2)="","",
IFERROR(
INDEX(Last10Away_Stats_All!$A:$ZZ,ROW()-ROW($Q$16)+2,COLUMN()-COLUMN($Q$16)+1),
""))</f>
        <v>0</v>
      </c>
      <c r="AD19" s="1">
        <f>IF(INDEX(Last10Away_Stats_All!$A:$A,ROW()-ROW($Q$16)+2)="","",
IFERROR(
INDEX(Last10Away_Stats_All!$A:$ZZ,ROW()-ROW($Q$16)+2,COLUMN()-COLUMN($Q$16)+1),
""))</f>
        <v>1</v>
      </c>
      <c r="AE19" s="1">
        <f>IF(INDEX(Last10Away_Stats_All!$A:$A,ROW()-ROW($Q$16)+2)="","",
IFERROR(
INDEX(Last10Away_Stats_All!$A:$ZZ,ROW()-ROW($Q$16)+2,COLUMN()-COLUMN($Q$16)+1),
""))</f>
        <v>2</v>
      </c>
      <c r="AF19" s="1">
        <f>IF(INDEX(Last10Away_Stats_All!$A:$A,ROW()-ROW($Q$16)+2)="","",
IFERROR(
INDEX(Last10Away_Stats_All!$A:$ZZ,ROW()-ROW($Q$16)+2,COLUMN()-COLUMN($Q$16)+1),
""))</f>
        <v>2</v>
      </c>
      <c r="AG19" s="1">
        <f>IF(INDEX(Last10Away_Stats_All!$A:$A,ROW()-ROW($Q$16)+2)="","",
IFERROR(
INDEX(Last10Away_Stats_All!$A:$ZZ,ROW()-ROW($Q$16)+2,COLUMN()-COLUMN($Q$16)+1),
""))</f>
        <v>2</v>
      </c>
      <c r="AH19" s="1">
        <f>IF(INDEX(Last10Away_Stats_All!$A:$A,ROW()-ROW($Q$16)+2)="","",
IFERROR(
INDEX(Last10Away_Stats_All!$A:$ZZ,ROW()-ROW($Q$16)+2,COLUMN()-COLUMN($Q$16)+1),
""))</f>
        <v>4</v>
      </c>
      <c r="AI19" s="1">
        <f>IF(INDEX(Last10Away_Stats_All!$A:$A,ROW()-ROW($Q$16)+2)="","",
IFERROR(
INDEX(Last10Away_Stats_All!$A:$ZZ,ROW()-ROW($Q$16)+2,COLUMN()-COLUMN($Q$16)+1),
""))</f>
        <v>3</v>
      </c>
      <c r="AJ19" s="1">
        <f>IF(INDEX(Last10Away_Stats_All!$A:$A,ROW()-ROW($Q$16)+2)="","",
IFERROR(
INDEX(Last10Away_Stats_All!$A:$ZZ,ROW()-ROW($Q$16)+2,COLUMN()-COLUMN($Q$16)+1),
""))</f>
        <v>4</v>
      </c>
      <c r="AK19" s="1">
        <f>IF(INDEX(Last10Away_Stats_All!$A:$A,ROW()-ROW($Q$16)+2)="","",
IFERROR(
INDEX(Last10Away_Stats_All!$A:$ZZ,ROW()-ROW($Q$16)+2,COLUMN()-COLUMN($Q$16)+1),
""))</f>
        <v>5</v>
      </c>
      <c r="AL19" s="1">
        <f>IF(INDEX(Last10Away_Stats_All!$A:$A,ROW()-ROW($Q$16)+2)="","",
IFERROR(
INDEX(Last10Away_Stats_All!$A:$ZZ,ROW()-ROW($Q$16)+2,COLUMN()-COLUMN($Q$16)+1),
""))</f>
        <v>10</v>
      </c>
      <c r="AM19" s="1">
        <f>IF(INDEX(Last10Away_Stats_All!$A:$A,ROW()-ROW($Q$16)+2)="","",
IFERROR(
INDEX(Last10Away_Stats_All!$A:$ZZ,ROW()-ROW($Q$16)+2,COLUMN()-COLUMN($Q$16)+1),
""))</f>
        <v>0</v>
      </c>
      <c r="AN19" s="1">
        <f>IF(INDEX(Last10Away_Stats_All!$A:$A,ROW()-ROW($Q$16)+2)="","",
IFERROR(
INDEX(Last10Away_Stats_All!$A:$ZZ,ROW()-ROW($Q$16)+2,COLUMN()-COLUMN($Q$16)+1),
""))</f>
        <v>2</v>
      </c>
      <c r="AO19" s="1">
        <f>IF(INDEX(Last10Away_Stats_All!$A:$A,ROW()-ROW($Q$16)+2)="","",
IFERROR(
INDEX(Last10Away_Stats_All!$A:$ZZ,ROW()-ROW($Q$16)+2,COLUMN()-COLUMN($Q$16)+1),
""))</f>
        <v>2</v>
      </c>
      <c r="AP19" s="1">
        <f>IF(INDEX(Last10Away_Stats_All!$A:$A,ROW()-ROW($Q$16)+2)="","",
IFERROR(
INDEX(Last10Away_Stats_All!$A:$ZZ,ROW()-ROW($Q$16)+2,COLUMN()-COLUMN($Q$16)+1),
""))</f>
        <v>9</v>
      </c>
      <c r="AQ19" s="1">
        <f>IF(INDEX(Last10Away_Stats_All!$A:$A,ROW()-ROW($Q$16)+2)="","",
IFERROR(
INDEX(Last10Away_Stats_All!$A:$ZZ,ROW()-ROW($Q$16)+2,COLUMN()-COLUMN($Q$16)+1),
""))</f>
        <v>3</v>
      </c>
      <c r="AR19" s="1">
        <f>IF(INDEX(Last10Away_Stats_All!$A:$A,ROW()-ROW($Q$16)+2)="","",
IFERROR(
INDEX(Last10Away_Stats_All!$A:$ZZ,ROW()-ROW($Q$16)+2,COLUMN()-COLUMN($Q$16)+1),
""))</f>
        <v>1</v>
      </c>
      <c r="AS19" s="1">
        <f>IF(INDEX(Last10Away_Stats_All!$A:$A,ROW()-ROW($Q$16)+2)="","",
IFERROR(
INDEX(Last10Away_Stats_All!$A:$ZZ,ROW()-ROW($Q$16)+2,COLUMN()-COLUMN($Q$16)+1),
""))</f>
        <v>6</v>
      </c>
      <c r="AT19" s="1">
        <f>IF(INDEX(Last10Away_Stats_All!$A:$A,ROW()-ROW($Q$16)+2)="","",
IFERROR(
INDEX(Last10Away_Stats_All!$A:$ZZ,ROW()-ROW($Q$16)+2,COLUMN()-COLUMN($Q$16)+1),
""))</f>
        <v>8</v>
      </c>
      <c r="AU19" s="1">
        <f>IF(INDEX(Last10Away_Stats_All!$A:$A,ROW()-ROW($Q$16)+2)="","",
IFERROR(
INDEX(Last10Away_Stats_All!$A:$ZZ,ROW()-ROW($Q$16)+2,COLUMN()-COLUMN($Q$16)+1),
""))</f>
        <v>1</v>
      </c>
      <c r="AV19" s="1">
        <f>IF(INDEX(Last10Away_Stats_All!$A:$A,ROW()-ROW($Q$16)+2)="","",
IFERROR(
INDEX(Last10Away_Stats_All!$A:$ZZ,ROW()-ROW($Q$16)+2,COLUMN()-COLUMN($Q$16)+1),
""))</f>
        <v>3</v>
      </c>
      <c r="AW19" s="1">
        <f>IF(INDEX(Last10Away_Stats_All!$A:$A,ROW()-ROW($Q$16)+2)="","",
IFERROR(
INDEX(Last10Away_Stats_All!$A:$ZZ,ROW()-ROW($Q$16)+2,COLUMN()-COLUMN($Q$16)+1),
""))</f>
        <v>1</v>
      </c>
      <c r="AX19" s="1">
        <f>IF(INDEX(Last10Away_Stats_All!$A:$A,ROW()-ROW($Q$16)+2)="","",
IFERROR(
INDEX(Last10Away_Stats_All!$A:$ZZ,ROW()-ROW($Q$16)+2,COLUMN()-COLUMN($Q$16)+1),
""))</f>
        <v>3</v>
      </c>
      <c r="AY19" s="1">
        <f>IF(INDEX(Last10Away_Stats_All!$A:$A,ROW()-ROW($Q$16)+2)="","",
IFERROR(
INDEX(Last10Away_Stats_All!$A:$ZZ,ROW()-ROW($Q$16)+2,COLUMN()-COLUMN($Q$16)+1),
""))</f>
        <v>42</v>
      </c>
      <c r="AZ19" s="1">
        <f>IF(INDEX(Last10Away_Stats_All!$A:$A,ROW()-ROW($Q$16)+2)="","",
IFERROR(
INDEX(Last10Away_Stats_All!$A:$ZZ,ROW()-ROW($Q$16)+2,COLUMN()-COLUMN($Q$16)+1),
""))</f>
        <v>58</v>
      </c>
      <c r="BA19" s="1">
        <f>IF(INDEX(Last10Away_Stats_All!$A:$A,ROW()-ROW($Q$16)+2)="","",
IFERROR(
INDEX(Last10Away_Stats_All!$A:$ZZ,ROW()-ROW($Q$16)+2,COLUMN()-COLUMN($Q$16)+1),
""))</f>
        <v>2</v>
      </c>
      <c r="BB19" s="1">
        <f>IF(INDEX(Last10Away_Stats_All!$A:$A,ROW()-ROW($Q$16)+2)="","",
IFERROR(
INDEX(Last10Away_Stats_All!$A:$ZZ,ROW()-ROW($Q$16)+2,COLUMN()-COLUMN($Q$16)+1),
""))</f>
        <v>1</v>
      </c>
      <c r="BC19" s="1">
        <f>IF(INDEX(Last10Away_Stats_All!$A:$A,ROW()-ROW($Q$16)+2)="","",
IFERROR(
INDEX(Last10Away_Stats_All!$A:$ZZ,ROW()-ROW($Q$16)+2,COLUMN()-COLUMN($Q$16)+1),
""))</f>
        <v>0</v>
      </c>
      <c r="BD19" s="1">
        <f>IF(INDEX(Last10Away_Stats_All!$A:$A,ROW()-ROW($Q$16)+2)="","",
IFERROR(
INDEX(Last10Away_Stats_All!$A:$ZZ,ROW()-ROW($Q$16)+2,COLUMN()-COLUMN($Q$16)+1),
""))</f>
        <v>0</v>
      </c>
      <c r="BE19" s="1">
        <f>IF(INDEX(Last10Away_Stats_All!$A:$A,ROW()-ROW($Q$16)+2)="","",
IFERROR(
INDEX(Last10Away_Stats_All!$A:$ZZ,ROW()-ROW($Q$16)+2,COLUMN()-COLUMN($Q$16)+1),
""))</f>
        <v>2</v>
      </c>
      <c r="BF19" s="1">
        <f>IF(INDEX(Last10Away_Stats_All!$A:$A,ROW()-ROW($Q$16)+2)="","",
IFERROR(
INDEX(Last10Away_Stats_All!$A:$ZZ,ROW()-ROW($Q$16)+2,COLUMN()-COLUMN($Q$16)+1),
""))</f>
        <v>0</v>
      </c>
      <c r="BG19" s="1">
        <f>IF(INDEX(Last10Away_Stats_All!$A:$A,ROW()-ROW($Q$16)+2)="","",
IFERROR(
INDEX(Last10Away_Stats_All!$A:$ZZ,ROW()-ROW($Q$16)+2,COLUMN()-COLUMN($Q$16)+1),
""))</f>
        <v>354</v>
      </c>
      <c r="BH19" s="1">
        <f>IF(INDEX(Last10Away_Stats_All!$A:$A,ROW()-ROW($Q$16)+2)="","",
IFERROR(
INDEX(Last10Away_Stats_All!$A:$ZZ,ROW()-ROW($Q$16)+2,COLUMN()-COLUMN($Q$16)+1),
""))</f>
        <v>484</v>
      </c>
      <c r="BI19" s="1">
        <f>IF(INDEX(Last10Away_Stats_All!$A:$A,ROW()-ROW($Q$16)+2)="","",
IFERROR(
INDEX(Last10Away_Stats_All!$A:$ZZ,ROW()-ROW($Q$16)+2,COLUMN()-COLUMN($Q$16)+1),
""))</f>
        <v>263</v>
      </c>
      <c r="BJ19" s="1">
        <f>IF(INDEX(Last10Away_Stats_All!$A:$A,ROW()-ROW($Q$16)+2)="","",
IFERROR(
INDEX(Last10Away_Stats_All!$A:$ZZ,ROW()-ROW($Q$16)+2,COLUMN()-COLUMN($Q$16)+1),
""))</f>
        <v>396</v>
      </c>
      <c r="BK19" s="1">
        <f>IF(INDEX(Last10Away_Stats_All!$A:$A,ROW()-ROW($Q$16)+2)="","",
IFERROR(
INDEX(Last10Away_Stats_All!$A:$ZZ,ROW()-ROW($Q$16)+2,COLUMN()-COLUMN($Q$16)+1),
""))</f>
        <v>74</v>
      </c>
      <c r="BL19" s="1">
        <f>IF(INDEX(Last10Away_Stats_All!$A:$A,ROW()-ROW($Q$16)+2)="","",
IFERROR(
INDEX(Last10Away_Stats_All!$A:$ZZ,ROW()-ROW($Q$16)+2,COLUMN()-COLUMN($Q$16)+1),
""))</f>
        <v>82</v>
      </c>
      <c r="BM19" s="1">
        <f>IF(INDEX(Last10Away_Stats_All!$A:$A,ROW()-ROW($Q$16)+2)="","",
IFERROR(
INDEX(Last10Away_Stats_All!$A:$ZZ,ROW()-ROW($Q$16)+2,COLUMN()-COLUMN($Q$16)+1),
""))</f>
        <v>0.28999999999999998</v>
      </c>
      <c r="BN19" s="1">
        <f>IF(INDEX(Last10Away_Stats_All!$A:$A,ROW()-ROW($Q$16)+2)="","",
IFERROR(
INDEX(Last10Away_Stats_All!$A:$ZZ,ROW()-ROW($Q$16)+2,COLUMN()-COLUMN($Q$16)+1),
""))</f>
        <v>1.6</v>
      </c>
      <c r="BO19" s="1">
        <f>IF(INDEX(Last10Away_Stats_All!$A:$A,ROW()-ROW($Q$16)+2)="","",
IFERROR(
INDEX(Last10Away_Stats_All!$A:$ZZ,ROW()-ROW($Q$16)+2,COLUMN()-COLUMN($Q$16)+1),
""))</f>
        <v>0</v>
      </c>
      <c r="BP19" s="1">
        <f>IF(INDEX(Last10Away_Stats_All!$A:$A,ROW()-ROW($Q$16)+2)="","",
IFERROR(
INDEX(Last10Away_Stats_All!$A:$ZZ,ROW()-ROW($Q$16)+2,COLUMN()-COLUMN($Q$16)+1),
""))</f>
        <v>0</v>
      </c>
      <c r="BR19" s="1" t="str">
        <f>IF(OR(Control!AC19="",Control!AD19=""),"",Control!AC19&amp;" : "&amp;Control!AD19)</f>
        <v>0 : 1</v>
      </c>
      <c r="BS19" s="1" t="str">
        <f>IF(OR(Control!AE19="",Control!AF19=""),"",Control!AE19&amp;" : "&amp;Control!AF19)</f>
        <v>2 : 2</v>
      </c>
      <c r="BT19" s="1" t="str">
        <f>IF(OR(Control!AU19="",Control!AV19=""),"",Control!AU19&amp;" : "&amp;Control!AV19)</f>
        <v>1 : 3</v>
      </c>
      <c r="BV19" s="1" t="str">
        <f>IFERROR(INDEX(tblStandings[#All],ROW(A19),COLUMN(A19)),"")</f>
        <v/>
      </c>
      <c r="BW19" s="1" t="str">
        <f>IFERROR(INDEX(tblStandings[#All],ROW(B19),COLUMN(B19)),"")</f>
        <v/>
      </c>
      <c r="BX19" s="1" t="str">
        <f>IFERROR(INDEX(tblStandings[#All],ROW(C19),COLUMN(C19)),"")</f>
        <v/>
      </c>
      <c r="BY19" s="1" t="str">
        <f>IFERROR(INDEX(tblStandings[#All],ROW(D19),COLUMN(D19)),"")</f>
        <v/>
      </c>
      <c r="BZ19" s="1" t="str">
        <f>IFERROR(INDEX(tblStandings[#All],ROW(E19),COLUMN(E19)),"")</f>
        <v/>
      </c>
      <c r="CA19" s="1" t="str">
        <f>IFERROR(INDEX(tblStandings[#All],ROW(F19),COLUMN(F19)),"")</f>
        <v/>
      </c>
      <c r="CB19" s="1" t="str">
        <f>IFERROR(INDEX(tblStandings[#All],ROW(G19),COLUMN(G19)),"")</f>
        <v/>
      </c>
      <c r="CC19" s="1" t="str">
        <f>IFERROR(INDEX(tblStandings[#All],ROW(H19),COLUMN(H19)),"")</f>
        <v/>
      </c>
      <c r="CD19" s="1" t="str">
        <f>IFERROR(INDEX(tblStandings[#All],ROW(I19),COLUMN(I19)),"")</f>
        <v/>
      </c>
      <c r="CE19" s="1" t="str">
        <f>IFERROR(INDEX(tblStandings[#All],ROW(J19),COLUMN(J19)),"")</f>
        <v/>
      </c>
      <c r="CF19" s="1" t="str">
        <f>IFERROR(INDEX(tblStandings[#All],ROW(K19),COLUMN(K19)),"")</f>
        <v/>
      </c>
      <c r="CG19" s="1" t="str">
        <f t="shared" si="0"/>
        <v/>
      </c>
      <c r="CH19" s="1" t="str">
        <f t="shared" si="1"/>
        <v/>
      </c>
      <c r="CI19" s="1" t="str">
        <f t="shared" si="2"/>
        <v/>
      </c>
      <c r="CJ19" s="1" t="str">
        <f t="shared" si="3"/>
        <v/>
      </c>
      <c r="CK19" s="1" t="str">
        <f t="shared" si="4"/>
        <v/>
      </c>
    </row>
    <row r="20" spans="1:89" x14ac:dyDescent="0.25">
      <c r="A20" s="1" t="s">
        <v>208</v>
      </c>
      <c r="B20" s="1" t="str">
        <f>IFERROR(INDEX($M:$M, MATCH($B$10, $H:$H, 0)), "")</f>
        <v/>
      </c>
      <c r="C20" s="1" t="str">
        <f>IFERROR(
INDEX(Game_Standings_ByFixtureID!$A:$A,
MATCH($B$20,Game_Standings_ByFixtureID!$B:$B,0)
),
"")</f>
        <v/>
      </c>
      <c r="H20" s="1">
        <v>1521003</v>
      </c>
      <c r="I20" s="4">
        <v>46268.458333333336</v>
      </c>
      <c r="J20" s="1" t="s">
        <v>17</v>
      </c>
      <c r="K20" s="1" t="s">
        <v>495</v>
      </c>
      <c r="L20" s="1" t="s">
        <v>50</v>
      </c>
      <c r="M20" s="1" t="s">
        <v>4007</v>
      </c>
      <c r="N20" s="1" t="s">
        <v>4008</v>
      </c>
      <c r="O20" s="1" t="s">
        <v>4009</v>
      </c>
      <c r="Q20" s="1">
        <f>IF(INDEX(Last10Away_Stats_All!$A:$A,ROW()-ROW($Q$16)+2)="","",
IFERROR(
INDEX(Last10Away_Stats_All!$A:$ZZ,ROW()-ROW($Q$16)+2,COLUMN()-COLUMN($Q$16)+1),
""))</f>
        <v>1379220</v>
      </c>
      <c r="R20" s="1" t="str">
        <f>IF(INDEX(Last10Away_Stats_All!$A:$A,ROW()-ROW($Q$16)+2)="","",
IFERROR(
INDEX(Last10Away_Stats_All!$A:$ZZ,ROW()-ROW($Q$16)+2,COLUMN()-COLUMN($Q$16)+1),
""))</f>
        <v>12/02/2026 20:00</v>
      </c>
      <c r="S20" s="1" t="str">
        <f>IF(INDEX(Last10Away_Stats_All!$A:$A,ROW()-ROW($Q$16)+2)="","",
IFERROR(
INDEX(Last10Away_Stats_All!$A:$ZZ,ROW()-ROW($Q$16)+2,COLUMN()-COLUMN($Q$16)+1),
""))</f>
        <v>England</v>
      </c>
      <c r="T20" s="1" t="str">
        <f>IF(INDEX(Last10Away_Stats_All!$A:$A,ROW()-ROW($Q$16)+2)="","",
IFERROR(
INDEX(Last10Away_Stats_All!$A:$ZZ,ROW()-ROW($Q$16)+2,COLUMN()-COLUMN($Q$16)+1),
""))</f>
        <v>Premier League</v>
      </c>
      <c r="U20" s="1" t="str">
        <f>IF(INDEX(Last10Away_Stats_All!$A:$A,ROW()-ROW($Q$16)+2)="","",
IFERROR(
INDEX(Last10Away_Stats_All!$A:$ZZ,ROW()-ROW($Q$16)+2,COLUMN()-COLUMN($Q$16)+1),
""))</f>
        <v>https://media.api-sports.io/football/teams/55.png</v>
      </c>
      <c r="V20" s="1" t="str">
        <f>IF(INDEX(Last10Away_Stats_All!$A:$A,ROW()-ROW($Q$16)+2)="","",
IFERROR(
INDEX(Last10Away_Stats_All!$A:$ZZ,ROW()-ROW($Q$16)+2,COLUMN()-COLUMN($Q$16)+1),
""))</f>
        <v>Brentford</v>
      </c>
      <c r="W20" s="1" t="str">
        <f>IF(INDEX(Last10Away_Stats_All!$A:$A,ROW()-ROW($Q$16)+2)="","",
IFERROR(
INDEX(Last10Away_Stats_All!$A:$ZZ,ROW()-ROW($Q$16)+2,COLUMN()-COLUMN($Q$16)+1),
""))</f>
        <v>https://media.api-sports.io/football/teams/42.png</v>
      </c>
      <c r="X20" s="1" t="str">
        <f>IF(INDEX(Last10Away_Stats_All!$A:$A,ROW()-ROW($Q$16)+2)="","",
IFERROR(
INDEX(Last10Away_Stats_All!$A:$ZZ,ROW()-ROW($Q$16)+2,COLUMN()-COLUMN($Q$16)+1),
""))</f>
        <v>Arsenal</v>
      </c>
      <c r="Y20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20" s="1" t="str">
        <f>IF(INDEX(Last10Away_Stats_All!$A:$A,ROW()-ROW($Q$16)+2)="","",
IFERROR(
INDEX(Last10Away_Stats_All!$A:$ZZ,ROW()-ROW($Q$16)+2,COLUMN()-COLUMN($Q$16)+1),
""))</f>
        <v>https://media.api-sports.io/flags/gb-eng.svg</v>
      </c>
      <c r="AA20" s="1">
        <f>IF(INDEX(Last10Away_Stats_All!$A:$A,ROW()-ROW($Q$16)+2)="","",
IFERROR(
INDEX(Last10Away_Stats_All!$A:$ZZ,ROW()-ROW($Q$16)+2,COLUMN()-COLUMN($Q$16)+1),
""))</f>
        <v>1</v>
      </c>
      <c r="AB20" s="1">
        <f>IF(INDEX(Last10Away_Stats_All!$A:$A,ROW()-ROW($Q$16)+2)="","",
IFERROR(
INDEX(Last10Away_Stats_All!$A:$ZZ,ROW()-ROW($Q$16)+2,COLUMN()-COLUMN($Q$16)+1),
""))</f>
        <v>1</v>
      </c>
      <c r="AC20" s="1">
        <f>IF(INDEX(Last10Away_Stats_All!$A:$A,ROW()-ROW($Q$16)+2)="","",
IFERROR(
INDEX(Last10Away_Stats_All!$A:$ZZ,ROW()-ROW($Q$16)+2,COLUMN()-COLUMN($Q$16)+1),
""))</f>
        <v>0</v>
      </c>
      <c r="AD20" s="1">
        <f>IF(INDEX(Last10Away_Stats_All!$A:$A,ROW()-ROW($Q$16)+2)="","",
IFERROR(
INDEX(Last10Away_Stats_All!$A:$ZZ,ROW()-ROW($Q$16)+2,COLUMN()-COLUMN($Q$16)+1),
""))</f>
        <v>0</v>
      </c>
      <c r="AE20" s="1">
        <f>IF(INDEX(Last10Away_Stats_All!$A:$A,ROW()-ROW($Q$16)+2)="","",
IFERROR(
INDEX(Last10Away_Stats_All!$A:$ZZ,ROW()-ROW($Q$16)+2,COLUMN()-COLUMN($Q$16)+1),
""))</f>
        <v>1</v>
      </c>
      <c r="AF20" s="1">
        <f>IF(INDEX(Last10Away_Stats_All!$A:$A,ROW()-ROW($Q$16)+2)="","",
IFERROR(
INDEX(Last10Away_Stats_All!$A:$ZZ,ROW()-ROW($Q$16)+2,COLUMN()-COLUMN($Q$16)+1),
""))</f>
        <v>1</v>
      </c>
      <c r="AG20" s="1">
        <f>IF(INDEX(Last10Away_Stats_All!$A:$A,ROW()-ROW($Q$16)+2)="","",
IFERROR(
INDEX(Last10Away_Stats_All!$A:$ZZ,ROW()-ROW($Q$16)+2,COLUMN()-COLUMN($Q$16)+1),
""))</f>
        <v>3</v>
      </c>
      <c r="AH20" s="1">
        <f>IF(INDEX(Last10Away_Stats_All!$A:$A,ROW()-ROW($Q$16)+2)="","",
IFERROR(
INDEX(Last10Away_Stats_All!$A:$ZZ,ROW()-ROW($Q$16)+2,COLUMN()-COLUMN($Q$16)+1),
""))</f>
        <v>2</v>
      </c>
      <c r="AI20" s="1">
        <f>IF(INDEX(Last10Away_Stats_All!$A:$A,ROW()-ROW($Q$16)+2)="","",
IFERROR(
INDEX(Last10Away_Stats_All!$A:$ZZ,ROW()-ROW($Q$16)+2,COLUMN()-COLUMN($Q$16)+1),
""))</f>
        <v>4</v>
      </c>
      <c r="AJ20" s="1">
        <f>IF(INDEX(Last10Away_Stats_All!$A:$A,ROW()-ROW($Q$16)+2)="","",
IFERROR(
INDEX(Last10Away_Stats_All!$A:$ZZ,ROW()-ROW($Q$16)+2,COLUMN()-COLUMN($Q$16)+1),
""))</f>
        <v>2</v>
      </c>
      <c r="AK20" s="1">
        <f>IF(INDEX(Last10Away_Stats_All!$A:$A,ROW()-ROW($Q$16)+2)="","",
IFERROR(
INDEX(Last10Away_Stats_All!$A:$ZZ,ROW()-ROW($Q$16)+2,COLUMN()-COLUMN($Q$16)+1),
""))</f>
        <v>12</v>
      </c>
      <c r="AL20" s="1">
        <f>IF(INDEX(Last10Away_Stats_All!$A:$A,ROW()-ROW($Q$16)+2)="","",
IFERROR(
INDEX(Last10Away_Stats_All!$A:$ZZ,ROW()-ROW($Q$16)+2,COLUMN()-COLUMN($Q$16)+1),
""))</f>
        <v>7</v>
      </c>
      <c r="AM20" s="1">
        <f>IF(INDEX(Last10Away_Stats_All!$A:$A,ROW()-ROW($Q$16)+2)="","",
IFERROR(
INDEX(Last10Away_Stats_All!$A:$ZZ,ROW()-ROW($Q$16)+2,COLUMN()-COLUMN($Q$16)+1),
""))</f>
        <v>5</v>
      </c>
      <c r="AN20" s="1">
        <f>IF(INDEX(Last10Away_Stats_All!$A:$A,ROW()-ROW($Q$16)+2)="","",
IFERROR(
INDEX(Last10Away_Stats_All!$A:$ZZ,ROW()-ROW($Q$16)+2,COLUMN()-COLUMN($Q$16)+1),
""))</f>
        <v>3</v>
      </c>
      <c r="AO20" s="1">
        <f>IF(INDEX(Last10Away_Stats_All!$A:$A,ROW()-ROW($Q$16)+2)="","",
IFERROR(
INDEX(Last10Away_Stats_All!$A:$ZZ,ROW()-ROW($Q$16)+2,COLUMN()-COLUMN($Q$16)+1),
""))</f>
        <v>9</v>
      </c>
      <c r="AP20" s="1">
        <f>IF(INDEX(Last10Away_Stats_All!$A:$A,ROW()-ROW($Q$16)+2)="","",
IFERROR(
INDEX(Last10Away_Stats_All!$A:$ZZ,ROW()-ROW($Q$16)+2,COLUMN()-COLUMN($Q$16)+1),
""))</f>
        <v>6</v>
      </c>
      <c r="AQ20" s="1">
        <f>IF(INDEX(Last10Away_Stats_All!$A:$A,ROW()-ROW($Q$16)+2)="","",
IFERROR(
INDEX(Last10Away_Stats_All!$A:$ZZ,ROW()-ROW($Q$16)+2,COLUMN()-COLUMN($Q$16)+1),
""))</f>
        <v>3</v>
      </c>
      <c r="AR20" s="1">
        <f>IF(INDEX(Last10Away_Stats_All!$A:$A,ROW()-ROW($Q$16)+2)="","",
IFERROR(
INDEX(Last10Away_Stats_All!$A:$ZZ,ROW()-ROW($Q$16)+2,COLUMN()-COLUMN($Q$16)+1),
""))</f>
        <v>1</v>
      </c>
      <c r="AS20" s="1">
        <f>IF(INDEX(Last10Away_Stats_All!$A:$A,ROW()-ROW($Q$16)+2)="","",
IFERROR(
INDEX(Last10Away_Stats_All!$A:$ZZ,ROW()-ROW($Q$16)+2,COLUMN()-COLUMN($Q$16)+1),
""))</f>
        <v>12</v>
      </c>
      <c r="AT20" s="1">
        <f>IF(INDEX(Last10Away_Stats_All!$A:$A,ROW()-ROW($Q$16)+2)="","",
IFERROR(
INDEX(Last10Away_Stats_All!$A:$ZZ,ROW()-ROW($Q$16)+2,COLUMN()-COLUMN($Q$16)+1),
""))</f>
        <v>11</v>
      </c>
      <c r="AU20" s="1">
        <f>IF(INDEX(Last10Away_Stats_All!$A:$A,ROW()-ROW($Q$16)+2)="","",
IFERROR(
INDEX(Last10Away_Stats_All!$A:$ZZ,ROW()-ROW($Q$16)+2,COLUMN()-COLUMN($Q$16)+1),
""))</f>
        <v>6</v>
      </c>
      <c r="AV20" s="1">
        <f>IF(INDEX(Last10Away_Stats_All!$A:$A,ROW()-ROW($Q$16)+2)="","",
IFERROR(
INDEX(Last10Away_Stats_All!$A:$ZZ,ROW()-ROW($Q$16)+2,COLUMN()-COLUMN($Q$16)+1),
""))</f>
        <v>4</v>
      </c>
      <c r="AW20" s="1">
        <f>IF(INDEX(Last10Away_Stats_All!$A:$A,ROW()-ROW($Q$16)+2)="","",
IFERROR(
INDEX(Last10Away_Stats_All!$A:$ZZ,ROW()-ROW($Q$16)+2,COLUMN()-COLUMN($Q$16)+1),
""))</f>
        <v>0</v>
      </c>
      <c r="AX20" s="1">
        <f>IF(INDEX(Last10Away_Stats_All!$A:$A,ROW()-ROW($Q$16)+2)="","",
IFERROR(
INDEX(Last10Away_Stats_All!$A:$ZZ,ROW()-ROW($Q$16)+2,COLUMN()-COLUMN($Q$16)+1),
""))</f>
        <v>0</v>
      </c>
      <c r="AY20" s="1">
        <f>IF(INDEX(Last10Away_Stats_All!$A:$A,ROW()-ROW($Q$16)+2)="","",
IFERROR(
INDEX(Last10Away_Stats_All!$A:$ZZ,ROW()-ROW($Q$16)+2,COLUMN()-COLUMN($Q$16)+1),
""))</f>
        <v>41</v>
      </c>
      <c r="AZ20" s="1">
        <f>IF(INDEX(Last10Away_Stats_All!$A:$A,ROW()-ROW($Q$16)+2)="","",
IFERROR(
INDEX(Last10Away_Stats_All!$A:$ZZ,ROW()-ROW($Q$16)+2,COLUMN()-COLUMN($Q$16)+1),
""))</f>
        <v>59</v>
      </c>
      <c r="BA20" s="1">
        <f>IF(INDEX(Last10Away_Stats_All!$A:$A,ROW()-ROW($Q$16)+2)="","",
IFERROR(
INDEX(Last10Away_Stats_All!$A:$ZZ,ROW()-ROW($Q$16)+2,COLUMN()-COLUMN($Q$16)+1),
""))</f>
        <v>3</v>
      </c>
      <c r="BB20" s="1">
        <f>IF(INDEX(Last10Away_Stats_All!$A:$A,ROW()-ROW($Q$16)+2)="","",
IFERROR(
INDEX(Last10Away_Stats_All!$A:$ZZ,ROW()-ROW($Q$16)+2,COLUMN()-COLUMN($Q$16)+1),
""))</f>
        <v>2</v>
      </c>
      <c r="BC20" s="1">
        <f>IF(INDEX(Last10Away_Stats_All!$A:$A,ROW()-ROW($Q$16)+2)="","",
IFERROR(
INDEX(Last10Away_Stats_All!$A:$ZZ,ROW()-ROW($Q$16)+2,COLUMN()-COLUMN($Q$16)+1),
""))</f>
        <v>0</v>
      </c>
      <c r="BD20" s="1">
        <f>IF(INDEX(Last10Away_Stats_All!$A:$A,ROW()-ROW($Q$16)+2)="","",
IFERROR(
INDEX(Last10Away_Stats_All!$A:$ZZ,ROW()-ROW($Q$16)+2,COLUMN()-COLUMN($Q$16)+1),
""))</f>
        <v>0</v>
      </c>
      <c r="BE20" s="1">
        <f>IF(INDEX(Last10Away_Stats_All!$A:$A,ROW()-ROW($Q$16)+2)="","",
IFERROR(
INDEX(Last10Away_Stats_All!$A:$ZZ,ROW()-ROW($Q$16)+2,COLUMN()-COLUMN($Q$16)+1),
""))</f>
        <v>1</v>
      </c>
      <c r="BF20" s="1">
        <f>IF(INDEX(Last10Away_Stats_All!$A:$A,ROW()-ROW($Q$16)+2)="","",
IFERROR(
INDEX(Last10Away_Stats_All!$A:$ZZ,ROW()-ROW($Q$16)+2,COLUMN()-COLUMN($Q$16)+1),
""))</f>
        <v>2</v>
      </c>
      <c r="BG20" s="1">
        <f>IF(INDEX(Last10Away_Stats_All!$A:$A,ROW()-ROW($Q$16)+2)="","",
IFERROR(
INDEX(Last10Away_Stats_All!$A:$ZZ,ROW()-ROW($Q$16)+2,COLUMN()-COLUMN($Q$16)+1),
""))</f>
        <v>314</v>
      </c>
      <c r="BH20" s="1">
        <f>IF(INDEX(Last10Away_Stats_All!$A:$A,ROW()-ROW($Q$16)+2)="","",
IFERROR(
INDEX(Last10Away_Stats_All!$A:$ZZ,ROW()-ROW($Q$16)+2,COLUMN()-COLUMN($Q$16)+1),
""))</f>
        <v>452</v>
      </c>
      <c r="BI20" s="1">
        <f>IF(INDEX(Last10Away_Stats_All!$A:$A,ROW()-ROW($Q$16)+2)="","",
IFERROR(
INDEX(Last10Away_Stats_All!$A:$ZZ,ROW()-ROW($Q$16)+2,COLUMN()-COLUMN($Q$16)+1),
""))</f>
        <v>235</v>
      </c>
      <c r="BJ20" s="1">
        <f>IF(INDEX(Last10Away_Stats_All!$A:$A,ROW()-ROW($Q$16)+2)="","",
IFERROR(
INDEX(Last10Away_Stats_All!$A:$ZZ,ROW()-ROW($Q$16)+2,COLUMN()-COLUMN($Q$16)+1),
""))</f>
        <v>384</v>
      </c>
      <c r="BK20" s="1">
        <f>IF(INDEX(Last10Away_Stats_All!$A:$A,ROW()-ROW($Q$16)+2)="","",
IFERROR(
INDEX(Last10Away_Stats_All!$A:$ZZ,ROW()-ROW($Q$16)+2,COLUMN()-COLUMN($Q$16)+1),
""))</f>
        <v>75</v>
      </c>
      <c r="BL20" s="1">
        <f>IF(INDEX(Last10Away_Stats_All!$A:$A,ROW()-ROW($Q$16)+2)="","",
IFERROR(
INDEX(Last10Away_Stats_All!$A:$ZZ,ROW()-ROW($Q$16)+2,COLUMN()-COLUMN($Q$16)+1),
""))</f>
        <v>85</v>
      </c>
      <c r="BM20" s="1">
        <f>IF(INDEX(Last10Away_Stats_All!$A:$A,ROW()-ROW($Q$16)+2)="","",
IFERROR(
INDEX(Last10Away_Stats_All!$A:$ZZ,ROW()-ROW($Q$16)+2,COLUMN()-COLUMN($Q$16)+1),
""))</f>
        <v>1.51</v>
      </c>
      <c r="BN20" s="1">
        <f>IF(INDEX(Last10Away_Stats_All!$A:$A,ROW()-ROW($Q$16)+2)="","",
IFERROR(
INDEX(Last10Away_Stats_All!$A:$ZZ,ROW()-ROW($Q$16)+2,COLUMN()-COLUMN($Q$16)+1),
""))</f>
        <v>0.6</v>
      </c>
      <c r="BO20" s="1">
        <f>IF(INDEX(Last10Away_Stats_All!$A:$A,ROW()-ROW($Q$16)+2)="","",
IFERROR(
INDEX(Last10Away_Stats_All!$A:$ZZ,ROW()-ROW($Q$16)+2,COLUMN()-COLUMN($Q$16)+1),
""))</f>
        <v>0</v>
      </c>
      <c r="BP20" s="1">
        <f>IF(INDEX(Last10Away_Stats_All!$A:$A,ROW()-ROW($Q$16)+2)="","",
IFERROR(
INDEX(Last10Away_Stats_All!$A:$ZZ,ROW()-ROW($Q$16)+2,COLUMN()-COLUMN($Q$16)+1),
""))</f>
        <v>0</v>
      </c>
      <c r="BR20" s="1" t="str">
        <f>IF(OR(Control!AC20="",Control!AD20=""),"",Control!AC20&amp;" : "&amp;Control!AD20)</f>
        <v>0 : 0</v>
      </c>
      <c r="BS20" s="1" t="str">
        <f>IF(OR(Control!AE20="",Control!AF20=""),"",Control!AE20&amp;" : "&amp;Control!AF20)</f>
        <v>1 : 1</v>
      </c>
      <c r="BT20" s="1" t="str">
        <f>IF(OR(Control!AU20="",Control!AV20=""),"",Control!AU20&amp;" : "&amp;Control!AV20)</f>
        <v>6 : 4</v>
      </c>
      <c r="BV20" s="1" t="str">
        <f>IFERROR(INDEX(tblStandings[#All],ROW(A20),COLUMN(A20)),"")</f>
        <v/>
      </c>
      <c r="BW20" s="1" t="str">
        <f>IFERROR(INDEX(tblStandings[#All],ROW(B20),COLUMN(B20)),"")</f>
        <v/>
      </c>
      <c r="BX20" s="1" t="str">
        <f>IFERROR(INDEX(tblStandings[#All],ROW(C20),COLUMN(C20)),"")</f>
        <v/>
      </c>
      <c r="BY20" s="1" t="str">
        <f>IFERROR(INDEX(tblStandings[#All],ROW(D20),COLUMN(D20)),"")</f>
        <v/>
      </c>
      <c r="BZ20" s="1" t="str">
        <f>IFERROR(INDEX(tblStandings[#All],ROW(E20),COLUMN(E20)),"")</f>
        <v/>
      </c>
      <c r="CA20" s="1" t="str">
        <f>IFERROR(INDEX(tblStandings[#All],ROW(F20),COLUMN(F20)),"")</f>
        <v/>
      </c>
      <c r="CB20" s="1" t="str">
        <f>IFERROR(INDEX(tblStandings[#All],ROW(G20),COLUMN(G20)),"")</f>
        <v/>
      </c>
      <c r="CC20" s="1" t="str">
        <f>IFERROR(INDEX(tblStandings[#All],ROW(H20),COLUMN(H20)),"")</f>
        <v/>
      </c>
      <c r="CD20" s="1" t="str">
        <f>IFERROR(INDEX(tblStandings[#All],ROW(I20),COLUMN(I20)),"")</f>
        <v/>
      </c>
      <c r="CE20" s="1" t="str">
        <f>IFERROR(INDEX(tblStandings[#All],ROW(J20),COLUMN(J20)),"")</f>
        <v/>
      </c>
      <c r="CF20" s="1" t="str">
        <f>IFERROR(INDEX(tblStandings[#All],ROW(K20),COLUMN(K20)),"")</f>
        <v/>
      </c>
      <c r="CG20" s="1" t="str">
        <f t="shared" si="0"/>
        <v/>
      </c>
      <c r="CH20" s="1" t="str">
        <f t="shared" si="1"/>
        <v/>
      </c>
      <c r="CI20" s="1" t="str">
        <f t="shared" si="2"/>
        <v/>
      </c>
      <c r="CJ20" s="1" t="str">
        <f t="shared" si="3"/>
        <v/>
      </c>
      <c r="CK20" s="1" t="str">
        <f t="shared" si="4"/>
        <v/>
      </c>
    </row>
    <row r="21" spans="1:89" x14ac:dyDescent="0.25">
      <c r="H21" s="1">
        <v>1522566</v>
      </c>
      <c r="I21" s="4">
        <v>46268.458333333336</v>
      </c>
      <c r="J21" s="1" t="s">
        <v>17</v>
      </c>
      <c r="K21" s="1" t="s">
        <v>405</v>
      </c>
      <c r="L21" s="1" t="s">
        <v>46</v>
      </c>
      <c r="M21" s="1" t="s">
        <v>4010</v>
      </c>
      <c r="N21" s="1" t="s">
        <v>4011</v>
      </c>
      <c r="O21" s="1" t="s">
        <v>4012</v>
      </c>
      <c r="Q21" s="1">
        <f>IF(INDEX(Last10Away_Stats_All!$A:$A,ROW()-ROW($Q$16)+2)="","",
IFERROR(
INDEX(Last10Away_Stats_All!$A:$ZZ,ROW()-ROW($Q$16)+2,COLUMN()-COLUMN($Q$16)+1),
""))</f>
        <v>1379202</v>
      </c>
      <c r="R21" s="1" t="str">
        <f>IF(INDEX(Last10Away_Stats_All!$A:$A,ROW()-ROW($Q$16)+2)="","",
IFERROR(
INDEX(Last10Away_Stats_All!$A:$ZZ,ROW()-ROW($Q$16)+2,COLUMN()-COLUMN($Q$16)+1),
""))</f>
        <v>31/01/2026 15:00</v>
      </c>
      <c r="S21" s="1" t="str">
        <f>IF(INDEX(Last10Away_Stats_All!$A:$A,ROW()-ROW($Q$16)+2)="","",
IFERROR(
INDEX(Last10Away_Stats_All!$A:$ZZ,ROW()-ROW($Q$16)+2,COLUMN()-COLUMN($Q$16)+1),
""))</f>
        <v>England</v>
      </c>
      <c r="T21" s="1" t="str">
        <f>IF(INDEX(Last10Away_Stats_All!$A:$A,ROW()-ROW($Q$16)+2)="","",
IFERROR(
INDEX(Last10Away_Stats_All!$A:$ZZ,ROW()-ROW($Q$16)+2,COLUMN()-COLUMN($Q$16)+1),
""))</f>
        <v>Premier League</v>
      </c>
      <c r="U21" s="1" t="str">
        <f>IF(INDEX(Last10Away_Stats_All!$A:$A,ROW()-ROW($Q$16)+2)="","",
IFERROR(
INDEX(Last10Away_Stats_All!$A:$ZZ,ROW()-ROW($Q$16)+2,COLUMN()-COLUMN($Q$16)+1),
""))</f>
        <v>https://media.api-sports.io/football/teams/63.png</v>
      </c>
      <c r="V21" s="1" t="str">
        <f>IF(INDEX(Last10Away_Stats_All!$A:$A,ROW()-ROW($Q$16)+2)="","",
IFERROR(
INDEX(Last10Away_Stats_All!$A:$ZZ,ROW()-ROW($Q$16)+2,COLUMN()-COLUMN($Q$16)+1),
""))</f>
        <v>Leeds</v>
      </c>
      <c r="W21" s="1" t="str">
        <f>IF(INDEX(Last10Away_Stats_All!$A:$A,ROW()-ROW($Q$16)+2)="","",
IFERROR(
INDEX(Last10Away_Stats_All!$A:$ZZ,ROW()-ROW($Q$16)+2,COLUMN()-COLUMN($Q$16)+1),
""))</f>
        <v>https://media.api-sports.io/football/teams/42.png</v>
      </c>
      <c r="X21" s="1" t="str">
        <f>IF(INDEX(Last10Away_Stats_All!$A:$A,ROW()-ROW($Q$16)+2)="","",
IFERROR(
INDEX(Last10Away_Stats_All!$A:$ZZ,ROW()-ROW($Q$16)+2,COLUMN()-COLUMN($Q$16)+1),
""))</f>
        <v>Arsenal</v>
      </c>
      <c r="Y21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21" s="1" t="str">
        <f>IF(INDEX(Last10Away_Stats_All!$A:$A,ROW()-ROW($Q$16)+2)="","",
IFERROR(
INDEX(Last10Away_Stats_All!$A:$ZZ,ROW()-ROW($Q$16)+2,COLUMN()-COLUMN($Q$16)+1),
""))</f>
        <v>https://media.api-sports.io/flags/gb-eng.svg</v>
      </c>
      <c r="AA21" s="1">
        <f>IF(INDEX(Last10Away_Stats_All!$A:$A,ROW()-ROW($Q$16)+2)="","",
IFERROR(
INDEX(Last10Away_Stats_All!$A:$ZZ,ROW()-ROW($Q$16)+2,COLUMN()-COLUMN($Q$16)+1),
""))</f>
        <v>0</v>
      </c>
      <c r="AB21" s="1">
        <f>IF(INDEX(Last10Away_Stats_All!$A:$A,ROW()-ROW($Q$16)+2)="","",
IFERROR(
INDEX(Last10Away_Stats_All!$A:$ZZ,ROW()-ROW($Q$16)+2,COLUMN()-COLUMN($Q$16)+1),
""))</f>
        <v>4</v>
      </c>
      <c r="AC21" s="1">
        <f>IF(INDEX(Last10Away_Stats_All!$A:$A,ROW()-ROW($Q$16)+2)="","",
IFERROR(
INDEX(Last10Away_Stats_All!$A:$ZZ,ROW()-ROW($Q$16)+2,COLUMN()-COLUMN($Q$16)+1),
""))</f>
        <v>0</v>
      </c>
      <c r="AD21" s="1">
        <f>IF(INDEX(Last10Away_Stats_All!$A:$A,ROW()-ROW($Q$16)+2)="","",
IFERROR(
INDEX(Last10Away_Stats_All!$A:$ZZ,ROW()-ROW($Q$16)+2,COLUMN()-COLUMN($Q$16)+1),
""))</f>
        <v>2</v>
      </c>
      <c r="AE21" s="1">
        <f>IF(INDEX(Last10Away_Stats_All!$A:$A,ROW()-ROW($Q$16)+2)="","",
IFERROR(
INDEX(Last10Away_Stats_All!$A:$ZZ,ROW()-ROW($Q$16)+2,COLUMN()-COLUMN($Q$16)+1),
""))</f>
        <v>0</v>
      </c>
      <c r="AF21" s="1">
        <f>IF(INDEX(Last10Away_Stats_All!$A:$A,ROW()-ROW($Q$16)+2)="","",
IFERROR(
INDEX(Last10Away_Stats_All!$A:$ZZ,ROW()-ROW($Q$16)+2,COLUMN()-COLUMN($Q$16)+1),
""))</f>
        <v>4</v>
      </c>
      <c r="AG21" s="1">
        <f>IF(INDEX(Last10Away_Stats_All!$A:$A,ROW()-ROW($Q$16)+2)="","",
IFERROR(
INDEX(Last10Away_Stats_All!$A:$ZZ,ROW()-ROW($Q$16)+2,COLUMN()-COLUMN($Q$16)+1),
""))</f>
        <v>1</v>
      </c>
      <c r="AH21" s="1">
        <f>IF(INDEX(Last10Away_Stats_All!$A:$A,ROW()-ROW($Q$16)+2)="","",
IFERROR(
INDEX(Last10Away_Stats_All!$A:$ZZ,ROW()-ROW($Q$16)+2,COLUMN()-COLUMN($Q$16)+1),
""))</f>
        <v>8</v>
      </c>
      <c r="AI21" s="1">
        <f>IF(INDEX(Last10Away_Stats_All!$A:$A,ROW()-ROW($Q$16)+2)="","",
IFERROR(
INDEX(Last10Away_Stats_All!$A:$ZZ,ROW()-ROW($Q$16)+2,COLUMN()-COLUMN($Q$16)+1),
""))</f>
        <v>1</v>
      </c>
      <c r="AJ21" s="1">
        <f>IF(INDEX(Last10Away_Stats_All!$A:$A,ROW()-ROW($Q$16)+2)="","",
IFERROR(
INDEX(Last10Away_Stats_All!$A:$ZZ,ROW()-ROW($Q$16)+2,COLUMN()-COLUMN($Q$16)+1),
""))</f>
        <v>4</v>
      </c>
      <c r="AK21" s="1">
        <f>IF(INDEX(Last10Away_Stats_All!$A:$A,ROW()-ROW($Q$16)+2)="","",
IFERROR(
INDEX(Last10Away_Stats_All!$A:$ZZ,ROW()-ROW($Q$16)+2,COLUMN()-COLUMN($Q$16)+1),
""))</f>
        <v>3</v>
      </c>
      <c r="AL21" s="1">
        <f>IF(INDEX(Last10Away_Stats_All!$A:$A,ROW()-ROW($Q$16)+2)="","",
IFERROR(
INDEX(Last10Away_Stats_All!$A:$ZZ,ROW()-ROW($Q$16)+2,COLUMN()-COLUMN($Q$16)+1),
""))</f>
        <v>14</v>
      </c>
      <c r="AM21" s="1">
        <f>IF(INDEX(Last10Away_Stats_All!$A:$A,ROW()-ROW($Q$16)+2)="","",
IFERROR(
INDEX(Last10Away_Stats_All!$A:$ZZ,ROW()-ROW($Q$16)+2,COLUMN()-COLUMN($Q$16)+1),
""))</f>
        <v>1</v>
      </c>
      <c r="AN21" s="1">
        <f>IF(INDEX(Last10Away_Stats_All!$A:$A,ROW()-ROW($Q$16)+2)="","",
IFERROR(
INDEX(Last10Away_Stats_All!$A:$ZZ,ROW()-ROW($Q$16)+2,COLUMN()-COLUMN($Q$16)+1),
""))</f>
        <v>2</v>
      </c>
      <c r="AO21" s="1">
        <f>IF(INDEX(Last10Away_Stats_All!$A:$A,ROW()-ROW($Q$16)+2)="","",
IFERROR(
INDEX(Last10Away_Stats_All!$A:$ZZ,ROW()-ROW($Q$16)+2,COLUMN()-COLUMN($Q$16)+1),
""))</f>
        <v>2</v>
      </c>
      <c r="AP21" s="1">
        <f>IF(INDEX(Last10Away_Stats_All!$A:$A,ROW()-ROW($Q$16)+2)="","",
IFERROR(
INDEX(Last10Away_Stats_All!$A:$ZZ,ROW()-ROW($Q$16)+2,COLUMN()-COLUMN($Q$16)+1),
""))</f>
        <v>12</v>
      </c>
      <c r="AQ21" s="1">
        <f>IF(INDEX(Last10Away_Stats_All!$A:$A,ROW()-ROW($Q$16)+2)="","",
IFERROR(
INDEX(Last10Away_Stats_All!$A:$ZZ,ROW()-ROW($Q$16)+2,COLUMN()-COLUMN($Q$16)+1),
""))</f>
        <v>1</v>
      </c>
      <c r="AR21" s="1">
        <f>IF(INDEX(Last10Away_Stats_All!$A:$A,ROW()-ROW($Q$16)+2)="","",
IFERROR(
INDEX(Last10Away_Stats_All!$A:$ZZ,ROW()-ROW($Q$16)+2,COLUMN()-COLUMN($Q$16)+1),
""))</f>
        <v>2</v>
      </c>
      <c r="AS21" s="1">
        <f>IF(INDEX(Last10Away_Stats_All!$A:$A,ROW()-ROW($Q$16)+2)="","",
IFERROR(
INDEX(Last10Away_Stats_All!$A:$ZZ,ROW()-ROW($Q$16)+2,COLUMN()-COLUMN($Q$16)+1),
""))</f>
        <v>10</v>
      </c>
      <c r="AT21" s="1">
        <f>IF(INDEX(Last10Away_Stats_All!$A:$A,ROW()-ROW($Q$16)+2)="","",
IFERROR(
INDEX(Last10Away_Stats_All!$A:$ZZ,ROW()-ROW($Q$16)+2,COLUMN()-COLUMN($Q$16)+1),
""))</f>
        <v>7</v>
      </c>
      <c r="AU21" s="1">
        <f>IF(INDEX(Last10Away_Stats_All!$A:$A,ROW()-ROW($Q$16)+2)="","",
IFERROR(
INDEX(Last10Away_Stats_All!$A:$ZZ,ROW()-ROW($Q$16)+2,COLUMN()-COLUMN($Q$16)+1),
""))</f>
        <v>4</v>
      </c>
      <c r="AV21" s="1">
        <f>IF(INDEX(Last10Away_Stats_All!$A:$A,ROW()-ROW($Q$16)+2)="","",
IFERROR(
INDEX(Last10Away_Stats_All!$A:$ZZ,ROW()-ROW($Q$16)+2,COLUMN()-COLUMN($Q$16)+1),
""))</f>
        <v>12</v>
      </c>
      <c r="AW21" s="1">
        <f>IF(INDEX(Last10Away_Stats_All!$A:$A,ROW()-ROW($Q$16)+2)="","",
IFERROR(
INDEX(Last10Away_Stats_All!$A:$ZZ,ROW()-ROW($Q$16)+2,COLUMN()-COLUMN($Q$16)+1),
""))</f>
        <v>0</v>
      </c>
      <c r="AX21" s="1">
        <f>IF(INDEX(Last10Away_Stats_All!$A:$A,ROW()-ROW($Q$16)+2)="","",
IFERROR(
INDEX(Last10Away_Stats_All!$A:$ZZ,ROW()-ROW($Q$16)+2,COLUMN()-COLUMN($Q$16)+1),
""))</f>
        <v>1</v>
      </c>
      <c r="AY21" s="1">
        <f>IF(INDEX(Last10Away_Stats_All!$A:$A,ROW()-ROW($Q$16)+2)="","",
IFERROR(
INDEX(Last10Away_Stats_All!$A:$ZZ,ROW()-ROW($Q$16)+2,COLUMN()-COLUMN($Q$16)+1),
""))</f>
        <v>50</v>
      </c>
      <c r="AZ21" s="1">
        <f>IF(INDEX(Last10Away_Stats_All!$A:$A,ROW()-ROW($Q$16)+2)="","",
IFERROR(
INDEX(Last10Away_Stats_All!$A:$ZZ,ROW()-ROW($Q$16)+2,COLUMN()-COLUMN($Q$16)+1),
""))</f>
        <v>50</v>
      </c>
      <c r="BA21" s="1">
        <f>IF(INDEX(Last10Away_Stats_All!$A:$A,ROW()-ROW($Q$16)+2)="","",
IFERROR(
INDEX(Last10Away_Stats_All!$A:$ZZ,ROW()-ROW($Q$16)+2,COLUMN()-COLUMN($Q$16)+1),
""))</f>
        <v>1</v>
      </c>
      <c r="BB21" s="1">
        <f>IF(INDEX(Last10Away_Stats_All!$A:$A,ROW()-ROW($Q$16)+2)="","",
IFERROR(
INDEX(Last10Away_Stats_All!$A:$ZZ,ROW()-ROW($Q$16)+2,COLUMN()-COLUMN($Q$16)+1),
""))</f>
        <v>1</v>
      </c>
      <c r="BC21" s="1">
        <f>IF(INDEX(Last10Away_Stats_All!$A:$A,ROW()-ROW($Q$16)+2)="","",
IFERROR(
INDEX(Last10Away_Stats_All!$A:$ZZ,ROW()-ROW($Q$16)+2,COLUMN()-COLUMN($Q$16)+1),
""))</f>
        <v>0</v>
      </c>
      <c r="BD21" s="1">
        <f>IF(INDEX(Last10Away_Stats_All!$A:$A,ROW()-ROW($Q$16)+2)="","",
IFERROR(
INDEX(Last10Away_Stats_All!$A:$ZZ,ROW()-ROW($Q$16)+2,COLUMN()-COLUMN($Q$16)+1),
""))</f>
        <v>0</v>
      </c>
      <c r="BE21" s="1">
        <f>IF(INDEX(Last10Away_Stats_All!$A:$A,ROW()-ROW($Q$16)+2)="","",
IFERROR(
INDEX(Last10Away_Stats_All!$A:$ZZ,ROW()-ROW($Q$16)+2,COLUMN()-COLUMN($Q$16)+1),
""))</f>
        <v>4</v>
      </c>
      <c r="BF21" s="1">
        <f>IF(INDEX(Last10Away_Stats_All!$A:$A,ROW()-ROW($Q$16)+2)="","",
IFERROR(
INDEX(Last10Away_Stats_All!$A:$ZZ,ROW()-ROW($Q$16)+2,COLUMN()-COLUMN($Q$16)+1),
""))</f>
        <v>1</v>
      </c>
      <c r="BG21" s="1">
        <f>IF(INDEX(Last10Away_Stats_All!$A:$A,ROW()-ROW($Q$16)+2)="","",
IFERROR(
INDEX(Last10Away_Stats_All!$A:$ZZ,ROW()-ROW($Q$16)+2,COLUMN()-COLUMN($Q$16)+1),
""))</f>
        <v>395</v>
      </c>
      <c r="BH21" s="1">
        <f>IF(INDEX(Last10Away_Stats_All!$A:$A,ROW()-ROW($Q$16)+2)="","",
IFERROR(
INDEX(Last10Away_Stats_All!$A:$ZZ,ROW()-ROW($Q$16)+2,COLUMN()-COLUMN($Q$16)+1),
""))</f>
        <v>395</v>
      </c>
      <c r="BI21" s="1">
        <f>IF(INDEX(Last10Away_Stats_All!$A:$A,ROW()-ROW($Q$16)+2)="","",
IFERROR(
INDEX(Last10Away_Stats_All!$A:$ZZ,ROW()-ROW($Q$16)+2,COLUMN()-COLUMN($Q$16)+1),
""))</f>
        <v>316</v>
      </c>
      <c r="BJ21" s="1">
        <f>IF(INDEX(Last10Away_Stats_All!$A:$A,ROW()-ROW($Q$16)+2)="","",
IFERROR(
INDEX(Last10Away_Stats_All!$A:$ZZ,ROW()-ROW($Q$16)+2,COLUMN()-COLUMN($Q$16)+1),
""))</f>
        <v>313</v>
      </c>
      <c r="BK21" s="1">
        <f>IF(INDEX(Last10Away_Stats_All!$A:$A,ROW()-ROW($Q$16)+2)="","",
IFERROR(
INDEX(Last10Away_Stats_All!$A:$ZZ,ROW()-ROW($Q$16)+2,COLUMN()-COLUMN($Q$16)+1),
""))</f>
        <v>80</v>
      </c>
      <c r="BL21" s="1">
        <f>IF(INDEX(Last10Away_Stats_All!$A:$A,ROW()-ROW($Q$16)+2)="","",
IFERROR(
INDEX(Last10Away_Stats_All!$A:$ZZ,ROW()-ROW($Q$16)+2,COLUMN()-COLUMN($Q$16)+1),
""))</f>
        <v>79</v>
      </c>
      <c r="BM21" s="1">
        <f>IF(INDEX(Last10Away_Stats_All!$A:$A,ROW()-ROW($Q$16)+2)="","",
IFERROR(
INDEX(Last10Away_Stats_All!$A:$ZZ,ROW()-ROW($Q$16)+2,COLUMN()-COLUMN($Q$16)+1),
""))</f>
        <v>0.15</v>
      </c>
      <c r="BN21" s="1">
        <f>IF(INDEX(Last10Away_Stats_All!$A:$A,ROW()-ROW($Q$16)+2)="","",
IFERROR(
INDEX(Last10Away_Stats_All!$A:$ZZ,ROW()-ROW($Q$16)+2,COLUMN()-COLUMN($Q$16)+1),
""))</f>
        <v>2.19</v>
      </c>
      <c r="BO21" s="1">
        <f>IF(INDEX(Last10Away_Stats_All!$A:$A,ROW()-ROW($Q$16)+2)="","",
IFERROR(
INDEX(Last10Away_Stats_All!$A:$ZZ,ROW()-ROW($Q$16)+2,COLUMN()-COLUMN($Q$16)+1),
""))</f>
        <v>0</v>
      </c>
      <c r="BP21" s="1">
        <f>IF(INDEX(Last10Away_Stats_All!$A:$A,ROW()-ROW($Q$16)+2)="","",
IFERROR(
INDEX(Last10Away_Stats_All!$A:$ZZ,ROW()-ROW($Q$16)+2,COLUMN()-COLUMN($Q$16)+1),
""))</f>
        <v>0</v>
      </c>
      <c r="BR21" s="1" t="str">
        <f>IF(OR(Control!AC21="",Control!AD21=""),"",Control!AC21&amp;" : "&amp;Control!AD21)</f>
        <v>0 : 2</v>
      </c>
      <c r="BS21" s="1" t="str">
        <f>IF(OR(Control!AE21="",Control!AF21=""),"",Control!AE21&amp;" : "&amp;Control!AF21)</f>
        <v>0 : 4</v>
      </c>
      <c r="BT21" s="1" t="str">
        <f>IF(OR(Control!AU21="",Control!AV21=""),"",Control!AU21&amp;" : "&amp;Control!AV21)</f>
        <v>4 : 12</v>
      </c>
      <c r="BV21" s="1" t="str">
        <f>IFERROR(INDEX(tblStandings[#All],ROW(A21),COLUMN(A21)),"")</f>
        <v/>
      </c>
      <c r="BW21" s="1" t="str">
        <f>IFERROR(INDEX(tblStandings[#All],ROW(B21),COLUMN(B21)),"")</f>
        <v/>
      </c>
      <c r="BX21" s="1" t="str">
        <f>IFERROR(INDEX(tblStandings[#All],ROW(C21),COLUMN(C21)),"")</f>
        <v/>
      </c>
      <c r="BY21" s="1" t="str">
        <f>IFERROR(INDEX(tblStandings[#All],ROW(D21),COLUMN(D21)),"")</f>
        <v/>
      </c>
      <c r="BZ21" s="1" t="str">
        <f>IFERROR(INDEX(tblStandings[#All],ROW(E21),COLUMN(E21)),"")</f>
        <v/>
      </c>
      <c r="CA21" s="1" t="str">
        <f>IFERROR(INDEX(tblStandings[#All],ROW(F21),COLUMN(F21)),"")</f>
        <v/>
      </c>
      <c r="CB21" s="1" t="str">
        <f>IFERROR(INDEX(tblStandings[#All],ROW(G21),COLUMN(G21)),"")</f>
        <v/>
      </c>
      <c r="CC21" s="1" t="str">
        <f>IFERROR(INDEX(tblStandings[#All],ROW(H21),COLUMN(H21)),"")</f>
        <v/>
      </c>
      <c r="CD21" s="1" t="str">
        <f>IFERROR(INDEX(tblStandings[#All],ROW(I21),COLUMN(I21)),"")</f>
        <v/>
      </c>
      <c r="CE21" s="1" t="str">
        <f>IFERROR(INDEX(tblStandings[#All],ROW(J21),COLUMN(J21)),"")</f>
        <v/>
      </c>
      <c r="CF21" s="1" t="str">
        <f>IFERROR(INDEX(tblStandings[#All],ROW(K21),COLUMN(K21)),"")</f>
        <v/>
      </c>
      <c r="CG21" s="1" t="str">
        <f t="shared" si="0"/>
        <v/>
      </c>
      <c r="CH21" s="1" t="str">
        <f t="shared" si="1"/>
        <v/>
      </c>
      <c r="CI21" s="1" t="str">
        <f t="shared" si="2"/>
        <v/>
      </c>
      <c r="CJ21" s="1" t="str">
        <f t="shared" si="3"/>
        <v/>
      </c>
      <c r="CK21" s="1" t="str">
        <f t="shared" si="4"/>
        <v/>
      </c>
    </row>
    <row r="22" spans="1:89" x14ac:dyDescent="0.25">
      <c r="A22" s="1" t="s">
        <v>209</v>
      </c>
      <c r="B22" s="1" t="str">
        <f>IFERROR(INDEX($N:$N, MATCH($B$10, $H:$H, 0)), "")</f>
        <v/>
      </c>
      <c r="C22" s="1" t="str">
        <f>IFERROR(
INDEX(Game_Standings_ByFixtureID!$A:$A,
MATCH($B$22,Game_Standings_ByFixtureID!$B:$B,0)
),
"")</f>
        <v/>
      </c>
      <c r="H22" s="1">
        <v>1525652</v>
      </c>
      <c r="I22" s="4">
        <v>46268.458333333336</v>
      </c>
      <c r="J22" s="1" t="s">
        <v>17</v>
      </c>
      <c r="K22" s="1" t="s">
        <v>495</v>
      </c>
      <c r="L22" s="1" t="s">
        <v>46</v>
      </c>
      <c r="M22" s="1" t="s">
        <v>569</v>
      </c>
      <c r="N22" s="1" t="s">
        <v>498</v>
      </c>
      <c r="O22" s="1" t="s">
        <v>4013</v>
      </c>
      <c r="Q22" s="1">
        <f>IF(INDEX(Last10Away_Stats_All!$A:$A,ROW()-ROW($Q$16)+2)="","",
IFERROR(
INDEX(Last10Away_Stats_All!$A:$ZZ,ROW()-ROW($Q$16)+2,COLUMN()-COLUMN($Q$16)+1),
""))</f>
        <v>1451136</v>
      </c>
      <c r="R22" s="1" t="str">
        <f>IF(INDEX(Last10Away_Stats_All!$A:$A,ROW()-ROW($Q$16)+2)="","",
IFERROR(
INDEX(Last10Away_Stats_All!$A:$ZZ,ROW()-ROW($Q$16)+2,COLUMN()-COLUMN($Q$16)+1),
""))</f>
        <v>20/01/2026 20:00</v>
      </c>
      <c r="S22" s="1" t="str">
        <f>IF(INDEX(Last10Away_Stats_All!$A:$A,ROW()-ROW($Q$16)+2)="","",
IFERROR(
INDEX(Last10Away_Stats_All!$A:$ZZ,ROW()-ROW($Q$16)+2,COLUMN()-COLUMN($Q$16)+1),
""))</f>
        <v>World</v>
      </c>
      <c r="T22" s="1" t="str">
        <f>IF(INDEX(Last10Away_Stats_All!$A:$A,ROW()-ROW($Q$16)+2)="","",
IFERROR(
INDEX(Last10Away_Stats_All!$A:$ZZ,ROW()-ROW($Q$16)+2,COLUMN()-COLUMN($Q$16)+1),
""))</f>
        <v>UEFA Champions League</v>
      </c>
      <c r="U22" s="1" t="str">
        <f>IF(INDEX(Last10Away_Stats_All!$A:$A,ROW()-ROW($Q$16)+2)="","",
IFERROR(
INDEX(Last10Away_Stats_All!$A:$ZZ,ROW()-ROW($Q$16)+2,COLUMN()-COLUMN($Q$16)+1),
""))</f>
        <v>https://media.api-sports.io/football/teams/505.png</v>
      </c>
      <c r="V22" s="1" t="str">
        <f>IF(INDEX(Last10Away_Stats_All!$A:$A,ROW()-ROW($Q$16)+2)="","",
IFERROR(
INDEX(Last10Away_Stats_All!$A:$ZZ,ROW()-ROW($Q$16)+2,COLUMN()-COLUMN($Q$16)+1),
""))</f>
        <v>Inter</v>
      </c>
      <c r="W22" s="1" t="str">
        <f>IF(INDEX(Last10Away_Stats_All!$A:$A,ROW()-ROW($Q$16)+2)="","",
IFERROR(
INDEX(Last10Away_Stats_All!$A:$ZZ,ROW()-ROW($Q$16)+2,COLUMN()-COLUMN($Q$16)+1),
""))</f>
        <v>https://media.api-sports.io/football/teams/42.png</v>
      </c>
      <c r="X22" s="1" t="str">
        <f>IF(INDEX(Last10Away_Stats_All!$A:$A,ROW()-ROW($Q$16)+2)="","",
IFERROR(
INDEX(Last10Away_Stats_All!$A:$ZZ,ROW()-ROW($Q$16)+2,COLUMN()-COLUMN($Q$16)+1),
""))</f>
        <v>Arsenal</v>
      </c>
      <c r="Y22" s="1" t="str">
        <f>IF(INDEX(Last10Away_Stats_All!$A:$A,ROW()-ROW($Q$16)+2)="","",
IFERROR(
INDEX(Last10Away_Stats_All!$A:$ZZ,ROW()-ROW($Q$16)+2,COLUMN()-COLUMN($Q$16)+1),
""))</f>
        <v>https://media.api-sports.io/football/leagues/2.png</v>
      </c>
      <c r="Z22" s="1">
        <f>IF(INDEX(Last10Away_Stats_All!$A:$A,ROW()-ROW($Q$16)+2)="","",
IFERROR(
INDEX(Last10Away_Stats_All!$A:$ZZ,ROW()-ROW($Q$16)+2,COLUMN()-COLUMN($Q$16)+1),
""))</f>
        <v>0</v>
      </c>
      <c r="AA22" s="1">
        <f>IF(INDEX(Last10Away_Stats_All!$A:$A,ROW()-ROW($Q$16)+2)="","",
IFERROR(
INDEX(Last10Away_Stats_All!$A:$ZZ,ROW()-ROW($Q$16)+2,COLUMN()-COLUMN($Q$16)+1),
""))</f>
        <v>1</v>
      </c>
      <c r="AB22" s="1">
        <f>IF(INDEX(Last10Away_Stats_All!$A:$A,ROW()-ROW($Q$16)+2)="","",
IFERROR(
INDEX(Last10Away_Stats_All!$A:$ZZ,ROW()-ROW($Q$16)+2,COLUMN()-COLUMN($Q$16)+1),
""))</f>
        <v>3</v>
      </c>
      <c r="AC22" s="1">
        <f>IF(INDEX(Last10Away_Stats_All!$A:$A,ROW()-ROW($Q$16)+2)="","",
IFERROR(
INDEX(Last10Away_Stats_All!$A:$ZZ,ROW()-ROW($Q$16)+2,COLUMN()-COLUMN($Q$16)+1),
""))</f>
        <v>1</v>
      </c>
      <c r="AD22" s="1">
        <f>IF(INDEX(Last10Away_Stats_All!$A:$A,ROW()-ROW($Q$16)+2)="","",
IFERROR(
INDEX(Last10Away_Stats_All!$A:$ZZ,ROW()-ROW($Q$16)+2,COLUMN()-COLUMN($Q$16)+1),
""))</f>
        <v>2</v>
      </c>
      <c r="AE22" s="1">
        <f>IF(INDEX(Last10Away_Stats_All!$A:$A,ROW()-ROW($Q$16)+2)="","",
IFERROR(
INDEX(Last10Away_Stats_All!$A:$ZZ,ROW()-ROW($Q$16)+2,COLUMN()-COLUMN($Q$16)+1),
""))</f>
        <v>1</v>
      </c>
      <c r="AF22" s="1">
        <f>IF(INDEX(Last10Away_Stats_All!$A:$A,ROW()-ROW($Q$16)+2)="","",
IFERROR(
INDEX(Last10Away_Stats_All!$A:$ZZ,ROW()-ROW($Q$16)+2,COLUMN()-COLUMN($Q$16)+1),
""))</f>
        <v>3</v>
      </c>
      <c r="AG22" s="1">
        <f>IF(INDEX(Last10Away_Stats_All!$A:$A,ROW()-ROW($Q$16)+2)="","",
IFERROR(
INDEX(Last10Away_Stats_All!$A:$ZZ,ROW()-ROW($Q$16)+2,COLUMN()-COLUMN($Q$16)+1),
""))</f>
        <v>4</v>
      </c>
      <c r="AH22" s="1">
        <f>IF(INDEX(Last10Away_Stats_All!$A:$A,ROW()-ROW($Q$16)+2)="","",
IFERROR(
INDEX(Last10Away_Stats_All!$A:$ZZ,ROW()-ROW($Q$16)+2,COLUMN()-COLUMN($Q$16)+1),
""))</f>
        <v>6</v>
      </c>
      <c r="AI22" s="1">
        <f>IF(INDEX(Last10Away_Stats_All!$A:$A,ROW()-ROW($Q$16)+2)="","",
IFERROR(
INDEX(Last10Away_Stats_All!$A:$ZZ,ROW()-ROW($Q$16)+2,COLUMN()-COLUMN($Q$16)+1),
""))</f>
        <v>6</v>
      </c>
      <c r="AJ22" s="1">
        <f>IF(INDEX(Last10Away_Stats_All!$A:$A,ROW()-ROW($Q$16)+2)="","",
IFERROR(
INDEX(Last10Away_Stats_All!$A:$ZZ,ROW()-ROW($Q$16)+2,COLUMN()-COLUMN($Q$16)+1),
""))</f>
        <v>6</v>
      </c>
      <c r="AK22" s="1">
        <f>IF(INDEX(Last10Away_Stats_All!$A:$A,ROW()-ROW($Q$16)+2)="","",
IFERROR(
INDEX(Last10Away_Stats_All!$A:$ZZ,ROW()-ROW($Q$16)+2,COLUMN()-COLUMN($Q$16)+1),
""))</f>
        <v>18</v>
      </c>
      <c r="AL22" s="1">
        <f>IF(INDEX(Last10Away_Stats_All!$A:$A,ROW()-ROW($Q$16)+2)="","",
IFERROR(
INDEX(Last10Away_Stats_All!$A:$ZZ,ROW()-ROW($Q$16)+2,COLUMN()-COLUMN($Q$16)+1),
""))</f>
        <v>17</v>
      </c>
      <c r="AM22" s="1">
        <f>IF(INDEX(Last10Away_Stats_All!$A:$A,ROW()-ROW($Q$16)+2)="","",
IFERROR(
INDEX(Last10Away_Stats_All!$A:$ZZ,ROW()-ROW($Q$16)+2,COLUMN()-COLUMN($Q$16)+1),
""))</f>
        <v>8</v>
      </c>
      <c r="AN22" s="1">
        <f>IF(INDEX(Last10Away_Stats_All!$A:$A,ROW()-ROW($Q$16)+2)="","",
IFERROR(
INDEX(Last10Away_Stats_All!$A:$ZZ,ROW()-ROW($Q$16)+2,COLUMN()-COLUMN($Q$16)+1),
""))</f>
        <v>5</v>
      </c>
      <c r="AO22" s="1">
        <f>IF(INDEX(Last10Away_Stats_All!$A:$A,ROW()-ROW($Q$16)+2)="","",
IFERROR(
INDEX(Last10Away_Stats_All!$A:$ZZ,ROW()-ROW($Q$16)+2,COLUMN()-COLUMN($Q$16)+1),
""))</f>
        <v>14</v>
      </c>
      <c r="AP22" s="1">
        <f>IF(INDEX(Last10Away_Stats_All!$A:$A,ROW()-ROW($Q$16)+2)="","",
IFERROR(
INDEX(Last10Away_Stats_All!$A:$ZZ,ROW()-ROW($Q$16)+2,COLUMN()-COLUMN($Q$16)+1),
""))</f>
        <v>12</v>
      </c>
      <c r="AQ22" s="1">
        <f>IF(INDEX(Last10Away_Stats_All!$A:$A,ROW()-ROW($Q$16)+2)="","",
IFERROR(
INDEX(Last10Away_Stats_All!$A:$ZZ,ROW()-ROW($Q$16)+2,COLUMN()-COLUMN($Q$16)+1),
""))</f>
        <v>4</v>
      </c>
      <c r="AR22" s="1">
        <f>IF(INDEX(Last10Away_Stats_All!$A:$A,ROW()-ROW($Q$16)+2)="","",
IFERROR(
INDEX(Last10Away_Stats_All!$A:$ZZ,ROW()-ROW($Q$16)+2,COLUMN()-COLUMN($Q$16)+1),
""))</f>
        <v>5</v>
      </c>
      <c r="AS22" s="1">
        <f>IF(INDEX(Last10Away_Stats_All!$A:$A,ROW()-ROW($Q$16)+2)="","",
IFERROR(
INDEX(Last10Away_Stats_All!$A:$ZZ,ROW()-ROW($Q$16)+2,COLUMN()-COLUMN($Q$16)+1),
""))</f>
        <v>9</v>
      </c>
      <c r="AT22" s="1">
        <f>IF(INDEX(Last10Away_Stats_All!$A:$A,ROW()-ROW($Q$16)+2)="","",
IFERROR(
INDEX(Last10Away_Stats_All!$A:$ZZ,ROW()-ROW($Q$16)+2,COLUMN()-COLUMN($Q$16)+1),
""))</f>
        <v>17</v>
      </c>
      <c r="AU22" s="1">
        <f>IF(INDEX(Last10Away_Stats_All!$A:$A,ROW()-ROW($Q$16)+2)="","",
IFERROR(
INDEX(Last10Away_Stats_All!$A:$ZZ,ROW()-ROW($Q$16)+2,COLUMN()-COLUMN($Q$16)+1),
""))</f>
        <v>4</v>
      </c>
      <c r="AV22" s="1">
        <f>IF(INDEX(Last10Away_Stats_All!$A:$A,ROW()-ROW($Q$16)+2)="","",
IFERROR(
INDEX(Last10Away_Stats_All!$A:$ZZ,ROW()-ROW($Q$16)+2,COLUMN()-COLUMN($Q$16)+1),
""))</f>
        <v>7</v>
      </c>
      <c r="AW22" s="1">
        <f>IF(INDEX(Last10Away_Stats_All!$A:$A,ROW()-ROW($Q$16)+2)="","",
IFERROR(
INDEX(Last10Away_Stats_All!$A:$ZZ,ROW()-ROW($Q$16)+2,COLUMN()-COLUMN($Q$16)+1),
""))</f>
        <v>3</v>
      </c>
      <c r="AX22" s="1">
        <f>IF(INDEX(Last10Away_Stats_All!$A:$A,ROW()-ROW($Q$16)+2)="","",
IFERROR(
INDEX(Last10Away_Stats_All!$A:$ZZ,ROW()-ROW($Q$16)+2,COLUMN()-COLUMN($Q$16)+1),
""))</f>
        <v>3</v>
      </c>
      <c r="AY22" s="1">
        <f>IF(INDEX(Last10Away_Stats_All!$A:$A,ROW()-ROW($Q$16)+2)="","",
IFERROR(
INDEX(Last10Away_Stats_All!$A:$ZZ,ROW()-ROW($Q$16)+2,COLUMN()-COLUMN($Q$16)+1),
""))</f>
        <v>51</v>
      </c>
      <c r="AZ22" s="1">
        <f>IF(INDEX(Last10Away_Stats_All!$A:$A,ROW()-ROW($Q$16)+2)="","",
IFERROR(
INDEX(Last10Away_Stats_All!$A:$ZZ,ROW()-ROW($Q$16)+2,COLUMN()-COLUMN($Q$16)+1),
""))</f>
        <v>49</v>
      </c>
      <c r="BA22" s="1">
        <f>IF(INDEX(Last10Away_Stats_All!$A:$A,ROW()-ROW($Q$16)+2)="","",
IFERROR(
INDEX(Last10Away_Stats_All!$A:$ZZ,ROW()-ROW($Q$16)+2,COLUMN()-COLUMN($Q$16)+1),
""))</f>
        <v>2</v>
      </c>
      <c r="BB22" s="1">
        <f>IF(INDEX(Last10Away_Stats_All!$A:$A,ROW()-ROW($Q$16)+2)="","",
IFERROR(
INDEX(Last10Away_Stats_All!$A:$ZZ,ROW()-ROW($Q$16)+2,COLUMN()-COLUMN($Q$16)+1),
""))</f>
        <v>2</v>
      </c>
      <c r="BC22" s="1">
        <f>IF(INDEX(Last10Away_Stats_All!$A:$A,ROW()-ROW($Q$16)+2)="","",
IFERROR(
INDEX(Last10Away_Stats_All!$A:$ZZ,ROW()-ROW($Q$16)+2,COLUMN()-COLUMN($Q$16)+1),
""))</f>
        <v>0</v>
      </c>
      <c r="BD22" s="1">
        <f>IF(INDEX(Last10Away_Stats_All!$A:$A,ROW()-ROW($Q$16)+2)="","",
IFERROR(
INDEX(Last10Away_Stats_All!$A:$ZZ,ROW()-ROW($Q$16)+2,COLUMN()-COLUMN($Q$16)+1),
""))</f>
        <v>0</v>
      </c>
      <c r="BE22" s="1">
        <f>IF(INDEX(Last10Away_Stats_All!$A:$A,ROW()-ROW($Q$16)+2)="","",
IFERROR(
INDEX(Last10Away_Stats_All!$A:$ZZ,ROW()-ROW($Q$16)+2,COLUMN()-COLUMN($Q$16)+1),
""))</f>
        <v>3</v>
      </c>
      <c r="BF22" s="1">
        <f>IF(INDEX(Last10Away_Stats_All!$A:$A,ROW()-ROW($Q$16)+2)="","",
IFERROR(
INDEX(Last10Away_Stats_All!$A:$ZZ,ROW()-ROW($Q$16)+2,COLUMN()-COLUMN($Q$16)+1),
""))</f>
        <v>3</v>
      </c>
      <c r="BG22" s="1">
        <f>IF(INDEX(Last10Away_Stats_All!$A:$A,ROW()-ROW($Q$16)+2)="","",
IFERROR(
INDEX(Last10Away_Stats_All!$A:$ZZ,ROW()-ROW($Q$16)+2,COLUMN()-COLUMN($Q$16)+1),
""))</f>
        <v>446</v>
      </c>
      <c r="BH22" s="1">
        <f>IF(INDEX(Last10Away_Stats_All!$A:$A,ROW()-ROW($Q$16)+2)="","",
IFERROR(
INDEX(Last10Away_Stats_All!$A:$ZZ,ROW()-ROW($Q$16)+2,COLUMN()-COLUMN($Q$16)+1),
""))</f>
        <v>420</v>
      </c>
      <c r="BI22" s="1">
        <f>IF(INDEX(Last10Away_Stats_All!$A:$A,ROW()-ROW($Q$16)+2)="","",
IFERROR(
INDEX(Last10Away_Stats_All!$A:$ZZ,ROW()-ROW($Q$16)+2,COLUMN()-COLUMN($Q$16)+1),
""))</f>
        <v>386</v>
      </c>
      <c r="BJ22" s="1">
        <f>IF(INDEX(Last10Away_Stats_All!$A:$A,ROW()-ROW($Q$16)+2)="","",
IFERROR(
INDEX(Last10Away_Stats_All!$A:$ZZ,ROW()-ROW($Q$16)+2,COLUMN()-COLUMN($Q$16)+1),
""))</f>
        <v>348</v>
      </c>
      <c r="BK22" s="1">
        <f>IF(INDEX(Last10Away_Stats_All!$A:$A,ROW()-ROW($Q$16)+2)="","",
IFERROR(
INDEX(Last10Away_Stats_All!$A:$ZZ,ROW()-ROW($Q$16)+2,COLUMN()-COLUMN($Q$16)+1),
""))</f>
        <v>87</v>
      </c>
      <c r="BL22" s="1">
        <f>IF(INDEX(Last10Away_Stats_All!$A:$A,ROW()-ROW($Q$16)+2)="","",
IFERROR(
INDEX(Last10Away_Stats_All!$A:$ZZ,ROW()-ROW($Q$16)+2,COLUMN()-COLUMN($Q$16)+1),
""))</f>
        <v>83</v>
      </c>
      <c r="BM22" s="1">
        <f>IF(INDEX(Last10Away_Stats_All!$A:$A,ROW()-ROW($Q$16)+2)="","",
IFERROR(
INDEX(Last10Away_Stats_All!$A:$ZZ,ROW()-ROW($Q$16)+2,COLUMN()-COLUMN($Q$16)+1),
""))</f>
        <v>1.36</v>
      </c>
      <c r="BN22" s="1">
        <f>IF(INDEX(Last10Away_Stats_All!$A:$A,ROW()-ROW($Q$16)+2)="","",
IFERROR(
INDEX(Last10Away_Stats_All!$A:$ZZ,ROW()-ROW($Q$16)+2,COLUMN()-COLUMN($Q$16)+1),
""))</f>
        <v>2.14</v>
      </c>
      <c r="BO22" s="1">
        <f>IF(INDEX(Last10Away_Stats_All!$A:$A,ROW()-ROW($Q$16)+2)="","",
IFERROR(
INDEX(Last10Away_Stats_All!$A:$ZZ,ROW()-ROW($Q$16)+2,COLUMN()-COLUMN($Q$16)+1),
""))</f>
        <v>0</v>
      </c>
      <c r="BP22" s="1">
        <f>IF(INDEX(Last10Away_Stats_All!$A:$A,ROW()-ROW($Q$16)+2)="","",
IFERROR(
INDEX(Last10Away_Stats_All!$A:$ZZ,ROW()-ROW($Q$16)+2,COLUMN()-COLUMN($Q$16)+1),
""))</f>
        <v>0</v>
      </c>
      <c r="BR22" s="1" t="str">
        <f>IF(OR(Control!AC22="",Control!AD22=""),"",Control!AC22&amp;" : "&amp;Control!AD22)</f>
        <v>1 : 2</v>
      </c>
      <c r="BS22" s="1" t="str">
        <f>IF(OR(Control!AE22="",Control!AF22=""),"",Control!AE22&amp;" : "&amp;Control!AF22)</f>
        <v>1 : 3</v>
      </c>
      <c r="BT22" s="1" t="str">
        <f>IF(OR(Control!AU22="",Control!AV22=""),"",Control!AU22&amp;" : "&amp;Control!AV22)</f>
        <v>4 : 7</v>
      </c>
      <c r="BV22" s="1" t="str">
        <f>IFERROR(INDEX(tblStandings[#All],ROW(A22),COLUMN(A22)),"")</f>
        <v/>
      </c>
      <c r="BW22" s="1" t="str">
        <f>IFERROR(INDEX(tblStandings[#All],ROW(B22),COLUMN(B22)),"")</f>
        <v/>
      </c>
      <c r="BX22" s="1" t="str">
        <f>IFERROR(INDEX(tblStandings[#All],ROW(C22),COLUMN(C22)),"")</f>
        <v/>
      </c>
      <c r="BY22" s="1" t="str">
        <f>IFERROR(INDEX(tblStandings[#All],ROW(D22),COLUMN(D22)),"")</f>
        <v/>
      </c>
      <c r="BZ22" s="1" t="str">
        <f>IFERROR(INDEX(tblStandings[#All],ROW(E22),COLUMN(E22)),"")</f>
        <v/>
      </c>
      <c r="CA22" s="1" t="str">
        <f>IFERROR(INDEX(tblStandings[#All],ROW(F22),COLUMN(F22)),"")</f>
        <v/>
      </c>
      <c r="CB22" s="1" t="str">
        <f>IFERROR(INDEX(tblStandings[#All],ROW(G22),COLUMN(G22)),"")</f>
        <v/>
      </c>
      <c r="CC22" s="1" t="str">
        <f>IFERROR(INDEX(tblStandings[#All],ROW(H22),COLUMN(H22)),"")</f>
        <v/>
      </c>
      <c r="CD22" s="1" t="str">
        <f>IFERROR(INDEX(tblStandings[#All],ROW(I22),COLUMN(I22)),"")</f>
        <v/>
      </c>
      <c r="CE22" s="1" t="str">
        <f>IFERROR(INDEX(tblStandings[#All],ROW(J22),COLUMN(J22)),"")</f>
        <v/>
      </c>
      <c r="CF22" s="1" t="str">
        <f>IFERROR(INDEX(tblStandings[#All],ROW(K22),COLUMN(K22)),"")</f>
        <v/>
      </c>
      <c r="CG22" s="1" t="str">
        <f t="shared" si="0"/>
        <v/>
      </c>
      <c r="CH22" s="1" t="str">
        <f t="shared" si="1"/>
        <v/>
      </c>
      <c r="CI22" s="1" t="str">
        <f t="shared" si="2"/>
        <v/>
      </c>
      <c r="CJ22" s="1" t="str">
        <f t="shared" si="3"/>
        <v/>
      </c>
      <c r="CK22" s="1" t="str">
        <f t="shared" si="4"/>
        <v/>
      </c>
    </row>
    <row r="23" spans="1:89" x14ac:dyDescent="0.25">
      <c r="H23" s="1">
        <v>1404567</v>
      </c>
      <c r="I23" s="4">
        <v>46268.5</v>
      </c>
      <c r="J23" s="1" t="s">
        <v>17</v>
      </c>
      <c r="K23" s="1" t="s">
        <v>42</v>
      </c>
      <c r="L23" s="1" t="s">
        <v>264</v>
      </c>
      <c r="M23" s="1" t="s">
        <v>4015</v>
      </c>
      <c r="N23" s="1" t="s">
        <v>4016</v>
      </c>
      <c r="O23" s="1" t="s">
        <v>4017</v>
      </c>
      <c r="Q23" s="1">
        <f>IF(INDEX(Last10Away_Stats_All!$A:$A,ROW()-ROW($Q$16)+2)="","",
IFERROR(
INDEX(Last10Away_Stats_All!$A:$ZZ,ROW()-ROW($Q$16)+2,COLUMN()-COLUMN($Q$16)+1),
""))</f>
        <v>1379185</v>
      </c>
      <c r="R23" s="1" t="str">
        <f>IF(INDEX(Last10Away_Stats_All!$A:$A,ROW()-ROW($Q$16)+2)="","",
IFERROR(
INDEX(Last10Away_Stats_All!$A:$ZZ,ROW()-ROW($Q$16)+2,COLUMN()-COLUMN($Q$16)+1),
""))</f>
        <v>17/01/2026 17:30</v>
      </c>
      <c r="S23" s="1" t="str">
        <f>IF(INDEX(Last10Away_Stats_All!$A:$A,ROW()-ROW($Q$16)+2)="","",
IFERROR(
INDEX(Last10Away_Stats_All!$A:$ZZ,ROW()-ROW($Q$16)+2,COLUMN()-COLUMN($Q$16)+1),
""))</f>
        <v>England</v>
      </c>
      <c r="T23" s="1" t="str">
        <f>IF(INDEX(Last10Away_Stats_All!$A:$A,ROW()-ROW($Q$16)+2)="","",
IFERROR(
INDEX(Last10Away_Stats_All!$A:$ZZ,ROW()-ROW($Q$16)+2,COLUMN()-COLUMN($Q$16)+1),
""))</f>
        <v>Premier League</v>
      </c>
      <c r="U23" s="1" t="str">
        <f>IF(INDEX(Last10Away_Stats_All!$A:$A,ROW()-ROW($Q$16)+2)="","",
IFERROR(
INDEX(Last10Away_Stats_All!$A:$ZZ,ROW()-ROW($Q$16)+2,COLUMN()-COLUMN($Q$16)+1),
""))</f>
        <v>https://media.api-sports.io/football/teams/65.png</v>
      </c>
      <c r="V23" s="1" t="str">
        <f>IF(INDEX(Last10Away_Stats_All!$A:$A,ROW()-ROW($Q$16)+2)="","",
IFERROR(
INDEX(Last10Away_Stats_All!$A:$ZZ,ROW()-ROW($Q$16)+2,COLUMN()-COLUMN($Q$16)+1),
""))</f>
        <v>Nottingham Forest</v>
      </c>
      <c r="W23" s="1" t="str">
        <f>IF(INDEX(Last10Away_Stats_All!$A:$A,ROW()-ROW($Q$16)+2)="","",
IFERROR(
INDEX(Last10Away_Stats_All!$A:$ZZ,ROW()-ROW($Q$16)+2,COLUMN()-COLUMN($Q$16)+1),
""))</f>
        <v>https://media.api-sports.io/football/teams/42.png</v>
      </c>
      <c r="X23" s="1" t="str">
        <f>IF(INDEX(Last10Away_Stats_All!$A:$A,ROW()-ROW($Q$16)+2)="","",
IFERROR(
INDEX(Last10Away_Stats_All!$A:$ZZ,ROW()-ROW($Q$16)+2,COLUMN()-COLUMN($Q$16)+1),
""))</f>
        <v>Arsenal</v>
      </c>
      <c r="Y23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23" s="1" t="str">
        <f>IF(INDEX(Last10Away_Stats_All!$A:$A,ROW()-ROW($Q$16)+2)="","",
IFERROR(
INDEX(Last10Away_Stats_All!$A:$ZZ,ROW()-ROW($Q$16)+2,COLUMN()-COLUMN($Q$16)+1),
""))</f>
        <v>https://media.api-sports.io/flags/gb-eng.svg</v>
      </c>
      <c r="AA23" s="1">
        <f>IF(INDEX(Last10Away_Stats_All!$A:$A,ROW()-ROW($Q$16)+2)="","",
IFERROR(
INDEX(Last10Away_Stats_All!$A:$ZZ,ROW()-ROW($Q$16)+2,COLUMN()-COLUMN($Q$16)+1),
""))</f>
        <v>0</v>
      </c>
      <c r="AB23" s="1">
        <f>IF(INDEX(Last10Away_Stats_All!$A:$A,ROW()-ROW($Q$16)+2)="","",
IFERROR(
INDEX(Last10Away_Stats_All!$A:$ZZ,ROW()-ROW($Q$16)+2,COLUMN()-COLUMN($Q$16)+1),
""))</f>
        <v>0</v>
      </c>
      <c r="AC23" s="1">
        <f>IF(INDEX(Last10Away_Stats_All!$A:$A,ROW()-ROW($Q$16)+2)="","",
IFERROR(
INDEX(Last10Away_Stats_All!$A:$ZZ,ROW()-ROW($Q$16)+2,COLUMN()-COLUMN($Q$16)+1),
""))</f>
        <v>0</v>
      </c>
      <c r="AD23" s="1">
        <f>IF(INDEX(Last10Away_Stats_All!$A:$A,ROW()-ROW($Q$16)+2)="","",
IFERROR(
INDEX(Last10Away_Stats_All!$A:$ZZ,ROW()-ROW($Q$16)+2,COLUMN()-COLUMN($Q$16)+1),
""))</f>
        <v>0</v>
      </c>
      <c r="AE23" s="1">
        <f>IF(INDEX(Last10Away_Stats_All!$A:$A,ROW()-ROW($Q$16)+2)="","",
IFERROR(
INDEX(Last10Away_Stats_All!$A:$ZZ,ROW()-ROW($Q$16)+2,COLUMN()-COLUMN($Q$16)+1),
""))</f>
        <v>0</v>
      </c>
      <c r="AF23" s="1">
        <f>IF(INDEX(Last10Away_Stats_All!$A:$A,ROW()-ROW($Q$16)+2)="","",
IFERROR(
INDEX(Last10Away_Stats_All!$A:$ZZ,ROW()-ROW($Q$16)+2,COLUMN()-COLUMN($Q$16)+1),
""))</f>
        <v>0</v>
      </c>
      <c r="AG23" s="1">
        <f>IF(INDEX(Last10Away_Stats_All!$A:$A,ROW()-ROW($Q$16)+2)="","",
IFERROR(
INDEX(Last10Away_Stats_All!$A:$ZZ,ROW()-ROW($Q$16)+2,COLUMN()-COLUMN($Q$16)+1),
""))</f>
        <v>0</v>
      </c>
      <c r="AH23" s="1">
        <f>IF(INDEX(Last10Away_Stats_All!$A:$A,ROW()-ROW($Q$16)+2)="","",
IFERROR(
INDEX(Last10Away_Stats_All!$A:$ZZ,ROW()-ROW($Q$16)+2,COLUMN()-COLUMN($Q$16)+1),
""))</f>
        <v>3</v>
      </c>
      <c r="AI23" s="1">
        <f>IF(INDEX(Last10Away_Stats_All!$A:$A,ROW()-ROW($Q$16)+2)="","",
IFERROR(
INDEX(Last10Away_Stats_All!$A:$ZZ,ROW()-ROW($Q$16)+2,COLUMN()-COLUMN($Q$16)+1),
""))</f>
        <v>3</v>
      </c>
      <c r="AJ23" s="1">
        <f>IF(INDEX(Last10Away_Stats_All!$A:$A,ROW()-ROW($Q$16)+2)="","",
IFERROR(
INDEX(Last10Away_Stats_All!$A:$ZZ,ROW()-ROW($Q$16)+2,COLUMN()-COLUMN($Q$16)+1),
""))</f>
        <v>4</v>
      </c>
      <c r="AK23" s="1">
        <f>IF(INDEX(Last10Away_Stats_All!$A:$A,ROW()-ROW($Q$16)+2)="","",
IFERROR(
INDEX(Last10Away_Stats_All!$A:$ZZ,ROW()-ROW($Q$16)+2,COLUMN()-COLUMN($Q$16)+1),
""))</f>
        <v>6</v>
      </c>
      <c r="AL23" s="1">
        <f>IF(INDEX(Last10Away_Stats_All!$A:$A,ROW()-ROW($Q$16)+2)="","",
IFERROR(
INDEX(Last10Away_Stats_All!$A:$ZZ,ROW()-ROW($Q$16)+2,COLUMN()-COLUMN($Q$16)+1),
""))</f>
        <v>15</v>
      </c>
      <c r="AM23" s="1">
        <f>IF(INDEX(Last10Away_Stats_All!$A:$A,ROW()-ROW($Q$16)+2)="","",
IFERROR(
INDEX(Last10Away_Stats_All!$A:$ZZ,ROW()-ROW($Q$16)+2,COLUMN()-COLUMN($Q$16)+1),
""))</f>
        <v>3</v>
      </c>
      <c r="AN23" s="1">
        <f>IF(INDEX(Last10Away_Stats_All!$A:$A,ROW()-ROW($Q$16)+2)="","",
IFERROR(
INDEX(Last10Away_Stats_All!$A:$ZZ,ROW()-ROW($Q$16)+2,COLUMN()-COLUMN($Q$16)+1),
""))</f>
        <v>8</v>
      </c>
      <c r="AO23" s="1">
        <f>IF(INDEX(Last10Away_Stats_All!$A:$A,ROW()-ROW($Q$16)+2)="","",
IFERROR(
INDEX(Last10Away_Stats_All!$A:$ZZ,ROW()-ROW($Q$16)+2,COLUMN()-COLUMN($Q$16)+1),
""))</f>
        <v>1</v>
      </c>
      <c r="AP23" s="1">
        <f>IF(INDEX(Last10Away_Stats_All!$A:$A,ROW()-ROW($Q$16)+2)="","",
IFERROR(
INDEX(Last10Away_Stats_All!$A:$ZZ,ROW()-ROW($Q$16)+2,COLUMN()-COLUMN($Q$16)+1),
""))</f>
        <v>14</v>
      </c>
      <c r="AQ23" s="1">
        <f>IF(INDEX(Last10Away_Stats_All!$A:$A,ROW()-ROW($Q$16)+2)="","",
IFERROR(
INDEX(Last10Away_Stats_All!$A:$ZZ,ROW()-ROW($Q$16)+2,COLUMN()-COLUMN($Q$16)+1),
""))</f>
        <v>5</v>
      </c>
      <c r="AR23" s="1">
        <f>IF(INDEX(Last10Away_Stats_All!$A:$A,ROW()-ROW($Q$16)+2)="","",
IFERROR(
INDEX(Last10Away_Stats_All!$A:$ZZ,ROW()-ROW($Q$16)+2,COLUMN()-COLUMN($Q$16)+1),
""))</f>
        <v>1</v>
      </c>
      <c r="AS23" s="1">
        <f>IF(INDEX(Last10Away_Stats_All!$A:$A,ROW()-ROW($Q$16)+2)="","",
IFERROR(
INDEX(Last10Away_Stats_All!$A:$ZZ,ROW()-ROW($Q$16)+2,COLUMN()-COLUMN($Q$16)+1),
""))</f>
        <v>8</v>
      </c>
      <c r="AT23" s="1">
        <f>IF(INDEX(Last10Away_Stats_All!$A:$A,ROW()-ROW($Q$16)+2)="","",
IFERROR(
INDEX(Last10Away_Stats_All!$A:$ZZ,ROW()-ROW($Q$16)+2,COLUMN()-COLUMN($Q$16)+1),
""))</f>
        <v>14</v>
      </c>
      <c r="AU23" s="1">
        <f>IF(INDEX(Last10Away_Stats_All!$A:$A,ROW()-ROW($Q$16)+2)="","",
IFERROR(
INDEX(Last10Away_Stats_All!$A:$ZZ,ROW()-ROW($Q$16)+2,COLUMN()-COLUMN($Q$16)+1),
""))</f>
        <v>4</v>
      </c>
      <c r="AV23" s="1">
        <f>IF(INDEX(Last10Away_Stats_All!$A:$A,ROW()-ROW($Q$16)+2)="","",
IFERROR(
INDEX(Last10Away_Stats_All!$A:$ZZ,ROW()-ROW($Q$16)+2,COLUMN()-COLUMN($Q$16)+1),
""))</f>
        <v>9</v>
      </c>
      <c r="AW23" s="1">
        <f>IF(INDEX(Last10Away_Stats_All!$A:$A,ROW()-ROW($Q$16)+2)="","",
IFERROR(
INDEX(Last10Away_Stats_All!$A:$ZZ,ROW()-ROW($Q$16)+2,COLUMN()-COLUMN($Q$16)+1),
""))</f>
        <v>1</v>
      </c>
      <c r="AX23" s="1">
        <f>IF(INDEX(Last10Away_Stats_All!$A:$A,ROW()-ROW($Q$16)+2)="","",
IFERROR(
INDEX(Last10Away_Stats_All!$A:$ZZ,ROW()-ROW($Q$16)+2,COLUMN()-COLUMN($Q$16)+1),
""))</f>
        <v>0</v>
      </c>
      <c r="AY23" s="1">
        <f>IF(INDEX(Last10Away_Stats_All!$A:$A,ROW()-ROW($Q$16)+2)="","",
IFERROR(
INDEX(Last10Away_Stats_All!$A:$ZZ,ROW()-ROW($Q$16)+2,COLUMN()-COLUMN($Q$16)+1),
""))</f>
        <v>40</v>
      </c>
      <c r="AZ23" s="1">
        <f>IF(INDEX(Last10Away_Stats_All!$A:$A,ROW()-ROW($Q$16)+2)="","",
IFERROR(
INDEX(Last10Away_Stats_All!$A:$ZZ,ROW()-ROW($Q$16)+2,COLUMN()-COLUMN($Q$16)+1),
""))</f>
        <v>60</v>
      </c>
      <c r="BA23" s="1">
        <f>IF(INDEX(Last10Away_Stats_All!$A:$A,ROW()-ROW($Q$16)+2)="","",
IFERROR(
INDEX(Last10Away_Stats_All!$A:$ZZ,ROW()-ROW($Q$16)+2,COLUMN()-COLUMN($Q$16)+1),
""))</f>
        <v>1</v>
      </c>
      <c r="BB23" s="1">
        <f>IF(INDEX(Last10Away_Stats_All!$A:$A,ROW()-ROW($Q$16)+2)="","",
IFERROR(
INDEX(Last10Away_Stats_All!$A:$ZZ,ROW()-ROW($Q$16)+2,COLUMN()-COLUMN($Q$16)+1),
""))</f>
        <v>1</v>
      </c>
      <c r="BC23" s="1">
        <f>IF(INDEX(Last10Away_Stats_All!$A:$A,ROW()-ROW($Q$16)+2)="","",
IFERROR(
INDEX(Last10Away_Stats_All!$A:$ZZ,ROW()-ROW($Q$16)+2,COLUMN()-COLUMN($Q$16)+1),
""))</f>
        <v>0</v>
      </c>
      <c r="BD23" s="1">
        <f>IF(INDEX(Last10Away_Stats_All!$A:$A,ROW()-ROW($Q$16)+2)="","",
IFERROR(
INDEX(Last10Away_Stats_All!$A:$ZZ,ROW()-ROW($Q$16)+2,COLUMN()-COLUMN($Q$16)+1),
""))</f>
        <v>0</v>
      </c>
      <c r="BE23" s="1">
        <f>IF(INDEX(Last10Away_Stats_All!$A:$A,ROW()-ROW($Q$16)+2)="","",
IFERROR(
INDEX(Last10Away_Stats_All!$A:$ZZ,ROW()-ROW($Q$16)+2,COLUMN()-COLUMN($Q$16)+1),
""))</f>
        <v>3</v>
      </c>
      <c r="BF23" s="1">
        <f>IF(INDEX(Last10Away_Stats_All!$A:$A,ROW()-ROW($Q$16)+2)="","",
IFERROR(
INDEX(Last10Away_Stats_All!$A:$ZZ,ROW()-ROW($Q$16)+2,COLUMN()-COLUMN($Q$16)+1),
""))</f>
        <v>0</v>
      </c>
      <c r="BG23" s="1">
        <f>IF(INDEX(Last10Away_Stats_All!$A:$A,ROW()-ROW($Q$16)+2)="","",
IFERROR(
INDEX(Last10Away_Stats_All!$A:$ZZ,ROW()-ROW($Q$16)+2,COLUMN()-COLUMN($Q$16)+1),
""))</f>
        <v>321</v>
      </c>
      <c r="BH23" s="1">
        <f>IF(INDEX(Last10Away_Stats_All!$A:$A,ROW()-ROW($Q$16)+2)="","",
IFERROR(
INDEX(Last10Away_Stats_All!$A:$ZZ,ROW()-ROW($Q$16)+2,COLUMN()-COLUMN($Q$16)+1),
""))</f>
        <v>494</v>
      </c>
      <c r="BI23" s="1">
        <f>IF(INDEX(Last10Away_Stats_All!$A:$A,ROW()-ROW($Q$16)+2)="","",
IFERROR(
INDEX(Last10Away_Stats_All!$A:$ZZ,ROW()-ROW($Q$16)+2,COLUMN()-COLUMN($Q$16)+1),
""))</f>
        <v>259</v>
      </c>
      <c r="BJ23" s="1">
        <f>IF(INDEX(Last10Away_Stats_All!$A:$A,ROW()-ROW($Q$16)+2)="","",
IFERROR(
INDEX(Last10Away_Stats_All!$A:$ZZ,ROW()-ROW($Q$16)+2,COLUMN()-COLUMN($Q$16)+1),
""))</f>
        <v>416</v>
      </c>
      <c r="BK23" s="1">
        <f>IF(INDEX(Last10Away_Stats_All!$A:$A,ROW()-ROW($Q$16)+2)="","",
IFERROR(
INDEX(Last10Away_Stats_All!$A:$ZZ,ROW()-ROW($Q$16)+2,COLUMN()-COLUMN($Q$16)+1),
""))</f>
        <v>81</v>
      </c>
      <c r="BL23" s="1">
        <f>IF(INDEX(Last10Away_Stats_All!$A:$A,ROW()-ROW($Q$16)+2)="","",
IFERROR(
INDEX(Last10Away_Stats_All!$A:$ZZ,ROW()-ROW($Q$16)+2,COLUMN()-COLUMN($Q$16)+1),
""))</f>
        <v>84</v>
      </c>
      <c r="BM23" s="1">
        <f>IF(INDEX(Last10Away_Stats_All!$A:$A,ROW()-ROW($Q$16)+2)="","",
IFERROR(
INDEX(Last10Away_Stats_All!$A:$ZZ,ROW()-ROW($Q$16)+2,COLUMN()-COLUMN($Q$16)+1),
""))</f>
        <v>0.34</v>
      </c>
      <c r="BN23" s="1">
        <f>IF(INDEX(Last10Away_Stats_All!$A:$A,ROW()-ROW($Q$16)+2)="","",
IFERROR(
INDEX(Last10Away_Stats_All!$A:$ZZ,ROW()-ROW($Q$16)+2,COLUMN()-COLUMN($Q$16)+1),
""))</f>
        <v>2.1</v>
      </c>
      <c r="BO23" s="1">
        <f>IF(INDEX(Last10Away_Stats_All!$A:$A,ROW()-ROW($Q$16)+2)="","",
IFERROR(
INDEX(Last10Away_Stats_All!$A:$ZZ,ROW()-ROW($Q$16)+2,COLUMN()-COLUMN($Q$16)+1),
""))</f>
        <v>0</v>
      </c>
      <c r="BP23" s="1">
        <f>IF(INDEX(Last10Away_Stats_All!$A:$A,ROW()-ROW($Q$16)+2)="","",
IFERROR(
INDEX(Last10Away_Stats_All!$A:$ZZ,ROW()-ROW($Q$16)+2,COLUMN()-COLUMN($Q$16)+1),
""))</f>
        <v>0</v>
      </c>
      <c r="BR23" s="1" t="str">
        <f>IF(OR(Control!AC23="",Control!AD23=""),"",Control!AC23&amp;" : "&amp;Control!AD23)</f>
        <v>0 : 0</v>
      </c>
      <c r="BS23" s="1" t="str">
        <f>IF(OR(Control!AE23="",Control!AF23=""),"",Control!AE23&amp;" : "&amp;Control!AF23)</f>
        <v>0 : 0</v>
      </c>
      <c r="BT23" s="1" t="str">
        <f>IF(OR(Control!AU23="",Control!AV23=""),"",Control!AU23&amp;" : "&amp;Control!AV23)</f>
        <v>4 : 9</v>
      </c>
      <c r="BV23" s="1" t="str">
        <f>IFERROR(INDEX(tblStandings[#All],ROW(A23),COLUMN(A23)),"")</f>
        <v/>
      </c>
      <c r="BW23" s="1" t="str">
        <f>IFERROR(INDEX(tblStandings[#All],ROW(B23),COLUMN(B23)),"")</f>
        <v/>
      </c>
      <c r="BX23" s="1" t="str">
        <f>IFERROR(INDEX(tblStandings[#All],ROW(C23),COLUMN(C23)),"")</f>
        <v/>
      </c>
      <c r="BY23" s="1" t="str">
        <f>IFERROR(INDEX(tblStandings[#All],ROW(D23),COLUMN(D23)),"")</f>
        <v/>
      </c>
      <c r="BZ23" s="1" t="str">
        <f>IFERROR(INDEX(tblStandings[#All],ROW(E23),COLUMN(E23)),"")</f>
        <v/>
      </c>
      <c r="CA23" s="1" t="str">
        <f>IFERROR(INDEX(tblStandings[#All],ROW(F23),COLUMN(F23)),"")</f>
        <v/>
      </c>
      <c r="CB23" s="1" t="str">
        <f>IFERROR(INDEX(tblStandings[#All],ROW(G23),COLUMN(G23)),"")</f>
        <v/>
      </c>
      <c r="CC23" s="1" t="str">
        <f>IFERROR(INDEX(tblStandings[#All],ROW(H23),COLUMN(H23)),"")</f>
        <v/>
      </c>
      <c r="CD23" s="1" t="str">
        <f>IFERROR(INDEX(tblStandings[#All],ROW(I23),COLUMN(I23)),"")</f>
        <v/>
      </c>
      <c r="CE23" s="1" t="str">
        <f>IFERROR(INDEX(tblStandings[#All],ROW(J23),COLUMN(J23)),"")</f>
        <v/>
      </c>
      <c r="CF23" s="1" t="str">
        <f>IFERROR(INDEX(tblStandings[#All],ROW(K23),COLUMN(K23)),"")</f>
        <v/>
      </c>
      <c r="CG23" s="1" t="str">
        <f t="shared" si="0"/>
        <v/>
      </c>
      <c r="CH23" s="1" t="str">
        <f t="shared" si="1"/>
        <v/>
      </c>
      <c r="CI23" s="1" t="str">
        <f t="shared" si="2"/>
        <v/>
      </c>
      <c r="CJ23" s="1" t="str">
        <f t="shared" si="3"/>
        <v/>
      </c>
      <c r="CK23" s="1" t="str">
        <f t="shared" si="4"/>
        <v/>
      </c>
    </row>
    <row r="24" spans="1:89" x14ac:dyDescent="0.25">
      <c r="A24" s="1" t="s">
        <v>214</v>
      </c>
      <c r="B24" s="1" t="str">
        <f>IF(OR(B20="",B22=""),"",B20&amp;" vs "&amp;B22)</f>
        <v/>
      </c>
      <c r="H24" s="1">
        <v>1522269</v>
      </c>
      <c r="I24" s="4">
        <v>46268.5</v>
      </c>
      <c r="J24" s="1" t="s">
        <v>17</v>
      </c>
      <c r="K24" s="1" t="s">
        <v>574</v>
      </c>
      <c r="L24" s="1" t="s">
        <v>50</v>
      </c>
      <c r="M24" s="1" t="s">
        <v>4018</v>
      </c>
      <c r="N24" s="1" t="s">
        <v>578</v>
      </c>
      <c r="O24" s="1" t="s">
        <v>4019</v>
      </c>
      <c r="Q24" s="1">
        <f>IF(INDEX(Last10Away_Stats_All!$A:$A,ROW()-ROW($Q$16)+2)="","",
IFERROR(
INDEX(Last10Away_Stats_All!$A:$ZZ,ROW()-ROW($Q$16)+2,COLUMN()-COLUMN($Q$16)+1),
""))</f>
        <v>1498259</v>
      </c>
      <c r="R24" s="1" t="str">
        <f>IF(INDEX(Last10Away_Stats_All!$A:$A,ROW()-ROW($Q$16)+2)="","",
IFERROR(
INDEX(Last10Away_Stats_All!$A:$ZZ,ROW()-ROW($Q$16)+2,COLUMN()-COLUMN($Q$16)+1),
""))</f>
        <v>14/01/2026 20:00</v>
      </c>
      <c r="S24" s="1" t="str">
        <f>IF(INDEX(Last10Away_Stats_All!$A:$A,ROW()-ROW($Q$16)+2)="","",
IFERROR(
INDEX(Last10Away_Stats_All!$A:$ZZ,ROW()-ROW($Q$16)+2,COLUMN()-COLUMN($Q$16)+1),
""))</f>
        <v>England</v>
      </c>
      <c r="T24" s="1" t="str">
        <f>IF(INDEX(Last10Away_Stats_All!$A:$A,ROW()-ROW($Q$16)+2)="","",
IFERROR(
INDEX(Last10Away_Stats_All!$A:$ZZ,ROW()-ROW($Q$16)+2,COLUMN()-COLUMN($Q$16)+1),
""))</f>
        <v>League Cup</v>
      </c>
      <c r="U24" s="1" t="str">
        <f>IF(INDEX(Last10Away_Stats_All!$A:$A,ROW()-ROW($Q$16)+2)="","",
IFERROR(
INDEX(Last10Away_Stats_All!$A:$ZZ,ROW()-ROW($Q$16)+2,COLUMN()-COLUMN($Q$16)+1),
""))</f>
        <v>https://media.api-sports.io/football/teams/49.png</v>
      </c>
      <c r="V24" s="1" t="str">
        <f>IF(INDEX(Last10Away_Stats_All!$A:$A,ROW()-ROW($Q$16)+2)="","",
IFERROR(
INDEX(Last10Away_Stats_All!$A:$ZZ,ROW()-ROW($Q$16)+2,COLUMN()-COLUMN($Q$16)+1),
""))</f>
        <v>Chelsea</v>
      </c>
      <c r="W24" s="1" t="str">
        <f>IF(INDEX(Last10Away_Stats_All!$A:$A,ROW()-ROW($Q$16)+2)="","",
IFERROR(
INDEX(Last10Away_Stats_All!$A:$ZZ,ROW()-ROW($Q$16)+2,COLUMN()-COLUMN($Q$16)+1),
""))</f>
        <v>https://media.api-sports.io/football/teams/42.png</v>
      </c>
      <c r="X24" s="1" t="str">
        <f>IF(INDEX(Last10Away_Stats_All!$A:$A,ROW()-ROW($Q$16)+2)="","",
IFERROR(
INDEX(Last10Away_Stats_All!$A:$ZZ,ROW()-ROW($Q$16)+2,COLUMN()-COLUMN($Q$16)+1),
""))</f>
        <v>Arsenal</v>
      </c>
      <c r="Y24" s="1" t="str">
        <f>IF(INDEX(Last10Away_Stats_All!$A:$A,ROW()-ROW($Q$16)+2)="","",
IFERROR(
INDEX(Last10Away_Stats_All!$A:$ZZ,ROW()-ROW($Q$16)+2,COLUMN()-COLUMN($Q$16)+1),
""))</f>
        <v>https://media.api-sports.io/football/leagues/48.png</v>
      </c>
      <c r="Z24" s="1" t="str">
        <f>IF(INDEX(Last10Away_Stats_All!$A:$A,ROW()-ROW($Q$16)+2)="","",
IFERROR(
INDEX(Last10Away_Stats_All!$A:$ZZ,ROW()-ROW($Q$16)+2,COLUMN()-COLUMN($Q$16)+1),
""))</f>
        <v>https://media.api-sports.io/flags/gb-eng.svg</v>
      </c>
      <c r="AA24" s="1">
        <f>IF(INDEX(Last10Away_Stats_All!$A:$A,ROW()-ROW($Q$16)+2)="","",
IFERROR(
INDEX(Last10Away_Stats_All!$A:$ZZ,ROW()-ROW($Q$16)+2,COLUMN()-COLUMN($Q$16)+1),
""))</f>
        <v>2</v>
      </c>
      <c r="AB24" s="1">
        <f>IF(INDEX(Last10Away_Stats_All!$A:$A,ROW()-ROW($Q$16)+2)="","",
IFERROR(
INDEX(Last10Away_Stats_All!$A:$ZZ,ROW()-ROW($Q$16)+2,COLUMN()-COLUMN($Q$16)+1),
""))</f>
        <v>3</v>
      </c>
      <c r="AC24" s="1">
        <f>IF(INDEX(Last10Away_Stats_All!$A:$A,ROW()-ROW($Q$16)+2)="","",
IFERROR(
INDEX(Last10Away_Stats_All!$A:$ZZ,ROW()-ROW($Q$16)+2,COLUMN()-COLUMN($Q$16)+1),
""))</f>
        <v>0</v>
      </c>
      <c r="AD24" s="1">
        <f>IF(INDEX(Last10Away_Stats_All!$A:$A,ROW()-ROW($Q$16)+2)="","",
IFERROR(
INDEX(Last10Away_Stats_All!$A:$ZZ,ROW()-ROW($Q$16)+2,COLUMN()-COLUMN($Q$16)+1),
""))</f>
        <v>1</v>
      </c>
      <c r="AE24" s="1">
        <f>IF(INDEX(Last10Away_Stats_All!$A:$A,ROW()-ROW($Q$16)+2)="","",
IFERROR(
INDEX(Last10Away_Stats_All!$A:$ZZ,ROW()-ROW($Q$16)+2,COLUMN()-COLUMN($Q$16)+1),
""))</f>
        <v>2</v>
      </c>
      <c r="AF24" s="1">
        <f>IF(INDEX(Last10Away_Stats_All!$A:$A,ROW()-ROW($Q$16)+2)="","",
IFERROR(
INDEX(Last10Away_Stats_All!$A:$ZZ,ROW()-ROW($Q$16)+2,COLUMN()-COLUMN($Q$16)+1),
""))</f>
        <v>3</v>
      </c>
      <c r="AG24" s="1">
        <f>IF(INDEX(Last10Away_Stats_All!$A:$A,ROW()-ROW($Q$16)+2)="","",
IFERROR(
INDEX(Last10Away_Stats_All!$A:$ZZ,ROW()-ROW($Q$16)+2,COLUMN()-COLUMN($Q$16)+1),
""))</f>
        <v>5</v>
      </c>
      <c r="AH24" s="1">
        <f>IF(INDEX(Last10Away_Stats_All!$A:$A,ROW()-ROW($Q$16)+2)="","",
IFERROR(
INDEX(Last10Away_Stats_All!$A:$ZZ,ROW()-ROW($Q$16)+2,COLUMN()-COLUMN($Q$16)+1),
""))</f>
        <v>6</v>
      </c>
      <c r="AI24" s="1">
        <f>IF(INDEX(Last10Away_Stats_All!$A:$A,ROW()-ROW($Q$16)+2)="","",
IFERROR(
INDEX(Last10Away_Stats_All!$A:$ZZ,ROW()-ROW($Q$16)+2,COLUMN()-COLUMN($Q$16)+1),
""))</f>
        <v>1</v>
      </c>
      <c r="AJ24" s="1">
        <f>IF(INDEX(Last10Away_Stats_All!$A:$A,ROW()-ROW($Q$16)+2)="","",
IFERROR(
INDEX(Last10Away_Stats_All!$A:$ZZ,ROW()-ROW($Q$16)+2,COLUMN()-COLUMN($Q$16)+1),
""))</f>
        <v>6</v>
      </c>
      <c r="AK24" s="1">
        <f>IF(INDEX(Last10Away_Stats_All!$A:$A,ROW()-ROW($Q$16)+2)="","",
IFERROR(
INDEX(Last10Away_Stats_All!$A:$ZZ,ROW()-ROW($Q$16)+2,COLUMN()-COLUMN($Q$16)+1),
""))</f>
        <v>10</v>
      </c>
      <c r="AL24" s="1">
        <f>IF(INDEX(Last10Away_Stats_All!$A:$A,ROW()-ROW($Q$16)+2)="","",
IFERROR(
INDEX(Last10Away_Stats_All!$A:$ZZ,ROW()-ROW($Q$16)+2,COLUMN()-COLUMN($Q$16)+1),
""))</f>
        <v>17</v>
      </c>
      <c r="AM24" s="1">
        <f>IF(INDEX(Last10Away_Stats_All!$A:$A,ROW()-ROW($Q$16)+2)="","",
IFERROR(
INDEX(Last10Away_Stats_All!$A:$ZZ,ROW()-ROW($Q$16)+2,COLUMN()-COLUMN($Q$16)+1),
""))</f>
        <v>4</v>
      </c>
      <c r="AN24" s="1">
        <f>IF(INDEX(Last10Away_Stats_All!$A:$A,ROW()-ROW($Q$16)+2)="","",
IFERROR(
INDEX(Last10Away_Stats_All!$A:$ZZ,ROW()-ROW($Q$16)+2,COLUMN()-COLUMN($Q$16)+1),
""))</f>
        <v>5</v>
      </c>
      <c r="AO24" s="1">
        <f>IF(INDEX(Last10Away_Stats_All!$A:$A,ROW()-ROW($Q$16)+2)="","",
IFERROR(
INDEX(Last10Away_Stats_All!$A:$ZZ,ROW()-ROW($Q$16)+2,COLUMN()-COLUMN($Q$16)+1),
""))</f>
        <v>7</v>
      </c>
      <c r="AP24" s="1">
        <f>IF(INDEX(Last10Away_Stats_All!$A:$A,ROW()-ROW($Q$16)+2)="","",
IFERROR(
INDEX(Last10Away_Stats_All!$A:$ZZ,ROW()-ROW($Q$16)+2,COLUMN()-COLUMN($Q$16)+1),
""))</f>
        <v>12</v>
      </c>
      <c r="AQ24" s="1">
        <f>IF(INDEX(Last10Away_Stats_All!$A:$A,ROW()-ROW($Q$16)+2)="","",
IFERROR(
INDEX(Last10Away_Stats_All!$A:$ZZ,ROW()-ROW($Q$16)+2,COLUMN()-COLUMN($Q$16)+1),
""))</f>
        <v>3</v>
      </c>
      <c r="AR24" s="1">
        <f>IF(INDEX(Last10Away_Stats_All!$A:$A,ROW()-ROW($Q$16)+2)="","",
IFERROR(
INDEX(Last10Away_Stats_All!$A:$ZZ,ROW()-ROW($Q$16)+2,COLUMN()-COLUMN($Q$16)+1),
""))</f>
        <v>5</v>
      </c>
      <c r="AS24" s="1">
        <f>IF(INDEX(Last10Away_Stats_All!$A:$A,ROW()-ROW($Q$16)+2)="","",
IFERROR(
INDEX(Last10Away_Stats_All!$A:$ZZ,ROW()-ROW($Q$16)+2,COLUMN()-COLUMN($Q$16)+1),
""))</f>
        <v>12</v>
      </c>
      <c r="AT24" s="1">
        <f>IF(INDEX(Last10Away_Stats_All!$A:$A,ROW()-ROW($Q$16)+2)="","",
IFERROR(
INDEX(Last10Away_Stats_All!$A:$ZZ,ROW()-ROW($Q$16)+2,COLUMN()-COLUMN($Q$16)+1),
""))</f>
        <v>14</v>
      </c>
      <c r="AU24" s="1">
        <f>IF(INDEX(Last10Away_Stats_All!$A:$A,ROW()-ROW($Q$16)+2)="","",
IFERROR(
INDEX(Last10Away_Stats_All!$A:$ZZ,ROW()-ROW($Q$16)+2,COLUMN()-COLUMN($Q$16)+1),
""))</f>
        <v>6</v>
      </c>
      <c r="AV24" s="1">
        <f>IF(INDEX(Last10Away_Stats_All!$A:$A,ROW()-ROW($Q$16)+2)="","",
IFERROR(
INDEX(Last10Away_Stats_All!$A:$ZZ,ROW()-ROW($Q$16)+2,COLUMN()-COLUMN($Q$16)+1),
""))</f>
        <v>9</v>
      </c>
      <c r="AW24" s="1">
        <f>IF(INDEX(Last10Away_Stats_All!$A:$A,ROW()-ROW($Q$16)+2)="","",
IFERROR(
INDEX(Last10Away_Stats_All!$A:$ZZ,ROW()-ROW($Q$16)+2,COLUMN()-COLUMN($Q$16)+1),
""))</f>
        <v>4</v>
      </c>
      <c r="AX24" s="1">
        <f>IF(INDEX(Last10Away_Stats_All!$A:$A,ROW()-ROW($Q$16)+2)="","",
IFERROR(
INDEX(Last10Away_Stats_All!$A:$ZZ,ROW()-ROW($Q$16)+2,COLUMN()-COLUMN($Q$16)+1),
""))</f>
        <v>2</v>
      </c>
      <c r="AY24" s="1">
        <f>IF(INDEX(Last10Away_Stats_All!$A:$A,ROW()-ROW($Q$16)+2)="","",
IFERROR(
INDEX(Last10Away_Stats_All!$A:$ZZ,ROW()-ROW($Q$16)+2,COLUMN()-COLUMN($Q$16)+1),
""))</f>
        <v>58</v>
      </c>
      <c r="AZ24" s="1">
        <f>IF(INDEX(Last10Away_Stats_All!$A:$A,ROW()-ROW($Q$16)+2)="","",
IFERROR(
INDEX(Last10Away_Stats_All!$A:$ZZ,ROW()-ROW($Q$16)+2,COLUMN()-COLUMN($Q$16)+1),
""))</f>
        <v>42</v>
      </c>
      <c r="BA24" s="1">
        <f>IF(INDEX(Last10Away_Stats_All!$A:$A,ROW()-ROW($Q$16)+2)="","",
IFERROR(
INDEX(Last10Away_Stats_All!$A:$ZZ,ROW()-ROW($Q$16)+2,COLUMN()-COLUMN($Q$16)+1),
""))</f>
        <v>4</v>
      </c>
      <c r="BB24" s="1">
        <f>IF(INDEX(Last10Away_Stats_All!$A:$A,ROW()-ROW($Q$16)+2)="","",
IFERROR(
INDEX(Last10Away_Stats_All!$A:$ZZ,ROW()-ROW($Q$16)+2,COLUMN()-COLUMN($Q$16)+1),
""))</f>
        <v>4</v>
      </c>
      <c r="BC24" s="1">
        <f>IF(INDEX(Last10Away_Stats_All!$A:$A,ROW()-ROW($Q$16)+2)="","",
IFERROR(
INDEX(Last10Away_Stats_All!$A:$ZZ,ROW()-ROW($Q$16)+2,COLUMN()-COLUMN($Q$16)+1),
""))</f>
        <v>0</v>
      </c>
      <c r="BD24" s="1">
        <f>IF(INDEX(Last10Away_Stats_All!$A:$A,ROW()-ROW($Q$16)+2)="","",
IFERROR(
INDEX(Last10Away_Stats_All!$A:$ZZ,ROW()-ROW($Q$16)+2,COLUMN()-COLUMN($Q$16)+1),
""))</f>
        <v>0</v>
      </c>
      <c r="BE24" s="1">
        <f>IF(INDEX(Last10Away_Stats_All!$A:$A,ROW()-ROW($Q$16)+2)="","",
IFERROR(
INDEX(Last10Away_Stats_All!$A:$ZZ,ROW()-ROW($Q$16)+2,COLUMN()-COLUMN($Q$16)+1),
""))</f>
        <v>3</v>
      </c>
      <c r="BF24" s="1">
        <f>IF(INDEX(Last10Away_Stats_All!$A:$A,ROW()-ROW($Q$16)+2)="","",
IFERROR(
INDEX(Last10Away_Stats_All!$A:$ZZ,ROW()-ROW($Q$16)+2,COLUMN()-COLUMN($Q$16)+1),
""))</f>
        <v>3</v>
      </c>
      <c r="BG24" s="1">
        <f>IF(INDEX(Last10Away_Stats_All!$A:$A,ROW()-ROW($Q$16)+2)="","",
IFERROR(
INDEX(Last10Away_Stats_All!$A:$ZZ,ROW()-ROW($Q$16)+2,COLUMN()-COLUMN($Q$16)+1),
""))</f>
        <v>495</v>
      </c>
      <c r="BH24" s="1">
        <f>IF(INDEX(Last10Away_Stats_All!$A:$A,ROW()-ROW($Q$16)+2)="","",
IFERROR(
INDEX(Last10Away_Stats_All!$A:$ZZ,ROW()-ROW($Q$16)+2,COLUMN()-COLUMN($Q$16)+1),
""))</f>
        <v>356</v>
      </c>
      <c r="BI24" s="1">
        <f>IF(INDEX(Last10Away_Stats_All!$A:$A,ROW()-ROW($Q$16)+2)="","",
IFERROR(
INDEX(Last10Away_Stats_All!$A:$ZZ,ROW()-ROW($Q$16)+2,COLUMN()-COLUMN($Q$16)+1),
""))</f>
        <v>421</v>
      </c>
      <c r="BJ24" s="1">
        <f>IF(INDEX(Last10Away_Stats_All!$A:$A,ROW()-ROW($Q$16)+2)="","",
IFERROR(
INDEX(Last10Away_Stats_All!$A:$ZZ,ROW()-ROW($Q$16)+2,COLUMN()-COLUMN($Q$16)+1),
""))</f>
        <v>295</v>
      </c>
      <c r="BK24" s="1">
        <f>IF(INDEX(Last10Away_Stats_All!$A:$A,ROW()-ROW($Q$16)+2)="","",
IFERROR(
INDEX(Last10Away_Stats_All!$A:$ZZ,ROW()-ROW($Q$16)+2,COLUMN()-COLUMN($Q$16)+1),
""))</f>
        <v>85</v>
      </c>
      <c r="BL24" s="1">
        <f>IF(INDEX(Last10Away_Stats_All!$A:$A,ROW()-ROW($Q$16)+2)="","",
IFERROR(
INDEX(Last10Away_Stats_All!$A:$ZZ,ROW()-ROW($Q$16)+2,COLUMN()-COLUMN($Q$16)+1),
""))</f>
        <v>83</v>
      </c>
      <c r="BM24" s="1">
        <f>IF(INDEX(Last10Away_Stats_All!$A:$A,ROW()-ROW($Q$16)+2)="","",
IFERROR(
INDEX(Last10Away_Stats_All!$A:$ZZ,ROW()-ROW($Q$16)+2,COLUMN()-COLUMN($Q$16)+1),
""))</f>
        <v>0</v>
      </c>
      <c r="BN24" s="1">
        <f>IF(INDEX(Last10Away_Stats_All!$A:$A,ROW()-ROW($Q$16)+2)="","",
IFERROR(
INDEX(Last10Away_Stats_All!$A:$ZZ,ROW()-ROW($Q$16)+2,COLUMN()-COLUMN($Q$16)+1),
""))</f>
        <v>0</v>
      </c>
      <c r="BO24" s="1">
        <f>IF(INDEX(Last10Away_Stats_All!$A:$A,ROW()-ROW($Q$16)+2)="","",
IFERROR(
INDEX(Last10Away_Stats_All!$A:$ZZ,ROW()-ROW($Q$16)+2,COLUMN()-COLUMN($Q$16)+1),
""))</f>
        <v>0</v>
      </c>
      <c r="BP24" s="1">
        <f>IF(INDEX(Last10Away_Stats_All!$A:$A,ROW()-ROW($Q$16)+2)="","",
IFERROR(
INDEX(Last10Away_Stats_All!$A:$ZZ,ROW()-ROW($Q$16)+2,COLUMN()-COLUMN($Q$16)+1),
""))</f>
        <v>0</v>
      </c>
      <c r="BR24" s="1" t="str">
        <f>IF(OR(Control!AC24="",Control!AD24=""),"",Control!AC24&amp;" : "&amp;Control!AD24)</f>
        <v>0 : 1</v>
      </c>
      <c r="BS24" s="1" t="str">
        <f>IF(OR(Control!AE24="",Control!AF24=""),"",Control!AE24&amp;" : "&amp;Control!AF24)</f>
        <v>2 : 3</v>
      </c>
      <c r="BT24" s="1" t="str">
        <f>IF(OR(Control!AU24="",Control!AV24=""),"",Control!AU24&amp;" : "&amp;Control!AV24)</f>
        <v>6 : 9</v>
      </c>
      <c r="BV24" s="1" t="str">
        <f>IFERROR(INDEX(tblStandings[#All],ROW(A24),COLUMN(A24)),"")</f>
        <v/>
      </c>
      <c r="BW24" s="1" t="str">
        <f>IFERROR(INDEX(tblStandings[#All],ROW(B24),COLUMN(B24)),"")</f>
        <v/>
      </c>
      <c r="BX24" s="1" t="str">
        <f>IFERROR(INDEX(tblStandings[#All],ROW(C24),COLUMN(C24)),"")</f>
        <v/>
      </c>
      <c r="BY24" s="1" t="str">
        <f>IFERROR(INDEX(tblStandings[#All],ROW(D24),COLUMN(D24)),"")</f>
        <v/>
      </c>
      <c r="BZ24" s="1" t="str">
        <f>IFERROR(INDEX(tblStandings[#All],ROW(E24),COLUMN(E24)),"")</f>
        <v/>
      </c>
      <c r="CA24" s="1" t="str">
        <f>IFERROR(INDEX(tblStandings[#All],ROW(F24),COLUMN(F24)),"")</f>
        <v/>
      </c>
      <c r="CB24" s="1" t="str">
        <f>IFERROR(INDEX(tblStandings[#All],ROW(G24),COLUMN(G24)),"")</f>
        <v/>
      </c>
      <c r="CC24" s="1" t="str">
        <f>IFERROR(INDEX(tblStandings[#All],ROW(H24),COLUMN(H24)),"")</f>
        <v/>
      </c>
      <c r="CD24" s="1" t="str">
        <f>IFERROR(INDEX(tblStandings[#All],ROW(I24),COLUMN(I24)),"")</f>
        <v/>
      </c>
      <c r="CE24" s="1" t="str">
        <f>IFERROR(INDEX(tblStandings[#All],ROW(J24),COLUMN(J24)),"")</f>
        <v/>
      </c>
      <c r="CF24" s="1" t="str">
        <f>IFERROR(INDEX(tblStandings[#All],ROW(K24),COLUMN(K24)),"")</f>
        <v/>
      </c>
      <c r="CG24" s="1" t="str">
        <f t="shared" si="0"/>
        <v/>
      </c>
      <c r="CH24" s="1" t="str">
        <f t="shared" si="1"/>
        <v/>
      </c>
      <c r="CI24" s="1" t="str">
        <f t="shared" si="2"/>
        <v/>
      </c>
      <c r="CJ24" s="1" t="str">
        <f t="shared" si="3"/>
        <v/>
      </c>
      <c r="CK24" s="1" t="str">
        <f t="shared" si="4"/>
        <v/>
      </c>
    </row>
    <row r="25" spans="1:89" x14ac:dyDescent="0.25">
      <c r="H25" s="1">
        <v>1522270</v>
      </c>
      <c r="I25" s="4">
        <v>46268.5</v>
      </c>
      <c r="J25" s="1" t="s">
        <v>17</v>
      </c>
      <c r="K25" s="1" t="s">
        <v>574</v>
      </c>
      <c r="L25" s="1" t="s">
        <v>50</v>
      </c>
      <c r="M25" s="1" t="s">
        <v>597</v>
      </c>
      <c r="N25" s="1" t="s">
        <v>4020</v>
      </c>
      <c r="O25" s="1" t="s">
        <v>4021</v>
      </c>
      <c r="Q25" s="1">
        <f>IF(INDEX(Last10Away_Stats_All!$A:$A,ROW()-ROW($Q$16)+2)="","",
IFERROR(
INDEX(Last10Away_Stats_All!$A:$ZZ,ROW()-ROW($Q$16)+2,COLUMN()-COLUMN($Q$16)+1),
""))</f>
        <v>1490810</v>
      </c>
      <c r="R25" s="1" t="str">
        <f>IF(INDEX(Last10Away_Stats_All!$A:$A,ROW()-ROW($Q$16)+2)="","",
IFERROR(
INDEX(Last10Away_Stats_All!$A:$ZZ,ROW()-ROW($Q$16)+2,COLUMN()-COLUMN($Q$16)+1),
""))</f>
        <v>11/01/2026 14:00</v>
      </c>
      <c r="S25" s="1" t="str">
        <f>IF(INDEX(Last10Away_Stats_All!$A:$A,ROW()-ROW($Q$16)+2)="","",
IFERROR(
INDEX(Last10Away_Stats_All!$A:$ZZ,ROW()-ROW($Q$16)+2,COLUMN()-COLUMN($Q$16)+1),
""))</f>
        <v>England</v>
      </c>
      <c r="T25" s="1" t="str">
        <f>IF(INDEX(Last10Away_Stats_All!$A:$A,ROW()-ROW($Q$16)+2)="","",
IFERROR(
INDEX(Last10Away_Stats_All!$A:$ZZ,ROW()-ROW($Q$16)+2,COLUMN()-COLUMN($Q$16)+1),
""))</f>
        <v>FA Cup</v>
      </c>
      <c r="U25" s="1" t="str">
        <f>IF(INDEX(Last10Away_Stats_All!$A:$A,ROW()-ROW($Q$16)+2)="","",
IFERROR(
INDEX(Last10Away_Stats_All!$A:$ZZ,ROW()-ROW($Q$16)+2,COLUMN()-COLUMN($Q$16)+1),
""))</f>
        <v>https://media.api-sports.io/football/teams/1355.png</v>
      </c>
      <c r="V25" s="1" t="str">
        <f>IF(INDEX(Last10Away_Stats_All!$A:$A,ROW()-ROW($Q$16)+2)="","",
IFERROR(
INDEX(Last10Away_Stats_All!$A:$ZZ,ROW()-ROW($Q$16)+2,COLUMN()-COLUMN($Q$16)+1),
""))</f>
        <v>Portsmouth</v>
      </c>
      <c r="W25" s="1" t="str">
        <f>IF(INDEX(Last10Away_Stats_All!$A:$A,ROW()-ROW($Q$16)+2)="","",
IFERROR(
INDEX(Last10Away_Stats_All!$A:$ZZ,ROW()-ROW($Q$16)+2,COLUMN()-COLUMN($Q$16)+1),
""))</f>
        <v>https://media.api-sports.io/football/teams/42.png</v>
      </c>
      <c r="X25" s="1" t="str">
        <f>IF(INDEX(Last10Away_Stats_All!$A:$A,ROW()-ROW($Q$16)+2)="","",
IFERROR(
INDEX(Last10Away_Stats_All!$A:$ZZ,ROW()-ROW($Q$16)+2,COLUMN()-COLUMN($Q$16)+1),
""))</f>
        <v>Arsenal</v>
      </c>
      <c r="Y25" s="1" t="str">
        <f>IF(INDEX(Last10Away_Stats_All!$A:$A,ROW()-ROW($Q$16)+2)="","",
IFERROR(
INDEX(Last10Away_Stats_All!$A:$ZZ,ROW()-ROW($Q$16)+2,COLUMN()-COLUMN($Q$16)+1),
""))</f>
        <v>https://media.api-sports.io/football/leagues/45.png</v>
      </c>
      <c r="Z25" s="1" t="str">
        <f>IF(INDEX(Last10Away_Stats_All!$A:$A,ROW()-ROW($Q$16)+2)="","",
IFERROR(
INDEX(Last10Away_Stats_All!$A:$ZZ,ROW()-ROW($Q$16)+2,COLUMN()-COLUMN($Q$16)+1),
""))</f>
        <v>https://media.api-sports.io/flags/gb-eng.svg</v>
      </c>
      <c r="AA25" s="1">
        <f>IF(INDEX(Last10Away_Stats_All!$A:$A,ROW()-ROW($Q$16)+2)="","",
IFERROR(
INDEX(Last10Away_Stats_All!$A:$ZZ,ROW()-ROW($Q$16)+2,COLUMN()-COLUMN($Q$16)+1),
""))</f>
        <v>1</v>
      </c>
      <c r="AB25" s="1">
        <f>IF(INDEX(Last10Away_Stats_All!$A:$A,ROW()-ROW($Q$16)+2)="","",
IFERROR(
INDEX(Last10Away_Stats_All!$A:$ZZ,ROW()-ROW($Q$16)+2,COLUMN()-COLUMN($Q$16)+1),
""))</f>
        <v>4</v>
      </c>
      <c r="AC25" s="1">
        <f>IF(INDEX(Last10Away_Stats_All!$A:$A,ROW()-ROW($Q$16)+2)="","",
IFERROR(
INDEX(Last10Away_Stats_All!$A:$ZZ,ROW()-ROW($Q$16)+2,COLUMN()-COLUMN($Q$16)+1),
""))</f>
        <v>1</v>
      </c>
      <c r="AD25" s="1">
        <f>IF(INDEX(Last10Away_Stats_All!$A:$A,ROW()-ROW($Q$16)+2)="","",
IFERROR(
INDEX(Last10Away_Stats_All!$A:$ZZ,ROW()-ROW($Q$16)+2,COLUMN()-COLUMN($Q$16)+1),
""))</f>
        <v>2</v>
      </c>
      <c r="AE25" s="1">
        <f>IF(INDEX(Last10Away_Stats_All!$A:$A,ROW()-ROW($Q$16)+2)="","",
IFERROR(
INDEX(Last10Away_Stats_All!$A:$ZZ,ROW()-ROW($Q$16)+2,COLUMN()-COLUMN($Q$16)+1),
""))</f>
        <v>1</v>
      </c>
      <c r="AF25" s="1">
        <f>IF(INDEX(Last10Away_Stats_All!$A:$A,ROW()-ROW($Q$16)+2)="","",
IFERROR(
INDEX(Last10Away_Stats_All!$A:$ZZ,ROW()-ROW($Q$16)+2,COLUMN()-COLUMN($Q$16)+1),
""))</f>
        <v>4</v>
      </c>
      <c r="AG25" s="1">
        <f>IF(INDEX(Last10Away_Stats_All!$A:$A,ROW()-ROW($Q$16)+2)="","",
IFERROR(
INDEX(Last10Away_Stats_All!$A:$ZZ,ROW()-ROW($Q$16)+2,COLUMN()-COLUMN($Q$16)+1),
""))</f>
        <v>5</v>
      </c>
      <c r="AH25" s="1">
        <f>IF(INDEX(Last10Away_Stats_All!$A:$A,ROW()-ROW($Q$16)+2)="","",
IFERROR(
INDEX(Last10Away_Stats_All!$A:$ZZ,ROW()-ROW($Q$16)+2,COLUMN()-COLUMN($Q$16)+1),
""))</f>
        <v>4</v>
      </c>
      <c r="AI25" s="1">
        <f>IF(INDEX(Last10Away_Stats_All!$A:$A,ROW()-ROW($Q$16)+2)="","",
IFERROR(
INDEX(Last10Away_Stats_All!$A:$ZZ,ROW()-ROW($Q$16)+2,COLUMN()-COLUMN($Q$16)+1),
""))</f>
        <v>3</v>
      </c>
      <c r="AJ25" s="1">
        <f>IF(INDEX(Last10Away_Stats_All!$A:$A,ROW()-ROW($Q$16)+2)="","",
IFERROR(
INDEX(Last10Away_Stats_All!$A:$ZZ,ROW()-ROW($Q$16)+2,COLUMN()-COLUMN($Q$16)+1),
""))</f>
        <v>5</v>
      </c>
      <c r="AK25" s="1">
        <f>IF(INDEX(Last10Away_Stats_All!$A:$A,ROW()-ROW($Q$16)+2)="","",
IFERROR(
INDEX(Last10Away_Stats_All!$A:$ZZ,ROW()-ROW($Q$16)+2,COLUMN()-COLUMN($Q$16)+1),
""))</f>
        <v>13</v>
      </c>
      <c r="AL25" s="1">
        <f>IF(INDEX(Last10Away_Stats_All!$A:$A,ROW()-ROW($Q$16)+2)="","",
IFERROR(
INDEX(Last10Away_Stats_All!$A:$ZZ,ROW()-ROW($Q$16)+2,COLUMN()-COLUMN($Q$16)+1),
""))</f>
        <v>15</v>
      </c>
      <c r="AM25" s="1">
        <f>IF(INDEX(Last10Away_Stats_All!$A:$A,ROW()-ROW($Q$16)+2)="","",
IFERROR(
INDEX(Last10Away_Stats_All!$A:$ZZ,ROW()-ROW($Q$16)+2,COLUMN()-COLUMN($Q$16)+1),
""))</f>
        <v>5</v>
      </c>
      <c r="AN25" s="1">
        <f>IF(INDEX(Last10Away_Stats_All!$A:$A,ROW()-ROW($Q$16)+2)="","",
IFERROR(
INDEX(Last10Away_Stats_All!$A:$ZZ,ROW()-ROW($Q$16)+2,COLUMN()-COLUMN($Q$16)+1),
""))</f>
        <v>6</v>
      </c>
      <c r="AO25" s="1">
        <f>IF(INDEX(Last10Away_Stats_All!$A:$A,ROW()-ROW($Q$16)+2)="","",
IFERROR(
INDEX(Last10Away_Stats_All!$A:$ZZ,ROW()-ROW($Q$16)+2,COLUMN()-COLUMN($Q$16)+1),
""))</f>
        <v>8</v>
      </c>
      <c r="AP25" s="1">
        <f>IF(INDEX(Last10Away_Stats_All!$A:$A,ROW()-ROW($Q$16)+2)="","",
IFERROR(
INDEX(Last10Away_Stats_All!$A:$ZZ,ROW()-ROW($Q$16)+2,COLUMN()-COLUMN($Q$16)+1),
""))</f>
        <v>12</v>
      </c>
      <c r="AQ25" s="1">
        <f>IF(INDEX(Last10Away_Stats_All!$A:$A,ROW()-ROW($Q$16)+2)="","",
IFERROR(
INDEX(Last10Away_Stats_All!$A:$ZZ,ROW()-ROW($Q$16)+2,COLUMN()-COLUMN($Q$16)+1),
""))</f>
        <v>5</v>
      </c>
      <c r="AR25" s="1">
        <f>IF(INDEX(Last10Away_Stats_All!$A:$A,ROW()-ROW($Q$16)+2)="","",
IFERROR(
INDEX(Last10Away_Stats_All!$A:$ZZ,ROW()-ROW($Q$16)+2,COLUMN()-COLUMN($Q$16)+1),
""))</f>
        <v>3</v>
      </c>
      <c r="AS25" s="1">
        <f>IF(INDEX(Last10Away_Stats_All!$A:$A,ROW()-ROW($Q$16)+2)="","",
IFERROR(
INDEX(Last10Away_Stats_All!$A:$ZZ,ROW()-ROW($Q$16)+2,COLUMN()-COLUMN($Q$16)+1),
""))</f>
        <v>16</v>
      </c>
      <c r="AT25" s="1">
        <f>IF(INDEX(Last10Away_Stats_All!$A:$A,ROW()-ROW($Q$16)+2)="","",
IFERROR(
INDEX(Last10Away_Stats_All!$A:$ZZ,ROW()-ROW($Q$16)+2,COLUMN()-COLUMN($Q$16)+1),
""))</f>
        <v>9</v>
      </c>
      <c r="AU25" s="1">
        <f>IF(INDEX(Last10Away_Stats_All!$A:$A,ROW()-ROW($Q$16)+2)="","",
IFERROR(
INDEX(Last10Away_Stats_All!$A:$ZZ,ROW()-ROW($Q$16)+2,COLUMN()-COLUMN($Q$16)+1),
""))</f>
        <v>6</v>
      </c>
      <c r="AV25" s="1">
        <f>IF(INDEX(Last10Away_Stats_All!$A:$A,ROW()-ROW($Q$16)+2)="","",
IFERROR(
INDEX(Last10Away_Stats_All!$A:$ZZ,ROW()-ROW($Q$16)+2,COLUMN()-COLUMN($Q$16)+1),
""))</f>
        <v>8</v>
      </c>
      <c r="AW25" s="1">
        <f>IF(INDEX(Last10Away_Stats_All!$A:$A,ROW()-ROW($Q$16)+2)="","",
IFERROR(
INDEX(Last10Away_Stats_All!$A:$ZZ,ROW()-ROW($Q$16)+2,COLUMN()-COLUMN($Q$16)+1),
""))</f>
        <v>1</v>
      </c>
      <c r="AX25" s="1">
        <f>IF(INDEX(Last10Away_Stats_All!$A:$A,ROW()-ROW($Q$16)+2)="","",
IFERROR(
INDEX(Last10Away_Stats_All!$A:$ZZ,ROW()-ROW($Q$16)+2,COLUMN()-COLUMN($Q$16)+1),
""))</f>
        <v>5</v>
      </c>
      <c r="AY25" s="1">
        <f>IF(INDEX(Last10Away_Stats_All!$A:$A,ROW()-ROW($Q$16)+2)="","",
IFERROR(
INDEX(Last10Away_Stats_All!$A:$ZZ,ROW()-ROW($Q$16)+2,COLUMN()-COLUMN($Q$16)+1),
""))</f>
        <v>39</v>
      </c>
      <c r="AZ25" s="1">
        <f>IF(INDEX(Last10Away_Stats_All!$A:$A,ROW()-ROW($Q$16)+2)="","",
IFERROR(
INDEX(Last10Away_Stats_All!$A:$ZZ,ROW()-ROW($Q$16)+2,COLUMN()-COLUMN($Q$16)+1),
""))</f>
        <v>61</v>
      </c>
      <c r="BA25" s="1">
        <f>IF(INDEX(Last10Away_Stats_All!$A:$A,ROW()-ROW($Q$16)+2)="","",
IFERROR(
INDEX(Last10Away_Stats_All!$A:$ZZ,ROW()-ROW($Q$16)+2,COLUMN()-COLUMN($Q$16)+1),
""))</f>
        <v>1</v>
      </c>
      <c r="BB25" s="1">
        <f>IF(INDEX(Last10Away_Stats_All!$A:$A,ROW()-ROW($Q$16)+2)="","",
IFERROR(
INDEX(Last10Away_Stats_All!$A:$ZZ,ROW()-ROW($Q$16)+2,COLUMN()-COLUMN($Q$16)+1),
""))</f>
        <v>2</v>
      </c>
      <c r="BC25" s="1">
        <f>IF(INDEX(Last10Away_Stats_All!$A:$A,ROW()-ROW($Q$16)+2)="","",
IFERROR(
INDEX(Last10Away_Stats_All!$A:$ZZ,ROW()-ROW($Q$16)+2,COLUMN()-COLUMN($Q$16)+1),
""))</f>
        <v>0</v>
      </c>
      <c r="BD25" s="1">
        <f>IF(INDEX(Last10Away_Stats_All!$A:$A,ROW()-ROW($Q$16)+2)="","",
IFERROR(
INDEX(Last10Away_Stats_All!$A:$ZZ,ROW()-ROW($Q$16)+2,COLUMN()-COLUMN($Q$16)+1),
""))</f>
        <v>0</v>
      </c>
      <c r="BE25" s="1">
        <f>IF(INDEX(Last10Away_Stats_All!$A:$A,ROW()-ROW($Q$16)+2)="","",
IFERROR(
INDEX(Last10Away_Stats_All!$A:$ZZ,ROW()-ROW($Q$16)+2,COLUMN()-COLUMN($Q$16)+1),
""))</f>
        <v>1</v>
      </c>
      <c r="BF25" s="1">
        <f>IF(INDEX(Last10Away_Stats_All!$A:$A,ROW()-ROW($Q$16)+2)="","",
IFERROR(
INDEX(Last10Away_Stats_All!$A:$ZZ,ROW()-ROW($Q$16)+2,COLUMN()-COLUMN($Q$16)+1),
""))</f>
        <v>4</v>
      </c>
      <c r="BG25" s="1">
        <f>IF(INDEX(Last10Away_Stats_All!$A:$A,ROW()-ROW($Q$16)+2)="","",
IFERROR(
INDEX(Last10Away_Stats_All!$A:$ZZ,ROW()-ROW($Q$16)+2,COLUMN()-COLUMN($Q$16)+1),
""))</f>
        <v>273</v>
      </c>
      <c r="BH25" s="1">
        <f>IF(INDEX(Last10Away_Stats_All!$A:$A,ROW()-ROW($Q$16)+2)="","",
IFERROR(
INDEX(Last10Away_Stats_All!$A:$ZZ,ROW()-ROW($Q$16)+2,COLUMN()-COLUMN($Q$16)+1),
""))</f>
        <v>442</v>
      </c>
      <c r="BI25" s="1">
        <f>IF(INDEX(Last10Away_Stats_All!$A:$A,ROW()-ROW($Q$16)+2)="","",
IFERROR(
INDEX(Last10Away_Stats_All!$A:$ZZ,ROW()-ROW($Q$16)+2,COLUMN()-COLUMN($Q$16)+1),
""))</f>
        <v>196</v>
      </c>
      <c r="BJ25" s="1">
        <f>IF(INDEX(Last10Away_Stats_All!$A:$A,ROW()-ROW($Q$16)+2)="","",
IFERROR(
INDEX(Last10Away_Stats_All!$A:$ZZ,ROW()-ROW($Q$16)+2,COLUMN()-COLUMN($Q$16)+1),
""))</f>
        <v>372</v>
      </c>
      <c r="BK25" s="1">
        <f>IF(INDEX(Last10Away_Stats_All!$A:$A,ROW()-ROW($Q$16)+2)="","",
IFERROR(
INDEX(Last10Away_Stats_All!$A:$ZZ,ROW()-ROW($Q$16)+2,COLUMN()-COLUMN($Q$16)+1),
""))</f>
        <v>72</v>
      </c>
      <c r="BL25" s="1">
        <f>IF(INDEX(Last10Away_Stats_All!$A:$A,ROW()-ROW($Q$16)+2)="","",
IFERROR(
INDEX(Last10Away_Stats_All!$A:$ZZ,ROW()-ROW($Q$16)+2,COLUMN()-COLUMN($Q$16)+1),
""))</f>
        <v>84</v>
      </c>
      <c r="BM25" s="1">
        <f>IF(INDEX(Last10Away_Stats_All!$A:$A,ROW()-ROW($Q$16)+2)="","",
IFERROR(
INDEX(Last10Away_Stats_All!$A:$ZZ,ROW()-ROW($Q$16)+2,COLUMN()-COLUMN($Q$16)+1),
""))</f>
        <v>1.65</v>
      </c>
      <c r="BN25" s="1">
        <f>IF(INDEX(Last10Away_Stats_All!$A:$A,ROW()-ROW($Q$16)+2)="","",
IFERROR(
INDEX(Last10Away_Stats_All!$A:$ZZ,ROW()-ROW($Q$16)+2,COLUMN()-COLUMN($Q$16)+1),
""))</f>
        <v>2.96</v>
      </c>
      <c r="BO25" s="1">
        <f>IF(INDEX(Last10Away_Stats_All!$A:$A,ROW()-ROW($Q$16)+2)="","",
IFERROR(
INDEX(Last10Away_Stats_All!$A:$ZZ,ROW()-ROW($Q$16)+2,COLUMN()-COLUMN($Q$16)+1),
""))</f>
        <v>0</v>
      </c>
      <c r="BP25" s="1">
        <f>IF(INDEX(Last10Away_Stats_All!$A:$A,ROW()-ROW($Q$16)+2)="","",
IFERROR(
INDEX(Last10Away_Stats_All!$A:$ZZ,ROW()-ROW($Q$16)+2,COLUMN()-COLUMN($Q$16)+1),
""))</f>
        <v>0</v>
      </c>
      <c r="BR25" s="1" t="str">
        <f>IF(OR(Control!AC25="",Control!AD25=""),"",Control!AC25&amp;" : "&amp;Control!AD25)</f>
        <v>1 : 2</v>
      </c>
      <c r="BS25" s="1" t="str">
        <f>IF(OR(Control!AE25="",Control!AF25=""),"",Control!AE25&amp;" : "&amp;Control!AF25)</f>
        <v>1 : 4</v>
      </c>
      <c r="BT25" s="1" t="str">
        <f>IF(OR(Control!AU25="",Control!AV25=""),"",Control!AU25&amp;" : "&amp;Control!AV25)</f>
        <v>6 : 8</v>
      </c>
      <c r="BV25" s="1" t="str">
        <f>IFERROR(INDEX(tblStandings[#All],ROW(A25),COLUMN(A25)),"")</f>
        <v/>
      </c>
      <c r="BW25" s="1" t="str">
        <f>IFERROR(INDEX(tblStandings[#All],ROW(B25),COLUMN(B25)),"")</f>
        <v/>
      </c>
      <c r="BX25" s="1" t="str">
        <f>IFERROR(INDEX(tblStandings[#All],ROW(C25),COLUMN(C25)),"")</f>
        <v/>
      </c>
      <c r="BY25" s="1" t="str">
        <f>IFERROR(INDEX(tblStandings[#All],ROW(D25),COLUMN(D25)),"")</f>
        <v/>
      </c>
      <c r="BZ25" s="1" t="str">
        <f>IFERROR(INDEX(tblStandings[#All],ROW(E25),COLUMN(E25)),"")</f>
        <v/>
      </c>
      <c r="CA25" s="1" t="str">
        <f>IFERROR(INDEX(tblStandings[#All],ROW(F25),COLUMN(F25)),"")</f>
        <v/>
      </c>
      <c r="CB25" s="1" t="str">
        <f>IFERROR(INDEX(tblStandings[#All],ROW(G25),COLUMN(G25)),"")</f>
        <v/>
      </c>
      <c r="CC25" s="1" t="str">
        <f>IFERROR(INDEX(tblStandings[#All],ROW(H25),COLUMN(H25)),"")</f>
        <v/>
      </c>
      <c r="CD25" s="1" t="str">
        <f>IFERROR(INDEX(tblStandings[#All],ROW(I25),COLUMN(I25)),"")</f>
        <v/>
      </c>
      <c r="CE25" s="1" t="str">
        <f>IFERROR(INDEX(tblStandings[#All],ROW(J25),COLUMN(J25)),"")</f>
        <v/>
      </c>
      <c r="CF25" s="1" t="str">
        <f>IFERROR(INDEX(tblStandings[#All],ROW(K25),COLUMN(K25)),"")</f>
        <v/>
      </c>
      <c r="CG25" s="1" t="str">
        <f t="shared" si="0"/>
        <v/>
      </c>
      <c r="CH25" s="1" t="str">
        <f t="shared" si="1"/>
        <v/>
      </c>
      <c r="CI25" s="1" t="str">
        <f t="shared" si="2"/>
        <v/>
      </c>
      <c r="CJ25" s="1" t="str">
        <f t="shared" si="3"/>
        <v/>
      </c>
      <c r="CK25" s="1" t="str">
        <f t="shared" si="4"/>
        <v/>
      </c>
    </row>
    <row r="26" spans="1:89" x14ac:dyDescent="0.25">
      <c r="H26" s="1">
        <v>1522568</v>
      </c>
      <c r="I26" s="4">
        <v>46268.5</v>
      </c>
      <c r="J26" s="1" t="s">
        <v>17</v>
      </c>
      <c r="K26" s="1" t="s">
        <v>405</v>
      </c>
      <c r="L26" s="1" t="s">
        <v>46</v>
      </c>
      <c r="M26" s="1" t="s">
        <v>519</v>
      </c>
      <c r="N26" s="1" t="s">
        <v>4022</v>
      </c>
      <c r="O26" s="1" t="s">
        <v>4023</v>
      </c>
      <c r="BR26" s="1" t="str">
        <f>IF(OR(Control!AC26="",Control!AD26=""),"",Control!AC26&amp;" : "&amp;Control!AD26)</f>
        <v/>
      </c>
      <c r="BS26" s="1" t="str">
        <f>IF(OR(Control!AE26="",Control!AF26=""),"",Control!AE26&amp;" : "&amp;Control!AF26)</f>
        <v/>
      </c>
      <c r="BT26" s="1" t="str">
        <f>IF(OR(Control!AU26="",Control!AV26=""),"",Control!AU26&amp;" : "&amp;Control!AV26)</f>
        <v/>
      </c>
      <c r="BV26" s="1" t="str">
        <f>IFERROR(INDEX(tblStandings[#All],ROW(A26),COLUMN(A26)),"")</f>
        <v/>
      </c>
      <c r="BW26" s="1" t="str">
        <f>IFERROR(INDEX(tblStandings[#All],ROW(B26),COLUMN(B26)),"")</f>
        <v/>
      </c>
      <c r="BX26" s="1" t="str">
        <f>IFERROR(INDEX(tblStandings[#All],ROW(C26),COLUMN(C26)),"")</f>
        <v/>
      </c>
      <c r="BY26" s="1" t="str">
        <f>IFERROR(INDEX(tblStandings[#All],ROW(D26),COLUMN(D26)),"")</f>
        <v/>
      </c>
      <c r="BZ26" s="1" t="str">
        <f>IFERROR(INDEX(tblStandings[#All],ROW(E26),COLUMN(E26)),"")</f>
        <v/>
      </c>
      <c r="CA26" s="1" t="str">
        <f>IFERROR(INDEX(tblStandings[#All],ROW(F26),COLUMN(F26)),"")</f>
        <v/>
      </c>
      <c r="CB26" s="1" t="str">
        <f>IFERROR(INDEX(tblStandings[#All],ROW(G26),COLUMN(G26)),"")</f>
        <v/>
      </c>
      <c r="CC26" s="1" t="str">
        <f>IFERROR(INDEX(tblStandings[#All],ROW(H26),COLUMN(H26)),"")</f>
        <v/>
      </c>
      <c r="CD26" s="1" t="str">
        <f>IFERROR(INDEX(tblStandings[#All],ROW(I26),COLUMN(I26)),"")</f>
        <v/>
      </c>
      <c r="CE26" s="1" t="str">
        <f>IFERROR(INDEX(tblStandings[#All],ROW(J26),COLUMN(J26)),"")</f>
        <v/>
      </c>
      <c r="CF26" s="1" t="str">
        <f>IFERROR(INDEX(tblStandings[#All],ROW(K26),COLUMN(K26)),"")</f>
        <v/>
      </c>
      <c r="CG26" s="1" t="str">
        <f t="shared" si="0"/>
        <v/>
      </c>
      <c r="CH26" s="1" t="str">
        <f t="shared" si="1"/>
        <v/>
      </c>
      <c r="CI26" s="1" t="str">
        <f t="shared" si="2"/>
        <v/>
      </c>
      <c r="CJ26" s="1" t="str">
        <f t="shared" si="3"/>
        <v/>
      </c>
      <c r="CK26" s="1" t="str">
        <f t="shared" si="4"/>
        <v/>
      </c>
    </row>
    <row r="27" spans="1:89" x14ac:dyDescent="0.25">
      <c r="H27" s="1">
        <v>1526637</v>
      </c>
      <c r="I27" s="4">
        <v>46268.5</v>
      </c>
      <c r="J27" s="1" t="s">
        <v>17</v>
      </c>
      <c r="K27" s="1" t="s">
        <v>711</v>
      </c>
      <c r="L27" s="1" t="s">
        <v>70</v>
      </c>
      <c r="M27" s="1" t="s">
        <v>4024</v>
      </c>
      <c r="N27" s="1" t="s">
        <v>4025</v>
      </c>
      <c r="O27" s="1" t="s">
        <v>4026</v>
      </c>
      <c r="BR27" s="1" t="str">
        <f>IF(OR(Control!AC27="",Control!AD27=""),"",Control!AC27&amp;" : "&amp;Control!AD27)</f>
        <v/>
      </c>
      <c r="BS27" s="1" t="str">
        <f>IF(OR(Control!AE27="",Control!AF27=""),"",Control!AE27&amp;" : "&amp;Control!AF27)</f>
        <v/>
      </c>
      <c r="BT27" s="1" t="str">
        <f>IF(OR(Control!AU27="",Control!AV27=""),"",Control!AU27&amp;" : "&amp;Control!AV27)</f>
        <v/>
      </c>
      <c r="BV27" s="1" t="str">
        <f>IFERROR(INDEX(tblStandings[#All],ROW(A27),COLUMN(A27)),"")</f>
        <v/>
      </c>
      <c r="BW27" s="1" t="str">
        <f>IFERROR(INDEX(tblStandings[#All],ROW(B27),COLUMN(B27)),"")</f>
        <v/>
      </c>
      <c r="BX27" s="1" t="str">
        <f>IFERROR(INDEX(tblStandings[#All],ROW(C27),COLUMN(C27)),"")</f>
        <v/>
      </c>
      <c r="BY27" s="1" t="str">
        <f>IFERROR(INDEX(tblStandings[#All],ROW(D27),COLUMN(D27)),"")</f>
        <v/>
      </c>
      <c r="BZ27" s="1" t="str">
        <f>IFERROR(INDEX(tblStandings[#All],ROW(E27),COLUMN(E27)),"")</f>
        <v/>
      </c>
      <c r="CA27" s="1" t="str">
        <f>IFERROR(INDEX(tblStandings[#All],ROW(F27),COLUMN(F27)),"")</f>
        <v/>
      </c>
      <c r="CB27" s="1" t="str">
        <f>IFERROR(INDEX(tblStandings[#All],ROW(G27),COLUMN(G27)),"")</f>
        <v/>
      </c>
      <c r="CC27" s="1" t="str">
        <f>IFERROR(INDEX(tblStandings[#All],ROW(H27),COLUMN(H27)),"")</f>
        <v/>
      </c>
      <c r="CD27" s="1" t="str">
        <f>IFERROR(INDEX(tblStandings[#All],ROW(I27),COLUMN(I27)),"")</f>
        <v/>
      </c>
      <c r="CE27" s="1" t="str">
        <f>IFERROR(INDEX(tblStandings[#All],ROW(J27),COLUMN(J27)),"")</f>
        <v/>
      </c>
      <c r="CF27" s="1" t="str">
        <f>IFERROR(INDEX(tblStandings[#All],ROW(K27),COLUMN(K27)),"")</f>
        <v/>
      </c>
      <c r="CG27" s="1" t="str">
        <f t="shared" si="0"/>
        <v/>
      </c>
      <c r="CH27" s="1" t="str">
        <f t="shared" si="1"/>
        <v/>
      </c>
      <c r="CI27" s="1" t="str">
        <f t="shared" si="2"/>
        <v/>
      </c>
      <c r="CJ27" s="1" t="str">
        <f t="shared" si="3"/>
        <v/>
      </c>
      <c r="CK27" s="1" t="str">
        <f t="shared" si="4"/>
        <v/>
      </c>
    </row>
    <row r="28" spans="1:89" x14ac:dyDescent="0.25">
      <c r="H28" s="1">
        <v>1526638</v>
      </c>
      <c r="I28" s="4">
        <v>46268.5</v>
      </c>
      <c r="J28" s="1" t="s">
        <v>17</v>
      </c>
      <c r="K28" s="1" t="s">
        <v>711</v>
      </c>
      <c r="L28" s="1" t="s">
        <v>70</v>
      </c>
      <c r="M28" s="1" t="s">
        <v>4027</v>
      </c>
      <c r="N28" s="1" t="s">
        <v>4028</v>
      </c>
      <c r="O28" s="1" t="s">
        <v>4029</v>
      </c>
      <c r="BR28" s="1" t="str">
        <f>IF(OR(Control!AC28="",Control!AD28=""),"",Control!AC28&amp;" : "&amp;Control!AD28)</f>
        <v/>
      </c>
      <c r="BS28" s="1" t="str">
        <f>IF(OR(Control!AE28="",Control!AF28=""),"",Control!AE28&amp;" : "&amp;Control!AF28)</f>
        <v/>
      </c>
      <c r="BT28" s="1" t="str">
        <f>IF(OR(Control!AU28="",Control!AV28=""),"",Control!AU28&amp;" : "&amp;Control!AV28)</f>
        <v/>
      </c>
      <c r="BV28" s="1" t="str">
        <f>IFERROR(INDEX(tblStandings[#All],ROW(A28),COLUMN(A28)),"")</f>
        <v/>
      </c>
      <c r="BW28" s="1" t="str">
        <f>IFERROR(INDEX(tblStandings[#All],ROW(B28),COLUMN(B28)),"")</f>
        <v/>
      </c>
      <c r="BX28" s="1" t="str">
        <f>IFERROR(INDEX(tblStandings[#All],ROW(C28),COLUMN(C28)),"")</f>
        <v/>
      </c>
      <c r="BY28" s="1" t="str">
        <f>IFERROR(INDEX(tblStandings[#All],ROW(D28),COLUMN(D28)),"")</f>
        <v/>
      </c>
      <c r="BZ28" s="1" t="str">
        <f>IFERROR(INDEX(tblStandings[#All],ROW(E28),COLUMN(E28)),"")</f>
        <v/>
      </c>
      <c r="CA28" s="1" t="str">
        <f>IFERROR(INDEX(tblStandings[#All],ROW(F28),COLUMN(F28)),"")</f>
        <v/>
      </c>
      <c r="CB28" s="1" t="str">
        <f>IFERROR(INDEX(tblStandings[#All],ROW(G28),COLUMN(G28)),"")</f>
        <v/>
      </c>
      <c r="CC28" s="1" t="str">
        <f>IFERROR(INDEX(tblStandings[#All],ROW(H28),COLUMN(H28)),"")</f>
        <v/>
      </c>
      <c r="CD28" s="1" t="str">
        <f>IFERROR(INDEX(tblStandings[#All],ROW(I28),COLUMN(I28)),"")</f>
        <v/>
      </c>
      <c r="CE28" s="1" t="str">
        <f>IFERROR(INDEX(tblStandings[#All],ROW(J28),COLUMN(J28)),"")</f>
        <v/>
      </c>
      <c r="CF28" s="1" t="str">
        <f>IFERROR(INDEX(tblStandings[#All],ROW(K28),COLUMN(K28)),"")</f>
        <v/>
      </c>
      <c r="CG28" s="1" t="str">
        <f t="shared" si="0"/>
        <v/>
      </c>
      <c r="CH28" s="1" t="str">
        <f t="shared" si="1"/>
        <v/>
      </c>
      <c r="CI28" s="1" t="str">
        <f t="shared" si="2"/>
        <v/>
      </c>
      <c r="CJ28" s="1" t="str">
        <f t="shared" si="3"/>
        <v/>
      </c>
      <c r="CK28" s="1" t="str">
        <f t="shared" si="4"/>
        <v/>
      </c>
    </row>
    <row r="29" spans="1:89" x14ac:dyDescent="0.25">
      <c r="A29" s="1" t="s">
        <v>322</v>
      </c>
      <c r="B29" s="1" t="s">
        <v>323</v>
      </c>
      <c r="H29" s="1">
        <v>1526639</v>
      </c>
      <c r="I29" s="4">
        <v>46268.5</v>
      </c>
      <c r="J29" s="1" t="s">
        <v>17</v>
      </c>
      <c r="K29" s="1" t="s">
        <v>711</v>
      </c>
      <c r="L29" s="1" t="s">
        <v>70</v>
      </c>
      <c r="M29" s="1" t="s">
        <v>4030</v>
      </c>
      <c r="N29" s="1" t="s">
        <v>4031</v>
      </c>
      <c r="O29" s="1" t="s">
        <v>4032</v>
      </c>
      <c r="BR29" s="1" t="str">
        <f>IF(OR(Control!AC29="",Control!AD29=""),"",Control!AC29&amp;" : "&amp;Control!AD29)</f>
        <v/>
      </c>
      <c r="BS29" s="1" t="str">
        <f>IF(OR(Control!AE29="",Control!AF29=""),"",Control!AE29&amp;" : "&amp;Control!AF29)</f>
        <v/>
      </c>
      <c r="BT29" s="1" t="str">
        <f>IF(OR(Control!AU29="",Control!AV29=""),"",Control!AU29&amp;" : "&amp;Control!AV29)</f>
        <v/>
      </c>
      <c r="BV29" s="1" t="str">
        <f>IFERROR(INDEX(tblStandings[#All],ROW(A29),COLUMN(A29)),"")</f>
        <v/>
      </c>
      <c r="BW29" s="1" t="str">
        <f>IFERROR(INDEX(tblStandings[#All],ROW(B29),COLUMN(B29)),"")</f>
        <v/>
      </c>
      <c r="BX29" s="1" t="str">
        <f>IFERROR(INDEX(tblStandings[#All],ROW(C29),COLUMN(C29)),"")</f>
        <v/>
      </c>
      <c r="BY29" s="1" t="str">
        <f>IFERROR(INDEX(tblStandings[#All],ROW(D29),COLUMN(D29)),"")</f>
        <v/>
      </c>
      <c r="BZ29" s="1" t="str">
        <f>IFERROR(INDEX(tblStandings[#All],ROW(E29),COLUMN(E29)),"")</f>
        <v/>
      </c>
      <c r="CA29" s="1" t="str">
        <f>IFERROR(INDEX(tblStandings[#All],ROW(F29),COLUMN(F29)),"")</f>
        <v/>
      </c>
      <c r="CB29" s="1" t="str">
        <f>IFERROR(INDEX(tblStandings[#All],ROW(G29),COLUMN(G29)),"")</f>
        <v/>
      </c>
      <c r="CC29" s="1" t="str">
        <f>IFERROR(INDEX(tblStandings[#All],ROW(H29),COLUMN(H29)),"")</f>
        <v/>
      </c>
      <c r="CD29" s="1" t="str">
        <f>IFERROR(INDEX(tblStandings[#All],ROW(I29),COLUMN(I29)),"")</f>
        <v/>
      </c>
      <c r="CE29" s="1" t="str">
        <f>IFERROR(INDEX(tblStandings[#All],ROW(J29),COLUMN(J29)),"")</f>
        <v/>
      </c>
      <c r="CF29" s="1" t="str">
        <f>IFERROR(INDEX(tblStandings[#All],ROW(K29),COLUMN(K29)),"")</f>
        <v/>
      </c>
      <c r="CG29" s="1" t="str">
        <f t="shared" si="0"/>
        <v/>
      </c>
      <c r="CH29" s="1" t="str">
        <f t="shared" si="1"/>
        <v/>
      </c>
      <c r="CI29" s="1" t="str">
        <f t="shared" si="2"/>
        <v/>
      </c>
      <c r="CJ29" s="1" t="str">
        <f t="shared" si="3"/>
        <v/>
      </c>
      <c r="CK29" s="1" t="str">
        <f t="shared" si="4"/>
        <v/>
      </c>
    </row>
    <row r="30" spans="1:89" x14ac:dyDescent="0.25">
      <c r="A30" s="1" t="s">
        <v>324</v>
      </c>
      <c r="B30" s="29">
        <v>-1003760234865</v>
      </c>
      <c r="H30" s="1">
        <v>1421848</v>
      </c>
      <c r="I30" s="4">
        <v>46268.520833333336</v>
      </c>
      <c r="J30" s="1" t="s">
        <v>17</v>
      </c>
      <c r="K30" s="1" t="s">
        <v>342</v>
      </c>
      <c r="L30" s="1" t="s">
        <v>50</v>
      </c>
      <c r="M30" s="1" t="s">
        <v>4034</v>
      </c>
      <c r="N30" s="1" t="s">
        <v>4035</v>
      </c>
      <c r="O30" s="1" t="s">
        <v>4036</v>
      </c>
      <c r="Q30" s="1" t="str">
        <f>IFERROR(H2H_Last5_Stats_All!A1,"")</f>
        <v>fixture_id</v>
      </c>
      <c r="R30" s="1" t="str">
        <f>IFERROR(H2H_Last5_Stats_All!B1,"")</f>
        <v>kickoff</v>
      </c>
      <c r="S30" s="1" t="str">
        <f>IFERROR(H2H_Last5_Stats_All!C1,"")</f>
        <v>league_country</v>
      </c>
      <c r="T30" s="1" t="str">
        <f>IFERROR(H2H_Last5_Stats_All!D1,"")</f>
        <v>league_name</v>
      </c>
      <c r="U30" s="1" t="str">
        <f>IFERROR(H2H_Last5_Stats_All!E1,"")</f>
        <v>home_logo</v>
      </c>
      <c r="V30" s="1" t="str">
        <f>IFERROR(H2H_Last5_Stats_All!F1,"")</f>
        <v>home_name</v>
      </c>
      <c r="W30" s="1" t="str">
        <f>IFERROR(H2H_Last5_Stats_All!G1,"")</f>
        <v>away_logo</v>
      </c>
      <c r="X30" s="1" t="str">
        <f>IFERROR(H2H_Last5_Stats_All!H1,"")</f>
        <v>opponent</v>
      </c>
      <c r="Y30" s="1" t="str">
        <f>IFERROR(H2H_Last5_Stats_All!I1,"")</f>
        <v>league_logo</v>
      </c>
      <c r="Z30" s="1" t="str">
        <f>IFERROR(H2H_Last5_Stats_All!J1,"")</f>
        <v>league_flag</v>
      </c>
      <c r="AA30" s="1" t="str">
        <f>IFERROR(H2H_Last5_Stats_All!K1,"")</f>
        <v>home_goals</v>
      </c>
      <c r="AB30" s="1" t="str">
        <f>IFERROR(H2H_Last5_Stats_All!L1,"")</f>
        <v>away_goals</v>
      </c>
      <c r="AC30" s="1" t="str">
        <f>IFERROR(H2H_Last5_Stats_All!M1,"")</f>
        <v>ht_home</v>
      </c>
      <c r="AD30" s="1" t="str">
        <f>IFERROR(H2H_Last5_Stats_All!N1,"")</f>
        <v>ht_away</v>
      </c>
      <c r="AE30" s="1" t="str">
        <f>IFERROR(H2H_Last5_Stats_All!O1,"")</f>
        <v>ft_home</v>
      </c>
      <c r="AF30" s="1" t="str">
        <f>IFERROR(H2H_Last5_Stats_All!P1,"")</f>
        <v>ft_away</v>
      </c>
      <c r="AG30" s="1" t="str">
        <f>IFERROR(H2H_Last5_Stats_All!Q1,"")</f>
        <v>Home_ShotsOnGoal</v>
      </c>
      <c r="AH30" s="1" t="str">
        <f>IFERROR(H2H_Last5_Stats_All!R1,"")</f>
        <v>Away_ShotsOnGoal</v>
      </c>
      <c r="AI30" s="1" t="str">
        <f>IFERROR(H2H_Last5_Stats_All!S1,"")</f>
        <v>Home_ShotsOffGoal</v>
      </c>
      <c r="AJ30" s="1" t="str">
        <f>IFERROR(H2H_Last5_Stats_All!T1,"")</f>
        <v>Away_ShotsOffGoal</v>
      </c>
      <c r="AK30" s="1" t="str">
        <f>IFERROR(H2H_Last5_Stats_All!U1,"")</f>
        <v>Home_TotalShots</v>
      </c>
      <c r="AL30" s="1" t="str">
        <f>IFERROR(H2H_Last5_Stats_All!V1,"")</f>
        <v>Away_TotalShots</v>
      </c>
      <c r="AM30" s="1" t="str">
        <f>IFERROR(H2H_Last5_Stats_All!W1,"")</f>
        <v>Home_BlockedShots</v>
      </c>
      <c r="AN30" s="1" t="str">
        <f>IFERROR(H2H_Last5_Stats_All!X1,"")</f>
        <v>Away_BlockedShots</v>
      </c>
      <c r="AO30" s="1" t="str">
        <f>IFERROR(H2H_Last5_Stats_All!Y1,"")</f>
        <v>Home_ShotsInsideBox</v>
      </c>
      <c r="AP30" s="1" t="str">
        <f>IFERROR(H2H_Last5_Stats_All!Z1,"")</f>
        <v>Away_ShotsInsideBox</v>
      </c>
      <c r="AQ30" s="1" t="str">
        <f>IFERROR(H2H_Last5_Stats_All!AA1,"")</f>
        <v>Home_ShotsOutsideBox</v>
      </c>
      <c r="AR30" s="1" t="str">
        <f>IFERROR(H2H_Last5_Stats_All!AB1,"")</f>
        <v>Away_ShotsOutsideBox</v>
      </c>
      <c r="AS30" s="1" t="str">
        <f>IFERROR(H2H_Last5_Stats_All!AC1,"")</f>
        <v>Home_Fouls</v>
      </c>
      <c r="AT30" s="1" t="str">
        <f>IFERROR(H2H_Last5_Stats_All!AD1,"")</f>
        <v>Away_Fouls</v>
      </c>
      <c r="AU30" s="1" t="str">
        <f>IFERROR(H2H_Last5_Stats_All!AE1,"")</f>
        <v>Home_CornerKicks</v>
      </c>
      <c r="AV30" s="1" t="str">
        <f>IFERROR(H2H_Last5_Stats_All!AF1,"")</f>
        <v>Away_CornerKicks</v>
      </c>
      <c r="AW30" s="1" t="str">
        <f>IFERROR(H2H_Last5_Stats_All!AG1,"")</f>
        <v>Home_Offsides</v>
      </c>
      <c r="AX30" s="1" t="str">
        <f>IFERROR(H2H_Last5_Stats_All!AH1,"")</f>
        <v>Away_Offsides</v>
      </c>
      <c r="AY30" s="1" t="str">
        <f>IFERROR(H2H_Last5_Stats_All!AI1,"")</f>
        <v>Home_BallPossession</v>
      </c>
      <c r="AZ30" s="1" t="str">
        <f>IFERROR(H2H_Last5_Stats_All!AJ1,"")</f>
        <v>Away_BallPossession</v>
      </c>
      <c r="BA30" s="1" t="str">
        <f>IFERROR(H2H_Last5_Stats_All!AK1,"")</f>
        <v>Home_YellowCards</v>
      </c>
      <c r="BB30" s="1" t="str">
        <f>IFERROR(H2H_Last5_Stats_All!AL1,"")</f>
        <v>Away_YellowCards</v>
      </c>
      <c r="BC30" s="1" t="str">
        <f>IFERROR(H2H_Last5_Stats_All!AM1,"")</f>
        <v>Home_RedCards</v>
      </c>
      <c r="BD30" s="1" t="str">
        <f>IFERROR(H2H_Last5_Stats_All!AN1,"")</f>
        <v>Away_RedCards</v>
      </c>
      <c r="BE30" s="1" t="str">
        <f>IFERROR(H2H_Last5_Stats_All!AO1,"")</f>
        <v>Home_GoalkeeperSaves</v>
      </c>
      <c r="BF30" s="1" t="str">
        <f>IFERROR(H2H_Last5_Stats_All!AP1,"")</f>
        <v>Away_GoalkeeperSaves</v>
      </c>
      <c r="BG30" s="1" t="str">
        <f>IFERROR(H2H_Last5_Stats_All!AQ1,"")</f>
        <v>Home_TotalPasses</v>
      </c>
      <c r="BH30" s="1" t="str">
        <f>IFERROR(H2H_Last5_Stats_All!AR1,"")</f>
        <v>Away_TotalPasses</v>
      </c>
      <c r="BI30" s="1" t="str">
        <f>IFERROR(H2H_Last5_Stats_All!AS1,"")</f>
        <v>Home_PassesAccurate</v>
      </c>
      <c r="BJ30" s="1" t="str">
        <f>IFERROR(H2H_Last5_Stats_All!AT1,"")</f>
        <v>Away_PassesAccurate</v>
      </c>
      <c r="BK30" s="1" t="str">
        <f>IFERROR(H2H_Last5_Stats_All!AU1,"")</f>
        <v>Home_PassesPct</v>
      </c>
      <c r="BL30" s="1" t="str">
        <f>IFERROR(H2H_Last5_Stats_All!AV1,"")</f>
        <v>Away_PassesPct</v>
      </c>
      <c r="BM30" s="1" t="str">
        <f>IFERROR(H2H_Last5_Stats_All!AW1,"")</f>
        <v>Home_ExpectedGoals</v>
      </c>
      <c r="BN30" s="1" t="str">
        <f>IFERROR(H2H_Last5_Stats_All!AX1,"")</f>
        <v>Away_ExpectedGoals</v>
      </c>
      <c r="BO30" s="1" t="str">
        <f>IFERROR(H2H_Last5_Stats_All!AY1,"")</f>
        <v>Home_GoalsPrevented</v>
      </c>
      <c r="BP30" s="1" t="str">
        <f>IFERROR(H2H_Last5_Stats_All!AZ1,"")</f>
        <v>Away_GoalsPrevented</v>
      </c>
      <c r="BR30" s="1" t="s">
        <v>215</v>
      </c>
      <c r="BS30" s="1" t="s">
        <v>216</v>
      </c>
      <c r="BT30" s="1" t="s">
        <v>217</v>
      </c>
      <c r="BV30" s="1" t="str">
        <f>IFERROR(INDEX(tblStandings[#All],ROW(A30),COLUMN(A30)),"")</f>
        <v/>
      </c>
      <c r="BW30" s="1" t="str">
        <f>IFERROR(INDEX(tblStandings[#All],ROW(B30),COLUMN(B30)),"")</f>
        <v/>
      </c>
      <c r="BX30" s="1" t="str">
        <f>IFERROR(INDEX(tblStandings[#All],ROW(C30),COLUMN(C30)),"")</f>
        <v/>
      </c>
      <c r="BY30" s="1" t="str">
        <f>IFERROR(INDEX(tblStandings[#All],ROW(D30),COLUMN(D30)),"")</f>
        <v/>
      </c>
      <c r="BZ30" s="1" t="str">
        <f>IFERROR(INDEX(tblStandings[#All],ROW(E30),COLUMN(E30)),"")</f>
        <v/>
      </c>
      <c r="CA30" s="1" t="str">
        <f>IFERROR(INDEX(tblStandings[#All],ROW(F30),COLUMN(F30)),"")</f>
        <v/>
      </c>
      <c r="CB30" s="1" t="str">
        <f>IFERROR(INDEX(tblStandings[#All],ROW(G30),COLUMN(G30)),"")</f>
        <v/>
      </c>
      <c r="CC30" s="1" t="str">
        <f>IFERROR(INDEX(tblStandings[#All],ROW(H30),COLUMN(H30)),"")</f>
        <v/>
      </c>
      <c r="CD30" s="1" t="str">
        <f>IFERROR(INDEX(tblStandings[#All],ROW(I30),COLUMN(I30)),"")</f>
        <v/>
      </c>
      <c r="CE30" s="1" t="str">
        <f>IFERROR(INDEX(tblStandings[#All],ROW(J30),COLUMN(J30)),"")</f>
        <v/>
      </c>
      <c r="CF30" s="1" t="str">
        <f>IFERROR(INDEX(tblStandings[#All],ROW(K30),COLUMN(K30)),"")</f>
        <v/>
      </c>
      <c r="CG30" s="1" t="str">
        <f t="shared" si="0"/>
        <v/>
      </c>
      <c r="CH30" s="1" t="str">
        <f t="shared" si="1"/>
        <v/>
      </c>
      <c r="CI30" s="1" t="str">
        <f t="shared" si="2"/>
        <v/>
      </c>
      <c r="CJ30" s="1" t="str">
        <f t="shared" si="3"/>
        <v/>
      </c>
      <c r="CK30" s="1" t="str">
        <f t="shared" si="4"/>
        <v/>
      </c>
    </row>
    <row r="31" spans="1:89" x14ac:dyDescent="0.25">
      <c r="H31" s="1">
        <v>1394652</v>
      </c>
      <c r="I31" s="4">
        <v>46268.541666666664</v>
      </c>
      <c r="J31" s="1" t="s">
        <v>17</v>
      </c>
      <c r="K31" s="1" t="s">
        <v>43</v>
      </c>
      <c r="L31" s="1" t="s">
        <v>62</v>
      </c>
      <c r="M31" s="1" t="s">
        <v>4038</v>
      </c>
      <c r="N31" s="1" t="s">
        <v>4039</v>
      </c>
      <c r="O31" s="1" t="s">
        <v>4040</v>
      </c>
      <c r="Q31" s="1">
        <f>IF(INDEX(H2H_Last5_Stats_All!$A:$A,ROW()-ROW($Q$31)+2)="","",
IFERROR(
INDEX(H2H_Last5_Stats_All!$A:$ZZ,ROW()-ROW($Q$31)+2,COLUMN()-COLUMN($Q$31)+1),
""))</f>
        <v>1523412</v>
      </c>
      <c r="R31" s="1" t="str">
        <f>IF(INDEX(H2H_Last5_Stats_All!$A:$A,ROW()-ROW($Q$31)+2)="","",
IFERROR(
INDEX(H2H_Last5_Stats_All!$A:$ZZ,ROW()-ROW($Q$31)+2,COLUMN()-COLUMN($Q$31)+1),
""))</f>
        <v>07/03/2026 12:15</v>
      </c>
      <c r="S31" s="1" t="str">
        <f>IF(INDEX(H2H_Last5_Stats_All!$A:$A,ROW()-ROW($Q$31)+2)="","",
IFERROR(
INDEX(H2H_Last5_Stats_All!$A:$ZZ,ROW()-ROW($Q$31)+2,COLUMN()-COLUMN($Q$31)+1),
""))</f>
        <v>England</v>
      </c>
      <c r="T31" s="1" t="str">
        <f>IF(INDEX(H2H_Last5_Stats_All!$A:$A,ROW()-ROW($Q$31)+2)="","",
IFERROR(
INDEX(H2H_Last5_Stats_All!$A:$ZZ,ROW()-ROW($Q$31)+2,COLUMN()-COLUMN($Q$31)+1),
""))</f>
        <v>FA Cup</v>
      </c>
      <c r="U31" s="1" t="str">
        <f>IF(INDEX(H2H_Last5_Stats_All!$A:$A,ROW()-ROW($Q$31)+2)="","",
IFERROR(
INDEX(H2H_Last5_Stats_All!$A:$ZZ,ROW()-ROW($Q$31)+2,COLUMN()-COLUMN($Q$31)+1),
""))</f>
        <v>https://media.api-sports.io/football/teams/1374.png</v>
      </c>
      <c r="V31" s="1" t="str">
        <f>IF(INDEX(H2H_Last5_Stats_All!$A:$A,ROW()-ROW($Q$31)+2)="","",
IFERROR(
INDEX(H2H_Last5_Stats_All!$A:$ZZ,ROW()-ROW($Q$31)+2,COLUMN()-COLUMN($Q$31)+1),
""))</f>
        <v>Mansfield Town</v>
      </c>
      <c r="W31" s="1" t="str">
        <f>IF(INDEX(H2H_Last5_Stats_All!$A:$A,ROW()-ROW($Q$31)+2)="","",
IFERROR(
INDEX(H2H_Last5_Stats_All!$A:$ZZ,ROW()-ROW($Q$31)+2,COLUMN()-COLUMN($Q$31)+1),
""))</f>
        <v>https://media.api-sports.io/football/teams/42.png</v>
      </c>
      <c r="X31" s="1" t="str">
        <f>IF(INDEX(H2H_Last5_Stats_All!$A:$A,ROW()-ROW($Q$31)+2)="","",
IFERROR(
INDEX(H2H_Last5_Stats_All!$A:$ZZ,ROW()-ROW($Q$31)+2,COLUMN()-COLUMN($Q$31)+1),
""))</f>
        <v>Arsenal</v>
      </c>
      <c r="Y31" s="1" t="str">
        <f>IF(INDEX(H2H_Last5_Stats_All!$A:$A,ROW()-ROW($Q$31)+2)="","",
IFERROR(
INDEX(H2H_Last5_Stats_All!$A:$ZZ,ROW()-ROW($Q$31)+2,COLUMN()-COLUMN($Q$31)+1),
""))</f>
        <v>https://media.api-sports.io/football/leagues/45.png</v>
      </c>
      <c r="Z31" s="1" t="str">
        <f>IF(INDEX(H2H_Last5_Stats_All!$A:$A,ROW()-ROW($Q$31)+2)="","",
IFERROR(
INDEX(H2H_Last5_Stats_All!$A:$ZZ,ROW()-ROW($Q$31)+2,COLUMN()-COLUMN($Q$31)+1),
""))</f>
        <v>https://media.api-sports.io/flags/gb-eng.svg</v>
      </c>
      <c r="AA31" s="1">
        <f>IF(INDEX(H2H_Last5_Stats_All!$A:$A,ROW()-ROW($Q$31)+2)="","",
IFERROR(
INDEX(H2H_Last5_Stats_All!$A:$ZZ,ROW()-ROW($Q$31)+2,COLUMN()-COLUMN($Q$31)+1),
""))</f>
        <v>1</v>
      </c>
      <c r="AB31" s="1">
        <f>IF(INDEX(H2H_Last5_Stats_All!$A:$A,ROW()-ROW($Q$31)+2)="","",
IFERROR(
INDEX(H2H_Last5_Stats_All!$A:$ZZ,ROW()-ROW($Q$31)+2,COLUMN()-COLUMN($Q$31)+1),
""))</f>
        <v>2</v>
      </c>
      <c r="AC31" s="1">
        <f>IF(INDEX(H2H_Last5_Stats_All!$A:$A,ROW()-ROW($Q$31)+2)="","",
IFERROR(
INDEX(H2H_Last5_Stats_All!$A:$ZZ,ROW()-ROW($Q$31)+2,COLUMN()-COLUMN($Q$31)+1),
""))</f>
        <v>0</v>
      </c>
      <c r="AD31" s="1">
        <f>IF(INDEX(H2H_Last5_Stats_All!$A:$A,ROW()-ROW($Q$31)+2)="","",
IFERROR(
INDEX(H2H_Last5_Stats_All!$A:$ZZ,ROW()-ROW($Q$31)+2,COLUMN()-COLUMN($Q$31)+1),
""))</f>
        <v>1</v>
      </c>
      <c r="AE31" s="1">
        <f>IF(INDEX(H2H_Last5_Stats_All!$A:$A,ROW()-ROW($Q$31)+2)="","",
IFERROR(
INDEX(H2H_Last5_Stats_All!$A:$ZZ,ROW()-ROW($Q$31)+2,COLUMN()-COLUMN($Q$31)+1),
""))</f>
        <v>1</v>
      </c>
      <c r="AF31" s="1">
        <f>IF(INDEX(H2H_Last5_Stats_All!$A:$A,ROW()-ROW($Q$31)+2)="","",
IFERROR(
INDEX(H2H_Last5_Stats_All!$A:$ZZ,ROW()-ROW($Q$31)+2,COLUMN()-COLUMN($Q$31)+1),
""))</f>
        <v>2</v>
      </c>
      <c r="AG31" s="1">
        <f>IF(INDEX(H2H_Last5_Stats_All!$A:$A,ROW()-ROW($Q$31)+2)="","",
IFERROR(
INDEX(H2H_Last5_Stats_All!$A:$ZZ,ROW()-ROW($Q$31)+2,COLUMN()-COLUMN($Q$31)+1),
""))</f>
        <v>5</v>
      </c>
      <c r="AH31" s="1">
        <f>IF(INDEX(H2H_Last5_Stats_All!$A:$A,ROW()-ROW($Q$31)+2)="","",
IFERROR(
INDEX(H2H_Last5_Stats_All!$A:$ZZ,ROW()-ROW($Q$31)+2,COLUMN()-COLUMN($Q$31)+1),
""))</f>
        <v>8</v>
      </c>
      <c r="AI31" s="1">
        <f>IF(INDEX(H2H_Last5_Stats_All!$A:$A,ROW()-ROW($Q$31)+2)="","",
IFERROR(
INDEX(H2H_Last5_Stats_All!$A:$ZZ,ROW()-ROW($Q$31)+2,COLUMN()-COLUMN($Q$31)+1),
""))</f>
        <v>9</v>
      </c>
      <c r="AJ31" s="1">
        <f>IF(INDEX(H2H_Last5_Stats_All!$A:$A,ROW()-ROW($Q$31)+2)="","",
IFERROR(
INDEX(H2H_Last5_Stats_All!$A:$ZZ,ROW()-ROW($Q$31)+2,COLUMN()-COLUMN($Q$31)+1),
""))</f>
        <v>6</v>
      </c>
      <c r="AK31" s="1">
        <f>IF(INDEX(H2H_Last5_Stats_All!$A:$A,ROW()-ROW($Q$31)+2)="","",
IFERROR(
INDEX(H2H_Last5_Stats_All!$A:$ZZ,ROW()-ROW($Q$31)+2,COLUMN()-COLUMN($Q$31)+1),
""))</f>
        <v>18</v>
      </c>
      <c r="AL31" s="1">
        <f>IF(INDEX(H2H_Last5_Stats_All!$A:$A,ROW()-ROW($Q$31)+2)="","",
IFERROR(
INDEX(H2H_Last5_Stats_All!$A:$ZZ,ROW()-ROW($Q$31)+2,COLUMN()-COLUMN($Q$31)+1),
""))</f>
        <v>19</v>
      </c>
      <c r="AM31" s="1">
        <f>IF(INDEX(H2H_Last5_Stats_All!$A:$A,ROW()-ROW($Q$31)+2)="","",
IFERROR(
INDEX(H2H_Last5_Stats_All!$A:$ZZ,ROW()-ROW($Q$31)+2,COLUMN()-COLUMN($Q$31)+1),
""))</f>
        <v>4</v>
      </c>
      <c r="AN31" s="1">
        <f>IF(INDEX(H2H_Last5_Stats_All!$A:$A,ROW()-ROW($Q$31)+2)="","",
IFERROR(
INDEX(H2H_Last5_Stats_All!$A:$ZZ,ROW()-ROW($Q$31)+2,COLUMN()-COLUMN($Q$31)+1),
""))</f>
        <v>5</v>
      </c>
      <c r="AO31" s="1">
        <f>IF(INDEX(H2H_Last5_Stats_All!$A:$A,ROW()-ROW($Q$31)+2)="","",
IFERROR(
INDEX(H2H_Last5_Stats_All!$A:$ZZ,ROW()-ROW($Q$31)+2,COLUMN()-COLUMN($Q$31)+1),
""))</f>
        <v>11</v>
      </c>
      <c r="AP31" s="1">
        <f>IF(INDEX(H2H_Last5_Stats_All!$A:$A,ROW()-ROW($Q$31)+2)="","",
IFERROR(
INDEX(H2H_Last5_Stats_All!$A:$ZZ,ROW()-ROW($Q$31)+2,COLUMN()-COLUMN($Q$31)+1),
""))</f>
        <v>17</v>
      </c>
      <c r="AQ31" s="1">
        <f>IF(INDEX(H2H_Last5_Stats_All!$A:$A,ROW()-ROW($Q$31)+2)="","",
IFERROR(
INDEX(H2H_Last5_Stats_All!$A:$ZZ,ROW()-ROW($Q$31)+2,COLUMN()-COLUMN($Q$31)+1),
""))</f>
        <v>7</v>
      </c>
      <c r="AR31" s="1">
        <f>IF(INDEX(H2H_Last5_Stats_All!$A:$A,ROW()-ROW($Q$31)+2)="","",
IFERROR(
INDEX(H2H_Last5_Stats_All!$A:$ZZ,ROW()-ROW($Q$31)+2,COLUMN()-COLUMN($Q$31)+1),
""))</f>
        <v>2</v>
      </c>
      <c r="AS31" s="1">
        <f>IF(INDEX(H2H_Last5_Stats_All!$A:$A,ROW()-ROW($Q$31)+2)="","",
IFERROR(
INDEX(H2H_Last5_Stats_All!$A:$ZZ,ROW()-ROW($Q$31)+2,COLUMN()-COLUMN($Q$31)+1),
""))</f>
        <v>16</v>
      </c>
      <c r="AT31" s="1">
        <f>IF(INDEX(H2H_Last5_Stats_All!$A:$A,ROW()-ROW($Q$31)+2)="","",
IFERROR(
INDEX(H2H_Last5_Stats_All!$A:$ZZ,ROW()-ROW($Q$31)+2,COLUMN()-COLUMN($Q$31)+1),
""))</f>
        <v>6</v>
      </c>
      <c r="AU31" s="1">
        <f>IF(INDEX(H2H_Last5_Stats_All!$A:$A,ROW()-ROW($Q$31)+2)="","",
IFERROR(
INDEX(H2H_Last5_Stats_All!$A:$ZZ,ROW()-ROW($Q$31)+2,COLUMN()-COLUMN($Q$31)+1),
""))</f>
        <v>4</v>
      </c>
      <c r="AV31" s="1">
        <f>IF(INDEX(H2H_Last5_Stats_All!$A:$A,ROW()-ROW($Q$31)+2)="","",
IFERROR(
INDEX(H2H_Last5_Stats_All!$A:$ZZ,ROW()-ROW($Q$31)+2,COLUMN()-COLUMN($Q$31)+1),
""))</f>
        <v>8</v>
      </c>
      <c r="AW31" s="1">
        <f>IF(INDEX(H2H_Last5_Stats_All!$A:$A,ROW()-ROW($Q$31)+2)="","",
IFERROR(
INDEX(H2H_Last5_Stats_All!$A:$ZZ,ROW()-ROW($Q$31)+2,COLUMN()-COLUMN($Q$31)+1),
""))</f>
        <v>1</v>
      </c>
      <c r="AX31" s="1">
        <f>IF(INDEX(H2H_Last5_Stats_All!$A:$A,ROW()-ROW($Q$31)+2)="","",
IFERROR(
INDEX(H2H_Last5_Stats_All!$A:$ZZ,ROW()-ROW($Q$31)+2,COLUMN()-COLUMN($Q$31)+1),
""))</f>
        <v>1</v>
      </c>
      <c r="AY31" s="1">
        <f>IF(INDEX(H2H_Last5_Stats_All!$A:$A,ROW()-ROW($Q$31)+2)="","",
IFERROR(
INDEX(H2H_Last5_Stats_All!$A:$ZZ,ROW()-ROW($Q$31)+2,COLUMN()-COLUMN($Q$31)+1),
""))</f>
        <v>33</v>
      </c>
      <c r="AZ31" s="1">
        <f>IF(INDEX(H2H_Last5_Stats_All!$A:$A,ROW()-ROW($Q$31)+2)="","",
IFERROR(
INDEX(H2H_Last5_Stats_All!$A:$ZZ,ROW()-ROW($Q$31)+2,COLUMN()-COLUMN($Q$31)+1),
""))</f>
        <v>67</v>
      </c>
      <c r="BA31" s="1">
        <f>IF(INDEX(H2H_Last5_Stats_All!$A:$A,ROW()-ROW($Q$31)+2)="","",
IFERROR(
INDEX(H2H_Last5_Stats_All!$A:$ZZ,ROW()-ROW($Q$31)+2,COLUMN()-COLUMN($Q$31)+1),
""))</f>
        <v>4</v>
      </c>
      <c r="BB31" s="1">
        <f>IF(INDEX(H2H_Last5_Stats_All!$A:$A,ROW()-ROW($Q$31)+2)="","",
IFERROR(
INDEX(H2H_Last5_Stats_All!$A:$ZZ,ROW()-ROW($Q$31)+2,COLUMN()-COLUMN($Q$31)+1),
""))</f>
        <v>2</v>
      </c>
      <c r="BC31" s="1">
        <f>IF(INDEX(H2H_Last5_Stats_All!$A:$A,ROW()-ROW($Q$31)+2)="","",
IFERROR(
INDEX(H2H_Last5_Stats_All!$A:$ZZ,ROW()-ROW($Q$31)+2,COLUMN()-COLUMN($Q$31)+1),
""))</f>
        <v>0</v>
      </c>
      <c r="BD31" s="1">
        <f>IF(INDEX(H2H_Last5_Stats_All!$A:$A,ROW()-ROW($Q$31)+2)="","",
IFERROR(
INDEX(H2H_Last5_Stats_All!$A:$ZZ,ROW()-ROW($Q$31)+2,COLUMN()-COLUMN($Q$31)+1),
""))</f>
        <v>0</v>
      </c>
      <c r="BE31" s="1">
        <f>IF(INDEX(H2H_Last5_Stats_All!$A:$A,ROW()-ROW($Q$31)+2)="","",
IFERROR(
INDEX(H2H_Last5_Stats_All!$A:$ZZ,ROW()-ROW($Q$31)+2,COLUMN()-COLUMN($Q$31)+1),
""))</f>
        <v>5</v>
      </c>
      <c r="BF31" s="1">
        <f>IF(INDEX(H2H_Last5_Stats_All!$A:$A,ROW()-ROW($Q$31)+2)="","",
IFERROR(
INDEX(H2H_Last5_Stats_All!$A:$ZZ,ROW()-ROW($Q$31)+2,COLUMN()-COLUMN($Q$31)+1),
""))</f>
        <v>4</v>
      </c>
      <c r="BG31" s="1">
        <f>IF(INDEX(H2H_Last5_Stats_All!$A:$A,ROW()-ROW($Q$31)+2)="","",
IFERROR(
INDEX(H2H_Last5_Stats_All!$A:$ZZ,ROW()-ROW($Q$31)+2,COLUMN()-COLUMN($Q$31)+1),
""))</f>
        <v>260</v>
      </c>
      <c r="BH31" s="1">
        <f>IF(INDEX(H2H_Last5_Stats_All!$A:$A,ROW()-ROW($Q$31)+2)="","",
IFERROR(
INDEX(H2H_Last5_Stats_All!$A:$ZZ,ROW()-ROW($Q$31)+2,COLUMN()-COLUMN($Q$31)+1),
""))</f>
        <v>544</v>
      </c>
      <c r="BI31" s="1">
        <f>IF(INDEX(H2H_Last5_Stats_All!$A:$A,ROW()-ROW($Q$31)+2)="","",
IFERROR(
INDEX(H2H_Last5_Stats_All!$A:$ZZ,ROW()-ROW($Q$31)+2,COLUMN()-COLUMN($Q$31)+1),
""))</f>
        <v>191</v>
      </c>
      <c r="BJ31" s="1">
        <f>IF(INDEX(H2H_Last5_Stats_All!$A:$A,ROW()-ROW($Q$31)+2)="","",
IFERROR(
INDEX(H2H_Last5_Stats_All!$A:$ZZ,ROW()-ROW($Q$31)+2,COLUMN()-COLUMN($Q$31)+1),
""))</f>
        <v>459</v>
      </c>
      <c r="BK31" s="1">
        <f>IF(INDEX(H2H_Last5_Stats_All!$A:$A,ROW()-ROW($Q$31)+2)="","",
IFERROR(
INDEX(H2H_Last5_Stats_All!$A:$ZZ,ROW()-ROW($Q$31)+2,COLUMN()-COLUMN($Q$31)+1),
""))</f>
        <v>73</v>
      </c>
      <c r="BL31" s="1">
        <f>IF(INDEX(H2H_Last5_Stats_All!$A:$A,ROW()-ROW($Q$31)+2)="","",
IFERROR(
INDEX(H2H_Last5_Stats_All!$A:$ZZ,ROW()-ROW($Q$31)+2,COLUMN()-COLUMN($Q$31)+1),
""))</f>
        <v>84</v>
      </c>
      <c r="BM31" s="1">
        <f>IF(INDEX(H2H_Last5_Stats_All!$A:$A,ROW()-ROW($Q$31)+2)="","",
IFERROR(
INDEX(H2H_Last5_Stats_All!$A:$ZZ,ROW()-ROW($Q$31)+2,COLUMN()-COLUMN($Q$31)+1),
""))</f>
        <v>0</v>
      </c>
      <c r="BN31" s="1">
        <f>IF(INDEX(H2H_Last5_Stats_All!$A:$A,ROW()-ROW($Q$31)+2)="","",
IFERROR(
INDEX(H2H_Last5_Stats_All!$A:$ZZ,ROW()-ROW($Q$31)+2,COLUMN()-COLUMN($Q$31)+1),
""))</f>
        <v>0</v>
      </c>
      <c r="BO31" s="1">
        <f>IF(INDEX(H2H_Last5_Stats_All!$A:$A,ROW()-ROW($Q$31)+2)="","",
IFERROR(
INDEX(H2H_Last5_Stats_All!$A:$ZZ,ROW()-ROW($Q$31)+2,COLUMN()-COLUMN($Q$31)+1),
""))</f>
        <v>0</v>
      </c>
      <c r="BP31" s="1">
        <f>IF(INDEX(H2H_Last5_Stats_All!$A:$A,ROW()-ROW($Q$31)+2)="","",
IFERROR(
INDEX(H2H_Last5_Stats_All!$A:$ZZ,ROW()-ROW($Q$31)+2,COLUMN()-COLUMN($Q$31)+1),
""))</f>
        <v>0</v>
      </c>
      <c r="BR31" s="1" t="str">
        <f>IF(OR(Control!AC31="",Control!AD31=""),"",Control!AC31&amp;" : "&amp;Control!AD31)</f>
        <v>0 : 1</v>
      </c>
      <c r="BS31" s="1" t="str">
        <f>IF(OR(Control!AE31="",Control!AF31=""),"",Control!AE31&amp;" : "&amp;Control!AF31)</f>
        <v>1 : 2</v>
      </c>
      <c r="BT31" s="1" t="str">
        <f>IF(OR(Control!AU31="",Control!AV31=""),"",Control!AU31&amp;" : "&amp;Control!AV31)</f>
        <v>4 : 8</v>
      </c>
      <c r="BV31" s="1" t="str">
        <f>IFERROR(INDEX(tblStandings[#All],ROW(A31),COLUMN(A31)),"")</f>
        <v/>
      </c>
      <c r="BW31" s="1" t="str">
        <f>IFERROR(INDEX(tblStandings[#All],ROW(B31),COLUMN(B31)),"")</f>
        <v/>
      </c>
      <c r="BX31" s="1" t="str">
        <f>IFERROR(INDEX(tblStandings[#All],ROW(C31),COLUMN(C31)),"")</f>
        <v/>
      </c>
      <c r="BY31" s="1" t="str">
        <f>IFERROR(INDEX(tblStandings[#All],ROW(D31),COLUMN(D31)),"")</f>
        <v/>
      </c>
      <c r="BZ31" s="1" t="str">
        <f>IFERROR(INDEX(tblStandings[#All],ROW(E31),COLUMN(E31)),"")</f>
        <v/>
      </c>
      <c r="CA31" s="1" t="str">
        <f>IFERROR(INDEX(tblStandings[#All],ROW(F31),COLUMN(F31)),"")</f>
        <v/>
      </c>
      <c r="CB31" s="1" t="str">
        <f>IFERROR(INDEX(tblStandings[#All],ROW(G31),COLUMN(G31)),"")</f>
        <v/>
      </c>
      <c r="CC31" s="1" t="str">
        <f>IFERROR(INDEX(tblStandings[#All],ROW(H31),COLUMN(H31)),"")</f>
        <v/>
      </c>
      <c r="CD31" s="1" t="str">
        <f>IFERROR(INDEX(tblStandings[#All],ROW(I31),COLUMN(I31)),"")</f>
        <v/>
      </c>
      <c r="CE31" s="1" t="str">
        <f>IFERROR(INDEX(tblStandings[#All],ROW(J31),COLUMN(J31)),"")</f>
        <v/>
      </c>
      <c r="CF31" s="1" t="str">
        <f>IFERROR(INDEX(tblStandings[#All],ROW(K31),COLUMN(K31)),"")</f>
        <v/>
      </c>
      <c r="CG31" s="1" t="str">
        <f t="shared" si="0"/>
        <v/>
      </c>
      <c r="CH31" s="1" t="str">
        <f t="shared" si="1"/>
        <v/>
      </c>
      <c r="CI31" s="1" t="str">
        <f t="shared" si="2"/>
        <v/>
      </c>
      <c r="CJ31" s="1" t="str">
        <f t="shared" si="3"/>
        <v/>
      </c>
      <c r="CK31" s="1" t="str">
        <f t="shared" si="4"/>
        <v/>
      </c>
    </row>
    <row r="32" spans="1:89" x14ac:dyDescent="0.25">
      <c r="H32" s="1">
        <v>1395253</v>
      </c>
      <c r="I32" s="4">
        <v>46268.541666666664</v>
      </c>
      <c r="J32" s="1" t="s">
        <v>17</v>
      </c>
      <c r="K32" s="1" t="s">
        <v>64</v>
      </c>
      <c r="L32" s="1" t="s">
        <v>720</v>
      </c>
      <c r="M32" s="1" t="s">
        <v>4041</v>
      </c>
      <c r="N32" s="1" t="s">
        <v>4042</v>
      </c>
      <c r="O32" s="1" t="s">
        <v>4043</v>
      </c>
      <c r="Q32" s="1" t="str">
        <f>IF(INDEX(H2H_Last5_Stats_All!$A:$A,ROW()-ROW($Q$31)+2)="","",
IFERROR(
INDEX(H2H_Last5_Stats_All!$A:$ZZ,ROW()-ROW($Q$31)+2,COLUMN()-COLUMN($Q$31)+1),
""))</f>
        <v/>
      </c>
      <c r="R32" s="1" t="str">
        <f>IF(INDEX(H2H_Last5_Stats_All!$A:$A,ROW()-ROW($Q$31)+2)="","",
IFERROR(
INDEX(H2H_Last5_Stats_All!$A:$ZZ,ROW()-ROW($Q$31)+2,COLUMN()-COLUMN($Q$31)+1),
""))</f>
        <v/>
      </c>
      <c r="S32" s="1" t="str">
        <f>IF(INDEX(H2H_Last5_Stats_All!$A:$A,ROW()-ROW($Q$31)+2)="","",
IFERROR(
INDEX(H2H_Last5_Stats_All!$A:$ZZ,ROW()-ROW($Q$31)+2,COLUMN()-COLUMN($Q$31)+1),
""))</f>
        <v/>
      </c>
      <c r="T32" s="1" t="str">
        <f>IF(INDEX(H2H_Last5_Stats_All!$A:$A,ROW()-ROW($Q$31)+2)="","",
IFERROR(
INDEX(H2H_Last5_Stats_All!$A:$ZZ,ROW()-ROW($Q$31)+2,COLUMN()-COLUMN($Q$31)+1),
""))</f>
        <v/>
      </c>
      <c r="U32" s="1" t="str">
        <f>IF(INDEX(H2H_Last5_Stats_All!$A:$A,ROW()-ROW($Q$31)+2)="","",
IFERROR(
INDEX(H2H_Last5_Stats_All!$A:$ZZ,ROW()-ROW($Q$31)+2,COLUMN()-COLUMN($Q$31)+1),
""))</f>
        <v/>
      </c>
      <c r="V32" s="1" t="str">
        <f>IF(INDEX(H2H_Last5_Stats_All!$A:$A,ROW()-ROW($Q$31)+2)="","",
IFERROR(
INDEX(H2H_Last5_Stats_All!$A:$ZZ,ROW()-ROW($Q$31)+2,COLUMN()-COLUMN($Q$31)+1),
""))</f>
        <v/>
      </c>
      <c r="W32" s="1" t="str">
        <f>IF(INDEX(H2H_Last5_Stats_All!$A:$A,ROW()-ROW($Q$31)+2)="","",
IFERROR(
INDEX(H2H_Last5_Stats_All!$A:$ZZ,ROW()-ROW($Q$31)+2,COLUMN()-COLUMN($Q$31)+1),
""))</f>
        <v/>
      </c>
      <c r="X32" s="1" t="str">
        <f>IF(INDEX(H2H_Last5_Stats_All!$A:$A,ROW()-ROW($Q$31)+2)="","",
IFERROR(
INDEX(H2H_Last5_Stats_All!$A:$ZZ,ROW()-ROW($Q$31)+2,COLUMN()-COLUMN($Q$31)+1),
""))</f>
        <v/>
      </c>
      <c r="Y32" s="1" t="str">
        <f>IF(INDEX(H2H_Last5_Stats_All!$A:$A,ROW()-ROW($Q$31)+2)="","",
IFERROR(
INDEX(H2H_Last5_Stats_All!$A:$ZZ,ROW()-ROW($Q$31)+2,COLUMN()-COLUMN($Q$31)+1),
""))</f>
        <v/>
      </c>
      <c r="Z32" s="1" t="str">
        <f>IF(INDEX(H2H_Last5_Stats_All!$A:$A,ROW()-ROW($Q$31)+2)="","",
IFERROR(
INDEX(H2H_Last5_Stats_All!$A:$ZZ,ROW()-ROW($Q$31)+2,COLUMN()-COLUMN($Q$31)+1),
""))</f>
        <v/>
      </c>
      <c r="AA32" s="1" t="str">
        <f>IF(INDEX(H2H_Last5_Stats_All!$A:$A,ROW()-ROW($Q$31)+2)="","",
IFERROR(
INDEX(H2H_Last5_Stats_All!$A:$ZZ,ROW()-ROW($Q$31)+2,COLUMN()-COLUMN($Q$31)+1),
""))</f>
        <v/>
      </c>
      <c r="AB32" s="1" t="str">
        <f>IF(INDEX(H2H_Last5_Stats_All!$A:$A,ROW()-ROW($Q$31)+2)="","",
IFERROR(
INDEX(H2H_Last5_Stats_All!$A:$ZZ,ROW()-ROW($Q$31)+2,COLUMN()-COLUMN($Q$31)+1),
""))</f>
        <v/>
      </c>
      <c r="AC32" s="1" t="str">
        <f>IF(INDEX(H2H_Last5_Stats_All!$A:$A,ROW()-ROW($Q$31)+2)="","",
IFERROR(
INDEX(H2H_Last5_Stats_All!$A:$ZZ,ROW()-ROW($Q$31)+2,COLUMN()-COLUMN($Q$31)+1),
""))</f>
        <v/>
      </c>
      <c r="AD32" s="1" t="str">
        <f>IF(INDEX(H2H_Last5_Stats_All!$A:$A,ROW()-ROW($Q$31)+2)="","",
IFERROR(
INDEX(H2H_Last5_Stats_All!$A:$ZZ,ROW()-ROW($Q$31)+2,COLUMN()-COLUMN($Q$31)+1),
""))</f>
        <v/>
      </c>
      <c r="AE32" s="1" t="str">
        <f>IF(INDEX(H2H_Last5_Stats_All!$A:$A,ROW()-ROW($Q$31)+2)="","",
IFERROR(
INDEX(H2H_Last5_Stats_All!$A:$ZZ,ROW()-ROW($Q$31)+2,COLUMN()-COLUMN($Q$31)+1),
""))</f>
        <v/>
      </c>
      <c r="AF32" s="1" t="str">
        <f>IF(INDEX(H2H_Last5_Stats_All!$A:$A,ROW()-ROW($Q$31)+2)="","",
IFERROR(
INDEX(H2H_Last5_Stats_All!$A:$ZZ,ROW()-ROW($Q$31)+2,COLUMN()-COLUMN($Q$31)+1),
""))</f>
        <v/>
      </c>
      <c r="AG32" s="1" t="str">
        <f>IF(INDEX(H2H_Last5_Stats_All!$A:$A,ROW()-ROW($Q$31)+2)="","",
IFERROR(
INDEX(H2H_Last5_Stats_All!$A:$ZZ,ROW()-ROW($Q$31)+2,COLUMN()-COLUMN($Q$31)+1),
""))</f>
        <v/>
      </c>
      <c r="AH32" s="1" t="str">
        <f>IF(INDEX(H2H_Last5_Stats_All!$A:$A,ROW()-ROW($Q$31)+2)="","",
IFERROR(
INDEX(H2H_Last5_Stats_All!$A:$ZZ,ROW()-ROW($Q$31)+2,COLUMN()-COLUMN($Q$31)+1),
""))</f>
        <v/>
      </c>
      <c r="AI32" s="1" t="str">
        <f>IF(INDEX(H2H_Last5_Stats_All!$A:$A,ROW()-ROW($Q$31)+2)="","",
IFERROR(
INDEX(H2H_Last5_Stats_All!$A:$ZZ,ROW()-ROW($Q$31)+2,COLUMN()-COLUMN($Q$31)+1),
""))</f>
        <v/>
      </c>
      <c r="AJ32" s="1" t="str">
        <f>IF(INDEX(H2H_Last5_Stats_All!$A:$A,ROW()-ROW($Q$31)+2)="","",
IFERROR(
INDEX(H2H_Last5_Stats_All!$A:$ZZ,ROW()-ROW($Q$31)+2,COLUMN()-COLUMN($Q$31)+1),
""))</f>
        <v/>
      </c>
      <c r="AK32" s="1" t="str">
        <f>IF(INDEX(H2H_Last5_Stats_All!$A:$A,ROW()-ROW($Q$31)+2)="","",
IFERROR(
INDEX(H2H_Last5_Stats_All!$A:$ZZ,ROW()-ROW($Q$31)+2,COLUMN()-COLUMN($Q$31)+1),
""))</f>
        <v/>
      </c>
      <c r="AL32" s="1" t="str">
        <f>IF(INDEX(H2H_Last5_Stats_All!$A:$A,ROW()-ROW($Q$31)+2)="","",
IFERROR(
INDEX(H2H_Last5_Stats_All!$A:$ZZ,ROW()-ROW($Q$31)+2,COLUMN()-COLUMN($Q$31)+1),
""))</f>
        <v/>
      </c>
      <c r="AM32" s="1" t="str">
        <f>IF(INDEX(H2H_Last5_Stats_All!$A:$A,ROW()-ROW($Q$31)+2)="","",
IFERROR(
INDEX(H2H_Last5_Stats_All!$A:$ZZ,ROW()-ROW($Q$31)+2,COLUMN()-COLUMN($Q$31)+1),
""))</f>
        <v/>
      </c>
      <c r="AN32" s="1" t="str">
        <f>IF(INDEX(H2H_Last5_Stats_All!$A:$A,ROW()-ROW($Q$31)+2)="","",
IFERROR(
INDEX(H2H_Last5_Stats_All!$A:$ZZ,ROW()-ROW($Q$31)+2,COLUMN()-COLUMN($Q$31)+1),
""))</f>
        <v/>
      </c>
      <c r="AO32" s="1" t="str">
        <f>IF(INDEX(H2H_Last5_Stats_All!$A:$A,ROW()-ROW($Q$31)+2)="","",
IFERROR(
INDEX(H2H_Last5_Stats_All!$A:$ZZ,ROW()-ROW($Q$31)+2,COLUMN()-COLUMN($Q$31)+1),
""))</f>
        <v/>
      </c>
      <c r="AP32" s="1" t="str">
        <f>IF(INDEX(H2H_Last5_Stats_All!$A:$A,ROW()-ROW($Q$31)+2)="","",
IFERROR(
INDEX(H2H_Last5_Stats_All!$A:$ZZ,ROW()-ROW($Q$31)+2,COLUMN()-COLUMN($Q$31)+1),
""))</f>
        <v/>
      </c>
      <c r="AQ32" s="1" t="str">
        <f>IF(INDEX(H2H_Last5_Stats_All!$A:$A,ROW()-ROW($Q$31)+2)="","",
IFERROR(
INDEX(H2H_Last5_Stats_All!$A:$ZZ,ROW()-ROW($Q$31)+2,COLUMN()-COLUMN($Q$31)+1),
""))</f>
        <v/>
      </c>
      <c r="AR32" s="1" t="str">
        <f>IF(INDEX(H2H_Last5_Stats_All!$A:$A,ROW()-ROW($Q$31)+2)="","",
IFERROR(
INDEX(H2H_Last5_Stats_All!$A:$ZZ,ROW()-ROW($Q$31)+2,COLUMN()-COLUMN($Q$31)+1),
""))</f>
        <v/>
      </c>
      <c r="AS32" s="1" t="str">
        <f>IF(INDEX(H2H_Last5_Stats_All!$A:$A,ROW()-ROW($Q$31)+2)="","",
IFERROR(
INDEX(H2H_Last5_Stats_All!$A:$ZZ,ROW()-ROW($Q$31)+2,COLUMN()-COLUMN($Q$31)+1),
""))</f>
        <v/>
      </c>
      <c r="AT32" s="1" t="str">
        <f>IF(INDEX(H2H_Last5_Stats_All!$A:$A,ROW()-ROW($Q$31)+2)="","",
IFERROR(
INDEX(H2H_Last5_Stats_All!$A:$ZZ,ROW()-ROW($Q$31)+2,COLUMN()-COLUMN($Q$31)+1),
""))</f>
        <v/>
      </c>
      <c r="AU32" s="1" t="str">
        <f>IF(INDEX(H2H_Last5_Stats_All!$A:$A,ROW()-ROW($Q$31)+2)="","",
IFERROR(
INDEX(H2H_Last5_Stats_All!$A:$ZZ,ROW()-ROW($Q$31)+2,COLUMN()-COLUMN($Q$31)+1),
""))</f>
        <v/>
      </c>
      <c r="AV32" s="1" t="str">
        <f>IF(INDEX(H2H_Last5_Stats_All!$A:$A,ROW()-ROW($Q$31)+2)="","",
IFERROR(
INDEX(H2H_Last5_Stats_All!$A:$ZZ,ROW()-ROW($Q$31)+2,COLUMN()-COLUMN($Q$31)+1),
""))</f>
        <v/>
      </c>
      <c r="AW32" s="1" t="str">
        <f>IF(INDEX(H2H_Last5_Stats_All!$A:$A,ROW()-ROW($Q$31)+2)="","",
IFERROR(
INDEX(H2H_Last5_Stats_All!$A:$ZZ,ROW()-ROW($Q$31)+2,COLUMN()-COLUMN($Q$31)+1),
""))</f>
        <v/>
      </c>
      <c r="AX32" s="1" t="str">
        <f>IF(INDEX(H2H_Last5_Stats_All!$A:$A,ROW()-ROW($Q$31)+2)="","",
IFERROR(
INDEX(H2H_Last5_Stats_All!$A:$ZZ,ROW()-ROW($Q$31)+2,COLUMN()-COLUMN($Q$31)+1),
""))</f>
        <v/>
      </c>
      <c r="AY32" s="1" t="str">
        <f>IF(INDEX(H2H_Last5_Stats_All!$A:$A,ROW()-ROW($Q$31)+2)="","",
IFERROR(
INDEX(H2H_Last5_Stats_All!$A:$ZZ,ROW()-ROW($Q$31)+2,COLUMN()-COLUMN($Q$31)+1),
""))</f>
        <v/>
      </c>
      <c r="AZ32" s="1" t="str">
        <f>IF(INDEX(H2H_Last5_Stats_All!$A:$A,ROW()-ROW($Q$31)+2)="","",
IFERROR(
INDEX(H2H_Last5_Stats_All!$A:$ZZ,ROW()-ROW($Q$31)+2,COLUMN()-COLUMN($Q$31)+1),
""))</f>
        <v/>
      </c>
      <c r="BA32" s="1" t="str">
        <f>IF(INDEX(H2H_Last5_Stats_All!$A:$A,ROW()-ROW($Q$31)+2)="","",
IFERROR(
INDEX(H2H_Last5_Stats_All!$A:$ZZ,ROW()-ROW($Q$31)+2,COLUMN()-COLUMN($Q$31)+1),
""))</f>
        <v/>
      </c>
      <c r="BB32" s="1" t="str">
        <f>IF(INDEX(H2H_Last5_Stats_All!$A:$A,ROW()-ROW($Q$31)+2)="","",
IFERROR(
INDEX(H2H_Last5_Stats_All!$A:$ZZ,ROW()-ROW($Q$31)+2,COLUMN()-COLUMN($Q$31)+1),
""))</f>
        <v/>
      </c>
      <c r="BC32" s="1" t="str">
        <f>IF(INDEX(H2H_Last5_Stats_All!$A:$A,ROW()-ROW($Q$31)+2)="","",
IFERROR(
INDEX(H2H_Last5_Stats_All!$A:$ZZ,ROW()-ROW($Q$31)+2,COLUMN()-COLUMN($Q$31)+1),
""))</f>
        <v/>
      </c>
      <c r="BD32" s="1" t="str">
        <f>IF(INDEX(H2H_Last5_Stats_All!$A:$A,ROW()-ROW($Q$31)+2)="","",
IFERROR(
INDEX(H2H_Last5_Stats_All!$A:$ZZ,ROW()-ROW($Q$31)+2,COLUMN()-COLUMN($Q$31)+1),
""))</f>
        <v/>
      </c>
      <c r="BE32" s="1" t="str">
        <f>IF(INDEX(H2H_Last5_Stats_All!$A:$A,ROW()-ROW($Q$31)+2)="","",
IFERROR(
INDEX(H2H_Last5_Stats_All!$A:$ZZ,ROW()-ROW($Q$31)+2,COLUMN()-COLUMN($Q$31)+1),
""))</f>
        <v/>
      </c>
      <c r="BF32" s="1" t="str">
        <f>IF(INDEX(H2H_Last5_Stats_All!$A:$A,ROW()-ROW($Q$31)+2)="","",
IFERROR(
INDEX(H2H_Last5_Stats_All!$A:$ZZ,ROW()-ROW($Q$31)+2,COLUMN()-COLUMN($Q$31)+1),
""))</f>
        <v/>
      </c>
      <c r="BG32" s="1" t="str">
        <f>IF(INDEX(H2H_Last5_Stats_All!$A:$A,ROW()-ROW($Q$31)+2)="","",
IFERROR(
INDEX(H2H_Last5_Stats_All!$A:$ZZ,ROW()-ROW($Q$31)+2,COLUMN()-COLUMN($Q$31)+1),
""))</f>
        <v/>
      </c>
      <c r="BH32" s="1" t="str">
        <f>IF(INDEX(H2H_Last5_Stats_All!$A:$A,ROW()-ROW($Q$31)+2)="","",
IFERROR(
INDEX(H2H_Last5_Stats_All!$A:$ZZ,ROW()-ROW($Q$31)+2,COLUMN()-COLUMN($Q$31)+1),
""))</f>
        <v/>
      </c>
      <c r="BI32" s="1" t="str">
        <f>IF(INDEX(H2H_Last5_Stats_All!$A:$A,ROW()-ROW($Q$31)+2)="","",
IFERROR(
INDEX(H2H_Last5_Stats_All!$A:$ZZ,ROW()-ROW($Q$31)+2,COLUMN()-COLUMN($Q$31)+1),
""))</f>
        <v/>
      </c>
      <c r="BJ32" s="1" t="str">
        <f>IF(INDEX(H2H_Last5_Stats_All!$A:$A,ROW()-ROW($Q$31)+2)="","",
IFERROR(
INDEX(H2H_Last5_Stats_All!$A:$ZZ,ROW()-ROW($Q$31)+2,COLUMN()-COLUMN($Q$31)+1),
""))</f>
        <v/>
      </c>
      <c r="BK32" s="1" t="str">
        <f>IF(INDEX(H2H_Last5_Stats_All!$A:$A,ROW()-ROW($Q$31)+2)="","",
IFERROR(
INDEX(H2H_Last5_Stats_All!$A:$ZZ,ROW()-ROW($Q$31)+2,COLUMN()-COLUMN($Q$31)+1),
""))</f>
        <v/>
      </c>
      <c r="BL32" s="1" t="str">
        <f>IF(INDEX(H2H_Last5_Stats_All!$A:$A,ROW()-ROW($Q$31)+2)="","",
IFERROR(
INDEX(H2H_Last5_Stats_All!$A:$ZZ,ROW()-ROW($Q$31)+2,COLUMN()-COLUMN($Q$31)+1),
""))</f>
        <v/>
      </c>
      <c r="BM32" s="1" t="str">
        <f>IF(INDEX(H2H_Last5_Stats_All!$A:$A,ROW()-ROW($Q$31)+2)="","",
IFERROR(
INDEX(H2H_Last5_Stats_All!$A:$ZZ,ROW()-ROW($Q$31)+2,COLUMN()-COLUMN($Q$31)+1),
""))</f>
        <v/>
      </c>
      <c r="BN32" s="1" t="str">
        <f>IF(INDEX(H2H_Last5_Stats_All!$A:$A,ROW()-ROW($Q$31)+2)="","",
IFERROR(
INDEX(H2H_Last5_Stats_All!$A:$ZZ,ROW()-ROW($Q$31)+2,COLUMN()-COLUMN($Q$31)+1),
""))</f>
        <v/>
      </c>
      <c r="BO32" s="1" t="str">
        <f>IF(INDEX(H2H_Last5_Stats_All!$A:$A,ROW()-ROW($Q$31)+2)="","",
IFERROR(
INDEX(H2H_Last5_Stats_All!$A:$ZZ,ROW()-ROW($Q$31)+2,COLUMN()-COLUMN($Q$31)+1),
""))</f>
        <v/>
      </c>
      <c r="BP32" s="1" t="str">
        <f>IF(INDEX(H2H_Last5_Stats_All!$A:$A,ROW()-ROW($Q$31)+2)="","",
IFERROR(
INDEX(H2H_Last5_Stats_All!$A:$ZZ,ROW()-ROW($Q$31)+2,COLUMN()-COLUMN($Q$31)+1),
""))</f>
        <v/>
      </c>
      <c r="BR32" s="1" t="str">
        <f>IF(OR(Control!AC32="",Control!AD32=""),"",Control!AC32&amp;" : "&amp;Control!AD32)</f>
        <v/>
      </c>
      <c r="BS32" s="1" t="str">
        <f>IF(OR(Control!AE32="",Control!AF32=""),"",Control!AE32&amp;" : "&amp;Control!AF32)</f>
        <v/>
      </c>
      <c r="BT32" s="1" t="str">
        <f>IF(OR(Control!AU32="",Control!AV32=""),"",Control!AU32&amp;" : "&amp;Control!AV32)</f>
        <v/>
      </c>
      <c r="BV32" s="1" t="str">
        <f>IFERROR(INDEX(tblStandings[#All],ROW(A32),COLUMN(A32)),"")</f>
        <v/>
      </c>
      <c r="BW32" s="1" t="str">
        <f>IFERROR(INDEX(tblStandings[#All],ROW(B32),COLUMN(B32)),"")</f>
        <v/>
      </c>
      <c r="BX32" s="1" t="str">
        <f>IFERROR(INDEX(tblStandings[#All],ROW(C32),COLUMN(C32)),"")</f>
        <v/>
      </c>
      <c r="BY32" s="1" t="str">
        <f>IFERROR(INDEX(tblStandings[#All],ROW(D32),COLUMN(D32)),"")</f>
        <v/>
      </c>
      <c r="BZ32" s="1" t="str">
        <f>IFERROR(INDEX(tblStandings[#All],ROW(E32),COLUMN(E32)),"")</f>
        <v/>
      </c>
      <c r="CA32" s="1" t="str">
        <f>IFERROR(INDEX(tblStandings[#All],ROW(F32),COLUMN(F32)),"")</f>
        <v/>
      </c>
      <c r="CB32" s="1" t="str">
        <f>IFERROR(INDEX(tblStandings[#All],ROW(G32),COLUMN(G32)),"")</f>
        <v/>
      </c>
      <c r="CC32" s="1" t="str">
        <f>IFERROR(INDEX(tblStandings[#All],ROW(H32),COLUMN(H32)),"")</f>
        <v/>
      </c>
      <c r="CD32" s="1" t="str">
        <f>IFERROR(INDEX(tblStandings[#All],ROW(I32),COLUMN(I32)),"")</f>
        <v/>
      </c>
      <c r="CE32" s="1" t="str">
        <f>IFERROR(INDEX(tblStandings[#All],ROW(J32),COLUMN(J32)),"")</f>
        <v/>
      </c>
      <c r="CF32" s="1" t="str">
        <f>IFERROR(INDEX(tblStandings[#All],ROW(K32),COLUMN(K32)),"")</f>
        <v/>
      </c>
      <c r="CG32" s="1" t="str">
        <f t="shared" si="0"/>
        <v/>
      </c>
      <c r="CH32" s="1" t="str">
        <f t="shared" si="1"/>
        <v/>
      </c>
      <c r="CI32" s="1" t="str">
        <f t="shared" si="2"/>
        <v/>
      </c>
      <c r="CJ32" s="1" t="str">
        <f t="shared" si="3"/>
        <v/>
      </c>
      <c r="CK32" s="1" t="str">
        <f t="shared" si="4"/>
        <v/>
      </c>
    </row>
    <row r="33" spans="8:89" x14ac:dyDescent="0.25">
      <c r="H33" s="1">
        <v>1395258</v>
      </c>
      <c r="I33" s="4">
        <v>46268.541666666664</v>
      </c>
      <c r="J33" s="1" t="s">
        <v>17</v>
      </c>
      <c r="K33" s="1" t="s">
        <v>64</v>
      </c>
      <c r="L33" s="1" t="s">
        <v>720</v>
      </c>
      <c r="M33" s="1" t="s">
        <v>4044</v>
      </c>
      <c r="N33" s="1" t="s">
        <v>4045</v>
      </c>
      <c r="O33" s="1" t="s">
        <v>4046</v>
      </c>
      <c r="Q33" s="1" t="str">
        <f>IF(INDEX(H2H_Last5_Stats_All!$A:$A,ROW()-ROW($Q$31)+2)="","",
IFERROR(
INDEX(H2H_Last5_Stats_All!$A:$ZZ,ROW()-ROW($Q$31)+2,COLUMN()-COLUMN($Q$31)+1),
""))</f>
        <v/>
      </c>
      <c r="R33" s="1" t="str">
        <f>IF(INDEX(H2H_Last5_Stats_All!$A:$A,ROW()-ROW($Q$31)+2)="","",
IFERROR(
INDEX(H2H_Last5_Stats_All!$A:$ZZ,ROW()-ROW($Q$31)+2,COLUMN()-COLUMN($Q$31)+1),
""))</f>
        <v/>
      </c>
      <c r="S33" s="1" t="str">
        <f>IF(INDEX(H2H_Last5_Stats_All!$A:$A,ROW()-ROW($Q$31)+2)="","",
IFERROR(
INDEX(H2H_Last5_Stats_All!$A:$ZZ,ROW()-ROW($Q$31)+2,COLUMN()-COLUMN($Q$31)+1),
""))</f>
        <v/>
      </c>
      <c r="T33" s="1" t="str">
        <f>IF(INDEX(H2H_Last5_Stats_All!$A:$A,ROW()-ROW($Q$31)+2)="","",
IFERROR(
INDEX(H2H_Last5_Stats_All!$A:$ZZ,ROW()-ROW($Q$31)+2,COLUMN()-COLUMN($Q$31)+1),
""))</f>
        <v/>
      </c>
      <c r="U33" s="1" t="str">
        <f>IF(INDEX(H2H_Last5_Stats_All!$A:$A,ROW()-ROW($Q$31)+2)="","",
IFERROR(
INDEX(H2H_Last5_Stats_All!$A:$ZZ,ROW()-ROW($Q$31)+2,COLUMN()-COLUMN($Q$31)+1),
""))</f>
        <v/>
      </c>
      <c r="V33" s="1" t="str">
        <f>IF(INDEX(H2H_Last5_Stats_All!$A:$A,ROW()-ROW($Q$31)+2)="","",
IFERROR(
INDEX(H2H_Last5_Stats_All!$A:$ZZ,ROW()-ROW($Q$31)+2,COLUMN()-COLUMN($Q$31)+1),
""))</f>
        <v/>
      </c>
      <c r="W33" s="1" t="str">
        <f>IF(INDEX(H2H_Last5_Stats_All!$A:$A,ROW()-ROW($Q$31)+2)="","",
IFERROR(
INDEX(H2H_Last5_Stats_All!$A:$ZZ,ROW()-ROW($Q$31)+2,COLUMN()-COLUMN($Q$31)+1),
""))</f>
        <v/>
      </c>
      <c r="X33" s="1" t="str">
        <f>IF(INDEX(H2H_Last5_Stats_All!$A:$A,ROW()-ROW($Q$31)+2)="","",
IFERROR(
INDEX(H2H_Last5_Stats_All!$A:$ZZ,ROW()-ROW($Q$31)+2,COLUMN()-COLUMN($Q$31)+1),
""))</f>
        <v/>
      </c>
      <c r="Y33" s="1" t="str">
        <f>IF(INDEX(H2H_Last5_Stats_All!$A:$A,ROW()-ROW($Q$31)+2)="","",
IFERROR(
INDEX(H2H_Last5_Stats_All!$A:$ZZ,ROW()-ROW($Q$31)+2,COLUMN()-COLUMN($Q$31)+1),
""))</f>
        <v/>
      </c>
      <c r="Z33" s="1" t="str">
        <f>IF(INDEX(H2H_Last5_Stats_All!$A:$A,ROW()-ROW($Q$31)+2)="","",
IFERROR(
INDEX(H2H_Last5_Stats_All!$A:$ZZ,ROW()-ROW($Q$31)+2,COLUMN()-COLUMN($Q$31)+1),
""))</f>
        <v/>
      </c>
      <c r="AA33" s="1" t="str">
        <f>IF(INDEX(H2H_Last5_Stats_All!$A:$A,ROW()-ROW($Q$31)+2)="","",
IFERROR(
INDEX(H2H_Last5_Stats_All!$A:$ZZ,ROW()-ROW($Q$31)+2,COLUMN()-COLUMN($Q$31)+1),
""))</f>
        <v/>
      </c>
      <c r="AB33" s="1" t="str">
        <f>IF(INDEX(H2H_Last5_Stats_All!$A:$A,ROW()-ROW($Q$31)+2)="","",
IFERROR(
INDEX(H2H_Last5_Stats_All!$A:$ZZ,ROW()-ROW($Q$31)+2,COLUMN()-COLUMN($Q$31)+1),
""))</f>
        <v/>
      </c>
      <c r="AC33" s="1" t="str">
        <f>IF(INDEX(H2H_Last5_Stats_All!$A:$A,ROW()-ROW($Q$31)+2)="","",
IFERROR(
INDEX(H2H_Last5_Stats_All!$A:$ZZ,ROW()-ROW($Q$31)+2,COLUMN()-COLUMN($Q$31)+1),
""))</f>
        <v/>
      </c>
      <c r="AD33" s="1" t="str">
        <f>IF(INDEX(H2H_Last5_Stats_All!$A:$A,ROW()-ROW($Q$31)+2)="","",
IFERROR(
INDEX(H2H_Last5_Stats_All!$A:$ZZ,ROW()-ROW($Q$31)+2,COLUMN()-COLUMN($Q$31)+1),
""))</f>
        <v/>
      </c>
      <c r="AE33" s="1" t="str">
        <f>IF(INDEX(H2H_Last5_Stats_All!$A:$A,ROW()-ROW($Q$31)+2)="","",
IFERROR(
INDEX(H2H_Last5_Stats_All!$A:$ZZ,ROW()-ROW($Q$31)+2,COLUMN()-COLUMN($Q$31)+1),
""))</f>
        <v/>
      </c>
      <c r="AF33" s="1" t="str">
        <f>IF(INDEX(H2H_Last5_Stats_All!$A:$A,ROW()-ROW($Q$31)+2)="","",
IFERROR(
INDEX(H2H_Last5_Stats_All!$A:$ZZ,ROW()-ROW($Q$31)+2,COLUMN()-COLUMN($Q$31)+1),
""))</f>
        <v/>
      </c>
      <c r="AG33" s="1" t="str">
        <f>IF(INDEX(H2H_Last5_Stats_All!$A:$A,ROW()-ROW($Q$31)+2)="","",
IFERROR(
INDEX(H2H_Last5_Stats_All!$A:$ZZ,ROW()-ROW($Q$31)+2,COLUMN()-COLUMN($Q$31)+1),
""))</f>
        <v/>
      </c>
      <c r="AH33" s="1" t="str">
        <f>IF(INDEX(H2H_Last5_Stats_All!$A:$A,ROW()-ROW($Q$31)+2)="","",
IFERROR(
INDEX(H2H_Last5_Stats_All!$A:$ZZ,ROW()-ROW($Q$31)+2,COLUMN()-COLUMN($Q$31)+1),
""))</f>
        <v/>
      </c>
      <c r="AI33" s="1" t="str">
        <f>IF(INDEX(H2H_Last5_Stats_All!$A:$A,ROW()-ROW($Q$31)+2)="","",
IFERROR(
INDEX(H2H_Last5_Stats_All!$A:$ZZ,ROW()-ROW($Q$31)+2,COLUMN()-COLUMN($Q$31)+1),
""))</f>
        <v/>
      </c>
      <c r="AJ33" s="1" t="str">
        <f>IF(INDEX(H2H_Last5_Stats_All!$A:$A,ROW()-ROW($Q$31)+2)="","",
IFERROR(
INDEX(H2H_Last5_Stats_All!$A:$ZZ,ROW()-ROW($Q$31)+2,COLUMN()-COLUMN($Q$31)+1),
""))</f>
        <v/>
      </c>
      <c r="AK33" s="1" t="str">
        <f>IF(INDEX(H2H_Last5_Stats_All!$A:$A,ROW()-ROW($Q$31)+2)="","",
IFERROR(
INDEX(H2H_Last5_Stats_All!$A:$ZZ,ROW()-ROW($Q$31)+2,COLUMN()-COLUMN($Q$31)+1),
""))</f>
        <v/>
      </c>
      <c r="AL33" s="1" t="str">
        <f>IF(INDEX(H2H_Last5_Stats_All!$A:$A,ROW()-ROW($Q$31)+2)="","",
IFERROR(
INDEX(H2H_Last5_Stats_All!$A:$ZZ,ROW()-ROW($Q$31)+2,COLUMN()-COLUMN($Q$31)+1),
""))</f>
        <v/>
      </c>
      <c r="AM33" s="1" t="str">
        <f>IF(INDEX(H2H_Last5_Stats_All!$A:$A,ROW()-ROW($Q$31)+2)="","",
IFERROR(
INDEX(H2H_Last5_Stats_All!$A:$ZZ,ROW()-ROW($Q$31)+2,COLUMN()-COLUMN($Q$31)+1),
""))</f>
        <v/>
      </c>
      <c r="AN33" s="1" t="str">
        <f>IF(INDEX(H2H_Last5_Stats_All!$A:$A,ROW()-ROW($Q$31)+2)="","",
IFERROR(
INDEX(H2H_Last5_Stats_All!$A:$ZZ,ROW()-ROW($Q$31)+2,COLUMN()-COLUMN($Q$31)+1),
""))</f>
        <v/>
      </c>
      <c r="AO33" s="1" t="str">
        <f>IF(INDEX(H2H_Last5_Stats_All!$A:$A,ROW()-ROW($Q$31)+2)="","",
IFERROR(
INDEX(H2H_Last5_Stats_All!$A:$ZZ,ROW()-ROW($Q$31)+2,COLUMN()-COLUMN($Q$31)+1),
""))</f>
        <v/>
      </c>
      <c r="AP33" s="1" t="str">
        <f>IF(INDEX(H2H_Last5_Stats_All!$A:$A,ROW()-ROW($Q$31)+2)="","",
IFERROR(
INDEX(H2H_Last5_Stats_All!$A:$ZZ,ROW()-ROW($Q$31)+2,COLUMN()-COLUMN($Q$31)+1),
""))</f>
        <v/>
      </c>
      <c r="AQ33" s="1" t="str">
        <f>IF(INDEX(H2H_Last5_Stats_All!$A:$A,ROW()-ROW($Q$31)+2)="","",
IFERROR(
INDEX(H2H_Last5_Stats_All!$A:$ZZ,ROW()-ROW($Q$31)+2,COLUMN()-COLUMN($Q$31)+1),
""))</f>
        <v/>
      </c>
      <c r="AR33" s="1" t="str">
        <f>IF(INDEX(H2H_Last5_Stats_All!$A:$A,ROW()-ROW($Q$31)+2)="","",
IFERROR(
INDEX(H2H_Last5_Stats_All!$A:$ZZ,ROW()-ROW($Q$31)+2,COLUMN()-COLUMN($Q$31)+1),
""))</f>
        <v/>
      </c>
      <c r="AS33" s="1" t="str">
        <f>IF(INDEX(H2H_Last5_Stats_All!$A:$A,ROW()-ROW($Q$31)+2)="","",
IFERROR(
INDEX(H2H_Last5_Stats_All!$A:$ZZ,ROW()-ROW($Q$31)+2,COLUMN()-COLUMN($Q$31)+1),
""))</f>
        <v/>
      </c>
      <c r="AT33" s="1" t="str">
        <f>IF(INDEX(H2H_Last5_Stats_All!$A:$A,ROW()-ROW($Q$31)+2)="","",
IFERROR(
INDEX(H2H_Last5_Stats_All!$A:$ZZ,ROW()-ROW($Q$31)+2,COLUMN()-COLUMN($Q$31)+1),
""))</f>
        <v/>
      </c>
      <c r="AU33" s="1" t="str">
        <f>IF(INDEX(H2H_Last5_Stats_All!$A:$A,ROW()-ROW($Q$31)+2)="","",
IFERROR(
INDEX(H2H_Last5_Stats_All!$A:$ZZ,ROW()-ROW($Q$31)+2,COLUMN()-COLUMN($Q$31)+1),
""))</f>
        <v/>
      </c>
      <c r="AV33" s="1" t="str">
        <f>IF(INDEX(H2H_Last5_Stats_All!$A:$A,ROW()-ROW($Q$31)+2)="","",
IFERROR(
INDEX(H2H_Last5_Stats_All!$A:$ZZ,ROW()-ROW($Q$31)+2,COLUMN()-COLUMN($Q$31)+1),
""))</f>
        <v/>
      </c>
      <c r="AW33" s="1" t="str">
        <f>IF(INDEX(H2H_Last5_Stats_All!$A:$A,ROW()-ROW($Q$31)+2)="","",
IFERROR(
INDEX(H2H_Last5_Stats_All!$A:$ZZ,ROW()-ROW($Q$31)+2,COLUMN()-COLUMN($Q$31)+1),
""))</f>
        <v/>
      </c>
      <c r="AX33" s="1" t="str">
        <f>IF(INDEX(H2H_Last5_Stats_All!$A:$A,ROW()-ROW($Q$31)+2)="","",
IFERROR(
INDEX(H2H_Last5_Stats_All!$A:$ZZ,ROW()-ROW($Q$31)+2,COLUMN()-COLUMN($Q$31)+1),
""))</f>
        <v/>
      </c>
      <c r="AY33" s="1" t="str">
        <f>IF(INDEX(H2H_Last5_Stats_All!$A:$A,ROW()-ROW($Q$31)+2)="","",
IFERROR(
INDEX(H2H_Last5_Stats_All!$A:$ZZ,ROW()-ROW($Q$31)+2,COLUMN()-COLUMN($Q$31)+1),
""))</f>
        <v/>
      </c>
      <c r="AZ33" s="1" t="str">
        <f>IF(INDEX(H2H_Last5_Stats_All!$A:$A,ROW()-ROW($Q$31)+2)="","",
IFERROR(
INDEX(H2H_Last5_Stats_All!$A:$ZZ,ROW()-ROW($Q$31)+2,COLUMN()-COLUMN($Q$31)+1),
""))</f>
        <v/>
      </c>
      <c r="BA33" s="1" t="str">
        <f>IF(INDEX(H2H_Last5_Stats_All!$A:$A,ROW()-ROW($Q$31)+2)="","",
IFERROR(
INDEX(H2H_Last5_Stats_All!$A:$ZZ,ROW()-ROW($Q$31)+2,COLUMN()-COLUMN($Q$31)+1),
""))</f>
        <v/>
      </c>
      <c r="BB33" s="1" t="str">
        <f>IF(INDEX(H2H_Last5_Stats_All!$A:$A,ROW()-ROW($Q$31)+2)="","",
IFERROR(
INDEX(H2H_Last5_Stats_All!$A:$ZZ,ROW()-ROW($Q$31)+2,COLUMN()-COLUMN($Q$31)+1),
""))</f>
        <v/>
      </c>
      <c r="BC33" s="1" t="str">
        <f>IF(INDEX(H2H_Last5_Stats_All!$A:$A,ROW()-ROW($Q$31)+2)="","",
IFERROR(
INDEX(H2H_Last5_Stats_All!$A:$ZZ,ROW()-ROW($Q$31)+2,COLUMN()-COLUMN($Q$31)+1),
""))</f>
        <v/>
      </c>
      <c r="BD33" s="1" t="str">
        <f>IF(INDEX(H2H_Last5_Stats_All!$A:$A,ROW()-ROW($Q$31)+2)="","",
IFERROR(
INDEX(H2H_Last5_Stats_All!$A:$ZZ,ROW()-ROW($Q$31)+2,COLUMN()-COLUMN($Q$31)+1),
""))</f>
        <v/>
      </c>
      <c r="BE33" s="1" t="str">
        <f>IF(INDEX(H2H_Last5_Stats_All!$A:$A,ROW()-ROW($Q$31)+2)="","",
IFERROR(
INDEX(H2H_Last5_Stats_All!$A:$ZZ,ROW()-ROW($Q$31)+2,COLUMN()-COLUMN($Q$31)+1),
""))</f>
        <v/>
      </c>
      <c r="BF33" s="1" t="str">
        <f>IF(INDEX(H2H_Last5_Stats_All!$A:$A,ROW()-ROW($Q$31)+2)="","",
IFERROR(
INDEX(H2H_Last5_Stats_All!$A:$ZZ,ROW()-ROW($Q$31)+2,COLUMN()-COLUMN($Q$31)+1),
""))</f>
        <v/>
      </c>
      <c r="BG33" s="1" t="str">
        <f>IF(INDEX(H2H_Last5_Stats_All!$A:$A,ROW()-ROW($Q$31)+2)="","",
IFERROR(
INDEX(H2H_Last5_Stats_All!$A:$ZZ,ROW()-ROW($Q$31)+2,COLUMN()-COLUMN($Q$31)+1),
""))</f>
        <v/>
      </c>
      <c r="BH33" s="1" t="str">
        <f>IF(INDEX(H2H_Last5_Stats_All!$A:$A,ROW()-ROW($Q$31)+2)="","",
IFERROR(
INDEX(H2H_Last5_Stats_All!$A:$ZZ,ROW()-ROW($Q$31)+2,COLUMN()-COLUMN($Q$31)+1),
""))</f>
        <v/>
      </c>
      <c r="BI33" s="1" t="str">
        <f>IF(INDEX(H2H_Last5_Stats_All!$A:$A,ROW()-ROW($Q$31)+2)="","",
IFERROR(
INDEX(H2H_Last5_Stats_All!$A:$ZZ,ROW()-ROW($Q$31)+2,COLUMN()-COLUMN($Q$31)+1),
""))</f>
        <v/>
      </c>
      <c r="BJ33" s="1" t="str">
        <f>IF(INDEX(H2H_Last5_Stats_All!$A:$A,ROW()-ROW($Q$31)+2)="","",
IFERROR(
INDEX(H2H_Last5_Stats_All!$A:$ZZ,ROW()-ROW($Q$31)+2,COLUMN()-COLUMN($Q$31)+1),
""))</f>
        <v/>
      </c>
      <c r="BK33" s="1" t="str">
        <f>IF(INDEX(H2H_Last5_Stats_All!$A:$A,ROW()-ROW($Q$31)+2)="","",
IFERROR(
INDEX(H2H_Last5_Stats_All!$A:$ZZ,ROW()-ROW($Q$31)+2,COLUMN()-COLUMN($Q$31)+1),
""))</f>
        <v/>
      </c>
      <c r="BL33" s="1" t="str">
        <f>IF(INDEX(H2H_Last5_Stats_All!$A:$A,ROW()-ROW($Q$31)+2)="","",
IFERROR(
INDEX(H2H_Last5_Stats_All!$A:$ZZ,ROW()-ROW($Q$31)+2,COLUMN()-COLUMN($Q$31)+1),
""))</f>
        <v/>
      </c>
      <c r="BM33" s="1" t="str">
        <f>IF(INDEX(H2H_Last5_Stats_All!$A:$A,ROW()-ROW($Q$31)+2)="","",
IFERROR(
INDEX(H2H_Last5_Stats_All!$A:$ZZ,ROW()-ROW($Q$31)+2,COLUMN()-COLUMN($Q$31)+1),
""))</f>
        <v/>
      </c>
      <c r="BN33" s="1" t="str">
        <f>IF(INDEX(H2H_Last5_Stats_All!$A:$A,ROW()-ROW($Q$31)+2)="","",
IFERROR(
INDEX(H2H_Last5_Stats_All!$A:$ZZ,ROW()-ROW($Q$31)+2,COLUMN()-COLUMN($Q$31)+1),
""))</f>
        <v/>
      </c>
      <c r="BO33" s="1" t="str">
        <f>IF(INDEX(H2H_Last5_Stats_All!$A:$A,ROW()-ROW($Q$31)+2)="","",
IFERROR(
INDEX(H2H_Last5_Stats_All!$A:$ZZ,ROW()-ROW($Q$31)+2,COLUMN()-COLUMN($Q$31)+1),
""))</f>
        <v/>
      </c>
      <c r="BP33" s="1" t="str">
        <f>IF(INDEX(H2H_Last5_Stats_All!$A:$A,ROW()-ROW($Q$31)+2)="","",
IFERROR(
INDEX(H2H_Last5_Stats_All!$A:$ZZ,ROW()-ROW($Q$31)+2,COLUMN()-COLUMN($Q$31)+1),
""))</f>
        <v/>
      </c>
      <c r="BR33" s="1" t="str">
        <f>IF(OR(Control!AC33="",Control!AD33=""),"",Control!AC33&amp;" : "&amp;Control!AD33)</f>
        <v/>
      </c>
      <c r="BS33" s="1" t="str">
        <f>IF(OR(Control!AE33="",Control!AF33=""),"",Control!AE33&amp;" : "&amp;Control!AF33)</f>
        <v/>
      </c>
      <c r="BT33" s="1" t="str">
        <f>IF(OR(Control!AU33="",Control!AV33=""),"",Control!AU33&amp;" : "&amp;Control!AV33)</f>
        <v/>
      </c>
      <c r="BV33" s="1" t="str">
        <f>IFERROR(INDEX(tblStandings[#All],ROW(A33),COLUMN(A33)),"")</f>
        <v/>
      </c>
      <c r="BW33" s="1" t="str">
        <f>IFERROR(INDEX(tblStandings[#All],ROW(B33),COLUMN(B33)),"")</f>
        <v/>
      </c>
      <c r="BX33" s="1" t="str">
        <f>IFERROR(INDEX(tblStandings[#All],ROW(C33),COLUMN(C33)),"")</f>
        <v/>
      </c>
      <c r="BY33" s="1" t="str">
        <f>IFERROR(INDEX(tblStandings[#All],ROW(D33),COLUMN(D33)),"")</f>
        <v/>
      </c>
      <c r="BZ33" s="1" t="str">
        <f>IFERROR(INDEX(tblStandings[#All],ROW(E33),COLUMN(E33)),"")</f>
        <v/>
      </c>
      <c r="CA33" s="1" t="str">
        <f>IFERROR(INDEX(tblStandings[#All],ROW(F33),COLUMN(F33)),"")</f>
        <v/>
      </c>
      <c r="CB33" s="1" t="str">
        <f>IFERROR(INDEX(tblStandings[#All],ROW(G33),COLUMN(G33)),"")</f>
        <v/>
      </c>
      <c r="CC33" s="1" t="str">
        <f>IFERROR(INDEX(tblStandings[#All],ROW(H33),COLUMN(H33)),"")</f>
        <v/>
      </c>
      <c r="CD33" s="1" t="str">
        <f>IFERROR(INDEX(tblStandings[#All],ROW(I33),COLUMN(I33)),"")</f>
        <v/>
      </c>
      <c r="CE33" s="1" t="str">
        <f>IFERROR(INDEX(tblStandings[#All],ROW(J33),COLUMN(J33)),"")</f>
        <v/>
      </c>
      <c r="CF33" s="1" t="str">
        <f>IFERROR(INDEX(tblStandings[#All],ROW(K33),COLUMN(K33)),"")</f>
        <v/>
      </c>
      <c r="CG33" s="1" t="str">
        <f t="shared" si="0"/>
        <v/>
      </c>
      <c r="CH33" s="1" t="str">
        <f t="shared" si="1"/>
        <v/>
      </c>
      <c r="CI33" s="1" t="str">
        <f t="shared" si="2"/>
        <v/>
      </c>
      <c r="CJ33" s="1" t="str">
        <f t="shared" si="3"/>
        <v/>
      </c>
      <c r="CK33" s="1" t="str">
        <f t="shared" si="4"/>
        <v/>
      </c>
    </row>
    <row r="34" spans="8:89" x14ac:dyDescent="0.25">
      <c r="H34" s="1">
        <v>1423389</v>
      </c>
      <c r="I34" s="4">
        <v>46268.541666666664</v>
      </c>
      <c r="J34" s="1" t="s">
        <v>17</v>
      </c>
      <c r="K34" s="1" t="s">
        <v>110</v>
      </c>
      <c r="L34" s="1" t="s">
        <v>46</v>
      </c>
      <c r="M34" s="1" t="s">
        <v>502</v>
      </c>
      <c r="N34" s="1" t="s">
        <v>581</v>
      </c>
      <c r="O34" s="1" t="s">
        <v>4047</v>
      </c>
      <c r="Q34" s="1" t="str">
        <f>IF(INDEX(H2H_Last5_Stats_All!$A:$A,ROW()-ROW($Q$31)+2)="","",
IFERROR(
INDEX(H2H_Last5_Stats_All!$A:$ZZ,ROW()-ROW($Q$31)+2,COLUMN()-COLUMN($Q$31)+1),
""))</f>
        <v/>
      </c>
      <c r="R34" s="1" t="str">
        <f>IF(INDEX(H2H_Last5_Stats_All!$A:$A,ROW()-ROW($Q$31)+2)="","",
IFERROR(
INDEX(H2H_Last5_Stats_All!$A:$ZZ,ROW()-ROW($Q$31)+2,COLUMN()-COLUMN($Q$31)+1),
""))</f>
        <v/>
      </c>
      <c r="S34" s="1" t="str">
        <f>IF(INDEX(H2H_Last5_Stats_All!$A:$A,ROW()-ROW($Q$31)+2)="","",
IFERROR(
INDEX(H2H_Last5_Stats_All!$A:$ZZ,ROW()-ROW($Q$31)+2,COLUMN()-COLUMN($Q$31)+1),
""))</f>
        <v/>
      </c>
      <c r="T34" s="1" t="str">
        <f>IF(INDEX(H2H_Last5_Stats_All!$A:$A,ROW()-ROW($Q$31)+2)="","",
IFERROR(
INDEX(H2H_Last5_Stats_All!$A:$ZZ,ROW()-ROW($Q$31)+2,COLUMN()-COLUMN($Q$31)+1),
""))</f>
        <v/>
      </c>
      <c r="U34" s="1" t="str">
        <f>IF(INDEX(H2H_Last5_Stats_All!$A:$A,ROW()-ROW($Q$31)+2)="","",
IFERROR(
INDEX(H2H_Last5_Stats_All!$A:$ZZ,ROW()-ROW($Q$31)+2,COLUMN()-COLUMN($Q$31)+1),
""))</f>
        <v/>
      </c>
      <c r="V34" s="1" t="str">
        <f>IF(INDEX(H2H_Last5_Stats_All!$A:$A,ROW()-ROW($Q$31)+2)="","",
IFERROR(
INDEX(H2H_Last5_Stats_All!$A:$ZZ,ROW()-ROW($Q$31)+2,COLUMN()-COLUMN($Q$31)+1),
""))</f>
        <v/>
      </c>
      <c r="W34" s="1" t="str">
        <f>IF(INDEX(H2H_Last5_Stats_All!$A:$A,ROW()-ROW($Q$31)+2)="","",
IFERROR(
INDEX(H2H_Last5_Stats_All!$A:$ZZ,ROW()-ROW($Q$31)+2,COLUMN()-COLUMN($Q$31)+1),
""))</f>
        <v/>
      </c>
      <c r="X34" s="1" t="str">
        <f>IF(INDEX(H2H_Last5_Stats_All!$A:$A,ROW()-ROW($Q$31)+2)="","",
IFERROR(
INDEX(H2H_Last5_Stats_All!$A:$ZZ,ROW()-ROW($Q$31)+2,COLUMN()-COLUMN($Q$31)+1),
""))</f>
        <v/>
      </c>
      <c r="Y34" s="1" t="str">
        <f>IF(INDEX(H2H_Last5_Stats_All!$A:$A,ROW()-ROW($Q$31)+2)="","",
IFERROR(
INDEX(H2H_Last5_Stats_All!$A:$ZZ,ROW()-ROW($Q$31)+2,COLUMN()-COLUMN($Q$31)+1),
""))</f>
        <v/>
      </c>
      <c r="Z34" s="1" t="str">
        <f>IF(INDEX(H2H_Last5_Stats_All!$A:$A,ROW()-ROW($Q$31)+2)="","",
IFERROR(
INDEX(H2H_Last5_Stats_All!$A:$ZZ,ROW()-ROW($Q$31)+2,COLUMN()-COLUMN($Q$31)+1),
""))</f>
        <v/>
      </c>
      <c r="AA34" s="1" t="str">
        <f>IF(INDEX(H2H_Last5_Stats_All!$A:$A,ROW()-ROW($Q$31)+2)="","",
IFERROR(
INDEX(H2H_Last5_Stats_All!$A:$ZZ,ROW()-ROW($Q$31)+2,COLUMN()-COLUMN($Q$31)+1),
""))</f>
        <v/>
      </c>
      <c r="AB34" s="1" t="str">
        <f>IF(INDEX(H2H_Last5_Stats_All!$A:$A,ROW()-ROW($Q$31)+2)="","",
IFERROR(
INDEX(H2H_Last5_Stats_All!$A:$ZZ,ROW()-ROW($Q$31)+2,COLUMN()-COLUMN($Q$31)+1),
""))</f>
        <v/>
      </c>
      <c r="AC34" s="1" t="str">
        <f>IF(INDEX(H2H_Last5_Stats_All!$A:$A,ROW()-ROW($Q$31)+2)="","",
IFERROR(
INDEX(H2H_Last5_Stats_All!$A:$ZZ,ROW()-ROW($Q$31)+2,COLUMN()-COLUMN($Q$31)+1),
""))</f>
        <v/>
      </c>
      <c r="AD34" s="1" t="str">
        <f>IF(INDEX(H2H_Last5_Stats_All!$A:$A,ROW()-ROW($Q$31)+2)="","",
IFERROR(
INDEX(H2H_Last5_Stats_All!$A:$ZZ,ROW()-ROW($Q$31)+2,COLUMN()-COLUMN($Q$31)+1),
""))</f>
        <v/>
      </c>
      <c r="AE34" s="1" t="str">
        <f>IF(INDEX(H2H_Last5_Stats_All!$A:$A,ROW()-ROW($Q$31)+2)="","",
IFERROR(
INDEX(H2H_Last5_Stats_All!$A:$ZZ,ROW()-ROW($Q$31)+2,COLUMN()-COLUMN($Q$31)+1),
""))</f>
        <v/>
      </c>
      <c r="AF34" s="1" t="str">
        <f>IF(INDEX(H2H_Last5_Stats_All!$A:$A,ROW()-ROW($Q$31)+2)="","",
IFERROR(
INDEX(H2H_Last5_Stats_All!$A:$ZZ,ROW()-ROW($Q$31)+2,COLUMN()-COLUMN($Q$31)+1),
""))</f>
        <v/>
      </c>
      <c r="AG34" s="1" t="str">
        <f>IF(INDEX(H2H_Last5_Stats_All!$A:$A,ROW()-ROW($Q$31)+2)="","",
IFERROR(
INDEX(H2H_Last5_Stats_All!$A:$ZZ,ROW()-ROW($Q$31)+2,COLUMN()-COLUMN($Q$31)+1),
""))</f>
        <v/>
      </c>
      <c r="AH34" s="1" t="str">
        <f>IF(INDEX(H2H_Last5_Stats_All!$A:$A,ROW()-ROW($Q$31)+2)="","",
IFERROR(
INDEX(H2H_Last5_Stats_All!$A:$ZZ,ROW()-ROW($Q$31)+2,COLUMN()-COLUMN($Q$31)+1),
""))</f>
        <v/>
      </c>
      <c r="AI34" s="1" t="str">
        <f>IF(INDEX(H2H_Last5_Stats_All!$A:$A,ROW()-ROW($Q$31)+2)="","",
IFERROR(
INDEX(H2H_Last5_Stats_All!$A:$ZZ,ROW()-ROW($Q$31)+2,COLUMN()-COLUMN($Q$31)+1),
""))</f>
        <v/>
      </c>
      <c r="AJ34" s="1" t="str">
        <f>IF(INDEX(H2H_Last5_Stats_All!$A:$A,ROW()-ROW($Q$31)+2)="","",
IFERROR(
INDEX(H2H_Last5_Stats_All!$A:$ZZ,ROW()-ROW($Q$31)+2,COLUMN()-COLUMN($Q$31)+1),
""))</f>
        <v/>
      </c>
      <c r="AK34" s="1" t="str">
        <f>IF(INDEX(H2H_Last5_Stats_All!$A:$A,ROW()-ROW($Q$31)+2)="","",
IFERROR(
INDEX(H2H_Last5_Stats_All!$A:$ZZ,ROW()-ROW($Q$31)+2,COLUMN()-COLUMN($Q$31)+1),
""))</f>
        <v/>
      </c>
      <c r="AL34" s="1" t="str">
        <f>IF(INDEX(H2H_Last5_Stats_All!$A:$A,ROW()-ROW($Q$31)+2)="","",
IFERROR(
INDEX(H2H_Last5_Stats_All!$A:$ZZ,ROW()-ROW($Q$31)+2,COLUMN()-COLUMN($Q$31)+1),
""))</f>
        <v/>
      </c>
      <c r="AM34" s="1" t="str">
        <f>IF(INDEX(H2H_Last5_Stats_All!$A:$A,ROW()-ROW($Q$31)+2)="","",
IFERROR(
INDEX(H2H_Last5_Stats_All!$A:$ZZ,ROW()-ROW($Q$31)+2,COLUMN()-COLUMN($Q$31)+1),
""))</f>
        <v/>
      </c>
      <c r="AN34" s="1" t="str">
        <f>IF(INDEX(H2H_Last5_Stats_All!$A:$A,ROW()-ROW($Q$31)+2)="","",
IFERROR(
INDEX(H2H_Last5_Stats_All!$A:$ZZ,ROW()-ROW($Q$31)+2,COLUMN()-COLUMN($Q$31)+1),
""))</f>
        <v/>
      </c>
      <c r="AO34" s="1" t="str">
        <f>IF(INDEX(H2H_Last5_Stats_All!$A:$A,ROW()-ROW($Q$31)+2)="","",
IFERROR(
INDEX(H2H_Last5_Stats_All!$A:$ZZ,ROW()-ROW($Q$31)+2,COLUMN()-COLUMN($Q$31)+1),
""))</f>
        <v/>
      </c>
      <c r="AP34" s="1" t="str">
        <f>IF(INDEX(H2H_Last5_Stats_All!$A:$A,ROW()-ROW($Q$31)+2)="","",
IFERROR(
INDEX(H2H_Last5_Stats_All!$A:$ZZ,ROW()-ROW($Q$31)+2,COLUMN()-COLUMN($Q$31)+1),
""))</f>
        <v/>
      </c>
      <c r="AQ34" s="1" t="str">
        <f>IF(INDEX(H2H_Last5_Stats_All!$A:$A,ROW()-ROW($Q$31)+2)="","",
IFERROR(
INDEX(H2H_Last5_Stats_All!$A:$ZZ,ROW()-ROW($Q$31)+2,COLUMN()-COLUMN($Q$31)+1),
""))</f>
        <v/>
      </c>
      <c r="AR34" s="1" t="str">
        <f>IF(INDEX(H2H_Last5_Stats_All!$A:$A,ROW()-ROW($Q$31)+2)="","",
IFERROR(
INDEX(H2H_Last5_Stats_All!$A:$ZZ,ROW()-ROW($Q$31)+2,COLUMN()-COLUMN($Q$31)+1),
""))</f>
        <v/>
      </c>
      <c r="AS34" s="1" t="str">
        <f>IF(INDEX(H2H_Last5_Stats_All!$A:$A,ROW()-ROW($Q$31)+2)="","",
IFERROR(
INDEX(H2H_Last5_Stats_All!$A:$ZZ,ROW()-ROW($Q$31)+2,COLUMN()-COLUMN($Q$31)+1),
""))</f>
        <v/>
      </c>
      <c r="AT34" s="1" t="str">
        <f>IF(INDEX(H2H_Last5_Stats_All!$A:$A,ROW()-ROW($Q$31)+2)="","",
IFERROR(
INDEX(H2H_Last5_Stats_All!$A:$ZZ,ROW()-ROW($Q$31)+2,COLUMN()-COLUMN($Q$31)+1),
""))</f>
        <v/>
      </c>
      <c r="AU34" s="1" t="str">
        <f>IF(INDEX(H2H_Last5_Stats_All!$A:$A,ROW()-ROW($Q$31)+2)="","",
IFERROR(
INDEX(H2H_Last5_Stats_All!$A:$ZZ,ROW()-ROW($Q$31)+2,COLUMN()-COLUMN($Q$31)+1),
""))</f>
        <v/>
      </c>
      <c r="AV34" s="1" t="str">
        <f>IF(INDEX(H2H_Last5_Stats_All!$A:$A,ROW()-ROW($Q$31)+2)="","",
IFERROR(
INDEX(H2H_Last5_Stats_All!$A:$ZZ,ROW()-ROW($Q$31)+2,COLUMN()-COLUMN($Q$31)+1),
""))</f>
        <v/>
      </c>
      <c r="AW34" s="1" t="str">
        <f>IF(INDEX(H2H_Last5_Stats_All!$A:$A,ROW()-ROW($Q$31)+2)="","",
IFERROR(
INDEX(H2H_Last5_Stats_All!$A:$ZZ,ROW()-ROW($Q$31)+2,COLUMN()-COLUMN($Q$31)+1),
""))</f>
        <v/>
      </c>
      <c r="AX34" s="1" t="str">
        <f>IF(INDEX(H2H_Last5_Stats_All!$A:$A,ROW()-ROW($Q$31)+2)="","",
IFERROR(
INDEX(H2H_Last5_Stats_All!$A:$ZZ,ROW()-ROW($Q$31)+2,COLUMN()-COLUMN($Q$31)+1),
""))</f>
        <v/>
      </c>
      <c r="AY34" s="1" t="str">
        <f>IF(INDEX(H2H_Last5_Stats_All!$A:$A,ROW()-ROW($Q$31)+2)="","",
IFERROR(
INDEX(H2H_Last5_Stats_All!$A:$ZZ,ROW()-ROW($Q$31)+2,COLUMN()-COLUMN($Q$31)+1),
""))</f>
        <v/>
      </c>
      <c r="AZ34" s="1" t="str">
        <f>IF(INDEX(H2H_Last5_Stats_All!$A:$A,ROW()-ROW($Q$31)+2)="","",
IFERROR(
INDEX(H2H_Last5_Stats_All!$A:$ZZ,ROW()-ROW($Q$31)+2,COLUMN()-COLUMN($Q$31)+1),
""))</f>
        <v/>
      </c>
      <c r="BA34" s="1" t="str">
        <f>IF(INDEX(H2H_Last5_Stats_All!$A:$A,ROW()-ROW($Q$31)+2)="","",
IFERROR(
INDEX(H2H_Last5_Stats_All!$A:$ZZ,ROW()-ROW($Q$31)+2,COLUMN()-COLUMN($Q$31)+1),
""))</f>
        <v/>
      </c>
      <c r="BB34" s="1" t="str">
        <f>IF(INDEX(H2H_Last5_Stats_All!$A:$A,ROW()-ROW($Q$31)+2)="","",
IFERROR(
INDEX(H2H_Last5_Stats_All!$A:$ZZ,ROW()-ROW($Q$31)+2,COLUMN()-COLUMN($Q$31)+1),
""))</f>
        <v/>
      </c>
      <c r="BC34" s="1" t="str">
        <f>IF(INDEX(H2H_Last5_Stats_All!$A:$A,ROW()-ROW($Q$31)+2)="","",
IFERROR(
INDEX(H2H_Last5_Stats_All!$A:$ZZ,ROW()-ROW($Q$31)+2,COLUMN()-COLUMN($Q$31)+1),
""))</f>
        <v/>
      </c>
      <c r="BD34" s="1" t="str">
        <f>IF(INDEX(H2H_Last5_Stats_All!$A:$A,ROW()-ROW($Q$31)+2)="","",
IFERROR(
INDEX(H2H_Last5_Stats_All!$A:$ZZ,ROW()-ROW($Q$31)+2,COLUMN()-COLUMN($Q$31)+1),
""))</f>
        <v/>
      </c>
      <c r="BE34" s="1" t="str">
        <f>IF(INDEX(H2H_Last5_Stats_All!$A:$A,ROW()-ROW($Q$31)+2)="","",
IFERROR(
INDEX(H2H_Last5_Stats_All!$A:$ZZ,ROW()-ROW($Q$31)+2,COLUMN()-COLUMN($Q$31)+1),
""))</f>
        <v/>
      </c>
      <c r="BF34" s="1" t="str">
        <f>IF(INDEX(H2H_Last5_Stats_All!$A:$A,ROW()-ROW($Q$31)+2)="","",
IFERROR(
INDEX(H2H_Last5_Stats_All!$A:$ZZ,ROW()-ROW($Q$31)+2,COLUMN()-COLUMN($Q$31)+1),
""))</f>
        <v/>
      </c>
      <c r="BG34" s="1" t="str">
        <f>IF(INDEX(H2H_Last5_Stats_All!$A:$A,ROW()-ROW($Q$31)+2)="","",
IFERROR(
INDEX(H2H_Last5_Stats_All!$A:$ZZ,ROW()-ROW($Q$31)+2,COLUMN()-COLUMN($Q$31)+1),
""))</f>
        <v/>
      </c>
      <c r="BH34" s="1" t="str">
        <f>IF(INDEX(H2H_Last5_Stats_All!$A:$A,ROW()-ROW($Q$31)+2)="","",
IFERROR(
INDEX(H2H_Last5_Stats_All!$A:$ZZ,ROW()-ROW($Q$31)+2,COLUMN()-COLUMN($Q$31)+1),
""))</f>
        <v/>
      </c>
      <c r="BI34" s="1" t="str">
        <f>IF(INDEX(H2H_Last5_Stats_All!$A:$A,ROW()-ROW($Q$31)+2)="","",
IFERROR(
INDEX(H2H_Last5_Stats_All!$A:$ZZ,ROW()-ROW($Q$31)+2,COLUMN()-COLUMN($Q$31)+1),
""))</f>
        <v/>
      </c>
      <c r="BJ34" s="1" t="str">
        <f>IF(INDEX(H2H_Last5_Stats_All!$A:$A,ROW()-ROW($Q$31)+2)="","",
IFERROR(
INDEX(H2H_Last5_Stats_All!$A:$ZZ,ROW()-ROW($Q$31)+2,COLUMN()-COLUMN($Q$31)+1),
""))</f>
        <v/>
      </c>
      <c r="BK34" s="1" t="str">
        <f>IF(INDEX(H2H_Last5_Stats_All!$A:$A,ROW()-ROW($Q$31)+2)="","",
IFERROR(
INDEX(H2H_Last5_Stats_All!$A:$ZZ,ROW()-ROW($Q$31)+2,COLUMN()-COLUMN($Q$31)+1),
""))</f>
        <v/>
      </c>
      <c r="BL34" s="1" t="str">
        <f>IF(INDEX(H2H_Last5_Stats_All!$A:$A,ROW()-ROW($Q$31)+2)="","",
IFERROR(
INDEX(H2H_Last5_Stats_All!$A:$ZZ,ROW()-ROW($Q$31)+2,COLUMN()-COLUMN($Q$31)+1),
""))</f>
        <v/>
      </c>
      <c r="BM34" s="1" t="str">
        <f>IF(INDEX(H2H_Last5_Stats_All!$A:$A,ROW()-ROW($Q$31)+2)="","",
IFERROR(
INDEX(H2H_Last5_Stats_All!$A:$ZZ,ROW()-ROW($Q$31)+2,COLUMN()-COLUMN($Q$31)+1),
""))</f>
        <v/>
      </c>
      <c r="BN34" s="1" t="str">
        <f>IF(INDEX(H2H_Last5_Stats_All!$A:$A,ROW()-ROW($Q$31)+2)="","",
IFERROR(
INDEX(H2H_Last5_Stats_All!$A:$ZZ,ROW()-ROW($Q$31)+2,COLUMN()-COLUMN($Q$31)+1),
""))</f>
        <v/>
      </c>
      <c r="BO34" s="1" t="str">
        <f>IF(INDEX(H2H_Last5_Stats_All!$A:$A,ROW()-ROW($Q$31)+2)="","",
IFERROR(
INDEX(H2H_Last5_Stats_All!$A:$ZZ,ROW()-ROW($Q$31)+2,COLUMN()-COLUMN($Q$31)+1),
""))</f>
        <v/>
      </c>
      <c r="BP34" s="1" t="str">
        <f>IF(INDEX(H2H_Last5_Stats_All!$A:$A,ROW()-ROW($Q$31)+2)="","",
IFERROR(
INDEX(H2H_Last5_Stats_All!$A:$ZZ,ROW()-ROW($Q$31)+2,COLUMN()-COLUMN($Q$31)+1),
""))</f>
        <v/>
      </c>
      <c r="BR34" s="1" t="str">
        <f>IF(OR(Control!AC34="",Control!AD34=""),"",Control!AC34&amp;" : "&amp;Control!AD34)</f>
        <v/>
      </c>
      <c r="BS34" s="1" t="str">
        <f>IF(OR(Control!AE34="",Control!AF34=""),"",Control!AE34&amp;" : "&amp;Control!AF34)</f>
        <v/>
      </c>
      <c r="BT34" s="1" t="str">
        <f>IF(OR(Control!AU34="",Control!AV34=""),"",Control!AU34&amp;" : "&amp;Control!AV34)</f>
        <v/>
      </c>
      <c r="BV34" s="1" t="str">
        <f>IFERROR(INDEX(tblStandings[#All],ROW(A34),COLUMN(A34)),"")</f>
        <v/>
      </c>
      <c r="BW34" s="1" t="str">
        <f>IFERROR(INDEX(tblStandings[#All],ROW(B34),COLUMN(B34)),"")</f>
        <v/>
      </c>
      <c r="BX34" s="1" t="str">
        <f>IFERROR(INDEX(tblStandings[#All],ROW(C34),COLUMN(C34)),"")</f>
        <v/>
      </c>
      <c r="BY34" s="1" t="str">
        <f>IFERROR(INDEX(tblStandings[#All],ROW(D34),COLUMN(D34)),"")</f>
        <v/>
      </c>
      <c r="BZ34" s="1" t="str">
        <f>IFERROR(INDEX(tblStandings[#All],ROW(E34),COLUMN(E34)),"")</f>
        <v/>
      </c>
      <c r="CA34" s="1" t="str">
        <f>IFERROR(INDEX(tblStandings[#All],ROW(F34),COLUMN(F34)),"")</f>
        <v/>
      </c>
      <c r="CB34" s="1" t="str">
        <f>IFERROR(INDEX(tblStandings[#All],ROW(G34),COLUMN(G34)),"")</f>
        <v/>
      </c>
      <c r="CC34" s="1" t="str">
        <f>IFERROR(INDEX(tblStandings[#All],ROW(H34),COLUMN(H34)),"")</f>
        <v/>
      </c>
      <c r="CD34" s="1" t="str">
        <f>IFERROR(INDEX(tblStandings[#All],ROW(I34),COLUMN(I34)),"")</f>
        <v/>
      </c>
      <c r="CE34" s="1" t="str">
        <f>IFERROR(INDEX(tblStandings[#All],ROW(J34),COLUMN(J34)),"")</f>
        <v/>
      </c>
      <c r="CF34" s="1" t="str">
        <f>IFERROR(INDEX(tblStandings[#All],ROW(K34),COLUMN(K34)),"")</f>
        <v/>
      </c>
      <c r="CG34" s="1" t="str">
        <f t="shared" si="0"/>
        <v/>
      </c>
      <c r="CH34" s="1" t="str">
        <f t="shared" si="1"/>
        <v/>
      </c>
      <c r="CI34" s="1" t="str">
        <f t="shared" si="2"/>
        <v/>
      </c>
      <c r="CJ34" s="1" t="str">
        <f t="shared" si="3"/>
        <v/>
      </c>
      <c r="CK34" s="1" t="str">
        <f t="shared" si="4"/>
        <v/>
      </c>
    </row>
    <row r="35" spans="8:89" x14ac:dyDescent="0.25">
      <c r="H35" s="1">
        <v>1423390</v>
      </c>
      <c r="I35" s="4">
        <v>46268.541666666664</v>
      </c>
      <c r="J35" s="1" t="s">
        <v>17</v>
      </c>
      <c r="K35" s="1" t="s">
        <v>110</v>
      </c>
      <c r="L35" s="1" t="s">
        <v>46</v>
      </c>
      <c r="M35" s="1" t="s">
        <v>4048</v>
      </c>
      <c r="N35" s="1" t="s">
        <v>4049</v>
      </c>
      <c r="O35" s="1" t="s">
        <v>4050</v>
      </c>
      <c r="Q35" s="1" t="str">
        <f>IF(INDEX(H2H_Last5_Stats_All!$A:$A,ROW()-ROW($Q$31)+2)="","",
IFERROR(
INDEX(H2H_Last5_Stats_All!$A:$ZZ,ROW()-ROW($Q$31)+2,COLUMN()-COLUMN($Q$31)+1),
""))</f>
        <v/>
      </c>
      <c r="R35" s="1" t="str">
        <f>IF(INDEX(H2H_Last5_Stats_All!$A:$A,ROW()-ROW($Q$31)+2)="","",
IFERROR(
INDEX(H2H_Last5_Stats_All!$A:$ZZ,ROW()-ROW($Q$31)+2,COLUMN()-COLUMN($Q$31)+1),
""))</f>
        <v/>
      </c>
      <c r="S35" s="1" t="str">
        <f>IF(INDEX(H2H_Last5_Stats_All!$A:$A,ROW()-ROW($Q$31)+2)="","",
IFERROR(
INDEX(H2H_Last5_Stats_All!$A:$ZZ,ROW()-ROW($Q$31)+2,COLUMN()-COLUMN($Q$31)+1),
""))</f>
        <v/>
      </c>
      <c r="T35" s="1" t="str">
        <f>IF(INDEX(H2H_Last5_Stats_All!$A:$A,ROW()-ROW($Q$31)+2)="","",
IFERROR(
INDEX(H2H_Last5_Stats_All!$A:$ZZ,ROW()-ROW($Q$31)+2,COLUMN()-COLUMN($Q$31)+1),
""))</f>
        <v/>
      </c>
      <c r="U35" s="1" t="str">
        <f>IF(INDEX(H2H_Last5_Stats_All!$A:$A,ROW()-ROW($Q$31)+2)="","",
IFERROR(
INDEX(H2H_Last5_Stats_All!$A:$ZZ,ROW()-ROW($Q$31)+2,COLUMN()-COLUMN($Q$31)+1),
""))</f>
        <v/>
      </c>
      <c r="V35" s="1" t="str">
        <f>IF(INDEX(H2H_Last5_Stats_All!$A:$A,ROW()-ROW($Q$31)+2)="","",
IFERROR(
INDEX(H2H_Last5_Stats_All!$A:$ZZ,ROW()-ROW($Q$31)+2,COLUMN()-COLUMN($Q$31)+1),
""))</f>
        <v/>
      </c>
      <c r="W35" s="1" t="str">
        <f>IF(INDEX(H2H_Last5_Stats_All!$A:$A,ROW()-ROW($Q$31)+2)="","",
IFERROR(
INDEX(H2H_Last5_Stats_All!$A:$ZZ,ROW()-ROW($Q$31)+2,COLUMN()-COLUMN($Q$31)+1),
""))</f>
        <v/>
      </c>
      <c r="X35" s="1" t="str">
        <f>IF(INDEX(H2H_Last5_Stats_All!$A:$A,ROW()-ROW($Q$31)+2)="","",
IFERROR(
INDEX(H2H_Last5_Stats_All!$A:$ZZ,ROW()-ROW($Q$31)+2,COLUMN()-COLUMN($Q$31)+1),
""))</f>
        <v/>
      </c>
      <c r="Y35" s="1" t="str">
        <f>IF(INDEX(H2H_Last5_Stats_All!$A:$A,ROW()-ROW($Q$31)+2)="","",
IFERROR(
INDEX(H2H_Last5_Stats_All!$A:$ZZ,ROW()-ROW($Q$31)+2,COLUMN()-COLUMN($Q$31)+1),
""))</f>
        <v/>
      </c>
      <c r="Z35" s="1" t="str">
        <f>IF(INDEX(H2H_Last5_Stats_All!$A:$A,ROW()-ROW($Q$31)+2)="","",
IFERROR(
INDEX(H2H_Last5_Stats_All!$A:$ZZ,ROW()-ROW($Q$31)+2,COLUMN()-COLUMN($Q$31)+1),
""))</f>
        <v/>
      </c>
      <c r="AA35" s="1" t="str">
        <f>IF(INDEX(H2H_Last5_Stats_All!$A:$A,ROW()-ROW($Q$31)+2)="","",
IFERROR(
INDEX(H2H_Last5_Stats_All!$A:$ZZ,ROW()-ROW($Q$31)+2,COLUMN()-COLUMN($Q$31)+1),
""))</f>
        <v/>
      </c>
      <c r="AB35" s="1" t="str">
        <f>IF(INDEX(H2H_Last5_Stats_All!$A:$A,ROW()-ROW($Q$31)+2)="","",
IFERROR(
INDEX(H2H_Last5_Stats_All!$A:$ZZ,ROW()-ROW($Q$31)+2,COLUMN()-COLUMN($Q$31)+1),
""))</f>
        <v/>
      </c>
      <c r="AC35" s="1" t="str">
        <f>IF(INDEX(H2H_Last5_Stats_All!$A:$A,ROW()-ROW($Q$31)+2)="","",
IFERROR(
INDEX(H2H_Last5_Stats_All!$A:$ZZ,ROW()-ROW($Q$31)+2,COLUMN()-COLUMN($Q$31)+1),
""))</f>
        <v/>
      </c>
      <c r="AD35" s="1" t="str">
        <f>IF(INDEX(H2H_Last5_Stats_All!$A:$A,ROW()-ROW($Q$31)+2)="","",
IFERROR(
INDEX(H2H_Last5_Stats_All!$A:$ZZ,ROW()-ROW($Q$31)+2,COLUMN()-COLUMN($Q$31)+1),
""))</f>
        <v/>
      </c>
      <c r="AE35" s="1" t="str">
        <f>IF(INDEX(H2H_Last5_Stats_All!$A:$A,ROW()-ROW($Q$31)+2)="","",
IFERROR(
INDEX(H2H_Last5_Stats_All!$A:$ZZ,ROW()-ROW($Q$31)+2,COLUMN()-COLUMN($Q$31)+1),
""))</f>
        <v/>
      </c>
      <c r="AF35" s="1" t="str">
        <f>IF(INDEX(H2H_Last5_Stats_All!$A:$A,ROW()-ROW($Q$31)+2)="","",
IFERROR(
INDEX(H2H_Last5_Stats_All!$A:$ZZ,ROW()-ROW($Q$31)+2,COLUMN()-COLUMN($Q$31)+1),
""))</f>
        <v/>
      </c>
      <c r="AG35" s="1" t="str">
        <f>IF(INDEX(H2H_Last5_Stats_All!$A:$A,ROW()-ROW($Q$31)+2)="","",
IFERROR(
INDEX(H2H_Last5_Stats_All!$A:$ZZ,ROW()-ROW($Q$31)+2,COLUMN()-COLUMN($Q$31)+1),
""))</f>
        <v/>
      </c>
      <c r="AH35" s="1" t="str">
        <f>IF(INDEX(H2H_Last5_Stats_All!$A:$A,ROW()-ROW($Q$31)+2)="","",
IFERROR(
INDEX(H2H_Last5_Stats_All!$A:$ZZ,ROW()-ROW($Q$31)+2,COLUMN()-COLUMN($Q$31)+1),
""))</f>
        <v/>
      </c>
      <c r="AI35" s="1" t="str">
        <f>IF(INDEX(H2H_Last5_Stats_All!$A:$A,ROW()-ROW($Q$31)+2)="","",
IFERROR(
INDEX(H2H_Last5_Stats_All!$A:$ZZ,ROW()-ROW($Q$31)+2,COLUMN()-COLUMN($Q$31)+1),
""))</f>
        <v/>
      </c>
      <c r="AJ35" s="1" t="str">
        <f>IF(INDEX(H2H_Last5_Stats_All!$A:$A,ROW()-ROW($Q$31)+2)="","",
IFERROR(
INDEX(H2H_Last5_Stats_All!$A:$ZZ,ROW()-ROW($Q$31)+2,COLUMN()-COLUMN($Q$31)+1),
""))</f>
        <v/>
      </c>
      <c r="AK35" s="1" t="str">
        <f>IF(INDEX(H2H_Last5_Stats_All!$A:$A,ROW()-ROW($Q$31)+2)="","",
IFERROR(
INDEX(H2H_Last5_Stats_All!$A:$ZZ,ROW()-ROW($Q$31)+2,COLUMN()-COLUMN($Q$31)+1),
""))</f>
        <v/>
      </c>
      <c r="AL35" s="1" t="str">
        <f>IF(INDEX(H2H_Last5_Stats_All!$A:$A,ROW()-ROW($Q$31)+2)="","",
IFERROR(
INDEX(H2H_Last5_Stats_All!$A:$ZZ,ROW()-ROW($Q$31)+2,COLUMN()-COLUMN($Q$31)+1),
""))</f>
        <v/>
      </c>
      <c r="AM35" s="1" t="str">
        <f>IF(INDEX(H2H_Last5_Stats_All!$A:$A,ROW()-ROW($Q$31)+2)="","",
IFERROR(
INDEX(H2H_Last5_Stats_All!$A:$ZZ,ROW()-ROW($Q$31)+2,COLUMN()-COLUMN($Q$31)+1),
""))</f>
        <v/>
      </c>
      <c r="AN35" s="1" t="str">
        <f>IF(INDEX(H2H_Last5_Stats_All!$A:$A,ROW()-ROW($Q$31)+2)="","",
IFERROR(
INDEX(H2H_Last5_Stats_All!$A:$ZZ,ROW()-ROW($Q$31)+2,COLUMN()-COLUMN($Q$31)+1),
""))</f>
        <v/>
      </c>
      <c r="AO35" s="1" t="str">
        <f>IF(INDEX(H2H_Last5_Stats_All!$A:$A,ROW()-ROW($Q$31)+2)="","",
IFERROR(
INDEX(H2H_Last5_Stats_All!$A:$ZZ,ROW()-ROW($Q$31)+2,COLUMN()-COLUMN($Q$31)+1),
""))</f>
        <v/>
      </c>
      <c r="AP35" s="1" t="str">
        <f>IF(INDEX(H2H_Last5_Stats_All!$A:$A,ROW()-ROW($Q$31)+2)="","",
IFERROR(
INDEX(H2H_Last5_Stats_All!$A:$ZZ,ROW()-ROW($Q$31)+2,COLUMN()-COLUMN($Q$31)+1),
""))</f>
        <v/>
      </c>
      <c r="AQ35" s="1" t="str">
        <f>IF(INDEX(H2H_Last5_Stats_All!$A:$A,ROW()-ROW($Q$31)+2)="","",
IFERROR(
INDEX(H2H_Last5_Stats_All!$A:$ZZ,ROW()-ROW($Q$31)+2,COLUMN()-COLUMN($Q$31)+1),
""))</f>
        <v/>
      </c>
      <c r="AR35" s="1" t="str">
        <f>IF(INDEX(H2H_Last5_Stats_All!$A:$A,ROW()-ROW($Q$31)+2)="","",
IFERROR(
INDEX(H2H_Last5_Stats_All!$A:$ZZ,ROW()-ROW($Q$31)+2,COLUMN()-COLUMN($Q$31)+1),
""))</f>
        <v/>
      </c>
      <c r="AS35" s="1" t="str">
        <f>IF(INDEX(H2H_Last5_Stats_All!$A:$A,ROW()-ROW($Q$31)+2)="","",
IFERROR(
INDEX(H2H_Last5_Stats_All!$A:$ZZ,ROW()-ROW($Q$31)+2,COLUMN()-COLUMN($Q$31)+1),
""))</f>
        <v/>
      </c>
      <c r="AT35" s="1" t="str">
        <f>IF(INDEX(H2H_Last5_Stats_All!$A:$A,ROW()-ROW($Q$31)+2)="","",
IFERROR(
INDEX(H2H_Last5_Stats_All!$A:$ZZ,ROW()-ROW($Q$31)+2,COLUMN()-COLUMN($Q$31)+1),
""))</f>
        <v/>
      </c>
      <c r="AU35" s="1" t="str">
        <f>IF(INDEX(H2H_Last5_Stats_All!$A:$A,ROW()-ROW($Q$31)+2)="","",
IFERROR(
INDEX(H2H_Last5_Stats_All!$A:$ZZ,ROW()-ROW($Q$31)+2,COLUMN()-COLUMN($Q$31)+1),
""))</f>
        <v/>
      </c>
      <c r="AV35" s="1" t="str">
        <f>IF(INDEX(H2H_Last5_Stats_All!$A:$A,ROW()-ROW($Q$31)+2)="","",
IFERROR(
INDEX(H2H_Last5_Stats_All!$A:$ZZ,ROW()-ROW($Q$31)+2,COLUMN()-COLUMN($Q$31)+1),
""))</f>
        <v/>
      </c>
      <c r="AW35" s="1" t="str">
        <f>IF(INDEX(H2H_Last5_Stats_All!$A:$A,ROW()-ROW($Q$31)+2)="","",
IFERROR(
INDEX(H2H_Last5_Stats_All!$A:$ZZ,ROW()-ROW($Q$31)+2,COLUMN()-COLUMN($Q$31)+1),
""))</f>
        <v/>
      </c>
      <c r="AX35" s="1" t="str">
        <f>IF(INDEX(H2H_Last5_Stats_All!$A:$A,ROW()-ROW($Q$31)+2)="","",
IFERROR(
INDEX(H2H_Last5_Stats_All!$A:$ZZ,ROW()-ROW($Q$31)+2,COLUMN()-COLUMN($Q$31)+1),
""))</f>
        <v/>
      </c>
      <c r="AY35" s="1" t="str">
        <f>IF(INDEX(H2H_Last5_Stats_All!$A:$A,ROW()-ROW($Q$31)+2)="","",
IFERROR(
INDEX(H2H_Last5_Stats_All!$A:$ZZ,ROW()-ROW($Q$31)+2,COLUMN()-COLUMN($Q$31)+1),
""))</f>
        <v/>
      </c>
      <c r="AZ35" s="1" t="str">
        <f>IF(INDEX(H2H_Last5_Stats_All!$A:$A,ROW()-ROW($Q$31)+2)="","",
IFERROR(
INDEX(H2H_Last5_Stats_All!$A:$ZZ,ROW()-ROW($Q$31)+2,COLUMN()-COLUMN($Q$31)+1),
""))</f>
        <v/>
      </c>
      <c r="BA35" s="1" t="str">
        <f>IF(INDEX(H2H_Last5_Stats_All!$A:$A,ROW()-ROW($Q$31)+2)="","",
IFERROR(
INDEX(H2H_Last5_Stats_All!$A:$ZZ,ROW()-ROW($Q$31)+2,COLUMN()-COLUMN($Q$31)+1),
""))</f>
        <v/>
      </c>
      <c r="BB35" s="1" t="str">
        <f>IF(INDEX(H2H_Last5_Stats_All!$A:$A,ROW()-ROW($Q$31)+2)="","",
IFERROR(
INDEX(H2H_Last5_Stats_All!$A:$ZZ,ROW()-ROW($Q$31)+2,COLUMN()-COLUMN($Q$31)+1),
""))</f>
        <v/>
      </c>
      <c r="BC35" s="1" t="str">
        <f>IF(INDEX(H2H_Last5_Stats_All!$A:$A,ROW()-ROW($Q$31)+2)="","",
IFERROR(
INDEX(H2H_Last5_Stats_All!$A:$ZZ,ROW()-ROW($Q$31)+2,COLUMN()-COLUMN($Q$31)+1),
""))</f>
        <v/>
      </c>
      <c r="BD35" s="1" t="str">
        <f>IF(INDEX(H2H_Last5_Stats_All!$A:$A,ROW()-ROW($Q$31)+2)="","",
IFERROR(
INDEX(H2H_Last5_Stats_All!$A:$ZZ,ROW()-ROW($Q$31)+2,COLUMN()-COLUMN($Q$31)+1),
""))</f>
        <v/>
      </c>
      <c r="BE35" s="1" t="str">
        <f>IF(INDEX(H2H_Last5_Stats_All!$A:$A,ROW()-ROW($Q$31)+2)="","",
IFERROR(
INDEX(H2H_Last5_Stats_All!$A:$ZZ,ROW()-ROW($Q$31)+2,COLUMN()-COLUMN($Q$31)+1),
""))</f>
        <v/>
      </c>
      <c r="BF35" s="1" t="str">
        <f>IF(INDEX(H2H_Last5_Stats_All!$A:$A,ROW()-ROW($Q$31)+2)="","",
IFERROR(
INDEX(H2H_Last5_Stats_All!$A:$ZZ,ROW()-ROW($Q$31)+2,COLUMN()-COLUMN($Q$31)+1),
""))</f>
        <v/>
      </c>
      <c r="BG35" s="1" t="str">
        <f>IF(INDEX(H2H_Last5_Stats_All!$A:$A,ROW()-ROW($Q$31)+2)="","",
IFERROR(
INDEX(H2H_Last5_Stats_All!$A:$ZZ,ROW()-ROW($Q$31)+2,COLUMN()-COLUMN($Q$31)+1),
""))</f>
        <v/>
      </c>
      <c r="BH35" s="1" t="str">
        <f>IF(INDEX(H2H_Last5_Stats_All!$A:$A,ROW()-ROW($Q$31)+2)="","",
IFERROR(
INDEX(H2H_Last5_Stats_All!$A:$ZZ,ROW()-ROW($Q$31)+2,COLUMN()-COLUMN($Q$31)+1),
""))</f>
        <v/>
      </c>
      <c r="BI35" s="1" t="str">
        <f>IF(INDEX(H2H_Last5_Stats_All!$A:$A,ROW()-ROW($Q$31)+2)="","",
IFERROR(
INDEX(H2H_Last5_Stats_All!$A:$ZZ,ROW()-ROW($Q$31)+2,COLUMN()-COLUMN($Q$31)+1),
""))</f>
        <v/>
      </c>
      <c r="BJ35" s="1" t="str">
        <f>IF(INDEX(H2H_Last5_Stats_All!$A:$A,ROW()-ROW($Q$31)+2)="","",
IFERROR(
INDEX(H2H_Last5_Stats_All!$A:$ZZ,ROW()-ROW($Q$31)+2,COLUMN()-COLUMN($Q$31)+1),
""))</f>
        <v/>
      </c>
      <c r="BK35" s="1" t="str">
        <f>IF(INDEX(H2H_Last5_Stats_All!$A:$A,ROW()-ROW($Q$31)+2)="","",
IFERROR(
INDEX(H2H_Last5_Stats_All!$A:$ZZ,ROW()-ROW($Q$31)+2,COLUMN()-COLUMN($Q$31)+1),
""))</f>
        <v/>
      </c>
      <c r="BL35" s="1" t="str">
        <f>IF(INDEX(H2H_Last5_Stats_All!$A:$A,ROW()-ROW($Q$31)+2)="","",
IFERROR(
INDEX(H2H_Last5_Stats_All!$A:$ZZ,ROW()-ROW($Q$31)+2,COLUMN()-COLUMN($Q$31)+1),
""))</f>
        <v/>
      </c>
      <c r="BM35" s="1" t="str">
        <f>IF(INDEX(H2H_Last5_Stats_All!$A:$A,ROW()-ROW($Q$31)+2)="","",
IFERROR(
INDEX(H2H_Last5_Stats_All!$A:$ZZ,ROW()-ROW($Q$31)+2,COLUMN()-COLUMN($Q$31)+1),
""))</f>
        <v/>
      </c>
      <c r="BN35" s="1" t="str">
        <f>IF(INDEX(H2H_Last5_Stats_All!$A:$A,ROW()-ROW($Q$31)+2)="","",
IFERROR(
INDEX(H2H_Last5_Stats_All!$A:$ZZ,ROW()-ROW($Q$31)+2,COLUMN()-COLUMN($Q$31)+1),
""))</f>
        <v/>
      </c>
      <c r="BO35" s="1" t="str">
        <f>IF(INDEX(H2H_Last5_Stats_All!$A:$A,ROW()-ROW($Q$31)+2)="","",
IFERROR(
INDEX(H2H_Last5_Stats_All!$A:$ZZ,ROW()-ROW($Q$31)+2,COLUMN()-COLUMN($Q$31)+1),
""))</f>
        <v/>
      </c>
      <c r="BP35" s="1" t="str">
        <f>IF(INDEX(H2H_Last5_Stats_All!$A:$A,ROW()-ROW($Q$31)+2)="","",
IFERROR(
INDEX(H2H_Last5_Stats_All!$A:$ZZ,ROW()-ROW($Q$31)+2,COLUMN()-COLUMN($Q$31)+1),
""))</f>
        <v/>
      </c>
      <c r="BR35" s="1" t="str">
        <f>IF(OR(Control!AC35="",Control!AD35=""),"",Control!AC35&amp;" : "&amp;Control!AD35)</f>
        <v/>
      </c>
      <c r="BS35" s="1" t="str">
        <f>IF(OR(Control!AE35="",Control!AF35=""),"",Control!AE35&amp;" : "&amp;Control!AF35)</f>
        <v/>
      </c>
      <c r="BT35" s="1" t="str">
        <f>IF(OR(Control!AU35="",Control!AV35=""),"",Control!AU35&amp;" : "&amp;Control!AV35)</f>
        <v/>
      </c>
      <c r="BV35" s="1" t="str">
        <f>IFERROR(INDEX(tblStandings[#All],ROW(A35),COLUMN(A35)),"")</f>
        <v/>
      </c>
      <c r="BW35" s="1" t="str">
        <f>IFERROR(INDEX(tblStandings[#All],ROW(B35),COLUMN(B35)),"")</f>
        <v/>
      </c>
      <c r="BX35" s="1" t="str">
        <f>IFERROR(INDEX(tblStandings[#All],ROW(C35),COLUMN(C35)),"")</f>
        <v/>
      </c>
      <c r="BY35" s="1" t="str">
        <f>IFERROR(INDEX(tblStandings[#All],ROW(D35),COLUMN(D35)),"")</f>
        <v/>
      </c>
      <c r="BZ35" s="1" t="str">
        <f>IFERROR(INDEX(tblStandings[#All],ROW(E35),COLUMN(E35)),"")</f>
        <v/>
      </c>
      <c r="CA35" s="1" t="str">
        <f>IFERROR(INDEX(tblStandings[#All],ROW(F35),COLUMN(F35)),"")</f>
        <v/>
      </c>
      <c r="CB35" s="1" t="str">
        <f>IFERROR(INDEX(tblStandings[#All],ROW(G35),COLUMN(G35)),"")</f>
        <v/>
      </c>
      <c r="CC35" s="1" t="str">
        <f>IFERROR(INDEX(tblStandings[#All],ROW(H35),COLUMN(H35)),"")</f>
        <v/>
      </c>
      <c r="CD35" s="1" t="str">
        <f>IFERROR(INDEX(tblStandings[#All],ROW(I35),COLUMN(I35)),"")</f>
        <v/>
      </c>
      <c r="CE35" s="1" t="str">
        <f>IFERROR(INDEX(tblStandings[#All],ROW(J35),COLUMN(J35)),"")</f>
        <v/>
      </c>
      <c r="CF35" s="1" t="str">
        <f>IFERROR(INDEX(tblStandings[#All],ROW(K35),COLUMN(K35)),"")</f>
        <v/>
      </c>
      <c r="CG35" s="1" t="str">
        <f t="shared" si="0"/>
        <v/>
      </c>
      <c r="CH35" s="1" t="str">
        <f t="shared" si="1"/>
        <v/>
      </c>
      <c r="CI35" s="1" t="str">
        <f t="shared" si="2"/>
        <v/>
      </c>
      <c r="CJ35" s="1" t="str">
        <f t="shared" si="3"/>
        <v/>
      </c>
      <c r="CK35" s="1" t="str">
        <f t="shared" si="4"/>
        <v/>
      </c>
    </row>
    <row r="36" spans="8:89" x14ac:dyDescent="0.25">
      <c r="H36" s="1">
        <v>1434111</v>
      </c>
      <c r="I36" s="4">
        <v>46268.541666666664</v>
      </c>
      <c r="J36" s="1" t="s">
        <v>17</v>
      </c>
      <c r="K36" s="1" t="s">
        <v>66</v>
      </c>
      <c r="L36" s="1" t="s">
        <v>312</v>
      </c>
      <c r="M36" s="1" t="s">
        <v>583</v>
      </c>
      <c r="N36" s="1" t="s">
        <v>652</v>
      </c>
      <c r="O36" s="1" t="s">
        <v>4051</v>
      </c>
      <c r="BV36" s="1" t="str">
        <f>IFERROR(INDEX(tblStandings[#All],ROW(A36),COLUMN(A36)),"")</f>
        <v/>
      </c>
      <c r="BW36" s="1" t="str">
        <f>IFERROR(INDEX(tblStandings[#All],ROW(B36),COLUMN(B36)),"")</f>
        <v/>
      </c>
      <c r="BX36" s="1" t="str">
        <f>IFERROR(INDEX(tblStandings[#All],ROW(C36),COLUMN(C36)),"")</f>
        <v/>
      </c>
      <c r="BY36" s="1" t="str">
        <f>IFERROR(INDEX(tblStandings[#All],ROW(D36),COLUMN(D36)),"")</f>
        <v/>
      </c>
      <c r="BZ36" s="1" t="str">
        <f>IFERROR(INDEX(tblStandings[#All],ROW(E36),COLUMN(E36)),"")</f>
        <v/>
      </c>
      <c r="CA36" s="1" t="str">
        <f>IFERROR(INDEX(tblStandings[#All],ROW(F36),COLUMN(F36)),"")</f>
        <v/>
      </c>
      <c r="CB36" s="1" t="str">
        <f>IFERROR(INDEX(tblStandings[#All],ROW(G36),COLUMN(G36)),"")</f>
        <v/>
      </c>
      <c r="CC36" s="1" t="str">
        <f>IFERROR(INDEX(tblStandings[#All],ROW(H36),COLUMN(H36)),"")</f>
        <v/>
      </c>
      <c r="CD36" s="1" t="str">
        <f>IFERROR(INDEX(tblStandings[#All],ROW(I36),COLUMN(I36)),"")</f>
        <v/>
      </c>
      <c r="CE36" s="1" t="str">
        <f>IFERROR(INDEX(tblStandings[#All],ROW(J36),COLUMN(J36)),"")</f>
        <v/>
      </c>
      <c r="CF36" s="1" t="str">
        <f>IFERROR(INDEX(tblStandings[#All],ROW(K36),COLUMN(K36)),"")</f>
        <v/>
      </c>
      <c r="CG36" s="1" t="str">
        <f t="shared" si="0"/>
        <v/>
      </c>
      <c r="CH36" s="1" t="str">
        <f t="shared" si="1"/>
        <v/>
      </c>
      <c r="CI36" s="1" t="str">
        <f t="shared" si="2"/>
        <v/>
      </c>
      <c r="CJ36" s="1" t="str">
        <f t="shared" si="3"/>
        <v/>
      </c>
      <c r="CK36" s="1" t="str">
        <f t="shared" si="4"/>
        <v/>
      </c>
    </row>
    <row r="37" spans="8:89" x14ac:dyDescent="0.25">
      <c r="H37" s="1">
        <v>1497782</v>
      </c>
      <c r="I37" s="4">
        <v>46268.541666666664</v>
      </c>
      <c r="J37" s="1" t="s">
        <v>17</v>
      </c>
      <c r="K37" s="1" t="s">
        <v>725</v>
      </c>
      <c r="L37" s="1" t="s">
        <v>234</v>
      </c>
      <c r="M37" s="1" t="s">
        <v>4052</v>
      </c>
      <c r="N37" s="1" t="s">
        <v>646</v>
      </c>
      <c r="O37" s="1" t="s">
        <v>4053</v>
      </c>
      <c r="BV37" s="1" t="str">
        <f>IFERROR(INDEX(tblStandings[#All],ROW(A37),COLUMN(A37)),"")</f>
        <v/>
      </c>
      <c r="BW37" s="1" t="str">
        <f>IFERROR(INDEX(tblStandings[#All],ROW(B37),COLUMN(B37)),"")</f>
        <v/>
      </c>
      <c r="BX37" s="1" t="str">
        <f>IFERROR(INDEX(tblStandings[#All],ROW(C37),COLUMN(C37)),"")</f>
        <v/>
      </c>
      <c r="BY37" s="1" t="str">
        <f>IFERROR(INDEX(tblStandings[#All],ROW(D37),COLUMN(D37)),"")</f>
        <v/>
      </c>
      <c r="BZ37" s="1" t="str">
        <f>IFERROR(INDEX(tblStandings[#All],ROW(E37),COLUMN(E37)),"")</f>
        <v/>
      </c>
      <c r="CA37" s="1" t="str">
        <f>IFERROR(INDEX(tblStandings[#All],ROW(F37),COLUMN(F37)),"")</f>
        <v/>
      </c>
      <c r="CB37" s="1" t="str">
        <f>IFERROR(INDEX(tblStandings[#All],ROW(G37),COLUMN(G37)),"")</f>
        <v/>
      </c>
      <c r="CC37" s="1" t="str">
        <f>IFERROR(INDEX(tblStandings[#All],ROW(H37),COLUMN(H37)),"")</f>
        <v/>
      </c>
      <c r="CD37" s="1" t="str">
        <f>IFERROR(INDEX(tblStandings[#All],ROW(I37),COLUMN(I37)),"")</f>
        <v/>
      </c>
      <c r="CE37" s="1" t="str">
        <f>IFERROR(INDEX(tblStandings[#All],ROW(J37),COLUMN(J37)),"")</f>
        <v/>
      </c>
      <c r="CF37" s="1" t="str">
        <f>IFERROR(INDEX(tblStandings[#All],ROW(K37),COLUMN(K37)),"")</f>
        <v/>
      </c>
      <c r="CG37" s="1" t="str">
        <f t="shared" si="0"/>
        <v/>
      </c>
      <c r="CH37" s="1" t="str">
        <f t="shared" si="1"/>
        <v/>
      </c>
      <c r="CI37" s="1" t="str">
        <f t="shared" si="2"/>
        <v/>
      </c>
      <c r="CJ37" s="1" t="str">
        <f t="shared" si="3"/>
        <v/>
      </c>
      <c r="CK37" s="1" t="str">
        <f t="shared" si="4"/>
        <v/>
      </c>
    </row>
    <row r="38" spans="8:89" x14ac:dyDescent="0.25">
      <c r="H38" s="1">
        <v>1525650</v>
      </c>
      <c r="I38" s="4">
        <v>46268.541666666664</v>
      </c>
      <c r="J38" s="1" t="s">
        <v>17</v>
      </c>
      <c r="K38" s="1" t="s">
        <v>495</v>
      </c>
      <c r="L38" s="1" t="s">
        <v>46</v>
      </c>
      <c r="M38" s="1" t="s">
        <v>570</v>
      </c>
      <c r="N38" s="1" t="s">
        <v>571</v>
      </c>
      <c r="O38" s="1" t="s">
        <v>4054</v>
      </c>
      <c r="BV38" s="1" t="str">
        <f>IFERROR(INDEX(tblStandings[#All],ROW(A38),COLUMN(A38)),"")</f>
        <v/>
      </c>
      <c r="BW38" s="1" t="str">
        <f>IFERROR(INDEX(tblStandings[#All],ROW(B38),COLUMN(B38)),"")</f>
        <v/>
      </c>
      <c r="BX38" s="1" t="str">
        <f>IFERROR(INDEX(tblStandings[#All],ROW(C38),COLUMN(C38)),"")</f>
        <v/>
      </c>
      <c r="BY38" s="1" t="str">
        <f>IFERROR(INDEX(tblStandings[#All],ROW(D38),COLUMN(D38)),"")</f>
        <v/>
      </c>
      <c r="BZ38" s="1" t="str">
        <f>IFERROR(INDEX(tblStandings[#All],ROW(E38),COLUMN(E38)),"")</f>
        <v/>
      </c>
      <c r="CA38" s="1" t="str">
        <f>IFERROR(INDEX(tblStandings[#All],ROW(F38),COLUMN(F38)),"")</f>
        <v/>
      </c>
      <c r="CB38" s="1" t="str">
        <f>IFERROR(INDEX(tblStandings[#All],ROW(G38),COLUMN(G38)),"")</f>
        <v/>
      </c>
      <c r="CC38" s="1" t="str">
        <f>IFERROR(INDEX(tblStandings[#All],ROW(H38),COLUMN(H38)),"")</f>
        <v/>
      </c>
      <c r="CD38" s="1" t="str">
        <f>IFERROR(INDEX(tblStandings[#All],ROW(I38),COLUMN(I38)),"")</f>
        <v/>
      </c>
      <c r="CE38" s="1" t="str">
        <f>IFERROR(INDEX(tblStandings[#All],ROW(J38),COLUMN(J38)),"")</f>
        <v/>
      </c>
      <c r="CF38" s="1" t="str">
        <f>IFERROR(INDEX(tblStandings[#All],ROW(K38),COLUMN(K38)),"")</f>
        <v/>
      </c>
      <c r="CG38" s="1" t="str">
        <f t="shared" si="0"/>
        <v/>
      </c>
      <c r="CH38" s="1" t="str">
        <f t="shared" si="1"/>
        <v/>
      </c>
      <c r="CI38" s="1" t="str">
        <f t="shared" si="2"/>
        <v/>
      </c>
      <c r="CJ38" s="1" t="str">
        <f t="shared" si="3"/>
        <v/>
      </c>
      <c r="CK38" s="1" t="str">
        <f t="shared" si="4"/>
        <v/>
      </c>
    </row>
    <row r="39" spans="8:89" x14ac:dyDescent="0.25">
      <c r="H39" s="1">
        <v>1528174</v>
      </c>
      <c r="I39" s="4">
        <v>46268.541666666664</v>
      </c>
      <c r="J39" s="1" t="s">
        <v>17</v>
      </c>
      <c r="K39" s="1" t="s">
        <v>20</v>
      </c>
      <c r="L39" s="1" t="s">
        <v>441</v>
      </c>
      <c r="M39" s="1" t="s">
        <v>4055</v>
      </c>
      <c r="N39" s="1" t="s">
        <v>4056</v>
      </c>
      <c r="O39" s="1" t="s">
        <v>4057</v>
      </c>
      <c r="BV39" s="1" t="str">
        <f>IFERROR(INDEX(tblStandings[#All],ROW(A39),COLUMN(A39)),"")</f>
        <v/>
      </c>
      <c r="BW39" s="1" t="str">
        <f>IFERROR(INDEX(tblStandings[#All],ROW(B39),COLUMN(B39)),"")</f>
        <v/>
      </c>
      <c r="BX39" s="1" t="str">
        <f>IFERROR(INDEX(tblStandings[#All],ROW(C39),COLUMN(C39)),"")</f>
        <v/>
      </c>
      <c r="BY39" s="1" t="str">
        <f>IFERROR(INDEX(tblStandings[#All],ROW(D39),COLUMN(D39)),"")</f>
        <v/>
      </c>
      <c r="BZ39" s="1" t="str">
        <f>IFERROR(INDEX(tblStandings[#All],ROW(E39),COLUMN(E39)),"")</f>
        <v/>
      </c>
      <c r="CA39" s="1" t="str">
        <f>IFERROR(INDEX(tblStandings[#All],ROW(F39),COLUMN(F39)),"")</f>
        <v/>
      </c>
      <c r="CB39" s="1" t="str">
        <f>IFERROR(INDEX(tblStandings[#All],ROW(G39),COLUMN(G39)),"")</f>
        <v/>
      </c>
      <c r="CC39" s="1" t="str">
        <f>IFERROR(INDEX(tblStandings[#All],ROW(H39),COLUMN(H39)),"")</f>
        <v/>
      </c>
      <c r="CD39" s="1" t="str">
        <f>IFERROR(INDEX(tblStandings[#All],ROW(I39),COLUMN(I39)),"")</f>
        <v/>
      </c>
      <c r="CE39" s="1" t="str">
        <f>IFERROR(INDEX(tblStandings[#All],ROW(J39),COLUMN(J39)),"")</f>
        <v/>
      </c>
      <c r="CF39" s="1" t="str">
        <f>IFERROR(INDEX(tblStandings[#All],ROW(K39),COLUMN(K39)),"")</f>
        <v/>
      </c>
      <c r="CG39" s="1" t="str">
        <f t="shared" si="0"/>
        <v/>
      </c>
      <c r="CH39" s="1" t="str">
        <f t="shared" si="1"/>
        <v/>
      </c>
      <c r="CI39" s="1" t="str">
        <f t="shared" si="2"/>
        <v/>
      </c>
      <c r="CJ39" s="1" t="str">
        <f t="shared" si="3"/>
        <v/>
      </c>
      <c r="CK39" s="1" t="str">
        <f t="shared" si="4"/>
        <v/>
      </c>
    </row>
    <row r="40" spans="8:89" x14ac:dyDescent="0.25">
      <c r="H40" s="1">
        <v>1391566</v>
      </c>
      <c r="I40" s="4">
        <v>46268.5625</v>
      </c>
      <c r="J40" s="1" t="s">
        <v>17</v>
      </c>
      <c r="K40" s="1" t="s">
        <v>338</v>
      </c>
      <c r="L40" s="1" t="s">
        <v>50</v>
      </c>
      <c r="M40" s="1" t="s">
        <v>4059</v>
      </c>
      <c r="N40" s="1" t="s">
        <v>4060</v>
      </c>
      <c r="O40" s="1" t="s">
        <v>4061</v>
      </c>
      <c r="BV40" s="1" t="str">
        <f>IFERROR(INDEX(tblStandings[#All],ROW(A40),COLUMN(A40)),"")</f>
        <v/>
      </c>
      <c r="BW40" s="1" t="str">
        <f>IFERROR(INDEX(tblStandings[#All],ROW(B40),COLUMN(B40)),"")</f>
        <v/>
      </c>
      <c r="BX40" s="1" t="str">
        <f>IFERROR(INDEX(tblStandings[#All],ROW(C40),COLUMN(C40)),"")</f>
        <v/>
      </c>
      <c r="BY40" s="1" t="str">
        <f>IFERROR(INDEX(tblStandings[#All],ROW(D40),COLUMN(D40)),"")</f>
        <v/>
      </c>
      <c r="BZ40" s="1" t="str">
        <f>IFERROR(INDEX(tblStandings[#All],ROW(E40),COLUMN(E40)),"")</f>
        <v/>
      </c>
      <c r="CA40" s="1" t="str">
        <f>IFERROR(INDEX(tblStandings[#All],ROW(F40),COLUMN(F40)),"")</f>
        <v/>
      </c>
      <c r="CB40" s="1" t="str">
        <f>IFERROR(INDEX(tblStandings[#All],ROW(G40),COLUMN(G40)),"")</f>
        <v/>
      </c>
      <c r="CC40" s="1" t="str">
        <f>IFERROR(INDEX(tblStandings[#All],ROW(H40),COLUMN(H40)),"")</f>
        <v/>
      </c>
      <c r="CD40" s="1" t="str">
        <f>IFERROR(INDEX(tblStandings[#All],ROW(I40),COLUMN(I40)),"")</f>
        <v/>
      </c>
      <c r="CE40" s="1" t="str">
        <f>IFERROR(INDEX(tblStandings[#All],ROW(J40),COLUMN(J40)),"")</f>
        <v/>
      </c>
      <c r="CF40" s="1" t="str">
        <f>IFERROR(INDEX(tblStandings[#All],ROW(K40),COLUMN(K40)),"")</f>
        <v/>
      </c>
      <c r="CG40" s="1" t="str">
        <f t="shared" si="0"/>
        <v/>
      </c>
      <c r="CH40" s="1" t="str">
        <f t="shared" si="1"/>
        <v/>
      </c>
      <c r="CI40" s="1" t="str">
        <f t="shared" si="2"/>
        <v/>
      </c>
      <c r="CJ40" s="1" t="str">
        <f t="shared" si="3"/>
        <v/>
      </c>
      <c r="CK40" s="1" t="str">
        <f t="shared" si="4"/>
        <v/>
      </c>
    </row>
    <row r="41" spans="8:89" x14ac:dyDescent="0.25">
      <c r="H41" s="1">
        <v>1400186</v>
      </c>
      <c r="I41" s="4">
        <v>46268.5625</v>
      </c>
      <c r="J41" s="1" t="s">
        <v>17</v>
      </c>
      <c r="K41" s="1" t="s">
        <v>405</v>
      </c>
      <c r="L41" s="1" t="s">
        <v>50</v>
      </c>
      <c r="M41" s="1" t="s">
        <v>4062</v>
      </c>
      <c r="N41" s="1" t="s">
        <v>4063</v>
      </c>
      <c r="O41" s="1" t="s">
        <v>4064</v>
      </c>
      <c r="BV41" s="1" t="str">
        <f>IFERROR(INDEX(tblStandings[#All],ROW(A41),COLUMN(A41)),"")</f>
        <v/>
      </c>
      <c r="BW41" s="1" t="str">
        <f>IFERROR(INDEX(tblStandings[#All],ROW(B41),COLUMN(B41)),"")</f>
        <v/>
      </c>
      <c r="BX41" s="1" t="str">
        <f>IFERROR(INDEX(tblStandings[#All],ROW(C41),COLUMN(C41)),"")</f>
        <v/>
      </c>
      <c r="BY41" s="1" t="str">
        <f>IFERROR(INDEX(tblStandings[#All],ROW(D41),COLUMN(D41)),"")</f>
        <v/>
      </c>
      <c r="BZ41" s="1" t="str">
        <f>IFERROR(INDEX(tblStandings[#All],ROW(E41),COLUMN(E41)),"")</f>
        <v/>
      </c>
      <c r="CA41" s="1" t="str">
        <f>IFERROR(INDEX(tblStandings[#All],ROW(F41),COLUMN(F41)),"")</f>
        <v/>
      </c>
      <c r="CB41" s="1" t="str">
        <f>IFERROR(INDEX(tblStandings[#All],ROW(G41),COLUMN(G41)),"")</f>
        <v/>
      </c>
      <c r="CC41" s="1" t="str">
        <f>IFERROR(INDEX(tblStandings[#All],ROW(H41),COLUMN(H41)),"")</f>
        <v/>
      </c>
      <c r="CD41" s="1" t="str">
        <f>IFERROR(INDEX(tblStandings[#All],ROW(I41),COLUMN(I41)),"")</f>
        <v/>
      </c>
      <c r="CE41" s="1" t="str">
        <f>IFERROR(INDEX(tblStandings[#All],ROW(J41),COLUMN(J41)),"")</f>
        <v/>
      </c>
      <c r="CF41" s="1" t="str">
        <f>IFERROR(INDEX(tblStandings[#All],ROW(K41),COLUMN(K41)),"")</f>
        <v/>
      </c>
      <c r="CG41" s="1" t="str">
        <f t="shared" si="0"/>
        <v/>
      </c>
      <c r="CH41" s="1" t="str">
        <f t="shared" si="1"/>
        <v/>
      </c>
      <c r="CI41" s="1" t="str">
        <f t="shared" si="2"/>
        <v/>
      </c>
      <c r="CJ41" s="1" t="str">
        <f t="shared" si="3"/>
        <v/>
      </c>
      <c r="CK41" s="1" t="str">
        <f t="shared" si="4"/>
        <v/>
      </c>
    </row>
    <row r="42" spans="8:89" x14ac:dyDescent="0.25">
      <c r="H42" s="1">
        <v>1403782</v>
      </c>
      <c r="I42" s="4">
        <v>46268.5625</v>
      </c>
      <c r="J42" s="1" t="s">
        <v>17</v>
      </c>
      <c r="K42" s="1" t="s">
        <v>39</v>
      </c>
      <c r="L42" s="1" t="s">
        <v>40</v>
      </c>
      <c r="M42" s="1" t="s">
        <v>314</v>
      </c>
      <c r="N42" s="1" t="s">
        <v>4065</v>
      </c>
      <c r="O42" s="1" t="s">
        <v>4066</v>
      </c>
      <c r="BV42" s="1" t="str">
        <f>IFERROR(INDEX(tblStandings[#All],ROW(A42),COLUMN(A42)),"")</f>
        <v/>
      </c>
      <c r="BW42" s="1" t="str">
        <f>IFERROR(INDEX(tblStandings[#All],ROW(B42),COLUMN(B42)),"")</f>
        <v/>
      </c>
      <c r="BX42" s="1" t="str">
        <f>IFERROR(INDEX(tblStandings[#All],ROW(C42),COLUMN(C42)),"")</f>
        <v/>
      </c>
      <c r="BY42" s="1" t="str">
        <f>IFERROR(INDEX(tblStandings[#All],ROW(D42),COLUMN(D42)),"")</f>
        <v/>
      </c>
      <c r="BZ42" s="1" t="str">
        <f>IFERROR(INDEX(tblStandings[#All],ROW(E42),COLUMN(E42)),"")</f>
        <v/>
      </c>
      <c r="CA42" s="1" t="str">
        <f>IFERROR(INDEX(tblStandings[#All],ROW(F42),COLUMN(F42)),"")</f>
        <v/>
      </c>
      <c r="CB42" s="1" t="str">
        <f>IFERROR(INDEX(tblStandings[#All],ROW(G42),COLUMN(G42)),"")</f>
        <v/>
      </c>
      <c r="CC42" s="1" t="str">
        <f>IFERROR(INDEX(tblStandings[#All],ROW(H42),COLUMN(H42)),"")</f>
        <v/>
      </c>
      <c r="CD42" s="1" t="str">
        <f>IFERROR(INDEX(tblStandings[#All],ROW(I42),COLUMN(I42)),"")</f>
        <v/>
      </c>
      <c r="CE42" s="1" t="str">
        <f>IFERROR(INDEX(tblStandings[#All],ROW(J42),COLUMN(J42)),"")</f>
        <v/>
      </c>
      <c r="CF42" s="1" t="str">
        <f>IFERROR(INDEX(tblStandings[#All],ROW(K42),COLUMN(K42)),"")</f>
        <v/>
      </c>
      <c r="CG42" s="1" t="str">
        <f t="shared" si="0"/>
        <v/>
      </c>
      <c r="CH42" s="1" t="str">
        <f t="shared" si="1"/>
        <v/>
      </c>
      <c r="CI42" s="1" t="str">
        <f t="shared" si="2"/>
        <v/>
      </c>
      <c r="CJ42" s="1" t="str">
        <f t="shared" si="3"/>
        <v/>
      </c>
      <c r="CK42" s="1" t="str">
        <f t="shared" si="4"/>
        <v/>
      </c>
    </row>
    <row r="43" spans="8:89" x14ac:dyDescent="0.25">
      <c r="H43" s="1">
        <v>1403783</v>
      </c>
      <c r="I43" s="4">
        <v>46268.5625</v>
      </c>
      <c r="J43" s="1" t="s">
        <v>17</v>
      </c>
      <c r="K43" s="1" t="s">
        <v>39</v>
      </c>
      <c r="L43" s="1" t="s">
        <v>40</v>
      </c>
      <c r="M43" s="1" t="s">
        <v>4067</v>
      </c>
      <c r="N43" s="1" t="s">
        <v>4068</v>
      </c>
      <c r="O43" s="1" t="s">
        <v>4069</v>
      </c>
      <c r="BV43" s="1" t="str">
        <f>IFERROR(INDEX(tblStandings[#All],ROW(A43),COLUMN(A43)),"")</f>
        <v/>
      </c>
      <c r="BW43" s="1" t="str">
        <f>IFERROR(INDEX(tblStandings[#All],ROW(B43),COLUMN(B43)),"")</f>
        <v/>
      </c>
      <c r="BX43" s="1" t="str">
        <f>IFERROR(INDEX(tblStandings[#All],ROW(C43),COLUMN(C43)),"")</f>
        <v/>
      </c>
      <c r="BY43" s="1" t="str">
        <f>IFERROR(INDEX(tblStandings[#All],ROW(D43),COLUMN(D43)),"")</f>
        <v/>
      </c>
      <c r="BZ43" s="1" t="str">
        <f>IFERROR(INDEX(tblStandings[#All],ROW(E43),COLUMN(E43)),"")</f>
        <v/>
      </c>
      <c r="CA43" s="1" t="str">
        <f>IFERROR(INDEX(tblStandings[#All],ROW(F43),COLUMN(F43)),"")</f>
        <v/>
      </c>
      <c r="CB43" s="1" t="str">
        <f>IFERROR(INDEX(tblStandings[#All],ROW(G43),COLUMN(G43)),"")</f>
        <v/>
      </c>
      <c r="CC43" s="1" t="str">
        <f>IFERROR(INDEX(tblStandings[#All],ROW(H43),COLUMN(H43)),"")</f>
        <v/>
      </c>
      <c r="CD43" s="1" t="str">
        <f>IFERROR(INDEX(tblStandings[#All],ROW(I43),COLUMN(I43)),"")</f>
        <v/>
      </c>
      <c r="CE43" s="1" t="str">
        <f>IFERROR(INDEX(tblStandings[#All],ROW(J43),COLUMN(J43)),"")</f>
        <v/>
      </c>
      <c r="CF43" s="1" t="str">
        <f>IFERROR(INDEX(tblStandings[#All],ROW(K43),COLUMN(K43)),"")</f>
        <v/>
      </c>
      <c r="CG43" s="1" t="str">
        <f t="shared" si="0"/>
        <v/>
      </c>
      <c r="CH43" s="1" t="str">
        <f t="shared" si="1"/>
        <v/>
      </c>
      <c r="CI43" s="1" t="str">
        <f t="shared" si="2"/>
        <v/>
      </c>
      <c r="CJ43" s="1" t="str">
        <f t="shared" si="3"/>
        <v/>
      </c>
      <c r="CK43" s="1" t="str">
        <f t="shared" si="4"/>
        <v/>
      </c>
    </row>
    <row r="44" spans="8:89" x14ac:dyDescent="0.25">
      <c r="H44" s="1">
        <v>1451583</v>
      </c>
      <c r="I44" s="4">
        <v>46268.5625</v>
      </c>
      <c r="J44" s="1" t="s">
        <v>17</v>
      </c>
      <c r="K44" s="1" t="s">
        <v>45</v>
      </c>
      <c r="L44" s="1" t="s">
        <v>46</v>
      </c>
      <c r="M44" s="1" t="s">
        <v>573</v>
      </c>
      <c r="N44" s="1" t="s">
        <v>513</v>
      </c>
      <c r="O44" s="1" t="s">
        <v>4070</v>
      </c>
      <c r="BV44" s="1" t="str">
        <f>IFERROR(INDEX(tblStandings[#All],ROW(A44),COLUMN(A44)),"")</f>
        <v/>
      </c>
      <c r="BW44" s="1" t="str">
        <f>IFERROR(INDEX(tblStandings[#All],ROW(B44),COLUMN(B44)),"")</f>
        <v/>
      </c>
      <c r="BX44" s="1" t="str">
        <f>IFERROR(INDEX(tblStandings[#All],ROW(C44),COLUMN(C44)),"")</f>
        <v/>
      </c>
      <c r="BY44" s="1" t="str">
        <f>IFERROR(INDEX(tblStandings[#All],ROW(D44),COLUMN(D44)),"")</f>
        <v/>
      </c>
      <c r="BZ44" s="1" t="str">
        <f>IFERROR(INDEX(tblStandings[#All],ROW(E44),COLUMN(E44)),"")</f>
        <v/>
      </c>
      <c r="CA44" s="1" t="str">
        <f>IFERROR(INDEX(tblStandings[#All],ROW(F44),COLUMN(F44)),"")</f>
        <v/>
      </c>
      <c r="CB44" s="1" t="str">
        <f>IFERROR(INDEX(tblStandings[#All],ROW(G44),COLUMN(G44)),"")</f>
        <v/>
      </c>
      <c r="CC44" s="1" t="str">
        <f>IFERROR(INDEX(tblStandings[#All],ROW(H44),COLUMN(H44)),"")</f>
        <v/>
      </c>
      <c r="CD44" s="1" t="str">
        <f>IFERROR(INDEX(tblStandings[#All],ROW(I44),COLUMN(I44)),"")</f>
        <v/>
      </c>
      <c r="CE44" s="1" t="str">
        <f>IFERROR(INDEX(tblStandings[#All],ROW(J44),COLUMN(J44)),"")</f>
        <v/>
      </c>
      <c r="CF44" s="1" t="str">
        <f>IFERROR(INDEX(tblStandings[#All],ROW(K44),COLUMN(K44)),"")</f>
        <v/>
      </c>
      <c r="CG44" s="1" t="str">
        <f t="shared" si="0"/>
        <v/>
      </c>
      <c r="CH44" s="1" t="str">
        <f t="shared" si="1"/>
        <v/>
      </c>
      <c r="CI44" s="1" t="str">
        <f t="shared" si="2"/>
        <v/>
      </c>
      <c r="CJ44" s="1" t="str">
        <f t="shared" si="3"/>
        <v/>
      </c>
      <c r="CK44" s="1" t="str">
        <f t="shared" si="4"/>
        <v/>
      </c>
    </row>
    <row r="45" spans="8:89" x14ac:dyDescent="0.25">
      <c r="H45" s="1">
        <v>1451854</v>
      </c>
      <c r="I45" s="4">
        <v>46268.5625</v>
      </c>
      <c r="J45" s="1" t="s">
        <v>17</v>
      </c>
      <c r="K45" s="1" t="s">
        <v>45</v>
      </c>
      <c r="L45" s="1" t="s">
        <v>234</v>
      </c>
      <c r="M45" s="1" t="s">
        <v>504</v>
      </c>
      <c r="N45" s="1" t="s">
        <v>4071</v>
      </c>
      <c r="O45" s="1" t="s">
        <v>4072</v>
      </c>
      <c r="BV45" s="1" t="str">
        <f>IFERROR(INDEX(tblStandings[#All],ROW(A45),COLUMN(A45)),"")</f>
        <v/>
      </c>
      <c r="BW45" s="1" t="str">
        <f>IFERROR(INDEX(tblStandings[#All],ROW(B45),COLUMN(B45)),"")</f>
        <v/>
      </c>
      <c r="BX45" s="1" t="str">
        <f>IFERROR(INDEX(tblStandings[#All],ROW(C45),COLUMN(C45)),"")</f>
        <v/>
      </c>
      <c r="BY45" s="1" t="str">
        <f>IFERROR(INDEX(tblStandings[#All],ROW(D45),COLUMN(D45)),"")</f>
        <v/>
      </c>
      <c r="BZ45" s="1" t="str">
        <f>IFERROR(INDEX(tblStandings[#All],ROW(E45),COLUMN(E45)),"")</f>
        <v/>
      </c>
      <c r="CA45" s="1" t="str">
        <f>IFERROR(INDEX(tblStandings[#All],ROW(F45),COLUMN(F45)),"")</f>
        <v/>
      </c>
      <c r="CB45" s="1" t="str">
        <f>IFERROR(INDEX(tblStandings[#All],ROW(G45),COLUMN(G45)),"")</f>
        <v/>
      </c>
      <c r="CC45" s="1" t="str">
        <f>IFERROR(INDEX(tblStandings[#All],ROW(H45),COLUMN(H45)),"")</f>
        <v/>
      </c>
      <c r="CD45" s="1" t="str">
        <f>IFERROR(INDEX(tblStandings[#All],ROW(I45),COLUMN(I45)),"")</f>
        <v/>
      </c>
      <c r="CE45" s="1" t="str">
        <f>IFERROR(INDEX(tblStandings[#All],ROW(J45),COLUMN(J45)),"")</f>
        <v/>
      </c>
      <c r="CF45" s="1" t="str">
        <f>IFERROR(INDEX(tblStandings[#All],ROW(K45),COLUMN(K45)),"")</f>
        <v/>
      </c>
      <c r="CG45" s="1" t="str">
        <f t="shared" si="0"/>
        <v/>
      </c>
      <c r="CH45" s="1" t="str">
        <f t="shared" si="1"/>
        <v/>
      </c>
      <c r="CI45" s="1" t="str">
        <f t="shared" si="2"/>
        <v/>
      </c>
      <c r="CJ45" s="1" t="str">
        <f t="shared" si="3"/>
        <v/>
      </c>
      <c r="CK45" s="1" t="str">
        <f t="shared" si="4"/>
        <v/>
      </c>
    </row>
    <row r="46" spans="8:89" x14ac:dyDescent="0.25">
      <c r="H46" s="1">
        <v>1531130</v>
      </c>
      <c r="I46" s="4">
        <v>46268.5625</v>
      </c>
      <c r="J46" s="1" t="s">
        <v>17</v>
      </c>
      <c r="K46" s="1" t="s">
        <v>22</v>
      </c>
      <c r="L46" s="1" t="s">
        <v>4376</v>
      </c>
      <c r="M46" s="1" t="s">
        <v>4377</v>
      </c>
      <c r="N46" s="1" t="s">
        <v>4378</v>
      </c>
      <c r="O46" s="1" t="s">
        <v>4379</v>
      </c>
      <c r="BV46" s="1" t="str">
        <f>IFERROR(INDEX(tblStandings[#All],ROW(A46),COLUMN(A46)),"")</f>
        <v/>
      </c>
      <c r="BW46" s="1" t="str">
        <f>IFERROR(INDEX(tblStandings[#All],ROW(B46),COLUMN(B46)),"")</f>
        <v/>
      </c>
      <c r="BX46" s="1" t="str">
        <f>IFERROR(INDEX(tblStandings[#All],ROW(C46),COLUMN(C46)),"")</f>
        <v/>
      </c>
      <c r="BY46" s="1" t="str">
        <f>IFERROR(INDEX(tblStandings[#All],ROW(D46),COLUMN(D46)),"")</f>
        <v/>
      </c>
      <c r="BZ46" s="1" t="str">
        <f>IFERROR(INDEX(tblStandings[#All],ROW(E46),COLUMN(E46)),"")</f>
        <v/>
      </c>
      <c r="CA46" s="1" t="str">
        <f>IFERROR(INDEX(tblStandings[#All],ROW(F46),COLUMN(F46)),"")</f>
        <v/>
      </c>
      <c r="CB46" s="1" t="str">
        <f>IFERROR(INDEX(tblStandings[#All],ROW(G46),COLUMN(G46)),"")</f>
        <v/>
      </c>
      <c r="CC46" s="1" t="str">
        <f>IFERROR(INDEX(tblStandings[#All],ROW(H46),COLUMN(H46)),"")</f>
        <v/>
      </c>
      <c r="CD46" s="1" t="str">
        <f>IFERROR(INDEX(tblStandings[#All],ROW(I46),COLUMN(I46)),"")</f>
        <v/>
      </c>
      <c r="CE46" s="1" t="str">
        <f>IFERROR(INDEX(tblStandings[#All],ROW(J46),COLUMN(J46)),"")</f>
        <v/>
      </c>
      <c r="CF46" s="1" t="str">
        <f>IFERROR(INDEX(tblStandings[#All],ROW(K46),COLUMN(K46)),"")</f>
        <v/>
      </c>
      <c r="CG46" s="1" t="str">
        <f t="shared" si="0"/>
        <v/>
      </c>
      <c r="CH46" s="1" t="str">
        <f t="shared" si="1"/>
        <v/>
      </c>
      <c r="CI46" s="1" t="str">
        <f t="shared" si="2"/>
        <v/>
      </c>
      <c r="CJ46" s="1" t="str">
        <f t="shared" si="3"/>
        <v/>
      </c>
      <c r="CK46" s="1" t="str">
        <f t="shared" si="4"/>
        <v/>
      </c>
    </row>
    <row r="47" spans="8:89" x14ac:dyDescent="0.25">
      <c r="H47" s="1">
        <v>1531131</v>
      </c>
      <c r="I47" s="4">
        <v>46268.5625</v>
      </c>
      <c r="J47" s="1" t="s">
        <v>33</v>
      </c>
      <c r="K47" s="1" t="s">
        <v>22</v>
      </c>
      <c r="L47" s="1" t="s">
        <v>4376</v>
      </c>
      <c r="M47" s="1" t="s">
        <v>4380</v>
      </c>
      <c r="N47" s="1" t="s">
        <v>4381</v>
      </c>
      <c r="O47" s="1" t="s">
        <v>4382</v>
      </c>
      <c r="BV47" s="1" t="str">
        <f>IFERROR(INDEX(tblStandings[#All],ROW(A47),COLUMN(A47)),"")</f>
        <v/>
      </c>
      <c r="BW47" s="1" t="str">
        <f>IFERROR(INDEX(tblStandings[#All],ROW(B47),COLUMN(B47)),"")</f>
        <v/>
      </c>
      <c r="BX47" s="1" t="str">
        <f>IFERROR(INDEX(tblStandings[#All],ROW(C47),COLUMN(C47)),"")</f>
        <v/>
      </c>
      <c r="BY47" s="1" t="str">
        <f>IFERROR(INDEX(tblStandings[#All],ROW(D47),COLUMN(D47)),"")</f>
        <v/>
      </c>
      <c r="BZ47" s="1" t="str">
        <f>IFERROR(INDEX(tblStandings[#All],ROW(E47),COLUMN(E47)),"")</f>
        <v/>
      </c>
      <c r="CA47" s="1" t="str">
        <f>IFERROR(INDEX(tblStandings[#All],ROW(F47),COLUMN(F47)),"")</f>
        <v/>
      </c>
      <c r="CB47" s="1" t="str">
        <f>IFERROR(INDEX(tblStandings[#All],ROW(G47),COLUMN(G47)),"")</f>
        <v/>
      </c>
      <c r="CC47" s="1" t="str">
        <f>IFERROR(INDEX(tblStandings[#All],ROW(H47),COLUMN(H47)),"")</f>
        <v/>
      </c>
      <c r="CD47" s="1" t="str">
        <f>IFERROR(INDEX(tblStandings[#All],ROW(I47),COLUMN(I47)),"")</f>
        <v/>
      </c>
      <c r="CE47" s="1" t="str">
        <f>IFERROR(INDEX(tblStandings[#All],ROW(J47),COLUMN(J47)),"")</f>
        <v/>
      </c>
      <c r="CF47" s="1" t="str">
        <f>IFERROR(INDEX(tblStandings[#All],ROW(K47),COLUMN(K47)),"")</f>
        <v/>
      </c>
      <c r="CG47" s="1" t="str">
        <f t="shared" si="0"/>
        <v/>
      </c>
      <c r="CH47" s="1" t="str">
        <f t="shared" si="1"/>
        <v/>
      </c>
      <c r="CI47" s="1" t="str">
        <f t="shared" si="2"/>
        <v/>
      </c>
      <c r="CJ47" s="1" t="str">
        <f t="shared" si="3"/>
        <v/>
      </c>
      <c r="CK47" s="1" t="str">
        <f t="shared" si="4"/>
        <v/>
      </c>
    </row>
    <row r="48" spans="8:89" x14ac:dyDescent="0.25">
      <c r="H48" s="1">
        <v>1531132</v>
      </c>
      <c r="I48" s="4">
        <v>46268.5625</v>
      </c>
      <c r="J48" s="1" t="s">
        <v>33</v>
      </c>
      <c r="K48" s="1" t="s">
        <v>22</v>
      </c>
      <c r="L48" s="1" t="s">
        <v>4376</v>
      </c>
      <c r="M48" s="1" t="s">
        <v>4383</v>
      </c>
      <c r="N48" s="1" t="s">
        <v>4384</v>
      </c>
      <c r="O48" s="1" t="s">
        <v>4385</v>
      </c>
      <c r="BV48" s="1" t="str">
        <f>IFERROR(INDEX(tblStandings[#All],ROW(A48),COLUMN(A48)),"")</f>
        <v/>
      </c>
      <c r="BW48" s="1" t="str">
        <f>IFERROR(INDEX(tblStandings[#All],ROW(B48),COLUMN(B48)),"")</f>
        <v/>
      </c>
      <c r="BX48" s="1" t="str">
        <f>IFERROR(INDEX(tblStandings[#All],ROW(C48),COLUMN(C48)),"")</f>
        <v/>
      </c>
      <c r="BY48" s="1" t="str">
        <f>IFERROR(INDEX(tblStandings[#All],ROW(D48),COLUMN(D48)),"")</f>
        <v/>
      </c>
      <c r="BZ48" s="1" t="str">
        <f>IFERROR(INDEX(tblStandings[#All],ROW(E48),COLUMN(E48)),"")</f>
        <v/>
      </c>
      <c r="CA48" s="1" t="str">
        <f>IFERROR(INDEX(tblStandings[#All],ROW(F48),COLUMN(F48)),"")</f>
        <v/>
      </c>
      <c r="CB48" s="1" t="str">
        <f>IFERROR(INDEX(tblStandings[#All],ROW(G48),COLUMN(G48)),"")</f>
        <v/>
      </c>
      <c r="CC48" s="1" t="str">
        <f>IFERROR(INDEX(tblStandings[#All],ROW(H48),COLUMN(H48)),"")</f>
        <v/>
      </c>
      <c r="CD48" s="1" t="str">
        <f>IFERROR(INDEX(tblStandings[#All],ROW(I48),COLUMN(I48)),"")</f>
        <v/>
      </c>
      <c r="CE48" s="1" t="str">
        <f>IFERROR(INDEX(tblStandings[#All],ROW(J48),COLUMN(J48)),"")</f>
        <v/>
      </c>
      <c r="CF48" s="1" t="str">
        <f>IFERROR(INDEX(tblStandings[#All],ROW(K48),COLUMN(K48)),"")</f>
        <v/>
      </c>
      <c r="CG48" s="1" t="str">
        <f t="shared" si="0"/>
        <v/>
      </c>
      <c r="CH48" s="1" t="str">
        <f t="shared" si="1"/>
        <v/>
      </c>
      <c r="CI48" s="1" t="str">
        <f t="shared" si="2"/>
        <v/>
      </c>
      <c r="CJ48" s="1" t="str">
        <f t="shared" si="3"/>
        <v/>
      </c>
      <c r="CK48" s="1" t="str">
        <f t="shared" si="4"/>
        <v/>
      </c>
    </row>
    <row r="49" spans="8:89" x14ac:dyDescent="0.25">
      <c r="H49" s="1">
        <v>1531133</v>
      </c>
      <c r="I49" s="4">
        <v>46268.5625</v>
      </c>
      <c r="J49" s="1" t="s">
        <v>33</v>
      </c>
      <c r="K49" s="1" t="s">
        <v>22</v>
      </c>
      <c r="L49" s="1" t="s">
        <v>4376</v>
      </c>
      <c r="M49" s="1" t="s">
        <v>4386</v>
      </c>
      <c r="N49" s="1" t="s">
        <v>4387</v>
      </c>
      <c r="O49" s="1" t="s">
        <v>4388</v>
      </c>
      <c r="BV49" s="1" t="str">
        <f>IFERROR(INDEX(tblStandings[#All],ROW(A49),COLUMN(A49)),"")</f>
        <v/>
      </c>
      <c r="BW49" s="1" t="str">
        <f>IFERROR(INDEX(tblStandings[#All],ROW(B49),COLUMN(B49)),"")</f>
        <v/>
      </c>
      <c r="BX49" s="1" t="str">
        <f>IFERROR(INDEX(tblStandings[#All],ROW(C49),COLUMN(C49)),"")</f>
        <v/>
      </c>
      <c r="BY49" s="1" t="str">
        <f>IFERROR(INDEX(tblStandings[#All],ROW(D49),COLUMN(D49)),"")</f>
        <v/>
      </c>
      <c r="BZ49" s="1" t="str">
        <f>IFERROR(INDEX(tblStandings[#All],ROW(E49),COLUMN(E49)),"")</f>
        <v/>
      </c>
      <c r="CA49" s="1" t="str">
        <f>IFERROR(INDEX(tblStandings[#All],ROW(F49),COLUMN(F49)),"")</f>
        <v/>
      </c>
      <c r="CB49" s="1" t="str">
        <f>IFERROR(INDEX(tblStandings[#All],ROW(G49),COLUMN(G49)),"")</f>
        <v/>
      </c>
      <c r="CC49" s="1" t="str">
        <f>IFERROR(INDEX(tblStandings[#All],ROW(H49),COLUMN(H49)),"")</f>
        <v/>
      </c>
      <c r="CD49" s="1" t="str">
        <f>IFERROR(INDEX(tblStandings[#All],ROW(I49),COLUMN(I49)),"")</f>
        <v/>
      </c>
      <c r="CE49" s="1" t="str">
        <f>IFERROR(INDEX(tblStandings[#All],ROW(J49),COLUMN(J49)),"")</f>
        <v/>
      </c>
      <c r="CF49" s="1" t="str">
        <f>IFERROR(INDEX(tblStandings[#All],ROW(K49),COLUMN(K49)),"")</f>
        <v/>
      </c>
      <c r="CG49" s="1" t="str">
        <f t="shared" si="0"/>
        <v/>
      </c>
      <c r="CH49" s="1" t="str">
        <f t="shared" si="1"/>
        <v/>
      </c>
      <c r="CI49" s="1" t="str">
        <f t="shared" si="2"/>
        <v/>
      </c>
      <c r="CJ49" s="1" t="str">
        <f t="shared" si="3"/>
        <v/>
      </c>
      <c r="CK49" s="1" t="str">
        <f t="shared" si="4"/>
        <v/>
      </c>
    </row>
    <row r="50" spans="8:89" x14ac:dyDescent="0.25">
      <c r="H50" s="1">
        <v>1531163</v>
      </c>
      <c r="I50" s="4">
        <v>46268.5625</v>
      </c>
      <c r="J50" s="1" t="s">
        <v>33</v>
      </c>
      <c r="K50" s="1" t="s">
        <v>22</v>
      </c>
      <c r="L50" s="1" t="s">
        <v>4376</v>
      </c>
      <c r="M50" s="1" t="s">
        <v>4389</v>
      </c>
      <c r="N50" s="1" t="s">
        <v>4390</v>
      </c>
      <c r="O50" s="1" t="s">
        <v>4391</v>
      </c>
      <c r="BV50" s="1" t="str">
        <f>IFERROR(INDEX(tblStandings[#All],ROW(A50),COLUMN(A50)),"")</f>
        <v/>
      </c>
      <c r="BW50" s="1" t="str">
        <f>IFERROR(INDEX(tblStandings[#All],ROW(B50),COLUMN(B50)),"")</f>
        <v/>
      </c>
      <c r="BX50" s="1" t="str">
        <f>IFERROR(INDEX(tblStandings[#All],ROW(C50),COLUMN(C50)),"")</f>
        <v/>
      </c>
      <c r="BY50" s="1" t="str">
        <f>IFERROR(INDEX(tblStandings[#All],ROW(D50),COLUMN(D50)),"")</f>
        <v/>
      </c>
      <c r="BZ50" s="1" t="str">
        <f>IFERROR(INDEX(tblStandings[#All],ROW(E50),COLUMN(E50)),"")</f>
        <v/>
      </c>
      <c r="CA50" s="1" t="str">
        <f>IFERROR(INDEX(tblStandings[#All],ROW(F50),COLUMN(F50)),"")</f>
        <v/>
      </c>
      <c r="CB50" s="1" t="str">
        <f>IFERROR(INDEX(tblStandings[#All],ROW(G50),COLUMN(G50)),"")</f>
        <v/>
      </c>
      <c r="CC50" s="1" t="str">
        <f>IFERROR(INDEX(tblStandings[#All],ROW(H50),COLUMN(H50)),"")</f>
        <v/>
      </c>
      <c r="CD50" s="1" t="str">
        <f>IFERROR(INDEX(tblStandings[#All],ROW(I50),COLUMN(I50)),"")</f>
        <v/>
      </c>
      <c r="CE50" s="1" t="str">
        <f>IFERROR(INDEX(tblStandings[#All],ROW(J50),COLUMN(J50)),"")</f>
        <v/>
      </c>
      <c r="CF50" s="1" t="str">
        <f>IFERROR(INDEX(tblStandings[#All],ROW(K50),COLUMN(K50)),"")</f>
        <v/>
      </c>
      <c r="CG50" s="1" t="str">
        <f t="shared" si="0"/>
        <v/>
      </c>
      <c r="CH50" s="1" t="str">
        <f t="shared" si="1"/>
        <v/>
      </c>
      <c r="CI50" s="1" t="str">
        <f t="shared" si="2"/>
        <v/>
      </c>
      <c r="CJ50" s="1" t="str">
        <f t="shared" si="3"/>
        <v/>
      </c>
      <c r="CK50" s="1" t="str">
        <f t="shared" si="4"/>
        <v/>
      </c>
    </row>
    <row r="51" spans="8:89" x14ac:dyDescent="0.25">
      <c r="H51" s="1">
        <v>1395254</v>
      </c>
      <c r="I51" s="4">
        <v>46268.583333333336</v>
      </c>
      <c r="J51" s="1" t="s">
        <v>17</v>
      </c>
      <c r="K51" s="1" t="s">
        <v>64</v>
      </c>
      <c r="L51" s="1" t="s">
        <v>720</v>
      </c>
      <c r="M51" s="1" t="s">
        <v>4074</v>
      </c>
      <c r="N51" s="1" t="s">
        <v>4075</v>
      </c>
      <c r="O51" s="1" t="s">
        <v>4076</v>
      </c>
    </row>
    <row r="52" spans="8:89" x14ac:dyDescent="0.25">
      <c r="H52" s="1">
        <v>1404572</v>
      </c>
      <c r="I52" s="4">
        <v>46268.583333333336</v>
      </c>
      <c r="J52" s="1" t="s">
        <v>17</v>
      </c>
      <c r="K52" s="1" t="s">
        <v>42</v>
      </c>
      <c r="L52" s="1" t="s">
        <v>264</v>
      </c>
      <c r="M52" s="1" t="s">
        <v>4077</v>
      </c>
      <c r="N52" s="1" t="s">
        <v>4078</v>
      </c>
      <c r="O52" s="1" t="s">
        <v>4079</v>
      </c>
    </row>
    <row r="53" spans="8:89" x14ac:dyDescent="0.25">
      <c r="H53" s="1">
        <v>1434498</v>
      </c>
      <c r="I53" s="4">
        <v>46268.583333333336</v>
      </c>
      <c r="J53" s="1" t="s">
        <v>17</v>
      </c>
      <c r="K53" s="1" t="s">
        <v>66</v>
      </c>
      <c r="L53" s="1" t="s">
        <v>78</v>
      </c>
      <c r="M53" s="1" t="s">
        <v>529</v>
      </c>
      <c r="N53" s="1" t="s">
        <v>343</v>
      </c>
      <c r="O53" s="1" t="s">
        <v>4080</v>
      </c>
    </row>
    <row r="54" spans="8:89" x14ac:dyDescent="0.25">
      <c r="H54" s="1">
        <v>1521301</v>
      </c>
      <c r="I54" s="4">
        <v>46268.583333333336</v>
      </c>
      <c r="J54" s="1" t="s">
        <v>17</v>
      </c>
      <c r="K54" s="1" t="s">
        <v>262</v>
      </c>
      <c r="L54" s="1" t="s">
        <v>263</v>
      </c>
      <c r="M54" s="1" t="s">
        <v>4081</v>
      </c>
      <c r="N54" s="1" t="s">
        <v>4082</v>
      </c>
      <c r="O54" s="1" t="s">
        <v>4083</v>
      </c>
    </row>
    <row r="55" spans="8:89" x14ac:dyDescent="0.25">
      <c r="H55" s="1">
        <v>1522567</v>
      </c>
      <c r="I55" s="4">
        <v>46268.583333333336</v>
      </c>
      <c r="J55" s="1" t="s">
        <v>17</v>
      </c>
      <c r="K55" s="1" t="s">
        <v>405</v>
      </c>
      <c r="L55" s="1" t="s">
        <v>46</v>
      </c>
      <c r="M55" s="1" t="s">
        <v>4084</v>
      </c>
      <c r="N55" s="1" t="s">
        <v>4085</v>
      </c>
      <c r="O55" s="1" t="s">
        <v>4086</v>
      </c>
    </row>
    <row r="56" spans="8:89" x14ac:dyDescent="0.25">
      <c r="H56" s="1">
        <v>1525653</v>
      </c>
      <c r="I56" s="4">
        <v>46268.583333333336</v>
      </c>
      <c r="J56" s="1" t="s">
        <v>17</v>
      </c>
      <c r="K56" s="1" t="s">
        <v>495</v>
      </c>
      <c r="L56" s="1" t="s">
        <v>46</v>
      </c>
      <c r="M56" s="1" t="s">
        <v>572</v>
      </c>
      <c r="N56" s="1" t="s">
        <v>499</v>
      </c>
      <c r="O56" s="1" t="s">
        <v>4087</v>
      </c>
    </row>
    <row r="57" spans="8:89" x14ac:dyDescent="0.25">
      <c r="H57" s="1">
        <v>1525654</v>
      </c>
      <c r="I57" s="4">
        <v>46268.583333333336</v>
      </c>
      <c r="J57" s="1" t="s">
        <v>17</v>
      </c>
      <c r="K57" s="1" t="s">
        <v>495</v>
      </c>
      <c r="L57" s="1" t="s">
        <v>46</v>
      </c>
      <c r="M57" s="1" t="s">
        <v>497</v>
      </c>
      <c r="N57" s="1" t="s">
        <v>568</v>
      </c>
      <c r="O57" s="1" t="s">
        <v>4088</v>
      </c>
    </row>
    <row r="58" spans="8:89" x14ac:dyDescent="0.25">
      <c r="H58" s="1">
        <v>1528308</v>
      </c>
      <c r="I58" s="4">
        <v>46268.583333333336</v>
      </c>
      <c r="J58" s="1" t="s">
        <v>17</v>
      </c>
      <c r="K58" s="1" t="s">
        <v>636</v>
      </c>
      <c r="L58" s="1" t="s">
        <v>238</v>
      </c>
      <c r="M58" s="1" t="s">
        <v>4089</v>
      </c>
      <c r="N58" s="1" t="s">
        <v>4090</v>
      </c>
      <c r="O58" s="1" t="s">
        <v>4091</v>
      </c>
    </row>
    <row r="59" spans="8:89" x14ac:dyDescent="0.25">
      <c r="H59" s="1">
        <v>1531134</v>
      </c>
      <c r="I59" s="4">
        <v>46268.583333333336</v>
      </c>
      <c r="J59" s="1" t="s">
        <v>17</v>
      </c>
      <c r="K59" s="1" t="s">
        <v>22</v>
      </c>
      <c r="L59" s="1" t="s">
        <v>4376</v>
      </c>
      <c r="M59" s="1" t="s">
        <v>4392</v>
      </c>
      <c r="N59" s="1" t="s">
        <v>4393</v>
      </c>
      <c r="O59" s="1" t="s">
        <v>4394</v>
      </c>
    </row>
    <row r="60" spans="8:89" x14ac:dyDescent="0.25">
      <c r="H60" s="1">
        <v>1445903</v>
      </c>
      <c r="I60" s="4">
        <v>46268.604166666664</v>
      </c>
      <c r="J60" s="1" t="s">
        <v>17</v>
      </c>
      <c r="K60" s="1" t="s">
        <v>67</v>
      </c>
      <c r="L60" s="1" t="s">
        <v>696</v>
      </c>
      <c r="M60" s="1" t="s">
        <v>588</v>
      </c>
      <c r="N60" s="1" t="s">
        <v>4093</v>
      </c>
      <c r="O60" s="1" t="s">
        <v>4094</v>
      </c>
    </row>
    <row r="61" spans="8:89" x14ac:dyDescent="0.25">
      <c r="H61" s="1">
        <v>1418398</v>
      </c>
      <c r="I61" s="4">
        <v>46268.625</v>
      </c>
      <c r="J61" s="1" t="s">
        <v>17</v>
      </c>
      <c r="K61" s="1" t="s">
        <v>97</v>
      </c>
      <c r="L61" s="1" t="s">
        <v>406</v>
      </c>
      <c r="M61" s="1" t="s">
        <v>4096</v>
      </c>
      <c r="N61" s="1" t="s">
        <v>4097</v>
      </c>
      <c r="O61" s="1" t="s">
        <v>4098</v>
      </c>
    </row>
    <row r="62" spans="8:89" x14ac:dyDescent="0.25">
      <c r="H62" s="1">
        <v>1498078</v>
      </c>
      <c r="I62" s="4">
        <v>46268.625</v>
      </c>
      <c r="J62" s="1" t="s">
        <v>17</v>
      </c>
      <c r="K62" s="1" t="s">
        <v>54</v>
      </c>
      <c r="L62" s="1" t="s">
        <v>55</v>
      </c>
      <c r="M62" s="1" t="s">
        <v>591</v>
      </c>
      <c r="N62" s="1" t="s">
        <v>589</v>
      </c>
      <c r="O62" s="1" t="s">
        <v>4099</v>
      </c>
    </row>
    <row r="63" spans="8:89" x14ac:dyDescent="0.25">
      <c r="H63" s="1">
        <v>1498079</v>
      </c>
      <c r="I63" s="4">
        <v>46268.625</v>
      </c>
      <c r="J63" s="1" t="s">
        <v>17</v>
      </c>
      <c r="K63" s="1" t="s">
        <v>54</v>
      </c>
      <c r="L63" s="1" t="s">
        <v>55</v>
      </c>
      <c r="M63" s="1" t="s">
        <v>590</v>
      </c>
      <c r="N63" s="1" t="s">
        <v>500</v>
      </c>
      <c r="O63" s="1" t="s">
        <v>4100</v>
      </c>
    </row>
    <row r="64" spans="8:89" x14ac:dyDescent="0.25">
      <c r="H64" s="1">
        <v>1522271</v>
      </c>
      <c r="I64" s="4">
        <v>46268.625</v>
      </c>
      <c r="J64" s="1" t="s">
        <v>17</v>
      </c>
      <c r="K64" s="1" t="s">
        <v>574</v>
      </c>
      <c r="L64" s="1" t="s">
        <v>50</v>
      </c>
      <c r="M64" s="1" t="s">
        <v>4101</v>
      </c>
      <c r="N64" s="1" t="s">
        <v>575</v>
      </c>
      <c r="O64" s="1" t="s">
        <v>4102</v>
      </c>
    </row>
    <row r="65" spans="8:15" x14ac:dyDescent="0.25">
      <c r="H65" s="1">
        <v>1522272</v>
      </c>
      <c r="I65" s="4">
        <v>46268.625</v>
      </c>
      <c r="J65" s="1" t="s">
        <v>17</v>
      </c>
      <c r="K65" s="1" t="s">
        <v>574</v>
      </c>
      <c r="L65" s="1" t="s">
        <v>50</v>
      </c>
      <c r="M65" s="1" t="s">
        <v>595</v>
      </c>
      <c r="N65" s="1" t="s">
        <v>4103</v>
      </c>
      <c r="O65" s="1" t="s">
        <v>4104</v>
      </c>
    </row>
    <row r="66" spans="8:15" x14ac:dyDescent="0.25">
      <c r="H66" s="1">
        <v>1391562</v>
      </c>
      <c r="I66" s="4">
        <v>46268.666666666664</v>
      </c>
      <c r="J66" s="1" t="s">
        <v>17</v>
      </c>
      <c r="K66" s="1" t="s">
        <v>338</v>
      </c>
      <c r="L66" s="1" t="s">
        <v>50</v>
      </c>
      <c r="M66" s="1" t="s">
        <v>4106</v>
      </c>
      <c r="N66" s="1" t="s">
        <v>4107</v>
      </c>
      <c r="O66" s="1" t="s">
        <v>4108</v>
      </c>
    </row>
    <row r="67" spans="8:15" x14ac:dyDescent="0.25">
      <c r="H67" s="1">
        <v>1395256</v>
      </c>
      <c r="I67" s="4">
        <v>46268.666666666664</v>
      </c>
      <c r="J67" s="1" t="s">
        <v>17</v>
      </c>
      <c r="K67" s="1" t="s">
        <v>64</v>
      </c>
      <c r="L67" s="1" t="s">
        <v>720</v>
      </c>
      <c r="M67" s="1" t="s">
        <v>4109</v>
      </c>
      <c r="N67" s="1" t="s">
        <v>3113</v>
      </c>
      <c r="O67" s="1" t="s">
        <v>4110</v>
      </c>
    </row>
    <row r="68" spans="8:15" x14ac:dyDescent="0.25">
      <c r="H68" s="1">
        <v>1400189</v>
      </c>
      <c r="I68" s="4">
        <v>46268.666666666664</v>
      </c>
      <c r="J68" s="1" t="s">
        <v>17</v>
      </c>
      <c r="K68" s="1" t="s">
        <v>405</v>
      </c>
      <c r="L68" s="1" t="s">
        <v>50</v>
      </c>
      <c r="M68" s="1" t="s">
        <v>457</v>
      </c>
      <c r="N68" s="1" t="s">
        <v>4111</v>
      </c>
      <c r="O68" s="1" t="s">
        <v>4112</v>
      </c>
    </row>
    <row r="69" spans="8:15" x14ac:dyDescent="0.25">
      <c r="H69" s="1">
        <v>1400905</v>
      </c>
      <c r="I69" s="4">
        <v>46268.666666666664</v>
      </c>
      <c r="J69" s="1" t="s">
        <v>17</v>
      </c>
      <c r="K69" s="1" t="s">
        <v>63</v>
      </c>
      <c r="L69" s="1" t="s">
        <v>272</v>
      </c>
      <c r="M69" s="1" t="s">
        <v>4113</v>
      </c>
      <c r="N69" s="1" t="s">
        <v>4114</v>
      </c>
      <c r="O69" s="1" t="s">
        <v>4115</v>
      </c>
    </row>
    <row r="70" spans="8:15" x14ac:dyDescent="0.25">
      <c r="H70" s="1">
        <v>1451578</v>
      </c>
      <c r="I70" s="4">
        <v>46268.666666666664</v>
      </c>
      <c r="J70" s="1" t="s">
        <v>17</v>
      </c>
      <c r="K70" s="1" t="s">
        <v>45</v>
      </c>
      <c r="L70" s="1" t="s">
        <v>46</v>
      </c>
      <c r="M70" s="1" t="s">
        <v>4116</v>
      </c>
      <c r="N70" s="1" t="s">
        <v>514</v>
      </c>
      <c r="O70" s="1" t="s">
        <v>4117</v>
      </c>
    </row>
    <row r="71" spans="8:15" x14ac:dyDescent="0.25">
      <c r="H71" s="1">
        <v>1469464</v>
      </c>
      <c r="I71" s="4">
        <v>46268.666666666664</v>
      </c>
      <c r="J71" s="1" t="s">
        <v>17</v>
      </c>
      <c r="K71" s="1" t="s">
        <v>3330</v>
      </c>
      <c r="L71" s="1" t="s">
        <v>48</v>
      </c>
      <c r="M71" s="1" t="s">
        <v>4118</v>
      </c>
      <c r="N71" s="1" t="s">
        <v>4119</v>
      </c>
      <c r="O71" s="1" t="s">
        <v>4120</v>
      </c>
    </row>
    <row r="72" spans="8:15" x14ac:dyDescent="0.25">
      <c r="H72" s="1">
        <v>1469465</v>
      </c>
      <c r="I72" s="4">
        <v>46268.666666666664</v>
      </c>
      <c r="J72" s="1" t="s">
        <v>17</v>
      </c>
      <c r="K72" s="1" t="s">
        <v>3330</v>
      </c>
      <c r="L72" s="1" t="s">
        <v>48</v>
      </c>
      <c r="M72" s="1" t="s">
        <v>4121</v>
      </c>
      <c r="N72" s="1" t="s">
        <v>4122</v>
      </c>
      <c r="O72" s="1" t="s">
        <v>4123</v>
      </c>
    </row>
    <row r="73" spans="8:15" x14ac:dyDescent="0.25">
      <c r="H73" s="1">
        <v>1469466</v>
      </c>
      <c r="I73" s="4">
        <v>46268.666666666664</v>
      </c>
      <c r="J73" s="1" t="s">
        <v>17</v>
      </c>
      <c r="K73" s="1" t="s">
        <v>3330</v>
      </c>
      <c r="L73" s="1" t="s">
        <v>48</v>
      </c>
      <c r="M73" s="1" t="s">
        <v>4124</v>
      </c>
      <c r="N73" s="1" t="s">
        <v>4125</v>
      </c>
      <c r="O73" s="1" t="s">
        <v>4126</v>
      </c>
    </row>
    <row r="74" spans="8:15" x14ac:dyDescent="0.25">
      <c r="H74" s="1">
        <v>1469467</v>
      </c>
      <c r="I74" s="4">
        <v>46268.666666666664</v>
      </c>
      <c r="J74" s="1" t="s">
        <v>17</v>
      </c>
      <c r="K74" s="1" t="s">
        <v>3330</v>
      </c>
      <c r="L74" s="1" t="s">
        <v>48</v>
      </c>
      <c r="M74" s="1" t="s">
        <v>4127</v>
      </c>
      <c r="N74" s="1" t="s">
        <v>4128</v>
      </c>
      <c r="O74" s="1" t="s">
        <v>4129</v>
      </c>
    </row>
    <row r="75" spans="8:15" x14ac:dyDescent="0.25">
      <c r="H75" s="1">
        <v>1469470</v>
      </c>
      <c r="I75" s="4">
        <v>46268.666666666664</v>
      </c>
      <c r="J75" s="1" t="s">
        <v>17</v>
      </c>
      <c r="K75" s="1" t="s">
        <v>3330</v>
      </c>
      <c r="L75" s="1" t="s">
        <v>48</v>
      </c>
      <c r="M75" s="1" t="s">
        <v>4130</v>
      </c>
      <c r="N75" s="1" t="s">
        <v>1661</v>
      </c>
      <c r="O75" s="1" t="s">
        <v>4131</v>
      </c>
    </row>
    <row r="76" spans="8:15" x14ac:dyDescent="0.25">
      <c r="H76" s="1">
        <v>1529466</v>
      </c>
      <c r="I76" s="4">
        <v>46268.666666666664</v>
      </c>
      <c r="J76" s="1" t="s">
        <v>17</v>
      </c>
      <c r="K76" s="1" t="s">
        <v>435</v>
      </c>
      <c r="L76" s="1" t="s">
        <v>48</v>
      </c>
      <c r="M76" s="1" t="s">
        <v>4132</v>
      </c>
      <c r="N76" s="1" t="s">
        <v>4133</v>
      </c>
      <c r="O76" s="1" t="s">
        <v>4134</v>
      </c>
    </row>
    <row r="77" spans="8:15" x14ac:dyDescent="0.25">
      <c r="H77" s="1">
        <v>1384355</v>
      </c>
      <c r="I77" s="4">
        <v>46268.6875</v>
      </c>
      <c r="J77" s="1" t="s">
        <v>17</v>
      </c>
      <c r="K77" s="1" t="s">
        <v>269</v>
      </c>
      <c r="L77" s="1" t="s">
        <v>777</v>
      </c>
      <c r="M77" s="1" t="s">
        <v>4136</v>
      </c>
      <c r="N77" s="1" t="s">
        <v>4137</v>
      </c>
      <c r="O77" s="1" t="s">
        <v>4138</v>
      </c>
    </row>
    <row r="78" spans="8:15" x14ac:dyDescent="0.25">
      <c r="H78" s="1">
        <v>1445902</v>
      </c>
      <c r="I78" s="4">
        <v>46268.6875</v>
      </c>
      <c r="J78" s="1" t="s">
        <v>17</v>
      </c>
      <c r="K78" s="1" t="s">
        <v>67</v>
      </c>
      <c r="L78" s="1" t="s">
        <v>696</v>
      </c>
      <c r="M78" s="1" t="s">
        <v>4139</v>
      </c>
      <c r="N78" s="1" t="s">
        <v>4140</v>
      </c>
      <c r="O78" s="1" t="s">
        <v>4141</v>
      </c>
    </row>
    <row r="79" spans="8:15" x14ac:dyDescent="0.25">
      <c r="H79" s="1">
        <v>1381729</v>
      </c>
      <c r="I79" s="4">
        <v>46268.708333333336</v>
      </c>
      <c r="J79" s="1" t="s">
        <v>17</v>
      </c>
      <c r="K79" s="1" t="s">
        <v>52</v>
      </c>
      <c r="L79" s="1" t="s">
        <v>53</v>
      </c>
      <c r="M79" s="1" t="s">
        <v>521</v>
      </c>
      <c r="N79" s="1" t="s">
        <v>4143</v>
      </c>
      <c r="O79" s="1" t="s">
        <v>4144</v>
      </c>
    </row>
    <row r="80" spans="8:15" x14ac:dyDescent="0.25">
      <c r="H80" s="1">
        <v>1385093</v>
      </c>
      <c r="I80" s="4">
        <v>46268.708333333336</v>
      </c>
      <c r="J80" s="1" t="s">
        <v>17</v>
      </c>
      <c r="K80" s="1" t="s">
        <v>64</v>
      </c>
      <c r="L80" s="1" t="s">
        <v>267</v>
      </c>
      <c r="M80" s="1" t="s">
        <v>4145</v>
      </c>
      <c r="N80" s="1" t="s">
        <v>4146</v>
      </c>
      <c r="O80" s="1" t="s">
        <v>4147</v>
      </c>
    </row>
    <row r="81" spans="8:15" x14ac:dyDescent="0.25">
      <c r="H81" s="1">
        <v>1385094</v>
      </c>
      <c r="I81" s="4">
        <v>46268.708333333336</v>
      </c>
      <c r="J81" s="1" t="s">
        <v>17</v>
      </c>
      <c r="K81" s="1" t="s">
        <v>64</v>
      </c>
      <c r="L81" s="1" t="s">
        <v>267</v>
      </c>
      <c r="M81" s="1" t="s">
        <v>4148</v>
      </c>
      <c r="N81" s="1" t="s">
        <v>4149</v>
      </c>
      <c r="O81" s="1" t="s">
        <v>4150</v>
      </c>
    </row>
    <row r="82" spans="8:15" x14ac:dyDescent="0.25">
      <c r="H82" s="1">
        <v>1389970</v>
      </c>
      <c r="I82" s="4">
        <v>46268.708333333336</v>
      </c>
      <c r="J82" s="1" t="s">
        <v>35</v>
      </c>
      <c r="K82" s="1" t="s">
        <v>109</v>
      </c>
      <c r="L82" s="1" t="s">
        <v>307</v>
      </c>
      <c r="M82" s="1" t="s">
        <v>4151</v>
      </c>
      <c r="N82" s="1" t="s">
        <v>4152</v>
      </c>
      <c r="O82" s="1" t="s">
        <v>4153</v>
      </c>
    </row>
    <row r="83" spans="8:15" x14ac:dyDescent="0.25">
      <c r="H83" s="1">
        <v>1389972</v>
      </c>
      <c r="I83" s="4">
        <v>46268.708333333336</v>
      </c>
      <c r="J83" s="1" t="s">
        <v>35</v>
      </c>
      <c r="K83" s="1" t="s">
        <v>109</v>
      </c>
      <c r="L83" s="1" t="s">
        <v>307</v>
      </c>
      <c r="M83" s="1" t="s">
        <v>4154</v>
      </c>
      <c r="N83" s="1" t="s">
        <v>308</v>
      </c>
      <c r="O83" s="1" t="s">
        <v>4155</v>
      </c>
    </row>
    <row r="84" spans="8:15" x14ac:dyDescent="0.25">
      <c r="H84" s="1">
        <v>1394649</v>
      </c>
      <c r="I84" s="4">
        <v>46268.708333333336</v>
      </c>
      <c r="J84" s="1" t="s">
        <v>17</v>
      </c>
      <c r="K84" s="1" t="s">
        <v>43</v>
      </c>
      <c r="L84" s="1" t="s">
        <v>62</v>
      </c>
      <c r="M84" s="1" t="s">
        <v>606</v>
      </c>
      <c r="N84" s="1" t="s">
        <v>4156</v>
      </c>
      <c r="O84" s="1" t="s">
        <v>4157</v>
      </c>
    </row>
    <row r="85" spans="8:15" x14ac:dyDescent="0.25">
      <c r="H85" s="1">
        <v>1394655</v>
      </c>
      <c r="I85" s="4">
        <v>46268.708333333336</v>
      </c>
      <c r="J85" s="1" t="s">
        <v>17</v>
      </c>
      <c r="K85" s="1" t="s">
        <v>43</v>
      </c>
      <c r="L85" s="1" t="s">
        <v>62</v>
      </c>
      <c r="M85" s="1" t="s">
        <v>4158</v>
      </c>
      <c r="N85" s="1" t="s">
        <v>607</v>
      </c>
      <c r="O85" s="1" t="s">
        <v>4159</v>
      </c>
    </row>
    <row r="86" spans="8:15" x14ac:dyDescent="0.25">
      <c r="H86" s="1">
        <v>1380056</v>
      </c>
      <c r="I86" s="4">
        <v>46268.75</v>
      </c>
      <c r="J86" s="1" t="s">
        <v>17</v>
      </c>
      <c r="K86" s="1" t="s">
        <v>79</v>
      </c>
      <c r="L86" s="1" t="s">
        <v>356</v>
      </c>
      <c r="M86" s="1" t="s">
        <v>4161</v>
      </c>
      <c r="N86" s="1" t="s">
        <v>4162</v>
      </c>
      <c r="O86" s="1" t="s">
        <v>4163</v>
      </c>
    </row>
    <row r="87" spans="8:15" x14ac:dyDescent="0.25">
      <c r="H87" s="1">
        <v>1380599</v>
      </c>
      <c r="I87" s="4">
        <v>46268.75</v>
      </c>
      <c r="J87" s="1" t="s">
        <v>17</v>
      </c>
      <c r="K87" s="1" t="s">
        <v>52</v>
      </c>
      <c r="L87" s="1" t="s">
        <v>58</v>
      </c>
      <c r="M87" s="1" t="s">
        <v>525</v>
      </c>
      <c r="N87" s="1" t="s">
        <v>4164</v>
      </c>
      <c r="O87" s="1" t="s">
        <v>4165</v>
      </c>
    </row>
    <row r="88" spans="8:15" x14ac:dyDescent="0.25">
      <c r="H88" s="1">
        <v>1385993</v>
      </c>
      <c r="I88" s="4">
        <v>46268.75</v>
      </c>
      <c r="J88" s="1" t="s">
        <v>17</v>
      </c>
      <c r="K88" s="1" t="s">
        <v>97</v>
      </c>
      <c r="L88" s="1" t="s">
        <v>98</v>
      </c>
      <c r="M88" s="1" t="s">
        <v>4166</v>
      </c>
      <c r="N88" s="1" t="s">
        <v>4167</v>
      </c>
      <c r="O88" s="1" t="s">
        <v>4168</v>
      </c>
    </row>
    <row r="89" spans="8:15" x14ac:dyDescent="0.25">
      <c r="H89" s="1">
        <v>1389976</v>
      </c>
      <c r="I89" s="4">
        <v>46268.75</v>
      </c>
      <c r="J89" s="1" t="s">
        <v>35</v>
      </c>
      <c r="K89" s="1" t="s">
        <v>109</v>
      </c>
      <c r="L89" s="1" t="s">
        <v>307</v>
      </c>
      <c r="M89" s="1" t="s">
        <v>4169</v>
      </c>
      <c r="N89" s="1" t="s">
        <v>526</v>
      </c>
      <c r="O89" s="1" t="s">
        <v>4170</v>
      </c>
    </row>
    <row r="90" spans="8:15" x14ac:dyDescent="0.25">
      <c r="H90" s="1">
        <v>1398185</v>
      </c>
      <c r="I90" s="4">
        <v>46268.75</v>
      </c>
      <c r="J90" s="1" t="s">
        <v>17</v>
      </c>
      <c r="K90" s="1" t="s">
        <v>54</v>
      </c>
      <c r="L90" s="1" t="s">
        <v>266</v>
      </c>
      <c r="M90" s="1" t="s">
        <v>4171</v>
      </c>
      <c r="N90" s="1" t="s">
        <v>527</v>
      </c>
      <c r="O90" s="1" t="s">
        <v>4172</v>
      </c>
    </row>
    <row r="91" spans="8:15" x14ac:dyDescent="0.25">
      <c r="H91" s="1">
        <v>1415532</v>
      </c>
      <c r="I91" s="4">
        <v>46268.75</v>
      </c>
      <c r="J91" s="1" t="s">
        <v>17</v>
      </c>
      <c r="K91" s="1" t="s">
        <v>733</v>
      </c>
      <c r="L91" s="1" t="s">
        <v>70</v>
      </c>
      <c r="M91" s="1" t="s">
        <v>4173</v>
      </c>
      <c r="N91" s="1" t="s">
        <v>4174</v>
      </c>
      <c r="O91" s="1" t="s">
        <v>4175</v>
      </c>
    </row>
    <row r="92" spans="8:15" x14ac:dyDescent="0.25">
      <c r="H92" s="1">
        <v>1415533</v>
      </c>
      <c r="I92" s="4">
        <v>46268.75</v>
      </c>
      <c r="J92" s="1" t="s">
        <v>17</v>
      </c>
      <c r="K92" s="1" t="s">
        <v>733</v>
      </c>
      <c r="L92" s="1" t="s">
        <v>70</v>
      </c>
      <c r="M92" s="1" t="s">
        <v>4176</v>
      </c>
      <c r="N92" s="1" t="s">
        <v>4177</v>
      </c>
      <c r="O92" s="1" t="s">
        <v>4178</v>
      </c>
    </row>
    <row r="93" spans="8:15" x14ac:dyDescent="0.25">
      <c r="H93" s="1">
        <v>1486358</v>
      </c>
      <c r="I93" s="4">
        <v>46268.75</v>
      </c>
      <c r="J93" s="1" t="s">
        <v>17</v>
      </c>
      <c r="K93" s="1" t="s">
        <v>86</v>
      </c>
      <c r="L93" s="1" t="s">
        <v>724</v>
      </c>
      <c r="M93" s="1" t="s">
        <v>4179</v>
      </c>
      <c r="N93" s="1" t="s">
        <v>4180</v>
      </c>
      <c r="O93" s="1" t="s">
        <v>4181</v>
      </c>
    </row>
    <row r="94" spans="8:15" x14ac:dyDescent="0.25">
      <c r="H94" s="1">
        <v>1522647</v>
      </c>
      <c r="I94" s="4">
        <v>46268.75</v>
      </c>
      <c r="J94" s="1" t="s">
        <v>17</v>
      </c>
      <c r="K94" s="1" t="s">
        <v>279</v>
      </c>
      <c r="L94" s="1" t="s">
        <v>362</v>
      </c>
      <c r="M94" s="1" t="s">
        <v>4182</v>
      </c>
      <c r="N94" s="1" t="s">
        <v>4183</v>
      </c>
      <c r="O94" s="1" t="s">
        <v>4184</v>
      </c>
    </row>
    <row r="95" spans="8:15" x14ac:dyDescent="0.25">
      <c r="H95" s="1">
        <v>1522648</v>
      </c>
      <c r="I95" s="4">
        <v>46268.75</v>
      </c>
      <c r="J95" s="1" t="s">
        <v>17</v>
      </c>
      <c r="K95" s="1" t="s">
        <v>279</v>
      </c>
      <c r="L95" s="1" t="s">
        <v>362</v>
      </c>
      <c r="M95" s="1" t="s">
        <v>4185</v>
      </c>
      <c r="N95" s="1" t="s">
        <v>4186</v>
      </c>
      <c r="O95" s="1" t="s">
        <v>4187</v>
      </c>
    </row>
    <row r="96" spans="8:15" x14ac:dyDescent="0.25">
      <c r="H96" s="1">
        <v>1530674</v>
      </c>
      <c r="I96" s="4">
        <v>46268.75</v>
      </c>
      <c r="J96" s="1" t="s">
        <v>17</v>
      </c>
      <c r="K96" s="1" t="s">
        <v>20</v>
      </c>
      <c r="L96" s="1" t="s">
        <v>735</v>
      </c>
      <c r="M96" s="1" t="s">
        <v>4188</v>
      </c>
      <c r="N96" s="1" t="s">
        <v>4189</v>
      </c>
      <c r="O96" s="1" t="s">
        <v>4190</v>
      </c>
    </row>
    <row r="97" spans="8:15" x14ac:dyDescent="0.25">
      <c r="H97" s="1">
        <v>1524404</v>
      </c>
      <c r="I97" s="4">
        <v>46268.760416666664</v>
      </c>
      <c r="J97" s="1" t="s">
        <v>35</v>
      </c>
      <c r="K97" s="1" t="s">
        <v>22</v>
      </c>
      <c r="L97" s="1" t="s">
        <v>306</v>
      </c>
      <c r="M97" s="1" t="s">
        <v>516</v>
      </c>
      <c r="N97" s="1" t="s">
        <v>273</v>
      </c>
      <c r="O97" s="1" t="s">
        <v>4192</v>
      </c>
    </row>
    <row r="98" spans="8:15" x14ac:dyDescent="0.25">
      <c r="H98" s="1">
        <v>1477328</v>
      </c>
      <c r="I98" s="4">
        <v>46268.770833333336</v>
      </c>
      <c r="J98" s="1" t="s">
        <v>35</v>
      </c>
      <c r="K98" s="1" t="s">
        <v>109</v>
      </c>
      <c r="L98" s="1" t="s">
        <v>237</v>
      </c>
      <c r="M98" s="1" t="s">
        <v>4194</v>
      </c>
      <c r="N98" s="1" t="s">
        <v>4195</v>
      </c>
      <c r="O98" s="1" t="s">
        <v>4196</v>
      </c>
    </row>
    <row r="99" spans="8:15" x14ac:dyDescent="0.25">
      <c r="H99" s="1">
        <v>1507860</v>
      </c>
      <c r="I99" s="4">
        <v>46268.770833333336</v>
      </c>
      <c r="J99" s="1" t="s">
        <v>17</v>
      </c>
      <c r="K99" s="1" t="s">
        <v>729</v>
      </c>
      <c r="L99" s="1" t="s">
        <v>730</v>
      </c>
      <c r="M99" s="1" t="s">
        <v>80</v>
      </c>
      <c r="N99" s="1" t="s">
        <v>4197</v>
      </c>
      <c r="O99" s="1" t="s">
        <v>4198</v>
      </c>
    </row>
    <row r="100" spans="8:15" x14ac:dyDescent="0.25">
      <c r="H100" s="1">
        <v>1382213</v>
      </c>
      <c r="I100" s="4">
        <v>46268.791666666664</v>
      </c>
      <c r="J100" s="1" t="s">
        <v>17</v>
      </c>
      <c r="K100" s="1" t="s">
        <v>59</v>
      </c>
      <c r="L100" s="1" t="s">
        <v>89</v>
      </c>
      <c r="M100" s="1" t="s">
        <v>4200</v>
      </c>
      <c r="N100" s="1" t="s">
        <v>616</v>
      </c>
      <c r="O100" s="1" t="s">
        <v>4201</v>
      </c>
    </row>
    <row r="101" spans="8:15" x14ac:dyDescent="0.25">
      <c r="H101" s="1">
        <v>1393977</v>
      </c>
      <c r="I101" s="4">
        <v>46268.791666666664</v>
      </c>
      <c r="J101" s="1" t="s">
        <v>17</v>
      </c>
      <c r="K101" s="1" t="s">
        <v>418</v>
      </c>
      <c r="L101" s="1" t="s">
        <v>419</v>
      </c>
      <c r="M101" s="1" t="s">
        <v>4202</v>
      </c>
      <c r="N101" s="1" t="s">
        <v>621</v>
      </c>
      <c r="O101" s="1" t="s">
        <v>4203</v>
      </c>
    </row>
    <row r="102" spans="8:15" x14ac:dyDescent="0.25">
      <c r="H102" s="1">
        <v>1434109</v>
      </c>
      <c r="I102" s="4">
        <v>46268.791666666664</v>
      </c>
      <c r="J102" s="1" t="s">
        <v>17</v>
      </c>
      <c r="K102" s="1" t="s">
        <v>66</v>
      </c>
      <c r="L102" s="1" t="s">
        <v>312</v>
      </c>
      <c r="M102" s="1" t="s">
        <v>4204</v>
      </c>
      <c r="N102" s="1" t="s">
        <v>535</v>
      </c>
      <c r="O102" s="1" t="s">
        <v>4205</v>
      </c>
    </row>
    <row r="103" spans="8:15" x14ac:dyDescent="0.25">
      <c r="H103" s="1">
        <v>1434550</v>
      </c>
      <c r="I103" s="4">
        <v>46268.791666666664</v>
      </c>
      <c r="J103" s="1" t="s">
        <v>17</v>
      </c>
      <c r="K103" s="1" t="s">
        <v>66</v>
      </c>
      <c r="L103" s="1" t="s">
        <v>78</v>
      </c>
      <c r="M103" s="1" t="s">
        <v>4206</v>
      </c>
      <c r="N103" s="1" t="s">
        <v>4207</v>
      </c>
      <c r="O103" s="1" t="s">
        <v>4208</v>
      </c>
    </row>
    <row r="104" spans="8:15" x14ac:dyDescent="0.25">
      <c r="H104" s="1">
        <v>1434551</v>
      </c>
      <c r="I104" s="4">
        <v>46268.791666666664</v>
      </c>
      <c r="J104" s="1" t="s">
        <v>17</v>
      </c>
      <c r="K104" s="1" t="s">
        <v>66</v>
      </c>
      <c r="L104" s="1" t="s">
        <v>78</v>
      </c>
      <c r="M104" s="1" t="s">
        <v>310</v>
      </c>
      <c r="N104" s="1" t="s">
        <v>4209</v>
      </c>
      <c r="O104" s="1" t="s">
        <v>4210</v>
      </c>
    </row>
    <row r="105" spans="8:15" x14ac:dyDescent="0.25">
      <c r="H105" s="1">
        <v>1434552</v>
      </c>
      <c r="I105" s="4">
        <v>46268.791666666664</v>
      </c>
      <c r="J105" s="1" t="s">
        <v>17</v>
      </c>
      <c r="K105" s="1" t="s">
        <v>66</v>
      </c>
      <c r="L105" s="1" t="s">
        <v>78</v>
      </c>
      <c r="M105" s="1" t="s">
        <v>4211</v>
      </c>
      <c r="N105" s="1" t="s">
        <v>4212</v>
      </c>
      <c r="O105" s="1" t="s">
        <v>4213</v>
      </c>
    </row>
    <row r="106" spans="8:15" x14ac:dyDescent="0.25">
      <c r="H106" s="1">
        <v>1434553</v>
      </c>
      <c r="I106" s="4">
        <v>46268.791666666664</v>
      </c>
      <c r="J106" s="1" t="s">
        <v>17</v>
      </c>
      <c r="K106" s="1" t="s">
        <v>66</v>
      </c>
      <c r="L106" s="1" t="s">
        <v>78</v>
      </c>
      <c r="M106" s="1" t="s">
        <v>505</v>
      </c>
      <c r="N106" s="1" t="s">
        <v>4214</v>
      </c>
      <c r="O106" s="1" t="s">
        <v>4215</v>
      </c>
    </row>
    <row r="107" spans="8:15" x14ac:dyDescent="0.25">
      <c r="H107" s="1">
        <v>1392073</v>
      </c>
      <c r="I107" s="4">
        <v>46268.8125</v>
      </c>
      <c r="J107" s="1" t="s">
        <v>17</v>
      </c>
      <c r="K107" s="1" t="s">
        <v>41</v>
      </c>
      <c r="L107" s="1" t="s">
        <v>76</v>
      </c>
      <c r="M107" s="1" t="s">
        <v>4217</v>
      </c>
      <c r="N107" s="1" t="s">
        <v>4218</v>
      </c>
      <c r="O107" s="1" t="s">
        <v>4219</v>
      </c>
    </row>
    <row r="108" spans="8:15" x14ac:dyDescent="0.25">
      <c r="H108" s="1">
        <v>1418893</v>
      </c>
      <c r="I108" s="4">
        <v>46268.8125</v>
      </c>
      <c r="J108" s="1" t="s">
        <v>17</v>
      </c>
      <c r="K108" s="1" t="s">
        <v>221</v>
      </c>
      <c r="L108" s="1" t="s">
        <v>50</v>
      </c>
      <c r="M108" s="1" t="s">
        <v>4220</v>
      </c>
      <c r="N108" s="1" t="s">
        <v>4221</v>
      </c>
      <c r="O108" s="1" t="s">
        <v>4222</v>
      </c>
    </row>
    <row r="109" spans="8:15" x14ac:dyDescent="0.25">
      <c r="H109" s="1">
        <v>1418894</v>
      </c>
      <c r="I109" s="4">
        <v>46268.8125</v>
      </c>
      <c r="J109" s="1" t="s">
        <v>17</v>
      </c>
      <c r="K109" s="1" t="s">
        <v>221</v>
      </c>
      <c r="L109" s="1" t="s">
        <v>50</v>
      </c>
      <c r="M109" s="1" t="s">
        <v>4223</v>
      </c>
      <c r="N109" s="1" t="s">
        <v>4224</v>
      </c>
      <c r="O109" s="1" t="s">
        <v>4225</v>
      </c>
    </row>
    <row r="110" spans="8:15" x14ac:dyDescent="0.25">
      <c r="H110" s="1">
        <v>1439658</v>
      </c>
      <c r="I110" s="4">
        <v>46268.8125</v>
      </c>
      <c r="J110" s="1" t="s">
        <v>17</v>
      </c>
      <c r="K110" s="1" t="s">
        <v>42</v>
      </c>
      <c r="L110" s="1" t="s">
        <v>1684</v>
      </c>
      <c r="M110" s="1" t="s">
        <v>4226</v>
      </c>
      <c r="N110" s="1" t="s">
        <v>4227</v>
      </c>
      <c r="O110" s="1" t="s">
        <v>4228</v>
      </c>
    </row>
    <row r="111" spans="8:15" x14ac:dyDescent="0.25">
      <c r="H111" s="1">
        <v>1439661</v>
      </c>
      <c r="I111" s="4">
        <v>46268.8125</v>
      </c>
      <c r="J111" s="1" t="s">
        <v>17</v>
      </c>
      <c r="K111" s="1" t="s">
        <v>42</v>
      </c>
      <c r="L111" s="1" t="s">
        <v>1684</v>
      </c>
      <c r="M111" s="1" t="s">
        <v>4229</v>
      </c>
      <c r="N111" s="1" t="s">
        <v>4230</v>
      </c>
      <c r="O111" s="1" t="s">
        <v>4231</v>
      </c>
    </row>
    <row r="112" spans="8:15" x14ac:dyDescent="0.25">
      <c r="H112" s="1">
        <v>1439665</v>
      </c>
      <c r="I112" s="4">
        <v>46268.8125</v>
      </c>
      <c r="J112" s="1" t="s">
        <v>17</v>
      </c>
      <c r="K112" s="1" t="s">
        <v>42</v>
      </c>
      <c r="L112" s="1" t="s">
        <v>1684</v>
      </c>
      <c r="M112" s="1" t="s">
        <v>4232</v>
      </c>
      <c r="N112" s="1" t="s">
        <v>4233</v>
      </c>
      <c r="O112" s="1" t="s">
        <v>4234</v>
      </c>
    </row>
    <row r="113" spans="8:15" x14ac:dyDescent="0.25">
      <c r="H113" s="1">
        <v>1440038</v>
      </c>
      <c r="I113" s="4">
        <v>46268.8125</v>
      </c>
      <c r="J113" s="1" t="s">
        <v>17</v>
      </c>
      <c r="K113" s="1" t="s">
        <v>42</v>
      </c>
      <c r="L113" s="1" t="s">
        <v>2319</v>
      </c>
      <c r="M113" s="1" t="s">
        <v>4235</v>
      </c>
      <c r="N113" s="1" t="s">
        <v>4236</v>
      </c>
      <c r="O113" s="1" t="s">
        <v>4237</v>
      </c>
    </row>
    <row r="114" spans="8:15" x14ac:dyDescent="0.25">
      <c r="H114" s="1">
        <v>1440039</v>
      </c>
      <c r="I114" s="4">
        <v>46268.8125</v>
      </c>
      <c r="J114" s="1" t="s">
        <v>17</v>
      </c>
      <c r="K114" s="1" t="s">
        <v>42</v>
      </c>
      <c r="L114" s="1" t="s">
        <v>2319</v>
      </c>
      <c r="M114" s="1" t="s">
        <v>4238</v>
      </c>
      <c r="N114" s="1" t="s">
        <v>4239</v>
      </c>
      <c r="O114" s="1" t="s">
        <v>4240</v>
      </c>
    </row>
    <row r="115" spans="8:15" x14ac:dyDescent="0.25">
      <c r="H115" s="1">
        <v>1440043</v>
      </c>
      <c r="I115" s="4">
        <v>46268.8125</v>
      </c>
      <c r="J115" s="1" t="s">
        <v>17</v>
      </c>
      <c r="K115" s="1" t="s">
        <v>42</v>
      </c>
      <c r="L115" s="1" t="s">
        <v>2319</v>
      </c>
      <c r="M115" s="1" t="s">
        <v>4241</v>
      </c>
      <c r="N115" s="1" t="s">
        <v>4242</v>
      </c>
      <c r="O115" s="1" t="s">
        <v>4243</v>
      </c>
    </row>
    <row r="116" spans="8:15" x14ac:dyDescent="0.25">
      <c r="H116" s="1">
        <v>1523414</v>
      </c>
      <c r="I116" s="4">
        <v>46268.8125</v>
      </c>
      <c r="J116" s="1" t="s">
        <v>4395</v>
      </c>
      <c r="K116" s="1" t="s">
        <v>66</v>
      </c>
      <c r="L116" s="1" t="s">
        <v>94</v>
      </c>
      <c r="M116" s="1" t="s">
        <v>4244</v>
      </c>
      <c r="N116" s="1" t="s">
        <v>622</v>
      </c>
      <c r="O116" s="1" t="s">
        <v>4245</v>
      </c>
    </row>
    <row r="117" spans="8:15" x14ac:dyDescent="0.25">
      <c r="H117" s="1">
        <v>1378140</v>
      </c>
      <c r="I117" s="4">
        <v>46268.822916666664</v>
      </c>
      <c r="J117" s="1" t="s">
        <v>17</v>
      </c>
      <c r="K117" s="1" t="s">
        <v>42</v>
      </c>
      <c r="L117" s="1" t="s">
        <v>61</v>
      </c>
      <c r="M117" s="1" t="s">
        <v>4247</v>
      </c>
      <c r="N117" s="1" t="s">
        <v>4248</v>
      </c>
      <c r="O117" s="1" t="s">
        <v>4249</v>
      </c>
    </row>
    <row r="118" spans="8:15" x14ac:dyDescent="0.25">
      <c r="H118" s="1">
        <v>1389336</v>
      </c>
      <c r="I118" s="4">
        <v>46268.822916666664</v>
      </c>
      <c r="J118" s="1" t="s">
        <v>96</v>
      </c>
      <c r="K118" s="1" t="s">
        <v>90</v>
      </c>
      <c r="L118" s="1" t="s">
        <v>238</v>
      </c>
      <c r="M118" s="1" t="s">
        <v>4250</v>
      </c>
      <c r="N118" s="1" t="s">
        <v>633</v>
      </c>
      <c r="O118" s="1" t="s">
        <v>4251</v>
      </c>
    </row>
    <row r="119" spans="8:15" x14ac:dyDescent="0.25">
      <c r="H119" s="1">
        <v>1395612</v>
      </c>
      <c r="I119" s="4">
        <v>46268.822916666664</v>
      </c>
      <c r="J119" s="1" t="s">
        <v>17</v>
      </c>
      <c r="K119" s="1" t="s">
        <v>242</v>
      </c>
      <c r="L119" s="1" t="s">
        <v>243</v>
      </c>
      <c r="M119" s="1" t="s">
        <v>372</v>
      </c>
      <c r="N119" s="1" t="s">
        <v>373</v>
      </c>
      <c r="O119" s="1" t="s">
        <v>4252</v>
      </c>
    </row>
    <row r="120" spans="8:15" x14ac:dyDescent="0.25">
      <c r="H120" s="1">
        <v>1492623</v>
      </c>
      <c r="I120" s="4">
        <v>46268.822916666664</v>
      </c>
      <c r="J120" s="1" t="s">
        <v>96</v>
      </c>
      <c r="K120" s="1" t="s">
        <v>377</v>
      </c>
      <c r="L120" s="1" t="s">
        <v>26</v>
      </c>
      <c r="M120" s="1" t="s">
        <v>667</v>
      </c>
      <c r="N120" s="1" t="s">
        <v>668</v>
      </c>
      <c r="O120" s="1" t="s">
        <v>4253</v>
      </c>
    </row>
    <row r="121" spans="8:15" x14ac:dyDescent="0.25">
      <c r="H121" s="1">
        <v>1391082</v>
      </c>
      <c r="I121" s="4">
        <v>46268.833333333336</v>
      </c>
      <c r="J121" s="1" t="s">
        <v>96</v>
      </c>
      <c r="K121" s="1" t="s">
        <v>41</v>
      </c>
      <c r="L121" s="1" t="s">
        <v>75</v>
      </c>
      <c r="M121" s="1" t="s">
        <v>4255</v>
      </c>
      <c r="N121" s="1" t="s">
        <v>4256</v>
      </c>
      <c r="O121" s="1" t="s">
        <v>4257</v>
      </c>
    </row>
    <row r="122" spans="8:15" x14ac:dyDescent="0.25">
      <c r="H122" s="1">
        <v>1500162</v>
      </c>
      <c r="I122" s="4">
        <v>46268.833333333336</v>
      </c>
      <c r="J122" s="1" t="s">
        <v>96</v>
      </c>
      <c r="K122" s="1" t="s">
        <v>29</v>
      </c>
      <c r="L122" s="1" t="s">
        <v>444</v>
      </c>
      <c r="M122" s="1" t="s">
        <v>542</v>
      </c>
      <c r="N122" s="1" t="s">
        <v>819</v>
      </c>
      <c r="O122" s="1" t="s">
        <v>4396</v>
      </c>
    </row>
    <row r="123" spans="8:15" x14ac:dyDescent="0.25">
      <c r="H123" s="1">
        <v>1524351</v>
      </c>
      <c r="I123" s="4">
        <v>46268.833333333336</v>
      </c>
      <c r="J123" s="1" t="s">
        <v>33</v>
      </c>
      <c r="K123" s="1" t="s">
        <v>30</v>
      </c>
      <c r="L123" s="1" t="s">
        <v>4258</v>
      </c>
      <c r="M123" s="1" t="s">
        <v>4259</v>
      </c>
      <c r="N123" s="1" t="s">
        <v>4260</v>
      </c>
      <c r="O123" s="1" t="s">
        <v>4261</v>
      </c>
    </row>
    <row r="124" spans="8:15" x14ac:dyDescent="0.25">
      <c r="H124" s="1">
        <v>1524352</v>
      </c>
      <c r="I124" s="4">
        <v>46268.833333333336</v>
      </c>
      <c r="J124" s="1" t="s">
        <v>96</v>
      </c>
      <c r="K124" s="1" t="s">
        <v>30</v>
      </c>
      <c r="L124" s="1" t="s">
        <v>4258</v>
      </c>
      <c r="M124" s="1" t="s">
        <v>4262</v>
      </c>
      <c r="N124" s="1" t="s">
        <v>4263</v>
      </c>
      <c r="O124" s="1" t="s">
        <v>4264</v>
      </c>
    </row>
    <row r="125" spans="8:15" x14ac:dyDescent="0.25">
      <c r="H125" s="1">
        <v>1524353</v>
      </c>
      <c r="I125" s="4">
        <v>46268.833333333336</v>
      </c>
      <c r="J125" s="1" t="s">
        <v>96</v>
      </c>
      <c r="K125" s="1" t="s">
        <v>30</v>
      </c>
      <c r="L125" s="1" t="s">
        <v>4258</v>
      </c>
      <c r="M125" s="1" t="s">
        <v>4265</v>
      </c>
      <c r="N125" s="1" t="s">
        <v>4266</v>
      </c>
      <c r="O125" s="1" t="s">
        <v>4267</v>
      </c>
    </row>
    <row r="126" spans="8:15" x14ac:dyDescent="0.25">
      <c r="H126" s="1">
        <v>1396461</v>
      </c>
      <c r="I126" s="4">
        <v>46268.84375</v>
      </c>
      <c r="J126" s="1" t="s">
        <v>96</v>
      </c>
      <c r="K126" s="1" t="s">
        <v>54</v>
      </c>
      <c r="L126" s="1" t="s">
        <v>101</v>
      </c>
      <c r="M126" s="1" t="s">
        <v>379</v>
      </c>
      <c r="N126" s="1" t="s">
        <v>311</v>
      </c>
      <c r="O126" s="1" t="s">
        <v>4269</v>
      </c>
    </row>
    <row r="127" spans="8:15" x14ac:dyDescent="0.25">
      <c r="H127" s="1">
        <v>1501584</v>
      </c>
      <c r="I127" s="4">
        <v>46268.854166666664</v>
      </c>
      <c r="J127" s="1" t="s">
        <v>96</v>
      </c>
      <c r="K127" s="1" t="s">
        <v>290</v>
      </c>
      <c r="L127" s="1" t="s">
        <v>50</v>
      </c>
      <c r="M127" s="1" t="s">
        <v>292</v>
      </c>
      <c r="N127" s="1" t="s">
        <v>4271</v>
      </c>
      <c r="O127" s="1" t="s">
        <v>4272</v>
      </c>
    </row>
    <row r="128" spans="8:15" x14ac:dyDescent="0.25">
      <c r="H128" s="1">
        <v>1524401</v>
      </c>
      <c r="I128" s="4">
        <v>46268.854166666664</v>
      </c>
      <c r="J128" s="1" t="s">
        <v>35</v>
      </c>
      <c r="K128" s="1" t="s">
        <v>22</v>
      </c>
      <c r="L128" s="1" t="s">
        <v>306</v>
      </c>
      <c r="M128" s="1" t="s">
        <v>531</v>
      </c>
      <c r="N128" s="1" t="s">
        <v>530</v>
      </c>
      <c r="O128" s="1" t="s">
        <v>4273</v>
      </c>
    </row>
    <row r="129" spans="8:15" x14ac:dyDescent="0.25">
      <c r="H129" s="1">
        <v>1506078</v>
      </c>
      <c r="I129" s="4">
        <v>46268.875</v>
      </c>
      <c r="J129" s="1" t="s">
        <v>102</v>
      </c>
      <c r="K129" s="1" t="s">
        <v>30</v>
      </c>
      <c r="L129" s="1" t="s">
        <v>31</v>
      </c>
      <c r="M129" s="1" t="s">
        <v>4302</v>
      </c>
      <c r="N129" s="1" t="s">
        <v>4303</v>
      </c>
      <c r="O129" s="1" t="s">
        <v>4397</v>
      </c>
    </row>
    <row r="130" spans="8:15" x14ac:dyDescent="0.25">
      <c r="H130" s="1">
        <v>1511511</v>
      </c>
      <c r="I130" s="4">
        <v>46268.875</v>
      </c>
      <c r="J130" s="1" t="s">
        <v>102</v>
      </c>
      <c r="K130" s="1" t="s">
        <v>380</v>
      </c>
      <c r="L130" s="1" t="s">
        <v>104</v>
      </c>
      <c r="M130" s="1" t="s">
        <v>4275</v>
      </c>
      <c r="N130" s="1" t="s">
        <v>4276</v>
      </c>
      <c r="O130" s="1" t="s">
        <v>4277</v>
      </c>
    </row>
    <row r="131" spans="8:15" x14ac:dyDescent="0.25">
      <c r="H131" s="1">
        <v>1505012</v>
      </c>
      <c r="I131" s="4">
        <v>46268.895833333336</v>
      </c>
      <c r="J131" s="1" t="s">
        <v>102</v>
      </c>
      <c r="K131" s="1" t="s">
        <v>381</v>
      </c>
      <c r="L131" s="1" t="s">
        <v>382</v>
      </c>
      <c r="M131" s="1" t="s">
        <v>4279</v>
      </c>
      <c r="N131" s="1" t="s">
        <v>4280</v>
      </c>
      <c r="O131" s="1" t="s">
        <v>4281</v>
      </c>
    </row>
    <row r="132" spans="8:15" x14ac:dyDescent="0.25">
      <c r="H132" s="1">
        <v>1526464</v>
      </c>
      <c r="I132" s="4">
        <v>46268.895833333336</v>
      </c>
      <c r="J132" s="1" t="s">
        <v>102</v>
      </c>
      <c r="K132" s="1" t="s">
        <v>73</v>
      </c>
      <c r="L132" s="1" t="s">
        <v>74</v>
      </c>
      <c r="M132" s="1" t="s">
        <v>4282</v>
      </c>
      <c r="N132" s="1" t="s">
        <v>638</v>
      </c>
      <c r="O132" s="1" t="s">
        <v>4283</v>
      </c>
    </row>
    <row r="133" spans="8:15" x14ac:dyDescent="0.25">
      <c r="H133" s="1">
        <v>1530166</v>
      </c>
      <c r="I133" s="4">
        <v>46268.916666666664</v>
      </c>
      <c r="J133" s="1" t="s">
        <v>33</v>
      </c>
      <c r="K133" s="1" t="s">
        <v>22</v>
      </c>
      <c r="L133" s="1" t="s">
        <v>822</v>
      </c>
      <c r="M133" s="1" t="s">
        <v>4288</v>
      </c>
      <c r="N133" s="1" t="s">
        <v>4289</v>
      </c>
      <c r="O133" s="1" t="s">
        <v>4290</v>
      </c>
    </row>
    <row r="134" spans="8:15" x14ac:dyDescent="0.25">
      <c r="H134" s="1">
        <v>1512527</v>
      </c>
      <c r="I134" s="4">
        <v>46268.9375</v>
      </c>
      <c r="J134" s="1" t="s">
        <v>33</v>
      </c>
      <c r="K134" s="1" t="s">
        <v>397</v>
      </c>
      <c r="L134" s="1" t="s">
        <v>28</v>
      </c>
      <c r="M134" s="1" t="s">
        <v>644</v>
      </c>
      <c r="N134" s="1" t="s">
        <v>4292</v>
      </c>
      <c r="O134" s="1" t="s">
        <v>4293</v>
      </c>
    </row>
    <row r="135" spans="8:15" x14ac:dyDescent="0.25">
      <c r="H135" s="1">
        <v>1529473</v>
      </c>
      <c r="I135" s="4">
        <v>46268.9375</v>
      </c>
      <c r="J135" s="1" t="s">
        <v>33</v>
      </c>
      <c r="K135" s="1" t="s">
        <v>282</v>
      </c>
      <c r="L135" s="1" t="s">
        <v>50</v>
      </c>
      <c r="M135" s="1" t="s">
        <v>4294</v>
      </c>
      <c r="N135" s="1" t="s">
        <v>550</v>
      </c>
      <c r="O135" s="1" t="s">
        <v>4295</v>
      </c>
    </row>
    <row r="136" spans="8:15" x14ac:dyDescent="0.25">
      <c r="H136" s="1">
        <v>1501169</v>
      </c>
      <c r="I136" s="4">
        <v>46268.958333333336</v>
      </c>
      <c r="J136" s="1" t="s">
        <v>33</v>
      </c>
      <c r="K136" s="1" t="s">
        <v>20</v>
      </c>
      <c r="L136" s="1" t="s">
        <v>222</v>
      </c>
      <c r="M136" s="1" t="s">
        <v>455</v>
      </c>
      <c r="N136" s="1" t="s">
        <v>4297</v>
      </c>
      <c r="O136" s="1" t="s">
        <v>4298</v>
      </c>
    </row>
    <row r="137" spans="8:15" x14ac:dyDescent="0.25">
      <c r="H137" s="1">
        <v>1505394</v>
      </c>
      <c r="I137" s="4">
        <v>46268.958333333336</v>
      </c>
      <c r="J137" s="1" t="s">
        <v>33</v>
      </c>
      <c r="K137" s="1" t="s">
        <v>380</v>
      </c>
      <c r="L137" s="1" t="s">
        <v>28</v>
      </c>
      <c r="M137" s="1" t="s">
        <v>4299</v>
      </c>
      <c r="N137" s="1" t="s">
        <v>4300</v>
      </c>
      <c r="O137" s="1" t="s">
        <v>4301</v>
      </c>
    </row>
    <row r="138" spans="8:15" x14ac:dyDescent="0.25">
      <c r="H138" s="1">
        <v>1506026</v>
      </c>
      <c r="I138" s="4">
        <v>46268.972222222219</v>
      </c>
      <c r="J138" s="1" t="s">
        <v>33</v>
      </c>
      <c r="K138" s="1" t="s">
        <v>30</v>
      </c>
      <c r="L138" s="1" t="s">
        <v>31</v>
      </c>
      <c r="M138" s="1" t="s">
        <v>4306</v>
      </c>
      <c r="N138" s="1" t="s">
        <v>4307</v>
      </c>
      <c r="O138" s="1" t="s">
        <v>4308</v>
      </c>
    </row>
    <row r="139" spans="8:15" x14ac:dyDescent="0.25">
      <c r="H139" s="1">
        <v>1505010</v>
      </c>
      <c r="I139" s="4">
        <v>46268.979166666664</v>
      </c>
      <c r="J139" s="1" t="s">
        <v>33</v>
      </c>
      <c r="K139" s="1" t="s">
        <v>381</v>
      </c>
      <c r="L139" s="1" t="s">
        <v>382</v>
      </c>
      <c r="M139" s="1" t="s">
        <v>4310</v>
      </c>
      <c r="N139" s="1" t="s">
        <v>4311</v>
      </c>
      <c r="O139" s="1" t="s">
        <v>4312</v>
      </c>
    </row>
    <row r="140" spans="8:15" x14ac:dyDescent="0.25">
      <c r="H140" s="1">
        <v>1511506</v>
      </c>
      <c r="I140" s="4">
        <v>46268.979166666664</v>
      </c>
      <c r="J140" s="1" t="s">
        <v>33</v>
      </c>
      <c r="K140" s="1" t="s">
        <v>380</v>
      </c>
      <c r="L140" s="1" t="s">
        <v>104</v>
      </c>
      <c r="M140" s="1" t="s">
        <v>4313</v>
      </c>
      <c r="N140" s="1" t="s">
        <v>4314</v>
      </c>
      <c r="O140" s="1" t="s">
        <v>4315</v>
      </c>
    </row>
    <row r="141" spans="8:15" x14ac:dyDescent="0.25">
      <c r="H141" s="1">
        <v>1514510</v>
      </c>
      <c r="I141" s="4">
        <v>46268.979166666664</v>
      </c>
      <c r="J141" s="1" t="s">
        <v>33</v>
      </c>
      <c r="K141" s="1" t="s">
        <v>20</v>
      </c>
      <c r="L141" s="1" t="s">
        <v>812</v>
      </c>
      <c r="M141" s="1" t="s">
        <v>103</v>
      </c>
      <c r="N141" s="1" t="s">
        <v>3919</v>
      </c>
      <c r="O141" s="1" t="s">
        <v>4398</v>
      </c>
    </row>
    <row r="142" spans="8:15" x14ac:dyDescent="0.25">
      <c r="I142" s="4"/>
    </row>
    <row r="143" spans="8:15" x14ac:dyDescent="0.25">
      <c r="I143" s="4"/>
    </row>
    <row r="144" spans="8:15" x14ac:dyDescent="0.25">
      <c r="I144" s="4"/>
    </row>
    <row r="145" spans="9:9" x14ac:dyDescent="0.25">
      <c r="I145" s="4"/>
    </row>
    <row r="146" spans="9:9" x14ac:dyDescent="0.25">
      <c r="I146" s="4"/>
    </row>
    <row r="147" spans="9:9" x14ac:dyDescent="0.25">
      <c r="I147" s="4"/>
    </row>
    <row r="148" spans="9:9" x14ac:dyDescent="0.25">
      <c r="I148" s="4"/>
    </row>
    <row r="149" spans="9:9" x14ac:dyDescent="0.25">
      <c r="I149" s="4"/>
    </row>
    <row r="150" spans="9:9" x14ac:dyDescent="0.25">
      <c r="I150" s="4"/>
    </row>
    <row r="151" spans="9:9" x14ac:dyDescent="0.25">
      <c r="I151" s="4"/>
    </row>
    <row r="152" spans="9:9" x14ac:dyDescent="0.25">
      <c r="I152" s="4"/>
    </row>
    <row r="153" spans="9:9" x14ac:dyDescent="0.25">
      <c r="I153" s="4"/>
    </row>
    <row r="154" spans="9:9" x14ac:dyDescent="0.25">
      <c r="I154" s="4"/>
    </row>
    <row r="155" spans="9:9" x14ac:dyDescent="0.25">
      <c r="I155" s="4"/>
    </row>
    <row r="156" spans="9:9" x14ac:dyDescent="0.25">
      <c r="I156" s="4"/>
    </row>
    <row r="157" spans="9:9" x14ac:dyDescent="0.25">
      <c r="I157" s="4"/>
    </row>
    <row r="158" spans="9:9" x14ac:dyDescent="0.25">
      <c r="I158" s="4"/>
    </row>
    <row r="159" spans="9:9" x14ac:dyDescent="0.25">
      <c r="I159" s="4"/>
    </row>
    <row r="160" spans="9:9" x14ac:dyDescent="0.25">
      <c r="I160" s="4"/>
    </row>
    <row r="161" spans="9:9" x14ac:dyDescent="0.25">
      <c r="I161" s="4"/>
    </row>
    <row r="162" spans="9:9" x14ac:dyDescent="0.25">
      <c r="I162" s="4"/>
    </row>
    <row r="163" spans="9:9" x14ac:dyDescent="0.25">
      <c r="I163" s="4"/>
    </row>
    <row r="164" spans="9:9" x14ac:dyDescent="0.25">
      <c r="I164" s="4"/>
    </row>
    <row r="165" spans="9:9" x14ac:dyDescent="0.25">
      <c r="I165" s="4"/>
    </row>
    <row r="166" spans="9:9" x14ac:dyDescent="0.25">
      <c r="I166" s="4"/>
    </row>
    <row r="167" spans="9:9" x14ac:dyDescent="0.25">
      <c r="I167" s="4"/>
    </row>
    <row r="168" spans="9:9" x14ac:dyDescent="0.25">
      <c r="I168" s="4"/>
    </row>
    <row r="169" spans="9:9" x14ac:dyDescent="0.25">
      <c r="I169" s="4"/>
    </row>
    <row r="170" spans="9:9" x14ac:dyDescent="0.25">
      <c r="I170" s="4"/>
    </row>
    <row r="171" spans="9:9" x14ac:dyDescent="0.25">
      <c r="I171" s="4"/>
    </row>
    <row r="172" spans="9:9" x14ac:dyDescent="0.25">
      <c r="I172" s="4"/>
    </row>
    <row r="173" spans="9:9" x14ac:dyDescent="0.25">
      <c r="I173" s="4"/>
    </row>
    <row r="174" spans="9:9" x14ac:dyDescent="0.25">
      <c r="I174" s="4"/>
    </row>
    <row r="175" spans="9:9" x14ac:dyDescent="0.25">
      <c r="I175" s="4"/>
    </row>
    <row r="176" spans="9:9" x14ac:dyDescent="0.25">
      <c r="I176" s="4"/>
    </row>
    <row r="177" spans="9:9" x14ac:dyDescent="0.25">
      <c r="I177" s="4"/>
    </row>
    <row r="178" spans="9:9" x14ac:dyDescent="0.25">
      <c r="I178" s="4"/>
    </row>
    <row r="179" spans="9:9" x14ac:dyDescent="0.25">
      <c r="I179" s="4"/>
    </row>
    <row r="180" spans="9:9" x14ac:dyDescent="0.25">
      <c r="I180" s="4"/>
    </row>
    <row r="181" spans="9:9" x14ac:dyDescent="0.25">
      <c r="I181" s="4"/>
    </row>
    <row r="182" spans="9:9" x14ac:dyDescent="0.25">
      <c r="I182" s="4"/>
    </row>
    <row r="183" spans="9:9" x14ac:dyDescent="0.25">
      <c r="I183" s="4"/>
    </row>
    <row r="184" spans="9:9" x14ac:dyDescent="0.25">
      <c r="I184" s="4"/>
    </row>
    <row r="185" spans="9:9" x14ac:dyDescent="0.25">
      <c r="I185" s="4"/>
    </row>
    <row r="186" spans="9:9" x14ac:dyDescent="0.25">
      <c r="I186" s="4"/>
    </row>
    <row r="187" spans="9:9" x14ac:dyDescent="0.25">
      <c r="I187" s="4"/>
    </row>
    <row r="188" spans="9:9" x14ac:dyDescent="0.25">
      <c r="I188" s="4"/>
    </row>
    <row r="189" spans="9:9" x14ac:dyDescent="0.25">
      <c r="I189" s="4"/>
    </row>
    <row r="190" spans="9:9" x14ac:dyDescent="0.25">
      <c r="I190" s="4"/>
    </row>
    <row r="191" spans="9:9" x14ac:dyDescent="0.25">
      <c r="I191" s="4"/>
    </row>
    <row r="192" spans="9:9" x14ac:dyDescent="0.25">
      <c r="I192" s="4"/>
    </row>
    <row r="193" spans="9:9" x14ac:dyDescent="0.25">
      <c r="I193" s="4"/>
    </row>
    <row r="194" spans="9:9" x14ac:dyDescent="0.25">
      <c r="I194" s="4"/>
    </row>
    <row r="195" spans="9:9" x14ac:dyDescent="0.25">
      <c r="I195" s="4"/>
    </row>
    <row r="196" spans="9:9" x14ac:dyDescent="0.25">
      <c r="I196" s="4"/>
    </row>
    <row r="197" spans="9:9" x14ac:dyDescent="0.25">
      <c r="I197" s="4"/>
    </row>
    <row r="198" spans="9:9" x14ac:dyDescent="0.25">
      <c r="I198" s="4"/>
    </row>
    <row r="199" spans="9:9" x14ac:dyDescent="0.25">
      <c r="I199" s="4"/>
    </row>
    <row r="200" spans="9:9" x14ac:dyDescent="0.25">
      <c r="I200" s="4"/>
    </row>
    <row r="201" spans="9:9" x14ac:dyDescent="0.25">
      <c r="I201" s="4"/>
    </row>
    <row r="202" spans="9:9" x14ac:dyDescent="0.25">
      <c r="I202" s="4"/>
    </row>
    <row r="203" spans="9:9" x14ac:dyDescent="0.25">
      <c r="I203" s="4"/>
    </row>
    <row r="204" spans="9:9" x14ac:dyDescent="0.25">
      <c r="I204" s="4"/>
    </row>
    <row r="205" spans="9:9" x14ac:dyDescent="0.25">
      <c r="I205" s="4"/>
    </row>
    <row r="206" spans="9:9" x14ac:dyDescent="0.25">
      <c r="I206" s="4"/>
    </row>
    <row r="207" spans="9:9" x14ac:dyDescent="0.25">
      <c r="I207" s="4"/>
    </row>
    <row r="208" spans="9:9" x14ac:dyDescent="0.25">
      <c r="I208" s="4"/>
    </row>
    <row r="209" spans="9:9" x14ac:dyDescent="0.25">
      <c r="I209" s="4"/>
    </row>
    <row r="210" spans="9:9" x14ac:dyDescent="0.25">
      <c r="I210" s="4"/>
    </row>
    <row r="211" spans="9:9" x14ac:dyDescent="0.25">
      <c r="I211" s="4"/>
    </row>
    <row r="212" spans="9:9" x14ac:dyDescent="0.25">
      <c r="I212" s="4"/>
    </row>
    <row r="213" spans="9:9" x14ac:dyDescent="0.25">
      <c r="I213" s="4"/>
    </row>
    <row r="214" spans="9:9" x14ac:dyDescent="0.25">
      <c r="I214" s="4"/>
    </row>
    <row r="215" spans="9:9" x14ac:dyDescent="0.25">
      <c r="I215" s="4"/>
    </row>
    <row r="216" spans="9:9" x14ac:dyDescent="0.25">
      <c r="I216" s="4"/>
    </row>
    <row r="217" spans="9:9" x14ac:dyDescent="0.25">
      <c r="I217" s="4"/>
    </row>
    <row r="218" spans="9:9" x14ac:dyDescent="0.25">
      <c r="I218" s="4"/>
    </row>
    <row r="219" spans="9:9" x14ac:dyDescent="0.25">
      <c r="I219" s="4"/>
    </row>
    <row r="220" spans="9:9" x14ac:dyDescent="0.25">
      <c r="I220" s="4"/>
    </row>
    <row r="221" spans="9:9" x14ac:dyDescent="0.25">
      <c r="I221" s="4"/>
    </row>
    <row r="222" spans="9:9" x14ac:dyDescent="0.25">
      <c r="I222" s="4"/>
    </row>
    <row r="223" spans="9:9" x14ac:dyDescent="0.25">
      <c r="I223" s="4"/>
    </row>
    <row r="224" spans="9:9" x14ac:dyDescent="0.25">
      <c r="I224" s="4"/>
    </row>
    <row r="225" spans="9:9" x14ac:dyDescent="0.25">
      <c r="I225" s="4"/>
    </row>
    <row r="226" spans="9:9" x14ac:dyDescent="0.25">
      <c r="I226" s="4"/>
    </row>
    <row r="227" spans="9:9" x14ac:dyDescent="0.25">
      <c r="I227" s="4"/>
    </row>
    <row r="228" spans="9:9" x14ac:dyDescent="0.25">
      <c r="I228" s="4"/>
    </row>
    <row r="229" spans="9:9" x14ac:dyDescent="0.25">
      <c r="I229" s="4"/>
    </row>
    <row r="230" spans="9:9" x14ac:dyDescent="0.25">
      <c r="I230" s="4"/>
    </row>
    <row r="231" spans="9:9" x14ac:dyDescent="0.25">
      <c r="I231" s="4"/>
    </row>
    <row r="232" spans="9:9" x14ac:dyDescent="0.25">
      <c r="I232" s="4"/>
    </row>
    <row r="233" spans="9:9" x14ac:dyDescent="0.25">
      <c r="I233" s="4"/>
    </row>
    <row r="234" spans="9:9" x14ac:dyDescent="0.25">
      <c r="I234" s="4"/>
    </row>
    <row r="235" spans="9:9" x14ac:dyDescent="0.25">
      <c r="I235" s="4"/>
    </row>
    <row r="236" spans="9:9" x14ac:dyDescent="0.25">
      <c r="I236" s="4"/>
    </row>
    <row r="237" spans="9:9" x14ac:dyDescent="0.25">
      <c r="I237" s="4"/>
    </row>
    <row r="238" spans="9:9" x14ac:dyDescent="0.25">
      <c r="I238" s="4"/>
    </row>
    <row r="239" spans="9:9" x14ac:dyDescent="0.25">
      <c r="I239" s="4"/>
    </row>
    <row r="240" spans="9:9" x14ac:dyDescent="0.25">
      <c r="I240" s="4"/>
    </row>
    <row r="241" spans="9:9" x14ac:dyDescent="0.25">
      <c r="I241" s="4"/>
    </row>
    <row r="242" spans="9:9" x14ac:dyDescent="0.25">
      <c r="I242" s="4"/>
    </row>
    <row r="243" spans="9:9" x14ac:dyDescent="0.25">
      <c r="I243" s="4"/>
    </row>
    <row r="244" spans="9:9" x14ac:dyDescent="0.25">
      <c r="I244" s="4"/>
    </row>
    <row r="245" spans="9:9" x14ac:dyDescent="0.25">
      <c r="I245" s="4"/>
    </row>
    <row r="246" spans="9:9" x14ac:dyDescent="0.25">
      <c r="I246" s="4"/>
    </row>
    <row r="247" spans="9:9" x14ac:dyDescent="0.25">
      <c r="I247" s="4"/>
    </row>
    <row r="248" spans="9:9" x14ac:dyDescent="0.25">
      <c r="I248" s="4"/>
    </row>
    <row r="249" spans="9:9" x14ac:dyDescent="0.25">
      <c r="I249" s="4"/>
    </row>
    <row r="250" spans="9:9" x14ac:dyDescent="0.25">
      <c r="I250" s="4"/>
    </row>
    <row r="251" spans="9:9" x14ac:dyDescent="0.25">
      <c r="I251" s="4"/>
    </row>
    <row r="252" spans="9:9" x14ac:dyDescent="0.25">
      <c r="I252" s="4"/>
    </row>
    <row r="253" spans="9:9" x14ac:dyDescent="0.25">
      <c r="I253" s="4"/>
    </row>
    <row r="254" spans="9:9" x14ac:dyDescent="0.25">
      <c r="I254" s="4"/>
    </row>
    <row r="255" spans="9:9" x14ac:dyDescent="0.25">
      <c r="I255" s="4"/>
    </row>
    <row r="256" spans="9:9" x14ac:dyDescent="0.25">
      <c r="I256" s="4"/>
    </row>
    <row r="257" spans="9:9" x14ac:dyDescent="0.25">
      <c r="I257" s="4"/>
    </row>
    <row r="258" spans="9:9" x14ac:dyDescent="0.25">
      <c r="I258" s="4"/>
    </row>
    <row r="259" spans="9:9" x14ac:dyDescent="0.25">
      <c r="I259" s="4"/>
    </row>
    <row r="260" spans="9:9" x14ac:dyDescent="0.25">
      <c r="I260" s="4"/>
    </row>
    <row r="261" spans="9:9" x14ac:dyDescent="0.25">
      <c r="I261" s="4"/>
    </row>
    <row r="262" spans="9:9" x14ac:dyDescent="0.25">
      <c r="I262" s="4"/>
    </row>
    <row r="263" spans="9:9" x14ac:dyDescent="0.25">
      <c r="I263" s="4"/>
    </row>
    <row r="264" spans="9:9" x14ac:dyDescent="0.25">
      <c r="I264" s="4"/>
    </row>
    <row r="265" spans="9:9" x14ac:dyDescent="0.25">
      <c r="I265" s="4"/>
    </row>
    <row r="266" spans="9:9" x14ac:dyDescent="0.25">
      <c r="I266" s="4"/>
    </row>
    <row r="267" spans="9:9" x14ac:dyDescent="0.25">
      <c r="I267" s="4"/>
    </row>
    <row r="268" spans="9:9" x14ac:dyDescent="0.25">
      <c r="I268" s="4"/>
    </row>
    <row r="269" spans="9:9" x14ac:dyDescent="0.25">
      <c r="I269" s="4"/>
    </row>
    <row r="270" spans="9:9" x14ac:dyDescent="0.25">
      <c r="I270" s="4"/>
    </row>
    <row r="271" spans="9:9" x14ac:dyDescent="0.25">
      <c r="I271" s="4"/>
    </row>
    <row r="272" spans="9:9" x14ac:dyDescent="0.25">
      <c r="I272" s="4"/>
    </row>
    <row r="273" spans="9:9" x14ac:dyDescent="0.25">
      <c r="I273" s="4"/>
    </row>
    <row r="274" spans="9:9" x14ac:dyDescent="0.25">
      <c r="I274" s="4"/>
    </row>
    <row r="275" spans="9:9" x14ac:dyDescent="0.25">
      <c r="I275" s="4"/>
    </row>
    <row r="276" spans="9:9" x14ac:dyDescent="0.25">
      <c r="I276" s="4"/>
    </row>
    <row r="277" spans="9:9" x14ac:dyDescent="0.25">
      <c r="I277" s="4"/>
    </row>
    <row r="278" spans="9:9" x14ac:dyDescent="0.25">
      <c r="I278" s="4"/>
    </row>
    <row r="279" spans="9:9" x14ac:dyDescent="0.25">
      <c r="I279" s="4"/>
    </row>
    <row r="280" spans="9:9" x14ac:dyDescent="0.25">
      <c r="I280" s="4"/>
    </row>
    <row r="281" spans="9:9" x14ac:dyDescent="0.25">
      <c r="I281" s="4"/>
    </row>
    <row r="282" spans="9:9" x14ac:dyDescent="0.25">
      <c r="I282" s="4"/>
    </row>
    <row r="283" spans="9:9" x14ac:dyDescent="0.25">
      <c r="I283" s="4"/>
    </row>
    <row r="284" spans="9:9" x14ac:dyDescent="0.25">
      <c r="I284" s="4"/>
    </row>
    <row r="285" spans="9:9" x14ac:dyDescent="0.25">
      <c r="I285" s="4"/>
    </row>
    <row r="286" spans="9:9" x14ac:dyDescent="0.25">
      <c r="I286" s="4"/>
    </row>
    <row r="287" spans="9:9" x14ac:dyDescent="0.25">
      <c r="I287" s="4"/>
    </row>
    <row r="288" spans="9:9" x14ac:dyDescent="0.25">
      <c r="I288" s="4"/>
    </row>
    <row r="289" spans="9:9" x14ac:dyDescent="0.25">
      <c r="I289" s="4"/>
    </row>
    <row r="290" spans="9:9" x14ac:dyDescent="0.25">
      <c r="I290" s="4"/>
    </row>
    <row r="291" spans="9:9" x14ac:dyDescent="0.25">
      <c r="I291" s="4"/>
    </row>
    <row r="292" spans="9:9" x14ac:dyDescent="0.25">
      <c r="I292" s="4"/>
    </row>
    <row r="293" spans="9:9" x14ac:dyDescent="0.25">
      <c r="I293" s="4"/>
    </row>
    <row r="294" spans="9:9" x14ac:dyDescent="0.25">
      <c r="I294" s="4"/>
    </row>
    <row r="295" spans="9:9" x14ac:dyDescent="0.25">
      <c r="I295" s="4"/>
    </row>
    <row r="296" spans="9:9" x14ac:dyDescent="0.25">
      <c r="I296" s="4"/>
    </row>
    <row r="297" spans="9:9" x14ac:dyDescent="0.25">
      <c r="I297" s="4"/>
    </row>
    <row r="298" spans="9:9" x14ac:dyDescent="0.25">
      <c r="I298" s="4"/>
    </row>
    <row r="299" spans="9:9" x14ac:dyDescent="0.25">
      <c r="I299" s="4"/>
    </row>
    <row r="300" spans="9:9" x14ac:dyDescent="0.25">
      <c r="I300" s="4"/>
    </row>
    <row r="301" spans="9:9" x14ac:dyDescent="0.25">
      <c r="I301" s="4"/>
    </row>
    <row r="302" spans="9:9" x14ac:dyDescent="0.25">
      <c r="I302" s="4"/>
    </row>
    <row r="303" spans="9:9" x14ac:dyDescent="0.25">
      <c r="I303" s="4"/>
    </row>
    <row r="304" spans="9:9" x14ac:dyDescent="0.25">
      <c r="I304" s="4"/>
    </row>
    <row r="305" spans="9:9" x14ac:dyDescent="0.25">
      <c r="I305" s="4"/>
    </row>
    <row r="306" spans="9:9" x14ac:dyDescent="0.25">
      <c r="I306" s="4"/>
    </row>
    <row r="307" spans="9:9" x14ac:dyDescent="0.25">
      <c r="I307" s="4"/>
    </row>
    <row r="308" spans="9:9" x14ac:dyDescent="0.25">
      <c r="I308" s="4"/>
    </row>
    <row r="309" spans="9:9" x14ac:dyDescent="0.25">
      <c r="I309" s="4"/>
    </row>
    <row r="310" spans="9:9" x14ac:dyDescent="0.25">
      <c r="I310" s="4"/>
    </row>
    <row r="311" spans="9:9" x14ac:dyDescent="0.25">
      <c r="I311" s="4"/>
    </row>
    <row r="312" spans="9:9" x14ac:dyDescent="0.25">
      <c r="I312" s="4"/>
    </row>
    <row r="313" spans="9:9" x14ac:dyDescent="0.25">
      <c r="I313" s="4"/>
    </row>
    <row r="314" spans="9:9" x14ac:dyDescent="0.25">
      <c r="I314" s="4"/>
    </row>
    <row r="315" spans="9:9" x14ac:dyDescent="0.25">
      <c r="I315" s="4"/>
    </row>
    <row r="316" spans="9:9" x14ac:dyDescent="0.25">
      <c r="I316" s="4"/>
    </row>
    <row r="317" spans="9:9" x14ac:dyDescent="0.25">
      <c r="I317" s="4"/>
    </row>
    <row r="318" spans="9:9" x14ac:dyDescent="0.25">
      <c r="I318" s="4"/>
    </row>
    <row r="319" spans="9:9" x14ac:dyDescent="0.25">
      <c r="I319" s="4"/>
    </row>
    <row r="320" spans="9:9" x14ac:dyDescent="0.25">
      <c r="I320" s="4"/>
    </row>
    <row r="321" spans="9:9" x14ac:dyDescent="0.25">
      <c r="I321" s="4"/>
    </row>
    <row r="322" spans="9:9" x14ac:dyDescent="0.25">
      <c r="I322" s="4"/>
    </row>
    <row r="323" spans="9:9" x14ac:dyDescent="0.25">
      <c r="I323" s="4"/>
    </row>
    <row r="324" spans="9:9" x14ac:dyDescent="0.25">
      <c r="I324" s="4"/>
    </row>
    <row r="325" spans="9:9" x14ac:dyDescent="0.25">
      <c r="I325" s="4"/>
    </row>
    <row r="326" spans="9:9" x14ac:dyDescent="0.25">
      <c r="I326" s="4"/>
    </row>
    <row r="327" spans="9:9" x14ac:dyDescent="0.25">
      <c r="I327" s="4"/>
    </row>
    <row r="328" spans="9:9" x14ac:dyDescent="0.25">
      <c r="I328" s="4"/>
    </row>
    <row r="329" spans="9:9" x14ac:dyDescent="0.25">
      <c r="I329" s="4"/>
    </row>
    <row r="330" spans="9:9" x14ac:dyDescent="0.25">
      <c r="I330" s="4"/>
    </row>
    <row r="331" spans="9:9" x14ac:dyDescent="0.25">
      <c r="I331" s="4"/>
    </row>
    <row r="332" spans="9:9" x14ac:dyDescent="0.25">
      <c r="I332" s="4"/>
    </row>
    <row r="333" spans="9:9" x14ac:dyDescent="0.25">
      <c r="I333" s="4"/>
    </row>
    <row r="334" spans="9:9" x14ac:dyDescent="0.25">
      <c r="I334" s="4"/>
    </row>
    <row r="335" spans="9:9" x14ac:dyDescent="0.25">
      <c r="I335" s="4"/>
    </row>
    <row r="336" spans="9:9" x14ac:dyDescent="0.25">
      <c r="I336" s="4"/>
    </row>
    <row r="337" spans="9:9" x14ac:dyDescent="0.25">
      <c r="I337" s="4"/>
    </row>
    <row r="338" spans="9:9" x14ac:dyDescent="0.25">
      <c r="I338" s="4"/>
    </row>
    <row r="339" spans="9:9" x14ac:dyDescent="0.25">
      <c r="I339" s="4"/>
    </row>
    <row r="340" spans="9:9" x14ac:dyDescent="0.25">
      <c r="I340" s="4"/>
    </row>
    <row r="341" spans="9:9" x14ac:dyDescent="0.25">
      <c r="I341" s="4"/>
    </row>
    <row r="342" spans="9:9" x14ac:dyDescent="0.25">
      <c r="I342" s="4"/>
    </row>
    <row r="343" spans="9:9" x14ac:dyDescent="0.25">
      <c r="I343" s="4"/>
    </row>
    <row r="344" spans="9:9" x14ac:dyDescent="0.25">
      <c r="I344" s="4"/>
    </row>
    <row r="345" spans="9:9" x14ac:dyDescent="0.25">
      <c r="I345" s="4"/>
    </row>
    <row r="346" spans="9:9" x14ac:dyDescent="0.25">
      <c r="I346" s="4"/>
    </row>
    <row r="347" spans="9:9" x14ac:dyDescent="0.25">
      <c r="I347" s="4"/>
    </row>
    <row r="348" spans="9:9" x14ac:dyDescent="0.25">
      <c r="I348" s="4"/>
    </row>
    <row r="349" spans="9:9" x14ac:dyDescent="0.25">
      <c r="I349" s="4"/>
    </row>
    <row r="350" spans="9:9" x14ac:dyDescent="0.25">
      <c r="I350" s="4"/>
    </row>
    <row r="351" spans="9:9" x14ac:dyDescent="0.25">
      <c r="I351" s="4"/>
    </row>
    <row r="352" spans="9:9" x14ac:dyDescent="0.25">
      <c r="I352" s="4"/>
    </row>
    <row r="353" spans="9:9" x14ac:dyDescent="0.25">
      <c r="I353" s="4"/>
    </row>
    <row r="354" spans="9:9" x14ac:dyDescent="0.25">
      <c r="I354" s="4"/>
    </row>
    <row r="355" spans="9:9" x14ac:dyDescent="0.25">
      <c r="I355" s="4"/>
    </row>
    <row r="356" spans="9:9" x14ac:dyDescent="0.25">
      <c r="I356" s="4"/>
    </row>
    <row r="357" spans="9:9" x14ac:dyDescent="0.25">
      <c r="I357" s="4"/>
    </row>
    <row r="358" spans="9:9" x14ac:dyDescent="0.25">
      <c r="I358" s="4"/>
    </row>
    <row r="359" spans="9:9" x14ac:dyDescent="0.25">
      <c r="I359" s="4"/>
    </row>
    <row r="360" spans="9:9" x14ac:dyDescent="0.25">
      <c r="I360" s="4"/>
    </row>
    <row r="361" spans="9:9" x14ac:dyDescent="0.25">
      <c r="I361" s="4"/>
    </row>
    <row r="362" spans="9:9" x14ac:dyDescent="0.25">
      <c r="I362" s="4"/>
    </row>
    <row r="363" spans="9:9" x14ac:dyDescent="0.25">
      <c r="I363" s="4"/>
    </row>
    <row r="364" spans="9:9" x14ac:dyDescent="0.25">
      <c r="I364" s="4"/>
    </row>
    <row r="365" spans="9:9" x14ac:dyDescent="0.25">
      <c r="I365" s="4"/>
    </row>
    <row r="366" spans="9:9" x14ac:dyDescent="0.25">
      <c r="I366" s="4"/>
    </row>
    <row r="367" spans="9:9" x14ac:dyDescent="0.25">
      <c r="I367" s="4"/>
    </row>
    <row r="368" spans="9:9" x14ac:dyDescent="0.25">
      <c r="I368" s="4"/>
    </row>
    <row r="369" spans="9:9" x14ac:dyDescent="0.25">
      <c r="I369" s="4"/>
    </row>
    <row r="370" spans="9:9" x14ac:dyDescent="0.25">
      <c r="I370" s="4"/>
    </row>
    <row r="371" spans="9:9" x14ac:dyDescent="0.25">
      <c r="I371" s="4"/>
    </row>
    <row r="372" spans="9:9" x14ac:dyDescent="0.25">
      <c r="I372" s="4"/>
    </row>
    <row r="373" spans="9:9" x14ac:dyDescent="0.25">
      <c r="I373" s="4"/>
    </row>
    <row r="374" spans="9:9" x14ac:dyDescent="0.25">
      <c r="I374" s="4"/>
    </row>
    <row r="375" spans="9:9" x14ac:dyDescent="0.25">
      <c r="I375" s="4"/>
    </row>
    <row r="376" spans="9:9" x14ac:dyDescent="0.25">
      <c r="I376" s="4"/>
    </row>
    <row r="377" spans="9:9" x14ac:dyDescent="0.25">
      <c r="I377" s="4"/>
    </row>
    <row r="378" spans="9:9" x14ac:dyDescent="0.25">
      <c r="I378" s="4"/>
    </row>
    <row r="379" spans="9:9" x14ac:dyDescent="0.25">
      <c r="I379" s="4"/>
    </row>
    <row r="380" spans="9:9" x14ac:dyDescent="0.25">
      <c r="I380" s="4"/>
    </row>
    <row r="381" spans="9:9" x14ac:dyDescent="0.25">
      <c r="I381" s="4"/>
    </row>
    <row r="382" spans="9:9" x14ac:dyDescent="0.25">
      <c r="I382" s="4"/>
    </row>
    <row r="383" spans="9:9" x14ac:dyDescent="0.25">
      <c r="I383" s="4"/>
    </row>
    <row r="384" spans="9:9" x14ac:dyDescent="0.25">
      <c r="I384" s="4"/>
    </row>
    <row r="385" spans="9:9" x14ac:dyDescent="0.25">
      <c r="I385" s="4"/>
    </row>
    <row r="386" spans="9:9" x14ac:dyDescent="0.25">
      <c r="I386" s="4"/>
    </row>
    <row r="387" spans="9:9" x14ac:dyDescent="0.25">
      <c r="I387" s="4"/>
    </row>
    <row r="388" spans="9:9" x14ac:dyDescent="0.25">
      <c r="I388" s="4"/>
    </row>
    <row r="389" spans="9:9" x14ac:dyDescent="0.25">
      <c r="I389" s="4"/>
    </row>
    <row r="390" spans="9:9" x14ac:dyDescent="0.25">
      <c r="I390" s="4"/>
    </row>
    <row r="391" spans="9:9" x14ac:dyDescent="0.25">
      <c r="I391" s="4"/>
    </row>
    <row r="392" spans="9:9" x14ac:dyDescent="0.25">
      <c r="I392" s="4"/>
    </row>
    <row r="393" spans="9:9" x14ac:dyDescent="0.25">
      <c r="I393" s="4"/>
    </row>
    <row r="394" spans="9:9" x14ac:dyDescent="0.25">
      <c r="I394" s="4"/>
    </row>
    <row r="395" spans="9:9" x14ac:dyDescent="0.25">
      <c r="I395" s="4"/>
    </row>
    <row r="396" spans="9:9" x14ac:dyDescent="0.25">
      <c r="I396" s="4"/>
    </row>
    <row r="397" spans="9:9" x14ac:dyDescent="0.25">
      <c r="I397" s="4"/>
    </row>
    <row r="398" spans="9:9" x14ac:dyDescent="0.25">
      <c r="I398" s="4"/>
    </row>
    <row r="399" spans="9:9" x14ac:dyDescent="0.25">
      <c r="I399" s="4"/>
    </row>
    <row r="400" spans="9:9" x14ac:dyDescent="0.25">
      <c r="I400" s="4"/>
    </row>
    <row r="401" spans="9:9" x14ac:dyDescent="0.25">
      <c r="I401" s="4"/>
    </row>
    <row r="402" spans="9:9" x14ac:dyDescent="0.25">
      <c r="I402" s="4"/>
    </row>
    <row r="403" spans="9:9" x14ac:dyDescent="0.25">
      <c r="I403" s="4"/>
    </row>
    <row r="404" spans="9:9" x14ac:dyDescent="0.25">
      <c r="I404" s="4"/>
    </row>
    <row r="405" spans="9:9" x14ac:dyDescent="0.25">
      <c r="I405" s="4"/>
    </row>
    <row r="406" spans="9:9" x14ac:dyDescent="0.25">
      <c r="I406" s="4"/>
    </row>
    <row r="407" spans="9:9" x14ac:dyDescent="0.25">
      <c r="I407" s="4"/>
    </row>
    <row r="408" spans="9:9" x14ac:dyDescent="0.25">
      <c r="I408" s="4"/>
    </row>
    <row r="409" spans="9:9" x14ac:dyDescent="0.25">
      <c r="I409" s="4"/>
    </row>
    <row r="410" spans="9:9" x14ac:dyDescent="0.25">
      <c r="I410" s="4"/>
    </row>
    <row r="411" spans="9:9" x14ac:dyDescent="0.25">
      <c r="I411" s="4"/>
    </row>
    <row r="412" spans="9:9" x14ac:dyDescent="0.25">
      <c r="I412" s="4"/>
    </row>
    <row r="413" spans="9:9" x14ac:dyDescent="0.25">
      <c r="I413" s="4"/>
    </row>
    <row r="414" spans="9:9" x14ac:dyDescent="0.25">
      <c r="I414" s="4"/>
    </row>
    <row r="415" spans="9:9" x14ac:dyDescent="0.25">
      <c r="I415" s="4"/>
    </row>
    <row r="416" spans="9:9" x14ac:dyDescent="0.25">
      <c r="I416" s="4"/>
    </row>
    <row r="417" spans="9:9" x14ac:dyDescent="0.25">
      <c r="I417" s="4"/>
    </row>
    <row r="418" spans="9:9" x14ac:dyDescent="0.25">
      <c r="I418" s="4"/>
    </row>
    <row r="419" spans="9:9" x14ac:dyDescent="0.25">
      <c r="I419" s="4"/>
    </row>
    <row r="420" spans="9:9" x14ac:dyDescent="0.25">
      <c r="I420" s="4"/>
    </row>
    <row r="421" spans="9:9" x14ac:dyDescent="0.25">
      <c r="I421" s="4"/>
    </row>
    <row r="422" spans="9:9" x14ac:dyDescent="0.25">
      <c r="I422" s="4"/>
    </row>
    <row r="423" spans="9:9" x14ac:dyDescent="0.25">
      <c r="I423" s="4"/>
    </row>
    <row r="424" spans="9:9" x14ac:dyDescent="0.25">
      <c r="I424" s="4"/>
    </row>
    <row r="425" spans="9:9" x14ac:dyDescent="0.25">
      <c r="I425" s="4"/>
    </row>
    <row r="426" spans="9:9" x14ac:dyDescent="0.25">
      <c r="I426" s="4"/>
    </row>
    <row r="427" spans="9:9" x14ac:dyDescent="0.25">
      <c r="I427" s="4"/>
    </row>
    <row r="428" spans="9:9" x14ac:dyDescent="0.25">
      <c r="I428" s="4"/>
    </row>
    <row r="429" spans="9:9" x14ac:dyDescent="0.25">
      <c r="I429" s="4"/>
    </row>
    <row r="430" spans="9:9" x14ac:dyDescent="0.25">
      <c r="I430" s="4"/>
    </row>
    <row r="431" spans="9:9" x14ac:dyDescent="0.25">
      <c r="I431" s="4"/>
    </row>
    <row r="432" spans="9:9" x14ac:dyDescent="0.25">
      <c r="I432" s="4"/>
    </row>
    <row r="433" spans="9:9" x14ac:dyDescent="0.25">
      <c r="I433" s="4"/>
    </row>
    <row r="434" spans="9:9" x14ac:dyDescent="0.25">
      <c r="I434" s="4"/>
    </row>
    <row r="435" spans="9:9" x14ac:dyDescent="0.25">
      <c r="I435" s="4"/>
    </row>
    <row r="436" spans="9:9" x14ac:dyDescent="0.25">
      <c r="I436" s="4"/>
    </row>
    <row r="437" spans="9:9" x14ac:dyDescent="0.25">
      <c r="I437" s="4"/>
    </row>
    <row r="438" spans="9:9" x14ac:dyDescent="0.25">
      <c r="I438" s="4"/>
    </row>
    <row r="439" spans="9:9" x14ac:dyDescent="0.25">
      <c r="I439" s="4"/>
    </row>
    <row r="440" spans="9:9" x14ac:dyDescent="0.25">
      <c r="I440" s="4"/>
    </row>
    <row r="441" spans="9:9" x14ac:dyDescent="0.25">
      <c r="I441" s="4"/>
    </row>
    <row r="442" spans="9:9" x14ac:dyDescent="0.25">
      <c r="I442" s="4"/>
    </row>
    <row r="443" spans="9:9" x14ac:dyDescent="0.25">
      <c r="I443" s="4"/>
    </row>
    <row r="444" spans="9:9" x14ac:dyDescent="0.25">
      <c r="I444" s="4"/>
    </row>
    <row r="445" spans="9:9" x14ac:dyDescent="0.25">
      <c r="I445" s="4"/>
    </row>
    <row r="446" spans="9:9" x14ac:dyDescent="0.25">
      <c r="I446" s="4"/>
    </row>
    <row r="447" spans="9:9" x14ac:dyDescent="0.25">
      <c r="I447" s="4"/>
    </row>
    <row r="448" spans="9:9" x14ac:dyDescent="0.25">
      <c r="I448" s="4"/>
    </row>
    <row r="449" spans="9:9" x14ac:dyDescent="0.25">
      <c r="I449" s="4"/>
    </row>
    <row r="450" spans="9:9" x14ac:dyDescent="0.25">
      <c r="I450" s="4"/>
    </row>
    <row r="451" spans="9:9" x14ac:dyDescent="0.25">
      <c r="I451" s="4"/>
    </row>
    <row r="452" spans="9:9" x14ac:dyDescent="0.25">
      <c r="I452" s="4"/>
    </row>
    <row r="453" spans="9:9" x14ac:dyDescent="0.25">
      <c r="I453" s="4"/>
    </row>
    <row r="454" spans="9:9" x14ac:dyDescent="0.25">
      <c r="I454" s="4"/>
    </row>
    <row r="455" spans="9:9" x14ac:dyDescent="0.25">
      <c r="I455" s="4"/>
    </row>
    <row r="456" spans="9:9" x14ac:dyDescent="0.25">
      <c r="I456" s="4"/>
    </row>
    <row r="457" spans="9:9" x14ac:dyDescent="0.25">
      <c r="I457" s="4"/>
    </row>
    <row r="458" spans="9:9" x14ac:dyDescent="0.25">
      <c r="I458" s="4"/>
    </row>
    <row r="459" spans="9:9" x14ac:dyDescent="0.25">
      <c r="I459" s="4"/>
    </row>
    <row r="460" spans="9:9" x14ac:dyDescent="0.25">
      <c r="I460" s="4"/>
    </row>
    <row r="461" spans="9:9" x14ac:dyDescent="0.25">
      <c r="I461" s="4"/>
    </row>
    <row r="462" spans="9:9" x14ac:dyDescent="0.25">
      <c r="I462" s="4"/>
    </row>
    <row r="463" spans="9:9" x14ac:dyDescent="0.25">
      <c r="I463" s="4"/>
    </row>
    <row r="464" spans="9:9" x14ac:dyDescent="0.25">
      <c r="I464" s="4"/>
    </row>
    <row r="465" spans="9:9" x14ac:dyDescent="0.25">
      <c r="I465" s="4"/>
    </row>
    <row r="466" spans="9:9" x14ac:dyDescent="0.25">
      <c r="I466" s="4"/>
    </row>
    <row r="467" spans="9:9" x14ac:dyDescent="0.25">
      <c r="I467" s="4"/>
    </row>
    <row r="468" spans="9:9" x14ac:dyDescent="0.25">
      <c r="I468" s="4"/>
    </row>
    <row r="469" spans="9:9" x14ac:dyDescent="0.25">
      <c r="I469" s="4"/>
    </row>
    <row r="470" spans="9:9" x14ac:dyDescent="0.25">
      <c r="I470" s="4"/>
    </row>
    <row r="471" spans="9:9" x14ac:dyDescent="0.25">
      <c r="I471" s="4"/>
    </row>
    <row r="472" spans="9:9" x14ac:dyDescent="0.25">
      <c r="I472" s="4"/>
    </row>
    <row r="473" spans="9:9" x14ac:dyDescent="0.25">
      <c r="I473" s="4"/>
    </row>
    <row r="474" spans="9:9" x14ac:dyDescent="0.25">
      <c r="I474" s="4"/>
    </row>
    <row r="475" spans="9:9" x14ac:dyDescent="0.25">
      <c r="I475" s="4"/>
    </row>
    <row r="476" spans="9:9" x14ac:dyDescent="0.25">
      <c r="I476" s="4"/>
    </row>
    <row r="477" spans="9:9" x14ac:dyDescent="0.25">
      <c r="I477" s="4"/>
    </row>
    <row r="478" spans="9:9" x14ac:dyDescent="0.25">
      <c r="I478" s="4"/>
    </row>
    <row r="479" spans="9:9" x14ac:dyDescent="0.25">
      <c r="I479" s="4"/>
    </row>
    <row r="480" spans="9:9" x14ac:dyDescent="0.25">
      <c r="I480" s="4"/>
    </row>
    <row r="481" spans="9:9" x14ac:dyDescent="0.25">
      <c r="I481" s="4"/>
    </row>
    <row r="482" spans="9:9" x14ac:dyDescent="0.25">
      <c r="I482" s="4"/>
    </row>
    <row r="483" spans="9:9" x14ac:dyDescent="0.25">
      <c r="I483" s="4"/>
    </row>
    <row r="484" spans="9:9" x14ac:dyDescent="0.25">
      <c r="I484" s="4"/>
    </row>
    <row r="485" spans="9:9" x14ac:dyDescent="0.25">
      <c r="I485" s="4"/>
    </row>
    <row r="486" spans="9:9" x14ac:dyDescent="0.25">
      <c r="I486" s="4"/>
    </row>
    <row r="487" spans="9:9" x14ac:dyDescent="0.25">
      <c r="I487" s="4"/>
    </row>
    <row r="488" spans="9:9" x14ac:dyDescent="0.25">
      <c r="I488" s="4"/>
    </row>
    <row r="489" spans="9:9" x14ac:dyDescent="0.25">
      <c r="I489" s="4"/>
    </row>
    <row r="490" spans="9:9" x14ac:dyDescent="0.25">
      <c r="I490" s="4"/>
    </row>
    <row r="491" spans="9:9" x14ac:dyDescent="0.25">
      <c r="I491" s="4"/>
    </row>
    <row r="492" spans="9:9" x14ac:dyDescent="0.25">
      <c r="I492" s="4"/>
    </row>
    <row r="493" spans="9:9" x14ac:dyDescent="0.25">
      <c r="I493" s="4"/>
    </row>
    <row r="494" spans="9:9" x14ac:dyDescent="0.25">
      <c r="I494" s="4"/>
    </row>
    <row r="495" spans="9:9" x14ac:dyDescent="0.25">
      <c r="I495" s="4"/>
    </row>
    <row r="496" spans="9:9" x14ac:dyDescent="0.25">
      <c r="I496" s="4"/>
    </row>
    <row r="497" spans="9:9" x14ac:dyDescent="0.25">
      <c r="I497" s="4"/>
    </row>
    <row r="498" spans="9:9" x14ac:dyDescent="0.25">
      <c r="I498" s="4"/>
    </row>
    <row r="499" spans="9:9" x14ac:dyDescent="0.25">
      <c r="I499" s="4"/>
    </row>
    <row r="500" spans="9:9" x14ac:dyDescent="0.25">
      <c r="I500" s="4"/>
    </row>
    <row r="501" spans="9:9" x14ac:dyDescent="0.25">
      <c r="I501" s="4"/>
    </row>
    <row r="502" spans="9:9" x14ac:dyDescent="0.25">
      <c r="I502" s="4"/>
    </row>
    <row r="503" spans="9:9" x14ac:dyDescent="0.25">
      <c r="I503" s="4"/>
    </row>
    <row r="504" spans="9:9" x14ac:dyDescent="0.25">
      <c r="I504" s="4"/>
    </row>
    <row r="505" spans="9:9" x14ac:dyDescent="0.25">
      <c r="I505" s="4"/>
    </row>
    <row r="506" spans="9:9" x14ac:dyDescent="0.25">
      <c r="I506" s="4"/>
    </row>
    <row r="507" spans="9:9" x14ac:dyDescent="0.25">
      <c r="I507" s="4"/>
    </row>
    <row r="508" spans="9:9" x14ac:dyDescent="0.25">
      <c r="I508" s="4"/>
    </row>
    <row r="509" spans="9:9" x14ac:dyDescent="0.25">
      <c r="I509" s="4"/>
    </row>
    <row r="510" spans="9:9" x14ac:dyDescent="0.25">
      <c r="I510" s="4"/>
    </row>
    <row r="511" spans="9:9" x14ac:dyDescent="0.25">
      <c r="I511" s="4"/>
    </row>
    <row r="512" spans="9:9" x14ac:dyDescent="0.25">
      <c r="I512" s="4"/>
    </row>
    <row r="513" spans="9:9" x14ac:dyDescent="0.25">
      <c r="I513" s="4"/>
    </row>
    <row r="514" spans="9:9" x14ac:dyDescent="0.25">
      <c r="I514" s="4"/>
    </row>
    <row r="515" spans="9:9" x14ac:dyDescent="0.25">
      <c r="I515" s="4"/>
    </row>
    <row r="516" spans="9:9" x14ac:dyDescent="0.25">
      <c r="I516" s="4"/>
    </row>
    <row r="517" spans="9:9" x14ac:dyDescent="0.25">
      <c r="I517" s="4"/>
    </row>
    <row r="518" spans="9:9" x14ac:dyDescent="0.25">
      <c r="I518" s="4"/>
    </row>
    <row r="519" spans="9:9" x14ac:dyDescent="0.25">
      <c r="I519" s="4"/>
    </row>
    <row r="520" spans="9:9" x14ac:dyDescent="0.25">
      <c r="I520" s="4"/>
    </row>
    <row r="521" spans="9:9" x14ac:dyDescent="0.25">
      <c r="I521" s="4"/>
    </row>
    <row r="522" spans="9:9" x14ac:dyDescent="0.25">
      <c r="I522" s="4"/>
    </row>
    <row r="523" spans="9:9" x14ac:dyDescent="0.25">
      <c r="I523" s="4"/>
    </row>
    <row r="524" spans="9:9" x14ac:dyDescent="0.25">
      <c r="I524" s="4"/>
    </row>
    <row r="525" spans="9:9" x14ac:dyDescent="0.25">
      <c r="I525" s="4"/>
    </row>
    <row r="526" spans="9:9" x14ac:dyDescent="0.25">
      <c r="I526" s="4"/>
    </row>
    <row r="527" spans="9:9" x14ac:dyDescent="0.25">
      <c r="I527" s="4"/>
    </row>
    <row r="528" spans="9:9" x14ac:dyDescent="0.25">
      <c r="I528" s="4"/>
    </row>
    <row r="529" spans="9:9" x14ac:dyDescent="0.25">
      <c r="I529" s="4"/>
    </row>
    <row r="530" spans="9:9" x14ac:dyDescent="0.25">
      <c r="I530" s="4"/>
    </row>
    <row r="531" spans="9:9" x14ac:dyDescent="0.25">
      <c r="I531" s="4"/>
    </row>
    <row r="532" spans="9:9" x14ac:dyDescent="0.25">
      <c r="I532" s="4"/>
    </row>
    <row r="533" spans="9:9" x14ac:dyDescent="0.25">
      <c r="I533" s="4"/>
    </row>
    <row r="534" spans="9:9" x14ac:dyDescent="0.25">
      <c r="I534" s="4"/>
    </row>
    <row r="535" spans="9:9" x14ac:dyDescent="0.25">
      <c r="I535" s="4"/>
    </row>
    <row r="536" spans="9:9" x14ac:dyDescent="0.25">
      <c r="I536" s="4"/>
    </row>
    <row r="537" spans="9:9" x14ac:dyDescent="0.25">
      <c r="I537" s="4"/>
    </row>
    <row r="538" spans="9:9" x14ac:dyDescent="0.25">
      <c r="I538" s="4"/>
    </row>
    <row r="539" spans="9:9" x14ac:dyDescent="0.25">
      <c r="I539" s="4"/>
    </row>
    <row r="540" spans="9:9" x14ac:dyDescent="0.25">
      <c r="I540" s="4"/>
    </row>
    <row r="541" spans="9:9" x14ac:dyDescent="0.25">
      <c r="I541" s="4"/>
    </row>
    <row r="542" spans="9:9" x14ac:dyDescent="0.25">
      <c r="I542" s="4"/>
    </row>
    <row r="543" spans="9:9" x14ac:dyDescent="0.25">
      <c r="I543" s="4"/>
    </row>
    <row r="544" spans="9:9" x14ac:dyDescent="0.25">
      <c r="I544" s="4"/>
    </row>
    <row r="545" spans="9:9" x14ac:dyDescent="0.25">
      <c r="I545" s="4"/>
    </row>
    <row r="546" spans="9:9" x14ac:dyDescent="0.25">
      <c r="I546" s="4"/>
    </row>
    <row r="547" spans="9:9" x14ac:dyDescent="0.25">
      <c r="I547" s="4"/>
    </row>
    <row r="548" spans="9:9" x14ac:dyDescent="0.25">
      <c r="I548" s="4"/>
    </row>
    <row r="549" spans="9:9" x14ac:dyDescent="0.25">
      <c r="I549" s="4"/>
    </row>
    <row r="550" spans="9:9" x14ac:dyDescent="0.25">
      <c r="I550" s="4"/>
    </row>
    <row r="551" spans="9:9" x14ac:dyDescent="0.25">
      <c r="I551" s="4"/>
    </row>
    <row r="552" spans="9:9" x14ac:dyDescent="0.25">
      <c r="I552" s="4"/>
    </row>
    <row r="553" spans="9:9" x14ac:dyDescent="0.25">
      <c r="I553" s="4"/>
    </row>
    <row r="554" spans="9:9" x14ac:dyDescent="0.25">
      <c r="I554" s="4"/>
    </row>
    <row r="555" spans="9:9" x14ac:dyDescent="0.25">
      <c r="I555" s="4"/>
    </row>
    <row r="556" spans="9:9" x14ac:dyDescent="0.25">
      <c r="I556" s="4"/>
    </row>
    <row r="557" spans="9:9" x14ac:dyDescent="0.25">
      <c r="I557" s="4"/>
    </row>
    <row r="558" spans="9:9" x14ac:dyDescent="0.25">
      <c r="I558" s="4"/>
    </row>
    <row r="559" spans="9:9" x14ac:dyDescent="0.25">
      <c r="I559" s="4"/>
    </row>
    <row r="560" spans="9:9" x14ac:dyDescent="0.25">
      <c r="I560" s="4"/>
    </row>
    <row r="561" spans="9:9" x14ac:dyDescent="0.25">
      <c r="I561" s="4"/>
    </row>
    <row r="562" spans="9:9" x14ac:dyDescent="0.25">
      <c r="I562" s="4"/>
    </row>
    <row r="563" spans="9:9" x14ac:dyDescent="0.25">
      <c r="I563" s="4"/>
    </row>
    <row r="564" spans="9:9" x14ac:dyDescent="0.25">
      <c r="I564" s="4"/>
    </row>
    <row r="565" spans="9:9" x14ac:dyDescent="0.25">
      <c r="I565" s="4"/>
    </row>
    <row r="566" spans="9:9" x14ac:dyDescent="0.25">
      <c r="I566" s="4"/>
    </row>
    <row r="567" spans="9:9" x14ac:dyDescent="0.25">
      <c r="I567" s="4"/>
    </row>
    <row r="568" spans="9:9" x14ac:dyDescent="0.25">
      <c r="I568" s="4"/>
    </row>
    <row r="569" spans="9:9" x14ac:dyDescent="0.25">
      <c r="I569" s="4"/>
    </row>
    <row r="570" spans="9:9" x14ac:dyDescent="0.25">
      <c r="I570" s="4"/>
    </row>
    <row r="571" spans="9:9" x14ac:dyDescent="0.25">
      <c r="I571" s="4"/>
    </row>
    <row r="572" spans="9:9" x14ac:dyDescent="0.25">
      <c r="I572" s="4"/>
    </row>
    <row r="573" spans="9:9" x14ac:dyDescent="0.25">
      <c r="I573" s="4"/>
    </row>
    <row r="574" spans="9:9" x14ac:dyDescent="0.25">
      <c r="I574" s="4"/>
    </row>
    <row r="575" spans="9:9" x14ac:dyDescent="0.25">
      <c r="I575" s="4"/>
    </row>
    <row r="576" spans="9:9" x14ac:dyDescent="0.25">
      <c r="I576" s="4"/>
    </row>
    <row r="577" spans="9:9" x14ac:dyDescent="0.25">
      <c r="I577" s="4"/>
    </row>
    <row r="578" spans="9:9" x14ac:dyDescent="0.25">
      <c r="I578" s="4"/>
    </row>
    <row r="579" spans="9:9" x14ac:dyDescent="0.25">
      <c r="I579" s="4"/>
    </row>
    <row r="580" spans="9:9" x14ac:dyDescent="0.25">
      <c r="I580" s="4"/>
    </row>
    <row r="581" spans="9:9" x14ac:dyDescent="0.25">
      <c r="I581" s="4"/>
    </row>
    <row r="582" spans="9:9" x14ac:dyDescent="0.25">
      <c r="I582" s="4"/>
    </row>
    <row r="583" spans="9:9" x14ac:dyDescent="0.25">
      <c r="I583" s="4"/>
    </row>
    <row r="584" spans="9:9" x14ac:dyDescent="0.25">
      <c r="I584" s="4"/>
    </row>
    <row r="585" spans="9:9" x14ac:dyDescent="0.25">
      <c r="I585" s="4"/>
    </row>
    <row r="586" spans="9:9" x14ac:dyDescent="0.25">
      <c r="I586" s="4"/>
    </row>
    <row r="587" spans="9:9" x14ac:dyDescent="0.25">
      <c r="I587" s="4"/>
    </row>
    <row r="588" spans="9:9" x14ac:dyDescent="0.25">
      <c r="I588" s="4"/>
    </row>
    <row r="589" spans="9:9" x14ac:dyDescent="0.25">
      <c r="I589" s="4"/>
    </row>
    <row r="590" spans="9:9" x14ac:dyDescent="0.25">
      <c r="I590" s="4"/>
    </row>
    <row r="591" spans="9:9" x14ac:dyDescent="0.25">
      <c r="I591" s="4"/>
    </row>
    <row r="592" spans="9:9" x14ac:dyDescent="0.25">
      <c r="I592" s="4"/>
    </row>
    <row r="593" spans="9:9" x14ac:dyDescent="0.25">
      <c r="I593" s="4"/>
    </row>
    <row r="594" spans="9:9" x14ac:dyDescent="0.25">
      <c r="I594" s="4"/>
    </row>
    <row r="595" spans="9:9" x14ac:dyDescent="0.25">
      <c r="I595" s="4"/>
    </row>
    <row r="596" spans="9:9" x14ac:dyDescent="0.25">
      <c r="I596" s="4"/>
    </row>
    <row r="597" spans="9:9" x14ac:dyDescent="0.25">
      <c r="I597" s="4"/>
    </row>
    <row r="598" spans="9:9" x14ac:dyDescent="0.25">
      <c r="I598" s="4"/>
    </row>
    <row r="599" spans="9:9" x14ac:dyDescent="0.25">
      <c r="I599" s="4"/>
    </row>
    <row r="600" spans="9:9" x14ac:dyDescent="0.25">
      <c r="I600" s="4"/>
    </row>
    <row r="601" spans="9:9" x14ac:dyDescent="0.25">
      <c r="I601" s="4"/>
    </row>
    <row r="602" spans="9:9" x14ac:dyDescent="0.25">
      <c r="I602" s="4"/>
    </row>
    <row r="603" spans="9:9" x14ac:dyDescent="0.25">
      <c r="I603" s="4"/>
    </row>
    <row r="604" spans="9:9" x14ac:dyDescent="0.25">
      <c r="I604" s="4"/>
    </row>
    <row r="605" spans="9:9" x14ac:dyDescent="0.25">
      <c r="I605" s="4"/>
    </row>
    <row r="606" spans="9:9" x14ac:dyDescent="0.25">
      <c r="I606" s="4"/>
    </row>
    <row r="607" spans="9:9" x14ac:dyDescent="0.25">
      <c r="I607" s="4"/>
    </row>
    <row r="608" spans="9:9" x14ac:dyDescent="0.25">
      <c r="I608" s="4"/>
    </row>
    <row r="609" spans="9:9" x14ac:dyDescent="0.25">
      <c r="I609" s="4"/>
    </row>
    <row r="610" spans="9:9" x14ac:dyDescent="0.25">
      <c r="I610" s="4"/>
    </row>
    <row r="611" spans="9:9" x14ac:dyDescent="0.25">
      <c r="I611" s="4"/>
    </row>
    <row r="612" spans="9:9" x14ac:dyDescent="0.25">
      <c r="I612" s="4"/>
    </row>
    <row r="613" spans="9:9" x14ac:dyDescent="0.25">
      <c r="I613" s="4"/>
    </row>
    <row r="614" spans="9:9" x14ac:dyDescent="0.25">
      <c r="I614" s="4"/>
    </row>
    <row r="615" spans="9:9" x14ac:dyDescent="0.25">
      <c r="I615" s="4"/>
    </row>
    <row r="616" spans="9:9" x14ac:dyDescent="0.25">
      <c r="I616" s="4"/>
    </row>
    <row r="617" spans="9:9" x14ac:dyDescent="0.25">
      <c r="I617" s="4"/>
    </row>
    <row r="618" spans="9:9" x14ac:dyDescent="0.25">
      <c r="I618" s="4"/>
    </row>
    <row r="619" spans="9:9" x14ac:dyDescent="0.25">
      <c r="I619" s="4"/>
    </row>
    <row r="620" spans="9:9" x14ac:dyDescent="0.25">
      <c r="I620" s="4"/>
    </row>
    <row r="621" spans="9:9" x14ac:dyDescent="0.25">
      <c r="I621" s="4"/>
    </row>
    <row r="622" spans="9:9" x14ac:dyDescent="0.25">
      <c r="I622" s="4"/>
    </row>
    <row r="623" spans="9:9" x14ac:dyDescent="0.25">
      <c r="I623" s="4"/>
    </row>
    <row r="624" spans="9:9" x14ac:dyDescent="0.25">
      <c r="I624" s="4"/>
    </row>
    <row r="625" spans="9:9" x14ac:dyDescent="0.25">
      <c r="I625" s="4"/>
    </row>
    <row r="626" spans="9:9" x14ac:dyDescent="0.25">
      <c r="I626" s="4"/>
    </row>
    <row r="627" spans="9:9" x14ac:dyDescent="0.25">
      <c r="I627" s="4"/>
    </row>
    <row r="628" spans="9:9" x14ac:dyDescent="0.25">
      <c r="I628" s="4"/>
    </row>
    <row r="629" spans="9:9" x14ac:dyDescent="0.25">
      <c r="I629" s="4"/>
    </row>
    <row r="630" spans="9:9" x14ac:dyDescent="0.25">
      <c r="I630" s="4"/>
    </row>
    <row r="631" spans="9:9" x14ac:dyDescent="0.25">
      <c r="I631" s="4"/>
    </row>
    <row r="632" spans="9:9" x14ac:dyDescent="0.25">
      <c r="I632" s="4"/>
    </row>
    <row r="633" spans="9:9" x14ac:dyDescent="0.25">
      <c r="I633" s="4"/>
    </row>
    <row r="634" spans="9:9" x14ac:dyDescent="0.25">
      <c r="I634" s="4"/>
    </row>
    <row r="635" spans="9:9" x14ac:dyDescent="0.25">
      <c r="I635" s="4"/>
    </row>
    <row r="636" spans="9:9" x14ac:dyDescent="0.25">
      <c r="I636" s="4"/>
    </row>
    <row r="637" spans="9:9" x14ac:dyDescent="0.25">
      <c r="I637" s="4"/>
    </row>
    <row r="638" spans="9:9" x14ac:dyDescent="0.25">
      <c r="I638" s="4"/>
    </row>
    <row r="639" spans="9:9" x14ac:dyDescent="0.25">
      <c r="I639" s="4"/>
    </row>
    <row r="640" spans="9:9" x14ac:dyDescent="0.25">
      <c r="I640" s="4"/>
    </row>
    <row r="641" spans="9:9" x14ac:dyDescent="0.25">
      <c r="I641" s="4"/>
    </row>
    <row r="642" spans="9:9" x14ac:dyDescent="0.25">
      <c r="I642" s="4"/>
    </row>
    <row r="643" spans="9:9" x14ac:dyDescent="0.25">
      <c r="I643" s="4"/>
    </row>
    <row r="644" spans="9:9" x14ac:dyDescent="0.25">
      <c r="I644" s="4"/>
    </row>
    <row r="645" spans="9:9" x14ac:dyDescent="0.25">
      <c r="I645" s="4"/>
    </row>
    <row r="646" spans="9:9" x14ac:dyDescent="0.25">
      <c r="I646" s="4"/>
    </row>
    <row r="647" spans="9:9" x14ac:dyDescent="0.25">
      <c r="I647" s="4"/>
    </row>
    <row r="648" spans="9:9" x14ac:dyDescent="0.25">
      <c r="I648" s="4"/>
    </row>
    <row r="649" spans="9:9" x14ac:dyDescent="0.25">
      <c r="I649" s="4"/>
    </row>
    <row r="650" spans="9:9" x14ac:dyDescent="0.25">
      <c r="I650" s="4"/>
    </row>
    <row r="651" spans="9:9" x14ac:dyDescent="0.25">
      <c r="I651" s="4"/>
    </row>
    <row r="652" spans="9:9" x14ac:dyDescent="0.25">
      <c r="I652" s="4"/>
    </row>
    <row r="653" spans="9:9" x14ac:dyDescent="0.25">
      <c r="I653" s="4"/>
    </row>
    <row r="654" spans="9:9" x14ac:dyDescent="0.25">
      <c r="I654" s="4"/>
    </row>
    <row r="655" spans="9:9" x14ac:dyDescent="0.25">
      <c r="I655" s="4"/>
    </row>
    <row r="656" spans="9:9" x14ac:dyDescent="0.25">
      <c r="I656" s="4"/>
    </row>
    <row r="657" spans="9:9" x14ac:dyDescent="0.25">
      <c r="I657" s="4"/>
    </row>
    <row r="658" spans="9:9" x14ac:dyDescent="0.25">
      <c r="I658" s="4"/>
    </row>
    <row r="659" spans="9:9" x14ac:dyDescent="0.25">
      <c r="I659" s="4"/>
    </row>
    <row r="660" spans="9:9" x14ac:dyDescent="0.25">
      <c r="I660" s="4"/>
    </row>
    <row r="661" spans="9:9" x14ac:dyDescent="0.25">
      <c r="I661" s="4"/>
    </row>
    <row r="662" spans="9:9" x14ac:dyDescent="0.25">
      <c r="I662" s="4"/>
    </row>
    <row r="663" spans="9:9" x14ac:dyDescent="0.25">
      <c r="I663" s="4"/>
    </row>
    <row r="664" spans="9:9" x14ac:dyDescent="0.25">
      <c r="I664" s="4"/>
    </row>
    <row r="665" spans="9:9" x14ac:dyDescent="0.25">
      <c r="I665" s="4"/>
    </row>
    <row r="666" spans="9:9" x14ac:dyDescent="0.25">
      <c r="I666" s="4"/>
    </row>
    <row r="667" spans="9:9" x14ac:dyDescent="0.25">
      <c r="I667" s="4"/>
    </row>
    <row r="668" spans="9:9" x14ac:dyDescent="0.25">
      <c r="I668" s="4"/>
    </row>
    <row r="669" spans="9:9" x14ac:dyDescent="0.25">
      <c r="I669" s="4"/>
    </row>
    <row r="670" spans="9:9" x14ac:dyDescent="0.25">
      <c r="I670" s="4"/>
    </row>
    <row r="671" spans="9:9" x14ac:dyDescent="0.25">
      <c r="I671" s="4"/>
    </row>
    <row r="672" spans="9:9" x14ac:dyDescent="0.25">
      <c r="I672" s="4"/>
    </row>
    <row r="673" spans="9:9" x14ac:dyDescent="0.25">
      <c r="I673" s="4"/>
    </row>
    <row r="674" spans="9:9" x14ac:dyDescent="0.25">
      <c r="I674" s="4"/>
    </row>
    <row r="675" spans="9:9" x14ac:dyDescent="0.25">
      <c r="I675" s="4"/>
    </row>
    <row r="676" spans="9:9" x14ac:dyDescent="0.25">
      <c r="I676" s="4"/>
    </row>
    <row r="677" spans="9:9" x14ac:dyDescent="0.25">
      <c r="I677" s="4"/>
    </row>
    <row r="678" spans="9:9" x14ac:dyDescent="0.25">
      <c r="I678" s="4"/>
    </row>
    <row r="679" spans="9:9" x14ac:dyDescent="0.25">
      <c r="I679" s="4"/>
    </row>
    <row r="680" spans="9:9" x14ac:dyDescent="0.25">
      <c r="I680" s="4"/>
    </row>
    <row r="681" spans="9:9" x14ac:dyDescent="0.25">
      <c r="I681" s="4"/>
    </row>
    <row r="682" spans="9:9" x14ac:dyDescent="0.25">
      <c r="I682" s="4"/>
    </row>
    <row r="683" spans="9:9" x14ac:dyDescent="0.25">
      <c r="I683" s="4"/>
    </row>
    <row r="684" spans="9:9" x14ac:dyDescent="0.25">
      <c r="I684" s="4"/>
    </row>
    <row r="685" spans="9:9" x14ac:dyDescent="0.25">
      <c r="I685" s="4"/>
    </row>
    <row r="686" spans="9:9" x14ac:dyDescent="0.25">
      <c r="I686" s="4"/>
    </row>
    <row r="687" spans="9:9" x14ac:dyDescent="0.25">
      <c r="I687" s="4"/>
    </row>
    <row r="688" spans="9:9" x14ac:dyDescent="0.25">
      <c r="I688" s="4"/>
    </row>
    <row r="689" spans="9:9" x14ac:dyDescent="0.25">
      <c r="I689" s="4"/>
    </row>
    <row r="690" spans="9:9" x14ac:dyDescent="0.25">
      <c r="I690" s="4"/>
    </row>
    <row r="691" spans="9:9" x14ac:dyDescent="0.25">
      <c r="I691" s="4"/>
    </row>
    <row r="692" spans="9:9" x14ac:dyDescent="0.25">
      <c r="I692" s="4"/>
    </row>
    <row r="693" spans="9:9" x14ac:dyDescent="0.25">
      <c r="I693" s="4"/>
    </row>
    <row r="694" spans="9:9" x14ac:dyDescent="0.25">
      <c r="I694" s="4"/>
    </row>
    <row r="695" spans="9:9" x14ac:dyDescent="0.25">
      <c r="I695" s="4"/>
    </row>
    <row r="696" spans="9:9" x14ac:dyDescent="0.25">
      <c r="I696" s="4"/>
    </row>
    <row r="697" spans="9:9" x14ac:dyDescent="0.25">
      <c r="I697" s="4"/>
    </row>
    <row r="698" spans="9:9" x14ac:dyDescent="0.25">
      <c r="I698" s="4"/>
    </row>
    <row r="699" spans="9:9" x14ac:dyDescent="0.25">
      <c r="I699" s="4"/>
    </row>
    <row r="700" spans="9:9" x14ac:dyDescent="0.25">
      <c r="I700" s="4"/>
    </row>
    <row r="701" spans="9:9" x14ac:dyDescent="0.25">
      <c r="I701" s="4"/>
    </row>
    <row r="702" spans="9:9" x14ac:dyDescent="0.25">
      <c r="I702" s="4"/>
    </row>
    <row r="703" spans="9:9" x14ac:dyDescent="0.25">
      <c r="I703" s="4"/>
    </row>
    <row r="704" spans="9:9" x14ac:dyDescent="0.25">
      <c r="I704" s="4"/>
    </row>
    <row r="705" spans="9:9" x14ac:dyDescent="0.25">
      <c r="I705" s="4"/>
    </row>
    <row r="706" spans="9:9" x14ac:dyDescent="0.25">
      <c r="I706" s="4"/>
    </row>
    <row r="707" spans="9:9" x14ac:dyDescent="0.25">
      <c r="I707" s="4"/>
    </row>
    <row r="708" spans="9:9" x14ac:dyDescent="0.25">
      <c r="I708" s="4"/>
    </row>
    <row r="709" spans="9:9" x14ac:dyDescent="0.25">
      <c r="I709" s="4"/>
    </row>
    <row r="710" spans="9:9" x14ac:dyDescent="0.25">
      <c r="I710" s="4"/>
    </row>
    <row r="711" spans="9:9" x14ac:dyDescent="0.25">
      <c r="I711" s="4"/>
    </row>
    <row r="712" spans="9:9" x14ac:dyDescent="0.25">
      <c r="I712" s="4"/>
    </row>
    <row r="713" spans="9:9" x14ac:dyDescent="0.25">
      <c r="I713" s="4"/>
    </row>
    <row r="714" spans="9:9" x14ac:dyDescent="0.25">
      <c r="I714" s="4"/>
    </row>
    <row r="715" spans="9:9" x14ac:dyDescent="0.25">
      <c r="I715" s="4"/>
    </row>
    <row r="716" spans="9:9" x14ac:dyDescent="0.25">
      <c r="I716" s="4"/>
    </row>
    <row r="717" spans="9:9" x14ac:dyDescent="0.25">
      <c r="I717" s="4"/>
    </row>
    <row r="718" spans="9:9" x14ac:dyDescent="0.25">
      <c r="I718" s="4"/>
    </row>
    <row r="719" spans="9:9" x14ac:dyDescent="0.25">
      <c r="I719" s="4"/>
    </row>
    <row r="720" spans="9:9" x14ac:dyDescent="0.25">
      <c r="I720" s="4"/>
    </row>
    <row r="721" spans="9:9" x14ac:dyDescent="0.25">
      <c r="I721" s="4"/>
    </row>
    <row r="722" spans="9:9" x14ac:dyDescent="0.25">
      <c r="I722" s="4"/>
    </row>
    <row r="723" spans="9:9" x14ac:dyDescent="0.25">
      <c r="I723" s="4"/>
    </row>
    <row r="724" spans="9:9" x14ac:dyDescent="0.25">
      <c r="I724" s="4"/>
    </row>
    <row r="725" spans="9:9" x14ac:dyDescent="0.25">
      <c r="I725" s="4"/>
    </row>
    <row r="726" spans="9:9" x14ac:dyDescent="0.25">
      <c r="I726" s="4"/>
    </row>
    <row r="727" spans="9:9" x14ac:dyDescent="0.25">
      <c r="I727" s="4"/>
    </row>
    <row r="728" spans="9:9" x14ac:dyDescent="0.25">
      <c r="I728" s="4"/>
    </row>
    <row r="729" spans="9:9" x14ac:dyDescent="0.25">
      <c r="I729" s="4"/>
    </row>
    <row r="730" spans="9:9" x14ac:dyDescent="0.25">
      <c r="I730" s="4"/>
    </row>
    <row r="731" spans="9:9" x14ac:dyDescent="0.25">
      <c r="I731" s="4"/>
    </row>
    <row r="732" spans="9:9" x14ac:dyDescent="0.25">
      <c r="I732" s="4"/>
    </row>
    <row r="733" spans="9:9" x14ac:dyDescent="0.25">
      <c r="I733" s="4"/>
    </row>
    <row r="734" spans="9:9" x14ac:dyDescent="0.25">
      <c r="I734" s="4"/>
    </row>
    <row r="735" spans="9:9" x14ac:dyDescent="0.25">
      <c r="I735" s="4"/>
    </row>
    <row r="736" spans="9:9" x14ac:dyDescent="0.25">
      <c r="I736" s="4"/>
    </row>
    <row r="737" spans="9:9" x14ac:dyDescent="0.25">
      <c r="I737" s="4"/>
    </row>
    <row r="738" spans="9:9" x14ac:dyDescent="0.25">
      <c r="I738" s="4"/>
    </row>
    <row r="739" spans="9:9" x14ac:dyDescent="0.25">
      <c r="I739" s="4"/>
    </row>
    <row r="740" spans="9:9" x14ac:dyDescent="0.25">
      <c r="I740" s="4"/>
    </row>
    <row r="741" spans="9:9" x14ac:dyDescent="0.25">
      <c r="I741" s="4"/>
    </row>
    <row r="742" spans="9:9" x14ac:dyDescent="0.25">
      <c r="I742" s="4"/>
    </row>
    <row r="743" spans="9:9" x14ac:dyDescent="0.25">
      <c r="I743" s="4"/>
    </row>
    <row r="744" spans="9:9" x14ac:dyDescent="0.25">
      <c r="I744" s="4"/>
    </row>
    <row r="745" spans="9:9" x14ac:dyDescent="0.25">
      <c r="I745" s="4"/>
    </row>
    <row r="746" spans="9:9" x14ac:dyDescent="0.25">
      <c r="I746" s="4"/>
    </row>
    <row r="747" spans="9:9" x14ac:dyDescent="0.25">
      <c r="I747" s="4"/>
    </row>
    <row r="748" spans="9:9" x14ac:dyDescent="0.25">
      <c r="I748" s="4"/>
    </row>
    <row r="749" spans="9:9" x14ac:dyDescent="0.25">
      <c r="I749" s="4"/>
    </row>
    <row r="750" spans="9:9" x14ac:dyDescent="0.25">
      <c r="I750" s="4"/>
    </row>
    <row r="751" spans="9:9" x14ac:dyDescent="0.25">
      <c r="I751" s="4"/>
    </row>
    <row r="752" spans="9:9" x14ac:dyDescent="0.25">
      <c r="I752" s="4"/>
    </row>
    <row r="753" spans="9:9" x14ac:dyDescent="0.25">
      <c r="I753" s="4"/>
    </row>
    <row r="754" spans="9:9" x14ac:dyDescent="0.25">
      <c r="I754" s="4"/>
    </row>
    <row r="755" spans="9:9" x14ac:dyDescent="0.25">
      <c r="I755" s="4"/>
    </row>
    <row r="756" spans="9:9" x14ac:dyDescent="0.25">
      <c r="I756" s="4"/>
    </row>
    <row r="757" spans="9:9" x14ac:dyDescent="0.25">
      <c r="I757" s="4"/>
    </row>
    <row r="758" spans="9:9" x14ac:dyDescent="0.25">
      <c r="I758" s="4"/>
    </row>
    <row r="759" spans="9:9" x14ac:dyDescent="0.25">
      <c r="I759" s="4"/>
    </row>
    <row r="760" spans="9:9" x14ac:dyDescent="0.25">
      <c r="I760" s="4"/>
    </row>
    <row r="761" spans="9:9" x14ac:dyDescent="0.25">
      <c r="I761" s="4"/>
    </row>
    <row r="762" spans="9:9" x14ac:dyDescent="0.25">
      <c r="I762" s="4"/>
    </row>
    <row r="763" spans="9:9" x14ac:dyDescent="0.25">
      <c r="I763" s="4"/>
    </row>
    <row r="764" spans="9:9" x14ac:dyDescent="0.25">
      <c r="I764" s="4"/>
    </row>
    <row r="765" spans="9:9" x14ac:dyDescent="0.25">
      <c r="I765" s="4"/>
    </row>
    <row r="766" spans="9:9" x14ac:dyDescent="0.25">
      <c r="I766" s="4"/>
    </row>
    <row r="767" spans="9:9" x14ac:dyDescent="0.25">
      <c r="I767" s="4"/>
    </row>
    <row r="768" spans="9:9" x14ac:dyDescent="0.25">
      <c r="I768" s="4"/>
    </row>
    <row r="769" spans="9:9" x14ac:dyDescent="0.25">
      <c r="I769" s="4"/>
    </row>
    <row r="770" spans="9:9" x14ac:dyDescent="0.25">
      <c r="I770" s="4"/>
    </row>
    <row r="771" spans="9:9" x14ac:dyDescent="0.25">
      <c r="I771" s="4"/>
    </row>
    <row r="772" spans="9:9" x14ac:dyDescent="0.25">
      <c r="I772" s="4"/>
    </row>
    <row r="773" spans="9:9" x14ac:dyDescent="0.25">
      <c r="I773" s="4"/>
    </row>
    <row r="774" spans="9:9" x14ac:dyDescent="0.25">
      <c r="I774" s="4"/>
    </row>
    <row r="775" spans="9:9" x14ac:dyDescent="0.25">
      <c r="I775" s="4"/>
    </row>
    <row r="776" spans="9:9" x14ac:dyDescent="0.25">
      <c r="I776" s="4"/>
    </row>
    <row r="777" spans="9:9" x14ac:dyDescent="0.25">
      <c r="I777" s="4"/>
    </row>
    <row r="778" spans="9:9" x14ac:dyDescent="0.25">
      <c r="I778" s="4"/>
    </row>
    <row r="779" spans="9:9" x14ac:dyDescent="0.25">
      <c r="I779" s="4"/>
    </row>
    <row r="780" spans="9:9" x14ac:dyDescent="0.25">
      <c r="I780" s="4"/>
    </row>
    <row r="781" spans="9:9" x14ac:dyDescent="0.25">
      <c r="I781" s="4"/>
    </row>
    <row r="782" spans="9:9" x14ac:dyDescent="0.25">
      <c r="I782" s="4"/>
    </row>
    <row r="783" spans="9:9" x14ac:dyDescent="0.25">
      <c r="I783" s="4"/>
    </row>
    <row r="784" spans="9:9" x14ac:dyDescent="0.25">
      <c r="I784" s="4"/>
    </row>
    <row r="785" spans="9:9" x14ac:dyDescent="0.25">
      <c r="I785" s="4"/>
    </row>
    <row r="786" spans="9:9" x14ac:dyDescent="0.25">
      <c r="I786" s="4"/>
    </row>
    <row r="787" spans="9:9" x14ac:dyDescent="0.25">
      <c r="I787" s="4"/>
    </row>
    <row r="788" spans="9:9" x14ac:dyDescent="0.25">
      <c r="I788" s="4"/>
    </row>
    <row r="789" spans="9:9" x14ac:dyDescent="0.25">
      <c r="I789" s="4"/>
    </row>
    <row r="790" spans="9:9" x14ac:dyDescent="0.25">
      <c r="I790" s="4"/>
    </row>
    <row r="791" spans="9:9" x14ac:dyDescent="0.25">
      <c r="I791" s="4"/>
    </row>
    <row r="792" spans="9:9" x14ac:dyDescent="0.25">
      <c r="I792" s="4"/>
    </row>
    <row r="793" spans="9:9" x14ac:dyDescent="0.25">
      <c r="I793" s="4"/>
    </row>
    <row r="794" spans="9:9" x14ac:dyDescent="0.25">
      <c r="I794" s="4"/>
    </row>
    <row r="795" spans="9:9" x14ac:dyDescent="0.25">
      <c r="I795" s="4"/>
    </row>
    <row r="796" spans="9:9" x14ac:dyDescent="0.25">
      <c r="I796" s="4"/>
    </row>
    <row r="797" spans="9:9" x14ac:dyDescent="0.25">
      <c r="I797" s="4"/>
    </row>
    <row r="798" spans="9:9" x14ac:dyDescent="0.25">
      <c r="I798" s="4"/>
    </row>
    <row r="799" spans="9:9" x14ac:dyDescent="0.25">
      <c r="I799" s="4"/>
    </row>
    <row r="800" spans="9:9" x14ac:dyDescent="0.25">
      <c r="I800" s="4"/>
    </row>
    <row r="801" spans="9:9" x14ac:dyDescent="0.25">
      <c r="I801" s="4"/>
    </row>
    <row r="802" spans="9:9" x14ac:dyDescent="0.25">
      <c r="I802" s="4"/>
    </row>
    <row r="803" spans="9:9" x14ac:dyDescent="0.25">
      <c r="I803" s="4"/>
    </row>
    <row r="804" spans="9:9" x14ac:dyDescent="0.25">
      <c r="I804" s="4"/>
    </row>
    <row r="805" spans="9:9" x14ac:dyDescent="0.25">
      <c r="I805" s="4"/>
    </row>
    <row r="806" spans="9:9" x14ac:dyDescent="0.25">
      <c r="I806" s="4"/>
    </row>
    <row r="807" spans="9:9" x14ac:dyDescent="0.25">
      <c r="I807" s="4"/>
    </row>
    <row r="808" spans="9:9" x14ac:dyDescent="0.25">
      <c r="I808" s="4"/>
    </row>
    <row r="809" spans="9:9" x14ac:dyDescent="0.25">
      <c r="I809" s="4"/>
    </row>
    <row r="810" spans="9:9" x14ac:dyDescent="0.25">
      <c r="I810" s="4"/>
    </row>
    <row r="811" spans="9:9" x14ac:dyDescent="0.25">
      <c r="I811" s="4"/>
    </row>
    <row r="812" spans="9:9" x14ac:dyDescent="0.25">
      <c r="I812" s="4"/>
    </row>
    <row r="813" spans="9:9" x14ac:dyDescent="0.25">
      <c r="I813" s="4"/>
    </row>
    <row r="814" spans="9:9" x14ac:dyDescent="0.25">
      <c r="I814" s="4"/>
    </row>
    <row r="815" spans="9:9" x14ac:dyDescent="0.25">
      <c r="I815" s="4"/>
    </row>
    <row r="816" spans="9:9" x14ac:dyDescent="0.25">
      <c r="I816" s="4"/>
    </row>
    <row r="817" spans="9:9" x14ac:dyDescent="0.25">
      <c r="I817" s="4"/>
    </row>
    <row r="818" spans="9:9" x14ac:dyDescent="0.25">
      <c r="I818" s="4"/>
    </row>
    <row r="819" spans="9:9" x14ac:dyDescent="0.25">
      <c r="I819" s="4"/>
    </row>
    <row r="820" spans="9:9" x14ac:dyDescent="0.25">
      <c r="I820" s="4"/>
    </row>
    <row r="821" spans="9:9" x14ac:dyDescent="0.25">
      <c r="I821" s="4"/>
    </row>
    <row r="822" spans="9:9" x14ac:dyDescent="0.25">
      <c r="I822" s="4"/>
    </row>
    <row r="823" spans="9:9" x14ac:dyDescent="0.25">
      <c r="I823" s="4"/>
    </row>
    <row r="824" spans="9:9" x14ac:dyDescent="0.25">
      <c r="I824" s="4"/>
    </row>
    <row r="825" spans="9:9" x14ac:dyDescent="0.25">
      <c r="I825" s="4"/>
    </row>
    <row r="826" spans="9:9" x14ac:dyDescent="0.25">
      <c r="I826" s="4"/>
    </row>
    <row r="827" spans="9:9" x14ac:dyDescent="0.25">
      <c r="I827" s="4"/>
    </row>
    <row r="828" spans="9:9" x14ac:dyDescent="0.25">
      <c r="I828" s="4"/>
    </row>
    <row r="829" spans="9:9" x14ac:dyDescent="0.25">
      <c r="I829" s="4"/>
    </row>
    <row r="830" spans="9:9" x14ac:dyDescent="0.25">
      <c r="I830" s="4"/>
    </row>
    <row r="831" spans="9:9" x14ac:dyDescent="0.25">
      <c r="I831" s="4"/>
    </row>
    <row r="832" spans="9:9" x14ac:dyDescent="0.25">
      <c r="I832" s="4"/>
    </row>
    <row r="833" spans="9:9" x14ac:dyDescent="0.25">
      <c r="I833" s="4"/>
    </row>
    <row r="834" spans="9:9" x14ac:dyDescent="0.25">
      <c r="I834" s="4"/>
    </row>
    <row r="835" spans="9:9" x14ac:dyDescent="0.25">
      <c r="I835" s="4"/>
    </row>
    <row r="836" spans="9:9" x14ac:dyDescent="0.25">
      <c r="I836" s="4"/>
    </row>
    <row r="837" spans="9:9" x14ac:dyDescent="0.25">
      <c r="I837" s="4"/>
    </row>
    <row r="838" spans="9:9" x14ac:dyDescent="0.25">
      <c r="I838" s="4"/>
    </row>
    <row r="839" spans="9:9" x14ac:dyDescent="0.25">
      <c r="I839" s="4"/>
    </row>
    <row r="840" spans="9:9" x14ac:dyDescent="0.25">
      <c r="I840" s="4"/>
    </row>
    <row r="841" spans="9:9" x14ac:dyDescent="0.25">
      <c r="I841" s="4"/>
    </row>
    <row r="842" spans="9:9" x14ac:dyDescent="0.25">
      <c r="I842" s="4"/>
    </row>
    <row r="843" spans="9:9" x14ac:dyDescent="0.25">
      <c r="I843" s="4"/>
    </row>
    <row r="844" spans="9:9" x14ac:dyDescent="0.25">
      <c r="I844" s="4"/>
    </row>
    <row r="845" spans="9:9" x14ac:dyDescent="0.25">
      <c r="I845" s="4"/>
    </row>
    <row r="846" spans="9:9" x14ac:dyDescent="0.25">
      <c r="I846" s="4"/>
    </row>
    <row r="847" spans="9:9" x14ac:dyDescent="0.25">
      <c r="I847" s="4"/>
    </row>
    <row r="848" spans="9:9" x14ac:dyDescent="0.25">
      <c r="I848" s="4"/>
    </row>
    <row r="849" spans="9:9" x14ac:dyDescent="0.25">
      <c r="I849" s="4"/>
    </row>
    <row r="850" spans="9:9" x14ac:dyDescent="0.25">
      <c r="I850" s="4"/>
    </row>
    <row r="851" spans="9:9" x14ac:dyDescent="0.25">
      <c r="I851" s="4"/>
    </row>
    <row r="852" spans="9:9" x14ac:dyDescent="0.25">
      <c r="I852" s="4"/>
    </row>
    <row r="853" spans="9:9" x14ac:dyDescent="0.25">
      <c r="I853" s="4"/>
    </row>
    <row r="854" spans="9:9" x14ac:dyDescent="0.25">
      <c r="I854" s="4"/>
    </row>
    <row r="855" spans="9:9" x14ac:dyDescent="0.25">
      <c r="I855" s="4"/>
    </row>
    <row r="856" spans="9:9" x14ac:dyDescent="0.25">
      <c r="I856" s="4"/>
    </row>
    <row r="857" spans="9:9" x14ac:dyDescent="0.25">
      <c r="I857" s="4"/>
    </row>
    <row r="858" spans="9:9" x14ac:dyDescent="0.25">
      <c r="I858" s="4"/>
    </row>
    <row r="859" spans="9:9" x14ac:dyDescent="0.25">
      <c r="I859" s="4"/>
    </row>
    <row r="860" spans="9:9" x14ac:dyDescent="0.25">
      <c r="I860" s="4"/>
    </row>
    <row r="861" spans="9:9" x14ac:dyDescent="0.25">
      <c r="I861" s="4"/>
    </row>
    <row r="862" spans="9:9" x14ac:dyDescent="0.25">
      <c r="I862" s="4"/>
    </row>
    <row r="863" spans="9:9" x14ac:dyDescent="0.25">
      <c r="I863" s="4"/>
    </row>
    <row r="864" spans="9:9" x14ac:dyDescent="0.25">
      <c r="I864" s="4"/>
    </row>
    <row r="865" spans="9:9" x14ac:dyDescent="0.25">
      <c r="I865" s="4"/>
    </row>
    <row r="866" spans="9:9" x14ac:dyDescent="0.25">
      <c r="I866" s="4"/>
    </row>
    <row r="867" spans="9:9" x14ac:dyDescent="0.25">
      <c r="I867" s="4"/>
    </row>
    <row r="868" spans="9:9" x14ac:dyDescent="0.25">
      <c r="I868" s="4"/>
    </row>
    <row r="869" spans="9:9" x14ac:dyDescent="0.25">
      <c r="I869" s="4"/>
    </row>
    <row r="870" spans="9:9" x14ac:dyDescent="0.25">
      <c r="I870" s="4"/>
    </row>
    <row r="871" spans="9:9" x14ac:dyDescent="0.25">
      <c r="I871" s="4"/>
    </row>
    <row r="872" spans="9:9" x14ac:dyDescent="0.25">
      <c r="I872" s="4"/>
    </row>
    <row r="873" spans="9:9" x14ac:dyDescent="0.25">
      <c r="I873" s="4"/>
    </row>
    <row r="874" spans="9:9" x14ac:dyDescent="0.25">
      <c r="I874" s="4"/>
    </row>
    <row r="875" spans="9:9" x14ac:dyDescent="0.25">
      <c r="I875" s="4"/>
    </row>
    <row r="876" spans="9:9" x14ac:dyDescent="0.25">
      <c r="I876" s="4"/>
    </row>
    <row r="877" spans="9:9" x14ac:dyDescent="0.25">
      <c r="I877" s="4"/>
    </row>
    <row r="878" spans="9:9" x14ac:dyDescent="0.25">
      <c r="I878" s="4"/>
    </row>
    <row r="879" spans="9:9" x14ac:dyDescent="0.25">
      <c r="I879" s="4"/>
    </row>
    <row r="880" spans="9:9" x14ac:dyDescent="0.25">
      <c r="I880" s="4"/>
    </row>
    <row r="881" spans="9:9" x14ac:dyDescent="0.25">
      <c r="I881" s="4"/>
    </row>
    <row r="882" spans="9:9" x14ac:dyDescent="0.25">
      <c r="I882" s="4"/>
    </row>
    <row r="883" spans="9:9" x14ac:dyDescent="0.25">
      <c r="I883" s="4"/>
    </row>
    <row r="884" spans="9:9" x14ac:dyDescent="0.25">
      <c r="I884" s="4"/>
    </row>
    <row r="885" spans="9:9" x14ac:dyDescent="0.25">
      <c r="I885" s="4"/>
    </row>
    <row r="886" spans="9:9" x14ac:dyDescent="0.25">
      <c r="I886" s="4"/>
    </row>
    <row r="887" spans="9:9" x14ac:dyDescent="0.25">
      <c r="I887" s="4"/>
    </row>
    <row r="888" spans="9:9" x14ac:dyDescent="0.25">
      <c r="I888" s="4"/>
    </row>
    <row r="889" spans="9:9" x14ac:dyDescent="0.25">
      <c r="I889" s="4"/>
    </row>
    <row r="890" spans="9:9" x14ac:dyDescent="0.25">
      <c r="I890" s="4"/>
    </row>
    <row r="891" spans="9:9" x14ac:dyDescent="0.25">
      <c r="I891" s="4"/>
    </row>
    <row r="892" spans="9:9" x14ac:dyDescent="0.25">
      <c r="I892" s="4"/>
    </row>
    <row r="893" spans="9:9" x14ac:dyDescent="0.25">
      <c r="I893" s="4"/>
    </row>
    <row r="894" spans="9:9" x14ac:dyDescent="0.25">
      <c r="I894" s="4"/>
    </row>
    <row r="895" spans="9:9" x14ac:dyDescent="0.25">
      <c r="I895" s="4"/>
    </row>
    <row r="896" spans="9:9" x14ac:dyDescent="0.25">
      <c r="I896" s="4"/>
    </row>
    <row r="897" spans="9:9" x14ac:dyDescent="0.25">
      <c r="I897" s="4"/>
    </row>
    <row r="898" spans="9:9" x14ac:dyDescent="0.25">
      <c r="I898" s="4"/>
    </row>
    <row r="899" spans="9:9" x14ac:dyDescent="0.25">
      <c r="I899" s="4"/>
    </row>
    <row r="900" spans="9:9" x14ac:dyDescent="0.25">
      <c r="I900" s="4"/>
    </row>
    <row r="901" spans="9:9" x14ac:dyDescent="0.25">
      <c r="I901" s="4"/>
    </row>
    <row r="902" spans="9:9" x14ac:dyDescent="0.25">
      <c r="I902" s="4"/>
    </row>
    <row r="903" spans="9:9" x14ac:dyDescent="0.25">
      <c r="I903" s="4"/>
    </row>
    <row r="904" spans="9:9" x14ac:dyDescent="0.25">
      <c r="I904" s="4"/>
    </row>
    <row r="905" spans="9:9" x14ac:dyDescent="0.25">
      <c r="I905" s="4"/>
    </row>
    <row r="906" spans="9:9" x14ac:dyDescent="0.25">
      <c r="I906" s="4"/>
    </row>
    <row r="907" spans="9:9" x14ac:dyDescent="0.25">
      <c r="I907" s="4"/>
    </row>
    <row r="908" spans="9:9" x14ac:dyDescent="0.25">
      <c r="I908" s="4"/>
    </row>
    <row r="909" spans="9:9" x14ac:dyDescent="0.25">
      <c r="I909" s="4"/>
    </row>
    <row r="910" spans="9:9" x14ac:dyDescent="0.25">
      <c r="I910" s="4"/>
    </row>
    <row r="911" spans="9:9" x14ac:dyDescent="0.25">
      <c r="I911" s="4"/>
    </row>
    <row r="912" spans="9:9" x14ac:dyDescent="0.25">
      <c r="I912" s="4"/>
    </row>
    <row r="913" spans="9:9" x14ac:dyDescent="0.25">
      <c r="I913" s="4"/>
    </row>
    <row r="914" spans="9:9" x14ac:dyDescent="0.25">
      <c r="I914" s="4"/>
    </row>
    <row r="915" spans="9:9" x14ac:dyDescent="0.25">
      <c r="I915" s="4"/>
    </row>
    <row r="916" spans="9:9" x14ac:dyDescent="0.25">
      <c r="I916" s="4"/>
    </row>
    <row r="917" spans="9:9" x14ac:dyDescent="0.25">
      <c r="I917" s="4"/>
    </row>
    <row r="918" spans="9:9" x14ac:dyDescent="0.25">
      <c r="I918" s="4"/>
    </row>
    <row r="919" spans="9:9" x14ac:dyDescent="0.25">
      <c r="I919" s="4"/>
    </row>
    <row r="920" spans="9:9" x14ac:dyDescent="0.25">
      <c r="I920" s="4"/>
    </row>
    <row r="921" spans="9:9" x14ac:dyDescent="0.25">
      <c r="I921" s="4"/>
    </row>
    <row r="922" spans="9:9" x14ac:dyDescent="0.25">
      <c r="I922" s="4"/>
    </row>
    <row r="923" spans="9:9" x14ac:dyDescent="0.25">
      <c r="I923" s="4"/>
    </row>
    <row r="924" spans="9:9" x14ac:dyDescent="0.25">
      <c r="I924" s="4"/>
    </row>
    <row r="925" spans="9:9" x14ac:dyDescent="0.25">
      <c r="I925" s="4"/>
    </row>
    <row r="926" spans="9:9" x14ac:dyDescent="0.25">
      <c r="I926" s="4"/>
    </row>
    <row r="927" spans="9:9" x14ac:dyDescent="0.25">
      <c r="I927" s="4"/>
    </row>
    <row r="928" spans="9:9" x14ac:dyDescent="0.25">
      <c r="I928" s="4"/>
    </row>
    <row r="929" spans="9:9" x14ac:dyDescent="0.25">
      <c r="I929" s="4"/>
    </row>
    <row r="930" spans="9:9" x14ac:dyDescent="0.25">
      <c r="I930" s="4"/>
    </row>
    <row r="931" spans="9:9" x14ac:dyDescent="0.25">
      <c r="I931" s="4"/>
    </row>
    <row r="932" spans="9:9" x14ac:dyDescent="0.25">
      <c r="I932" s="4"/>
    </row>
    <row r="933" spans="9:9" x14ac:dyDescent="0.25">
      <c r="I933" s="4"/>
    </row>
    <row r="934" spans="9:9" x14ac:dyDescent="0.25">
      <c r="I934" s="4"/>
    </row>
    <row r="935" spans="9:9" x14ac:dyDescent="0.25">
      <c r="I935" s="4"/>
    </row>
    <row r="936" spans="9:9" x14ac:dyDescent="0.25">
      <c r="I936" s="4"/>
    </row>
    <row r="937" spans="9:9" x14ac:dyDescent="0.25">
      <c r="I937" s="4"/>
    </row>
    <row r="938" spans="9:9" x14ac:dyDescent="0.25">
      <c r="I938" s="4"/>
    </row>
    <row r="939" spans="9:9" x14ac:dyDescent="0.25">
      <c r="I939" s="4"/>
    </row>
    <row r="940" spans="9:9" x14ac:dyDescent="0.25">
      <c r="I940" s="4"/>
    </row>
    <row r="941" spans="9:9" x14ac:dyDescent="0.25">
      <c r="I941" s="4"/>
    </row>
    <row r="942" spans="9:9" x14ac:dyDescent="0.25">
      <c r="I942" s="4"/>
    </row>
    <row r="943" spans="9:9" x14ac:dyDescent="0.25">
      <c r="I943" s="4"/>
    </row>
    <row r="944" spans="9:9" x14ac:dyDescent="0.25">
      <c r="I944" s="4"/>
    </row>
    <row r="945" spans="9:9" x14ac:dyDescent="0.25">
      <c r="I945" s="4"/>
    </row>
    <row r="946" spans="9:9" x14ac:dyDescent="0.25">
      <c r="I946" s="4"/>
    </row>
    <row r="947" spans="9:9" x14ac:dyDescent="0.25">
      <c r="I947" s="4"/>
    </row>
    <row r="948" spans="9:9" x14ac:dyDescent="0.25">
      <c r="I948" s="4"/>
    </row>
    <row r="949" spans="9:9" x14ac:dyDescent="0.25">
      <c r="I949" s="4"/>
    </row>
    <row r="950" spans="9:9" x14ac:dyDescent="0.25">
      <c r="I950" s="4"/>
    </row>
    <row r="951" spans="9:9" x14ac:dyDescent="0.25">
      <c r="I951" s="4"/>
    </row>
    <row r="952" spans="9:9" x14ac:dyDescent="0.25">
      <c r="I952" s="4"/>
    </row>
    <row r="953" spans="9:9" x14ac:dyDescent="0.25">
      <c r="I953" s="4"/>
    </row>
    <row r="954" spans="9:9" x14ac:dyDescent="0.25">
      <c r="I954" s="4"/>
    </row>
    <row r="955" spans="9:9" x14ac:dyDescent="0.25">
      <c r="I955" s="4"/>
    </row>
    <row r="956" spans="9:9" x14ac:dyDescent="0.25">
      <c r="I956" s="4"/>
    </row>
    <row r="957" spans="9:9" x14ac:dyDescent="0.25">
      <c r="I957" s="4"/>
    </row>
    <row r="958" spans="9:9" x14ac:dyDescent="0.25">
      <c r="I958" s="4"/>
    </row>
    <row r="959" spans="9:9" x14ac:dyDescent="0.25">
      <c r="I959" s="4"/>
    </row>
    <row r="960" spans="9:9" x14ac:dyDescent="0.25">
      <c r="I960" s="4"/>
    </row>
    <row r="961" spans="9:9" x14ac:dyDescent="0.25">
      <c r="I961" s="4"/>
    </row>
    <row r="962" spans="9:9" x14ac:dyDescent="0.25">
      <c r="I962" s="4"/>
    </row>
    <row r="963" spans="9:9" x14ac:dyDescent="0.25">
      <c r="I963" s="4"/>
    </row>
    <row r="964" spans="9:9" x14ac:dyDescent="0.25">
      <c r="I964" s="4"/>
    </row>
    <row r="965" spans="9:9" x14ac:dyDescent="0.25">
      <c r="I965" s="4"/>
    </row>
    <row r="966" spans="9:9" x14ac:dyDescent="0.25">
      <c r="I966" s="4"/>
    </row>
    <row r="967" spans="9:9" x14ac:dyDescent="0.25">
      <c r="I967" s="4"/>
    </row>
    <row r="968" spans="9:9" x14ac:dyDescent="0.25">
      <c r="I968" s="4"/>
    </row>
    <row r="969" spans="9:9" x14ac:dyDescent="0.25">
      <c r="I969" s="4"/>
    </row>
    <row r="970" spans="9:9" x14ac:dyDescent="0.25">
      <c r="I970" s="4"/>
    </row>
    <row r="971" spans="9:9" x14ac:dyDescent="0.25">
      <c r="I971" s="4"/>
    </row>
    <row r="972" spans="9:9" x14ac:dyDescent="0.25">
      <c r="I972" s="4"/>
    </row>
    <row r="973" spans="9:9" x14ac:dyDescent="0.25">
      <c r="I973" s="4"/>
    </row>
    <row r="974" spans="9:9" x14ac:dyDescent="0.25">
      <c r="I974" s="4"/>
    </row>
    <row r="975" spans="9:9" x14ac:dyDescent="0.25">
      <c r="I975" s="4"/>
    </row>
    <row r="976" spans="9:9" x14ac:dyDescent="0.25">
      <c r="I976" s="4"/>
    </row>
    <row r="977" spans="9:9" x14ac:dyDescent="0.25">
      <c r="I977" s="4"/>
    </row>
    <row r="978" spans="9:9" x14ac:dyDescent="0.25">
      <c r="I978" s="4"/>
    </row>
    <row r="979" spans="9:9" x14ac:dyDescent="0.25">
      <c r="I979" s="4"/>
    </row>
    <row r="980" spans="9:9" x14ac:dyDescent="0.25">
      <c r="I980" s="4"/>
    </row>
    <row r="981" spans="9:9" x14ac:dyDescent="0.25">
      <c r="I981" s="4"/>
    </row>
    <row r="982" spans="9:9" x14ac:dyDescent="0.25">
      <c r="I982" s="4"/>
    </row>
    <row r="983" spans="9:9" x14ac:dyDescent="0.25">
      <c r="I983" s="4"/>
    </row>
    <row r="984" spans="9:9" x14ac:dyDescent="0.25">
      <c r="I984" s="4"/>
    </row>
    <row r="985" spans="9:9" x14ac:dyDescent="0.25">
      <c r="I985" s="4"/>
    </row>
    <row r="986" spans="9:9" x14ac:dyDescent="0.25">
      <c r="I986" s="4"/>
    </row>
    <row r="987" spans="9:9" x14ac:dyDescent="0.25">
      <c r="I987" s="4"/>
    </row>
    <row r="988" spans="9:9" x14ac:dyDescent="0.25">
      <c r="I988" s="4"/>
    </row>
    <row r="989" spans="9:9" x14ac:dyDescent="0.25">
      <c r="I989" s="4"/>
    </row>
    <row r="990" spans="9:9" x14ac:dyDescent="0.25">
      <c r="I990" s="4"/>
    </row>
    <row r="991" spans="9:9" x14ac:dyDescent="0.25">
      <c r="I991" s="4"/>
    </row>
    <row r="992" spans="9:9" x14ac:dyDescent="0.25">
      <c r="I992" s="4"/>
    </row>
    <row r="993" spans="9:9" x14ac:dyDescent="0.25">
      <c r="I993" s="4"/>
    </row>
    <row r="994" spans="9:9" x14ac:dyDescent="0.25">
      <c r="I994" s="4"/>
    </row>
    <row r="995" spans="9:9" x14ac:dyDescent="0.25">
      <c r="I995" s="4"/>
    </row>
    <row r="996" spans="9:9" x14ac:dyDescent="0.25">
      <c r="I996" s="4"/>
    </row>
    <row r="997" spans="9:9" x14ac:dyDescent="0.25">
      <c r="I997" s="4"/>
    </row>
    <row r="998" spans="9:9" x14ac:dyDescent="0.25">
      <c r="I998" s="4"/>
    </row>
    <row r="999" spans="9:9" x14ac:dyDescent="0.25">
      <c r="I999" s="4"/>
    </row>
    <row r="1000" spans="9:9" x14ac:dyDescent="0.25">
      <c r="I1000" s="4"/>
    </row>
    <row r="1001" spans="9:9" x14ac:dyDescent="0.25">
      <c r="I1001" s="4"/>
    </row>
    <row r="1002" spans="9:9" x14ac:dyDescent="0.25">
      <c r="I1002" s="4"/>
    </row>
    <row r="1003" spans="9:9" x14ac:dyDescent="0.25">
      <c r="I1003" s="4"/>
    </row>
    <row r="1004" spans="9:9" x14ac:dyDescent="0.25">
      <c r="I1004" s="4"/>
    </row>
    <row r="1005" spans="9:9" x14ac:dyDescent="0.25">
      <c r="I1005" s="4"/>
    </row>
    <row r="1006" spans="9:9" x14ac:dyDescent="0.25">
      <c r="I1006" s="4"/>
    </row>
    <row r="1007" spans="9:9" x14ac:dyDescent="0.25">
      <c r="I1007" s="4"/>
    </row>
    <row r="1008" spans="9:9" x14ac:dyDescent="0.25">
      <c r="I1008" s="4"/>
    </row>
    <row r="1009" spans="9:9" x14ac:dyDescent="0.25">
      <c r="I1009" s="4"/>
    </row>
    <row r="1010" spans="9:9" x14ac:dyDescent="0.25">
      <c r="I1010" s="4"/>
    </row>
    <row r="1011" spans="9:9" x14ac:dyDescent="0.25">
      <c r="I1011" s="4"/>
    </row>
    <row r="1012" spans="9:9" x14ac:dyDescent="0.25">
      <c r="I1012" s="4"/>
    </row>
    <row r="1013" spans="9:9" x14ac:dyDescent="0.25">
      <c r="I1013" s="4"/>
    </row>
    <row r="1014" spans="9:9" x14ac:dyDescent="0.25">
      <c r="I1014" s="4"/>
    </row>
    <row r="1015" spans="9:9" x14ac:dyDescent="0.25">
      <c r="I1015" s="4"/>
    </row>
    <row r="1016" spans="9:9" x14ac:dyDescent="0.25">
      <c r="I1016" s="4"/>
    </row>
    <row r="1017" spans="9:9" x14ac:dyDescent="0.25">
      <c r="I1017" s="4"/>
    </row>
    <row r="1018" spans="9:9" x14ac:dyDescent="0.25">
      <c r="I1018" s="4"/>
    </row>
    <row r="1019" spans="9:9" x14ac:dyDescent="0.25">
      <c r="I1019" s="4"/>
    </row>
    <row r="1020" spans="9:9" x14ac:dyDescent="0.25">
      <c r="I1020" s="4"/>
    </row>
    <row r="1021" spans="9:9" x14ac:dyDescent="0.25">
      <c r="I1021" s="4"/>
    </row>
    <row r="1022" spans="9:9" x14ac:dyDescent="0.25">
      <c r="I1022" s="4"/>
    </row>
    <row r="1023" spans="9:9" x14ac:dyDescent="0.25">
      <c r="I1023" s="4"/>
    </row>
    <row r="1024" spans="9:9" x14ac:dyDescent="0.25">
      <c r="I1024" s="4"/>
    </row>
    <row r="1025" spans="9:9" x14ac:dyDescent="0.25">
      <c r="I1025" s="4"/>
    </row>
    <row r="1026" spans="9:9" x14ac:dyDescent="0.25">
      <c r="I1026" s="4"/>
    </row>
    <row r="1027" spans="9:9" x14ac:dyDescent="0.25">
      <c r="I1027" s="4"/>
    </row>
    <row r="1028" spans="9:9" x14ac:dyDescent="0.25">
      <c r="I1028" s="4"/>
    </row>
    <row r="1029" spans="9:9" x14ac:dyDescent="0.25">
      <c r="I1029" s="4"/>
    </row>
    <row r="1030" spans="9:9" x14ac:dyDescent="0.25">
      <c r="I1030" s="4"/>
    </row>
    <row r="1031" spans="9:9" x14ac:dyDescent="0.25">
      <c r="I1031" s="4"/>
    </row>
    <row r="1032" spans="9:9" x14ac:dyDescent="0.25">
      <c r="I1032" s="4"/>
    </row>
    <row r="1033" spans="9:9" x14ac:dyDescent="0.25">
      <c r="I1033" s="4"/>
    </row>
    <row r="1034" spans="9:9" x14ac:dyDescent="0.25">
      <c r="I1034" s="4"/>
    </row>
    <row r="1035" spans="9:9" x14ac:dyDescent="0.25">
      <c r="I1035" s="4"/>
    </row>
    <row r="1036" spans="9:9" x14ac:dyDescent="0.25">
      <c r="I1036" s="4"/>
    </row>
    <row r="1037" spans="9:9" x14ac:dyDescent="0.25">
      <c r="I1037" s="4"/>
    </row>
    <row r="1038" spans="9:9" x14ac:dyDescent="0.25">
      <c r="I1038" s="4"/>
    </row>
    <row r="1039" spans="9:9" x14ac:dyDescent="0.25">
      <c r="I1039" s="4"/>
    </row>
    <row r="1040" spans="9:9" x14ac:dyDescent="0.25">
      <c r="I1040" s="4"/>
    </row>
    <row r="1041" spans="9:9" x14ac:dyDescent="0.25">
      <c r="I1041" s="4"/>
    </row>
    <row r="1042" spans="9:9" x14ac:dyDescent="0.25">
      <c r="I1042" s="4"/>
    </row>
    <row r="1043" spans="9:9" x14ac:dyDescent="0.25">
      <c r="I1043" s="4"/>
    </row>
    <row r="1044" spans="9:9" x14ac:dyDescent="0.25">
      <c r="I1044" s="4"/>
    </row>
    <row r="1045" spans="9:9" x14ac:dyDescent="0.25">
      <c r="I1045" s="4"/>
    </row>
    <row r="1046" spans="9:9" x14ac:dyDescent="0.25">
      <c r="I1046" s="4"/>
    </row>
    <row r="1047" spans="9:9" x14ac:dyDescent="0.25">
      <c r="I1047" s="4"/>
    </row>
    <row r="1048" spans="9:9" x14ac:dyDescent="0.25">
      <c r="I1048" s="4"/>
    </row>
    <row r="1049" spans="9:9" x14ac:dyDescent="0.25">
      <c r="I1049" s="4"/>
    </row>
    <row r="1050" spans="9:9" x14ac:dyDescent="0.25">
      <c r="I1050" s="4"/>
    </row>
    <row r="1051" spans="9:9" x14ac:dyDescent="0.25">
      <c r="I1051" s="4"/>
    </row>
    <row r="1052" spans="9:9" x14ac:dyDescent="0.25">
      <c r="I1052" s="4"/>
    </row>
    <row r="1053" spans="9:9" x14ac:dyDescent="0.25">
      <c r="I1053" s="4"/>
    </row>
    <row r="1054" spans="9:9" x14ac:dyDescent="0.25">
      <c r="I1054" s="4"/>
    </row>
    <row r="1055" spans="9:9" x14ac:dyDescent="0.25">
      <c r="I1055" s="4"/>
    </row>
    <row r="1056" spans="9:9" x14ac:dyDescent="0.25">
      <c r="I1056" s="4"/>
    </row>
    <row r="1057" spans="9:9" x14ac:dyDescent="0.25">
      <c r="I1057" s="4"/>
    </row>
    <row r="1058" spans="9:9" x14ac:dyDescent="0.25">
      <c r="I1058" s="4"/>
    </row>
    <row r="1059" spans="9:9" x14ac:dyDescent="0.25">
      <c r="I1059" s="4"/>
    </row>
    <row r="1060" spans="9:9" x14ac:dyDescent="0.25">
      <c r="I1060" s="4"/>
    </row>
    <row r="1061" spans="9:9" x14ac:dyDescent="0.25">
      <c r="I1061" s="4"/>
    </row>
    <row r="1062" spans="9:9" x14ac:dyDescent="0.25">
      <c r="I1062" s="4"/>
    </row>
    <row r="1063" spans="9:9" x14ac:dyDescent="0.25">
      <c r="I1063" s="4"/>
    </row>
    <row r="1064" spans="9:9" x14ac:dyDescent="0.25">
      <c r="I1064" s="4"/>
    </row>
    <row r="1065" spans="9:9" x14ac:dyDescent="0.25">
      <c r="I1065" s="4"/>
    </row>
    <row r="1066" spans="9:9" x14ac:dyDescent="0.25">
      <c r="I1066" s="4"/>
    </row>
    <row r="1067" spans="9:9" x14ac:dyDescent="0.25">
      <c r="I1067" s="4"/>
    </row>
    <row r="1068" spans="9:9" x14ac:dyDescent="0.25">
      <c r="I1068" s="4"/>
    </row>
    <row r="1069" spans="9:9" x14ac:dyDescent="0.25">
      <c r="I1069" s="4"/>
    </row>
    <row r="1070" spans="9:9" x14ac:dyDescent="0.25">
      <c r="I1070" s="4"/>
    </row>
    <row r="1071" spans="9:9" x14ac:dyDescent="0.25">
      <c r="I1071" s="4"/>
    </row>
    <row r="1072" spans="9:9" x14ac:dyDescent="0.25">
      <c r="I1072" s="4"/>
    </row>
    <row r="1073" spans="9:9" x14ac:dyDescent="0.25">
      <c r="I1073" s="4"/>
    </row>
    <row r="1074" spans="9:9" x14ac:dyDescent="0.25">
      <c r="I1074" s="4"/>
    </row>
    <row r="1075" spans="9:9" x14ac:dyDescent="0.25">
      <c r="I1075" s="4"/>
    </row>
    <row r="1076" spans="9:9" x14ac:dyDescent="0.25">
      <c r="I1076" s="4"/>
    </row>
    <row r="1077" spans="9:9" x14ac:dyDescent="0.25">
      <c r="I1077" s="4"/>
    </row>
    <row r="1078" spans="9:9" x14ac:dyDescent="0.25">
      <c r="I1078" s="4"/>
    </row>
    <row r="1079" spans="9:9" x14ac:dyDescent="0.25">
      <c r="I1079" s="4"/>
    </row>
    <row r="1080" spans="9:9" x14ac:dyDescent="0.25">
      <c r="I1080" s="4"/>
    </row>
    <row r="1081" spans="9:9" x14ac:dyDescent="0.25">
      <c r="I1081" s="4"/>
    </row>
    <row r="1082" spans="9:9" x14ac:dyDescent="0.25">
      <c r="I1082" s="4"/>
    </row>
    <row r="1083" spans="9:9" x14ac:dyDescent="0.25">
      <c r="I1083" s="4"/>
    </row>
    <row r="1084" spans="9:9" x14ac:dyDescent="0.25">
      <c r="I1084" s="4"/>
    </row>
    <row r="1085" spans="9:9" x14ac:dyDescent="0.25">
      <c r="I1085" s="4"/>
    </row>
    <row r="1086" spans="9:9" x14ac:dyDescent="0.25">
      <c r="I1086" s="4"/>
    </row>
    <row r="1087" spans="9:9" x14ac:dyDescent="0.25">
      <c r="I1087" s="4"/>
    </row>
    <row r="1088" spans="9:9" x14ac:dyDescent="0.25">
      <c r="I1088" s="4"/>
    </row>
    <row r="1089" spans="9:9" x14ac:dyDescent="0.25">
      <c r="I1089" s="4"/>
    </row>
    <row r="1090" spans="9:9" x14ac:dyDescent="0.25">
      <c r="I1090" s="4"/>
    </row>
    <row r="1091" spans="9:9" x14ac:dyDescent="0.25">
      <c r="I1091" s="4"/>
    </row>
    <row r="1092" spans="9:9" x14ac:dyDescent="0.25">
      <c r="I1092" s="4"/>
    </row>
    <row r="1093" spans="9:9" x14ac:dyDescent="0.25">
      <c r="I1093" s="4"/>
    </row>
    <row r="1094" spans="9:9" x14ac:dyDescent="0.25">
      <c r="I1094" s="4"/>
    </row>
    <row r="1095" spans="9:9" x14ac:dyDescent="0.25">
      <c r="I1095" s="4"/>
    </row>
    <row r="1096" spans="9:9" x14ac:dyDescent="0.25">
      <c r="I1096" s="4"/>
    </row>
    <row r="1097" spans="9:9" x14ac:dyDescent="0.25">
      <c r="I1097" s="4"/>
    </row>
    <row r="1098" spans="9:9" x14ac:dyDescent="0.25">
      <c r="I1098" s="4"/>
    </row>
    <row r="1099" spans="9:9" x14ac:dyDescent="0.25">
      <c r="I1099" s="4"/>
    </row>
    <row r="1100" spans="9:9" x14ac:dyDescent="0.25">
      <c r="I1100" s="4"/>
    </row>
    <row r="1101" spans="9:9" x14ac:dyDescent="0.25">
      <c r="I1101" s="4"/>
    </row>
    <row r="1102" spans="9:9" x14ac:dyDescent="0.25">
      <c r="I1102" s="4"/>
    </row>
    <row r="1103" spans="9:9" x14ac:dyDescent="0.25">
      <c r="I1103" s="4"/>
    </row>
    <row r="1104" spans="9:9" x14ac:dyDescent="0.25">
      <c r="I1104" s="4"/>
    </row>
    <row r="1105" spans="9:9" x14ac:dyDescent="0.25">
      <c r="I1105" s="4"/>
    </row>
    <row r="1106" spans="9:9" x14ac:dyDescent="0.25">
      <c r="I1106" s="4"/>
    </row>
    <row r="1107" spans="9:9" x14ac:dyDescent="0.25">
      <c r="I1107" s="4"/>
    </row>
    <row r="1108" spans="9:9" x14ac:dyDescent="0.25">
      <c r="I1108" s="4"/>
    </row>
    <row r="1109" spans="9:9" x14ac:dyDescent="0.25">
      <c r="I1109" s="4"/>
    </row>
    <row r="1110" spans="9:9" x14ac:dyDescent="0.25">
      <c r="I1110" s="4"/>
    </row>
    <row r="1111" spans="9:9" x14ac:dyDescent="0.25">
      <c r="I1111" s="4"/>
    </row>
    <row r="1112" spans="9:9" x14ac:dyDescent="0.25">
      <c r="I1112" s="4"/>
    </row>
    <row r="1113" spans="9:9" x14ac:dyDescent="0.25">
      <c r="I1113" s="4"/>
    </row>
    <row r="1114" spans="9:9" x14ac:dyDescent="0.25">
      <c r="I1114" s="4"/>
    </row>
    <row r="1115" spans="9:9" x14ac:dyDescent="0.25">
      <c r="I1115" s="4"/>
    </row>
    <row r="1116" spans="9:9" x14ac:dyDescent="0.25">
      <c r="I1116" s="4"/>
    </row>
    <row r="1117" spans="9:9" x14ac:dyDescent="0.25">
      <c r="I1117" s="4"/>
    </row>
    <row r="1118" spans="9:9" x14ac:dyDescent="0.25">
      <c r="I1118" s="4"/>
    </row>
    <row r="1119" spans="9:9" x14ac:dyDescent="0.25">
      <c r="I1119" s="4"/>
    </row>
    <row r="1120" spans="9:9" x14ac:dyDescent="0.25">
      <c r="I1120" s="4"/>
    </row>
    <row r="1121" spans="9:9" x14ac:dyDescent="0.25">
      <c r="I1121" s="4"/>
    </row>
    <row r="1122" spans="9:9" x14ac:dyDescent="0.25">
      <c r="I1122" s="4"/>
    </row>
    <row r="1123" spans="9:9" x14ac:dyDescent="0.25">
      <c r="I1123" s="4"/>
    </row>
    <row r="1124" spans="9:9" x14ac:dyDescent="0.25">
      <c r="I1124" s="4"/>
    </row>
    <row r="1125" spans="9:9" x14ac:dyDescent="0.25">
      <c r="I1125" s="4"/>
    </row>
    <row r="1126" spans="9:9" x14ac:dyDescent="0.25">
      <c r="I1126" s="4"/>
    </row>
    <row r="1127" spans="9:9" x14ac:dyDescent="0.25">
      <c r="I1127" s="4"/>
    </row>
    <row r="1128" spans="9:9" x14ac:dyDescent="0.25">
      <c r="I1128" s="4"/>
    </row>
    <row r="1129" spans="9:9" x14ac:dyDescent="0.25">
      <c r="I1129" s="4"/>
    </row>
    <row r="1130" spans="9:9" x14ac:dyDescent="0.25">
      <c r="I1130" s="4"/>
    </row>
    <row r="1131" spans="9:9" x14ac:dyDescent="0.25">
      <c r="I1131" s="4"/>
    </row>
    <row r="1132" spans="9:9" x14ac:dyDescent="0.25">
      <c r="I1132" s="4"/>
    </row>
    <row r="1133" spans="9:9" x14ac:dyDescent="0.25">
      <c r="I1133" s="4"/>
    </row>
    <row r="1134" spans="9:9" x14ac:dyDescent="0.25">
      <c r="I1134" s="4"/>
    </row>
    <row r="1135" spans="9:9" x14ac:dyDescent="0.25">
      <c r="I1135" s="4"/>
    </row>
    <row r="1136" spans="9:9" x14ac:dyDescent="0.25">
      <c r="I1136" s="4"/>
    </row>
    <row r="1137" spans="9:9" x14ac:dyDescent="0.25">
      <c r="I1137" s="4"/>
    </row>
    <row r="1138" spans="9:9" x14ac:dyDescent="0.25">
      <c r="I1138" s="4"/>
    </row>
    <row r="1139" spans="9:9" x14ac:dyDescent="0.25">
      <c r="I1139" s="4"/>
    </row>
    <row r="1140" spans="9:9" x14ac:dyDescent="0.25">
      <c r="I1140" s="4"/>
    </row>
    <row r="1141" spans="9:9" x14ac:dyDescent="0.25">
      <c r="I1141" s="4"/>
    </row>
    <row r="1142" spans="9:9" x14ac:dyDescent="0.25">
      <c r="I1142" s="4"/>
    </row>
    <row r="1143" spans="9:9" x14ac:dyDescent="0.25">
      <c r="I1143" s="4"/>
    </row>
    <row r="1144" spans="9:9" x14ac:dyDescent="0.25">
      <c r="I1144" s="4"/>
    </row>
    <row r="1145" spans="9:9" x14ac:dyDescent="0.25">
      <c r="I1145" s="4"/>
    </row>
    <row r="1146" spans="9:9" x14ac:dyDescent="0.25">
      <c r="I1146" s="4"/>
    </row>
    <row r="1147" spans="9:9" x14ac:dyDescent="0.25">
      <c r="I1147" s="4"/>
    </row>
    <row r="1148" spans="9:9" x14ac:dyDescent="0.25">
      <c r="I1148" s="4"/>
    </row>
    <row r="1149" spans="9:9" x14ac:dyDescent="0.25">
      <c r="I1149" s="4"/>
    </row>
    <row r="1150" spans="9:9" x14ac:dyDescent="0.25">
      <c r="I1150" s="4"/>
    </row>
    <row r="1151" spans="9:9" x14ac:dyDescent="0.25">
      <c r="I1151" s="4"/>
    </row>
    <row r="1152" spans="9:9" x14ac:dyDescent="0.25">
      <c r="I1152" s="4"/>
    </row>
    <row r="1153" spans="9:9" x14ac:dyDescent="0.25">
      <c r="I1153" s="4"/>
    </row>
    <row r="1154" spans="9:9" x14ac:dyDescent="0.25">
      <c r="I1154" s="4"/>
    </row>
    <row r="1155" spans="9:9" x14ac:dyDescent="0.25">
      <c r="I1155" s="4"/>
    </row>
    <row r="1156" spans="9:9" x14ac:dyDescent="0.25">
      <c r="I1156" s="4"/>
    </row>
    <row r="1157" spans="9:9" x14ac:dyDescent="0.25">
      <c r="I1157" s="4"/>
    </row>
    <row r="1158" spans="9:9" x14ac:dyDescent="0.25">
      <c r="I1158" s="4"/>
    </row>
    <row r="1159" spans="9:9" x14ac:dyDescent="0.25">
      <c r="I1159" s="4"/>
    </row>
    <row r="1160" spans="9:9" x14ac:dyDescent="0.25">
      <c r="I1160" s="4"/>
    </row>
    <row r="1161" spans="9:9" x14ac:dyDescent="0.25">
      <c r="I1161" s="4"/>
    </row>
    <row r="1162" spans="9:9" x14ac:dyDescent="0.25">
      <c r="I1162" s="4"/>
    </row>
    <row r="1163" spans="9:9" x14ac:dyDescent="0.25">
      <c r="I1163" s="4"/>
    </row>
    <row r="1164" spans="9:9" x14ac:dyDescent="0.25">
      <c r="I1164" s="4"/>
    </row>
    <row r="1165" spans="9:9" x14ac:dyDescent="0.25">
      <c r="I1165" s="4"/>
    </row>
    <row r="1166" spans="9:9" x14ac:dyDescent="0.25">
      <c r="I1166" s="4"/>
    </row>
    <row r="1167" spans="9:9" x14ac:dyDescent="0.25">
      <c r="I1167" s="4"/>
    </row>
    <row r="1168" spans="9:9" x14ac:dyDescent="0.25">
      <c r="I1168" s="4"/>
    </row>
    <row r="1169" spans="9:9" x14ac:dyDescent="0.25">
      <c r="I1169" s="4"/>
    </row>
    <row r="1170" spans="9:9" x14ac:dyDescent="0.25">
      <c r="I1170" s="4"/>
    </row>
    <row r="1171" spans="9:9" x14ac:dyDescent="0.25">
      <c r="I1171" s="4"/>
    </row>
    <row r="1172" spans="9:9" x14ac:dyDescent="0.25">
      <c r="I1172" s="4"/>
    </row>
    <row r="1173" spans="9:9" x14ac:dyDescent="0.25">
      <c r="I1173" s="4"/>
    </row>
    <row r="1174" spans="9:9" x14ac:dyDescent="0.25">
      <c r="I1174" s="4"/>
    </row>
    <row r="1175" spans="9:9" x14ac:dyDescent="0.25">
      <c r="I1175" s="4"/>
    </row>
    <row r="1176" spans="9:9" x14ac:dyDescent="0.25">
      <c r="I1176" s="4"/>
    </row>
    <row r="1177" spans="9:9" x14ac:dyDescent="0.25">
      <c r="I1177" s="4"/>
    </row>
    <row r="1178" spans="9:9" x14ac:dyDescent="0.25">
      <c r="I1178" s="4"/>
    </row>
    <row r="1179" spans="9:9" x14ac:dyDescent="0.25">
      <c r="I1179" s="4"/>
    </row>
    <row r="1180" spans="9:9" x14ac:dyDescent="0.25">
      <c r="I1180" s="4"/>
    </row>
    <row r="1181" spans="9:9" x14ac:dyDescent="0.25">
      <c r="I1181" s="4"/>
    </row>
    <row r="1182" spans="9:9" x14ac:dyDescent="0.25">
      <c r="I1182" s="4"/>
    </row>
    <row r="1183" spans="9:9" x14ac:dyDescent="0.25">
      <c r="I1183" s="4"/>
    </row>
    <row r="1184" spans="9:9" x14ac:dyDescent="0.25">
      <c r="I1184" s="4"/>
    </row>
    <row r="1185" spans="9:9" x14ac:dyDescent="0.25">
      <c r="I1185" s="4"/>
    </row>
    <row r="1186" spans="9:9" x14ac:dyDescent="0.25">
      <c r="I1186" s="4"/>
    </row>
    <row r="1187" spans="9:9" x14ac:dyDescent="0.25">
      <c r="I1187" s="4"/>
    </row>
    <row r="1188" spans="9:9" x14ac:dyDescent="0.25">
      <c r="I1188" s="4"/>
    </row>
    <row r="1189" spans="9:9" x14ac:dyDescent="0.25">
      <c r="I1189" s="4"/>
    </row>
    <row r="1190" spans="9:9" x14ac:dyDescent="0.25">
      <c r="I1190" s="4"/>
    </row>
    <row r="1191" spans="9:9" x14ac:dyDescent="0.25">
      <c r="I1191" s="4"/>
    </row>
    <row r="1192" spans="9:9" x14ac:dyDescent="0.25">
      <c r="I1192" s="4"/>
    </row>
    <row r="1193" spans="9:9" x14ac:dyDescent="0.25">
      <c r="I1193" s="4"/>
    </row>
    <row r="1194" spans="9:9" x14ac:dyDescent="0.25">
      <c r="I1194" s="4"/>
    </row>
    <row r="1195" spans="9:9" x14ac:dyDescent="0.25">
      <c r="I1195" s="4"/>
    </row>
    <row r="1196" spans="9:9" x14ac:dyDescent="0.25">
      <c r="I1196" s="4"/>
    </row>
    <row r="1197" spans="9:9" x14ac:dyDescent="0.25">
      <c r="I1197" s="4"/>
    </row>
    <row r="1198" spans="9:9" x14ac:dyDescent="0.25">
      <c r="I1198" s="4"/>
    </row>
    <row r="1199" spans="9:9" x14ac:dyDescent="0.25">
      <c r="I1199" s="4"/>
    </row>
    <row r="1200" spans="9:9" x14ac:dyDescent="0.25">
      <c r="I1200" s="4"/>
    </row>
    <row r="1201" spans="9:9" x14ac:dyDescent="0.25">
      <c r="I1201" s="4"/>
    </row>
    <row r="1202" spans="9:9" x14ac:dyDescent="0.25">
      <c r="I1202" s="4"/>
    </row>
    <row r="1203" spans="9:9" x14ac:dyDescent="0.25">
      <c r="I1203" s="4"/>
    </row>
    <row r="1204" spans="9:9" x14ac:dyDescent="0.25">
      <c r="I1204" s="4"/>
    </row>
    <row r="1205" spans="9:9" x14ac:dyDescent="0.25">
      <c r="I1205" s="4"/>
    </row>
    <row r="1206" spans="9:9" x14ac:dyDescent="0.25">
      <c r="I1206" s="4"/>
    </row>
    <row r="1207" spans="9:9" x14ac:dyDescent="0.25">
      <c r="I1207" s="4"/>
    </row>
    <row r="1208" spans="9:9" x14ac:dyDescent="0.25">
      <c r="I1208" s="4"/>
    </row>
    <row r="1209" spans="9:9" x14ac:dyDescent="0.25">
      <c r="I1209" s="4"/>
    </row>
    <row r="1210" spans="9:9" x14ac:dyDescent="0.25">
      <c r="I1210" s="4"/>
    </row>
    <row r="1211" spans="9:9" x14ac:dyDescent="0.25">
      <c r="I1211" s="4"/>
    </row>
    <row r="1212" spans="9:9" x14ac:dyDescent="0.25">
      <c r="I1212" s="4"/>
    </row>
    <row r="1213" spans="9:9" x14ac:dyDescent="0.25">
      <c r="I1213" s="4"/>
    </row>
    <row r="1214" spans="9:9" x14ac:dyDescent="0.25">
      <c r="I1214" s="4"/>
    </row>
    <row r="1215" spans="9:9" x14ac:dyDescent="0.25">
      <c r="I1215" s="4"/>
    </row>
    <row r="1216" spans="9:9" x14ac:dyDescent="0.25">
      <c r="I1216" s="4"/>
    </row>
    <row r="1217" spans="9:9" x14ac:dyDescent="0.25">
      <c r="I1217" s="4"/>
    </row>
    <row r="1218" spans="9:9" x14ac:dyDescent="0.25">
      <c r="I1218" s="4"/>
    </row>
    <row r="1219" spans="9:9" x14ac:dyDescent="0.25">
      <c r="I1219" s="4"/>
    </row>
    <row r="1220" spans="9:9" x14ac:dyDescent="0.25">
      <c r="I1220" s="4"/>
    </row>
    <row r="1221" spans="9:9" x14ac:dyDescent="0.25">
      <c r="I1221" s="4"/>
    </row>
    <row r="1222" spans="9:9" x14ac:dyDescent="0.25">
      <c r="I1222" s="4"/>
    </row>
    <row r="1223" spans="9:9" x14ac:dyDescent="0.25">
      <c r="I1223" s="4"/>
    </row>
    <row r="1224" spans="9:9" x14ac:dyDescent="0.25">
      <c r="I1224" s="4"/>
    </row>
    <row r="1225" spans="9:9" x14ac:dyDescent="0.25">
      <c r="I1225" s="4"/>
    </row>
    <row r="1226" spans="9:9" x14ac:dyDescent="0.25">
      <c r="I1226" s="4"/>
    </row>
    <row r="1227" spans="9:9" x14ac:dyDescent="0.25">
      <c r="I1227" s="4"/>
    </row>
    <row r="1228" spans="9:9" x14ac:dyDescent="0.25">
      <c r="I1228" s="4"/>
    </row>
    <row r="1229" spans="9:9" x14ac:dyDescent="0.25">
      <c r="I1229" s="4"/>
    </row>
    <row r="1230" spans="9:9" x14ac:dyDescent="0.25">
      <c r="I1230" s="4"/>
    </row>
    <row r="1231" spans="9:9" x14ac:dyDescent="0.25">
      <c r="I1231" s="4"/>
    </row>
    <row r="1232" spans="9:9" x14ac:dyDescent="0.25">
      <c r="I1232" s="4"/>
    </row>
    <row r="1233" spans="9:9" x14ac:dyDescent="0.25">
      <c r="I1233" s="4"/>
    </row>
    <row r="1234" spans="9:9" x14ac:dyDescent="0.25">
      <c r="I1234" s="4"/>
    </row>
    <row r="1235" spans="9:9" x14ac:dyDescent="0.25">
      <c r="I1235" s="4"/>
    </row>
    <row r="1236" spans="9:9" x14ac:dyDescent="0.25">
      <c r="I1236" s="4"/>
    </row>
    <row r="1237" spans="9:9" x14ac:dyDescent="0.25">
      <c r="I1237" s="4"/>
    </row>
    <row r="1238" spans="9:9" x14ac:dyDescent="0.25">
      <c r="I1238" s="4"/>
    </row>
    <row r="1239" spans="9:9" x14ac:dyDescent="0.25">
      <c r="I1239" s="4"/>
    </row>
    <row r="1240" spans="9:9" x14ac:dyDescent="0.25">
      <c r="I1240" s="4"/>
    </row>
    <row r="1241" spans="9:9" x14ac:dyDescent="0.25">
      <c r="I1241" s="4"/>
    </row>
    <row r="1242" spans="9:9" x14ac:dyDescent="0.25">
      <c r="I1242" s="4"/>
    </row>
    <row r="1243" spans="9:9" x14ac:dyDescent="0.25">
      <c r="I1243" s="4"/>
    </row>
    <row r="1244" spans="9:9" x14ac:dyDescent="0.25">
      <c r="I1244" s="4"/>
    </row>
    <row r="1245" spans="9:9" x14ac:dyDescent="0.25">
      <c r="I1245" s="4"/>
    </row>
    <row r="1246" spans="9:9" x14ac:dyDescent="0.25">
      <c r="I1246" s="4"/>
    </row>
    <row r="1247" spans="9:9" x14ac:dyDescent="0.25">
      <c r="I1247" s="4"/>
    </row>
    <row r="1248" spans="9:9" x14ac:dyDescent="0.25">
      <c r="I1248" s="4"/>
    </row>
    <row r="1249" spans="9:9" x14ac:dyDescent="0.25">
      <c r="I1249" s="4"/>
    </row>
    <row r="1250" spans="9:9" x14ac:dyDescent="0.25">
      <c r="I1250" s="4"/>
    </row>
    <row r="1251" spans="9:9" x14ac:dyDescent="0.25">
      <c r="I1251" s="4"/>
    </row>
    <row r="1252" spans="9:9" x14ac:dyDescent="0.25">
      <c r="I1252" s="4"/>
    </row>
    <row r="1253" spans="9:9" x14ac:dyDescent="0.25">
      <c r="I1253" s="4"/>
    </row>
    <row r="1254" spans="9:9" x14ac:dyDescent="0.25">
      <c r="I1254" s="4"/>
    </row>
    <row r="1255" spans="9:9" x14ac:dyDescent="0.25">
      <c r="I1255" s="4"/>
    </row>
    <row r="1256" spans="9:9" x14ac:dyDescent="0.25">
      <c r="I1256" s="4"/>
    </row>
    <row r="1257" spans="9:9" x14ac:dyDescent="0.25">
      <c r="I1257" s="4"/>
    </row>
    <row r="1258" spans="9:9" x14ac:dyDescent="0.25">
      <c r="I1258" s="4"/>
    </row>
    <row r="1259" spans="9:9" x14ac:dyDescent="0.25">
      <c r="I1259" s="4"/>
    </row>
    <row r="1260" spans="9:9" x14ac:dyDescent="0.25">
      <c r="I1260" s="4"/>
    </row>
    <row r="1261" spans="9:9" x14ac:dyDescent="0.25">
      <c r="I1261" s="4"/>
    </row>
    <row r="1262" spans="9:9" x14ac:dyDescent="0.25">
      <c r="I1262" s="4"/>
    </row>
    <row r="1263" spans="9:9" x14ac:dyDescent="0.25">
      <c r="I1263" s="4"/>
    </row>
    <row r="1264" spans="9:9" x14ac:dyDescent="0.25">
      <c r="I1264" s="4"/>
    </row>
    <row r="1265" spans="9:9" x14ac:dyDescent="0.25">
      <c r="I1265" s="4"/>
    </row>
    <row r="1266" spans="9:9" x14ac:dyDescent="0.25">
      <c r="I1266" s="4"/>
    </row>
    <row r="1267" spans="9:9" x14ac:dyDescent="0.25">
      <c r="I1267" s="4"/>
    </row>
    <row r="1268" spans="9:9" x14ac:dyDescent="0.25">
      <c r="I1268" s="4"/>
    </row>
    <row r="1269" spans="9:9" x14ac:dyDescent="0.25">
      <c r="I1269" s="4"/>
    </row>
    <row r="1270" spans="9:9" x14ac:dyDescent="0.25">
      <c r="I1270" s="4"/>
    </row>
    <row r="1271" spans="9:9" x14ac:dyDescent="0.25">
      <c r="I1271" s="4"/>
    </row>
    <row r="1272" spans="9:9" x14ac:dyDescent="0.25">
      <c r="I1272" s="4"/>
    </row>
    <row r="1273" spans="9:9" x14ac:dyDescent="0.25">
      <c r="I1273" s="4"/>
    </row>
    <row r="1274" spans="9:9" x14ac:dyDescent="0.25">
      <c r="I1274" s="4"/>
    </row>
    <row r="1275" spans="9:9" x14ac:dyDescent="0.25">
      <c r="I1275" s="4"/>
    </row>
    <row r="1276" spans="9:9" x14ac:dyDescent="0.25">
      <c r="I1276" s="4"/>
    </row>
    <row r="1277" spans="9:9" x14ac:dyDescent="0.25">
      <c r="I1277" s="4"/>
    </row>
    <row r="1278" spans="9:9" x14ac:dyDescent="0.25">
      <c r="I1278" s="4"/>
    </row>
    <row r="1279" spans="9:9" x14ac:dyDescent="0.25">
      <c r="I1279" s="4"/>
    </row>
    <row r="1280" spans="9:9" x14ac:dyDescent="0.25">
      <c r="I1280" s="4"/>
    </row>
    <row r="1281" spans="9:9" x14ac:dyDescent="0.25">
      <c r="I1281" s="4"/>
    </row>
    <row r="1282" spans="9:9" x14ac:dyDescent="0.25">
      <c r="I1282" s="4"/>
    </row>
    <row r="1283" spans="9:9" x14ac:dyDescent="0.25">
      <c r="I1283" s="4"/>
    </row>
    <row r="1284" spans="9:9" x14ac:dyDescent="0.25">
      <c r="I1284" s="4"/>
    </row>
    <row r="1285" spans="9:9" x14ac:dyDescent="0.25">
      <c r="I1285" s="4"/>
    </row>
    <row r="1286" spans="9:9" x14ac:dyDescent="0.25">
      <c r="I1286" s="4"/>
    </row>
    <row r="1287" spans="9:9" x14ac:dyDescent="0.25">
      <c r="I1287" s="4"/>
    </row>
    <row r="1288" spans="9:9" x14ac:dyDescent="0.25">
      <c r="I1288" s="4"/>
    </row>
    <row r="1289" spans="9:9" x14ac:dyDescent="0.25">
      <c r="I1289" s="4"/>
    </row>
    <row r="1290" spans="9:9" x14ac:dyDescent="0.25">
      <c r="I1290" s="4"/>
    </row>
    <row r="1291" spans="9:9" x14ac:dyDescent="0.25">
      <c r="I1291" s="4"/>
    </row>
    <row r="1292" spans="9:9" x14ac:dyDescent="0.25">
      <c r="I1292" s="4"/>
    </row>
    <row r="1293" spans="9:9" x14ac:dyDescent="0.25">
      <c r="I1293" s="4"/>
    </row>
    <row r="1294" spans="9:9" x14ac:dyDescent="0.25">
      <c r="I1294" s="4"/>
    </row>
    <row r="1295" spans="9:9" x14ac:dyDescent="0.25">
      <c r="I1295" s="4"/>
    </row>
    <row r="1296" spans="9:9" x14ac:dyDescent="0.25">
      <c r="I1296" s="4"/>
    </row>
    <row r="1297" spans="9:9" x14ac:dyDescent="0.25">
      <c r="I1297" s="4"/>
    </row>
    <row r="1298" spans="9:9" x14ac:dyDescent="0.25">
      <c r="I1298" s="4"/>
    </row>
    <row r="1299" spans="9:9" x14ac:dyDescent="0.25">
      <c r="I1299" s="4"/>
    </row>
    <row r="1300" spans="9:9" x14ac:dyDescent="0.25">
      <c r="I1300" s="4"/>
    </row>
    <row r="1301" spans="9:9" x14ac:dyDescent="0.25">
      <c r="I1301" s="4"/>
    </row>
    <row r="1302" spans="9:9" x14ac:dyDescent="0.25">
      <c r="I1302" s="4"/>
    </row>
    <row r="1303" spans="9:9" x14ac:dyDescent="0.25">
      <c r="I1303" s="4"/>
    </row>
    <row r="1304" spans="9:9" x14ac:dyDescent="0.25">
      <c r="I1304" s="4"/>
    </row>
    <row r="1305" spans="9:9" x14ac:dyDescent="0.25">
      <c r="I1305" s="4"/>
    </row>
    <row r="1306" spans="9:9" x14ac:dyDescent="0.25">
      <c r="I1306" s="4"/>
    </row>
    <row r="1307" spans="9:9" x14ac:dyDescent="0.25">
      <c r="I1307" s="4"/>
    </row>
    <row r="1308" spans="9:9" x14ac:dyDescent="0.25">
      <c r="I1308" s="4"/>
    </row>
    <row r="1309" spans="9:9" x14ac:dyDescent="0.25">
      <c r="I1309" s="4"/>
    </row>
    <row r="1310" spans="9:9" x14ac:dyDescent="0.25">
      <c r="I1310" s="4"/>
    </row>
    <row r="1311" spans="9:9" x14ac:dyDescent="0.25">
      <c r="I1311" s="4"/>
    </row>
    <row r="1312" spans="9:9" x14ac:dyDescent="0.25">
      <c r="I1312" s="4"/>
    </row>
    <row r="1313" spans="9:9" x14ac:dyDescent="0.25">
      <c r="I1313" s="4"/>
    </row>
    <row r="1314" spans="9:9" x14ac:dyDescent="0.25">
      <c r="I1314" s="4"/>
    </row>
    <row r="1315" spans="9:9" x14ac:dyDescent="0.25">
      <c r="I1315" s="4"/>
    </row>
    <row r="1316" spans="9:9" x14ac:dyDescent="0.25">
      <c r="I1316" s="4"/>
    </row>
    <row r="1317" spans="9:9" x14ac:dyDescent="0.25">
      <c r="I1317" s="4"/>
    </row>
    <row r="1318" spans="9:9" x14ac:dyDescent="0.25">
      <c r="I1318" s="4"/>
    </row>
    <row r="1319" spans="9:9" x14ac:dyDescent="0.25">
      <c r="I1319" s="4"/>
    </row>
    <row r="1320" spans="9:9" x14ac:dyDescent="0.25">
      <c r="I1320" s="4"/>
    </row>
    <row r="1321" spans="9:9" x14ac:dyDescent="0.25">
      <c r="I1321" s="4"/>
    </row>
    <row r="1322" spans="9:9" x14ac:dyDescent="0.25">
      <c r="I1322" s="4"/>
    </row>
    <row r="1323" spans="9:9" x14ac:dyDescent="0.25">
      <c r="I1323" s="4"/>
    </row>
    <row r="1324" spans="9:9" x14ac:dyDescent="0.25">
      <c r="I1324" s="4"/>
    </row>
    <row r="1325" spans="9:9" x14ac:dyDescent="0.25">
      <c r="I1325" s="4"/>
    </row>
    <row r="1326" spans="9:9" x14ac:dyDescent="0.25">
      <c r="I1326" s="4"/>
    </row>
    <row r="1327" spans="9:9" x14ac:dyDescent="0.25">
      <c r="I1327" s="4"/>
    </row>
    <row r="1328" spans="9:9" x14ac:dyDescent="0.25">
      <c r="I1328" s="4"/>
    </row>
    <row r="1329" spans="9:9" x14ac:dyDescent="0.25">
      <c r="I1329" s="4"/>
    </row>
    <row r="1330" spans="9:9" x14ac:dyDescent="0.25">
      <c r="I1330" s="4"/>
    </row>
    <row r="1331" spans="9:9" x14ac:dyDescent="0.25">
      <c r="I1331" s="4"/>
    </row>
    <row r="1332" spans="9:9" x14ac:dyDescent="0.25">
      <c r="I1332" s="4"/>
    </row>
    <row r="1333" spans="9:9" x14ac:dyDescent="0.25">
      <c r="I1333" s="4"/>
    </row>
    <row r="1334" spans="9:9" x14ac:dyDescent="0.25">
      <c r="I1334" s="4"/>
    </row>
    <row r="1335" spans="9:9" x14ac:dyDescent="0.25">
      <c r="I1335" s="4"/>
    </row>
    <row r="1336" spans="9:9" x14ac:dyDescent="0.25">
      <c r="I1336" s="4"/>
    </row>
    <row r="1337" spans="9:9" x14ac:dyDescent="0.25">
      <c r="I1337" s="4"/>
    </row>
    <row r="1338" spans="9:9" x14ac:dyDescent="0.25">
      <c r="I1338" s="4"/>
    </row>
    <row r="1339" spans="9:9" x14ac:dyDescent="0.25">
      <c r="I1339" s="4"/>
    </row>
    <row r="1340" spans="9:9" x14ac:dyDescent="0.25">
      <c r="I1340" s="4"/>
    </row>
    <row r="1341" spans="9:9" x14ac:dyDescent="0.25">
      <c r="I1341" s="4"/>
    </row>
    <row r="1342" spans="9:9" x14ac:dyDescent="0.25">
      <c r="I1342" s="4"/>
    </row>
    <row r="1343" spans="9:9" x14ac:dyDescent="0.25">
      <c r="I1343" s="4"/>
    </row>
    <row r="1344" spans="9:9" x14ac:dyDescent="0.25">
      <c r="I1344" s="4"/>
    </row>
    <row r="1345" spans="9:9" x14ac:dyDescent="0.25">
      <c r="I1345" s="4"/>
    </row>
    <row r="1346" spans="9:9" x14ac:dyDescent="0.25">
      <c r="I1346" s="4"/>
    </row>
    <row r="1347" spans="9:9" x14ac:dyDescent="0.25">
      <c r="I1347" s="4"/>
    </row>
    <row r="1348" spans="9:9" x14ac:dyDescent="0.25">
      <c r="I1348" s="4"/>
    </row>
    <row r="1349" spans="9:9" x14ac:dyDescent="0.25">
      <c r="I1349" s="4"/>
    </row>
    <row r="1350" spans="9:9" x14ac:dyDescent="0.25">
      <c r="I1350" s="4"/>
    </row>
    <row r="1351" spans="9:9" x14ac:dyDescent="0.25">
      <c r="I1351" s="4"/>
    </row>
    <row r="1352" spans="9:9" x14ac:dyDescent="0.25">
      <c r="I1352" s="4"/>
    </row>
    <row r="1353" spans="9:9" x14ac:dyDescent="0.25">
      <c r="I1353" s="4"/>
    </row>
    <row r="1354" spans="9:9" x14ac:dyDescent="0.25">
      <c r="I1354" s="4"/>
    </row>
    <row r="1355" spans="9:9" x14ac:dyDescent="0.25">
      <c r="I1355" s="4"/>
    </row>
    <row r="1356" spans="9:9" x14ac:dyDescent="0.25">
      <c r="I1356" s="4"/>
    </row>
    <row r="1357" spans="9:9" x14ac:dyDescent="0.25">
      <c r="I1357" s="4"/>
    </row>
    <row r="1358" spans="9:9" x14ac:dyDescent="0.25">
      <c r="I1358" s="4"/>
    </row>
    <row r="1359" spans="9:9" x14ac:dyDescent="0.25">
      <c r="I1359" s="4"/>
    </row>
    <row r="1360" spans="9:9" x14ac:dyDescent="0.25">
      <c r="I1360" s="4"/>
    </row>
    <row r="1361" spans="9:9" x14ac:dyDescent="0.25">
      <c r="I1361" s="4"/>
    </row>
    <row r="1362" spans="9:9" x14ac:dyDescent="0.25">
      <c r="I1362" s="4"/>
    </row>
    <row r="1363" spans="9:9" x14ac:dyDescent="0.25">
      <c r="I1363" s="4"/>
    </row>
    <row r="1364" spans="9:9" x14ac:dyDescent="0.25">
      <c r="I1364" s="4"/>
    </row>
    <row r="1365" spans="9:9" x14ac:dyDescent="0.25">
      <c r="I1365" s="4"/>
    </row>
    <row r="1366" spans="9:9" x14ac:dyDescent="0.25">
      <c r="I1366" s="4"/>
    </row>
    <row r="1367" spans="9:9" x14ac:dyDescent="0.25">
      <c r="I1367" s="4"/>
    </row>
    <row r="1368" spans="9:9" x14ac:dyDescent="0.25">
      <c r="I1368" s="4"/>
    </row>
    <row r="1369" spans="9:9" x14ac:dyDescent="0.25">
      <c r="I1369" s="4"/>
    </row>
    <row r="1370" spans="9:9" x14ac:dyDescent="0.25">
      <c r="I1370" s="4"/>
    </row>
    <row r="1371" spans="9:9" x14ac:dyDescent="0.25">
      <c r="I1371" s="4"/>
    </row>
    <row r="1372" spans="9:9" x14ac:dyDescent="0.25">
      <c r="I1372" s="4"/>
    </row>
    <row r="1373" spans="9:9" x14ac:dyDescent="0.25">
      <c r="I1373" s="4"/>
    </row>
    <row r="1374" spans="9:9" x14ac:dyDescent="0.25">
      <c r="I1374" s="4"/>
    </row>
    <row r="1375" spans="9:9" x14ac:dyDescent="0.25">
      <c r="I1375" s="4"/>
    </row>
    <row r="1376" spans="9:9" x14ac:dyDescent="0.25">
      <c r="I1376" s="4"/>
    </row>
    <row r="1377" spans="9:9" x14ac:dyDescent="0.25">
      <c r="I1377" s="4"/>
    </row>
    <row r="1378" spans="9:9" x14ac:dyDescent="0.25">
      <c r="I1378" s="4"/>
    </row>
    <row r="1379" spans="9:9" x14ac:dyDescent="0.25">
      <c r="I1379" s="4"/>
    </row>
    <row r="1380" spans="9:9" x14ac:dyDescent="0.25">
      <c r="I1380" s="4"/>
    </row>
    <row r="1381" spans="9:9" x14ac:dyDescent="0.25">
      <c r="I1381" s="4"/>
    </row>
    <row r="1382" spans="9:9" x14ac:dyDescent="0.25">
      <c r="I1382" s="4"/>
    </row>
    <row r="1383" spans="9:9" x14ac:dyDescent="0.25">
      <c r="I1383" s="4"/>
    </row>
    <row r="1384" spans="9:9" x14ac:dyDescent="0.25">
      <c r="I1384" s="4"/>
    </row>
    <row r="1385" spans="9:9" x14ac:dyDescent="0.25">
      <c r="I1385" s="4"/>
    </row>
    <row r="1386" spans="9:9" x14ac:dyDescent="0.25">
      <c r="I1386" s="4"/>
    </row>
    <row r="1387" spans="9:9" x14ac:dyDescent="0.25">
      <c r="I1387" s="4"/>
    </row>
    <row r="1388" spans="9:9" x14ac:dyDescent="0.25">
      <c r="I1388" s="4"/>
    </row>
    <row r="1389" spans="9:9" x14ac:dyDescent="0.25">
      <c r="I1389" s="4"/>
    </row>
    <row r="1390" spans="9:9" x14ac:dyDescent="0.25">
      <c r="I1390" s="4"/>
    </row>
    <row r="1391" spans="9:9" x14ac:dyDescent="0.25">
      <c r="I1391" s="4"/>
    </row>
    <row r="1392" spans="9:9" x14ac:dyDescent="0.25">
      <c r="I1392" s="4"/>
    </row>
    <row r="1393" spans="9:9" x14ac:dyDescent="0.25">
      <c r="I1393" s="4"/>
    </row>
    <row r="1394" spans="9:9" x14ac:dyDescent="0.25">
      <c r="I1394" s="4"/>
    </row>
    <row r="1395" spans="9:9" x14ac:dyDescent="0.25">
      <c r="I1395" s="4"/>
    </row>
    <row r="1396" spans="9:9" x14ac:dyDescent="0.25">
      <c r="I1396" s="4"/>
    </row>
    <row r="1397" spans="9:9" x14ac:dyDescent="0.25">
      <c r="I1397" s="4"/>
    </row>
    <row r="1398" spans="9:9" x14ac:dyDescent="0.25">
      <c r="I1398" s="4"/>
    </row>
    <row r="1399" spans="9:9" x14ac:dyDescent="0.25">
      <c r="I1399" s="4"/>
    </row>
    <row r="1400" spans="9:9" x14ac:dyDescent="0.25">
      <c r="I1400" s="4"/>
    </row>
    <row r="1401" spans="9:9" x14ac:dyDescent="0.25">
      <c r="I1401" s="4"/>
    </row>
    <row r="1402" spans="9:9" x14ac:dyDescent="0.25">
      <c r="I1402" s="4"/>
    </row>
    <row r="1403" spans="9:9" x14ac:dyDescent="0.25">
      <c r="I1403" s="4"/>
    </row>
    <row r="1404" spans="9:9" x14ac:dyDescent="0.25">
      <c r="I1404" s="4"/>
    </row>
    <row r="1405" spans="9:9" x14ac:dyDescent="0.25">
      <c r="I1405" s="4"/>
    </row>
    <row r="1406" spans="9:9" x14ac:dyDescent="0.25">
      <c r="I1406" s="4"/>
    </row>
    <row r="1407" spans="9:9" x14ac:dyDescent="0.25">
      <c r="I1407" s="4"/>
    </row>
    <row r="1408" spans="9:9" x14ac:dyDescent="0.25">
      <c r="I1408" s="4"/>
    </row>
    <row r="1409" spans="9:9" x14ac:dyDescent="0.25">
      <c r="I1409" s="4"/>
    </row>
    <row r="1410" spans="9:9" x14ac:dyDescent="0.25">
      <c r="I1410" s="4"/>
    </row>
    <row r="1411" spans="9:9" x14ac:dyDescent="0.25">
      <c r="I1411" s="4"/>
    </row>
    <row r="1412" spans="9:9" x14ac:dyDescent="0.25">
      <c r="I1412" s="4"/>
    </row>
    <row r="1413" spans="9:9" x14ac:dyDescent="0.25">
      <c r="I1413" s="4"/>
    </row>
    <row r="1414" spans="9:9" x14ac:dyDescent="0.25">
      <c r="I1414" s="4"/>
    </row>
    <row r="1415" spans="9:9" x14ac:dyDescent="0.25">
      <c r="I1415" s="4"/>
    </row>
    <row r="1416" spans="9:9" x14ac:dyDescent="0.25">
      <c r="I1416" s="4"/>
    </row>
    <row r="1417" spans="9:9" x14ac:dyDescent="0.25">
      <c r="I1417" s="4"/>
    </row>
    <row r="1418" spans="9:9" x14ac:dyDescent="0.25">
      <c r="I1418" s="4"/>
    </row>
    <row r="1419" spans="9:9" x14ac:dyDescent="0.25">
      <c r="I1419" s="4"/>
    </row>
    <row r="1420" spans="9:9" x14ac:dyDescent="0.25">
      <c r="I1420" s="4"/>
    </row>
    <row r="1421" spans="9:9" x14ac:dyDescent="0.25">
      <c r="I1421" s="4"/>
    </row>
    <row r="1422" spans="9:9" x14ac:dyDescent="0.25">
      <c r="I1422" s="4"/>
    </row>
    <row r="1423" spans="9:9" x14ac:dyDescent="0.25">
      <c r="I1423" s="4"/>
    </row>
    <row r="1424" spans="9:9" x14ac:dyDescent="0.25">
      <c r="I1424" s="4"/>
    </row>
    <row r="1425" spans="9:9" x14ac:dyDescent="0.25">
      <c r="I1425" s="4"/>
    </row>
    <row r="1426" spans="9:9" x14ac:dyDescent="0.25">
      <c r="I1426" s="4"/>
    </row>
    <row r="1427" spans="9:9" x14ac:dyDescent="0.25">
      <c r="I1427" s="4"/>
    </row>
    <row r="1428" spans="9:9" x14ac:dyDescent="0.25">
      <c r="I1428" s="4"/>
    </row>
    <row r="1429" spans="9:9" x14ac:dyDescent="0.25">
      <c r="I1429" s="4"/>
    </row>
    <row r="1430" spans="9:9" x14ac:dyDescent="0.25">
      <c r="I1430" s="4"/>
    </row>
    <row r="1431" spans="9:9" x14ac:dyDescent="0.25">
      <c r="I1431" s="4"/>
    </row>
    <row r="1432" spans="9:9" x14ac:dyDescent="0.25">
      <c r="I1432" s="4"/>
    </row>
    <row r="1433" spans="9:9" x14ac:dyDescent="0.25">
      <c r="I1433" s="4"/>
    </row>
    <row r="1434" spans="9:9" x14ac:dyDescent="0.25">
      <c r="I1434" s="4"/>
    </row>
    <row r="1435" spans="9:9" x14ac:dyDescent="0.25">
      <c r="I1435" s="4"/>
    </row>
    <row r="1436" spans="9:9" x14ac:dyDescent="0.25">
      <c r="I1436" s="4"/>
    </row>
    <row r="1437" spans="9:9" x14ac:dyDescent="0.25">
      <c r="I1437" s="4"/>
    </row>
    <row r="1438" spans="9:9" x14ac:dyDescent="0.25">
      <c r="I1438" s="4"/>
    </row>
    <row r="1439" spans="9:9" x14ac:dyDescent="0.25">
      <c r="I1439" s="4"/>
    </row>
    <row r="1440" spans="9:9" x14ac:dyDescent="0.25">
      <c r="I1440" s="4"/>
    </row>
    <row r="1441" spans="9:9" x14ac:dyDescent="0.25">
      <c r="I1441" s="4"/>
    </row>
    <row r="1442" spans="9:9" x14ac:dyDescent="0.25">
      <c r="I1442" s="4"/>
    </row>
    <row r="1443" spans="9:9" x14ac:dyDescent="0.25">
      <c r="I1443" s="4"/>
    </row>
    <row r="1444" spans="9:9" x14ac:dyDescent="0.25">
      <c r="I1444" s="4"/>
    </row>
    <row r="1445" spans="9:9" x14ac:dyDescent="0.25">
      <c r="I1445" s="4"/>
    </row>
    <row r="1446" spans="9:9" x14ac:dyDescent="0.25">
      <c r="I1446" s="4"/>
    </row>
    <row r="1447" spans="9:9" x14ac:dyDescent="0.25">
      <c r="I1447" s="4"/>
    </row>
    <row r="1448" spans="9:9" x14ac:dyDescent="0.25">
      <c r="I1448" s="4"/>
    </row>
    <row r="1449" spans="9:9" x14ac:dyDescent="0.25">
      <c r="I1449" s="4"/>
    </row>
    <row r="1450" spans="9:9" x14ac:dyDescent="0.25">
      <c r="I1450" s="4"/>
    </row>
    <row r="1451" spans="9:9" x14ac:dyDescent="0.25">
      <c r="I1451" s="4"/>
    </row>
    <row r="1452" spans="9:9" x14ac:dyDescent="0.25">
      <c r="I1452" s="4"/>
    </row>
    <row r="1453" spans="9:9" x14ac:dyDescent="0.25">
      <c r="I1453" s="4"/>
    </row>
    <row r="1454" spans="9:9" x14ac:dyDescent="0.25">
      <c r="I1454" s="4"/>
    </row>
    <row r="1455" spans="9:9" x14ac:dyDescent="0.25">
      <c r="I1455" s="4"/>
    </row>
    <row r="1456" spans="9:9" x14ac:dyDescent="0.25">
      <c r="I1456" s="4"/>
    </row>
    <row r="1457" spans="9:9" x14ac:dyDescent="0.25">
      <c r="I1457" s="4"/>
    </row>
    <row r="1458" spans="9:9" x14ac:dyDescent="0.25">
      <c r="I1458" s="4"/>
    </row>
    <row r="1459" spans="9:9" x14ac:dyDescent="0.25">
      <c r="I1459" s="4"/>
    </row>
    <row r="1460" spans="9:9" x14ac:dyDescent="0.25">
      <c r="I1460" s="4"/>
    </row>
    <row r="1461" spans="9:9" x14ac:dyDescent="0.25">
      <c r="I1461" s="4"/>
    </row>
    <row r="1462" spans="9:9" x14ac:dyDescent="0.25">
      <c r="I1462" s="4"/>
    </row>
    <row r="1463" spans="9:9" x14ac:dyDescent="0.25">
      <c r="I1463" s="4"/>
    </row>
    <row r="1464" spans="9:9" x14ac:dyDescent="0.25">
      <c r="I1464" s="4"/>
    </row>
    <row r="1465" spans="9:9" x14ac:dyDescent="0.25">
      <c r="I1465" s="4"/>
    </row>
    <row r="1466" spans="9:9" x14ac:dyDescent="0.25">
      <c r="I1466" s="4"/>
    </row>
    <row r="1467" spans="9:9" x14ac:dyDescent="0.25">
      <c r="I1467" s="4"/>
    </row>
    <row r="1468" spans="9:9" x14ac:dyDescent="0.25">
      <c r="I1468" s="4"/>
    </row>
    <row r="1469" spans="9:9" x14ac:dyDescent="0.25">
      <c r="I1469" s="4"/>
    </row>
    <row r="1470" spans="9:9" x14ac:dyDescent="0.25">
      <c r="I1470" s="4"/>
    </row>
    <row r="1471" spans="9:9" x14ac:dyDescent="0.25">
      <c r="I1471" s="4"/>
    </row>
    <row r="1472" spans="9:9" x14ac:dyDescent="0.25">
      <c r="I1472" s="4"/>
    </row>
    <row r="1473" spans="9:9" x14ac:dyDescent="0.25">
      <c r="I1473" s="4"/>
    </row>
    <row r="1474" spans="9:9" x14ac:dyDescent="0.25">
      <c r="I1474" s="4"/>
    </row>
    <row r="1475" spans="9:9" x14ac:dyDescent="0.25">
      <c r="I1475" s="4"/>
    </row>
    <row r="1476" spans="9:9" x14ac:dyDescent="0.25">
      <c r="I1476" s="4"/>
    </row>
    <row r="1477" spans="9:9" x14ac:dyDescent="0.25">
      <c r="I1477" s="4"/>
    </row>
    <row r="1478" spans="9:9" x14ac:dyDescent="0.25">
      <c r="I1478" s="4"/>
    </row>
    <row r="1479" spans="9:9" x14ac:dyDescent="0.25">
      <c r="I1479" s="4"/>
    </row>
    <row r="1480" spans="9:9" x14ac:dyDescent="0.25">
      <c r="I1480" s="4"/>
    </row>
    <row r="1481" spans="9:9" x14ac:dyDescent="0.25">
      <c r="I1481" s="4"/>
    </row>
    <row r="1482" spans="9:9" x14ac:dyDescent="0.25">
      <c r="I1482" s="4"/>
    </row>
    <row r="1483" spans="9:9" x14ac:dyDescent="0.25">
      <c r="I1483" s="4"/>
    </row>
    <row r="1484" spans="9:9" x14ac:dyDescent="0.25">
      <c r="I1484" s="4"/>
    </row>
    <row r="1485" spans="9:9" x14ac:dyDescent="0.25">
      <c r="I1485" s="4"/>
    </row>
    <row r="1486" spans="9:9" x14ac:dyDescent="0.25">
      <c r="I1486" s="4"/>
    </row>
    <row r="1487" spans="9:9" x14ac:dyDescent="0.25">
      <c r="I1487" s="4"/>
    </row>
    <row r="1488" spans="9:9" x14ac:dyDescent="0.25">
      <c r="I1488" s="4"/>
    </row>
    <row r="1489" spans="9:9" x14ac:dyDescent="0.25">
      <c r="I1489" s="4"/>
    </row>
    <row r="1490" spans="9:9" x14ac:dyDescent="0.25">
      <c r="I1490" s="4"/>
    </row>
    <row r="1491" spans="9:9" x14ac:dyDescent="0.25">
      <c r="I1491" s="4"/>
    </row>
    <row r="1492" spans="9:9" x14ac:dyDescent="0.25">
      <c r="I1492" s="4"/>
    </row>
    <row r="1493" spans="9:9" x14ac:dyDescent="0.25">
      <c r="I1493" s="4"/>
    </row>
    <row r="1494" spans="9:9" x14ac:dyDescent="0.25">
      <c r="I1494" s="4"/>
    </row>
    <row r="1495" spans="9:9" x14ac:dyDescent="0.25">
      <c r="I1495" s="4"/>
    </row>
    <row r="1496" spans="9:9" x14ac:dyDescent="0.25">
      <c r="I1496" s="4"/>
    </row>
    <row r="1497" spans="9:9" x14ac:dyDescent="0.25">
      <c r="I1497" s="4"/>
    </row>
    <row r="1498" spans="9:9" x14ac:dyDescent="0.25">
      <c r="I1498" s="4"/>
    </row>
    <row r="1499" spans="9:9" x14ac:dyDescent="0.25">
      <c r="I1499" s="4"/>
    </row>
    <row r="1500" spans="9:9" x14ac:dyDescent="0.25">
      <c r="I1500" s="4"/>
    </row>
    <row r="1501" spans="9:9" x14ac:dyDescent="0.25">
      <c r="I1501" s="4"/>
    </row>
    <row r="1502" spans="9:9" x14ac:dyDescent="0.25">
      <c r="I1502" s="4"/>
    </row>
    <row r="1503" spans="9:9" x14ac:dyDescent="0.25">
      <c r="I1503" s="4"/>
    </row>
    <row r="1504" spans="9:9" x14ac:dyDescent="0.25">
      <c r="I1504" s="4"/>
    </row>
    <row r="1505" spans="9:9" x14ac:dyDescent="0.25">
      <c r="I1505" s="4"/>
    </row>
    <row r="1506" spans="9:9" x14ac:dyDescent="0.25">
      <c r="I1506" s="4"/>
    </row>
    <row r="1507" spans="9:9" x14ac:dyDescent="0.25">
      <c r="I1507" s="4"/>
    </row>
    <row r="1508" spans="9:9" x14ac:dyDescent="0.25">
      <c r="I1508" s="4"/>
    </row>
    <row r="1509" spans="9:9" x14ac:dyDescent="0.25">
      <c r="I1509" s="4"/>
    </row>
    <row r="1510" spans="9:9" x14ac:dyDescent="0.25">
      <c r="I1510" s="4"/>
    </row>
    <row r="1511" spans="9:9" x14ac:dyDescent="0.25">
      <c r="I1511" s="4"/>
    </row>
    <row r="1512" spans="9:9" x14ac:dyDescent="0.25">
      <c r="I1512" s="4"/>
    </row>
    <row r="1513" spans="9:9" x14ac:dyDescent="0.25">
      <c r="I1513" s="4"/>
    </row>
    <row r="1514" spans="9:9" x14ac:dyDescent="0.25">
      <c r="I1514" s="4"/>
    </row>
    <row r="1515" spans="9:9" x14ac:dyDescent="0.25">
      <c r="I1515" s="4"/>
    </row>
    <row r="1516" spans="9:9" x14ac:dyDescent="0.25">
      <c r="I1516" s="4"/>
    </row>
    <row r="1517" spans="9:9" x14ac:dyDescent="0.25">
      <c r="I1517" s="4"/>
    </row>
    <row r="1518" spans="9:9" x14ac:dyDescent="0.25">
      <c r="I1518" s="4"/>
    </row>
    <row r="1519" spans="9:9" x14ac:dyDescent="0.25">
      <c r="I1519" s="4"/>
    </row>
    <row r="1520" spans="9:9" x14ac:dyDescent="0.25">
      <c r="I1520" s="4"/>
    </row>
    <row r="1521" spans="9:9" x14ac:dyDescent="0.25">
      <c r="I1521" s="4"/>
    </row>
    <row r="1522" spans="9:9" x14ac:dyDescent="0.25">
      <c r="I1522" s="4"/>
    </row>
    <row r="1523" spans="9:9" x14ac:dyDescent="0.25">
      <c r="I1523" s="4"/>
    </row>
    <row r="1524" spans="9:9" x14ac:dyDescent="0.25">
      <c r="I1524" s="4"/>
    </row>
    <row r="1525" spans="9:9" x14ac:dyDescent="0.25">
      <c r="I1525" s="4"/>
    </row>
    <row r="1526" spans="9:9" x14ac:dyDescent="0.25">
      <c r="I1526" s="4"/>
    </row>
    <row r="1527" spans="9:9" x14ac:dyDescent="0.25">
      <c r="I1527" s="4"/>
    </row>
    <row r="1528" spans="9:9" x14ac:dyDescent="0.25">
      <c r="I1528" s="4"/>
    </row>
    <row r="1529" spans="9:9" x14ac:dyDescent="0.25">
      <c r="I1529" s="4"/>
    </row>
    <row r="1530" spans="9:9" x14ac:dyDescent="0.25">
      <c r="I1530" s="4"/>
    </row>
    <row r="1531" spans="9:9" x14ac:dyDescent="0.25">
      <c r="I1531" s="4"/>
    </row>
    <row r="1532" spans="9:9" x14ac:dyDescent="0.25">
      <c r="I1532" s="4"/>
    </row>
    <row r="1533" spans="9:9" x14ac:dyDescent="0.25">
      <c r="I1533" s="4"/>
    </row>
    <row r="1534" spans="9:9" x14ac:dyDescent="0.25">
      <c r="I1534" s="4"/>
    </row>
    <row r="1535" spans="9:9" x14ac:dyDescent="0.25">
      <c r="I1535" s="4"/>
    </row>
    <row r="1536" spans="9:9" x14ac:dyDescent="0.25">
      <c r="I1536" s="4"/>
    </row>
    <row r="1537" spans="9:9" x14ac:dyDescent="0.25">
      <c r="I1537" s="4"/>
    </row>
    <row r="1538" spans="9:9" x14ac:dyDescent="0.25">
      <c r="I1538" s="4"/>
    </row>
    <row r="1539" spans="9:9" x14ac:dyDescent="0.25">
      <c r="I1539" s="4"/>
    </row>
    <row r="1540" spans="9:9" x14ac:dyDescent="0.25">
      <c r="I1540" s="4"/>
    </row>
    <row r="1541" spans="9:9" x14ac:dyDescent="0.25">
      <c r="I1541" s="4"/>
    </row>
    <row r="1542" spans="9:9" x14ac:dyDescent="0.25">
      <c r="I1542" s="4"/>
    </row>
    <row r="1543" spans="9:9" x14ac:dyDescent="0.25">
      <c r="I1543" s="4"/>
    </row>
    <row r="1544" spans="9:9" x14ac:dyDescent="0.25">
      <c r="I1544" s="4"/>
    </row>
    <row r="1545" spans="9:9" x14ac:dyDescent="0.25">
      <c r="I1545" s="4"/>
    </row>
    <row r="1546" spans="9:9" x14ac:dyDescent="0.25">
      <c r="I1546" s="4"/>
    </row>
    <row r="1547" spans="9:9" x14ac:dyDescent="0.25">
      <c r="I1547" s="4"/>
    </row>
    <row r="1548" spans="9:9" x14ac:dyDescent="0.25">
      <c r="I1548" s="4"/>
    </row>
    <row r="1549" spans="9:9" x14ac:dyDescent="0.25">
      <c r="I1549" s="4"/>
    </row>
    <row r="1550" spans="9:9" x14ac:dyDescent="0.25">
      <c r="I1550" s="4"/>
    </row>
    <row r="1551" spans="9:9" x14ac:dyDescent="0.25">
      <c r="I1551" s="4"/>
    </row>
    <row r="1552" spans="9:9" x14ac:dyDescent="0.25">
      <c r="I1552" s="4"/>
    </row>
    <row r="1553" spans="9:9" x14ac:dyDescent="0.25">
      <c r="I1553" s="4"/>
    </row>
    <row r="1554" spans="9:9" x14ac:dyDescent="0.25">
      <c r="I1554" s="4"/>
    </row>
    <row r="1555" spans="9:9" x14ac:dyDescent="0.25">
      <c r="I1555" s="4"/>
    </row>
    <row r="1556" spans="9:9" x14ac:dyDescent="0.25">
      <c r="I1556" s="4"/>
    </row>
    <row r="1557" spans="9:9" x14ac:dyDescent="0.25">
      <c r="I1557" s="4"/>
    </row>
    <row r="1558" spans="9:9" x14ac:dyDescent="0.25">
      <c r="I1558" s="4"/>
    </row>
    <row r="1559" spans="9:9" x14ac:dyDescent="0.25">
      <c r="I1559" s="4"/>
    </row>
    <row r="1560" spans="9:9" x14ac:dyDescent="0.25">
      <c r="I1560" s="4"/>
    </row>
    <row r="1561" spans="9:9" x14ac:dyDescent="0.25">
      <c r="I1561" s="4"/>
    </row>
    <row r="1562" spans="9:9" x14ac:dyDescent="0.25">
      <c r="I1562" s="4"/>
    </row>
    <row r="1563" spans="9:9" x14ac:dyDescent="0.25">
      <c r="I1563" s="4"/>
    </row>
    <row r="1564" spans="9:9" x14ac:dyDescent="0.25">
      <c r="I1564" s="4"/>
    </row>
    <row r="1565" spans="9:9" x14ac:dyDescent="0.25">
      <c r="I1565" s="4"/>
    </row>
    <row r="1566" spans="9:9" x14ac:dyDescent="0.25">
      <c r="I1566" s="4"/>
    </row>
    <row r="1567" spans="9:9" x14ac:dyDescent="0.25">
      <c r="I1567" s="4"/>
    </row>
    <row r="1568" spans="9:9" x14ac:dyDescent="0.25">
      <c r="I1568" s="4"/>
    </row>
    <row r="1569" spans="9:9" x14ac:dyDescent="0.25">
      <c r="I1569" s="4"/>
    </row>
    <row r="1570" spans="9:9" x14ac:dyDescent="0.25">
      <c r="I1570" s="4"/>
    </row>
    <row r="1571" spans="9:9" x14ac:dyDescent="0.25">
      <c r="I1571" s="4"/>
    </row>
    <row r="1572" spans="9:9" x14ac:dyDescent="0.25">
      <c r="I1572" s="4"/>
    </row>
    <row r="1573" spans="9:9" x14ac:dyDescent="0.25">
      <c r="I1573" s="4"/>
    </row>
    <row r="1574" spans="9:9" x14ac:dyDescent="0.25">
      <c r="I1574" s="4"/>
    </row>
    <row r="1575" spans="9:9" x14ac:dyDescent="0.25">
      <c r="I1575" s="4"/>
    </row>
    <row r="1576" spans="9:9" x14ac:dyDescent="0.25">
      <c r="I1576" s="4"/>
    </row>
    <row r="1577" spans="9:9" x14ac:dyDescent="0.25">
      <c r="I1577" s="4"/>
    </row>
    <row r="1578" spans="9:9" x14ac:dyDescent="0.25">
      <c r="I1578" s="4"/>
    </row>
    <row r="1579" spans="9:9" x14ac:dyDescent="0.25">
      <c r="I1579" s="4"/>
    </row>
    <row r="1580" spans="9:9" x14ac:dyDescent="0.25">
      <c r="I1580" s="4"/>
    </row>
    <row r="1581" spans="9:9" x14ac:dyDescent="0.25">
      <c r="I1581" s="4"/>
    </row>
    <row r="1582" spans="9:9" x14ac:dyDescent="0.25">
      <c r="I1582" s="4"/>
    </row>
    <row r="1583" spans="9:9" x14ac:dyDescent="0.25">
      <c r="I1583" s="4"/>
    </row>
    <row r="1584" spans="9:9" x14ac:dyDescent="0.25">
      <c r="I1584" s="4"/>
    </row>
    <row r="1585" spans="9:9" x14ac:dyDescent="0.25">
      <c r="I1585" s="4"/>
    </row>
    <row r="1586" spans="9:9" x14ac:dyDescent="0.25">
      <c r="I1586" s="4"/>
    </row>
    <row r="1587" spans="9:9" x14ac:dyDescent="0.25">
      <c r="I1587" s="4"/>
    </row>
    <row r="1588" spans="9:9" x14ac:dyDescent="0.25">
      <c r="I1588" s="4"/>
    </row>
    <row r="1589" spans="9:9" x14ac:dyDescent="0.25">
      <c r="I1589" s="4"/>
    </row>
    <row r="1590" spans="9:9" x14ac:dyDescent="0.25">
      <c r="I1590" s="4"/>
    </row>
    <row r="1591" spans="9:9" x14ac:dyDescent="0.25">
      <c r="I1591" s="4"/>
    </row>
    <row r="1592" spans="9:9" x14ac:dyDescent="0.25">
      <c r="I1592" s="4"/>
    </row>
    <row r="1593" spans="9:9" x14ac:dyDescent="0.25">
      <c r="I1593" s="4"/>
    </row>
    <row r="1594" spans="9:9" x14ac:dyDescent="0.25">
      <c r="I1594" s="4"/>
    </row>
    <row r="1595" spans="9:9" x14ac:dyDescent="0.25">
      <c r="I1595" s="4"/>
    </row>
    <row r="1596" spans="9:9" x14ac:dyDescent="0.25">
      <c r="I1596" s="4"/>
    </row>
    <row r="1597" spans="9:9" x14ac:dyDescent="0.25">
      <c r="I1597" s="4"/>
    </row>
    <row r="1598" spans="9:9" x14ac:dyDescent="0.25">
      <c r="I1598" s="4"/>
    </row>
    <row r="1599" spans="9:9" x14ac:dyDescent="0.25">
      <c r="I1599" s="4"/>
    </row>
    <row r="1600" spans="9:9" x14ac:dyDescent="0.25">
      <c r="I1600" s="4"/>
    </row>
    <row r="1601" spans="9:9" x14ac:dyDescent="0.25">
      <c r="I1601" s="4"/>
    </row>
    <row r="1602" spans="9:9" x14ac:dyDescent="0.25">
      <c r="I1602" s="4"/>
    </row>
    <row r="1603" spans="9:9" x14ac:dyDescent="0.25">
      <c r="I1603" s="4"/>
    </row>
    <row r="1604" spans="9:9" x14ac:dyDescent="0.25">
      <c r="I1604" s="4"/>
    </row>
    <row r="1605" spans="9:9" x14ac:dyDescent="0.25">
      <c r="I1605" s="4"/>
    </row>
    <row r="1606" spans="9:9" x14ac:dyDescent="0.25">
      <c r="I1606" s="4"/>
    </row>
    <row r="1607" spans="9:9" x14ac:dyDescent="0.25">
      <c r="I1607" s="4"/>
    </row>
    <row r="1608" spans="9:9" x14ac:dyDescent="0.25">
      <c r="I1608" s="4"/>
    </row>
    <row r="1609" spans="9:9" x14ac:dyDescent="0.25">
      <c r="I1609" s="4"/>
    </row>
    <row r="1610" spans="9:9" x14ac:dyDescent="0.25">
      <c r="I1610" s="4"/>
    </row>
    <row r="1611" spans="9:9" x14ac:dyDescent="0.25">
      <c r="I1611" s="4"/>
    </row>
    <row r="1612" spans="9:9" x14ac:dyDescent="0.25">
      <c r="I1612" s="4"/>
    </row>
    <row r="1613" spans="9:9" x14ac:dyDescent="0.25">
      <c r="I1613" s="4"/>
    </row>
    <row r="1614" spans="9:9" x14ac:dyDescent="0.25">
      <c r="I1614" s="4"/>
    </row>
    <row r="1615" spans="9:9" x14ac:dyDescent="0.25">
      <c r="I1615" s="4"/>
    </row>
    <row r="1616" spans="9:9" x14ac:dyDescent="0.25">
      <c r="I1616" s="4"/>
    </row>
    <row r="1617" spans="9:9" x14ac:dyDescent="0.25">
      <c r="I1617" s="4"/>
    </row>
    <row r="1618" spans="9:9" x14ac:dyDescent="0.25">
      <c r="I1618" s="4"/>
    </row>
    <row r="1619" spans="9:9" x14ac:dyDescent="0.25">
      <c r="I1619" s="4"/>
    </row>
    <row r="1620" spans="9:9" x14ac:dyDescent="0.25">
      <c r="I1620" s="4"/>
    </row>
    <row r="1621" spans="9:9" x14ac:dyDescent="0.25">
      <c r="I1621" s="4"/>
    </row>
    <row r="1622" spans="9:9" x14ac:dyDescent="0.25">
      <c r="I1622" s="4"/>
    </row>
    <row r="1623" spans="9:9" x14ac:dyDescent="0.25">
      <c r="I1623" s="4"/>
    </row>
    <row r="1624" spans="9:9" x14ac:dyDescent="0.25">
      <c r="I1624" s="4"/>
    </row>
    <row r="1625" spans="9:9" x14ac:dyDescent="0.25">
      <c r="I1625" s="4"/>
    </row>
    <row r="1626" spans="9:9" x14ac:dyDescent="0.25">
      <c r="I1626" s="4"/>
    </row>
    <row r="1627" spans="9:9" x14ac:dyDescent="0.25">
      <c r="I1627" s="4"/>
    </row>
    <row r="1628" spans="9:9" x14ac:dyDescent="0.25">
      <c r="I1628" s="4"/>
    </row>
    <row r="1629" spans="9:9" x14ac:dyDescent="0.25">
      <c r="I1629" s="4"/>
    </row>
    <row r="1630" spans="9:9" x14ac:dyDescent="0.25">
      <c r="I1630" s="4"/>
    </row>
    <row r="1631" spans="9:9" x14ac:dyDescent="0.25">
      <c r="I1631" s="4"/>
    </row>
    <row r="1632" spans="9:9" x14ac:dyDescent="0.25">
      <c r="I1632" s="4"/>
    </row>
    <row r="1633" spans="9:9" x14ac:dyDescent="0.25">
      <c r="I1633" s="4"/>
    </row>
    <row r="1634" spans="9:9" x14ac:dyDescent="0.25">
      <c r="I1634" s="4"/>
    </row>
    <row r="1635" spans="9:9" x14ac:dyDescent="0.25">
      <c r="I1635" s="4"/>
    </row>
    <row r="1636" spans="9:9" x14ac:dyDescent="0.25">
      <c r="I1636" s="4"/>
    </row>
    <row r="1637" spans="9:9" x14ac:dyDescent="0.25">
      <c r="I1637" s="4"/>
    </row>
    <row r="1638" spans="9:9" x14ac:dyDescent="0.25">
      <c r="I1638" s="4"/>
    </row>
    <row r="1639" spans="9:9" x14ac:dyDescent="0.25">
      <c r="I1639" s="4"/>
    </row>
    <row r="1640" spans="9:9" x14ac:dyDescent="0.25">
      <c r="I1640" s="4"/>
    </row>
    <row r="1641" spans="9:9" x14ac:dyDescent="0.25">
      <c r="I1641" s="4"/>
    </row>
    <row r="1642" spans="9:9" x14ac:dyDescent="0.25">
      <c r="I1642" s="4"/>
    </row>
    <row r="1643" spans="9:9" x14ac:dyDescent="0.25">
      <c r="I1643" s="4"/>
    </row>
    <row r="1644" spans="9:9" x14ac:dyDescent="0.25">
      <c r="I1644" s="4"/>
    </row>
    <row r="1645" spans="9:9" x14ac:dyDescent="0.25">
      <c r="I1645" s="4"/>
    </row>
    <row r="1646" spans="9:9" x14ac:dyDescent="0.25">
      <c r="I1646" s="4"/>
    </row>
    <row r="1647" spans="9:9" x14ac:dyDescent="0.25">
      <c r="I1647" s="4"/>
    </row>
    <row r="1648" spans="9:9" x14ac:dyDescent="0.25">
      <c r="I1648" s="4"/>
    </row>
    <row r="1649" spans="9:9" x14ac:dyDescent="0.25">
      <c r="I1649" s="4"/>
    </row>
    <row r="1650" spans="9:9" x14ac:dyDescent="0.25">
      <c r="I1650" s="4"/>
    </row>
    <row r="1651" spans="9:9" x14ac:dyDescent="0.25">
      <c r="I1651" s="4"/>
    </row>
    <row r="1652" spans="9:9" x14ac:dyDescent="0.25">
      <c r="I1652" s="4"/>
    </row>
    <row r="1653" spans="9:9" x14ac:dyDescent="0.25">
      <c r="I1653" s="4"/>
    </row>
    <row r="1654" spans="9:9" x14ac:dyDescent="0.25">
      <c r="I1654" s="4"/>
    </row>
    <row r="1655" spans="9:9" x14ac:dyDescent="0.25">
      <c r="I1655" s="4"/>
    </row>
    <row r="1656" spans="9:9" x14ac:dyDescent="0.25">
      <c r="I1656" s="4"/>
    </row>
    <row r="1657" spans="9:9" x14ac:dyDescent="0.25">
      <c r="I1657" s="4"/>
    </row>
    <row r="1658" spans="9:9" x14ac:dyDescent="0.25">
      <c r="I1658" s="4"/>
    </row>
    <row r="1659" spans="9:9" x14ac:dyDescent="0.25">
      <c r="I1659" s="4"/>
    </row>
    <row r="1660" spans="9:9" x14ac:dyDescent="0.25">
      <c r="I1660" s="4"/>
    </row>
    <row r="1661" spans="9:9" x14ac:dyDescent="0.25">
      <c r="I1661" s="4"/>
    </row>
    <row r="1662" spans="9:9" x14ac:dyDescent="0.25">
      <c r="I1662" s="4"/>
    </row>
    <row r="1663" spans="9:9" x14ac:dyDescent="0.25">
      <c r="I1663" s="4"/>
    </row>
    <row r="1664" spans="9:9" x14ac:dyDescent="0.25">
      <c r="I1664" s="4"/>
    </row>
    <row r="1665" spans="9:9" x14ac:dyDescent="0.25">
      <c r="I1665" s="4"/>
    </row>
    <row r="1666" spans="9:9" x14ac:dyDescent="0.25">
      <c r="I1666" s="4"/>
    </row>
    <row r="1667" spans="9:9" x14ac:dyDescent="0.25">
      <c r="I1667" s="4"/>
    </row>
    <row r="1668" spans="9:9" x14ac:dyDescent="0.25">
      <c r="I1668" s="4"/>
    </row>
    <row r="1669" spans="9:9" x14ac:dyDescent="0.25">
      <c r="I1669" s="4"/>
    </row>
    <row r="1670" spans="9:9" x14ac:dyDescent="0.25">
      <c r="I1670" s="4"/>
    </row>
    <row r="1671" spans="9:9" x14ac:dyDescent="0.25">
      <c r="I1671" s="4"/>
    </row>
    <row r="1672" spans="9:9" x14ac:dyDescent="0.25">
      <c r="I1672" s="4"/>
    </row>
    <row r="1673" spans="9:9" x14ac:dyDescent="0.25">
      <c r="I1673" s="4"/>
    </row>
    <row r="1674" spans="9:9" x14ac:dyDescent="0.25">
      <c r="I1674" s="4"/>
    </row>
    <row r="1675" spans="9:9" x14ac:dyDescent="0.25">
      <c r="I1675" s="4"/>
    </row>
    <row r="1676" spans="9:9" x14ac:dyDescent="0.25">
      <c r="I1676" s="4"/>
    </row>
    <row r="1677" spans="9:9" x14ac:dyDescent="0.25">
      <c r="I1677" s="4"/>
    </row>
    <row r="1678" spans="9:9" x14ac:dyDescent="0.25">
      <c r="I1678" s="4"/>
    </row>
    <row r="1679" spans="9:9" x14ac:dyDescent="0.25">
      <c r="I1679" s="4"/>
    </row>
    <row r="1680" spans="9:9" x14ac:dyDescent="0.25">
      <c r="I1680" s="4"/>
    </row>
    <row r="1681" spans="9:9" x14ac:dyDescent="0.25">
      <c r="I1681" s="4"/>
    </row>
    <row r="1682" spans="9:9" x14ac:dyDescent="0.25">
      <c r="I1682" s="4"/>
    </row>
    <row r="1683" spans="9:9" x14ac:dyDescent="0.25">
      <c r="I1683" s="4"/>
    </row>
    <row r="1684" spans="9:9" x14ac:dyDescent="0.25">
      <c r="I1684" s="4"/>
    </row>
    <row r="1685" spans="9:9" x14ac:dyDescent="0.25">
      <c r="I1685" s="4"/>
    </row>
    <row r="1686" spans="9:9" x14ac:dyDescent="0.25">
      <c r="I1686" s="4"/>
    </row>
    <row r="1687" spans="9:9" x14ac:dyDescent="0.25">
      <c r="I1687" s="4"/>
    </row>
    <row r="1688" spans="9:9" x14ac:dyDescent="0.25">
      <c r="I1688" s="4"/>
    </row>
    <row r="1689" spans="9:9" x14ac:dyDescent="0.25">
      <c r="I1689" s="4"/>
    </row>
    <row r="1690" spans="9:9" x14ac:dyDescent="0.25">
      <c r="I1690" s="4"/>
    </row>
    <row r="1691" spans="9:9" x14ac:dyDescent="0.25">
      <c r="I1691" s="4"/>
    </row>
    <row r="1692" spans="9:9" x14ac:dyDescent="0.25">
      <c r="I1692" s="4"/>
    </row>
    <row r="1693" spans="9:9" x14ac:dyDescent="0.25">
      <c r="I1693" s="4"/>
    </row>
    <row r="1694" spans="9:9" x14ac:dyDescent="0.25">
      <c r="I1694" s="4"/>
    </row>
    <row r="1695" spans="9:9" x14ac:dyDescent="0.25">
      <c r="I1695" s="4"/>
    </row>
    <row r="1696" spans="9:9" x14ac:dyDescent="0.25">
      <c r="I1696" s="4"/>
    </row>
  </sheetData>
  <mergeCells count="1">
    <mergeCell ref="CV8:CX8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9BD2F-6EA8-42DA-A684-3985FF9585FD}">
  <sheetPr codeName="Sheet16">
    <tabColor rgb="FFFFFF00"/>
  </sheetPr>
  <dimension ref="A1:B9"/>
  <sheetViews>
    <sheetView workbookViewId="0">
      <selection activeCell="B22" sqref="B22"/>
    </sheetView>
  </sheetViews>
  <sheetFormatPr defaultRowHeight="15" x14ac:dyDescent="0.25"/>
  <cols>
    <col min="1" max="1" width="14.140625" style="46" bestFit="1" customWidth="1"/>
    <col min="2" max="2" width="24.28515625" style="46" bestFit="1" customWidth="1"/>
    <col min="3" max="16384" width="9.140625" style="46"/>
  </cols>
  <sheetData>
    <row r="1" spans="1:2" x14ac:dyDescent="0.25">
      <c r="A1" s="47" t="s">
        <v>4316</v>
      </c>
      <c r="B1" s="47" t="s">
        <v>4324</v>
      </c>
    </row>
    <row r="2" spans="1:2" x14ac:dyDescent="0.25">
      <c r="A2" s="47" t="s">
        <v>4317</v>
      </c>
      <c r="B2" s="48">
        <v>1</v>
      </c>
    </row>
    <row r="3" spans="1:2" x14ac:dyDescent="0.25">
      <c r="A3" s="47" t="s">
        <v>4325</v>
      </c>
      <c r="B3" s="48"/>
    </row>
    <row r="4" spans="1:2" x14ac:dyDescent="0.25">
      <c r="A4" s="47" t="s">
        <v>4318</v>
      </c>
      <c r="B4" s="47"/>
    </row>
    <row r="5" spans="1:2" x14ac:dyDescent="0.25">
      <c r="A5" s="47" t="s">
        <v>4319</v>
      </c>
      <c r="B5" s="47"/>
    </row>
    <row r="6" spans="1:2" x14ac:dyDescent="0.25">
      <c r="A6" s="47" t="s">
        <v>4320</v>
      </c>
      <c r="B6" s="47"/>
    </row>
    <row r="7" spans="1:2" x14ac:dyDescent="0.25">
      <c r="A7" s="47" t="s">
        <v>4321</v>
      </c>
      <c r="B7" s="47"/>
    </row>
    <row r="8" spans="1:2" x14ac:dyDescent="0.25">
      <c r="A8" s="47" t="s">
        <v>4322</v>
      </c>
      <c r="B8" s="47"/>
    </row>
    <row r="9" spans="1:2" x14ac:dyDescent="0.25">
      <c r="A9" s="47" t="s">
        <v>4323</v>
      </c>
      <c r="B9" s="4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D05F4-82D0-4C2A-98CB-91D37295F89F}">
  <sheetPr codeName="Sheet1">
    <tabColor rgb="FF0070C0"/>
  </sheetPr>
  <dimension ref="A1:CT100"/>
  <sheetViews>
    <sheetView showGridLines="0" showRowColHeaders="0" tabSelected="1" zoomScaleNormal="100" workbookViewId="0">
      <selection activeCell="B2" sqref="B2"/>
    </sheetView>
  </sheetViews>
  <sheetFormatPr defaultColWidth="0" defaultRowHeight="15" zeroHeight="1" x14ac:dyDescent="0.25"/>
  <cols>
    <col min="1" max="8" width="9.140625" style="32" customWidth="1"/>
    <col min="9" max="9" width="2.7109375" style="32" customWidth="1"/>
    <col min="10" max="13" width="9.140625" style="1" customWidth="1"/>
    <col min="14" max="14" width="2.7109375" style="1" customWidth="1"/>
    <col min="15" max="18" width="9.140625" style="1" customWidth="1"/>
    <col min="19" max="19" width="2.5703125" style="32" customWidth="1"/>
    <col min="20" max="20" width="15.85546875" style="1" bestFit="1" customWidth="1"/>
    <col min="21" max="25" width="9.140625" style="1" customWidth="1"/>
    <col min="26" max="26" width="2.85546875" style="1" bestFit="1" customWidth="1"/>
    <col min="27" max="29" width="9.140625" style="1" customWidth="1"/>
    <col min="30" max="30" width="9.5703125" style="1" bestFit="1" customWidth="1"/>
    <col min="31" max="31" width="9.28515625" style="1" bestFit="1" customWidth="1"/>
    <col min="32" max="32" width="11.7109375" style="1" bestFit="1" customWidth="1"/>
    <col min="33" max="33" width="2.5703125" style="32" customWidth="1"/>
    <col min="34" max="34" width="5.28515625" style="1" bestFit="1" customWidth="1"/>
    <col min="35" max="35" width="23.85546875" style="1" bestFit="1" customWidth="1"/>
    <col min="36" max="36" width="4" style="1" bestFit="1" customWidth="1"/>
    <col min="37" max="39" width="3.140625" style="1" bestFit="1" customWidth="1"/>
    <col min="40" max="40" width="3.5703125" style="1" bestFit="1" customWidth="1"/>
    <col min="41" max="41" width="3.7109375" style="1" bestFit="1" customWidth="1"/>
    <col min="42" max="42" width="3.85546875" style="1" bestFit="1" customWidth="1"/>
    <col min="43" max="43" width="4.140625" style="1" bestFit="1" customWidth="1"/>
    <col min="44" max="48" width="3" style="1" bestFit="1" customWidth="1"/>
    <col min="49" max="98" width="0" style="8" hidden="1" customWidth="1"/>
    <col min="99" max="16384" width="9.140625" style="1" hidden="1"/>
  </cols>
  <sheetData>
    <row r="1" spans="10:48" x14ac:dyDescent="0.25">
      <c r="J1" s="88" t="str">
        <f>Control!B12</f>
        <v/>
      </c>
      <c r="K1" s="89"/>
      <c r="L1" s="89"/>
      <c r="M1" s="55" t="s">
        <v>212</v>
      </c>
      <c r="N1" s="56"/>
      <c r="O1" s="57"/>
      <c r="P1" s="51" t="s">
        <v>213</v>
      </c>
      <c r="Q1" s="52"/>
      <c r="R1" s="52"/>
      <c r="T1" s="68" t="s">
        <v>190</v>
      </c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H1" s="90" t="s">
        <v>199</v>
      </c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</row>
    <row r="2" spans="10:48" x14ac:dyDescent="0.25">
      <c r="J2" s="55" t="str">
        <f>Control!B14</f>
        <v/>
      </c>
      <c r="K2" s="56"/>
      <c r="L2" s="56"/>
      <c r="M2" s="55" t="str">
        <f>Control!B16</f>
        <v/>
      </c>
      <c r="N2" s="56"/>
      <c r="O2" s="57"/>
      <c r="P2" s="53" t="str">
        <f>Control!B18</f>
        <v/>
      </c>
      <c r="Q2" s="54"/>
      <c r="R2" s="54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0"/>
      <c r="AV2" s="90"/>
    </row>
    <row r="3" spans="10:48" ht="15" customHeight="1" x14ac:dyDescent="0.25">
      <c r="J3" s="96" t="str">
        <f>Control!C20</f>
        <v/>
      </c>
      <c r="K3" s="97" t="str">
        <f>Control!B20</f>
        <v/>
      </c>
      <c r="L3" s="98"/>
      <c r="M3" s="98"/>
      <c r="N3" s="101" t="s">
        <v>191</v>
      </c>
      <c r="O3" s="98" t="str">
        <f>Control!B22</f>
        <v/>
      </c>
      <c r="P3" s="98"/>
      <c r="Q3" s="103"/>
      <c r="R3" s="105" t="str">
        <f>Control!C22</f>
        <v/>
      </c>
      <c r="T3" s="69" t="s">
        <v>193</v>
      </c>
      <c r="U3" s="69" t="s">
        <v>194</v>
      </c>
      <c r="V3" s="69"/>
      <c r="W3" s="69" t="s">
        <v>171</v>
      </c>
      <c r="X3" s="69"/>
      <c r="Y3" s="69"/>
      <c r="Z3" s="69" t="s">
        <v>191</v>
      </c>
      <c r="AA3" s="69" t="s">
        <v>172</v>
      </c>
      <c r="AB3" s="69"/>
      <c r="AC3" s="69"/>
      <c r="AD3" s="70" t="s">
        <v>195</v>
      </c>
      <c r="AE3" s="70" t="s">
        <v>196</v>
      </c>
      <c r="AF3" s="69" t="s">
        <v>197</v>
      </c>
      <c r="AH3" s="84" t="s">
        <v>201</v>
      </c>
      <c r="AI3" s="84" t="s">
        <v>202</v>
      </c>
      <c r="AJ3" s="84" t="s">
        <v>203</v>
      </c>
      <c r="AK3" s="84" t="s">
        <v>186</v>
      </c>
      <c r="AL3" s="84" t="s">
        <v>187</v>
      </c>
      <c r="AM3" s="84" t="s">
        <v>188</v>
      </c>
      <c r="AN3" s="84" t="s">
        <v>218</v>
      </c>
      <c r="AO3" s="91" t="s">
        <v>219</v>
      </c>
      <c r="AP3" s="84" t="s">
        <v>204</v>
      </c>
      <c r="AQ3" s="84" t="s">
        <v>205</v>
      </c>
      <c r="AR3" s="84" t="s">
        <v>200</v>
      </c>
      <c r="AS3" s="84"/>
      <c r="AT3" s="84"/>
      <c r="AU3" s="84"/>
      <c r="AV3" s="84"/>
    </row>
    <row r="4" spans="10:48" ht="15" customHeight="1" x14ac:dyDescent="0.25">
      <c r="J4" s="96"/>
      <c r="K4" s="99"/>
      <c r="L4" s="100"/>
      <c r="M4" s="100"/>
      <c r="N4" s="102"/>
      <c r="O4" s="100"/>
      <c r="P4" s="100"/>
      <c r="Q4" s="104"/>
      <c r="R4" s="105"/>
      <c r="T4" s="69"/>
      <c r="U4" s="69"/>
      <c r="V4" s="69"/>
      <c r="W4" s="69"/>
      <c r="X4" s="69"/>
      <c r="Y4" s="69"/>
      <c r="Z4" s="69"/>
      <c r="AA4" s="69"/>
      <c r="AB4" s="69"/>
      <c r="AC4" s="69"/>
      <c r="AD4" s="71"/>
      <c r="AE4" s="71"/>
      <c r="AF4" s="69"/>
      <c r="AH4" s="84"/>
      <c r="AI4" s="84"/>
      <c r="AJ4" s="84"/>
      <c r="AK4" s="84"/>
      <c r="AL4" s="84"/>
      <c r="AM4" s="84"/>
      <c r="AN4" s="84"/>
      <c r="AO4" s="92"/>
      <c r="AP4" s="84"/>
      <c r="AQ4" s="84"/>
      <c r="AR4" s="84"/>
      <c r="AS4" s="84"/>
      <c r="AT4" s="84"/>
      <c r="AU4" s="84"/>
      <c r="AV4" s="84"/>
    </row>
    <row r="5" spans="10:48" ht="15" customHeight="1" x14ac:dyDescent="0.25">
      <c r="J5" s="35"/>
      <c r="K5" s="36"/>
      <c r="L5" s="36"/>
      <c r="M5" s="36"/>
      <c r="N5" s="37"/>
      <c r="O5" s="36"/>
      <c r="P5" s="36"/>
      <c r="Q5" s="36"/>
      <c r="R5" s="35"/>
      <c r="T5" s="5" t="str">
        <f>Control!R2</f>
        <v>07/03/2026 12:15</v>
      </c>
      <c r="U5" s="64" t="str">
        <f>Control!T2</f>
        <v>FA Cup</v>
      </c>
      <c r="V5" s="65"/>
      <c r="W5" s="64" t="str">
        <f>Control!V2</f>
        <v>Mansfield Town</v>
      </c>
      <c r="X5" s="66"/>
      <c r="Y5" s="65"/>
      <c r="Z5" s="70"/>
      <c r="AA5" s="64" t="str">
        <f>Control!X2</f>
        <v>Arsenal</v>
      </c>
      <c r="AB5" s="66"/>
      <c r="AC5" s="65"/>
      <c r="AD5" s="5" t="str">
        <f>Control!BR2</f>
        <v>0 : 1</v>
      </c>
      <c r="AE5" s="5" t="str">
        <f>Control!BS2</f>
        <v>1 : 2</v>
      </c>
      <c r="AF5" s="5" t="str">
        <f>Control!BT2</f>
        <v>4 : 8</v>
      </c>
      <c r="AH5" s="10">
        <f>Control!BV2</f>
        <v>0</v>
      </c>
      <c r="AI5" s="10">
        <f>Control!BW2</f>
        <v>0</v>
      </c>
      <c r="AJ5" s="10">
        <f>Control!BX2</f>
        <v>0</v>
      </c>
      <c r="AK5" s="10">
        <f>Control!BY2</f>
        <v>0</v>
      </c>
      <c r="AL5" s="10">
        <f>Control!BZ2</f>
        <v>0</v>
      </c>
      <c r="AM5" s="10">
        <f>Control!CA2</f>
        <v>0</v>
      </c>
      <c r="AN5" s="10">
        <f>Control!CB2</f>
        <v>0</v>
      </c>
      <c r="AO5" s="10">
        <f>Control!CC2</f>
        <v>0</v>
      </c>
      <c r="AP5" s="10">
        <f>Control!CD2</f>
        <v>0</v>
      </c>
      <c r="AQ5" s="10">
        <f>Control!CE2</f>
        <v>0</v>
      </c>
      <c r="AR5" s="10" t="str">
        <f>Control!CG2</f>
        <v>0</v>
      </c>
      <c r="AS5" s="10" t="str">
        <f>Control!CH2</f>
        <v/>
      </c>
      <c r="AT5" s="10" t="str">
        <f>Control!CI2</f>
        <v/>
      </c>
      <c r="AU5" s="10" t="str">
        <f>Control!CJ2</f>
        <v/>
      </c>
      <c r="AV5" s="10" t="str">
        <f>Control!CK2</f>
        <v/>
      </c>
    </row>
    <row r="6" spans="10:48" x14ac:dyDescent="0.25">
      <c r="J6" s="38"/>
      <c r="K6" s="38"/>
      <c r="L6" s="38"/>
      <c r="M6" s="38"/>
      <c r="N6" s="38"/>
      <c r="O6" s="38"/>
      <c r="P6" s="38"/>
      <c r="Q6" s="38"/>
      <c r="R6" s="38"/>
      <c r="T6" s="5" t="str">
        <f>Control!R3</f>
        <v>28/02/2026 15:00</v>
      </c>
      <c r="U6" s="64" t="str">
        <f>Control!T3</f>
        <v>League One</v>
      </c>
      <c r="V6" s="65"/>
      <c r="W6" s="64" t="str">
        <f>Control!V3</f>
        <v>Mansfield Town</v>
      </c>
      <c r="X6" s="66"/>
      <c r="Y6" s="65"/>
      <c r="Z6" s="81"/>
      <c r="AA6" s="64" t="str">
        <f>Control!X3</f>
        <v>AFC Wimbledon</v>
      </c>
      <c r="AB6" s="66"/>
      <c r="AC6" s="65"/>
      <c r="AD6" s="5" t="str">
        <f>Control!BR3</f>
        <v>2 : 1</v>
      </c>
      <c r="AE6" s="5" t="str">
        <f>Control!BS3</f>
        <v>2 : 2</v>
      </c>
      <c r="AF6" s="5" t="str">
        <f>Control!BT3</f>
        <v>7 : 6</v>
      </c>
      <c r="AH6" s="10" t="str">
        <f>Control!BV3</f>
        <v/>
      </c>
      <c r="AI6" s="10" t="str">
        <f>Control!BW3</f>
        <v/>
      </c>
      <c r="AJ6" s="10" t="str">
        <f>Control!BX3</f>
        <v/>
      </c>
      <c r="AK6" s="10" t="str">
        <f>Control!BY3</f>
        <v/>
      </c>
      <c r="AL6" s="10" t="str">
        <f>Control!BZ3</f>
        <v/>
      </c>
      <c r="AM6" s="10" t="str">
        <f>Control!CA3</f>
        <v/>
      </c>
      <c r="AN6" s="10" t="str">
        <f>Control!CB3</f>
        <v/>
      </c>
      <c r="AO6" s="10" t="str">
        <f>Control!CC3</f>
        <v/>
      </c>
      <c r="AP6" s="10" t="str">
        <f>Control!CD3</f>
        <v/>
      </c>
      <c r="AQ6" s="10" t="str">
        <f>Control!CE3</f>
        <v/>
      </c>
      <c r="AR6" s="10" t="str">
        <f>Control!CG3</f>
        <v/>
      </c>
      <c r="AS6" s="10" t="str">
        <f>Control!CH3</f>
        <v/>
      </c>
      <c r="AT6" s="10" t="str">
        <f>Control!CI3</f>
        <v/>
      </c>
      <c r="AU6" s="10" t="str">
        <f>Control!CJ3</f>
        <v/>
      </c>
      <c r="AV6" s="10" t="str">
        <f>Control!CK3</f>
        <v/>
      </c>
    </row>
    <row r="7" spans="10:48" x14ac:dyDescent="0.25">
      <c r="J7" s="58" t="s">
        <v>173</v>
      </c>
      <c r="K7" s="58"/>
      <c r="L7" s="58"/>
      <c r="M7" s="58"/>
      <c r="N7" s="32"/>
      <c r="O7" s="58" t="s">
        <v>248</v>
      </c>
      <c r="P7" s="58"/>
      <c r="Q7" s="58"/>
      <c r="R7" s="58"/>
      <c r="T7" s="5" t="str">
        <f>Control!R4</f>
        <v>21/02/2026 15:00</v>
      </c>
      <c r="U7" s="64" t="str">
        <f>Control!T4</f>
        <v>League One</v>
      </c>
      <c r="V7" s="65"/>
      <c r="W7" s="64" t="str">
        <f>Control!V4</f>
        <v>Mansfield Town</v>
      </c>
      <c r="X7" s="66"/>
      <c r="Y7" s="65"/>
      <c r="Z7" s="81"/>
      <c r="AA7" s="64" t="str">
        <f>Control!X4</f>
        <v>Lincoln</v>
      </c>
      <c r="AB7" s="66"/>
      <c r="AC7" s="65"/>
      <c r="AD7" s="5" t="str">
        <f>Control!BR4</f>
        <v>0 : 1</v>
      </c>
      <c r="AE7" s="5" t="str">
        <f>Control!BS4</f>
        <v>0 : 2</v>
      </c>
      <c r="AF7" s="5" t="str">
        <f>Control!BT4</f>
        <v>2 : 4</v>
      </c>
      <c r="AH7" s="10" t="str">
        <f>Control!BV4</f>
        <v/>
      </c>
      <c r="AI7" s="10" t="str">
        <f>Control!BW4</f>
        <v/>
      </c>
      <c r="AJ7" s="10" t="str">
        <f>Control!BX4</f>
        <v/>
      </c>
      <c r="AK7" s="10" t="str">
        <f>Control!BY4</f>
        <v/>
      </c>
      <c r="AL7" s="10" t="str">
        <f>Control!BZ4</f>
        <v/>
      </c>
      <c r="AM7" s="10" t="str">
        <f>Control!CA4</f>
        <v/>
      </c>
      <c r="AN7" s="10" t="str">
        <f>Control!CB4</f>
        <v/>
      </c>
      <c r="AO7" s="10" t="str">
        <f>Control!CC4</f>
        <v/>
      </c>
      <c r="AP7" s="10" t="str">
        <f>Control!CD4</f>
        <v/>
      </c>
      <c r="AQ7" s="10" t="str">
        <f>Control!CE4</f>
        <v/>
      </c>
      <c r="AR7" s="10" t="str">
        <f>Control!CG4</f>
        <v/>
      </c>
      <c r="AS7" s="10" t="str">
        <f>Control!CH4</f>
        <v/>
      </c>
      <c r="AT7" s="10" t="str">
        <f>Control!CI4</f>
        <v/>
      </c>
      <c r="AU7" s="10" t="str">
        <f>Control!CJ4</f>
        <v/>
      </c>
      <c r="AV7" s="10" t="str">
        <f>Control!CK4</f>
        <v/>
      </c>
    </row>
    <row r="8" spans="10:48" x14ac:dyDescent="0.25">
      <c r="J8" s="58"/>
      <c r="K8" s="58"/>
      <c r="L8" s="58"/>
      <c r="M8" s="58"/>
      <c r="N8" s="32"/>
      <c r="O8" s="58"/>
      <c r="P8" s="58"/>
      <c r="Q8" s="58"/>
      <c r="R8" s="58"/>
      <c r="T8" s="5" t="str">
        <f>Control!R5</f>
        <v>10/02/2026 19:45</v>
      </c>
      <c r="U8" s="64" t="str">
        <f>Control!T5</f>
        <v>League One</v>
      </c>
      <c r="V8" s="65"/>
      <c r="W8" s="64" t="str">
        <f>Control!V5</f>
        <v>Mansfield Town</v>
      </c>
      <c r="X8" s="66"/>
      <c r="Y8" s="65"/>
      <c r="Z8" s="81"/>
      <c r="AA8" s="64" t="str">
        <f>Control!X5</f>
        <v>Peterborough</v>
      </c>
      <c r="AB8" s="66"/>
      <c r="AC8" s="65"/>
      <c r="AD8" s="5" t="str">
        <f>Control!BR5</f>
        <v>0 : 0</v>
      </c>
      <c r="AE8" s="5" t="str">
        <f>Control!BS5</f>
        <v>1 : 2</v>
      </c>
      <c r="AF8" s="5" t="str">
        <f>Control!BT5</f>
        <v>19 : 0</v>
      </c>
      <c r="AH8" s="10" t="str">
        <f>Control!BV5</f>
        <v/>
      </c>
      <c r="AI8" s="10" t="str">
        <f>Control!BW5</f>
        <v/>
      </c>
      <c r="AJ8" s="10" t="str">
        <f>Control!BX5</f>
        <v/>
      </c>
      <c r="AK8" s="10" t="str">
        <f>Control!BY5</f>
        <v/>
      </c>
      <c r="AL8" s="10" t="str">
        <f>Control!BZ5</f>
        <v/>
      </c>
      <c r="AM8" s="10" t="str">
        <f>Control!CA5</f>
        <v/>
      </c>
      <c r="AN8" s="10" t="str">
        <f>Control!CB5</f>
        <v/>
      </c>
      <c r="AO8" s="10" t="str">
        <f>Control!CC5</f>
        <v/>
      </c>
      <c r="AP8" s="10" t="str">
        <f>Control!CD5</f>
        <v/>
      </c>
      <c r="AQ8" s="10" t="str">
        <f>Control!CE5</f>
        <v/>
      </c>
      <c r="AR8" s="10" t="str">
        <f>Control!CG5</f>
        <v/>
      </c>
      <c r="AS8" s="10" t="str">
        <f>Control!CH5</f>
        <v/>
      </c>
      <c r="AT8" s="10" t="str">
        <f>Control!CI5</f>
        <v/>
      </c>
      <c r="AU8" s="10" t="str">
        <f>Control!CJ5</f>
        <v/>
      </c>
      <c r="AV8" s="10" t="str">
        <f>Control!CK5</f>
        <v/>
      </c>
    </row>
    <row r="9" spans="10:48" x14ac:dyDescent="0.25">
      <c r="J9" s="59" t="s">
        <v>174</v>
      </c>
      <c r="K9" s="59"/>
      <c r="L9" s="60" t="str">
        <f>IFERROR(IF(Control!CM2="","",Control!CM2),"")</f>
        <v/>
      </c>
      <c r="M9" s="60"/>
      <c r="N9" s="32"/>
      <c r="O9" s="59" t="s">
        <v>184</v>
      </c>
      <c r="P9" s="59"/>
      <c r="Q9" s="62">
        <f>IF(Control!CP8="","",ROUND(Control!CP8,2))</f>
        <v>1.1000000000000001</v>
      </c>
      <c r="R9" s="62"/>
      <c r="T9" s="5" t="str">
        <f>Control!R6</f>
        <v>07/02/2026 15:01</v>
      </c>
      <c r="U9" s="64" t="str">
        <f>Control!T6</f>
        <v>League One</v>
      </c>
      <c r="V9" s="65"/>
      <c r="W9" s="64" t="str">
        <f>Control!V6</f>
        <v>Mansfield Town</v>
      </c>
      <c r="X9" s="66"/>
      <c r="Y9" s="65"/>
      <c r="Z9" s="81"/>
      <c r="AA9" s="64" t="str">
        <f>Control!X6</f>
        <v>Exeter City</v>
      </c>
      <c r="AB9" s="66"/>
      <c r="AC9" s="65"/>
      <c r="AD9" s="5" t="str">
        <f>Control!BR6</f>
        <v>0 : 0</v>
      </c>
      <c r="AE9" s="5" t="str">
        <f>Control!BS6</f>
        <v>0 : 0</v>
      </c>
      <c r="AF9" s="5" t="str">
        <f>Control!BT6</f>
        <v>4 : 4</v>
      </c>
      <c r="AH9" s="10" t="str">
        <f>Control!BV6</f>
        <v/>
      </c>
      <c r="AI9" s="10" t="str">
        <f>Control!BW6</f>
        <v/>
      </c>
      <c r="AJ9" s="10" t="str">
        <f>Control!BX6</f>
        <v/>
      </c>
      <c r="AK9" s="10" t="str">
        <f>Control!BY6</f>
        <v/>
      </c>
      <c r="AL9" s="10" t="str">
        <f>Control!BZ6</f>
        <v/>
      </c>
      <c r="AM9" s="10" t="str">
        <f>Control!CA6</f>
        <v/>
      </c>
      <c r="AN9" s="10" t="str">
        <f>Control!CB6</f>
        <v/>
      </c>
      <c r="AO9" s="10" t="str">
        <f>Control!CC6</f>
        <v/>
      </c>
      <c r="AP9" s="10" t="str">
        <f>Control!CD6</f>
        <v/>
      </c>
      <c r="AQ9" s="10" t="str">
        <f>Control!CE6</f>
        <v/>
      </c>
      <c r="AR9" s="10" t="str">
        <f>Control!CG6</f>
        <v/>
      </c>
      <c r="AS9" s="10" t="str">
        <f>Control!CH6</f>
        <v/>
      </c>
      <c r="AT9" s="10" t="str">
        <f>Control!CI6</f>
        <v/>
      </c>
      <c r="AU9" s="10" t="str">
        <f>Control!CJ6</f>
        <v/>
      </c>
      <c r="AV9" s="10" t="str">
        <f>Control!CK6</f>
        <v/>
      </c>
    </row>
    <row r="10" spans="10:48" x14ac:dyDescent="0.25">
      <c r="J10" s="59"/>
      <c r="K10" s="59"/>
      <c r="L10" s="60"/>
      <c r="M10" s="60"/>
      <c r="N10" s="32"/>
      <c r="O10" s="59"/>
      <c r="P10" s="59"/>
      <c r="Q10" s="62"/>
      <c r="R10" s="62"/>
      <c r="T10" s="5" t="str">
        <f>Control!R7</f>
        <v>31/01/2026 15:00</v>
      </c>
      <c r="U10" s="64" t="str">
        <f>Control!T7</f>
        <v>League One</v>
      </c>
      <c r="V10" s="65"/>
      <c r="W10" s="64" t="str">
        <f>Control!V7</f>
        <v>Mansfield Town</v>
      </c>
      <c r="X10" s="66"/>
      <c r="Y10" s="65"/>
      <c r="Z10" s="81"/>
      <c r="AA10" s="64" t="str">
        <f>Control!X7</f>
        <v>Wycombe</v>
      </c>
      <c r="AB10" s="66"/>
      <c r="AC10" s="65"/>
      <c r="AD10" s="5" t="str">
        <f>Control!BR7</f>
        <v>0 : 0</v>
      </c>
      <c r="AE10" s="5" t="str">
        <f>Control!BS7</f>
        <v>0 : 0</v>
      </c>
      <c r="AF10" s="5" t="str">
        <f>Control!BT7</f>
        <v>5 : 6</v>
      </c>
      <c r="AH10" s="10" t="str">
        <f>Control!BV7</f>
        <v/>
      </c>
      <c r="AI10" s="10" t="str">
        <f>Control!BW7</f>
        <v/>
      </c>
      <c r="AJ10" s="10" t="str">
        <f>Control!BX7</f>
        <v/>
      </c>
      <c r="AK10" s="10" t="str">
        <f>Control!BY7</f>
        <v/>
      </c>
      <c r="AL10" s="10" t="str">
        <f>Control!BZ7</f>
        <v/>
      </c>
      <c r="AM10" s="10" t="str">
        <f>Control!CA7</f>
        <v/>
      </c>
      <c r="AN10" s="10" t="str">
        <f>Control!CB7</f>
        <v/>
      </c>
      <c r="AO10" s="10" t="str">
        <f>Control!CC7</f>
        <v/>
      </c>
      <c r="AP10" s="10" t="str">
        <f>Control!CD7</f>
        <v/>
      </c>
      <c r="AQ10" s="10" t="str">
        <f>Control!CE7</f>
        <v/>
      </c>
      <c r="AR10" s="10" t="str">
        <f>Control!CG7</f>
        <v/>
      </c>
      <c r="AS10" s="10" t="str">
        <f>Control!CH7</f>
        <v/>
      </c>
      <c r="AT10" s="10" t="str">
        <f>Control!CI7</f>
        <v/>
      </c>
      <c r="AU10" s="10" t="str">
        <f>Control!CJ7</f>
        <v/>
      </c>
      <c r="AV10" s="10" t="str">
        <f>Control!CK7</f>
        <v/>
      </c>
    </row>
    <row r="11" spans="10:48" x14ac:dyDescent="0.25">
      <c r="J11" s="59" t="s">
        <v>175</v>
      </c>
      <c r="K11" s="59"/>
      <c r="L11" s="61" t="str">
        <f>IFERROR(IF(Control!CM5="","",Control!CM5),"")</f>
        <v/>
      </c>
      <c r="M11" s="61"/>
      <c r="N11" s="32"/>
      <c r="O11" s="59" t="s">
        <v>185</v>
      </c>
      <c r="P11" s="59"/>
      <c r="Q11" s="62">
        <f>IF(Control!CP11="","",ROUND(Control!CP11,2))</f>
        <v>2.4</v>
      </c>
      <c r="R11" s="62"/>
      <c r="T11" s="5" t="str">
        <f>Control!R8</f>
        <v>17/01/2026 15:00</v>
      </c>
      <c r="U11" s="64" t="str">
        <f>Control!T8</f>
        <v>League One</v>
      </c>
      <c r="V11" s="65"/>
      <c r="W11" s="64" t="str">
        <f>Control!V8</f>
        <v>Mansfield Town</v>
      </c>
      <c r="X11" s="66"/>
      <c r="Y11" s="65"/>
      <c r="Z11" s="81"/>
      <c r="AA11" s="64" t="str">
        <f>Control!X8</f>
        <v>Port Vale</v>
      </c>
      <c r="AB11" s="66"/>
      <c r="AC11" s="65"/>
      <c r="AD11" s="5" t="str">
        <f>Control!BR8</f>
        <v>0 : 0</v>
      </c>
      <c r="AE11" s="5" t="str">
        <f>Control!BS8</f>
        <v>3 : 0</v>
      </c>
      <c r="AF11" s="5" t="str">
        <f>Control!BT8</f>
        <v>3 : 2</v>
      </c>
      <c r="AH11" s="10" t="str">
        <f>Control!BV8</f>
        <v/>
      </c>
      <c r="AI11" s="10" t="str">
        <f>Control!BW8</f>
        <v/>
      </c>
      <c r="AJ11" s="10" t="str">
        <f>Control!BX8</f>
        <v/>
      </c>
      <c r="AK11" s="10" t="str">
        <f>Control!BY8</f>
        <v/>
      </c>
      <c r="AL11" s="10" t="str">
        <f>Control!BZ8</f>
        <v/>
      </c>
      <c r="AM11" s="10" t="str">
        <f>Control!CA8</f>
        <v/>
      </c>
      <c r="AN11" s="10" t="str">
        <f>Control!CB8</f>
        <v/>
      </c>
      <c r="AO11" s="10" t="str">
        <f>Control!CC8</f>
        <v/>
      </c>
      <c r="AP11" s="10" t="str">
        <f>Control!CD8</f>
        <v/>
      </c>
      <c r="AQ11" s="10" t="str">
        <f>Control!CE8</f>
        <v/>
      </c>
      <c r="AR11" s="10" t="str">
        <f>Control!CG8</f>
        <v/>
      </c>
      <c r="AS11" s="10" t="str">
        <f>Control!CH8</f>
        <v/>
      </c>
      <c r="AT11" s="10" t="str">
        <f>Control!CI8</f>
        <v/>
      </c>
      <c r="AU11" s="10" t="str">
        <f>Control!CJ8</f>
        <v/>
      </c>
      <c r="AV11" s="10" t="str">
        <f>Control!CK8</f>
        <v/>
      </c>
    </row>
    <row r="12" spans="10:48" ht="15" customHeight="1" x14ac:dyDescent="0.25">
      <c r="J12" s="59"/>
      <c r="K12" s="59"/>
      <c r="L12" s="61"/>
      <c r="M12" s="61"/>
      <c r="N12" s="32"/>
      <c r="O12" s="59"/>
      <c r="P12" s="59"/>
      <c r="Q12" s="62"/>
      <c r="R12" s="62"/>
      <c r="T12" s="5" t="str">
        <f>Control!R9</f>
        <v>01/01/2026 15:00</v>
      </c>
      <c r="U12" s="64" t="str">
        <f>Control!T9</f>
        <v>League One</v>
      </c>
      <c r="V12" s="65"/>
      <c r="W12" s="64" t="str">
        <f>Control!V9</f>
        <v>Mansfield Town</v>
      </c>
      <c r="X12" s="66"/>
      <c r="Y12" s="65"/>
      <c r="Z12" s="81"/>
      <c r="AA12" s="64" t="str">
        <f>Control!X9</f>
        <v>Bradford</v>
      </c>
      <c r="AB12" s="66"/>
      <c r="AC12" s="65"/>
      <c r="AD12" s="5" t="str">
        <f>Control!BR9</f>
        <v>2 : 0</v>
      </c>
      <c r="AE12" s="5" t="str">
        <f>Control!BS9</f>
        <v>3 : 0</v>
      </c>
      <c r="AF12" s="5" t="str">
        <f>Control!BT9</f>
        <v>2 : 4</v>
      </c>
      <c r="AH12" s="10" t="str">
        <f>Control!BV9</f>
        <v/>
      </c>
      <c r="AI12" s="10" t="str">
        <f>Control!BW9</f>
        <v/>
      </c>
      <c r="AJ12" s="10" t="str">
        <f>Control!BX9</f>
        <v/>
      </c>
      <c r="AK12" s="10" t="str">
        <f>Control!BY9</f>
        <v/>
      </c>
      <c r="AL12" s="10" t="str">
        <f>Control!BZ9</f>
        <v/>
      </c>
      <c r="AM12" s="10" t="str">
        <f>Control!CA9</f>
        <v/>
      </c>
      <c r="AN12" s="10" t="str">
        <f>Control!CB9</f>
        <v/>
      </c>
      <c r="AO12" s="10" t="str">
        <f>Control!CC9</f>
        <v/>
      </c>
      <c r="AP12" s="10" t="str">
        <f>Control!CD9</f>
        <v/>
      </c>
      <c r="AQ12" s="10" t="str">
        <f>Control!CE9</f>
        <v/>
      </c>
      <c r="AR12" s="10" t="str">
        <f>Control!CG9</f>
        <v/>
      </c>
      <c r="AS12" s="10" t="str">
        <f>Control!CH9</f>
        <v/>
      </c>
      <c r="AT12" s="10" t="str">
        <f>Control!CI9</f>
        <v/>
      </c>
      <c r="AU12" s="10" t="str">
        <f>Control!CJ9</f>
        <v/>
      </c>
      <c r="AV12" s="10" t="str">
        <f>Control!CK9</f>
        <v/>
      </c>
    </row>
    <row r="13" spans="10:48" x14ac:dyDescent="0.25">
      <c r="J13" s="32"/>
      <c r="K13" s="32"/>
      <c r="L13" s="32"/>
      <c r="M13" s="32"/>
      <c r="N13" s="32"/>
      <c r="O13" s="32"/>
      <c r="P13" s="32"/>
      <c r="Q13" s="32"/>
      <c r="R13" s="32"/>
      <c r="T13" s="5" t="str">
        <f>Control!R10</f>
        <v>20/12/2025 15:00</v>
      </c>
      <c r="U13" s="64" t="str">
        <f>Control!T10</f>
        <v>League One</v>
      </c>
      <c r="V13" s="65"/>
      <c r="W13" s="64" t="str">
        <f>Control!V10</f>
        <v>Mansfield Town</v>
      </c>
      <c r="X13" s="66"/>
      <c r="Y13" s="65"/>
      <c r="Z13" s="81"/>
      <c r="AA13" s="64" t="str">
        <f>Control!X10</f>
        <v>Stockport County</v>
      </c>
      <c r="AB13" s="66"/>
      <c r="AC13" s="65"/>
      <c r="AD13" s="5" t="str">
        <f>Control!BR10</f>
        <v>1 : 1</v>
      </c>
      <c r="AE13" s="5" t="str">
        <f>Control!BS10</f>
        <v>1 : 2</v>
      </c>
      <c r="AF13" s="5" t="str">
        <f>Control!BT10</f>
        <v>5 : 0</v>
      </c>
      <c r="AH13" s="10" t="str">
        <f>Control!BV10</f>
        <v/>
      </c>
      <c r="AI13" s="10" t="str">
        <f>Control!BW10</f>
        <v/>
      </c>
      <c r="AJ13" s="10" t="str">
        <f>Control!BX10</f>
        <v/>
      </c>
      <c r="AK13" s="10" t="str">
        <f>Control!BY10</f>
        <v/>
      </c>
      <c r="AL13" s="10" t="str">
        <f>Control!BZ10</f>
        <v/>
      </c>
      <c r="AM13" s="10" t="str">
        <f>Control!CA10</f>
        <v/>
      </c>
      <c r="AN13" s="10" t="str">
        <f>Control!CB10</f>
        <v/>
      </c>
      <c r="AO13" s="10" t="str">
        <f>Control!CC10</f>
        <v/>
      </c>
      <c r="AP13" s="10" t="str">
        <f>Control!CD10</f>
        <v/>
      </c>
      <c r="AQ13" s="10" t="str">
        <f>Control!CE10</f>
        <v/>
      </c>
      <c r="AR13" s="10" t="str">
        <f>Control!CG10</f>
        <v/>
      </c>
      <c r="AS13" s="10" t="str">
        <f>Control!CH10</f>
        <v/>
      </c>
      <c r="AT13" s="10" t="str">
        <f>Control!CI10</f>
        <v/>
      </c>
      <c r="AU13" s="10" t="str">
        <f>Control!CJ10</f>
        <v/>
      </c>
      <c r="AV13" s="10" t="str">
        <f>Control!CK10</f>
        <v/>
      </c>
    </row>
    <row r="14" spans="10:48" x14ac:dyDescent="0.25">
      <c r="J14" s="58" t="s">
        <v>176</v>
      </c>
      <c r="K14" s="58"/>
      <c r="L14" s="58"/>
      <c r="M14" s="58"/>
      <c r="N14" s="32"/>
      <c r="O14" s="58" t="s">
        <v>247</v>
      </c>
      <c r="P14" s="58"/>
      <c r="Q14" s="58"/>
      <c r="R14" s="58"/>
      <c r="T14" s="5" t="str">
        <f>Control!R11</f>
        <v>09/12/2025 19:45</v>
      </c>
      <c r="U14" s="64" t="str">
        <f>Control!T11</f>
        <v>League One</v>
      </c>
      <c r="V14" s="65"/>
      <c r="W14" s="64" t="str">
        <f>Control!V11</f>
        <v>Mansfield Town</v>
      </c>
      <c r="X14" s="66"/>
      <c r="Y14" s="65"/>
      <c r="Z14" s="71"/>
      <c r="AA14" s="64" t="str">
        <f>Control!X11</f>
        <v>Bolton</v>
      </c>
      <c r="AB14" s="66"/>
      <c r="AC14" s="65"/>
      <c r="AD14" s="5" t="str">
        <f>Control!BR11</f>
        <v>0 : 1</v>
      </c>
      <c r="AE14" s="5" t="str">
        <f>Control!BS11</f>
        <v>0 : 1</v>
      </c>
      <c r="AF14" s="5" t="str">
        <f>Control!BT11</f>
        <v>3 : 5</v>
      </c>
      <c r="AH14" s="10" t="str">
        <f>Control!BV11</f>
        <v/>
      </c>
      <c r="AI14" s="10" t="str">
        <f>Control!BW11</f>
        <v/>
      </c>
      <c r="AJ14" s="10" t="str">
        <f>Control!BX11</f>
        <v/>
      </c>
      <c r="AK14" s="10" t="str">
        <f>Control!BY11</f>
        <v/>
      </c>
      <c r="AL14" s="10" t="str">
        <f>Control!BZ11</f>
        <v/>
      </c>
      <c r="AM14" s="10" t="str">
        <f>Control!CA11</f>
        <v/>
      </c>
      <c r="AN14" s="10" t="str">
        <f>Control!CB11</f>
        <v/>
      </c>
      <c r="AO14" s="10" t="str">
        <f>Control!CC11</f>
        <v/>
      </c>
      <c r="AP14" s="10" t="str">
        <f>Control!CD11</f>
        <v/>
      </c>
      <c r="AQ14" s="10" t="str">
        <f>Control!CE11</f>
        <v/>
      </c>
      <c r="AR14" s="10" t="str">
        <f>Control!CG11</f>
        <v/>
      </c>
      <c r="AS14" s="10" t="str">
        <f>Control!CH11</f>
        <v/>
      </c>
      <c r="AT14" s="10" t="str">
        <f>Control!CI11</f>
        <v/>
      </c>
      <c r="AU14" s="10" t="str">
        <f>Control!CJ11</f>
        <v/>
      </c>
      <c r="AV14" s="10" t="str">
        <f>Control!CK11</f>
        <v/>
      </c>
    </row>
    <row r="15" spans="10:48" x14ac:dyDescent="0.25">
      <c r="J15" s="58"/>
      <c r="K15" s="58"/>
      <c r="L15" s="58"/>
      <c r="M15" s="58"/>
      <c r="N15" s="32"/>
      <c r="O15" s="58"/>
      <c r="P15" s="58"/>
      <c r="Q15" s="58"/>
      <c r="R15" s="58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H15" s="10" t="str">
        <f>Control!BV12</f>
        <v/>
      </c>
      <c r="AI15" s="10" t="str">
        <f>Control!BW12</f>
        <v/>
      </c>
      <c r="AJ15" s="10" t="str">
        <f>Control!BX12</f>
        <v/>
      </c>
      <c r="AK15" s="10" t="str">
        <f>Control!BY12</f>
        <v/>
      </c>
      <c r="AL15" s="10" t="str">
        <f>Control!BZ12</f>
        <v/>
      </c>
      <c r="AM15" s="10" t="str">
        <f>Control!CA12</f>
        <v/>
      </c>
      <c r="AN15" s="10" t="str">
        <f>Control!CB12</f>
        <v/>
      </c>
      <c r="AO15" s="10" t="str">
        <f>Control!CC12</f>
        <v/>
      </c>
      <c r="AP15" s="10" t="str">
        <f>Control!CD12</f>
        <v/>
      </c>
      <c r="AQ15" s="10" t="str">
        <f>Control!CE12</f>
        <v/>
      </c>
      <c r="AR15" s="10" t="str">
        <f>Control!CG12</f>
        <v/>
      </c>
      <c r="AS15" s="10" t="str">
        <f>Control!CH12</f>
        <v/>
      </c>
      <c r="AT15" s="10" t="str">
        <f>Control!CI12</f>
        <v/>
      </c>
      <c r="AU15" s="10" t="str">
        <f>Control!CJ12</f>
        <v/>
      </c>
      <c r="AV15" s="10" t="str">
        <f>Control!CK12</f>
        <v/>
      </c>
    </row>
    <row r="16" spans="10:48" x14ac:dyDescent="0.25">
      <c r="J16" s="59" t="s">
        <v>175</v>
      </c>
      <c r="K16" s="59"/>
      <c r="L16" s="61" t="str">
        <f>IFERROR(IF(Control!CN2="","",Control!CN2),"")</f>
        <v/>
      </c>
      <c r="M16" s="61"/>
      <c r="N16" s="32"/>
      <c r="O16" s="59" t="s">
        <v>249</v>
      </c>
      <c r="P16" s="59"/>
      <c r="Q16" s="67">
        <f>IF(Control!DD2="","",Control!DD2)</f>
        <v>0</v>
      </c>
      <c r="R16" s="67"/>
      <c r="T16" s="80" t="s">
        <v>192</v>
      </c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H16" s="10" t="str">
        <f>Control!BV13</f>
        <v/>
      </c>
      <c r="AI16" s="10" t="str">
        <f>Control!BW13</f>
        <v/>
      </c>
      <c r="AJ16" s="10" t="str">
        <f>Control!BX13</f>
        <v/>
      </c>
      <c r="AK16" s="10" t="str">
        <f>Control!BY13</f>
        <v/>
      </c>
      <c r="AL16" s="10" t="str">
        <f>Control!BZ13</f>
        <v/>
      </c>
      <c r="AM16" s="10" t="str">
        <f>Control!CA13</f>
        <v/>
      </c>
      <c r="AN16" s="10" t="str">
        <f>Control!CB13</f>
        <v/>
      </c>
      <c r="AO16" s="10" t="str">
        <f>Control!CC13</f>
        <v/>
      </c>
      <c r="AP16" s="10" t="str">
        <f>Control!CD13</f>
        <v/>
      </c>
      <c r="AQ16" s="10" t="str">
        <f>Control!CE13</f>
        <v/>
      </c>
      <c r="AR16" s="10" t="str">
        <f>Control!CG13</f>
        <v/>
      </c>
      <c r="AS16" s="10" t="str">
        <f>Control!CH13</f>
        <v/>
      </c>
      <c r="AT16" s="10" t="str">
        <f>Control!CI13</f>
        <v/>
      </c>
      <c r="AU16" s="10" t="str">
        <f>Control!CJ13</f>
        <v/>
      </c>
      <c r="AV16" s="10" t="str">
        <f>Control!CK13</f>
        <v/>
      </c>
    </row>
    <row r="17" spans="10:48" x14ac:dyDescent="0.25">
      <c r="J17" s="59"/>
      <c r="K17" s="59"/>
      <c r="L17" s="61"/>
      <c r="M17" s="61"/>
      <c r="N17" s="32"/>
      <c r="O17" s="59"/>
      <c r="P17" s="59"/>
      <c r="Q17" s="67"/>
      <c r="R17" s="67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H17" s="10" t="str">
        <f>Control!BV14</f>
        <v/>
      </c>
      <c r="AI17" s="10" t="str">
        <f>Control!BW14</f>
        <v/>
      </c>
      <c r="AJ17" s="10" t="str">
        <f>Control!BX14</f>
        <v/>
      </c>
      <c r="AK17" s="10" t="str">
        <f>Control!BY14</f>
        <v/>
      </c>
      <c r="AL17" s="10" t="str">
        <f>Control!BZ14</f>
        <v/>
      </c>
      <c r="AM17" s="10" t="str">
        <f>Control!CA14</f>
        <v/>
      </c>
      <c r="AN17" s="10" t="str">
        <f>Control!CB14</f>
        <v/>
      </c>
      <c r="AO17" s="10" t="str">
        <f>Control!CC14</f>
        <v/>
      </c>
      <c r="AP17" s="10" t="str">
        <f>Control!CD14</f>
        <v/>
      </c>
      <c r="AQ17" s="10" t="str">
        <f>Control!CE14</f>
        <v/>
      </c>
      <c r="AR17" s="10" t="str">
        <f>Control!CG14</f>
        <v/>
      </c>
      <c r="AS17" s="10" t="str">
        <f>Control!CH14</f>
        <v/>
      </c>
      <c r="AT17" s="10" t="str">
        <f>Control!CI14</f>
        <v/>
      </c>
      <c r="AU17" s="10" t="str">
        <f>Control!CJ14</f>
        <v/>
      </c>
      <c r="AV17" s="10" t="str">
        <f>Control!CK14</f>
        <v/>
      </c>
    </row>
    <row r="18" spans="10:48" x14ac:dyDescent="0.25">
      <c r="J18" s="59" t="s">
        <v>177</v>
      </c>
      <c r="K18" s="59"/>
      <c r="L18" s="61" t="str">
        <f>IFERROR(IF(Control!CN5="","",Control!CN5),"")</f>
        <v/>
      </c>
      <c r="M18" s="61"/>
      <c r="N18" s="32"/>
      <c r="O18" s="59" t="s">
        <v>250</v>
      </c>
      <c r="P18" s="59"/>
      <c r="Q18" s="67">
        <f>IF(Control!DD4="","",Control!DD4)</f>
        <v>1</v>
      </c>
      <c r="R18" s="67"/>
      <c r="T18" s="72" t="s">
        <v>193</v>
      </c>
      <c r="U18" s="72" t="s">
        <v>194</v>
      </c>
      <c r="V18" s="72"/>
      <c r="W18" s="72" t="s">
        <v>171</v>
      </c>
      <c r="X18" s="72"/>
      <c r="Y18" s="72"/>
      <c r="Z18" s="72" t="s">
        <v>191</v>
      </c>
      <c r="AA18" s="72" t="s">
        <v>172</v>
      </c>
      <c r="AB18" s="72"/>
      <c r="AC18" s="72"/>
      <c r="AD18" s="82" t="s">
        <v>195</v>
      </c>
      <c r="AE18" s="82" t="s">
        <v>196</v>
      </c>
      <c r="AF18" s="72" t="s">
        <v>197</v>
      </c>
      <c r="AH18" s="10" t="str">
        <f>Control!BV15</f>
        <v/>
      </c>
      <c r="AI18" s="10" t="str">
        <f>Control!BW15</f>
        <v/>
      </c>
      <c r="AJ18" s="10" t="str">
        <f>Control!BX15</f>
        <v/>
      </c>
      <c r="AK18" s="10" t="str">
        <f>Control!BY15</f>
        <v/>
      </c>
      <c r="AL18" s="10" t="str">
        <f>Control!BZ15</f>
        <v/>
      </c>
      <c r="AM18" s="10" t="str">
        <f>Control!CA15</f>
        <v/>
      </c>
      <c r="AN18" s="10" t="str">
        <f>Control!CB15</f>
        <v/>
      </c>
      <c r="AO18" s="10" t="str">
        <f>Control!CC15</f>
        <v/>
      </c>
      <c r="AP18" s="10" t="str">
        <f>Control!CD15</f>
        <v/>
      </c>
      <c r="AQ18" s="10" t="str">
        <f>Control!CE15</f>
        <v/>
      </c>
      <c r="AR18" s="10" t="str">
        <f>Control!CG15</f>
        <v/>
      </c>
      <c r="AS18" s="10" t="str">
        <f>Control!CH15</f>
        <v/>
      </c>
      <c r="AT18" s="10" t="str">
        <f>Control!CI15</f>
        <v/>
      </c>
      <c r="AU18" s="10" t="str">
        <f>Control!CJ15</f>
        <v/>
      </c>
      <c r="AV18" s="10" t="str">
        <f>Control!CK15</f>
        <v/>
      </c>
    </row>
    <row r="19" spans="10:48" ht="15" customHeight="1" x14ac:dyDescent="0.25">
      <c r="J19" s="59"/>
      <c r="K19" s="59"/>
      <c r="L19" s="61"/>
      <c r="M19" s="61"/>
      <c r="N19" s="32"/>
      <c r="O19" s="59"/>
      <c r="P19" s="59"/>
      <c r="Q19" s="67"/>
      <c r="R19" s="67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83"/>
      <c r="AE19" s="83"/>
      <c r="AF19" s="72"/>
      <c r="AH19" s="10" t="str">
        <f>Control!BV16</f>
        <v/>
      </c>
      <c r="AI19" s="10" t="str">
        <f>Control!BW16</f>
        <v/>
      </c>
      <c r="AJ19" s="10" t="str">
        <f>Control!BX16</f>
        <v/>
      </c>
      <c r="AK19" s="10" t="str">
        <f>Control!BY16</f>
        <v/>
      </c>
      <c r="AL19" s="10" t="str">
        <f>Control!BZ16</f>
        <v/>
      </c>
      <c r="AM19" s="10" t="str">
        <f>Control!CA16</f>
        <v/>
      </c>
      <c r="AN19" s="10" t="str">
        <f>Control!CB16</f>
        <v/>
      </c>
      <c r="AO19" s="10" t="str">
        <f>Control!CC16</f>
        <v/>
      </c>
      <c r="AP19" s="10" t="str">
        <f>Control!CD16</f>
        <v/>
      </c>
      <c r="AQ19" s="10" t="str">
        <f>Control!CE16</f>
        <v/>
      </c>
      <c r="AR19" s="10" t="str">
        <f>Control!CG16</f>
        <v/>
      </c>
      <c r="AS19" s="10" t="str">
        <f>Control!CH16</f>
        <v/>
      </c>
      <c r="AT19" s="10" t="str">
        <f>Control!CI16</f>
        <v/>
      </c>
      <c r="AU19" s="10" t="str">
        <f>Control!CJ16</f>
        <v/>
      </c>
      <c r="AV19" s="10" t="str">
        <f>Control!CK16</f>
        <v/>
      </c>
    </row>
    <row r="20" spans="10:48" x14ac:dyDescent="0.25">
      <c r="J20" s="59" t="s">
        <v>178</v>
      </c>
      <c r="K20" s="59"/>
      <c r="L20" s="61" t="str">
        <f>IFERROR(IF(Control!CN8="","",Control!CN8),"")</f>
        <v/>
      </c>
      <c r="M20" s="61"/>
      <c r="N20" s="32"/>
      <c r="O20" s="59" t="s">
        <v>251</v>
      </c>
      <c r="P20" s="59"/>
      <c r="Q20" s="67">
        <f>IF(Control!DD6="","",Control!DD6)</f>
        <v>1</v>
      </c>
      <c r="R20" s="67"/>
      <c r="T20" s="6" t="str">
        <f>Control!R16</f>
        <v>07/03/2026 12:15</v>
      </c>
      <c r="U20" s="73" t="str">
        <f>Control!T16</f>
        <v>FA Cup</v>
      </c>
      <c r="V20" s="75"/>
      <c r="W20" s="73" t="str">
        <f>Control!V16</f>
        <v>Mansfield Town</v>
      </c>
      <c r="X20" s="74"/>
      <c r="Y20" s="75"/>
      <c r="Z20" s="106"/>
      <c r="AA20" s="73" t="str">
        <f>Control!X16</f>
        <v>Arsenal</v>
      </c>
      <c r="AB20" s="74"/>
      <c r="AC20" s="75"/>
      <c r="AD20" s="6" t="str">
        <f>Control!BR16</f>
        <v>0 : 1</v>
      </c>
      <c r="AE20" s="6" t="str">
        <f>Control!BS16</f>
        <v>1 : 2</v>
      </c>
      <c r="AF20" s="6" t="str">
        <f>Control!BT16</f>
        <v>4 : 8</v>
      </c>
      <c r="AH20" s="10" t="str">
        <f>Control!BV17</f>
        <v/>
      </c>
      <c r="AI20" s="10" t="str">
        <f>Control!BW17</f>
        <v/>
      </c>
      <c r="AJ20" s="10" t="str">
        <f>Control!BX17</f>
        <v/>
      </c>
      <c r="AK20" s="10" t="str">
        <f>Control!BY17</f>
        <v/>
      </c>
      <c r="AL20" s="10" t="str">
        <f>Control!BZ17</f>
        <v/>
      </c>
      <c r="AM20" s="10" t="str">
        <f>Control!CA17</f>
        <v/>
      </c>
      <c r="AN20" s="10" t="str">
        <f>Control!CB17</f>
        <v/>
      </c>
      <c r="AO20" s="10" t="str">
        <f>Control!CC17</f>
        <v/>
      </c>
      <c r="AP20" s="10" t="str">
        <f>Control!CD17</f>
        <v/>
      </c>
      <c r="AQ20" s="10" t="str">
        <f>Control!CE17</f>
        <v/>
      </c>
      <c r="AR20" s="10" t="str">
        <f>Control!CG17</f>
        <v/>
      </c>
      <c r="AS20" s="10" t="str">
        <f>Control!CH17</f>
        <v/>
      </c>
      <c r="AT20" s="10" t="str">
        <f>Control!CI17</f>
        <v/>
      </c>
      <c r="AU20" s="10" t="str">
        <f>Control!CJ17</f>
        <v/>
      </c>
      <c r="AV20" s="10" t="str">
        <f>Control!CK17</f>
        <v/>
      </c>
    </row>
    <row r="21" spans="10:48" x14ac:dyDescent="0.25">
      <c r="J21" s="59"/>
      <c r="K21" s="59"/>
      <c r="L21" s="61"/>
      <c r="M21" s="61"/>
      <c r="N21" s="32"/>
      <c r="O21" s="59"/>
      <c r="P21" s="59"/>
      <c r="Q21" s="67"/>
      <c r="R21" s="67"/>
      <c r="T21" s="6" t="str">
        <f>Control!R17</f>
        <v>04/03/2026 19:30</v>
      </c>
      <c r="U21" s="73" t="str">
        <f>Control!T17</f>
        <v>Premier League</v>
      </c>
      <c r="V21" s="75"/>
      <c r="W21" s="73" t="str">
        <f>Control!V17</f>
        <v>Brighton</v>
      </c>
      <c r="X21" s="74"/>
      <c r="Y21" s="75"/>
      <c r="Z21" s="107"/>
      <c r="AA21" s="73" t="str">
        <f>Control!X17</f>
        <v>Arsenal</v>
      </c>
      <c r="AB21" s="74"/>
      <c r="AC21" s="75"/>
      <c r="AD21" s="6" t="str">
        <f>Control!BR17</f>
        <v>0 : 1</v>
      </c>
      <c r="AE21" s="6" t="str">
        <f>Control!BS17</f>
        <v>0 : 1</v>
      </c>
      <c r="AF21" s="6" t="str">
        <f>Control!BT17</f>
        <v>4 : 3</v>
      </c>
      <c r="AH21" s="10" t="str">
        <f>Control!BV18</f>
        <v/>
      </c>
      <c r="AI21" s="10" t="str">
        <f>Control!BW18</f>
        <v/>
      </c>
      <c r="AJ21" s="10" t="str">
        <f>Control!BX18</f>
        <v/>
      </c>
      <c r="AK21" s="10" t="str">
        <f>Control!BY18</f>
        <v/>
      </c>
      <c r="AL21" s="10" t="str">
        <f>Control!BZ18</f>
        <v/>
      </c>
      <c r="AM21" s="10" t="str">
        <f>Control!CA18</f>
        <v/>
      </c>
      <c r="AN21" s="10" t="str">
        <f>Control!CB18</f>
        <v/>
      </c>
      <c r="AO21" s="10" t="str">
        <f>Control!CC18</f>
        <v/>
      </c>
      <c r="AP21" s="10" t="str">
        <f>Control!CD18</f>
        <v/>
      </c>
      <c r="AQ21" s="10" t="str">
        <f>Control!CE18</f>
        <v/>
      </c>
      <c r="AR21" s="10" t="str">
        <f>Control!CG18</f>
        <v/>
      </c>
      <c r="AS21" s="10" t="str">
        <f>Control!CH18</f>
        <v/>
      </c>
      <c r="AT21" s="10" t="str">
        <f>Control!CI18</f>
        <v/>
      </c>
      <c r="AU21" s="10" t="str">
        <f>Control!CJ18</f>
        <v/>
      </c>
      <c r="AV21" s="10" t="str">
        <f>Control!CK18</f>
        <v/>
      </c>
    </row>
    <row r="22" spans="10:48" x14ac:dyDescent="0.25">
      <c r="J22" s="59" t="s">
        <v>179</v>
      </c>
      <c r="K22" s="59"/>
      <c r="L22" s="61">
        <f>IFERROR(IF(Control!CN11="","",Control!CN11),"")</f>
        <v>0.59499999999999997</v>
      </c>
      <c r="M22" s="61"/>
      <c r="N22" s="32"/>
      <c r="O22" s="59" t="s">
        <v>252</v>
      </c>
      <c r="P22" s="59"/>
      <c r="Q22" s="67">
        <f>IF(Control!DD8="","",Control!DD8)</f>
        <v>2</v>
      </c>
      <c r="R22" s="67"/>
      <c r="T22" s="6" t="str">
        <f>Control!R18</f>
        <v>22/02/2026 16:30</v>
      </c>
      <c r="U22" s="73" t="str">
        <f>Control!T18</f>
        <v>Premier League</v>
      </c>
      <c r="V22" s="75"/>
      <c r="W22" s="73" t="str">
        <f>Control!V18</f>
        <v>Tottenham</v>
      </c>
      <c r="X22" s="74"/>
      <c r="Y22" s="75"/>
      <c r="Z22" s="107"/>
      <c r="AA22" s="73" t="str">
        <f>Control!X18</f>
        <v>Arsenal</v>
      </c>
      <c r="AB22" s="74"/>
      <c r="AC22" s="75"/>
      <c r="AD22" s="6" t="str">
        <f>Control!BR18</f>
        <v>1 : 1</v>
      </c>
      <c r="AE22" s="6" t="str">
        <f>Control!BS18</f>
        <v>1 : 4</v>
      </c>
      <c r="AF22" s="6" t="str">
        <f>Control!BT18</f>
        <v>2 : 5</v>
      </c>
      <c r="AH22" s="10" t="str">
        <f>Control!BV19</f>
        <v/>
      </c>
      <c r="AI22" s="10" t="str">
        <f>Control!BW19</f>
        <v/>
      </c>
      <c r="AJ22" s="10" t="str">
        <f>Control!BX19</f>
        <v/>
      </c>
      <c r="AK22" s="10" t="str">
        <f>Control!BY19</f>
        <v/>
      </c>
      <c r="AL22" s="10" t="str">
        <f>Control!BZ19</f>
        <v/>
      </c>
      <c r="AM22" s="10" t="str">
        <f>Control!CA19</f>
        <v/>
      </c>
      <c r="AN22" s="10" t="str">
        <f>Control!CB19</f>
        <v/>
      </c>
      <c r="AO22" s="10" t="str">
        <f>Control!CC19</f>
        <v/>
      </c>
      <c r="AP22" s="10" t="str">
        <f>Control!CD19</f>
        <v/>
      </c>
      <c r="AQ22" s="10" t="str">
        <f>Control!CE19</f>
        <v/>
      </c>
      <c r="AR22" s="10" t="str">
        <f>Control!CG19</f>
        <v/>
      </c>
      <c r="AS22" s="10" t="str">
        <f>Control!CH19</f>
        <v/>
      </c>
      <c r="AT22" s="10" t="str">
        <f>Control!CI19</f>
        <v/>
      </c>
      <c r="AU22" s="10" t="str">
        <f>Control!CJ19</f>
        <v/>
      </c>
      <c r="AV22" s="10" t="str">
        <f>Control!CK19</f>
        <v/>
      </c>
    </row>
    <row r="23" spans="10:48" x14ac:dyDescent="0.25">
      <c r="J23" s="59"/>
      <c r="K23" s="59"/>
      <c r="L23" s="61"/>
      <c r="M23" s="61"/>
      <c r="N23" s="32"/>
      <c r="O23" s="59"/>
      <c r="P23" s="59"/>
      <c r="Q23" s="67"/>
      <c r="R23" s="67"/>
      <c r="T23" s="6" t="str">
        <f>Control!R19</f>
        <v>18/02/2026 20:00</v>
      </c>
      <c r="U23" s="73" t="str">
        <f>Control!T19</f>
        <v>Premier League</v>
      </c>
      <c r="V23" s="75"/>
      <c r="W23" s="73" t="str">
        <f>Control!V19</f>
        <v>Wolves</v>
      </c>
      <c r="X23" s="74"/>
      <c r="Y23" s="75"/>
      <c r="Z23" s="107"/>
      <c r="AA23" s="73" t="str">
        <f>Control!X19</f>
        <v>Arsenal</v>
      </c>
      <c r="AB23" s="74"/>
      <c r="AC23" s="75"/>
      <c r="AD23" s="6" t="str">
        <f>Control!BR19</f>
        <v>0 : 1</v>
      </c>
      <c r="AE23" s="6" t="str">
        <f>Control!BS19</f>
        <v>2 : 2</v>
      </c>
      <c r="AF23" s="6" t="str">
        <f>Control!BT19</f>
        <v>1 : 3</v>
      </c>
      <c r="AH23" s="10" t="str">
        <f>Control!BV20</f>
        <v/>
      </c>
      <c r="AI23" s="10" t="str">
        <f>Control!BW20</f>
        <v/>
      </c>
      <c r="AJ23" s="10" t="str">
        <f>Control!BX20</f>
        <v/>
      </c>
      <c r="AK23" s="10" t="str">
        <f>Control!BY20</f>
        <v/>
      </c>
      <c r="AL23" s="10" t="str">
        <f>Control!BZ20</f>
        <v/>
      </c>
      <c r="AM23" s="10" t="str">
        <f>Control!CA20</f>
        <v/>
      </c>
      <c r="AN23" s="10" t="str">
        <f>Control!CB20</f>
        <v/>
      </c>
      <c r="AO23" s="10" t="str">
        <f>Control!CC20</f>
        <v/>
      </c>
      <c r="AP23" s="10" t="str">
        <f>Control!CD20</f>
        <v/>
      </c>
      <c r="AQ23" s="10" t="str">
        <f>Control!CE20</f>
        <v/>
      </c>
      <c r="AR23" s="10" t="str">
        <f>Control!CG20</f>
        <v/>
      </c>
      <c r="AS23" s="10" t="str">
        <f>Control!CH20</f>
        <v/>
      </c>
      <c r="AT23" s="10" t="str">
        <f>Control!CI20</f>
        <v/>
      </c>
      <c r="AU23" s="10" t="str">
        <f>Control!CJ20</f>
        <v/>
      </c>
      <c r="AV23" s="10" t="str">
        <f>Control!CK20</f>
        <v/>
      </c>
    </row>
    <row r="24" spans="10:48" x14ac:dyDescent="0.25">
      <c r="J24" s="32"/>
      <c r="K24" s="32"/>
      <c r="L24" s="32"/>
      <c r="M24" s="32"/>
      <c r="N24" s="32"/>
      <c r="O24" s="32"/>
      <c r="P24" s="32"/>
      <c r="Q24" s="32"/>
      <c r="R24" s="32"/>
      <c r="T24" s="6" t="str">
        <f>Control!R20</f>
        <v>12/02/2026 20:00</v>
      </c>
      <c r="U24" s="73" t="str">
        <f>Control!T20</f>
        <v>Premier League</v>
      </c>
      <c r="V24" s="75"/>
      <c r="W24" s="73" t="str">
        <f>Control!V20</f>
        <v>Brentford</v>
      </c>
      <c r="X24" s="74"/>
      <c r="Y24" s="75"/>
      <c r="Z24" s="107"/>
      <c r="AA24" s="73" t="str">
        <f>Control!X20</f>
        <v>Arsenal</v>
      </c>
      <c r="AB24" s="74"/>
      <c r="AC24" s="75"/>
      <c r="AD24" s="6" t="str">
        <f>Control!BR20</f>
        <v>0 : 0</v>
      </c>
      <c r="AE24" s="6" t="str">
        <f>Control!BS20</f>
        <v>1 : 1</v>
      </c>
      <c r="AF24" s="6" t="str">
        <f>Control!BT20</f>
        <v>6 : 4</v>
      </c>
      <c r="AH24" s="10" t="str">
        <f>Control!BV21</f>
        <v/>
      </c>
      <c r="AI24" s="10" t="str">
        <f>Control!BW21</f>
        <v/>
      </c>
      <c r="AJ24" s="10" t="str">
        <f>Control!BX21</f>
        <v/>
      </c>
      <c r="AK24" s="10" t="str">
        <f>Control!BY21</f>
        <v/>
      </c>
      <c r="AL24" s="10" t="str">
        <f>Control!BZ21</f>
        <v/>
      </c>
      <c r="AM24" s="10" t="str">
        <f>Control!CA21</f>
        <v/>
      </c>
      <c r="AN24" s="10" t="str">
        <f>Control!CB21</f>
        <v/>
      </c>
      <c r="AO24" s="10" t="str">
        <f>Control!CC21</f>
        <v/>
      </c>
      <c r="AP24" s="10" t="str">
        <f>Control!CD21</f>
        <v/>
      </c>
      <c r="AQ24" s="10" t="str">
        <f>Control!CE21</f>
        <v/>
      </c>
      <c r="AR24" s="10" t="str">
        <f>Control!CG21</f>
        <v/>
      </c>
      <c r="AS24" s="10" t="str">
        <f>Control!CH21</f>
        <v/>
      </c>
      <c r="AT24" s="10" t="str">
        <f>Control!CI21</f>
        <v/>
      </c>
      <c r="AU24" s="10" t="str">
        <f>Control!CJ21</f>
        <v/>
      </c>
      <c r="AV24" s="10" t="str">
        <f>Control!CK21</f>
        <v/>
      </c>
    </row>
    <row r="25" spans="10:48" x14ac:dyDescent="0.25">
      <c r="J25" s="63" t="s">
        <v>180</v>
      </c>
      <c r="K25" s="63"/>
      <c r="L25" s="63"/>
      <c r="M25" s="63"/>
      <c r="N25" s="32"/>
      <c r="O25" s="58" t="s">
        <v>235</v>
      </c>
      <c r="P25" s="58"/>
      <c r="Q25" s="58"/>
      <c r="R25" s="58"/>
      <c r="T25" s="6" t="str">
        <f>Control!R21</f>
        <v>31/01/2026 15:00</v>
      </c>
      <c r="U25" s="73" t="str">
        <f>Control!T21</f>
        <v>Premier League</v>
      </c>
      <c r="V25" s="75"/>
      <c r="W25" s="73" t="str">
        <f>Control!V21</f>
        <v>Leeds</v>
      </c>
      <c r="X25" s="74"/>
      <c r="Y25" s="75"/>
      <c r="Z25" s="107"/>
      <c r="AA25" s="73" t="str">
        <f>Control!X21</f>
        <v>Arsenal</v>
      </c>
      <c r="AB25" s="74"/>
      <c r="AC25" s="75"/>
      <c r="AD25" s="6" t="str">
        <f>Control!BR21</f>
        <v>0 : 2</v>
      </c>
      <c r="AE25" s="6" t="str">
        <f>Control!BS21</f>
        <v>0 : 4</v>
      </c>
      <c r="AF25" s="6" t="str">
        <f>Control!BT21</f>
        <v>4 : 12</v>
      </c>
      <c r="AH25" s="10" t="str">
        <f>Control!BV22</f>
        <v/>
      </c>
      <c r="AI25" s="10" t="str">
        <f>Control!BW22</f>
        <v/>
      </c>
      <c r="AJ25" s="10" t="str">
        <f>Control!BX22</f>
        <v/>
      </c>
      <c r="AK25" s="10" t="str">
        <f>Control!BY22</f>
        <v/>
      </c>
      <c r="AL25" s="10" t="str">
        <f>Control!BZ22</f>
        <v/>
      </c>
      <c r="AM25" s="10" t="str">
        <f>Control!CA22</f>
        <v/>
      </c>
      <c r="AN25" s="10" t="str">
        <f>Control!CB22</f>
        <v/>
      </c>
      <c r="AO25" s="10" t="str">
        <f>Control!CC22</f>
        <v/>
      </c>
      <c r="AP25" s="10" t="str">
        <f>Control!CD22</f>
        <v/>
      </c>
      <c r="AQ25" s="10" t="str">
        <f>Control!CE22</f>
        <v/>
      </c>
      <c r="AR25" s="10" t="str">
        <f>Control!CG22</f>
        <v/>
      </c>
      <c r="AS25" s="10" t="str">
        <f>Control!CH22</f>
        <v/>
      </c>
      <c r="AT25" s="10" t="str">
        <f>Control!CI22</f>
        <v/>
      </c>
      <c r="AU25" s="10" t="str">
        <f>Control!CJ22</f>
        <v/>
      </c>
      <c r="AV25" s="10" t="str">
        <f>Control!CK22</f>
        <v/>
      </c>
    </row>
    <row r="26" spans="10:48" x14ac:dyDescent="0.25">
      <c r="J26" s="63"/>
      <c r="K26" s="63"/>
      <c r="L26" s="63"/>
      <c r="M26" s="63"/>
      <c r="N26" s="32"/>
      <c r="O26" s="58"/>
      <c r="P26" s="58"/>
      <c r="Q26" s="58"/>
      <c r="R26" s="58"/>
      <c r="T26" s="6" t="str">
        <f>Control!R22</f>
        <v>20/01/2026 20:00</v>
      </c>
      <c r="U26" s="73" t="str">
        <f>Control!T22</f>
        <v>UEFA Champions League</v>
      </c>
      <c r="V26" s="75"/>
      <c r="W26" s="73" t="str">
        <f>Control!V22</f>
        <v>Inter</v>
      </c>
      <c r="X26" s="74"/>
      <c r="Y26" s="75"/>
      <c r="Z26" s="107"/>
      <c r="AA26" s="73" t="str">
        <f>Control!X22</f>
        <v>Arsenal</v>
      </c>
      <c r="AB26" s="74"/>
      <c r="AC26" s="75"/>
      <c r="AD26" s="6" t="str">
        <f>Control!BR22</f>
        <v>1 : 2</v>
      </c>
      <c r="AE26" s="6" t="str">
        <f>Control!BS22</f>
        <v>1 : 3</v>
      </c>
      <c r="AF26" s="6" t="str">
        <f>Control!BT22</f>
        <v>4 : 7</v>
      </c>
      <c r="AH26" s="10" t="str">
        <f>Control!BV23</f>
        <v/>
      </c>
      <c r="AI26" s="10" t="str">
        <f>Control!BW23</f>
        <v/>
      </c>
      <c r="AJ26" s="10" t="str">
        <f>Control!BX23</f>
        <v/>
      </c>
      <c r="AK26" s="10" t="str">
        <f>Control!BY23</f>
        <v/>
      </c>
      <c r="AL26" s="10" t="str">
        <f>Control!BZ23</f>
        <v/>
      </c>
      <c r="AM26" s="10" t="str">
        <f>Control!CA23</f>
        <v/>
      </c>
      <c r="AN26" s="10" t="str">
        <f>Control!CB23</f>
        <v/>
      </c>
      <c r="AO26" s="10" t="str">
        <f>Control!CC23</f>
        <v/>
      </c>
      <c r="AP26" s="10" t="str">
        <f>Control!CD23</f>
        <v/>
      </c>
      <c r="AQ26" s="10" t="str">
        <f>Control!CE23</f>
        <v/>
      </c>
      <c r="AR26" s="10" t="str">
        <f>Control!CG23</f>
        <v/>
      </c>
      <c r="AS26" s="10" t="str">
        <f>Control!CH23</f>
        <v/>
      </c>
      <c r="AT26" s="10" t="str">
        <f>Control!CI23</f>
        <v/>
      </c>
      <c r="AU26" s="10" t="str">
        <f>Control!CJ23</f>
        <v/>
      </c>
      <c r="AV26" s="10" t="str">
        <f>Control!CK23</f>
        <v/>
      </c>
    </row>
    <row r="27" spans="10:48" x14ac:dyDescent="0.25">
      <c r="J27" s="59" t="s">
        <v>181</v>
      </c>
      <c r="K27" s="59"/>
      <c r="L27" s="61" t="str">
        <f>IFERROR(IF(Control!CR2="","",Control!CR2),"")</f>
        <v/>
      </c>
      <c r="M27" s="61"/>
      <c r="N27" s="32"/>
      <c r="O27" s="59" t="s">
        <v>171</v>
      </c>
      <c r="P27" s="59"/>
      <c r="Q27" s="67">
        <f>IF(Control!CT3="","",ROUND(Control!CT3,2))</f>
        <v>2.4700000000000002</v>
      </c>
      <c r="R27" s="67"/>
      <c r="T27" s="6" t="str">
        <f>Control!R23</f>
        <v>17/01/2026 17:30</v>
      </c>
      <c r="U27" s="73" t="str">
        <f>Control!T23</f>
        <v>Premier League</v>
      </c>
      <c r="V27" s="75"/>
      <c r="W27" s="73" t="str">
        <f>Control!V23</f>
        <v>Nottingham Forest</v>
      </c>
      <c r="X27" s="74"/>
      <c r="Y27" s="75"/>
      <c r="Z27" s="107"/>
      <c r="AA27" s="73" t="str">
        <f>Control!X23</f>
        <v>Arsenal</v>
      </c>
      <c r="AB27" s="74"/>
      <c r="AC27" s="75"/>
      <c r="AD27" s="6" t="str">
        <f>Control!BR23</f>
        <v>0 : 0</v>
      </c>
      <c r="AE27" s="6" t="str">
        <f>Control!BS23</f>
        <v>0 : 0</v>
      </c>
      <c r="AF27" s="6" t="str">
        <f>Control!BT23</f>
        <v>4 : 9</v>
      </c>
      <c r="AH27" s="10" t="str">
        <f>Control!BV24</f>
        <v/>
      </c>
      <c r="AI27" s="10" t="str">
        <f>Control!BW24</f>
        <v/>
      </c>
      <c r="AJ27" s="10" t="str">
        <f>Control!BX24</f>
        <v/>
      </c>
      <c r="AK27" s="10" t="str">
        <f>Control!BY24</f>
        <v/>
      </c>
      <c r="AL27" s="10" t="str">
        <f>Control!BZ24</f>
        <v/>
      </c>
      <c r="AM27" s="10" t="str">
        <f>Control!CA24</f>
        <v/>
      </c>
      <c r="AN27" s="10" t="str">
        <f>Control!CB24</f>
        <v/>
      </c>
      <c r="AO27" s="10" t="str">
        <f>Control!CC24</f>
        <v/>
      </c>
      <c r="AP27" s="10" t="str">
        <f>Control!CD24</f>
        <v/>
      </c>
      <c r="AQ27" s="10" t="str">
        <f>Control!CE24</f>
        <v/>
      </c>
      <c r="AR27" s="10" t="str">
        <f>Control!CG24</f>
        <v/>
      </c>
      <c r="AS27" s="10" t="str">
        <f>Control!CH24</f>
        <v/>
      </c>
      <c r="AT27" s="10" t="str">
        <f>Control!CI24</f>
        <v/>
      </c>
      <c r="AU27" s="10" t="str">
        <f>Control!CJ24</f>
        <v/>
      </c>
      <c r="AV27" s="10" t="str">
        <f>Control!CK24</f>
        <v/>
      </c>
    </row>
    <row r="28" spans="10:48" x14ac:dyDescent="0.25">
      <c r="J28" s="59"/>
      <c r="K28" s="59"/>
      <c r="L28" s="61"/>
      <c r="M28" s="61"/>
      <c r="N28" s="38"/>
      <c r="O28" s="59"/>
      <c r="P28" s="59"/>
      <c r="Q28" s="67"/>
      <c r="R28" s="67"/>
      <c r="T28" s="6" t="str">
        <f>Control!R24</f>
        <v>14/01/2026 20:00</v>
      </c>
      <c r="U28" s="73" t="str">
        <f>Control!T24</f>
        <v>League Cup</v>
      </c>
      <c r="V28" s="75"/>
      <c r="W28" s="73" t="str">
        <f>Control!V24</f>
        <v>Chelsea</v>
      </c>
      <c r="X28" s="74"/>
      <c r="Y28" s="75"/>
      <c r="Z28" s="107"/>
      <c r="AA28" s="73" t="str">
        <f>Control!X24</f>
        <v>Arsenal</v>
      </c>
      <c r="AB28" s="74"/>
      <c r="AC28" s="75"/>
      <c r="AD28" s="6" t="str">
        <f>Control!BR24</f>
        <v>0 : 1</v>
      </c>
      <c r="AE28" s="6" t="str">
        <f>Control!BS24</f>
        <v>2 : 3</v>
      </c>
      <c r="AF28" s="6" t="str">
        <f>Control!BT24</f>
        <v>6 : 9</v>
      </c>
      <c r="AH28" s="10" t="str">
        <f>Control!BV25</f>
        <v/>
      </c>
      <c r="AI28" s="10" t="str">
        <f>Control!BW25</f>
        <v/>
      </c>
      <c r="AJ28" s="10" t="str">
        <f>Control!BX25</f>
        <v/>
      </c>
      <c r="AK28" s="10" t="str">
        <f>Control!BY25</f>
        <v/>
      </c>
      <c r="AL28" s="10" t="str">
        <f>Control!BZ25</f>
        <v/>
      </c>
      <c r="AM28" s="10" t="str">
        <f>Control!CA25</f>
        <v/>
      </c>
      <c r="AN28" s="10" t="str">
        <f>Control!CB25</f>
        <v/>
      </c>
      <c r="AO28" s="10" t="str">
        <f>Control!CC25</f>
        <v/>
      </c>
      <c r="AP28" s="10" t="str">
        <f>Control!CD25</f>
        <v/>
      </c>
      <c r="AQ28" s="10" t="str">
        <f>Control!CE25</f>
        <v/>
      </c>
      <c r="AR28" s="10" t="str">
        <f>Control!CG25</f>
        <v/>
      </c>
      <c r="AS28" s="10" t="str">
        <f>Control!CH25</f>
        <v/>
      </c>
      <c r="AT28" s="10" t="str">
        <f>Control!CI25</f>
        <v/>
      </c>
      <c r="AU28" s="10" t="str">
        <f>Control!CJ25</f>
        <v/>
      </c>
      <c r="AV28" s="10" t="str">
        <f>Control!CK25</f>
        <v/>
      </c>
    </row>
    <row r="29" spans="10:48" x14ac:dyDescent="0.25">
      <c r="J29" s="59" t="s">
        <v>182</v>
      </c>
      <c r="K29" s="59"/>
      <c r="L29" s="61" t="str">
        <f>IFERROR(IF(Control!CR5="","",Control!CR5),"")</f>
        <v/>
      </c>
      <c r="M29" s="61"/>
      <c r="N29" s="38"/>
      <c r="O29" s="59" t="s">
        <v>172</v>
      </c>
      <c r="P29" s="59"/>
      <c r="Q29" s="67">
        <f>IF(Control!CT5="","",ROUND(Control!CT5,2))</f>
        <v>2</v>
      </c>
      <c r="R29" s="67"/>
      <c r="T29" s="6" t="str">
        <f>Control!R25</f>
        <v>11/01/2026 14:00</v>
      </c>
      <c r="U29" s="73" t="str">
        <f>Control!T25</f>
        <v>FA Cup</v>
      </c>
      <c r="V29" s="75"/>
      <c r="W29" s="73" t="str">
        <f>Control!V25</f>
        <v>Portsmouth</v>
      </c>
      <c r="X29" s="74"/>
      <c r="Y29" s="75"/>
      <c r="Z29" s="108"/>
      <c r="AA29" s="73" t="str">
        <f>Control!X25</f>
        <v>Arsenal</v>
      </c>
      <c r="AB29" s="74"/>
      <c r="AC29" s="75"/>
      <c r="AD29" s="6" t="str">
        <f>Control!BR25</f>
        <v>1 : 2</v>
      </c>
      <c r="AE29" s="6" t="str">
        <f>Control!BS25</f>
        <v>1 : 4</v>
      </c>
      <c r="AF29" s="6" t="str">
        <f>Control!BT25</f>
        <v>6 : 8</v>
      </c>
      <c r="AH29" s="10" t="str">
        <f>Control!BV26</f>
        <v/>
      </c>
      <c r="AI29" s="10" t="str">
        <f>Control!BW26</f>
        <v/>
      </c>
      <c r="AJ29" s="10" t="str">
        <f>Control!BX26</f>
        <v/>
      </c>
      <c r="AK29" s="10" t="str">
        <f>Control!BY26</f>
        <v/>
      </c>
      <c r="AL29" s="10" t="str">
        <f>Control!BZ26</f>
        <v/>
      </c>
      <c r="AM29" s="10" t="str">
        <f>Control!CA26</f>
        <v/>
      </c>
      <c r="AN29" s="10" t="str">
        <f>Control!CB26</f>
        <v/>
      </c>
      <c r="AO29" s="10" t="str">
        <f>Control!CC26</f>
        <v/>
      </c>
      <c r="AP29" s="10" t="str">
        <f>Control!CD26</f>
        <v/>
      </c>
      <c r="AQ29" s="10" t="str">
        <f>Control!CE26</f>
        <v/>
      </c>
      <c r="AR29" s="10" t="str">
        <f>Control!CG26</f>
        <v/>
      </c>
      <c r="AS29" s="10" t="str">
        <f>Control!CH26</f>
        <v/>
      </c>
      <c r="AT29" s="10" t="str">
        <f>Control!CI26</f>
        <v/>
      </c>
      <c r="AU29" s="10" t="str">
        <f>Control!CJ26</f>
        <v/>
      </c>
      <c r="AV29" s="10" t="str">
        <f>Control!CK26</f>
        <v/>
      </c>
    </row>
    <row r="30" spans="10:48" ht="15" customHeight="1" x14ac:dyDescent="0.25">
      <c r="J30" s="59"/>
      <c r="K30" s="59"/>
      <c r="L30" s="61"/>
      <c r="M30" s="61"/>
      <c r="N30" s="34"/>
      <c r="O30" s="59"/>
      <c r="P30" s="59"/>
      <c r="Q30" s="67"/>
      <c r="R30" s="67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H30" s="10" t="str">
        <f>Control!BV27</f>
        <v/>
      </c>
      <c r="AI30" s="10" t="str">
        <f>Control!BW27</f>
        <v/>
      </c>
      <c r="AJ30" s="10" t="str">
        <f>Control!BX27</f>
        <v/>
      </c>
      <c r="AK30" s="10" t="str">
        <f>Control!BY27</f>
        <v/>
      </c>
      <c r="AL30" s="10" t="str">
        <f>Control!BZ27</f>
        <v/>
      </c>
      <c r="AM30" s="10" t="str">
        <f>Control!CA27</f>
        <v/>
      </c>
      <c r="AN30" s="10" t="str">
        <f>Control!CB27</f>
        <v/>
      </c>
      <c r="AO30" s="10" t="str">
        <f>Control!CC27</f>
        <v/>
      </c>
      <c r="AP30" s="10" t="str">
        <f>Control!CD27</f>
        <v/>
      </c>
      <c r="AQ30" s="10" t="str">
        <f>Control!CE27</f>
        <v/>
      </c>
      <c r="AR30" s="10" t="str">
        <f>Control!CG27</f>
        <v/>
      </c>
      <c r="AS30" s="10" t="str">
        <f>Control!CH27</f>
        <v/>
      </c>
      <c r="AT30" s="10" t="str">
        <f>Control!CI27</f>
        <v/>
      </c>
      <c r="AU30" s="10" t="str">
        <f>Control!CJ27</f>
        <v/>
      </c>
      <c r="AV30" s="10" t="str">
        <f>Control!CK27</f>
        <v/>
      </c>
    </row>
    <row r="31" spans="10:48" x14ac:dyDescent="0.25">
      <c r="J31" s="59" t="s">
        <v>183</v>
      </c>
      <c r="K31" s="59"/>
      <c r="L31" s="61" t="str">
        <f>IFERROR(IF(Control!CR8="","",Control!CR8),"")</f>
        <v/>
      </c>
      <c r="M31" s="61"/>
      <c r="N31" s="34"/>
      <c r="O31" s="59" t="s">
        <v>189</v>
      </c>
      <c r="P31" s="59"/>
      <c r="Q31" s="67" t="str">
        <f>IF(Control!CT7="","",ROUND(Control!CT7,2))</f>
        <v/>
      </c>
      <c r="R31" s="67"/>
      <c r="T31" s="78" t="s">
        <v>198</v>
      </c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H31" s="10" t="str">
        <f>Control!BV28</f>
        <v/>
      </c>
      <c r="AI31" s="10" t="str">
        <f>Control!BW28</f>
        <v/>
      </c>
      <c r="AJ31" s="10" t="str">
        <f>Control!BX28</f>
        <v/>
      </c>
      <c r="AK31" s="10" t="str">
        <f>Control!BY28</f>
        <v/>
      </c>
      <c r="AL31" s="10" t="str">
        <f>Control!BZ28</f>
        <v/>
      </c>
      <c r="AM31" s="10" t="str">
        <f>Control!CA28</f>
        <v/>
      </c>
      <c r="AN31" s="10" t="str">
        <f>Control!CB28</f>
        <v/>
      </c>
      <c r="AO31" s="10" t="str">
        <f>Control!CC28</f>
        <v/>
      </c>
      <c r="AP31" s="10" t="str">
        <f>Control!CD28</f>
        <v/>
      </c>
      <c r="AQ31" s="10" t="str">
        <f>Control!CE28</f>
        <v/>
      </c>
      <c r="AR31" s="10" t="str">
        <f>Control!CG28</f>
        <v/>
      </c>
      <c r="AS31" s="10" t="str">
        <f>Control!CH28</f>
        <v/>
      </c>
      <c r="AT31" s="10" t="str">
        <f>Control!CI28</f>
        <v/>
      </c>
      <c r="AU31" s="10" t="str">
        <f>Control!CJ28</f>
        <v/>
      </c>
      <c r="AV31" s="10" t="str">
        <f>Control!CK28</f>
        <v/>
      </c>
    </row>
    <row r="32" spans="10:48" x14ac:dyDescent="0.25">
      <c r="J32" s="59"/>
      <c r="K32" s="59"/>
      <c r="L32" s="61"/>
      <c r="M32" s="61"/>
      <c r="N32" s="34"/>
      <c r="O32" s="59"/>
      <c r="P32" s="59"/>
      <c r="Q32" s="67"/>
      <c r="R32" s="67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H32" s="10" t="str">
        <f>Control!BV29</f>
        <v/>
      </c>
      <c r="AI32" s="10" t="str">
        <f>Control!BW29</f>
        <v/>
      </c>
      <c r="AJ32" s="10" t="str">
        <f>Control!BX29</f>
        <v/>
      </c>
      <c r="AK32" s="10" t="str">
        <f>Control!BY29</f>
        <v/>
      </c>
      <c r="AL32" s="10" t="str">
        <f>Control!BZ29</f>
        <v/>
      </c>
      <c r="AM32" s="10" t="str">
        <f>Control!CA29</f>
        <v/>
      </c>
      <c r="AN32" s="10" t="str">
        <f>Control!CB29</f>
        <v/>
      </c>
      <c r="AO32" s="10" t="str">
        <f>Control!CC29</f>
        <v/>
      </c>
      <c r="AP32" s="10" t="str">
        <f>Control!CD29</f>
        <v/>
      </c>
      <c r="AQ32" s="10" t="str">
        <f>Control!CE29</f>
        <v/>
      </c>
      <c r="AR32" s="10" t="str">
        <f>Control!CG29</f>
        <v/>
      </c>
      <c r="AS32" s="10" t="str">
        <f>Control!CH29</f>
        <v/>
      </c>
      <c r="AT32" s="10" t="str">
        <f>Control!CI29</f>
        <v/>
      </c>
      <c r="AU32" s="10" t="str">
        <f>Control!CJ29</f>
        <v/>
      </c>
      <c r="AV32" s="10" t="str">
        <f>Control!CK29</f>
        <v/>
      </c>
    </row>
    <row r="33" spans="1:48" x14ac:dyDescent="0.25">
      <c r="J33" s="32"/>
      <c r="K33" s="32"/>
      <c r="L33" s="34"/>
      <c r="M33" s="34"/>
      <c r="N33" s="34"/>
      <c r="O33" s="34"/>
      <c r="P33" s="32"/>
      <c r="Q33" s="32"/>
      <c r="R33" s="32"/>
      <c r="T33" s="79" t="s">
        <v>193</v>
      </c>
      <c r="U33" s="79" t="s">
        <v>194</v>
      </c>
      <c r="V33" s="79"/>
      <c r="W33" s="79" t="s">
        <v>171</v>
      </c>
      <c r="X33" s="79"/>
      <c r="Y33" s="79"/>
      <c r="Z33" s="79" t="s">
        <v>191</v>
      </c>
      <c r="AA33" s="79" t="s">
        <v>172</v>
      </c>
      <c r="AB33" s="79"/>
      <c r="AC33" s="79"/>
      <c r="AD33" s="76" t="s">
        <v>195</v>
      </c>
      <c r="AE33" s="76" t="s">
        <v>196</v>
      </c>
      <c r="AF33" s="79" t="s">
        <v>197</v>
      </c>
      <c r="AH33" s="10" t="str">
        <f>Control!BV30</f>
        <v/>
      </c>
      <c r="AI33" s="10" t="str">
        <f>Control!BW30</f>
        <v/>
      </c>
      <c r="AJ33" s="10" t="str">
        <f>Control!BX30</f>
        <v/>
      </c>
      <c r="AK33" s="10" t="str">
        <f>Control!BY30</f>
        <v/>
      </c>
      <c r="AL33" s="10" t="str">
        <f>Control!BZ30</f>
        <v/>
      </c>
      <c r="AM33" s="10" t="str">
        <f>Control!CA30</f>
        <v/>
      </c>
      <c r="AN33" s="10" t="str">
        <f>Control!CB30</f>
        <v/>
      </c>
      <c r="AO33" s="10" t="str">
        <f>Control!CC30</f>
        <v/>
      </c>
      <c r="AP33" s="10" t="str">
        <f>Control!CD30</f>
        <v/>
      </c>
      <c r="AQ33" s="10" t="str">
        <f>Control!CE30</f>
        <v/>
      </c>
      <c r="AR33" s="10" t="str">
        <f>Control!CG30</f>
        <v/>
      </c>
      <c r="AS33" s="10" t="str">
        <f>Control!CH30</f>
        <v/>
      </c>
      <c r="AT33" s="10" t="str">
        <f>Control!CI30</f>
        <v/>
      </c>
      <c r="AU33" s="10" t="str">
        <f>Control!CJ30</f>
        <v/>
      </c>
      <c r="AV33" s="10" t="str">
        <f>Control!CK30</f>
        <v/>
      </c>
    </row>
    <row r="34" spans="1:48" x14ac:dyDescent="0.25">
      <c r="J34" s="58" t="s">
        <v>255</v>
      </c>
      <c r="K34" s="58"/>
      <c r="L34" s="58"/>
      <c r="M34" s="58"/>
      <c r="N34" s="32"/>
      <c r="O34" s="58" t="s">
        <v>277</v>
      </c>
      <c r="P34" s="58"/>
      <c r="Q34" s="58"/>
      <c r="R34" s="58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7"/>
      <c r="AE34" s="77"/>
      <c r="AF34" s="79"/>
      <c r="AH34" s="10" t="str">
        <f>Control!BV31</f>
        <v/>
      </c>
      <c r="AI34" s="10" t="str">
        <f>Control!BW31</f>
        <v/>
      </c>
      <c r="AJ34" s="10" t="str">
        <f>Control!BX31</f>
        <v/>
      </c>
      <c r="AK34" s="10" t="str">
        <f>Control!BY31</f>
        <v/>
      </c>
      <c r="AL34" s="10" t="str">
        <f>Control!BZ31</f>
        <v/>
      </c>
      <c r="AM34" s="10" t="str">
        <f>Control!CA31</f>
        <v/>
      </c>
      <c r="AN34" s="10" t="str">
        <f>Control!CB31</f>
        <v/>
      </c>
      <c r="AO34" s="10" t="str">
        <f>Control!CC31</f>
        <v/>
      </c>
      <c r="AP34" s="10" t="str">
        <f>Control!CD31</f>
        <v/>
      </c>
      <c r="AQ34" s="10" t="str">
        <f>Control!CE31</f>
        <v/>
      </c>
      <c r="AR34" s="10" t="str">
        <f>Control!CG31</f>
        <v/>
      </c>
      <c r="AS34" s="10" t="str">
        <f>Control!CH31</f>
        <v/>
      </c>
      <c r="AT34" s="10" t="str">
        <f>Control!CI31</f>
        <v/>
      </c>
      <c r="AU34" s="10" t="str">
        <f>Control!CJ31</f>
        <v/>
      </c>
      <c r="AV34" s="10" t="str">
        <f>Control!CK31</f>
        <v/>
      </c>
    </row>
    <row r="35" spans="1:48" x14ac:dyDescent="0.25">
      <c r="J35" s="58"/>
      <c r="K35" s="58"/>
      <c r="L35" s="58"/>
      <c r="M35" s="58"/>
      <c r="N35" s="32"/>
      <c r="O35" s="58"/>
      <c r="P35" s="58"/>
      <c r="Q35" s="58"/>
      <c r="R35" s="58"/>
      <c r="T35" s="7" t="str">
        <f>Control!R31</f>
        <v>07/03/2026 12:15</v>
      </c>
      <c r="U35" s="93" t="str">
        <f>Control!T31</f>
        <v>FA Cup</v>
      </c>
      <c r="V35" s="94"/>
      <c r="W35" s="93" t="str">
        <f>Control!V31</f>
        <v>Mansfield Town</v>
      </c>
      <c r="X35" s="95"/>
      <c r="Y35" s="94"/>
      <c r="Z35" s="85"/>
      <c r="AA35" s="93" t="str">
        <f>Control!X31</f>
        <v>Arsenal</v>
      </c>
      <c r="AB35" s="95"/>
      <c r="AC35" s="94"/>
      <c r="AD35" s="7" t="str">
        <f>Control!BR31</f>
        <v>0 : 1</v>
      </c>
      <c r="AE35" s="7" t="str">
        <f>Control!BS31</f>
        <v>1 : 2</v>
      </c>
      <c r="AF35" s="7" t="str">
        <f>Control!BT31</f>
        <v>4 : 8</v>
      </c>
      <c r="AH35" s="10" t="str">
        <f>Control!BV32</f>
        <v/>
      </c>
      <c r="AI35" s="10" t="str">
        <f>Control!BW32</f>
        <v/>
      </c>
      <c r="AJ35" s="10" t="str">
        <f>Control!BX32</f>
        <v/>
      </c>
      <c r="AK35" s="10" t="str">
        <f>Control!BY32</f>
        <v/>
      </c>
      <c r="AL35" s="10" t="str">
        <f>Control!BZ32</f>
        <v/>
      </c>
      <c r="AM35" s="10" t="str">
        <f>Control!CA32</f>
        <v/>
      </c>
      <c r="AN35" s="10" t="str">
        <f>Control!CB32</f>
        <v/>
      </c>
      <c r="AO35" s="10" t="str">
        <f>Control!CC32</f>
        <v/>
      </c>
      <c r="AP35" s="10" t="str">
        <f>Control!CD32</f>
        <v/>
      </c>
      <c r="AQ35" s="10" t="str">
        <f>Control!CE32</f>
        <v/>
      </c>
      <c r="AR35" s="10" t="str">
        <f>Control!CG32</f>
        <v/>
      </c>
      <c r="AS35" s="10" t="str">
        <f>Control!CH32</f>
        <v/>
      </c>
      <c r="AT35" s="10" t="str">
        <f>Control!CI32</f>
        <v/>
      </c>
      <c r="AU35" s="10" t="str">
        <f>Control!CJ32</f>
        <v/>
      </c>
      <c r="AV35" s="10" t="str">
        <f>Control!CK32</f>
        <v/>
      </c>
    </row>
    <row r="36" spans="1:48" x14ac:dyDescent="0.25">
      <c r="J36" s="50" t="s">
        <v>253</v>
      </c>
      <c r="K36" s="50"/>
      <c r="L36" s="50" t="s">
        <v>254</v>
      </c>
      <c r="M36" s="50"/>
      <c r="N36" s="32"/>
      <c r="O36" s="12">
        <v>1</v>
      </c>
      <c r="P36" s="18" t="str">
        <f>IF(Control!CV2="","",ROUND(Control!CV2*100,2)&amp;"%")</f>
        <v>0%</v>
      </c>
      <c r="Q36" s="12">
        <v>1</v>
      </c>
      <c r="R36" s="17">
        <f>IF(Control!CX2="","",Control!CX2)</f>
        <v>0</v>
      </c>
      <c r="T36" s="7" t="str">
        <f>Control!R32</f>
        <v/>
      </c>
      <c r="U36" s="93" t="str">
        <f>Control!T32</f>
        <v/>
      </c>
      <c r="V36" s="94"/>
      <c r="W36" s="93" t="str">
        <f>Control!V32</f>
        <v/>
      </c>
      <c r="X36" s="95"/>
      <c r="Y36" s="94"/>
      <c r="Z36" s="86"/>
      <c r="AA36" s="93" t="str">
        <f>Control!X32</f>
        <v/>
      </c>
      <c r="AB36" s="95"/>
      <c r="AC36" s="94"/>
      <c r="AD36" s="7" t="str">
        <f>Control!BR32</f>
        <v/>
      </c>
      <c r="AE36" s="7" t="str">
        <f>Control!BS32</f>
        <v/>
      </c>
      <c r="AF36" s="7" t="str">
        <f>Control!BT32</f>
        <v/>
      </c>
      <c r="AH36" s="10" t="str">
        <f>Control!BV33</f>
        <v/>
      </c>
      <c r="AI36" s="10" t="str">
        <f>Control!BW33</f>
        <v/>
      </c>
      <c r="AJ36" s="10" t="str">
        <f>Control!BX33</f>
        <v/>
      </c>
      <c r="AK36" s="10" t="str">
        <f>Control!BY33</f>
        <v/>
      </c>
      <c r="AL36" s="10" t="str">
        <f>Control!BZ33</f>
        <v/>
      </c>
      <c r="AM36" s="10" t="str">
        <f>Control!CA33</f>
        <v/>
      </c>
      <c r="AN36" s="10" t="str">
        <f>Control!CB33</f>
        <v/>
      </c>
      <c r="AO36" s="10" t="str">
        <f>Control!CC33</f>
        <v/>
      </c>
      <c r="AP36" s="10" t="str">
        <f>Control!CD33</f>
        <v/>
      </c>
      <c r="AQ36" s="10" t="str">
        <f>Control!CE33</f>
        <v/>
      </c>
      <c r="AR36" s="10" t="str">
        <f>Control!CG33</f>
        <v/>
      </c>
      <c r="AS36" s="10" t="str">
        <f>Control!CH33</f>
        <v/>
      </c>
      <c r="AT36" s="10" t="str">
        <f>Control!CI33</f>
        <v/>
      </c>
      <c r="AU36" s="10" t="str">
        <f>Control!CJ33</f>
        <v/>
      </c>
      <c r="AV36" s="10" t="str">
        <f>Control!CK33</f>
        <v/>
      </c>
    </row>
    <row r="37" spans="1:48" x14ac:dyDescent="0.25">
      <c r="J37" s="12">
        <v>1</v>
      </c>
      <c r="K37" s="17">
        <f>IF(Control!CZ2="","",Control!CZ2)</f>
        <v>2</v>
      </c>
      <c r="L37" s="12">
        <v>1</v>
      </c>
      <c r="M37" s="17">
        <f>IF(Control!DB2="","",Control!DB2)</f>
        <v>7</v>
      </c>
      <c r="N37" s="32"/>
      <c r="O37" s="14" t="s">
        <v>246</v>
      </c>
      <c r="P37" s="19" t="str">
        <f>IF(Control!CV4="","",ROUND(Control!CV4*100,2)&amp;"%")</f>
        <v>0%</v>
      </c>
      <c r="Q37" s="14" t="s">
        <v>246</v>
      </c>
      <c r="R37" s="17">
        <f>IF(Control!CX4="","",Control!CX4)</f>
        <v>0</v>
      </c>
      <c r="T37" s="7" t="str">
        <f>Control!R33</f>
        <v/>
      </c>
      <c r="U37" s="93" t="str">
        <f>Control!T33</f>
        <v/>
      </c>
      <c r="V37" s="94"/>
      <c r="W37" s="93" t="str">
        <f>Control!V33</f>
        <v/>
      </c>
      <c r="X37" s="95"/>
      <c r="Y37" s="94"/>
      <c r="Z37" s="86"/>
      <c r="AA37" s="93" t="str">
        <f>Control!X33</f>
        <v/>
      </c>
      <c r="AB37" s="95"/>
      <c r="AC37" s="94"/>
      <c r="AD37" s="7" t="str">
        <f>Control!BR33</f>
        <v/>
      </c>
      <c r="AE37" s="7" t="str">
        <f>Control!BS33</f>
        <v/>
      </c>
      <c r="AF37" s="7" t="str">
        <f>Control!BT33</f>
        <v/>
      </c>
      <c r="AH37" s="10" t="str">
        <f>Control!BV34</f>
        <v/>
      </c>
      <c r="AI37" s="10" t="str">
        <f>Control!BW34</f>
        <v/>
      </c>
      <c r="AJ37" s="10" t="str">
        <f>Control!BX34</f>
        <v/>
      </c>
      <c r="AK37" s="10" t="str">
        <f>Control!BY34</f>
        <v/>
      </c>
      <c r="AL37" s="10" t="str">
        <f>Control!BZ34</f>
        <v/>
      </c>
      <c r="AM37" s="10" t="str">
        <f>Control!CA34</f>
        <v/>
      </c>
      <c r="AN37" s="10" t="str">
        <f>Control!CB34</f>
        <v/>
      </c>
      <c r="AO37" s="10" t="str">
        <f>Control!CC34</f>
        <v/>
      </c>
      <c r="AP37" s="10" t="str">
        <f>Control!CD34</f>
        <v/>
      </c>
      <c r="AQ37" s="10" t="str">
        <f>Control!CE34</f>
        <v/>
      </c>
      <c r="AR37" s="10" t="str">
        <f>Control!CG34</f>
        <v/>
      </c>
      <c r="AS37" s="10" t="str">
        <f>Control!CH34</f>
        <v/>
      </c>
      <c r="AT37" s="10" t="str">
        <f>Control!CI34</f>
        <v/>
      </c>
      <c r="AU37" s="10" t="str">
        <f>Control!CJ34</f>
        <v/>
      </c>
      <c r="AV37" s="10" t="str">
        <f>Control!CK34</f>
        <v/>
      </c>
    </row>
    <row r="38" spans="1:48" x14ac:dyDescent="0.25">
      <c r="J38" s="14" t="s">
        <v>246</v>
      </c>
      <c r="K38" s="17">
        <f>IF(Control!CZ4="","",Control!CZ4)</f>
        <v>3</v>
      </c>
      <c r="L38" s="14" t="s">
        <v>246</v>
      </c>
      <c r="M38" s="17">
        <f>IF(Control!DB4="","",Control!DB4)</f>
        <v>3</v>
      </c>
      <c r="N38" s="32"/>
      <c r="O38" s="13">
        <v>2</v>
      </c>
      <c r="P38" s="19" t="str">
        <f>IF(Control!CV6="","",ROUND(Control!CV6*100,2)&amp;"%")</f>
        <v>100%</v>
      </c>
      <c r="Q38" s="13">
        <v>2</v>
      </c>
      <c r="R38" s="17">
        <f>IF(Control!CX6="","",Control!CX6)</f>
        <v>1</v>
      </c>
      <c r="T38" s="7" t="str">
        <f>Control!R34</f>
        <v/>
      </c>
      <c r="U38" s="93" t="str">
        <f>Control!T34</f>
        <v/>
      </c>
      <c r="V38" s="94"/>
      <c r="W38" s="93" t="str">
        <f>Control!V34</f>
        <v/>
      </c>
      <c r="X38" s="95"/>
      <c r="Y38" s="94"/>
      <c r="Z38" s="86"/>
      <c r="AA38" s="93" t="str">
        <f>Control!X34</f>
        <v/>
      </c>
      <c r="AB38" s="95"/>
      <c r="AC38" s="94"/>
      <c r="AD38" s="7" t="str">
        <f>Control!BR34</f>
        <v/>
      </c>
      <c r="AE38" s="7" t="str">
        <f>Control!BS34</f>
        <v/>
      </c>
      <c r="AF38" s="7" t="str">
        <f>Control!BT34</f>
        <v/>
      </c>
      <c r="AH38" s="10" t="str">
        <f>Control!BV35</f>
        <v/>
      </c>
      <c r="AI38" s="10" t="str">
        <f>Control!BW35</f>
        <v/>
      </c>
      <c r="AJ38" s="10" t="str">
        <f>Control!BX35</f>
        <v/>
      </c>
      <c r="AK38" s="10" t="str">
        <f>Control!BY35</f>
        <v/>
      </c>
      <c r="AL38" s="10" t="str">
        <f>Control!BZ35</f>
        <v/>
      </c>
      <c r="AM38" s="10" t="str">
        <f>Control!CA35</f>
        <v/>
      </c>
      <c r="AN38" s="10" t="str">
        <f>Control!CB35</f>
        <v/>
      </c>
      <c r="AO38" s="10" t="str">
        <f>Control!CC35</f>
        <v/>
      </c>
      <c r="AP38" s="10" t="str">
        <f>Control!CD35</f>
        <v/>
      </c>
      <c r="AQ38" s="10" t="str">
        <f>Control!CE35</f>
        <v/>
      </c>
      <c r="AR38" s="10" t="str">
        <f>Control!CG35</f>
        <v/>
      </c>
      <c r="AS38" s="10" t="str">
        <f>Control!CH35</f>
        <v/>
      </c>
      <c r="AT38" s="10" t="str">
        <f>Control!CI35</f>
        <v/>
      </c>
      <c r="AU38" s="10" t="str">
        <f>Control!CJ35</f>
        <v/>
      </c>
      <c r="AV38" s="10" t="str">
        <f>Control!CK35</f>
        <v/>
      </c>
    </row>
    <row r="39" spans="1:48" x14ac:dyDescent="0.25">
      <c r="J39" s="13">
        <v>2</v>
      </c>
      <c r="K39" s="17">
        <f>IF(Control!CZ6="","",Control!CZ6)</f>
        <v>5</v>
      </c>
      <c r="L39" s="13">
        <v>2</v>
      </c>
      <c r="M39" s="17">
        <f>IF(Control!DB6="","",Control!DB6)</f>
        <v>0</v>
      </c>
      <c r="N39" s="32"/>
      <c r="O39" s="32"/>
      <c r="P39" s="32"/>
      <c r="Q39" s="32"/>
      <c r="R39" s="32"/>
      <c r="T39" s="7" t="str">
        <f>Control!R35</f>
        <v/>
      </c>
      <c r="U39" s="93" t="str">
        <f>Control!T35</f>
        <v/>
      </c>
      <c r="V39" s="94"/>
      <c r="W39" s="93" t="str">
        <f>Control!V35</f>
        <v/>
      </c>
      <c r="X39" s="95"/>
      <c r="Y39" s="94"/>
      <c r="Z39" s="87"/>
      <c r="AA39" s="93" t="str">
        <f>Control!X35</f>
        <v/>
      </c>
      <c r="AB39" s="95"/>
      <c r="AC39" s="94"/>
      <c r="AD39" s="7" t="str">
        <f>Control!BR35</f>
        <v/>
      </c>
      <c r="AE39" s="7" t="str">
        <f>Control!BS35</f>
        <v/>
      </c>
      <c r="AF39" s="7" t="str">
        <f>Control!BT35</f>
        <v/>
      </c>
      <c r="AH39" s="10" t="str">
        <f>Control!BV36</f>
        <v/>
      </c>
      <c r="AI39" s="10" t="str">
        <f>Control!BW36</f>
        <v/>
      </c>
      <c r="AJ39" s="10" t="str">
        <f>Control!BX36</f>
        <v/>
      </c>
      <c r="AK39" s="10" t="str">
        <f>Control!BY36</f>
        <v/>
      </c>
      <c r="AL39" s="10" t="str">
        <f>Control!BZ36</f>
        <v/>
      </c>
      <c r="AM39" s="10" t="str">
        <f>Control!CA36</f>
        <v/>
      </c>
      <c r="AN39" s="10" t="str">
        <f>Control!CB36</f>
        <v/>
      </c>
      <c r="AO39" s="10" t="str">
        <f>Control!CC36</f>
        <v/>
      </c>
      <c r="AP39" s="10" t="str">
        <f>Control!CD36</f>
        <v/>
      </c>
      <c r="AQ39" s="10" t="str">
        <f>Control!CE36</f>
        <v/>
      </c>
      <c r="AR39" s="10" t="str">
        <f>Control!CG36</f>
        <v/>
      </c>
      <c r="AS39" s="10" t="str">
        <f>Control!CH36</f>
        <v/>
      </c>
      <c r="AT39" s="10" t="str">
        <f>Control!CI36</f>
        <v/>
      </c>
      <c r="AU39" s="10" t="str">
        <f>Control!CJ36</f>
        <v/>
      </c>
      <c r="AV39" s="10" t="str">
        <f>Control!CK36</f>
        <v/>
      </c>
    </row>
    <row r="40" spans="1:48" s="8" customFormat="1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3"/>
      <c r="K40" s="33"/>
      <c r="L40" s="33"/>
      <c r="M40" s="33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4"/>
      <c r="AA40" s="32"/>
      <c r="AB40" s="32"/>
      <c r="AC40" s="32"/>
      <c r="AD40" s="32"/>
      <c r="AE40" s="32"/>
      <c r="AF40" s="32"/>
      <c r="AG40" s="32"/>
      <c r="AH40" s="10" t="str">
        <f>Control!BV37</f>
        <v/>
      </c>
      <c r="AI40" s="10" t="str">
        <f>Control!BW37</f>
        <v/>
      </c>
      <c r="AJ40" s="10" t="str">
        <f>Control!BX37</f>
        <v/>
      </c>
      <c r="AK40" s="10" t="str">
        <f>Control!BY37</f>
        <v/>
      </c>
      <c r="AL40" s="10" t="str">
        <f>Control!BZ37</f>
        <v/>
      </c>
      <c r="AM40" s="10" t="str">
        <f>Control!CA37</f>
        <v/>
      </c>
      <c r="AN40" s="10" t="str">
        <f>Control!CB37</f>
        <v/>
      </c>
      <c r="AO40" s="10" t="str">
        <f>Control!CC37</f>
        <v/>
      </c>
      <c r="AP40" s="10" t="str">
        <f>Control!CD37</f>
        <v/>
      </c>
      <c r="AQ40" s="10" t="str">
        <f>Control!CE37</f>
        <v/>
      </c>
      <c r="AR40" s="10" t="str">
        <f>Control!CG37</f>
        <v/>
      </c>
      <c r="AS40" s="10" t="str">
        <f>Control!CH37</f>
        <v/>
      </c>
      <c r="AT40" s="10" t="str">
        <f>Control!CI37</f>
        <v/>
      </c>
      <c r="AU40" s="10" t="str">
        <f>Control!CJ37</f>
        <v/>
      </c>
      <c r="AV40" s="10" t="str">
        <f>Control!CK37</f>
        <v/>
      </c>
    </row>
    <row r="41" spans="1:48" s="8" customFormat="1" hidden="1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15"/>
      <c r="K41" s="15"/>
      <c r="L41" s="15"/>
      <c r="M41" s="15"/>
      <c r="S41" s="32"/>
      <c r="Z41" s="9"/>
      <c r="AG41" s="32"/>
      <c r="AH41" s="11" t="str">
        <f>Control!BV38</f>
        <v/>
      </c>
      <c r="AI41" s="11" t="str">
        <f>Control!BW38</f>
        <v/>
      </c>
      <c r="AJ41" s="11" t="str">
        <f>Control!BX38</f>
        <v/>
      </c>
      <c r="AK41" s="11" t="str">
        <f>Control!BY38</f>
        <v/>
      </c>
      <c r="AL41" s="11" t="str">
        <f>Control!BZ38</f>
        <v/>
      </c>
      <c r="AM41" s="11" t="str">
        <f>Control!CA38</f>
        <v/>
      </c>
      <c r="AN41" s="11" t="str">
        <f>Control!CB38</f>
        <v/>
      </c>
      <c r="AO41" s="11" t="str">
        <f>Control!CC38</f>
        <v/>
      </c>
      <c r="AP41" s="11" t="str">
        <f>Control!CD38</f>
        <v/>
      </c>
      <c r="AQ41" s="11" t="str">
        <f>Control!CE38</f>
        <v/>
      </c>
      <c r="AR41" s="11" t="str">
        <f>Control!CG38</f>
        <v/>
      </c>
      <c r="AS41" s="11" t="str">
        <f>Control!CH38</f>
        <v/>
      </c>
      <c r="AT41" s="11" t="str">
        <f>Control!CI38</f>
        <v/>
      </c>
      <c r="AU41" s="11" t="str">
        <f>Control!CJ38</f>
        <v/>
      </c>
      <c r="AV41" s="11" t="str">
        <f>Control!CK38</f>
        <v/>
      </c>
    </row>
    <row r="42" spans="1:48" s="8" customFormat="1" hidden="1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15"/>
      <c r="K42" s="15"/>
      <c r="L42" s="15"/>
      <c r="M42" s="15"/>
      <c r="S42" s="32"/>
      <c r="AG42" s="32"/>
      <c r="AH42" s="11" t="str">
        <f>Control!BV39</f>
        <v/>
      </c>
      <c r="AI42" s="11" t="str">
        <f>Control!BW39</f>
        <v/>
      </c>
      <c r="AJ42" s="11" t="str">
        <f>Control!BX39</f>
        <v/>
      </c>
      <c r="AK42" s="11" t="str">
        <f>Control!BY39</f>
        <v/>
      </c>
      <c r="AL42" s="11" t="str">
        <f>Control!BZ39</f>
        <v/>
      </c>
      <c r="AM42" s="11" t="str">
        <f>Control!CA39</f>
        <v/>
      </c>
      <c r="AN42" s="11" t="str">
        <f>Control!CB39</f>
        <v/>
      </c>
      <c r="AO42" s="11" t="str">
        <f>Control!CC39</f>
        <v/>
      </c>
      <c r="AP42" s="11" t="str">
        <f>Control!CD39</f>
        <v/>
      </c>
      <c r="AQ42" s="11" t="str">
        <f>Control!CE39</f>
        <v/>
      </c>
      <c r="AR42" s="11" t="str">
        <f>Control!CG39</f>
        <v/>
      </c>
      <c r="AS42" s="11" t="str">
        <f>Control!CH39</f>
        <v/>
      </c>
      <c r="AT42" s="11" t="str">
        <f>Control!CI39</f>
        <v/>
      </c>
      <c r="AU42" s="11" t="str">
        <f>Control!CJ39</f>
        <v/>
      </c>
      <c r="AV42" s="11" t="str">
        <f>Control!CK39</f>
        <v/>
      </c>
    </row>
    <row r="43" spans="1:48" s="8" customFormat="1" hidden="1" x14ac:dyDescent="0.25">
      <c r="A43" s="32"/>
      <c r="B43" s="32"/>
      <c r="C43" s="32"/>
      <c r="D43" s="32"/>
      <c r="E43" s="32"/>
      <c r="F43" s="32"/>
      <c r="G43" s="32"/>
      <c r="H43" s="32"/>
      <c r="I43" s="32"/>
      <c r="S43" s="32"/>
      <c r="AG43" s="32"/>
      <c r="AH43" s="11" t="str">
        <f>Control!BV40</f>
        <v/>
      </c>
      <c r="AI43" s="11" t="str">
        <f>Control!BW40</f>
        <v/>
      </c>
      <c r="AJ43" s="11" t="str">
        <f>Control!BX40</f>
        <v/>
      </c>
      <c r="AK43" s="11" t="str">
        <f>Control!BY40</f>
        <v/>
      </c>
      <c r="AL43" s="11" t="str">
        <f>Control!BZ40</f>
        <v/>
      </c>
      <c r="AM43" s="11" t="str">
        <f>Control!CA40</f>
        <v/>
      </c>
      <c r="AN43" s="11" t="str">
        <f>Control!CB40</f>
        <v/>
      </c>
      <c r="AO43" s="11" t="str">
        <f>Control!CC40</f>
        <v/>
      </c>
      <c r="AP43" s="11" t="str">
        <f>Control!CD40</f>
        <v/>
      </c>
      <c r="AQ43" s="11" t="str">
        <f>Control!CE40</f>
        <v/>
      </c>
      <c r="AR43" s="11" t="str">
        <f>Control!CG40</f>
        <v/>
      </c>
      <c r="AS43" s="11" t="str">
        <f>Control!CH40</f>
        <v/>
      </c>
      <c r="AT43" s="11" t="str">
        <f>Control!CI40</f>
        <v/>
      </c>
      <c r="AU43" s="11" t="str">
        <f>Control!CJ40</f>
        <v/>
      </c>
      <c r="AV43" s="11" t="str">
        <f>Control!CK40</f>
        <v/>
      </c>
    </row>
    <row r="44" spans="1:48" s="8" customFormat="1" hidden="1" x14ac:dyDescent="0.25">
      <c r="A44" s="32"/>
      <c r="B44" s="32"/>
      <c r="C44" s="32"/>
      <c r="D44" s="32"/>
      <c r="E44" s="32"/>
      <c r="F44" s="32"/>
      <c r="G44" s="32"/>
      <c r="H44" s="32"/>
      <c r="I44" s="32"/>
      <c r="S44" s="32"/>
      <c r="AG44" s="32"/>
      <c r="AH44" s="11" t="str">
        <f>Control!BV41</f>
        <v/>
      </c>
      <c r="AI44" s="11" t="str">
        <f>Control!BW41</f>
        <v/>
      </c>
      <c r="AJ44" s="11" t="str">
        <f>Control!BX41</f>
        <v/>
      </c>
      <c r="AK44" s="11" t="str">
        <f>Control!BY41</f>
        <v/>
      </c>
      <c r="AL44" s="11" t="str">
        <f>Control!BZ41</f>
        <v/>
      </c>
      <c r="AM44" s="11" t="str">
        <f>Control!CA41</f>
        <v/>
      </c>
      <c r="AN44" s="11" t="str">
        <f>Control!CB41</f>
        <v/>
      </c>
      <c r="AO44" s="11" t="str">
        <f>Control!CC41</f>
        <v/>
      </c>
      <c r="AP44" s="11" t="str">
        <f>Control!CD41</f>
        <v/>
      </c>
      <c r="AQ44" s="11" t="str">
        <f>Control!CE41</f>
        <v/>
      </c>
      <c r="AR44" s="11" t="str">
        <f>Control!CG41</f>
        <v/>
      </c>
      <c r="AS44" s="11" t="str">
        <f>Control!CH41</f>
        <v/>
      </c>
      <c r="AT44" s="11" t="str">
        <f>Control!CI41</f>
        <v/>
      </c>
      <c r="AU44" s="11" t="str">
        <f>Control!CJ41</f>
        <v/>
      </c>
      <c r="AV44" s="11" t="str">
        <f>Control!CK41</f>
        <v/>
      </c>
    </row>
    <row r="45" spans="1:48" s="8" customFormat="1" hidden="1" x14ac:dyDescent="0.25">
      <c r="A45" s="32"/>
      <c r="B45" s="32"/>
      <c r="C45" s="32"/>
      <c r="D45" s="32"/>
      <c r="E45" s="32"/>
      <c r="F45" s="32"/>
      <c r="G45" s="32"/>
      <c r="H45" s="32"/>
      <c r="I45" s="32"/>
      <c r="O45" s="16"/>
      <c r="S45" s="32"/>
      <c r="AG45" s="32"/>
      <c r="AH45" s="11" t="str">
        <f>Control!BV42</f>
        <v/>
      </c>
      <c r="AI45" s="11" t="str">
        <f>Control!BW42</f>
        <v/>
      </c>
      <c r="AJ45" s="11" t="str">
        <f>Control!BX42</f>
        <v/>
      </c>
      <c r="AK45" s="11" t="str">
        <f>Control!BY42</f>
        <v/>
      </c>
      <c r="AL45" s="11" t="str">
        <f>Control!BZ42</f>
        <v/>
      </c>
      <c r="AM45" s="11" t="str">
        <f>Control!CA42</f>
        <v/>
      </c>
      <c r="AN45" s="11" t="str">
        <f>Control!CB42</f>
        <v/>
      </c>
      <c r="AO45" s="11" t="str">
        <f>Control!CC42</f>
        <v/>
      </c>
      <c r="AP45" s="11" t="str">
        <f>Control!CD42</f>
        <v/>
      </c>
      <c r="AQ45" s="11" t="str">
        <f>Control!CE42</f>
        <v/>
      </c>
      <c r="AR45" s="11" t="str">
        <f>Control!CG42</f>
        <v/>
      </c>
      <c r="AS45" s="11" t="str">
        <f>Control!CH42</f>
        <v/>
      </c>
      <c r="AT45" s="11" t="str">
        <f>Control!CI42</f>
        <v/>
      </c>
      <c r="AU45" s="11" t="str">
        <f>Control!CJ42</f>
        <v/>
      </c>
      <c r="AV45" s="11" t="str">
        <f>Control!CK42</f>
        <v/>
      </c>
    </row>
    <row r="46" spans="1:48" s="8" customFormat="1" hidden="1" x14ac:dyDescent="0.25">
      <c r="A46" s="32"/>
      <c r="B46" s="32"/>
      <c r="C46" s="32"/>
      <c r="D46" s="32"/>
      <c r="E46" s="32"/>
      <c r="F46" s="32"/>
      <c r="G46" s="32"/>
      <c r="H46" s="32"/>
      <c r="I46" s="32"/>
      <c r="S46" s="32"/>
      <c r="AG46" s="32"/>
      <c r="AH46" s="11" t="str">
        <f>Control!BV43</f>
        <v/>
      </c>
      <c r="AI46" s="11" t="str">
        <f>Control!BW43</f>
        <v/>
      </c>
      <c r="AJ46" s="11" t="str">
        <f>Control!BX43</f>
        <v/>
      </c>
      <c r="AK46" s="11" t="str">
        <f>Control!BY43</f>
        <v/>
      </c>
      <c r="AL46" s="11" t="str">
        <f>Control!BZ43</f>
        <v/>
      </c>
      <c r="AM46" s="11" t="str">
        <f>Control!CA43</f>
        <v/>
      </c>
      <c r="AN46" s="11" t="str">
        <f>Control!CB43</f>
        <v/>
      </c>
      <c r="AO46" s="11" t="str">
        <f>Control!CC43</f>
        <v/>
      </c>
      <c r="AP46" s="11" t="str">
        <f>Control!CD43</f>
        <v/>
      </c>
      <c r="AQ46" s="11" t="str">
        <f>Control!CE43</f>
        <v/>
      </c>
      <c r="AR46" s="11" t="str">
        <f>Control!CG43</f>
        <v/>
      </c>
      <c r="AS46" s="11" t="str">
        <f>Control!CH43</f>
        <v/>
      </c>
      <c r="AT46" s="11" t="str">
        <f>Control!CI43</f>
        <v/>
      </c>
      <c r="AU46" s="11" t="str">
        <f>Control!CJ43</f>
        <v/>
      </c>
      <c r="AV46" s="11" t="str">
        <f>Control!CK43</f>
        <v/>
      </c>
    </row>
    <row r="47" spans="1:48" s="8" customFormat="1" hidden="1" x14ac:dyDescent="0.25">
      <c r="A47" s="32"/>
      <c r="B47" s="32"/>
      <c r="C47" s="32"/>
      <c r="D47" s="32"/>
      <c r="E47" s="32"/>
      <c r="F47" s="32"/>
      <c r="G47" s="32"/>
      <c r="H47" s="32"/>
      <c r="I47" s="32"/>
      <c r="S47" s="32"/>
      <c r="AG47" s="32"/>
      <c r="AH47" s="11" t="str">
        <f>Control!BV44</f>
        <v/>
      </c>
      <c r="AI47" s="11" t="str">
        <f>Control!BW44</f>
        <v/>
      </c>
      <c r="AJ47" s="11" t="str">
        <f>Control!BX44</f>
        <v/>
      </c>
      <c r="AK47" s="11" t="str">
        <f>Control!BY44</f>
        <v/>
      </c>
      <c r="AL47" s="11" t="str">
        <f>Control!BZ44</f>
        <v/>
      </c>
      <c r="AM47" s="11" t="str">
        <f>Control!CA44</f>
        <v/>
      </c>
      <c r="AN47" s="11" t="str">
        <f>Control!CB44</f>
        <v/>
      </c>
      <c r="AO47" s="11" t="str">
        <f>Control!CC44</f>
        <v/>
      </c>
      <c r="AP47" s="11" t="str">
        <f>Control!CD44</f>
        <v/>
      </c>
      <c r="AQ47" s="11" t="str">
        <f>Control!CE44</f>
        <v/>
      </c>
      <c r="AR47" s="11" t="str">
        <f>Control!CG44</f>
        <v/>
      </c>
      <c r="AS47" s="11" t="str">
        <f>Control!CH44</f>
        <v/>
      </c>
      <c r="AT47" s="11" t="str">
        <f>Control!CI44</f>
        <v/>
      </c>
      <c r="AU47" s="11" t="str">
        <f>Control!CJ44</f>
        <v/>
      </c>
      <c r="AV47" s="11" t="str">
        <f>Control!CK44</f>
        <v/>
      </c>
    </row>
    <row r="48" spans="1:48" s="8" customFormat="1" hidden="1" x14ac:dyDescent="0.25">
      <c r="A48" s="32"/>
      <c r="B48" s="32"/>
      <c r="C48" s="32"/>
      <c r="D48" s="32"/>
      <c r="E48" s="32"/>
      <c r="F48" s="32"/>
      <c r="G48" s="32"/>
      <c r="H48" s="32"/>
      <c r="I48" s="32"/>
      <c r="S48" s="32"/>
      <c r="AG48" s="32"/>
      <c r="AH48" s="11" t="str">
        <f>Control!BV45</f>
        <v/>
      </c>
      <c r="AI48" s="11" t="str">
        <f>Control!BW45</f>
        <v/>
      </c>
      <c r="AJ48" s="11" t="str">
        <f>Control!BX45</f>
        <v/>
      </c>
      <c r="AK48" s="11" t="str">
        <f>Control!BY45</f>
        <v/>
      </c>
      <c r="AL48" s="11" t="str">
        <f>Control!BZ45</f>
        <v/>
      </c>
      <c r="AM48" s="11" t="str">
        <f>Control!CA45</f>
        <v/>
      </c>
      <c r="AN48" s="11" t="str">
        <f>Control!CB45</f>
        <v/>
      </c>
      <c r="AO48" s="11" t="str">
        <f>Control!CC45</f>
        <v/>
      </c>
      <c r="AP48" s="11" t="str">
        <f>Control!CD45</f>
        <v/>
      </c>
      <c r="AQ48" s="11" t="str">
        <f>Control!CE45</f>
        <v/>
      </c>
      <c r="AR48" s="11" t="str">
        <f>Control!CG45</f>
        <v/>
      </c>
      <c r="AS48" s="11" t="str">
        <f>Control!CH45</f>
        <v/>
      </c>
      <c r="AT48" s="11" t="str">
        <f>Control!CI45</f>
        <v/>
      </c>
      <c r="AU48" s="11" t="str">
        <f>Control!CJ45</f>
        <v/>
      </c>
      <c r="AV48" s="11" t="str">
        <f>Control!CK45</f>
        <v/>
      </c>
    </row>
    <row r="49" spans="1:48" s="8" customFormat="1" hidden="1" x14ac:dyDescent="0.25">
      <c r="A49" s="32"/>
      <c r="B49" s="32"/>
      <c r="C49" s="32"/>
      <c r="D49" s="32"/>
      <c r="E49" s="32"/>
      <c r="F49" s="32"/>
      <c r="G49" s="32"/>
      <c r="H49" s="32"/>
      <c r="I49" s="32"/>
      <c r="S49" s="32"/>
      <c r="AG49" s="32"/>
      <c r="AH49" s="11" t="str">
        <f>Control!BV46</f>
        <v/>
      </c>
      <c r="AI49" s="11" t="str">
        <f>Control!BW46</f>
        <v/>
      </c>
      <c r="AJ49" s="11" t="str">
        <f>Control!BX46</f>
        <v/>
      </c>
      <c r="AK49" s="11" t="str">
        <f>Control!BY46</f>
        <v/>
      </c>
      <c r="AL49" s="11" t="str">
        <f>Control!BZ46</f>
        <v/>
      </c>
      <c r="AM49" s="11" t="str">
        <f>Control!CA46</f>
        <v/>
      </c>
      <c r="AN49" s="11" t="str">
        <f>Control!CB46</f>
        <v/>
      </c>
      <c r="AO49" s="11" t="str">
        <f>Control!CC46</f>
        <v/>
      </c>
      <c r="AP49" s="11" t="str">
        <f>Control!CD46</f>
        <v/>
      </c>
      <c r="AQ49" s="11" t="str">
        <f>Control!CE46</f>
        <v/>
      </c>
      <c r="AR49" s="11" t="str">
        <f>Control!CG46</f>
        <v/>
      </c>
      <c r="AS49" s="11" t="str">
        <f>Control!CH46</f>
        <v/>
      </c>
      <c r="AT49" s="11" t="str">
        <f>Control!CI46</f>
        <v/>
      </c>
      <c r="AU49" s="11" t="str">
        <f>Control!CJ46</f>
        <v/>
      </c>
      <c r="AV49" s="11" t="str">
        <f>Control!CK46</f>
        <v/>
      </c>
    </row>
    <row r="50" spans="1:48" s="8" customFormat="1" hidden="1" x14ac:dyDescent="0.25">
      <c r="A50" s="32"/>
      <c r="B50" s="32"/>
      <c r="C50" s="32"/>
      <c r="D50" s="32"/>
      <c r="E50" s="32"/>
      <c r="F50" s="32"/>
      <c r="G50" s="32"/>
      <c r="H50" s="32"/>
      <c r="I50" s="32"/>
      <c r="S50" s="32"/>
      <c r="AG50" s="32"/>
      <c r="AH50" s="11" t="str">
        <f>Control!BV47</f>
        <v/>
      </c>
      <c r="AI50" s="11" t="str">
        <f>Control!BW47</f>
        <v/>
      </c>
      <c r="AJ50" s="11" t="str">
        <f>Control!BX47</f>
        <v/>
      </c>
      <c r="AK50" s="11" t="str">
        <f>Control!BY47</f>
        <v/>
      </c>
      <c r="AL50" s="11" t="str">
        <f>Control!BZ47</f>
        <v/>
      </c>
      <c r="AM50" s="11" t="str">
        <f>Control!CA47</f>
        <v/>
      </c>
      <c r="AN50" s="11" t="str">
        <f>Control!CB47</f>
        <v/>
      </c>
      <c r="AO50" s="11" t="str">
        <f>Control!CC47</f>
        <v/>
      </c>
      <c r="AP50" s="11" t="str">
        <f>Control!CD47</f>
        <v/>
      </c>
      <c r="AQ50" s="11" t="str">
        <f>Control!CE47</f>
        <v/>
      </c>
      <c r="AR50" s="11" t="str">
        <f>Control!CG47</f>
        <v/>
      </c>
      <c r="AS50" s="11" t="str">
        <f>Control!CH47</f>
        <v/>
      </c>
      <c r="AT50" s="11" t="str">
        <f>Control!CI47</f>
        <v/>
      </c>
      <c r="AU50" s="11" t="str">
        <f>Control!CJ47</f>
        <v/>
      </c>
      <c r="AV50" s="11" t="str">
        <f>Control!CK47</f>
        <v/>
      </c>
    </row>
    <row r="51" spans="1:48" s="8" customFormat="1" hidden="1" x14ac:dyDescent="0.25">
      <c r="A51" s="32"/>
      <c r="B51" s="32"/>
      <c r="C51" s="32"/>
      <c r="D51" s="32"/>
      <c r="E51" s="32"/>
      <c r="F51" s="32"/>
      <c r="G51" s="32"/>
      <c r="H51" s="32"/>
      <c r="I51" s="32"/>
      <c r="S51" s="32"/>
      <c r="AG51" s="32"/>
    </row>
    <row r="52" spans="1:48" s="8" customFormat="1" hidden="1" x14ac:dyDescent="0.25">
      <c r="A52" s="32"/>
      <c r="B52" s="32"/>
      <c r="C52" s="32"/>
      <c r="D52" s="32"/>
      <c r="E52" s="32"/>
      <c r="F52" s="32"/>
      <c r="G52" s="32"/>
      <c r="H52" s="32"/>
      <c r="I52" s="32"/>
      <c r="S52" s="32"/>
      <c r="AG52" s="32"/>
    </row>
    <row r="53" spans="1:48" s="8" customFormat="1" hidden="1" x14ac:dyDescent="0.25">
      <c r="A53" s="32"/>
      <c r="B53" s="32"/>
      <c r="C53" s="32"/>
      <c r="D53" s="32"/>
      <c r="E53" s="32"/>
      <c r="F53" s="32"/>
      <c r="G53" s="32"/>
      <c r="H53" s="32"/>
      <c r="I53" s="32"/>
      <c r="S53" s="32"/>
      <c r="AG53" s="32"/>
    </row>
    <row r="54" spans="1:48" s="8" customFormat="1" hidden="1" x14ac:dyDescent="0.25">
      <c r="A54" s="32"/>
      <c r="B54" s="32"/>
      <c r="C54" s="32"/>
      <c r="D54" s="32"/>
      <c r="E54" s="32"/>
      <c r="F54" s="32"/>
      <c r="G54" s="32"/>
      <c r="H54" s="32"/>
      <c r="I54" s="32"/>
      <c r="S54" s="32"/>
      <c r="AG54" s="32"/>
    </row>
    <row r="55" spans="1:48" s="8" customFormat="1" hidden="1" x14ac:dyDescent="0.25">
      <c r="A55" s="32"/>
      <c r="B55" s="32"/>
      <c r="C55" s="32"/>
      <c r="D55" s="32"/>
      <c r="E55" s="32"/>
      <c r="F55" s="32"/>
      <c r="G55" s="32"/>
      <c r="H55" s="32"/>
      <c r="I55" s="32"/>
      <c r="S55" s="32"/>
      <c r="AG55" s="32"/>
    </row>
    <row r="56" spans="1:48" s="8" customFormat="1" hidden="1" x14ac:dyDescent="0.25">
      <c r="A56" s="32"/>
      <c r="B56" s="32"/>
      <c r="C56" s="32"/>
      <c r="D56" s="32"/>
      <c r="E56" s="32"/>
      <c r="F56" s="32"/>
      <c r="G56" s="32"/>
      <c r="H56" s="32"/>
      <c r="I56" s="32"/>
      <c r="S56" s="32"/>
      <c r="AG56" s="32"/>
    </row>
    <row r="57" spans="1:48" s="8" customFormat="1" hidden="1" x14ac:dyDescent="0.25">
      <c r="A57" s="32"/>
      <c r="B57" s="32"/>
      <c r="C57" s="32"/>
      <c r="D57" s="32"/>
      <c r="E57" s="32"/>
      <c r="F57" s="32"/>
      <c r="G57" s="32"/>
      <c r="H57" s="32"/>
      <c r="I57" s="32"/>
      <c r="S57" s="32"/>
      <c r="AG57" s="32"/>
    </row>
    <row r="58" spans="1:48" s="8" customFormat="1" hidden="1" x14ac:dyDescent="0.25">
      <c r="A58" s="32"/>
      <c r="B58" s="32"/>
      <c r="C58" s="32"/>
      <c r="D58" s="32"/>
      <c r="E58" s="32"/>
      <c r="F58" s="32"/>
      <c r="G58" s="32"/>
      <c r="H58" s="32"/>
      <c r="I58" s="32"/>
      <c r="S58" s="32"/>
      <c r="AG58" s="32"/>
    </row>
    <row r="59" spans="1:48" s="8" customFormat="1" hidden="1" x14ac:dyDescent="0.25">
      <c r="A59" s="32"/>
      <c r="B59" s="32"/>
      <c r="C59" s="32"/>
      <c r="D59" s="32"/>
      <c r="E59" s="32"/>
      <c r="F59" s="32"/>
      <c r="G59" s="32"/>
      <c r="H59" s="32"/>
      <c r="I59" s="32"/>
      <c r="S59" s="32"/>
      <c r="AG59" s="32"/>
    </row>
    <row r="60" spans="1:48" s="8" customFormat="1" hidden="1" x14ac:dyDescent="0.25">
      <c r="A60" s="32"/>
      <c r="B60" s="32"/>
      <c r="C60" s="32"/>
      <c r="D60" s="32"/>
      <c r="E60" s="32"/>
      <c r="F60" s="32"/>
      <c r="G60" s="32"/>
      <c r="H60" s="32"/>
      <c r="I60" s="32"/>
      <c r="S60" s="32"/>
      <c r="AG60" s="32"/>
    </row>
    <row r="61" spans="1:48" s="8" customFormat="1" hidden="1" x14ac:dyDescent="0.25">
      <c r="A61" s="32"/>
      <c r="B61" s="32"/>
      <c r="C61" s="32"/>
      <c r="D61" s="32"/>
      <c r="E61" s="32"/>
      <c r="F61" s="32"/>
      <c r="G61" s="32"/>
      <c r="H61" s="32"/>
      <c r="I61" s="32"/>
      <c r="S61" s="32"/>
      <c r="AG61" s="32"/>
    </row>
    <row r="62" spans="1:48" s="8" customFormat="1" hidden="1" x14ac:dyDescent="0.25">
      <c r="A62" s="32"/>
      <c r="B62" s="32"/>
      <c r="C62" s="32"/>
      <c r="D62" s="32"/>
      <c r="E62" s="32"/>
      <c r="F62" s="32"/>
      <c r="G62" s="32"/>
      <c r="H62" s="32"/>
      <c r="I62" s="32"/>
      <c r="S62" s="32"/>
      <c r="AG62" s="32"/>
    </row>
    <row r="63" spans="1:48" s="8" customFormat="1" hidden="1" x14ac:dyDescent="0.25">
      <c r="A63" s="32"/>
      <c r="B63" s="32"/>
      <c r="C63" s="32"/>
      <c r="D63" s="32"/>
      <c r="E63" s="32"/>
      <c r="F63" s="32"/>
      <c r="G63" s="32"/>
      <c r="H63" s="32"/>
      <c r="I63" s="32"/>
      <c r="S63" s="32"/>
      <c r="AG63" s="32"/>
    </row>
    <row r="64" spans="1:48" s="8" customFormat="1" hidden="1" x14ac:dyDescent="0.25">
      <c r="A64" s="32"/>
      <c r="B64" s="32"/>
      <c r="C64" s="32"/>
      <c r="D64" s="32"/>
      <c r="E64" s="32"/>
      <c r="F64" s="32"/>
      <c r="G64" s="32"/>
      <c r="H64" s="32"/>
      <c r="I64" s="32"/>
      <c r="S64" s="32"/>
      <c r="AG64" s="32"/>
    </row>
    <row r="65" spans="1:33" s="8" customFormat="1" hidden="1" x14ac:dyDescent="0.25">
      <c r="A65" s="32"/>
      <c r="B65" s="32"/>
      <c r="C65" s="32"/>
      <c r="D65" s="32"/>
      <c r="E65" s="32"/>
      <c r="F65" s="32"/>
      <c r="G65" s="32"/>
      <c r="H65" s="32"/>
      <c r="I65" s="32"/>
      <c r="S65" s="32"/>
      <c r="AG65" s="32"/>
    </row>
    <row r="66" spans="1:33" s="8" customFormat="1" hidden="1" x14ac:dyDescent="0.25">
      <c r="A66" s="32"/>
      <c r="B66" s="32"/>
      <c r="C66" s="32"/>
      <c r="D66" s="32"/>
      <c r="E66" s="32"/>
      <c r="F66" s="32"/>
      <c r="G66" s="32"/>
      <c r="H66" s="32"/>
      <c r="I66" s="32"/>
      <c r="S66" s="32"/>
      <c r="AG66" s="32"/>
    </row>
    <row r="67" spans="1:33" s="8" customFormat="1" hidden="1" x14ac:dyDescent="0.25">
      <c r="A67" s="32"/>
      <c r="B67" s="32"/>
      <c r="C67" s="32"/>
      <c r="D67" s="32"/>
      <c r="E67" s="32"/>
      <c r="F67" s="32"/>
      <c r="G67" s="32"/>
      <c r="H67" s="32"/>
      <c r="I67" s="32"/>
      <c r="S67" s="32"/>
      <c r="AG67" s="32"/>
    </row>
    <row r="68" spans="1:33" s="8" customFormat="1" hidden="1" x14ac:dyDescent="0.25">
      <c r="A68" s="32"/>
      <c r="B68" s="32"/>
      <c r="C68" s="32"/>
      <c r="D68" s="32"/>
      <c r="E68" s="32"/>
      <c r="F68" s="32"/>
      <c r="G68" s="32"/>
      <c r="H68" s="32"/>
      <c r="I68" s="32"/>
      <c r="S68" s="32"/>
      <c r="AG68" s="32"/>
    </row>
    <row r="69" spans="1:33" s="8" customFormat="1" hidden="1" x14ac:dyDescent="0.25">
      <c r="A69" s="32"/>
      <c r="B69" s="32"/>
      <c r="C69" s="32"/>
      <c r="D69" s="32"/>
      <c r="E69" s="32"/>
      <c r="F69" s="32"/>
      <c r="G69" s="32"/>
      <c r="H69" s="32"/>
      <c r="I69" s="32"/>
      <c r="S69" s="32"/>
      <c r="AG69" s="32"/>
    </row>
    <row r="70" spans="1:33" s="8" customFormat="1" hidden="1" x14ac:dyDescent="0.25">
      <c r="A70" s="32"/>
      <c r="B70" s="32"/>
      <c r="C70" s="32"/>
      <c r="D70" s="32"/>
      <c r="E70" s="32"/>
      <c r="F70" s="32"/>
      <c r="G70" s="32"/>
      <c r="H70" s="32"/>
      <c r="I70" s="32"/>
      <c r="S70" s="32"/>
      <c r="AG70" s="32"/>
    </row>
    <row r="71" spans="1:33" s="8" customFormat="1" hidden="1" x14ac:dyDescent="0.25">
      <c r="A71" s="32"/>
      <c r="B71" s="32"/>
      <c r="C71" s="32"/>
      <c r="D71" s="32"/>
      <c r="E71" s="32"/>
      <c r="F71" s="32"/>
      <c r="G71" s="32"/>
      <c r="H71" s="32"/>
      <c r="I71" s="32"/>
      <c r="S71" s="32"/>
      <c r="AG71" s="32"/>
    </row>
    <row r="72" spans="1:33" s="8" customFormat="1" hidden="1" x14ac:dyDescent="0.25">
      <c r="A72" s="32"/>
      <c r="B72" s="32"/>
      <c r="C72" s="32"/>
      <c r="D72" s="32"/>
      <c r="E72" s="32"/>
      <c r="F72" s="32"/>
      <c r="G72" s="32"/>
      <c r="H72" s="32"/>
      <c r="I72" s="32"/>
      <c r="S72" s="32"/>
      <c r="AG72" s="32"/>
    </row>
    <row r="73" spans="1:33" s="8" customFormat="1" hidden="1" x14ac:dyDescent="0.25">
      <c r="A73" s="32"/>
      <c r="B73" s="32"/>
      <c r="C73" s="32"/>
      <c r="D73" s="32"/>
      <c r="E73" s="32"/>
      <c r="F73" s="32"/>
      <c r="G73" s="32"/>
      <c r="H73" s="32"/>
      <c r="I73" s="32"/>
      <c r="S73" s="32"/>
      <c r="AG73" s="32"/>
    </row>
    <row r="74" spans="1:33" s="8" customFormat="1" hidden="1" x14ac:dyDescent="0.25">
      <c r="A74" s="32"/>
      <c r="B74" s="32"/>
      <c r="C74" s="32"/>
      <c r="D74" s="32"/>
      <c r="E74" s="32"/>
      <c r="F74" s="32"/>
      <c r="G74" s="32"/>
      <c r="H74" s="32"/>
      <c r="I74" s="32"/>
      <c r="S74" s="32"/>
      <c r="AG74" s="32"/>
    </row>
    <row r="75" spans="1:33" s="8" customFormat="1" hidden="1" x14ac:dyDescent="0.25">
      <c r="A75" s="32"/>
      <c r="B75" s="32"/>
      <c r="C75" s="32"/>
      <c r="D75" s="32"/>
      <c r="E75" s="32"/>
      <c r="F75" s="32"/>
      <c r="G75" s="32"/>
      <c r="H75" s="32"/>
      <c r="I75" s="32"/>
      <c r="S75" s="32"/>
      <c r="AG75" s="32"/>
    </row>
    <row r="76" spans="1:33" s="8" customFormat="1" hidden="1" x14ac:dyDescent="0.25">
      <c r="A76" s="32"/>
      <c r="B76" s="32"/>
      <c r="C76" s="32"/>
      <c r="D76" s="32"/>
      <c r="E76" s="32"/>
      <c r="F76" s="32"/>
      <c r="G76" s="32"/>
      <c r="H76" s="32"/>
      <c r="I76" s="32"/>
      <c r="S76" s="32"/>
      <c r="AG76" s="32"/>
    </row>
    <row r="77" spans="1:33" s="8" customFormat="1" hidden="1" x14ac:dyDescent="0.25">
      <c r="A77" s="32"/>
      <c r="B77" s="32"/>
      <c r="C77" s="32"/>
      <c r="D77" s="32"/>
      <c r="E77" s="32"/>
      <c r="F77" s="32"/>
      <c r="G77" s="32"/>
      <c r="H77" s="32"/>
      <c r="I77" s="32"/>
      <c r="S77" s="32"/>
      <c r="AG77" s="32"/>
    </row>
    <row r="78" spans="1:33" s="8" customFormat="1" hidden="1" x14ac:dyDescent="0.25">
      <c r="A78" s="32"/>
      <c r="B78" s="32"/>
      <c r="C78" s="32"/>
      <c r="D78" s="32"/>
      <c r="E78" s="32"/>
      <c r="F78" s="32"/>
      <c r="G78" s="32"/>
      <c r="H78" s="32"/>
      <c r="I78" s="32"/>
      <c r="S78" s="32"/>
      <c r="AG78" s="32"/>
    </row>
    <row r="79" spans="1:33" s="8" customFormat="1" hidden="1" x14ac:dyDescent="0.25">
      <c r="A79" s="32"/>
      <c r="B79" s="32"/>
      <c r="C79" s="32"/>
      <c r="D79" s="32"/>
      <c r="E79" s="32"/>
      <c r="F79" s="32"/>
      <c r="G79" s="32"/>
      <c r="H79" s="32"/>
      <c r="I79" s="32"/>
      <c r="S79" s="32"/>
      <c r="AG79" s="32"/>
    </row>
    <row r="80" spans="1:33" s="8" customFormat="1" hidden="1" x14ac:dyDescent="0.25">
      <c r="A80" s="32"/>
      <c r="B80" s="32"/>
      <c r="C80" s="32"/>
      <c r="D80" s="32"/>
      <c r="E80" s="32"/>
      <c r="F80" s="32"/>
      <c r="G80" s="32"/>
      <c r="H80" s="32"/>
      <c r="I80" s="32"/>
      <c r="S80" s="32"/>
      <c r="AG80" s="32"/>
    </row>
    <row r="81" spans="1:33" s="8" customFormat="1" hidden="1" x14ac:dyDescent="0.25">
      <c r="A81" s="32"/>
      <c r="B81" s="32"/>
      <c r="C81" s="32"/>
      <c r="D81" s="32"/>
      <c r="E81" s="32"/>
      <c r="F81" s="32"/>
      <c r="G81" s="32"/>
      <c r="H81" s="32"/>
      <c r="I81" s="32"/>
      <c r="S81" s="32"/>
      <c r="AG81" s="32"/>
    </row>
    <row r="82" spans="1:33" s="8" customFormat="1" hidden="1" x14ac:dyDescent="0.25">
      <c r="A82" s="32"/>
      <c r="B82" s="32"/>
      <c r="C82" s="32"/>
      <c r="D82" s="32"/>
      <c r="E82" s="32"/>
      <c r="F82" s="32"/>
      <c r="G82" s="32"/>
      <c r="H82" s="32"/>
      <c r="I82" s="32"/>
      <c r="S82" s="32"/>
      <c r="AG82" s="32"/>
    </row>
    <row r="83" spans="1:33" s="8" customFormat="1" hidden="1" x14ac:dyDescent="0.25">
      <c r="A83" s="32"/>
      <c r="B83" s="32"/>
      <c r="C83" s="32"/>
      <c r="D83" s="32"/>
      <c r="E83" s="32"/>
      <c r="F83" s="32"/>
      <c r="G83" s="32"/>
      <c r="H83" s="32"/>
      <c r="I83" s="32"/>
      <c r="S83" s="32"/>
      <c r="AG83" s="32"/>
    </row>
    <row r="84" spans="1:33" s="8" customFormat="1" hidden="1" x14ac:dyDescent="0.25">
      <c r="A84" s="32"/>
      <c r="B84" s="32"/>
      <c r="C84" s="32"/>
      <c r="D84" s="32"/>
      <c r="E84" s="32"/>
      <c r="F84" s="32"/>
      <c r="G84" s="32"/>
      <c r="H84" s="32"/>
      <c r="I84" s="32"/>
      <c r="S84" s="32"/>
      <c r="AG84" s="32"/>
    </row>
    <row r="85" spans="1:33" s="8" customFormat="1" hidden="1" x14ac:dyDescent="0.25">
      <c r="A85" s="32"/>
      <c r="B85" s="32"/>
      <c r="C85" s="32"/>
      <c r="D85" s="32"/>
      <c r="E85" s="32"/>
      <c r="F85" s="32"/>
      <c r="G85" s="32"/>
      <c r="H85" s="32"/>
      <c r="I85" s="32"/>
      <c r="S85" s="32"/>
      <c r="AG85" s="32"/>
    </row>
    <row r="86" spans="1:33" s="8" customFormat="1" hidden="1" x14ac:dyDescent="0.25">
      <c r="A86" s="32"/>
      <c r="B86" s="32"/>
      <c r="C86" s="32"/>
      <c r="D86" s="32"/>
      <c r="E86" s="32"/>
      <c r="F86" s="32"/>
      <c r="G86" s="32"/>
      <c r="H86" s="32"/>
      <c r="I86" s="32"/>
      <c r="S86" s="32"/>
      <c r="AG86" s="32"/>
    </row>
    <row r="87" spans="1:33" s="8" customFormat="1" hidden="1" x14ac:dyDescent="0.25">
      <c r="A87" s="32"/>
      <c r="B87" s="32"/>
      <c r="C87" s="32"/>
      <c r="D87" s="32"/>
      <c r="E87" s="32"/>
      <c r="F87" s="32"/>
      <c r="G87" s="32"/>
      <c r="H87" s="32"/>
      <c r="I87" s="32"/>
      <c r="S87" s="32"/>
      <c r="AG87" s="32"/>
    </row>
    <row r="88" spans="1:33" s="8" customFormat="1" hidden="1" x14ac:dyDescent="0.25">
      <c r="A88" s="32"/>
      <c r="B88" s="32"/>
      <c r="C88" s="32"/>
      <c r="D88" s="32"/>
      <c r="E88" s="32"/>
      <c r="F88" s="32"/>
      <c r="G88" s="32"/>
      <c r="H88" s="32"/>
      <c r="I88" s="32"/>
      <c r="S88" s="32"/>
      <c r="AG88" s="32"/>
    </row>
    <row r="89" spans="1:33" s="8" customFormat="1" hidden="1" x14ac:dyDescent="0.25">
      <c r="A89" s="32"/>
      <c r="B89" s="32"/>
      <c r="C89" s="32"/>
      <c r="D89" s="32"/>
      <c r="E89" s="32"/>
      <c r="F89" s="32"/>
      <c r="G89" s="32"/>
      <c r="H89" s="32"/>
      <c r="I89" s="32"/>
      <c r="S89" s="32"/>
      <c r="AG89" s="32"/>
    </row>
    <row r="90" spans="1:33" s="8" customFormat="1" hidden="1" x14ac:dyDescent="0.25">
      <c r="A90" s="32"/>
      <c r="B90" s="32"/>
      <c r="C90" s="32"/>
      <c r="D90" s="32"/>
      <c r="E90" s="32"/>
      <c r="F90" s="32"/>
      <c r="G90" s="32"/>
      <c r="H90" s="32"/>
      <c r="I90" s="32"/>
      <c r="S90" s="32"/>
      <c r="AG90" s="32"/>
    </row>
    <row r="91" spans="1:33" s="8" customFormat="1" hidden="1" x14ac:dyDescent="0.25">
      <c r="A91" s="32"/>
      <c r="B91" s="32"/>
      <c r="C91" s="32"/>
      <c r="D91" s="32"/>
      <c r="E91" s="32"/>
      <c r="F91" s="32"/>
      <c r="G91" s="32"/>
      <c r="H91" s="32"/>
      <c r="I91" s="32"/>
      <c r="S91" s="32"/>
      <c r="AG91" s="32"/>
    </row>
    <row r="92" spans="1:33" s="8" customFormat="1" hidden="1" x14ac:dyDescent="0.25">
      <c r="A92" s="32"/>
      <c r="B92" s="32"/>
      <c r="C92" s="32"/>
      <c r="D92" s="32"/>
      <c r="E92" s="32"/>
      <c r="F92" s="32"/>
      <c r="G92" s="32"/>
      <c r="H92" s="32"/>
      <c r="I92" s="32"/>
      <c r="S92" s="32"/>
      <c r="AG92" s="32"/>
    </row>
    <row r="93" spans="1:33" s="8" customFormat="1" hidden="1" x14ac:dyDescent="0.25">
      <c r="A93" s="32"/>
      <c r="B93" s="32"/>
      <c r="C93" s="32"/>
      <c r="D93" s="32"/>
      <c r="E93" s="32"/>
      <c r="F93" s="32"/>
      <c r="G93" s="32"/>
      <c r="H93" s="32"/>
      <c r="I93" s="32"/>
      <c r="S93" s="32"/>
      <c r="AG93" s="32"/>
    </row>
    <row r="94" spans="1:33" s="8" customFormat="1" hidden="1" x14ac:dyDescent="0.25">
      <c r="A94" s="32"/>
      <c r="B94" s="32"/>
      <c r="C94" s="32"/>
      <c r="D94" s="32"/>
      <c r="E94" s="32"/>
      <c r="F94" s="32"/>
      <c r="G94" s="32"/>
      <c r="H94" s="32"/>
      <c r="I94" s="32"/>
      <c r="S94" s="32"/>
      <c r="AG94" s="32"/>
    </row>
    <row r="95" spans="1:33" s="8" customFormat="1" hidden="1" x14ac:dyDescent="0.25">
      <c r="A95" s="32"/>
      <c r="B95" s="32"/>
      <c r="C95" s="32"/>
      <c r="D95" s="32"/>
      <c r="E95" s="32"/>
      <c r="F95" s="32"/>
      <c r="G95" s="32"/>
      <c r="H95" s="32"/>
      <c r="I95" s="32"/>
      <c r="S95" s="32"/>
      <c r="AG95" s="32"/>
    </row>
    <row r="96" spans="1:33" s="8" customFormat="1" hidden="1" x14ac:dyDescent="0.25">
      <c r="A96" s="32"/>
      <c r="B96" s="32"/>
      <c r="C96" s="32"/>
      <c r="D96" s="32"/>
      <c r="E96" s="32"/>
      <c r="F96" s="32"/>
      <c r="G96" s="32"/>
      <c r="H96" s="32"/>
      <c r="I96" s="32"/>
      <c r="S96" s="32"/>
      <c r="AG96" s="32"/>
    </row>
    <row r="97" spans="1:33" s="8" customFormat="1" hidden="1" x14ac:dyDescent="0.25">
      <c r="A97" s="32"/>
      <c r="B97" s="32"/>
      <c r="C97" s="32"/>
      <c r="D97" s="32"/>
      <c r="E97" s="32"/>
      <c r="F97" s="32"/>
      <c r="G97" s="32"/>
      <c r="H97" s="32"/>
      <c r="I97" s="32"/>
      <c r="S97" s="32"/>
      <c r="AG97" s="32"/>
    </row>
    <row r="98" spans="1:33" s="8" customFormat="1" hidden="1" x14ac:dyDescent="0.25">
      <c r="A98" s="32"/>
      <c r="B98" s="32"/>
      <c r="C98" s="32"/>
      <c r="D98" s="32"/>
      <c r="E98" s="32"/>
      <c r="F98" s="32"/>
      <c r="G98" s="32"/>
      <c r="H98" s="32"/>
      <c r="I98" s="32"/>
      <c r="S98" s="32"/>
      <c r="AG98" s="32"/>
    </row>
    <row r="99" spans="1:33" s="8" customFormat="1" hidden="1" x14ac:dyDescent="0.25">
      <c r="A99" s="32"/>
      <c r="B99" s="32"/>
      <c r="C99" s="32"/>
      <c r="D99" s="32"/>
      <c r="E99" s="32"/>
      <c r="F99" s="32"/>
      <c r="G99" s="32"/>
      <c r="H99" s="32"/>
      <c r="I99" s="32"/>
      <c r="S99" s="32"/>
      <c r="AG99" s="32"/>
    </row>
    <row r="100" spans="1:33" s="8" customFormat="1" hidden="1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S100" s="32"/>
      <c r="AG100" s="32"/>
    </row>
  </sheetData>
  <sheetProtection algorithmName="SHA-512" hashValue="Il7qPRBWj0VSFShCq9budvCV4gNa2Vbb55wYxCGkBGlydCaZL7YqykD9KX+R5IF5aAWAS3foT4NSQZxiG09oJg==" saltValue="iLuw+nFuJLzTusolD8RyMA==" spinCount="100000" sheet="1" objects="1" scenarios="1" autoFilter="0"/>
  <mergeCells count="174">
    <mergeCell ref="J3:J4"/>
    <mergeCell ref="K3:M4"/>
    <mergeCell ref="N3:N4"/>
    <mergeCell ref="O3:Q4"/>
    <mergeCell ref="R3:R4"/>
    <mergeCell ref="AA14:AC14"/>
    <mergeCell ref="Z20:Z29"/>
    <mergeCell ref="AA20:AC20"/>
    <mergeCell ref="AA21:AC21"/>
    <mergeCell ref="AA22:AC22"/>
    <mergeCell ref="AA23:AC23"/>
    <mergeCell ref="AA24:AC24"/>
    <mergeCell ref="W26:Y26"/>
    <mergeCell ref="W27:Y27"/>
    <mergeCell ref="W28:Y28"/>
    <mergeCell ref="W29:Y29"/>
    <mergeCell ref="AA25:AC25"/>
    <mergeCell ref="W20:Y20"/>
    <mergeCell ref="W21:Y21"/>
    <mergeCell ref="J27:K28"/>
    <mergeCell ref="Q27:R28"/>
    <mergeCell ref="W6:Y6"/>
    <mergeCell ref="AA5:AC5"/>
    <mergeCell ref="U5:V5"/>
    <mergeCell ref="U38:V38"/>
    <mergeCell ref="U39:V39"/>
    <mergeCell ref="W35:Y35"/>
    <mergeCell ref="W36:Y36"/>
    <mergeCell ref="W37:Y37"/>
    <mergeCell ref="W38:Y38"/>
    <mergeCell ref="W39:Y39"/>
    <mergeCell ref="AA26:AC26"/>
    <mergeCell ref="AA27:AC27"/>
    <mergeCell ref="AA28:AC28"/>
    <mergeCell ref="AA29:AC29"/>
    <mergeCell ref="U35:V35"/>
    <mergeCell ref="U36:V36"/>
    <mergeCell ref="AA35:AC35"/>
    <mergeCell ref="AA36:AC36"/>
    <mergeCell ref="AA37:AC37"/>
    <mergeCell ref="U29:V29"/>
    <mergeCell ref="AA38:AC38"/>
    <mergeCell ref="AA39:AC39"/>
    <mergeCell ref="U27:V27"/>
    <mergeCell ref="U28:V28"/>
    <mergeCell ref="AA10:AC10"/>
    <mergeCell ref="W24:Y24"/>
    <mergeCell ref="W25:Y25"/>
    <mergeCell ref="AR3:AV4"/>
    <mergeCell ref="Z35:Z39"/>
    <mergeCell ref="J1:L1"/>
    <mergeCell ref="J2:L2"/>
    <mergeCell ref="AH1:AV2"/>
    <mergeCell ref="AH3:AH4"/>
    <mergeCell ref="AI3:AI4"/>
    <mergeCell ref="AJ3:AJ4"/>
    <mergeCell ref="AK3:AK4"/>
    <mergeCell ref="AL3:AL4"/>
    <mergeCell ref="AM3:AM4"/>
    <mergeCell ref="AN3:AN4"/>
    <mergeCell ref="AP3:AP4"/>
    <mergeCell ref="AQ3:AQ4"/>
    <mergeCell ref="U11:V11"/>
    <mergeCell ref="U12:V12"/>
    <mergeCell ref="U13:V13"/>
    <mergeCell ref="U14:V14"/>
    <mergeCell ref="W5:Y5"/>
    <mergeCell ref="AO3:AO4"/>
    <mergeCell ref="U37:V37"/>
    <mergeCell ref="W22:Y22"/>
    <mergeCell ref="U20:V20"/>
    <mergeCell ref="U21:V21"/>
    <mergeCell ref="U22:V22"/>
    <mergeCell ref="U23:V23"/>
    <mergeCell ref="U24:V24"/>
    <mergeCell ref="U18:V19"/>
    <mergeCell ref="W18:Y19"/>
    <mergeCell ref="Z18:Z19"/>
    <mergeCell ref="AD33:AD34"/>
    <mergeCell ref="AE33:AE34"/>
    <mergeCell ref="AA11:AC11"/>
    <mergeCell ref="AA12:AC12"/>
    <mergeCell ref="AA13:AC13"/>
    <mergeCell ref="T31:AF32"/>
    <mergeCell ref="T33:T34"/>
    <mergeCell ref="U33:V34"/>
    <mergeCell ref="W33:Y34"/>
    <mergeCell ref="Z33:Z34"/>
    <mergeCell ref="AA33:AC34"/>
    <mergeCell ref="AF33:AF34"/>
    <mergeCell ref="U25:V25"/>
    <mergeCell ref="T16:AF17"/>
    <mergeCell ref="Z5:Z14"/>
    <mergeCell ref="T18:T19"/>
    <mergeCell ref="AD18:AD19"/>
    <mergeCell ref="AE18:AE19"/>
    <mergeCell ref="U9:V9"/>
    <mergeCell ref="W7:Y7"/>
    <mergeCell ref="W8:Y8"/>
    <mergeCell ref="W9:Y9"/>
    <mergeCell ref="W14:Y14"/>
    <mergeCell ref="U8:V8"/>
    <mergeCell ref="O25:R26"/>
    <mergeCell ref="O27:P28"/>
    <mergeCell ref="O29:P30"/>
    <mergeCell ref="O9:P10"/>
    <mergeCell ref="O11:P12"/>
    <mergeCell ref="Q29:R30"/>
    <mergeCell ref="O16:P17"/>
    <mergeCell ref="T1:AF2"/>
    <mergeCell ref="T3:T4"/>
    <mergeCell ref="U3:V4"/>
    <mergeCell ref="W3:Y4"/>
    <mergeCell ref="AA3:AC4"/>
    <mergeCell ref="AF3:AF4"/>
    <mergeCell ref="Z3:Z4"/>
    <mergeCell ref="AD3:AD4"/>
    <mergeCell ref="AE3:AE4"/>
    <mergeCell ref="AF18:AF19"/>
    <mergeCell ref="AA18:AC19"/>
    <mergeCell ref="W10:Y10"/>
    <mergeCell ref="W11:Y11"/>
    <mergeCell ref="W12:Y12"/>
    <mergeCell ref="W13:Y13"/>
    <mergeCell ref="W23:Y23"/>
    <mergeCell ref="U26:V26"/>
    <mergeCell ref="U6:V6"/>
    <mergeCell ref="U7:V7"/>
    <mergeCell ref="AA6:AC6"/>
    <mergeCell ref="AA7:AC7"/>
    <mergeCell ref="U10:V10"/>
    <mergeCell ref="AA8:AC8"/>
    <mergeCell ref="AA9:AC9"/>
    <mergeCell ref="Q31:R32"/>
    <mergeCell ref="J31:K32"/>
    <mergeCell ref="J29:K30"/>
    <mergeCell ref="O18:P19"/>
    <mergeCell ref="O14:R15"/>
    <mergeCell ref="Q16:R17"/>
    <mergeCell ref="Q18:R19"/>
    <mergeCell ref="J7:M8"/>
    <mergeCell ref="O20:P21"/>
    <mergeCell ref="O22:P23"/>
    <mergeCell ref="Q20:R21"/>
    <mergeCell ref="Q22:R23"/>
    <mergeCell ref="L22:M23"/>
    <mergeCell ref="J16:K17"/>
    <mergeCell ref="L31:M32"/>
    <mergeCell ref="L27:M28"/>
    <mergeCell ref="L29:M30"/>
    <mergeCell ref="J36:K36"/>
    <mergeCell ref="L36:M36"/>
    <mergeCell ref="P1:R1"/>
    <mergeCell ref="P2:R2"/>
    <mergeCell ref="M1:O1"/>
    <mergeCell ref="M2:O2"/>
    <mergeCell ref="O34:R35"/>
    <mergeCell ref="J14:M15"/>
    <mergeCell ref="O7:R8"/>
    <mergeCell ref="J9:K10"/>
    <mergeCell ref="J11:K12"/>
    <mergeCell ref="L9:M10"/>
    <mergeCell ref="L11:M12"/>
    <mergeCell ref="Q9:R10"/>
    <mergeCell ref="Q11:R12"/>
    <mergeCell ref="J18:K19"/>
    <mergeCell ref="J20:K21"/>
    <mergeCell ref="J22:K23"/>
    <mergeCell ref="L16:M17"/>
    <mergeCell ref="L18:M19"/>
    <mergeCell ref="L20:M21"/>
    <mergeCell ref="J34:M35"/>
    <mergeCell ref="J25:M26"/>
    <mergeCell ref="O31:P32"/>
  </mergeCells>
  <conditionalFormatting sqref="AR5:AV50">
    <cfRule type="cellIs" dxfId="67" priority="32" operator="equal">
      <formula>"L"</formula>
    </cfRule>
    <cfRule type="cellIs" dxfId="66" priority="33" operator="equal">
      <formula>"D"</formula>
    </cfRule>
    <cfRule type="cellIs" dxfId="65" priority="34" operator="equal">
      <formula>"W"</formula>
    </cfRule>
  </conditionalFormatting>
  <conditionalFormatting sqref="L9:M10">
    <cfRule type="cellIs" dxfId="64" priority="27" operator="lessThan">
      <formula>60%</formula>
    </cfRule>
    <cfRule type="cellIs" dxfId="63" priority="28" operator="between">
      <formula>60%</formula>
      <formula>75%</formula>
    </cfRule>
    <cfRule type="cellIs" dxfId="62" priority="29" operator="greaterThan">
      <formula>74%</formula>
    </cfRule>
  </conditionalFormatting>
  <conditionalFormatting sqref="L11:M12">
    <cfRule type="cellIs" dxfId="61" priority="24" operator="lessThan">
      <formula>40%</formula>
    </cfRule>
    <cfRule type="cellIs" dxfId="60" priority="25" operator="between">
      <formula>40%</formula>
      <formula>55%</formula>
    </cfRule>
    <cfRule type="cellIs" dxfId="59" priority="26" operator="greaterThan">
      <formula>54%</formula>
    </cfRule>
  </conditionalFormatting>
  <conditionalFormatting sqref="L16:M17">
    <cfRule type="cellIs" dxfId="58" priority="21" operator="lessThan">
      <formula>60%</formula>
    </cfRule>
    <cfRule type="cellIs" dxfId="57" priority="22" operator="between">
      <formula>60%</formula>
      <formula>75%</formula>
    </cfRule>
    <cfRule type="cellIs" dxfId="56" priority="23" operator="greaterThan">
      <formula>74%</formula>
    </cfRule>
  </conditionalFormatting>
  <conditionalFormatting sqref="L18:M19">
    <cfRule type="cellIs" dxfId="55" priority="18" operator="lessThan">
      <formula>50%</formula>
    </cfRule>
    <cfRule type="cellIs" dxfId="54" priority="19" operator="between">
      <formula>50%</formula>
      <formula>65%</formula>
    </cfRule>
    <cfRule type="cellIs" dxfId="53" priority="20" operator="greaterThan">
      <formula>64%</formula>
    </cfRule>
  </conditionalFormatting>
  <conditionalFormatting sqref="L20:M21">
    <cfRule type="cellIs" dxfId="52" priority="15" operator="lessThan">
      <formula>38%</formula>
    </cfRule>
    <cfRule type="cellIs" dxfId="51" priority="16" operator="between">
      <formula>38%</formula>
      <formula>50%</formula>
    </cfRule>
    <cfRule type="cellIs" dxfId="50" priority="17" operator="greaterThan">
      <formula>49%</formula>
    </cfRule>
  </conditionalFormatting>
  <conditionalFormatting sqref="L22:M23">
    <cfRule type="cellIs" dxfId="49" priority="12" operator="lessThan">
      <formula>50%</formula>
    </cfRule>
    <cfRule type="cellIs" dxfId="48" priority="13" operator="between">
      <formula>50%</formula>
      <formula>65%</formula>
    </cfRule>
    <cfRule type="cellIs" dxfId="47" priority="14" operator="greaterThan">
      <formula>64%</formula>
    </cfRule>
  </conditionalFormatting>
  <conditionalFormatting sqref="L27:M28">
    <cfRule type="cellIs" dxfId="46" priority="9" operator="lessThan">
      <formula>55%</formula>
    </cfRule>
    <cfRule type="cellIs" dxfId="45" priority="10" operator="between">
      <formula>55%</formula>
      <formula>70%</formula>
    </cfRule>
    <cfRule type="cellIs" dxfId="44" priority="11" operator="greaterThan">
      <formula>69%</formula>
    </cfRule>
  </conditionalFormatting>
  <conditionalFormatting sqref="L29:M30">
    <cfRule type="cellIs" dxfId="43" priority="6" operator="lessThan">
      <formula>50%</formula>
    </cfRule>
    <cfRule type="cellIs" dxfId="42" priority="7" operator="between">
      <formula>50%</formula>
      <formula>65%</formula>
    </cfRule>
    <cfRule type="cellIs" dxfId="41" priority="8" operator="greaterThan">
      <formula>64%</formula>
    </cfRule>
  </conditionalFormatting>
  <conditionalFormatting sqref="L31:M32">
    <cfRule type="cellIs" dxfId="40" priority="3" operator="lessThan">
      <formula>45%</formula>
    </cfRule>
    <cfRule type="cellIs" dxfId="39" priority="4" operator="between">
      <formula>45%</formula>
      <formula>60%</formula>
    </cfRule>
    <cfRule type="cellIs" dxfId="38" priority="5" operator="greaterThan">
      <formula>59%</formula>
    </cfRule>
  </conditionalFormatting>
  <conditionalFormatting sqref="J9:M32">
    <cfRule type="cellIs" dxfId="37" priority="2" operator="equal">
      <formula>0</formula>
    </cfRule>
  </conditionalFormatting>
  <conditionalFormatting sqref="O9:R32">
    <cfRule type="cellIs" dxfId="36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55" r:id="rId4" name="lstMatches">
          <controlPr defaultSize="0" autoLine="0" r:id="rId5">
            <anchor>
              <from>
                <xdr:col>0</xdr:col>
                <xdr:colOff>85725</xdr:colOff>
                <xdr:row>5</xdr:row>
                <xdr:rowOff>95250</xdr:rowOff>
              </from>
              <to>
                <xdr:col>8</xdr:col>
                <xdr:colOff>114300</xdr:colOff>
                <xdr:row>37</xdr:row>
                <xdr:rowOff>47625</xdr:rowOff>
              </to>
            </anchor>
          </controlPr>
        </control>
      </mc:Choice>
      <mc:Fallback>
        <control shapeId="2055" r:id="rId4" name="lstMatches"/>
      </mc:Fallback>
    </mc:AlternateContent>
    <mc:AlternateContent xmlns:mc="http://schemas.openxmlformats.org/markup-compatibility/2006">
      <mc:Choice Requires="x14">
        <control shapeId="2054" r:id="rId6" name="txtSearch">
          <controlPr defaultSize="0" autoLine="0" r:id="rId7">
            <anchor moveWithCells="1">
              <from>
                <xdr:col>2</xdr:col>
                <xdr:colOff>19050</xdr:colOff>
                <xdr:row>3</xdr:row>
                <xdr:rowOff>47625</xdr:rowOff>
              </from>
              <to>
                <xdr:col>5</xdr:col>
                <xdr:colOff>57150</xdr:colOff>
                <xdr:row>4</xdr:row>
                <xdr:rowOff>104775</xdr:rowOff>
              </to>
            </anchor>
          </controlPr>
        </control>
      </mc:Choice>
      <mc:Fallback>
        <control shapeId="2054" r:id="rId6" name="txtSearch"/>
      </mc:Fallback>
    </mc:AlternateContent>
    <mc:AlternateContent xmlns:mc="http://schemas.openxmlformats.org/markup-compatibility/2006">
      <mc:Choice Requires="x14">
        <control shapeId="2050" r:id="rId8" name="Drop Down 2">
          <controlPr defaultSize="0" autoLine="0" autoPict="0">
            <anchor moveWithCells="1">
              <from>
                <xdr:col>0</xdr:col>
                <xdr:colOff>85725</xdr:colOff>
                <xdr:row>0</xdr:row>
                <xdr:rowOff>57150</xdr:rowOff>
              </from>
              <to>
                <xdr:col>3</xdr:col>
                <xdr:colOff>95250</xdr:colOff>
                <xdr:row>2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0" operator="equal" id="{AC4932D1-530A-4BA4-ADFD-7D1DBBAFBF41}">
            <xm:f>Control!$B$22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31" operator="equal" id="{3D293087-F7C5-4626-B12E-9367ECC29D57}">
            <xm:f>Control!$B$20</xm:f>
            <x14:dxf>
              <font>
                <b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AI5:AI50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6BBCF-2314-4F09-B1F9-D3C0EA940AC9}">
  <sheetPr codeName="Sheet11"/>
  <dimension ref="A2:D13"/>
  <sheetViews>
    <sheetView workbookViewId="0"/>
  </sheetViews>
  <sheetFormatPr defaultRowHeight="15" x14ac:dyDescent="0.25"/>
  <sheetData>
    <row r="2" spans="1:4" x14ac:dyDescent="0.25">
      <c r="A2" t="s">
        <v>313</v>
      </c>
      <c r="B2" s="27">
        <v>36586</v>
      </c>
    </row>
    <row r="3" spans="1:4" x14ac:dyDescent="0.25">
      <c r="A3" t="s">
        <v>318</v>
      </c>
      <c r="B3" s="28">
        <v>46023</v>
      </c>
    </row>
    <row r="4" spans="1:4" x14ac:dyDescent="0.25">
      <c r="A4">
        <v>1522840</v>
      </c>
      <c r="B4" s="28">
        <v>46026</v>
      </c>
    </row>
    <row r="5" spans="1:4" x14ac:dyDescent="0.25">
      <c r="A5">
        <v>1521064</v>
      </c>
      <c r="B5" s="27">
        <v>46082</v>
      </c>
    </row>
    <row r="6" spans="1:4" x14ac:dyDescent="0.25">
      <c r="A6">
        <v>1511968</v>
      </c>
      <c r="B6">
        <v>0</v>
      </c>
      <c r="C6">
        <v>4</v>
      </c>
      <c r="D6">
        <v>0</v>
      </c>
    </row>
    <row r="7" spans="1:4" x14ac:dyDescent="0.25">
      <c r="A7">
        <v>1491883</v>
      </c>
      <c r="B7" s="27">
        <v>1</v>
      </c>
      <c r="C7">
        <v>0</v>
      </c>
      <c r="D7">
        <v>0</v>
      </c>
    </row>
    <row r="8" spans="1:4" x14ac:dyDescent="0.25">
      <c r="A8">
        <v>1516930</v>
      </c>
      <c r="B8" s="27">
        <v>1</v>
      </c>
      <c r="C8">
        <v>0</v>
      </c>
      <c r="D8">
        <v>0</v>
      </c>
    </row>
    <row r="9" spans="1:4" x14ac:dyDescent="0.25">
      <c r="A9">
        <v>1521508</v>
      </c>
      <c r="B9" s="28">
        <v>1</v>
      </c>
      <c r="C9">
        <v>2</v>
      </c>
      <c r="D9">
        <v>0</v>
      </c>
    </row>
    <row r="10" spans="1:4" x14ac:dyDescent="0.25">
      <c r="A10">
        <v>1522331</v>
      </c>
      <c r="B10" s="27">
        <v>2</v>
      </c>
      <c r="C10">
        <v>0</v>
      </c>
      <c r="D10">
        <v>1</v>
      </c>
    </row>
    <row r="11" spans="1:4" x14ac:dyDescent="0.25">
      <c r="A11">
        <v>1521044</v>
      </c>
      <c r="B11">
        <v>0</v>
      </c>
      <c r="C11">
        <v>0</v>
      </c>
      <c r="D11">
        <v>0</v>
      </c>
    </row>
    <row r="12" spans="1:4" x14ac:dyDescent="0.25">
      <c r="A12">
        <v>1522838</v>
      </c>
      <c r="B12">
        <v>0</v>
      </c>
      <c r="C12">
        <v>0</v>
      </c>
      <c r="D12">
        <v>0</v>
      </c>
    </row>
    <row r="13" spans="1:4" x14ac:dyDescent="0.25">
      <c r="A13">
        <v>1493341</v>
      </c>
      <c r="B13">
        <v>1</v>
      </c>
      <c r="C13">
        <v>0</v>
      </c>
      <c r="D1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5BDB3-334E-4738-8FC9-DF9813673B19}">
  <sheetPr codeName="Sheet10">
    <tabColor theme="5"/>
  </sheetPr>
  <dimension ref="A1:AI500"/>
  <sheetViews>
    <sheetView showGridLines="0" showRowColHeaders="0" zoomScale="110" zoomScaleNormal="110" workbookViewId="0">
      <selection activeCell="S24" sqref="S24:T24"/>
    </sheetView>
  </sheetViews>
  <sheetFormatPr defaultColWidth="0" defaultRowHeight="15" zeroHeight="1" x14ac:dyDescent="0.25"/>
  <cols>
    <col min="1" max="1" width="17.140625" style="1" bestFit="1" customWidth="1"/>
    <col min="2" max="2" width="8" style="1" hidden="1" customWidth="1"/>
    <col min="3" max="3" width="23.7109375" style="1" customWidth="1"/>
    <col min="4" max="4" width="15.7109375" style="1" hidden="1" customWidth="1"/>
    <col min="5" max="5" width="20.28515625" style="1" bestFit="1" customWidth="1"/>
    <col min="6" max="6" width="15.7109375" style="1" hidden="1" customWidth="1"/>
    <col min="7" max="7" width="9.7109375" style="24" customWidth="1"/>
    <col min="8" max="8" width="6.7109375" style="24" hidden="1" customWidth="1"/>
    <col min="9" max="9" width="9.7109375" style="24" customWidth="1"/>
    <col min="10" max="10" width="6.7109375" style="24" hidden="1" customWidth="1"/>
    <col min="11" max="11" width="9.7109375" style="24" customWidth="1"/>
    <col min="12" max="12" width="6.7109375" style="24" hidden="1" customWidth="1"/>
    <col min="13" max="13" width="9.7109375" style="24" customWidth="1"/>
    <col min="14" max="14" width="6.7109375" style="24" hidden="1" customWidth="1"/>
    <col min="15" max="15" width="9.7109375" style="24" customWidth="1"/>
    <col min="16" max="16" width="6.7109375" style="24" hidden="1" customWidth="1"/>
    <col min="17" max="17" width="9.7109375" style="24" customWidth="1"/>
    <col min="18" max="18" width="6.7109375" style="24" hidden="1" customWidth="1"/>
    <col min="19" max="19" width="9.7109375" style="24" customWidth="1"/>
    <col min="20" max="20" width="6.7109375" style="24" hidden="1" customWidth="1"/>
    <col min="21" max="21" width="9.7109375" style="24" customWidth="1"/>
    <col min="22" max="22" width="6.7109375" style="24" hidden="1" customWidth="1"/>
    <col min="23" max="23" width="9.7109375" style="24" customWidth="1"/>
    <col min="24" max="24" width="9.140625" style="1" hidden="1" customWidth="1"/>
    <col min="25" max="25" width="2.7109375" style="1" customWidth="1"/>
    <col min="26" max="27" width="9.140625" style="1" hidden="1" customWidth="1"/>
    <col min="28" max="29" width="9.140625" style="1" customWidth="1"/>
    <col min="30" max="30" width="3" style="1" bestFit="1" customWidth="1"/>
    <col min="31" max="31" width="15.85546875" style="1" bestFit="1" customWidth="1"/>
    <col min="32" max="32" width="13.28515625" style="1" bestFit="1" customWidth="1"/>
    <col min="33" max="33" width="14.28515625" style="1" bestFit="1" customWidth="1"/>
    <col min="34" max="34" width="15.7109375" style="1" bestFit="1" customWidth="1"/>
    <col min="35" max="35" width="6" style="24" bestFit="1" customWidth="1"/>
    <col min="36" max="16384" width="9.140625" style="1" hidden="1"/>
  </cols>
  <sheetData>
    <row r="1" spans="1:35" ht="15" customHeight="1" x14ac:dyDescent="0.25">
      <c r="A1" s="120" t="s">
        <v>278</v>
      </c>
      <c r="B1" s="121"/>
      <c r="C1" s="128" t="s">
        <v>171</v>
      </c>
      <c r="D1" s="128"/>
      <c r="E1" s="129" t="s">
        <v>172</v>
      </c>
      <c r="F1" s="129"/>
      <c r="G1" s="131" t="s">
        <v>173</v>
      </c>
      <c r="H1" s="131"/>
      <c r="I1" s="131"/>
      <c r="J1" s="131"/>
      <c r="K1" s="131" t="s">
        <v>176</v>
      </c>
      <c r="L1" s="131"/>
      <c r="M1" s="131"/>
      <c r="N1" s="131"/>
      <c r="O1" s="131"/>
      <c r="P1" s="131"/>
      <c r="Q1" s="131"/>
      <c r="R1" s="131"/>
      <c r="S1" s="127" t="s">
        <v>180</v>
      </c>
      <c r="T1" s="127"/>
      <c r="U1" s="127"/>
      <c r="V1" s="127"/>
      <c r="W1" s="127"/>
      <c r="X1" s="127"/>
      <c r="Y1" s="32"/>
      <c r="AB1" s="119" t="s">
        <v>293</v>
      </c>
      <c r="AC1" s="119"/>
      <c r="AD1" s="39"/>
      <c r="AE1" s="110" t="s">
        <v>321</v>
      </c>
      <c r="AF1" s="110"/>
      <c r="AG1" s="110"/>
      <c r="AH1" s="110"/>
      <c r="AI1" s="110"/>
    </row>
    <row r="2" spans="1:35" x14ac:dyDescent="0.25">
      <c r="A2" s="122"/>
      <c r="B2" s="123"/>
      <c r="C2" s="128"/>
      <c r="D2" s="128"/>
      <c r="E2" s="129"/>
      <c r="F2" s="129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27"/>
      <c r="T2" s="127"/>
      <c r="U2" s="127"/>
      <c r="V2" s="127"/>
      <c r="W2" s="127"/>
      <c r="X2" s="127"/>
      <c r="Y2" s="32"/>
      <c r="Z2" s="1">
        <f>COUNTA($B$5:$B$5000)</f>
        <v>0</v>
      </c>
      <c r="AB2" s="119"/>
      <c r="AC2" s="119"/>
      <c r="AD2" s="39"/>
      <c r="AE2" s="111"/>
      <c r="AF2" s="111"/>
      <c r="AG2" s="111"/>
      <c r="AH2" s="111"/>
      <c r="AI2" s="111"/>
    </row>
    <row r="3" spans="1:35" x14ac:dyDescent="0.25">
      <c r="A3" s="122"/>
      <c r="B3" s="123"/>
      <c r="C3" s="128"/>
      <c r="D3" s="128"/>
      <c r="E3" s="129"/>
      <c r="F3" s="129"/>
      <c r="G3" s="130" t="s">
        <v>294</v>
      </c>
      <c r="H3" s="130"/>
      <c r="I3" s="130" t="s">
        <v>295</v>
      </c>
      <c r="J3" s="130"/>
      <c r="K3" s="130" t="s">
        <v>296</v>
      </c>
      <c r="L3" s="130"/>
      <c r="M3" s="130" t="s">
        <v>297</v>
      </c>
      <c r="N3" s="130"/>
      <c r="O3" s="130" t="s">
        <v>298</v>
      </c>
      <c r="P3" s="130"/>
      <c r="Q3" s="130" t="s">
        <v>299</v>
      </c>
      <c r="R3" s="130"/>
      <c r="S3" s="130" t="s">
        <v>300</v>
      </c>
      <c r="T3" s="130"/>
      <c r="U3" s="130" t="s">
        <v>301</v>
      </c>
      <c r="V3" s="130"/>
      <c r="W3" s="126" t="s">
        <v>302</v>
      </c>
      <c r="X3" s="126"/>
      <c r="Y3" s="32"/>
      <c r="Z3" s="25"/>
      <c r="AB3" s="132">
        <v>2</v>
      </c>
      <c r="AC3" s="132"/>
      <c r="AD3" s="40"/>
      <c r="AE3" s="114" t="s">
        <v>278</v>
      </c>
      <c r="AF3" s="112" t="s">
        <v>171</v>
      </c>
      <c r="AG3" s="112" t="s">
        <v>303</v>
      </c>
      <c r="AH3" s="112" t="s">
        <v>305</v>
      </c>
      <c r="AI3" s="113" t="s">
        <v>304</v>
      </c>
    </row>
    <row r="4" spans="1:35" x14ac:dyDescent="0.25">
      <c r="A4" s="124"/>
      <c r="B4" s="125"/>
      <c r="C4" s="128"/>
      <c r="D4" s="128"/>
      <c r="E4" s="129"/>
      <c r="F4" s="129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26"/>
      <c r="X4" s="126"/>
      <c r="Y4" s="32"/>
      <c r="AB4" s="132"/>
      <c r="AC4" s="132"/>
      <c r="AD4" s="40"/>
      <c r="AE4" s="114"/>
      <c r="AF4" s="112"/>
      <c r="AG4" s="112"/>
      <c r="AH4" s="112"/>
      <c r="AI4" s="113"/>
    </row>
    <row r="5" spans="1:35" x14ac:dyDescent="0.25">
      <c r="A5" s="41"/>
      <c r="B5" s="21"/>
      <c r="C5" s="20"/>
      <c r="D5" s="21"/>
      <c r="E5" s="20"/>
      <c r="F5" s="21"/>
      <c r="G5" s="22"/>
      <c r="H5" s="23"/>
      <c r="I5" s="22"/>
      <c r="J5" s="23"/>
      <c r="K5" s="22"/>
      <c r="L5" s="23"/>
      <c r="M5" s="22"/>
      <c r="N5" s="23"/>
      <c r="O5" s="22"/>
      <c r="P5" s="23"/>
      <c r="Q5" s="22"/>
      <c r="R5" s="23"/>
      <c r="S5" s="22"/>
      <c r="T5" s="23"/>
      <c r="U5" s="22"/>
      <c r="V5" s="23"/>
      <c r="W5" s="22"/>
      <c r="X5" s="21"/>
      <c r="Y5" s="32"/>
      <c r="Z5" s="32" t="str">
        <f>IF(ROW(A1)&lt;=$Z$2,ROW(A1),"")</f>
        <v/>
      </c>
      <c r="AA5" s="32"/>
      <c r="AB5" s="32"/>
      <c r="AC5" s="32"/>
      <c r="AD5" s="30">
        <v>1</v>
      </c>
      <c r="AE5" s="45"/>
      <c r="AF5" s="30"/>
      <c r="AG5" s="30"/>
      <c r="AH5" s="30"/>
      <c r="AI5" s="31"/>
    </row>
    <row r="6" spans="1:35" x14ac:dyDescent="0.25">
      <c r="A6" s="41"/>
      <c r="B6" s="21"/>
      <c r="C6" s="20"/>
      <c r="D6" s="21"/>
      <c r="E6" s="20"/>
      <c r="F6" s="21"/>
      <c r="G6" s="22"/>
      <c r="H6" s="23"/>
      <c r="I6" s="22"/>
      <c r="J6" s="23"/>
      <c r="K6" s="22"/>
      <c r="L6" s="23"/>
      <c r="M6" s="22"/>
      <c r="N6" s="23"/>
      <c r="O6" s="22"/>
      <c r="P6" s="23"/>
      <c r="Q6" s="22"/>
      <c r="R6" s="23"/>
      <c r="S6" s="22"/>
      <c r="T6" s="23"/>
      <c r="U6" s="22"/>
      <c r="V6" s="23"/>
      <c r="W6" s="22"/>
      <c r="X6" s="21"/>
      <c r="Y6" s="32"/>
      <c r="Z6" s="32" t="str">
        <f>IF(ROW(A2)&lt;=$Z$2,ROW(A2),"")</f>
        <v/>
      </c>
      <c r="AA6" s="32"/>
      <c r="AB6" s="32"/>
      <c r="AC6" s="32"/>
      <c r="AD6" s="30">
        <v>2</v>
      </c>
      <c r="AE6" s="45"/>
      <c r="AF6" s="30"/>
      <c r="AG6" s="30"/>
      <c r="AH6" s="30"/>
      <c r="AI6" s="31"/>
    </row>
    <row r="7" spans="1:35" x14ac:dyDescent="0.25">
      <c r="A7" s="41"/>
      <c r="B7" s="21"/>
      <c r="C7" s="20"/>
      <c r="D7" s="21"/>
      <c r="E7" s="20"/>
      <c r="F7" s="21"/>
      <c r="G7" s="22"/>
      <c r="H7" s="23"/>
      <c r="I7" s="22"/>
      <c r="J7" s="23"/>
      <c r="K7" s="22"/>
      <c r="L7" s="23"/>
      <c r="M7" s="22"/>
      <c r="N7" s="23"/>
      <c r="O7" s="22"/>
      <c r="P7" s="23"/>
      <c r="Q7" s="22"/>
      <c r="R7" s="23"/>
      <c r="S7" s="22"/>
      <c r="T7" s="23"/>
      <c r="U7" s="22"/>
      <c r="V7" s="23"/>
      <c r="W7" s="22"/>
      <c r="X7" s="21"/>
      <c r="Y7" s="32"/>
      <c r="Z7" s="32" t="str">
        <f t="shared" ref="Z7:Z70" si="0">IF(ROW(A3)&lt;=$Z$2,ROW(A3),"")</f>
        <v/>
      </c>
      <c r="AA7" s="32"/>
      <c r="AB7" s="32"/>
      <c r="AC7" s="32"/>
      <c r="AD7" s="30">
        <v>3</v>
      </c>
      <c r="AE7" s="30"/>
      <c r="AF7" s="30"/>
      <c r="AG7" s="30"/>
      <c r="AH7" s="30"/>
      <c r="AI7" s="31"/>
    </row>
    <row r="8" spans="1:35" x14ac:dyDescent="0.25">
      <c r="A8" s="41"/>
      <c r="B8" s="21"/>
      <c r="C8" s="20"/>
      <c r="D8" s="21"/>
      <c r="E8" s="20"/>
      <c r="F8" s="21"/>
      <c r="G8" s="22"/>
      <c r="H8" s="23"/>
      <c r="I8" s="22"/>
      <c r="J8" s="23"/>
      <c r="K8" s="22"/>
      <c r="L8" s="23"/>
      <c r="M8" s="22"/>
      <c r="N8" s="23"/>
      <c r="O8" s="22"/>
      <c r="P8" s="23"/>
      <c r="Q8" s="22"/>
      <c r="R8" s="23"/>
      <c r="S8" s="22"/>
      <c r="T8" s="23"/>
      <c r="U8" s="22"/>
      <c r="V8" s="23"/>
      <c r="W8" s="22"/>
      <c r="X8" s="21"/>
      <c r="Y8" s="32"/>
      <c r="Z8" s="32" t="str">
        <f t="shared" si="0"/>
        <v/>
      </c>
      <c r="AA8" s="32"/>
      <c r="AB8" s="32"/>
      <c r="AC8" s="32"/>
      <c r="AD8" s="30">
        <v>4</v>
      </c>
      <c r="AE8" s="30"/>
      <c r="AF8" s="30"/>
      <c r="AG8" s="30"/>
      <c r="AH8" s="30"/>
      <c r="AI8" s="31"/>
    </row>
    <row r="9" spans="1:35" x14ac:dyDescent="0.25">
      <c r="A9" s="41"/>
      <c r="B9" s="21"/>
      <c r="C9" s="20"/>
      <c r="D9" s="21"/>
      <c r="E9" s="20"/>
      <c r="F9" s="21"/>
      <c r="G9" s="22"/>
      <c r="H9" s="23"/>
      <c r="I9" s="22"/>
      <c r="J9" s="23"/>
      <c r="K9" s="22"/>
      <c r="L9" s="23"/>
      <c r="M9" s="22"/>
      <c r="N9" s="23"/>
      <c r="O9" s="22"/>
      <c r="P9" s="23"/>
      <c r="Q9" s="22"/>
      <c r="R9" s="23"/>
      <c r="S9" s="22"/>
      <c r="T9" s="23"/>
      <c r="U9" s="22"/>
      <c r="V9" s="23"/>
      <c r="W9" s="22"/>
      <c r="X9" s="21"/>
      <c r="Y9" s="32"/>
      <c r="Z9" s="32" t="str">
        <f t="shared" si="0"/>
        <v/>
      </c>
      <c r="AA9" s="32"/>
      <c r="AB9" s="32"/>
      <c r="AC9" s="32"/>
      <c r="AD9" s="30">
        <v>5</v>
      </c>
      <c r="AE9" s="30"/>
      <c r="AF9" s="30"/>
      <c r="AG9" s="30"/>
      <c r="AH9" s="30"/>
      <c r="AI9" s="31"/>
    </row>
    <row r="10" spans="1:35" x14ac:dyDescent="0.25">
      <c r="A10" s="41"/>
      <c r="B10" s="21"/>
      <c r="C10" s="20"/>
      <c r="D10" s="21"/>
      <c r="E10" s="20"/>
      <c r="F10" s="21"/>
      <c r="G10" s="22"/>
      <c r="H10" s="23"/>
      <c r="I10" s="22"/>
      <c r="J10" s="23"/>
      <c r="K10" s="22"/>
      <c r="L10" s="23"/>
      <c r="M10" s="22"/>
      <c r="N10" s="23"/>
      <c r="O10" s="22"/>
      <c r="P10" s="23"/>
      <c r="Q10" s="22"/>
      <c r="R10" s="23"/>
      <c r="S10" s="22"/>
      <c r="T10" s="23"/>
      <c r="U10" s="22"/>
      <c r="V10" s="23"/>
      <c r="W10" s="22"/>
      <c r="X10" s="21"/>
      <c r="Y10" s="32"/>
      <c r="Z10" s="32" t="str">
        <f t="shared" si="0"/>
        <v/>
      </c>
      <c r="AA10" s="32"/>
      <c r="AB10" s="32"/>
      <c r="AC10" s="32"/>
      <c r="AD10" s="30">
        <v>6</v>
      </c>
      <c r="AE10" s="30"/>
      <c r="AF10" s="30"/>
      <c r="AG10" s="30"/>
      <c r="AH10" s="30"/>
      <c r="AI10" s="31"/>
    </row>
    <row r="11" spans="1:35" x14ac:dyDescent="0.25">
      <c r="A11" s="41"/>
      <c r="B11" s="21"/>
      <c r="C11" s="20"/>
      <c r="D11" s="21"/>
      <c r="E11" s="20"/>
      <c r="F11" s="21"/>
      <c r="G11" s="22"/>
      <c r="H11" s="23"/>
      <c r="I11" s="22"/>
      <c r="J11" s="23"/>
      <c r="K11" s="22"/>
      <c r="L11" s="23"/>
      <c r="M11" s="22"/>
      <c r="N11" s="23"/>
      <c r="O11" s="22"/>
      <c r="P11" s="23"/>
      <c r="Q11" s="22"/>
      <c r="R11" s="23"/>
      <c r="S11" s="22"/>
      <c r="T11" s="23"/>
      <c r="U11" s="22"/>
      <c r="V11" s="23"/>
      <c r="W11" s="22"/>
      <c r="X11" s="21"/>
      <c r="Y11" s="32"/>
      <c r="Z11" s="32" t="str">
        <f t="shared" si="0"/>
        <v/>
      </c>
      <c r="AA11" s="32"/>
      <c r="AB11" s="32"/>
      <c r="AC11" s="32"/>
      <c r="AD11" s="30">
        <v>7</v>
      </c>
      <c r="AE11" s="30"/>
      <c r="AF11" s="30"/>
      <c r="AG11" s="30"/>
      <c r="AH11" s="30"/>
      <c r="AI11" s="31"/>
    </row>
    <row r="12" spans="1:35" x14ac:dyDescent="0.25">
      <c r="A12" s="41"/>
      <c r="B12" s="21"/>
      <c r="C12" s="20"/>
      <c r="D12" s="21"/>
      <c r="E12" s="20"/>
      <c r="F12" s="21"/>
      <c r="G12" s="22"/>
      <c r="H12" s="23"/>
      <c r="I12" s="22"/>
      <c r="J12" s="23"/>
      <c r="K12" s="22"/>
      <c r="L12" s="23"/>
      <c r="M12" s="22"/>
      <c r="N12" s="23"/>
      <c r="O12" s="22"/>
      <c r="P12" s="23"/>
      <c r="Q12" s="22"/>
      <c r="R12" s="23"/>
      <c r="S12" s="22"/>
      <c r="T12" s="23"/>
      <c r="U12" s="22"/>
      <c r="V12" s="23"/>
      <c r="W12" s="22"/>
      <c r="X12" s="21"/>
      <c r="Y12" s="32"/>
      <c r="Z12" s="32" t="str">
        <f t="shared" si="0"/>
        <v/>
      </c>
      <c r="AA12" s="32"/>
      <c r="AB12" s="32"/>
      <c r="AC12" s="32"/>
      <c r="AD12" s="30">
        <v>8</v>
      </c>
      <c r="AE12" s="30"/>
      <c r="AF12" s="30"/>
      <c r="AG12" s="30"/>
      <c r="AH12" s="30"/>
      <c r="AI12" s="31"/>
    </row>
    <row r="13" spans="1:35" x14ac:dyDescent="0.25">
      <c r="A13" s="41"/>
      <c r="B13" s="21"/>
      <c r="C13" s="20"/>
      <c r="D13" s="21"/>
      <c r="E13" s="20"/>
      <c r="F13" s="21"/>
      <c r="G13" s="22"/>
      <c r="H13" s="23"/>
      <c r="I13" s="22"/>
      <c r="J13" s="23"/>
      <c r="K13" s="22"/>
      <c r="L13" s="23"/>
      <c r="M13" s="22"/>
      <c r="N13" s="23"/>
      <c r="O13" s="22"/>
      <c r="P13" s="23"/>
      <c r="Q13" s="22"/>
      <c r="R13" s="23"/>
      <c r="S13" s="22"/>
      <c r="T13" s="23"/>
      <c r="U13" s="22"/>
      <c r="V13" s="23"/>
      <c r="W13" s="22"/>
      <c r="X13" s="21"/>
      <c r="Y13" s="32"/>
      <c r="Z13" s="32" t="str">
        <f t="shared" si="0"/>
        <v/>
      </c>
      <c r="AA13" s="32"/>
      <c r="AB13" s="32"/>
      <c r="AC13" s="32"/>
      <c r="AD13" s="30">
        <v>9</v>
      </c>
      <c r="AE13" s="30"/>
      <c r="AF13" s="30"/>
      <c r="AG13" s="30"/>
      <c r="AH13" s="30"/>
      <c r="AI13" s="31"/>
    </row>
    <row r="14" spans="1:35" x14ac:dyDescent="0.25">
      <c r="A14" s="44"/>
      <c r="B14" s="43"/>
      <c r="C14" s="117"/>
      <c r="D14" s="118"/>
      <c r="E14" s="117"/>
      <c r="F14" s="118"/>
      <c r="G14" s="115"/>
      <c r="H14" s="116"/>
      <c r="I14" s="115"/>
      <c r="J14" s="116"/>
      <c r="K14" s="115"/>
      <c r="L14" s="116"/>
      <c r="M14" s="115"/>
      <c r="N14" s="116"/>
      <c r="O14" s="115"/>
      <c r="P14" s="116"/>
      <c r="Q14" s="115"/>
      <c r="R14" s="116"/>
      <c r="S14" s="115"/>
      <c r="T14" s="116"/>
      <c r="U14" s="115"/>
      <c r="V14" s="116"/>
      <c r="W14" s="117"/>
      <c r="X14" s="118"/>
      <c r="Y14" s="32"/>
      <c r="Z14" s="32" t="str">
        <f t="shared" si="0"/>
        <v/>
      </c>
      <c r="AA14" s="32"/>
      <c r="AB14" s="32"/>
      <c r="AC14" s="32"/>
      <c r="AD14" s="30">
        <v>10</v>
      </c>
      <c r="AE14" s="30"/>
      <c r="AF14" s="30"/>
      <c r="AG14" s="30"/>
      <c r="AH14" s="30"/>
      <c r="AI14" s="31"/>
    </row>
    <row r="15" spans="1:35" x14ac:dyDescent="0.25">
      <c r="A15" s="44"/>
      <c r="B15" s="43"/>
      <c r="C15" s="117"/>
      <c r="D15" s="118"/>
      <c r="E15" s="117"/>
      <c r="F15" s="118"/>
      <c r="G15" s="115"/>
      <c r="H15" s="116"/>
      <c r="I15" s="115"/>
      <c r="J15" s="116"/>
      <c r="K15" s="115"/>
      <c r="L15" s="116"/>
      <c r="M15" s="115"/>
      <c r="N15" s="116"/>
      <c r="O15" s="115"/>
      <c r="P15" s="116"/>
      <c r="Q15" s="115"/>
      <c r="R15" s="116"/>
      <c r="S15" s="115"/>
      <c r="T15" s="116"/>
      <c r="U15" s="115"/>
      <c r="V15" s="116"/>
      <c r="W15" s="117"/>
      <c r="X15" s="118"/>
      <c r="Y15" s="32"/>
      <c r="Z15" s="32" t="str">
        <f t="shared" si="0"/>
        <v/>
      </c>
      <c r="AA15" s="32"/>
      <c r="AB15" s="32"/>
      <c r="AC15" s="32"/>
      <c r="AD15" s="30">
        <v>11</v>
      </c>
      <c r="AE15" s="30"/>
      <c r="AF15" s="30"/>
      <c r="AG15" s="30"/>
      <c r="AH15" s="30"/>
      <c r="AI15" s="31"/>
    </row>
    <row r="16" spans="1:35" x14ac:dyDescent="0.25">
      <c r="A16" s="42"/>
      <c r="B16" s="43"/>
      <c r="C16" s="117"/>
      <c r="D16" s="118"/>
      <c r="E16" s="117"/>
      <c r="F16" s="118"/>
      <c r="G16" s="115"/>
      <c r="H16" s="116"/>
      <c r="I16" s="115"/>
      <c r="J16" s="116"/>
      <c r="K16" s="115"/>
      <c r="L16" s="116"/>
      <c r="M16" s="115"/>
      <c r="N16" s="116"/>
      <c r="O16" s="115"/>
      <c r="P16" s="116"/>
      <c r="Q16" s="115"/>
      <c r="R16" s="116"/>
      <c r="S16" s="115"/>
      <c r="T16" s="116"/>
      <c r="U16" s="115"/>
      <c r="V16" s="116"/>
      <c r="W16" s="117"/>
      <c r="X16" s="118"/>
      <c r="Y16" s="32"/>
      <c r="Z16" s="32" t="str">
        <f t="shared" si="0"/>
        <v/>
      </c>
      <c r="AA16" s="32"/>
      <c r="AB16" s="32"/>
      <c r="AC16" s="32"/>
      <c r="AD16" s="30">
        <v>12</v>
      </c>
      <c r="AE16" s="30"/>
      <c r="AF16" s="30"/>
      <c r="AG16" s="30"/>
      <c r="AH16" s="30"/>
      <c r="AI16" s="31"/>
    </row>
    <row r="17" spans="1:35" x14ac:dyDescent="0.25">
      <c r="A17" s="42"/>
      <c r="B17" s="43"/>
      <c r="C17" s="117"/>
      <c r="D17" s="118"/>
      <c r="E17" s="117"/>
      <c r="F17" s="118"/>
      <c r="G17" s="115"/>
      <c r="H17" s="116"/>
      <c r="I17" s="115"/>
      <c r="J17" s="116"/>
      <c r="K17" s="115"/>
      <c r="L17" s="116"/>
      <c r="M17" s="115"/>
      <c r="N17" s="116"/>
      <c r="O17" s="115"/>
      <c r="P17" s="116"/>
      <c r="Q17" s="115"/>
      <c r="R17" s="116"/>
      <c r="S17" s="115"/>
      <c r="T17" s="116"/>
      <c r="U17" s="115"/>
      <c r="V17" s="116"/>
      <c r="W17" s="117"/>
      <c r="X17" s="118"/>
      <c r="Y17" s="32"/>
      <c r="Z17" s="32" t="str">
        <f t="shared" si="0"/>
        <v/>
      </c>
      <c r="AA17" s="32"/>
      <c r="AB17" s="32"/>
      <c r="AC17" s="32"/>
      <c r="AD17" s="30">
        <v>13</v>
      </c>
      <c r="AE17" s="30"/>
      <c r="AF17" s="30"/>
      <c r="AG17" s="30"/>
      <c r="AH17" s="30"/>
      <c r="AI17" s="31"/>
    </row>
    <row r="18" spans="1:35" x14ac:dyDescent="0.25">
      <c r="A18" s="42"/>
      <c r="B18" s="43"/>
      <c r="C18" s="117"/>
      <c r="D18" s="118"/>
      <c r="E18" s="117"/>
      <c r="F18" s="118"/>
      <c r="G18" s="115"/>
      <c r="H18" s="116"/>
      <c r="I18" s="115"/>
      <c r="J18" s="116"/>
      <c r="K18" s="115"/>
      <c r="L18" s="116"/>
      <c r="M18" s="115"/>
      <c r="N18" s="116"/>
      <c r="O18" s="115"/>
      <c r="P18" s="116"/>
      <c r="Q18" s="115"/>
      <c r="R18" s="116"/>
      <c r="S18" s="115"/>
      <c r="T18" s="116"/>
      <c r="U18" s="115"/>
      <c r="V18" s="116"/>
      <c r="W18" s="117"/>
      <c r="X18" s="118"/>
      <c r="Y18" s="32"/>
      <c r="Z18" s="32" t="str">
        <f t="shared" si="0"/>
        <v/>
      </c>
      <c r="AA18" s="32"/>
      <c r="AB18" s="32"/>
      <c r="AC18" s="32"/>
      <c r="AD18" s="30">
        <v>14</v>
      </c>
      <c r="AE18" s="30"/>
      <c r="AF18" s="30"/>
      <c r="AG18" s="30"/>
      <c r="AH18" s="30"/>
      <c r="AI18" s="31"/>
    </row>
    <row r="19" spans="1:35" x14ac:dyDescent="0.25">
      <c r="A19" s="42"/>
      <c r="B19" s="43"/>
      <c r="C19" s="117"/>
      <c r="D19" s="118"/>
      <c r="E19" s="117"/>
      <c r="F19" s="118"/>
      <c r="G19" s="115"/>
      <c r="H19" s="116"/>
      <c r="I19" s="115"/>
      <c r="J19" s="116"/>
      <c r="K19" s="115"/>
      <c r="L19" s="116"/>
      <c r="M19" s="115"/>
      <c r="N19" s="116"/>
      <c r="O19" s="115"/>
      <c r="P19" s="116"/>
      <c r="Q19" s="115"/>
      <c r="R19" s="116"/>
      <c r="S19" s="115"/>
      <c r="T19" s="116"/>
      <c r="U19" s="115"/>
      <c r="V19" s="116"/>
      <c r="W19" s="117"/>
      <c r="X19" s="118"/>
      <c r="Y19" s="32"/>
      <c r="Z19" s="32" t="str">
        <f t="shared" si="0"/>
        <v/>
      </c>
      <c r="AA19" s="32"/>
      <c r="AB19" s="32"/>
      <c r="AC19" s="32"/>
      <c r="AD19" s="30">
        <v>15</v>
      </c>
      <c r="AE19" s="30"/>
      <c r="AF19" s="30"/>
      <c r="AG19" s="30"/>
      <c r="AH19" s="30"/>
      <c r="AI19" s="31"/>
    </row>
    <row r="20" spans="1:35" x14ac:dyDescent="0.25">
      <c r="A20" s="42"/>
      <c r="B20" s="43"/>
      <c r="C20" s="117"/>
      <c r="D20" s="118"/>
      <c r="E20" s="117"/>
      <c r="F20" s="118"/>
      <c r="G20" s="115"/>
      <c r="H20" s="116"/>
      <c r="I20" s="115"/>
      <c r="J20" s="116"/>
      <c r="K20" s="115"/>
      <c r="L20" s="116"/>
      <c r="M20" s="115"/>
      <c r="N20" s="116"/>
      <c r="O20" s="115"/>
      <c r="P20" s="116"/>
      <c r="Q20" s="115"/>
      <c r="R20" s="116"/>
      <c r="S20" s="115"/>
      <c r="T20" s="116"/>
      <c r="U20" s="115"/>
      <c r="V20" s="116"/>
      <c r="W20" s="117"/>
      <c r="X20" s="118"/>
      <c r="Y20" s="32"/>
      <c r="Z20" s="32" t="str">
        <f t="shared" si="0"/>
        <v/>
      </c>
      <c r="AA20" s="32"/>
      <c r="AB20" s="32"/>
      <c r="AC20" s="32"/>
      <c r="AD20" s="30">
        <v>16</v>
      </c>
      <c r="AE20" s="30"/>
      <c r="AF20" s="30"/>
      <c r="AG20" s="30"/>
      <c r="AH20" s="30"/>
      <c r="AI20" s="31"/>
    </row>
    <row r="21" spans="1:35" x14ac:dyDescent="0.25">
      <c r="A21" s="42"/>
      <c r="B21" s="43"/>
      <c r="C21" s="117"/>
      <c r="D21" s="118"/>
      <c r="E21" s="117"/>
      <c r="F21" s="118"/>
      <c r="G21" s="115"/>
      <c r="H21" s="116"/>
      <c r="I21" s="115"/>
      <c r="J21" s="116"/>
      <c r="K21" s="115"/>
      <c r="L21" s="116"/>
      <c r="M21" s="115"/>
      <c r="N21" s="116"/>
      <c r="O21" s="115"/>
      <c r="P21" s="116"/>
      <c r="Q21" s="115"/>
      <c r="R21" s="116"/>
      <c r="S21" s="115"/>
      <c r="T21" s="116"/>
      <c r="U21" s="115"/>
      <c r="V21" s="116"/>
      <c r="W21" s="117"/>
      <c r="X21" s="118"/>
      <c r="Y21" s="32"/>
      <c r="Z21" s="32" t="str">
        <f t="shared" si="0"/>
        <v/>
      </c>
      <c r="AA21" s="32"/>
      <c r="AB21" s="32"/>
      <c r="AC21" s="32"/>
      <c r="AD21" s="30">
        <v>17</v>
      </c>
      <c r="AE21" s="30"/>
      <c r="AF21" s="30"/>
      <c r="AG21" s="30"/>
      <c r="AH21" s="30"/>
      <c r="AI21" s="31"/>
    </row>
    <row r="22" spans="1:35" x14ac:dyDescent="0.25">
      <c r="A22" s="42"/>
      <c r="B22" s="43"/>
      <c r="C22" s="117"/>
      <c r="D22" s="118"/>
      <c r="E22" s="117"/>
      <c r="F22" s="118"/>
      <c r="G22" s="115"/>
      <c r="H22" s="116"/>
      <c r="I22" s="115"/>
      <c r="J22" s="116"/>
      <c r="K22" s="115"/>
      <c r="L22" s="116"/>
      <c r="M22" s="115"/>
      <c r="N22" s="116"/>
      <c r="O22" s="115"/>
      <c r="P22" s="116"/>
      <c r="Q22" s="115"/>
      <c r="R22" s="116"/>
      <c r="S22" s="115"/>
      <c r="T22" s="116"/>
      <c r="U22" s="115"/>
      <c r="V22" s="116"/>
      <c r="W22" s="117"/>
      <c r="X22" s="118"/>
      <c r="Y22" s="32"/>
      <c r="Z22" s="32" t="str">
        <f t="shared" si="0"/>
        <v/>
      </c>
      <c r="AA22" s="32"/>
      <c r="AB22" s="32"/>
      <c r="AC22" s="32"/>
      <c r="AD22" s="30">
        <v>18</v>
      </c>
      <c r="AE22" s="30"/>
      <c r="AF22" s="30"/>
      <c r="AG22" s="30"/>
      <c r="AH22" s="30"/>
      <c r="AI22" s="31"/>
    </row>
    <row r="23" spans="1:35" x14ac:dyDescent="0.25">
      <c r="A23" s="42"/>
      <c r="B23" s="43"/>
      <c r="C23" s="117"/>
      <c r="D23" s="118"/>
      <c r="E23" s="117"/>
      <c r="F23" s="118"/>
      <c r="G23" s="115"/>
      <c r="H23" s="116"/>
      <c r="I23" s="115"/>
      <c r="J23" s="116"/>
      <c r="K23" s="115"/>
      <c r="L23" s="116"/>
      <c r="M23" s="115"/>
      <c r="N23" s="116"/>
      <c r="O23" s="115"/>
      <c r="P23" s="116"/>
      <c r="Q23" s="115"/>
      <c r="R23" s="116"/>
      <c r="S23" s="115"/>
      <c r="T23" s="116"/>
      <c r="U23" s="115"/>
      <c r="V23" s="116"/>
      <c r="W23" s="117"/>
      <c r="X23" s="118"/>
      <c r="Y23" s="32"/>
      <c r="Z23" s="32" t="str">
        <f t="shared" si="0"/>
        <v/>
      </c>
      <c r="AA23" s="32"/>
      <c r="AB23" s="32"/>
      <c r="AC23" s="32"/>
      <c r="AD23" s="30">
        <v>19</v>
      </c>
      <c r="AE23" s="30"/>
      <c r="AF23" s="30"/>
      <c r="AG23" s="30"/>
      <c r="AH23" s="30"/>
      <c r="AI23" s="31"/>
    </row>
    <row r="24" spans="1:35" x14ac:dyDescent="0.25">
      <c r="A24" s="42"/>
      <c r="B24" s="43"/>
      <c r="C24" s="117"/>
      <c r="D24" s="118"/>
      <c r="E24" s="117"/>
      <c r="F24" s="118"/>
      <c r="G24" s="115"/>
      <c r="H24" s="116"/>
      <c r="I24" s="115"/>
      <c r="J24" s="116"/>
      <c r="K24" s="115"/>
      <c r="L24" s="116"/>
      <c r="M24" s="115"/>
      <c r="N24" s="116"/>
      <c r="O24" s="115"/>
      <c r="P24" s="116"/>
      <c r="Q24" s="115"/>
      <c r="R24" s="116"/>
      <c r="S24" s="115"/>
      <c r="T24" s="116"/>
      <c r="U24" s="115"/>
      <c r="V24" s="116"/>
      <c r="W24" s="117"/>
      <c r="X24" s="118"/>
      <c r="Y24" s="32"/>
      <c r="Z24" s="32" t="str">
        <f t="shared" si="0"/>
        <v/>
      </c>
      <c r="AA24" s="32"/>
      <c r="AB24" s="32"/>
      <c r="AC24" s="32"/>
      <c r="AD24" s="30">
        <v>20</v>
      </c>
      <c r="AE24" s="30"/>
      <c r="AF24" s="30"/>
      <c r="AG24" s="30"/>
      <c r="AH24" s="30"/>
      <c r="AI24" s="31"/>
    </row>
    <row r="25" spans="1:35" x14ac:dyDescent="0.25">
      <c r="A25" s="42"/>
      <c r="B25" s="43"/>
      <c r="C25" s="117"/>
      <c r="D25" s="118"/>
      <c r="E25" s="117"/>
      <c r="F25" s="118"/>
      <c r="G25" s="115"/>
      <c r="H25" s="116"/>
      <c r="I25" s="115"/>
      <c r="J25" s="116"/>
      <c r="K25" s="115"/>
      <c r="L25" s="116"/>
      <c r="M25" s="115"/>
      <c r="N25" s="116"/>
      <c r="O25" s="115"/>
      <c r="P25" s="116"/>
      <c r="Q25" s="115"/>
      <c r="R25" s="116"/>
      <c r="S25" s="115"/>
      <c r="T25" s="116"/>
      <c r="U25" s="115"/>
      <c r="V25" s="116"/>
      <c r="W25" s="117"/>
      <c r="X25" s="118"/>
      <c r="Y25" s="32"/>
      <c r="Z25" s="32" t="str">
        <f t="shared" si="0"/>
        <v/>
      </c>
      <c r="AA25" s="32"/>
      <c r="AB25" s="32"/>
      <c r="AC25" s="32"/>
      <c r="AD25" s="30">
        <v>21</v>
      </c>
      <c r="AE25" s="30"/>
      <c r="AF25" s="30"/>
      <c r="AG25" s="30"/>
      <c r="AH25" s="30"/>
      <c r="AI25" s="31"/>
    </row>
    <row r="26" spans="1:35" x14ac:dyDescent="0.25">
      <c r="A26" s="42"/>
      <c r="B26" s="43"/>
      <c r="C26" s="117"/>
      <c r="D26" s="118"/>
      <c r="E26" s="117"/>
      <c r="F26" s="118"/>
      <c r="G26" s="115"/>
      <c r="H26" s="116"/>
      <c r="I26" s="115"/>
      <c r="J26" s="116"/>
      <c r="K26" s="115"/>
      <c r="L26" s="116"/>
      <c r="M26" s="115"/>
      <c r="N26" s="116"/>
      <c r="O26" s="115"/>
      <c r="P26" s="116"/>
      <c r="Q26" s="115"/>
      <c r="R26" s="116"/>
      <c r="S26" s="115"/>
      <c r="T26" s="116"/>
      <c r="U26" s="115"/>
      <c r="V26" s="116"/>
      <c r="W26" s="117"/>
      <c r="X26" s="118"/>
      <c r="Y26" s="32"/>
      <c r="Z26" s="32" t="str">
        <f t="shared" si="0"/>
        <v/>
      </c>
      <c r="AA26" s="32"/>
      <c r="AB26" s="32"/>
      <c r="AC26" s="32"/>
      <c r="AD26" s="30">
        <v>22</v>
      </c>
      <c r="AE26" s="30"/>
      <c r="AF26" s="30"/>
      <c r="AG26" s="30"/>
      <c r="AH26" s="30"/>
      <c r="AI26" s="31"/>
    </row>
    <row r="27" spans="1:35" x14ac:dyDescent="0.25">
      <c r="A27" s="42"/>
      <c r="B27" s="43"/>
      <c r="C27" s="117"/>
      <c r="D27" s="118"/>
      <c r="E27" s="117"/>
      <c r="F27" s="118"/>
      <c r="G27" s="115"/>
      <c r="H27" s="116"/>
      <c r="I27" s="115"/>
      <c r="J27" s="116"/>
      <c r="K27" s="115"/>
      <c r="L27" s="116"/>
      <c r="M27" s="115"/>
      <c r="N27" s="116"/>
      <c r="O27" s="115"/>
      <c r="P27" s="116"/>
      <c r="Q27" s="115"/>
      <c r="R27" s="116"/>
      <c r="S27" s="115"/>
      <c r="T27" s="116"/>
      <c r="U27" s="115"/>
      <c r="V27" s="116"/>
      <c r="W27" s="117"/>
      <c r="X27" s="118"/>
      <c r="Y27" s="32"/>
      <c r="Z27" s="32" t="str">
        <f t="shared" si="0"/>
        <v/>
      </c>
      <c r="AA27" s="32"/>
      <c r="AB27" s="32"/>
      <c r="AC27" s="32"/>
      <c r="AD27" s="30">
        <v>23</v>
      </c>
      <c r="AE27" s="30"/>
      <c r="AF27" s="30"/>
      <c r="AG27" s="30"/>
      <c r="AH27" s="30"/>
      <c r="AI27" s="31"/>
    </row>
    <row r="28" spans="1:35" x14ac:dyDescent="0.25">
      <c r="A28" s="42"/>
      <c r="B28" s="43"/>
      <c r="C28" s="117"/>
      <c r="D28" s="118"/>
      <c r="E28" s="117"/>
      <c r="F28" s="118"/>
      <c r="G28" s="115"/>
      <c r="H28" s="116"/>
      <c r="I28" s="115"/>
      <c r="J28" s="116"/>
      <c r="K28" s="115"/>
      <c r="L28" s="116"/>
      <c r="M28" s="115"/>
      <c r="N28" s="116"/>
      <c r="O28" s="115"/>
      <c r="P28" s="116"/>
      <c r="Q28" s="115"/>
      <c r="R28" s="116"/>
      <c r="S28" s="115"/>
      <c r="T28" s="116"/>
      <c r="U28" s="115"/>
      <c r="V28" s="116"/>
      <c r="W28" s="117"/>
      <c r="X28" s="118"/>
      <c r="Y28" s="32"/>
      <c r="Z28" s="32" t="str">
        <f t="shared" si="0"/>
        <v/>
      </c>
      <c r="AA28" s="32"/>
      <c r="AB28" s="32"/>
      <c r="AC28" s="32"/>
      <c r="AD28" s="30">
        <v>24</v>
      </c>
      <c r="AE28" s="30"/>
      <c r="AF28" s="30"/>
      <c r="AG28" s="30"/>
      <c r="AH28" s="30"/>
      <c r="AI28" s="31"/>
    </row>
    <row r="29" spans="1:35" x14ac:dyDescent="0.25">
      <c r="A29" s="42"/>
      <c r="B29" s="43"/>
      <c r="C29" s="117"/>
      <c r="D29" s="118"/>
      <c r="E29" s="117"/>
      <c r="F29" s="118"/>
      <c r="G29" s="115"/>
      <c r="H29" s="116"/>
      <c r="I29" s="115"/>
      <c r="J29" s="116"/>
      <c r="K29" s="115"/>
      <c r="L29" s="116"/>
      <c r="M29" s="115"/>
      <c r="N29" s="116"/>
      <c r="O29" s="115"/>
      <c r="P29" s="116"/>
      <c r="Q29" s="115"/>
      <c r="R29" s="116"/>
      <c r="S29" s="115"/>
      <c r="T29" s="116"/>
      <c r="U29" s="115"/>
      <c r="V29" s="116"/>
      <c r="W29" s="117"/>
      <c r="X29" s="118"/>
      <c r="Y29" s="32"/>
      <c r="Z29" s="32" t="str">
        <f t="shared" si="0"/>
        <v/>
      </c>
      <c r="AA29" s="32"/>
      <c r="AB29" s="32"/>
      <c r="AC29" s="32"/>
      <c r="AD29" s="30">
        <v>25</v>
      </c>
      <c r="AE29" s="30"/>
      <c r="AF29" s="30"/>
      <c r="AG29" s="30"/>
      <c r="AH29" s="30"/>
      <c r="AI29" s="31"/>
    </row>
    <row r="30" spans="1:35" x14ac:dyDescent="0.25">
      <c r="A30" s="42"/>
      <c r="B30" s="43"/>
      <c r="C30" s="117"/>
      <c r="D30" s="118"/>
      <c r="E30" s="117"/>
      <c r="F30" s="118"/>
      <c r="G30" s="115"/>
      <c r="H30" s="116"/>
      <c r="I30" s="115"/>
      <c r="J30" s="116"/>
      <c r="K30" s="115"/>
      <c r="L30" s="116"/>
      <c r="M30" s="115"/>
      <c r="N30" s="116"/>
      <c r="O30" s="115"/>
      <c r="P30" s="116"/>
      <c r="Q30" s="115"/>
      <c r="R30" s="116"/>
      <c r="S30" s="115"/>
      <c r="T30" s="116"/>
      <c r="U30" s="115"/>
      <c r="V30" s="116"/>
      <c r="W30" s="117"/>
      <c r="X30" s="118"/>
      <c r="Y30" s="32"/>
      <c r="Z30" s="32" t="str">
        <f t="shared" si="0"/>
        <v/>
      </c>
      <c r="AA30" s="32"/>
      <c r="AB30" s="32"/>
      <c r="AC30" s="32"/>
      <c r="AD30" s="30">
        <v>26</v>
      </c>
      <c r="AE30" s="30"/>
      <c r="AF30" s="30"/>
      <c r="AG30" s="30"/>
      <c r="AH30" s="30"/>
      <c r="AI30" s="31"/>
    </row>
    <row r="31" spans="1:35" x14ac:dyDescent="0.25">
      <c r="A31" s="42"/>
      <c r="B31" s="43"/>
      <c r="C31" s="117"/>
      <c r="D31" s="118"/>
      <c r="E31" s="117"/>
      <c r="F31" s="118"/>
      <c r="G31" s="115"/>
      <c r="H31" s="116"/>
      <c r="I31" s="115"/>
      <c r="J31" s="116"/>
      <c r="K31" s="115"/>
      <c r="L31" s="116"/>
      <c r="M31" s="115"/>
      <c r="N31" s="116"/>
      <c r="O31" s="115"/>
      <c r="P31" s="116"/>
      <c r="Q31" s="115"/>
      <c r="R31" s="116"/>
      <c r="S31" s="115"/>
      <c r="T31" s="116"/>
      <c r="U31" s="115"/>
      <c r="V31" s="116"/>
      <c r="W31" s="117"/>
      <c r="X31" s="118"/>
      <c r="Y31" s="32"/>
      <c r="Z31" s="32" t="str">
        <f t="shared" si="0"/>
        <v/>
      </c>
      <c r="AA31" s="32"/>
      <c r="AB31" s="32"/>
      <c r="AC31" s="32"/>
      <c r="AD31" s="30">
        <v>27</v>
      </c>
      <c r="AE31" s="30"/>
      <c r="AF31" s="30"/>
      <c r="AG31" s="30"/>
      <c r="AH31" s="30"/>
      <c r="AI31" s="31"/>
    </row>
    <row r="32" spans="1:35" x14ac:dyDescent="0.25">
      <c r="A32" s="42"/>
      <c r="B32" s="43"/>
      <c r="C32" s="117"/>
      <c r="D32" s="118"/>
      <c r="E32" s="117"/>
      <c r="F32" s="118"/>
      <c r="G32" s="115"/>
      <c r="H32" s="116"/>
      <c r="I32" s="115"/>
      <c r="J32" s="116"/>
      <c r="K32" s="115"/>
      <c r="L32" s="116"/>
      <c r="M32" s="115"/>
      <c r="N32" s="116"/>
      <c r="O32" s="115"/>
      <c r="P32" s="116"/>
      <c r="Q32" s="115"/>
      <c r="R32" s="116"/>
      <c r="S32" s="115"/>
      <c r="T32" s="116"/>
      <c r="U32" s="115"/>
      <c r="V32" s="116"/>
      <c r="W32" s="117"/>
      <c r="X32" s="118"/>
      <c r="Y32" s="32"/>
      <c r="Z32" s="32" t="str">
        <f t="shared" si="0"/>
        <v/>
      </c>
      <c r="AA32" s="32"/>
      <c r="AB32" s="32"/>
      <c r="AC32" s="32"/>
      <c r="AD32" s="30">
        <v>28</v>
      </c>
      <c r="AE32" s="30"/>
      <c r="AF32" s="30"/>
      <c r="AG32" s="30"/>
      <c r="AH32" s="30"/>
      <c r="AI32" s="31"/>
    </row>
    <row r="33" spans="1:35" x14ac:dyDescent="0.25">
      <c r="A33" s="42"/>
      <c r="B33" s="43"/>
      <c r="C33" s="117"/>
      <c r="D33" s="118"/>
      <c r="E33" s="117"/>
      <c r="F33" s="118"/>
      <c r="G33" s="115"/>
      <c r="H33" s="116"/>
      <c r="I33" s="115"/>
      <c r="J33" s="116"/>
      <c r="K33" s="115"/>
      <c r="L33" s="116"/>
      <c r="M33" s="115"/>
      <c r="N33" s="116"/>
      <c r="O33" s="115"/>
      <c r="P33" s="116"/>
      <c r="Q33" s="115"/>
      <c r="R33" s="116"/>
      <c r="S33" s="115"/>
      <c r="T33" s="116"/>
      <c r="U33" s="115"/>
      <c r="V33" s="116"/>
      <c r="W33" s="117"/>
      <c r="X33" s="118"/>
      <c r="Y33" s="32"/>
      <c r="Z33" s="32" t="str">
        <f t="shared" si="0"/>
        <v/>
      </c>
      <c r="AA33" s="32"/>
      <c r="AB33" s="32"/>
      <c r="AC33" s="32"/>
      <c r="AD33" s="30">
        <v>29</v>
      </c>
      <c r="AE33" s="30"/>
      <c r="AF33" s="30"/>
      <c r="AG33" s="30"/>
      <c r="AH33" s="30"/>
      <c r="AI33" s="31"/>
    </row>
    <row r="34" spans="1:35" x14ac:dyDescent="0.25">
      <c r="A34" s="42"/>
      <c r="B34" s="43"/>
      <c r="C34" s="117"/>
      <c r="D34" s="118"/>
      <c r="E34" s="117"/>
      <c r="F34" s="118"/>
      <c r="G34" s="115"/>
      <c r="H34" s="116"/>
      <c r="I34" s="115"/>
      <c r="J34" s="116"/>
      <c r="K34" s="115"/>
      <c r="L34" s="116"/>
      <c r="M34" s="115"/>
      <c r="N34" s="116"/>
      <c r="O34" s="115"/>
      <c r="P34" s="116"/>
      <c r="Q34" s="115"/>
      <c r="R34" s="116"/>
      <c r="S34" s="115"/>
      <c r="T34" s="116"/>
      <c r="U34" s="115"/>
      <c r="V34" s="116"/>
      <c r="W34" s="117"/>
      <c r="X34" s="118"/>
      <c r="Y34" s="32"/>
      <c r="Z34" s="32" t="str">
        <f t="shared" si="0"/>
        <v/>
      </c>
      <c r="AA34" s="32"/>
      <c r="AB34" s="32"/>
      <c r="AC34" s="32"/>
      <c r="AD34" s="30">
        <v>30</v>
      </c>
      <c r="AE34" s="30"/>
      <c r="AF34" s="30"/>
      <c r="AG34" s="30"/>
      <c r="AH34" s="30"/>
      <c r="AI34" s="31"/>
    </row>
    <row r="35" spans="1:35" hidden="1" x14ac:dyDescent="0.25">
      <c r="A35" s="117"/>
      <c r="B35" s="118"/>
      <c r="C35" s="117"/>
      <c r="D35" s="118"/>
      <c r="E35" s="117"/>
      <c r="F35" s="118"/>
      <c r="G35" s="115"/>
      <c r="H35" s="116"/>
      <c r="I35" s="115"/>
      <c r="J35" s="116"/>
      <c r="K35" s="115"/>
      <c r="L35" s="116"/>
      <c r="M35" s="115"/>
      <c r="N35" s="116"/>
      <c r="O35" s="115"/>
      <c r="P35" s="116"/>
      <c r="Q35" s="115"/>
      <c r="R35" s="116"/>
      <c r="S35" s="115"/>
      <c r="T35" s="116"/>
      <c r="U35" s="115"/>
      <c r="V35" s="116"/>
      <c r="W35" s="117"/>
      <c r="X35" s="118"/>
      <c r="Y35" s="8"/>
      <c r="Z35" s="1" t="str">
        <f t="shared" si="0"/>
        <v/>
      </c>
      <c r="AB35" s="8"/>
      <c r="AC35" s="8"/>
      <c r="AD35" s="8"/>
      <c r="AE35" s="8"/>
      <c r="AF35" s="8"/>
      <c r="AG35" s="8"/>
      <c r="AH35" s="8"/>
      <c r="AI35" s="16"/>
    </row>
    <row r="36" spans="1:35" hidden="1" x14ac:dyDescent="0.25">
      <c r="A36" s="117"/>
      <c r="B36" s="118"/>
      <c r="C36" s="117"/>
      <c r="D36" s="118"/>
      <c r="E36" s="117"/>
      <c r="F36" s="118"/>
      <c r="G36" s="115"/>
      <c r="H36" s="116"/>
      <c r="I36" s="115"/>
      <c r="J36" s="116"/>
      <c r="K36" s="115"/>
      <c r="L36" s="116"/>
      <c r="M36" s="115"/>
      <c r="N36" s="116"/>
      <c r="O36" s="115"/>
      <c r="P36" s="116"/>
      <c r="Q36" s="115"/>
      <c r="R36" s="116"/>
      <c r="S36" s="115"/>
      <c r="T36" s="116"/>
      <c r="U36" s="115"/>
      <c r="V36" s="116"/>
      <c r="W36" s="117"/>
      <c r="X36" s="118"/>
      <c r="Y36" s="8"/>
      <c r="Z36" s="1" t="str">
        <f t="shared" si="0"/>
        <v/>
      </c>
      <c r="AB36" s="8"/>
      <c r="AC36" s="8"/>
      <c r="AD36" s="8"/>
      <c r="AE36" s="8"/>
      <c r="AF36" s="8"/>
      <c r="AG36" s="8"/>
      <c r="AH36" s="8"/>
      <c r="AI36" s="16"/>
    </row>
    <row r="37" spans="1:35" hidden="1" x14ac:dyDescent="0.25">
      <c r="A37" s="117"/>
      <c r="B37" s="118"/>
      <c r="C37" s="117"/>
      <c r="D37" s="118"/>
      <c r="E37" s="117"/>
      <c r="F37" s="118"/>
      <c r="G37" s="115"/>
      <c r="H37" s="116"/>
      <c r="I37" s="115"/>
      <c r="J37" s="116"/>
      <c r="K37" s="115"/>
      <c r="L37" s="116"/>
      <c r="M37" s="115"/>
      <c r="N37" s="116"/>
      <c r="O37" s="115"/>
      <c r="P37" s="116"/>
      <c r="Q37" s="115"/>
      <c r="R37" s="116"/>
      <c r="S37" s="115"/>
      <c r="T37" s="116"/>
      <c r="U37" s="115"/>
      <c r="V37" s="116"/>
      <c r="W37" s="117"/>
      <c r="X37" s="118"/>
      <c r="Y37" s="8"/>
      <c r="Z37" s="1" t="str">
        <f t="shared" si="0"/>
        <v/>
      </c>
      <c r="AB37" s="8"/>
      <c r="AC37" s="8"/>
      <c r="AD37" s="8"/>
      <c r="AE37" s="8"/>
      <c r="AF37" s="8"/>
      <c r="AG37" s="8"/>
      <c r="AH37" s="8"/>
      <c r="AI37" s="16"/>
    </row>
    <row r="38" spans="1:35" hidden="1" x14ac:dyDescent="0.25">
      <c r="A38" s="117"/>
      <c r="B38" s="118"/>
      <c r="C38" s="117"/>
      <c r="D38" s="118"/>
      <c r="E38" s="117"/>
      <c r="F38" s="118"/>
      <c r="G38" s="115"/>
      <c r="H38" s="116"/>
      <c r="I38" s="115"/>
      <c r="J38" s="116"/>
      <c r="K38" s="115"/>
      <c r="L38" s="116"/>
      <c r="M38" s="115"/>
      <c r="N38" s="116"/>
      <c r="O38" s="115"/>
      <c r="P38" s="116"/>
      <c r="Q38" s="115"/>
      <c r="R38" s="116"/>
      <c r="S38" s="115"/>
      <c r="T38" s="116"/>
      <c r="U38" s="115"/>
      <c r="V38" s="116"/>
      <c r="W38" s="117"/>
      <c r="X38" s="118"/>
      <c r="Y38" s="8"/>
      <c r="Z38" s="1" t="str">
        <f t="shared" si="0"/>
        <v/>
      </c>
      <c r="AB38" s="8"/>
      <c r="AC38" s="8"/>
      <c r="AD38" s="8"/>
      <c r="AE38" s="8"/>
      <c r="AF38" s="8"/>
      <c r="AG38" s="8"/>
      <c r="AH38" s="8"/>
      <c r="AI38" s="16"/>
    </row>
    <row r="39" spans="1:35" hidden="1" x14ac:dyDescent="0.25">
      <c r="A39" s="117"/>
      <c r="B39" s="118"/>
      <c r="C39" s="117"/>
      <c r="D39" s="118"/>
      <c r="E39" s="117"/>
      <c r="F39" s="118"/>
      <c r="G39" s="115"/>
      <c r="H39" s="116"/>
      <c r="I39" s="115"/>
      <c r="J39" s="116"/>
      <c r="K39" s="115"/>
      <c r="L39" s="116"/>
      <c r="M39" s="115"/>
      <c r="N39" s="116"/>
      <c r="O39" s="115"/>
      <c r="P39" s="116"/>
      <c r="Q39" s="115"/>
      <c r="R39" s="116"/>
      <c r="S39" s="115"/>
      <c r="T39" s="116"/>
      <c r="U39" s="115"/>
      <c r="V39" s="116"/>
      <c r="W39" s="117"/>
      <c r="X39" s="118"/>
      <c r="Y39" s="8"/>
      <c r="Z39" s="1" t="str">
        <f t="shared" si="0"/>
        <v/>
      </c>
      <c r="AB39" s="8"/>
      <c r="AC39" s="8"/>
      <c r="AD39" s="8"/>
      <c r="AE39" s="8"/>
      <c r="AF39" s="8"/>
      <c r="AG39" s="8"/>
      <c r="AH39" s="8"/>
      <c r="AI39" s="16"/>
    </row>
    <row r="40" spans="1:35" hidden="1" x14ac:dyDescent="0.25">
      <c r="A40" s="117"/>
      <c r="B40" s="118"/>
      <c r="C40" s="117"/>
      <c r="D40" s="118"/>
      <c r="E40" s="117"/>
      <c r="F40" s="118"/>
      <c r="G40" s="115"/>
      <c r="H40" s="116"/>
      <c r="I40" s="115"/>
      <c r="J40" s="116"/>
      <c r="K40" s="115"/>
      <c r="L40" s="116"/>
      <c r="M40" s="115"/>
      <c r="N40" s="116"/>
      <c r="O40" s="115"/>
      <c r="P40" s="116"/>
      <c r="Q40" s="115"/>
      <c r="R40" s="116"/>
      <c r="S40" s="115"/>
      <c r="T40" s="116"/>
      <c r="U40" s="115"/>
      <c r="V40" s="116"/>
      <c r="W40" s="117"/>
      <c r="X40" s="118"/>
      <c r="Y40" s="8"/>
      <c r="Z40" s="1" t="str">
        <f t="shared" si="0"/>
        <v/>
      </c>
      <c r="AB40" s="8"/>
      <c r="AC40" s="8"/>
      <c r="AD40" s="8"/>
      <c r="AE40" s="8"/>
      <c r="AF40" s="8"/>
      <c r="AG40" s="8"/>
      <c r="AH40" s="8"/>
      <c r="AI40" s="16"/>
    </row>
    <row r="41" spans="1:35" hidden="1" x14ac:dyDescent="0.25">
      <c r="A41" s="117"/>
      <c r="B41" s="118"/>
      <c r="C41" s="117"/>
      <c r="D41" s="118"/>
      <c r="E41" s="117"/>
      <c r="F41" s="118"/>
      <c r="G41" s="115"/>
      <c r="H41" s="116"/>
      <c r="I41" s="115"/>
      <c r="J41" s="116"/>
      <c r="K41" s="115"/>
      <c r="L41" s="116"/>
      <c r="M41" s="115"/>
      <c r="N41" s="116"/>
      <c r="O41" s="115"/>
      <c r="P41" s="116"/>
      <c r="Q41" s="115"/>
      <c r="R41" s="116"/>
      <c r="S41" s="115"/>
      <c r="T41" s="116"/>
      <c r="U41" s="115"/>
      <c r="V41" s="116"/>
      <c r="W41" s="117"/>
      <c r="X41" s="118"/>
      <c r="Y41" s="8"/>
      <c r="Z41" s="1" t="str">
        <f t="shared" si="0"/>
        <v/>
      </c>
      <c r="AB41" s="8"/>
      <c r="AC41" s="8"/>
      <c r="AD41" s="8"/>
      <c r="AE41" s="8"/>
      <c r="AF41" s="8"/>
      <c r="AG41" s="8"/>
      <c r="AH41" s="8"/>
      <c r="AI41" s="16"/>
    </row>
    <row r="42" spans="1:35" hidden="1" x14ac:dyDescent="0.25">
      <c r="A42" s="117"/>
      <c r="B42" s="118"/>
      <c r="C42" s="117"/>
      <c r="D42" s="118"/>
      <c r="E42" s="117"/>
      <c r="F42" s="118"/>
      <c r="G42" s="115"/>
      <c r="H42" s="116"/>
      <c r="I42" s="115"/>
      <c r="J42" s="116"/>
      <c r="K42" s="115"/>
      <c r="L42" s="116"/>
      <c r="M42" s="115"/>
      <c r="N42" s="116"/>
      <c r="O42" s="115"/>
      <c r="P42" s="116"/>
      <c r="Q42" s="115"/>
      <c r="R42" s="116"/>
      <c r="S42" s="115"/>
      <c r="T42" s="116"/>
      <c r="U42" s="115"/>
      <c r="V42" s="116"/>
      <c r="W42" s="117"/>
      <c r="X42" s="118"/>
      <c r="Y42" s="8"/>
      <c r="Z42" s="1" t="str">
        <f t="shared" si="0"/>
        <v/>
      </c>
      <c r="AB42" s="8"/>
      <c r="AC42" s="8"/>
      <c r="AD42" s="8"/>
      <c r="AE42" s="8"/>
      <c r="AF42" s="8"/>
      <c r="AG42" s="8"/>
      <c r="AH42" s="8"/>
      <c r="AI42" s="16"/>
    </row>
    <row r="43" spans="1:35" hidden="1" x14ac:dyDescent="0.25">
      <c r="A43" s="117"/>
      <c r="B43" s="118"/>
      <c r="C43" s="117"/>
      <c r="D43" s="118"/>
      <c r="E43" s="117"/>
      <c r="F43" s="118"/>
      <c r="G43" s="115"/>
      <c r="H43" s="116"/>
      <c r="I43" s="115"/>
      <c r="J43" s="116"/>
      <c r="K43" s="115"/>
      <c r="L43" s="116"/>
      <c r="M43" s="115"/>
      <c r="N43" s="116"/>
      <c r="O43" s="115"/>
      <c r="P43" s="116"/>
      <c r="Q43" s="115"/>
      <c r="R43" s="116"/>
      <c r="S43" s="115"/>
      <c r="T43" s="116"/>
      <c r="U43" s="115"/>
      <c r="V43" s="116"/>
      <c r="W43" s="117"/>
      <c r="X43" s="118"/>
      <c r="Y43" s="8"/>
      <c r="Z43" s="1" t="str">
        <f t="shared" si="0"/>
        <v/>
      </c>
      <c r="AB43" s="8"/>
      <c r="AC43" s="8"/>
      <c r="AD43" s="8"/>
      <c r="AE43" s="8"/>
      <c r="AF43" s="8"/>
      <c r="AG43" s="8"/>
      <c r="AH43" s="8"/>
      <c r="AI43" s="16"/>
    </row>
    <row r="44" spans="1:35" hidden="1" x14ac:dyDescent="0.25">
      <c r="A44" s="117"/>
      <c r="B44" s="118"/>
      <c r="C44" s="117"/>
      <c r="D44" s="118"/>
      <c r="E44" s="117"/>
      <c r="F44" s="118"/>
      <c r="G44" s="115"/>
      <c r="H44" s="116"/>
      <c r="I44" s="115"/>
      <c r="J44" s="116"/>
      <c r="K44" s="115"/>
      <c r="L44" s="116"/>
      <c r="M44" s="115"/>
      <c r="N44" s="116"/>
      <c r="O44" s="115"/>
      <c r="P44" s="116"/>
      <c r="Q44" s="115"/>
      <c r="R44" s="116"/>
      <c r="S44" s="115"/>
      <c r="T44" s="116"/>
      <c r="U44" s="115"/>
      <c r="V44" s="116"/>
      <c r="W44" s="117"/>
      <c r="X44" s="118"/>
      <c r="Y44" s="8"/>
      <c r="Z44" s="1" t="str">
        <f t="shared" si="0"/>
        <v/>
      </c>
      <c r="AB44" s="8"/>
      <c r="AC44" s="8"/>
      <c r="AD44" s="8"/>
      <c r="AE44" s="8"/>
      <c r="AF44" s="8"/>
      <c r="AG44" s="8"/>
      <c r="AH44" s="8"/>
      <c r="AI44" s="16"/>
    </row>
    <row r="45" spans="1:35" hidden="1" x14ac:dyDescent="0.25">
      <c r="A45" s="117"/>
      <c r="B45" s="118"/>
      <c r="C45" s="117"/>
      <c r="D45" s="118"/>
      <c r="E45" s="117"/>
      <c r="F45" s="118"/>
      <c r="G45" s="115"/>
      <c r="H45" s="116"/>
      <c r="I45" s="115"/>
      <c r="J45" s="116"/>
      <c r="K45" s="115"/>
      <c r="L45" s="116"/>
      <c r="M45" s="115"/>
      <c r="N45" s="116"/>
      <c r="O45" s="115"/>
      <c r="P45" s="116"/>
      <c r="Q45" s="115"/>
      <c r="R45" s="116"/>
      <c r="S45" s="115"/>
      <c r="T45" s="116"/>
      <c r="U45" s="115"/>
      <c r="V45" s="116"/>
      <c r="W45" s="117"/>
      <c r="X45" s="118"/>
      <c r="Y45" s="8"/>
      <c r="Z45" s="1" t="str">
        <f t="shared" si="0"/>
        <v/>
      </c>
      <c r="AB45" s="8"/>
      <c r="AC45" s="8"/>
      <c r="AD45" s="8"/>
      <c r="AE45" s="8"/>
      <c r="AF45" s="8"/>
      <c r="AG45" s="8"/>
      <c r="AH45" s="8"/>
      <c r="AI45" s="16"/>
    </row>
    <row r="46" spans="1:35" hidden="1" x14ac:dyDescent="0.25">
      <c r="A46" s="117"/>
      <c r="B46" s="118"/>
      <c r="C46" s="117"/>
      <c r="D46" s="118"/>
      <c r="E46" s="117"/>
      <c r="F46" s="118"/>
      <c r="G46" s="115"/>
      <c r="H46" s="116"/>
      <c r="I46" s="115"/>
      <c r="J46" s="116"/>
      <c r="K46" s="115"/>
      <c r="L46" s="116"/>
      <c r="M46" s="115"/>
      <c r="N46" s="116"/>
      <c r="O46" s="115"/>
      <c r="P46" s="116"/>
      <c r="Q46" s="115"/>
      <c r="R46" s="116"/>
      <c r="S46" s="115"/>
      <c r="T46" s="116"/>
      <c r="U46" s="115"/>
      <c r="V46" s="116"/>
      <c r="W46" s="117"/>
      <c r="X46" s="118"/>
      <c r="Y46" s="8"/>
      <c r="Z46" s="1" t="str">
        <f t="shared" si="0"/>
        <v/>
      </c>
      <c r="AB46" s="8"/>
      <c r="AC46" s="8"/>
      <c r="AD46" s="8"/>
      <c r="AE46" s="8"/>
      <c r="AF46" s="8"/>
      <c r="AG46" s="8"/>
      <c r="AH46" s="8"/>
      <c r="AI46" s="16"/>
    </row>
    <row r="47" spans="1:35" hidden="1" x14ac:dyDescent="0.25">
      <c r="A47" s="117"/>
      <c r="B47" s="118"/>
      <c r="C47" s="117"/>
      <c r="D47" s="118"/>
      <c r="E47" s="117"/>
      <c r="F47" s="118"/>
      <c r="G47" s="115"/>
      <c r="H47" s="116"/>
      <c r="I47" s="115"/>
      <c r="J47" s="116"/>
      <c r="K47" s="115"/>
      <c r="L47" s="116"/>
      <c r="M47" s="115"/>
      <c r="N47" s="116"/>
      <c r="O47" s="115"/>
      <c r="P47" s="116"/>
      <c r="Q47" s="115"/>
      <c r="R47" s="116"/>
      <c r="S47" s="115"/>
      <c r="T47" s="116"/>
      <c r="U47" s="115"/>
      <c r="V47" s="116"/>
      <c r="W47" s="117"/>
      <c r="X47" s="118"/>
      <c r="Y47" s="8"/>
      <c r="Z47" s="1" t="str">
        <f t="shared" si="0"/>
        <v/>
      </c>
      <c r="AB47" s="8"/>
      <c r="AC47" s="8"/>
      <c r="AD47" s="8"/>
      <c r="AE47" s="8"/>
      <c r="AF47" s="8"/>
      <c r="AG47" s="8"/>
      <c r="AH47" s="8"/>
      <c r="AI47" s="16"/>
    </row>
    <row r="48" spans="1:35" hidden="1" x14ac:dyDescent="0.25">
      <c r="A48" s="117"/>
      <c r="B48" s="118"/>
      <c r="C48" s="117"/>
      <c r="D48" s="118"/>
      <c r="E48" s="117"/>
      <c r="F48" s="118"/>
      <c r="G48" s="115"/>
      <c r="H48" s="116"/>
      <c r="I48" s="115"/>
      <c r="J48" s="116"/>
      <c r="K48" s="115"/>
      <c r="L48" s="116"/>
      <c r="M48" s="115"/>
      <c r="N48" s="116"/>
      <c r="O48" s="115"/>
      <c r="P48" s="116"/>
      <c r="Q48" s="115"/>
      <c r="R48" s="116"/>
      <c r="S48" s="115"/>
      <c r="T48" s="116"/>
      <c r="U48" s="115"/>
      <c r="V48" s="116"/>
      <c r="W48" s="117"/>
      <c r="X48" s="118"/>
      <c r="Y48" s="8"/>
      <c r="Z48" s="1" t="str">
        <f t="shared" si="0"/>
        <v/>
      </c>
      <c r="AB48" s="8"/>
      <c r="AC48" s="8"/>
      <c r="AD48" s="8"/>
      <c r="AE48" s="8"/>
      <c r="AF48" s="8"/>
      <c r="AG48" s="8"/>
      <c r="AH48" s="8"/>
      <c r="AI48" s="16"/>
    </row>
    <row r="49" spans="1:35" hidden="1" x14ac:dyDescent="0.25">
      <c r="A49" s="117"/>
      <c r="B49" s="118"/>
      <c r="C49" s="117"/>
      <c r="D49" s="118"/>
      <c r="E49" s="117"/>
      <c r="F49" s="118"/>
      <c r="G49" s="115"/>
      <c r="H49" s="116"/>
      <c r="I49" s="115"/>
      <c r="J49" s="116"/>
      <c r="K49" s="115"/>
      <c r="L49" s="116"/>
      <c r="M49" s="115"/>
      <c r="N49" s="116"/>
      <c r="O49" s="115"/>
      <c r="P49" s="116"/>
      <c r="Q49" s="115"/>
      <c r="R49" s="116"/>
      <c r="S49" s="115"/>
      <c r="T49" s="116"/>
      <c r="U49" s="115"/>
      <c r="V49" s="116"/>
      <c r="W49" s="117"/>
      <c r="X49" s="118"/>
      <c r="Y49" s="8"/>
      <c r="Z49" s="1" t="str">
        <f t="shared" si="0"/>
        <v/>
      </c>
      <c r="AB49" s="8"/>
      <c r="AC49" s="8"/>
      <c r="AD49" s="8"/>
      <c r="AE49" s="8"/>
      <c r="AF49" s="8"/>
      <c r="AG49" s="8"/>
      <c r="AH49" s="8"/>
      <c r="AI49" s="16"/>
    </row>
    <row r="50" spans="1:35" hidden="1" x14ac:dyDescent="0.25">
      <c r="A50" s="117"/>
      <c r="B50" s="118"/>
      <c r="C50" s="117"/>
      <c r="D50" s="118"/>
      <c r="E50" s="117"/>
      <c r="F50" s="118"/>
      <c r="G50" s="115"/>
      <c r="H50" s="116"/>
      <c r="I50" s="115"/>
      <c r="J50" s="116"/>
      <c r="K50" s="115"/>
      <c r="L50" s="116"/>
      <c r="M50" s="115"/>
      <c r="N50" s="116"/>
      <c r="O50" s="115"/>
      <c r="P50" s="116"/>
      <c r="Q50" s="115"/>
      <c r="R50" s="116"/>
      <c r="S50" s="115"/>
      <c r="T50" s="116"/>
      <c r="U50" s="115"/>
      <c r="V50" s="116"/>
      <c r="W50" s="117"/>
      <c r="X50" s="118"/>
      <c r="Y50" s="8"/>
      <c r="Z50" s="1" t="str">
        <f t="shared" si="0"/>
        <v/>
      </c>
      <c r="AB50" s="8"/>
      <c r="AC50" s="8"/>
      <c r="AD50" s="8"/>
      <c r="AE50" s="8"/>
      <c r="AF50" s="8"/>
      <c r="AG50" s="8"/>
      <c r="AH50" s="8"/>
      <c r="AI50" s="16"/>
    </row>
    <row r="51" spans="1:35" hidden="1" x14ac:dyDescent="0.25">
      <c r="A51" s="117"/>
      <c r="B51" s="118"/>
      <c r="C51" s="117"/>
      <c r="D51" s="118"/>
      <c r="E51" s="117"/>
      <c r="F51" s="118"/>
      <c r="G51" s="115"/>
      <c r="H51" s="116"/>
      <c r="I51" s="115"/>
      <c r="J51" s="116"/>
      <c r="K51" s="115"/>
      <c r="L51" s="116"/>
      <c r="M51" s="115"/>
      <c r="N51" s="116"/>
      <c r="O51" s="115"/>
      <c r="P51" s="116"/>
      <c r="Q51" s="115"/>
      <c r="R51" s="116"/>
      <c r="S51" s="115"/>
      <c r="T51" s="116"/>
      <c r="U51" s="115"/>
      <c r="V51" s="116"/>
      <c r="W51" s="117"/>
      <c r="X51" s="118"/>
      <c r="Z51" s="1" t="str">
        <f t="shared" si="0"/>
        <v/>
      </c>
    </row>
    <row r="52" spans="1:35" hidden="1" x14ac:dyDescent="0.25">
      <c r="A52" s="117"/>
      <c r="B52" s="118"/>
      <c r="C52" s="117"/>
      <c r="D52" s="118"/>
      <c r="E52" s="117"/>
      <c r="F52" s="118"/>
      <c r="G52" s="115"/>
      <c r="H52" s="116"/>
      <c r="I52" s="115"/>
      <c r="J52" s="116"/>
      <c r="K52" s="115"/>
      <c r="L52" s="116"/>
      <c r="M52" s="115"/>
      <c r="N52" s="116"/>
      <c r="O52" s="115"/>
      <c r="P52" s="116"/>
      <c r="Q52" s="115"/>
      <c r="R52" s="116"/>
      <c r="S52" s="115"/>
      <c r="T52" s="116"/>
      <c r="U52" s="115"/>
      <c r="V52" s="116"/>
      <c r="W52" s="117"/>
      <c r="X52" s="118"/>
      <c r="Z52" s="1" t="str">
        <f t="shared" si="0"/>
        <v/>
      </c>
    </row>
    <row r="53" spans="1:35" hidden="1" x14ac:dyDescent="0.25">
      <c r="A53" s="117"/>
      <c r="B53" s="118"/>
      <c r="C53" s="117"/>
      <c r="D53" s="118"/>
      <c r="E53" s="117"/>
      <c r="F53" s="118"/>
      <c r="G53" s="115"/>
      <c r="H53" s="116"/>
      <c r="I53" s="115"/>
      <c r="J53" s="116"/>
      <c r="K53" s="115"/>
      <c r="L53" s="116"/>
      <c r="M53" s="115"/>
      <c r="N53" s="116"/>
      <c r="O53" s="115"/>
      <c r="P53" s="116"/>
      <c r="Q53" s="115"/>
      <c r="R53" s="116"/>
      <c r="S53" s="115"/>
      <c r="T53" s="116"/>
      <c r="U53" s="115"/>
      <c r="V53" s="116"/>
      <c r="W53" s="117"/>
      <c r="X53" s="118"/>
      <c r="Z53" s="1" t="str">
        <f t="shared" si="0"/>
        <v/>
      </c>
    </row>
    <row r="54" spans="1:35" hidden="1" x14ac:dyDescent="0.25">
      <c r="A54" s="117"/>
      <c r="B54" s="118"/>
      <c r="C54" s="117"/>
      <c r="D54" s="118"/>
      <c r="E54" s="117"/>
      <c r="F54" s="118"/>
      <c r="G54" s="115"/>
      <c r="H54" s="116"/>
      <c r="I54" s="115"/>
      <c r="J54" s="116"/>
      <c r="K54" s="115"/>
      <c r="L54" s="116"/>
      <c r="M54" s="115"/>
      <c r="N54" s="116"/>
      <c r="O54" s="115"/>
      <c r="P54" s="116"/>
      <c r="Q54" s="115"/>
      <c r="R54" s="116"/>
      <c r="S54" s="115"/>
      <c r="T54" s="116"/>
      <c r="U54" s="115"/>
      <c r="V54" s="116"/>
      <c r="W54" s="117"/>
      <c r="X54" s="118"/>
      <c r="Z54" s="1" t="str">
        <f t="shared" si="0"/>
        <v/>
      </c>
    </row>
    <row r="55" spans="1:35" hidden="1" x14ac:dyDescent="0.25">
      <c r="A55" s="117"/>
      <c r="B55" s="118"/>
      <c r="C55" s="117"/>
      <c r="D55" s="118"/>
      <c r="E55" s="117"/>
      <c r="F55" s="118"/>
      <c r="G55" s="115"/>
      <c r="H55" s="116"/>
      <c r="I55" s="115"/>
      <c r="J55" s="116"/>
      <c r="K55" s="115"/>
      <c r="L55" s="116"/>
      <c r="M55" s="115"/>
      <c r="N55" s="116"/>
      <c r="O55" s="115"/>
      <c r="P55" s="116"/>
      <c r="Q55" s="115"/>
      <c r="R55" s="116"/>
      <c r="S55" s="115"/>
      <c r="T55" s="116"/>
      <c r="U55" s="115"/>
      <c r="V55" s="116"/>
      <c r="W55" s="117"/>
      <c r="X55" s="118"/>
      <c r="Z55" s="1" t="str">
        <f t="shared" si="0"/>
        <v/>
      </c>
    </row>
    <row r="56" spans="1:35" hidden="1" x14ac:dyDescent="0.25">
      <c r="A56" s="117"/>
      <c r="B56" s="118"/>
      <c r="C56" s="117"/>
      <c r="D56" s="118"/>
      <c r="E56" s="117"/>
      <c r="F56" s="118"/>
      <c r="G56" s="115"/>
      <c r="H56" s="116"/>
      <c r="I56" s="115"/>
      <c r="J56" s="116"/>
      <c r="K56" s="115"/>
      <c r="L56" s="116"/>
      <c r="M56" s="115"/>
      <c r="N56" s="116"/>
      <c r="O56" s="115"/>
      <c r="P56" s="116"/>
      <c r="Q56" s="115"/>
      <c r="R56" s="116"/>
      <c r="S56" s="115"/>
      <c r="T56" s="116"/>
      <c r="U56" s="115"/>
      <c r="V56" s="116"/>
      <c r="W56" s="117"/>
      <c r="X56" s="118"/>
      <c r="Z56" s="1" t="str">
        <f t="shared" si="0"/>
        <v/>
      </c>
    </row>
    <row r="57" spans="1:35" hidden="1" x14ac:dyDescent="0.25">
      <c r="A57" s="117"/>
      <c r="B57" s="118"/>
      <c r="C57" s="117"/>
      <c r="D57" s="118"/>
      <c r="E57" s="117"/>
      <c r="F57" s="118"/>
      <c r="G57" s="115"/>
      <c r="H57" s="116"/>
      <c r="I57" s="115"/>
      <c r="J57" s="116"/>
      <c r="K57" s="115"/>
      <c r="L57" s="116"/>
      <c r="M57" s="115"/>
      <c r="N57" s="116"/>
      <c r="O57" s="115"/>
      <c r="P57" s="116"/>
      <c r="Q57" s="115"/>
      <c r="R57" s="116"/>
      <c r="S57" s="115"/>
      <c r="T57" s="116"/>
      <c r="U57" s="115"/>
      <c r="V57" s="116"/>
      <c r="W57" s="117"/>
      <c r="X57" s="118"/>
      <c r="Z57" s="1" t="str">
        <f t="shared" si="0"/>
        <v/>
      </c>
    </row>
    <row r="58" spans="1:35" hidden="1" x14ac:dyDescent="0.25">
      <c r="A58" s="117"/>
      <c r="B58" s="118"/>
      <c r="C58" s="117"/>
      <c r="D58" s="118"/>
      <c r="E58" s="117"/>
      <c r="F58" s="118"/>
      <c r="G58" s="115"/>
      <c r="H58" s="116"/>
      <c r="I58" s="115"/>
      <c r="J58" s="116"/>
      <c r="K58" s="115"/>
      <c r="L58" s="116"/>
      <c r="M58" s="115"/>
      <c r="N58" s="116"/>
      <c r="O58" s="115"/>
      <c r="P58" s="116"/>
      <c r="Q58" s="115"/>
      <c r="R58" s="116"/>
      <c r="S58" s="115"/>
      <c r="T58" s="116"/>
      <c r="U58" s="115"/>
      <c r="V58" s="116"/>
      <c r="W58" s="117"/>
      <c r="X58" s="118"/>
      <c r="Z58" s="1" t="str">
        <f t="shared" si="0"/>
        <v/>
      </c>
    </row>
    <row r="59" spans="1:35" hidden="1" x14ac:dyDescent="0.25">
      <c r="A59" s="117"/>
      <c r="B59" s="118"/>
      <c r="C59" s="117"/>
      <c r="D59" s="118"/>
      <c r="E59" s="117"/>
      <c r="F59" s="118"/>
      <c r="G59" s="115"/>
      <c r="H59" s="116"/>
      <c r="I59" s="115"/>
      <c r="J59" s="116"/>
      <c r="K59" s="115"/>
      <c r="L59" s="116"/>
      <c r="M59" s="115"/>
      <c r="N59" s="116"/>
      <c r="O59" s="115"/>
      <c r="P59" s="116"/>
      <c r="Q59" s="115"/>
      <c r="R59" s="116"/>
      <c r="S59" s="115"/>
      <c r="T59" s="116"/>
      <c r="U59" s="115"/>
      <c r="V59" s="116"/>
      <c r="W59" s="117"/>
      <c r="X59" s="118"/>
      <c r="Z59" s="1" t="str">
        <f t="shared" si="0"/>
        <v/>
      </c>
    </row>
    <row r="60" spans="1:35" hidden="1" x14ac:dyDescent="0.25">
      <c r="A60" s="117"/>
      <c r="B60" s="118"/>
      <c r="C60" s="117"/>
      <c r="D60" s="118"/>
      <c r="E60" s="117"/>
      <c r="F60" s="118"/>
      <c r="G60" s="115"/>
      <c r="H60" s="116"/>
      <c r="I60" s="115"/>
      <c r="J60" s="116"/>
      <c r="K60" s="115"/>
      <c r="L60" s="116"/>
      <c r="M60" s="115"/>
      <c r="N60" s="116"/>
      <c r="O60" s="115"/>
      <c r="P60" s="116"/>
      <c r="Q60" s="115"/>
      <c r="R60" s="116"/>
      <c r="S60" s="115"/>
      <c r="T60" s="116"/>
      <c r="U60" s="115"/>
      <c r="V60" s="116"/>
      <c r="W60" s="117"/>
      <c r="X60" s="118"/>
      <c r="Z60" s="1" t="str">
        <f t="shared" si="0"/>
        <v/>
      </c>
    </row>
    <row r="61" spans="1:35" hidden="1" x14ac:dyDescent="0.25">
      <c r="A61" s="117"/>
      <c r="B61" s="118"/>
      <c r="C61" s="117"/>
      <c r="D61" s="118"/>
      <c r="E61" s="117"/>
      <c r="F61" s="118"/>
      <c r="G61" s="115"/>
      <c r="H61" s="116"/>
      <c r="I61" s="115"/>
      <c r="J61" s="116"/>
      <c r="K61" s="115"/>
      <c r="L61" s="116"/>
      <c r="M61" s="115"/>
      <c r="N61" s="116"/>
      <c r="O61" s="115"/>
      <c r="P61" s="116"/>
      <c r="Q61" s="115"/>
      <c r="R61" s="116"/>
      <c r="S61" s="115"/>
      <c r="T61" s="116"/>
      <c r="U61" s="115"/>
      <c r="V61" s="116"/>
      <c r="W61" s="117"/>
      <c r="X61" s="118"/>
      <c r="Z61" s="1" t="str">
        <f t="shared" si="0"/>
        <v/>
      </c>
    </row>
    <row r="62" spans="1:35" hidden="1" x14ac:dyDescent="0.25">
      <c r="A62" s="117"/>
      <c r="B62" s="118"/>
      <c r="C62" s="117"/>
      <c r="D62" s="118"/>
      <c r="E62" s="117"/>
      <c r="F62" s="118"/>
      <c r="G62" s="115"/>
      <c r="H62" s="116"/>
      <c r="I62" s="115"/>
      <c r="J62" s="116"/>
      <c r="K62" s="115"/>
      <c r="L62" s="116"/>
      <c r="M62" s="115"/>
      <c r="N62" s="116"/>
      <c r="O62" s="115"/>
      <c r="P62" s="116"/>
      <c r="Q62" s="115"/>
      <c r="R62" s="116"/>
      <c r="S62" s="115"/>
      <c r="T62" s="116"/>
      <c r="U62" s="115"/>
      <c r="V62" s="116"/>
      <c r="W62" s="117"/>
      <c r="X62" s="118"/>
      <c r="Z62" s="1" t="str">
        <f t="shared" si="0"/>
        <v/>
      </c>
    </row>
    <row r="63" spans="1:35" hidden="1" x14ac:dyDescent="0.25">
      <c r="A63" s="117"/>
      <c r="B63" s="118"/>
      <c r="C63" s="117"/>
      <c r="D63" s="118"/>
      <c r="E63" s="117"/>
      <c r="F63" s="118"/>
      <c r="G63" s="115"/>
      <c r="H63" s="116"/>
      <c r="I63" s="115"/>
      <c r="J63" s="116"/>
      <c r="K63" s="115"/>
      <c r="L63" s="116"/>
      <c r="M63" s="115"/>
      <c r="N63" s="116"/>
      <c r="O63" s="115"/>
      <c r="P63" s="116"/>
      <c r="Q63" s="115"/>
      <c r="R63" s="116"/>
      <c r="S63" s="115"/>
      <c r="T63" s="116"/>
      <c r="U63" s="115"/>
      <c r="V63" s="116"/>
      <c r="W63" s="117"/>
      <c r="X63" s="118"/>
      <c r="Z63" s="1" t="str">
        <f t="shared" si="0"/>
        <v/>
      </c>
    </row>
    <row r="64" spans="1:35" hidden="1" x14ac:dyDescent="0.25">
      <c r="A64" s="117"/>
      <c r="B64" s="118"/>
      <c r="C64" s="117"/>
      <c r="D64" s="118"/>
      <c r="E64" s="117"/>
      <c r="F64" s="118"/>
      <c r="G64" s="115"/>
      <c r="H64" s="116"/>
      <c r="I64" s="115"/>
      <c r="J64" s="116"/>
      <c r="K64" s="115"/>
      <c r="L64" s="116"/>
      <c r="M64" s="115"/>
      <c r="N64" s="116"/>
      <c r="O64" s="115"/>
      <c r="P64" s="116"/>
      <c r="Q64" s="115"/>
      <c r="R64" s="116"/>
      <c r="S64" s="115"/>
      <c r="T64" s="116"/>
      <c r="U64" s="115"/>
      <c r="V64" s="116"/>
      <c r="W64" s="117"/>
      <c r="X64" s="118"/>
      <c r="Z64" s="1" t="str">
        <f t="shared" si="0"/>
        <v/>
      </c>
    </row>
    <row r="65" spans="1:26" hidden="1" x14ac:dyDescent="0.25">
      <c r="A65" s="117"/>
      <c r="B65" s="118"/>
      <c r="C65" s="117"/>
      <c r="D65" s="118"/>
      <c r="E65" s="117"/>
      <c r="F65" s="118"/>
      <c r="G65" s="115"/>
      <c r="H65" s="116"/>
      <c r="I65" s="115"/>
      <c r="J65" s="116"/>
      <c r="K65" s="115"/>
      <c r="L65" s="116"/>
      <c r="M65" s="115"/>
      <c r="N65" s="116"/>
      <c r="O65" s="115"/>
      <c r="P65" s="116"/>
      <c r="Q65" s="115"/>
      <c r="R65" s="116"/>
      <c r="S65" s="115"/>
      <c r="T65" s="116"/>
      <c r="U65" s="115"/>
      <c r="V65" s="116"/>
      <c r="W65" s="117"/>
      <c r="X65" s="118"/>
      <c r="Z65" s="1" t="str">
        <f t="shared" si="0"/>
        <v/>
      </c>
    </row>
    <row r="66" spans="1:26" hidden="1" x14ac:dyDescent="0.25">
      <c r="A66" s="117"/>
      <c r="B66" s="118"/>
      <c r="C66" s="117"/>
      <c r="D66" s="118"/>
      <c r="E66" s="117"/>
      <c r="F66" s="118"/>
      <c r="G66" s="115"/>
      <c r="H66" s="116"/>
      <c r="I66" s="115"/>
      <c r="J66" s="116"/>
      <c r="K66" s="115"/>
      <c r="L66" s="116"/>
      <c r="M66" s="115"/>
      <c r="N66" s="116"/>
      <c r="O66" s="115"/>
      <c r="P66" s="116"/>
      <c r="Q66" s="115"/>
      <c r="R66" s="116"/>
      <c r="S66" s="115"/>
      <c r="T66" s="116"/>
      <c r="U66" s="115"/>
      <c r="V66" s="116"/>
      <c r="W66" s="117"/>
      <c r="X66" s="118"/>
      <c r="Z66" s="1" t="str">
        <f t="shared" si="0"/>
        <v/>
      </c>
    </row>
    <row r="67" spans="1:26" hidden="1" x14ac:dyDescent="0.25">
      <c r="A67" s="117"/>
      <c r="B67" s="118"/>
      <c r="C67" s="117"/>
      <c r="D67" s="118"/>
      <c r="E67" s="117"/>
      <c r="F67" s="118"/>
      <c r="G67" s="115"/>
      <c r="H67" s="116"/>
      <c r="I67" s="115"/>
      <c r="J67" s="116"/>
      <c r="K67" s="115"/>
      <c r="L67" s="116"/>
      <c r="M67" s="115"/>
      <c r="N67" s="116"/>
      <c r="O67" s="115"/>
      <c r="P67" s="116"/>
      <c r="Q67" s="115"/>
      <c r="R67" s="116"/>
      <c r="S67" s="115"/>
      <c r="T67" s="116"/>
      <c r="U67" s="115"/>
      <c r="V67" s="116"/>
      <c r="W67" s="117"/>
      <c r="X67" s="118"/>
      <c r="Z67" s="1" t="str">
        <f t="shared" si="0"/>
        <v/>
      </c>
    </row>
    <row r="68" spans="1:26" hidden="1" x14ac:dyDescent="0.25">
      <c r="A68" s="117"/>
      <c r="B68" s="118"/>
      <c r="C68" s="117"/>
      <c r="D68" s="118"/>
      <c r="E68" s="117"/>
      <c r="F68" s="118"/>
      <c r="G68" s="115"/>
      <c r="H68" s="116"/>
      <c r="I68" s="115"/>
      <c r="J68" s="116"/>
      <c r="K68" s="115"/>
      <c r="L68" s="116"/>
      <c r="M68" s="115"/>
      <c r="N68" s="116"/>
      <c r="O68" s="115"/>
      <c r="P68" s="116"/>
      <c r="Q68" s="115"/>
      <c r="R68" s="116"/>
      <c r="S68" s="115"/>
      <c r="T68" s="116"/>
      <c r="U68" s="115"/>
      <c r="V68" s="116"/>
      <c r="W68" s="117"/>
      <c r="X68" s="118"/>
      <c r="Z68" s="1" t="str">
        <f t="shared" si="0"/>
        <v/>
      </c>
    </row>
    <row r="69" spans="1:26" hidden="1" x14ac:dyDescent="0.25">
      <c r="A69" s="117"/>
      <c r="B69" s="118"/>
      <c r="C69" s="117"/>
      <c r="D69" s="118"/>
      <c r="E69" s="117"/>
      <c r="F69" s="118"/>
      <c r="G69" s="115"/>
      <c r="H69" s="116"/>
      <c r="I69" s="115"/>
      <c r="J69" s="116"/>
      <c r="K69" s="115"/>
      <c r="L69" s="116"/>
      <c r="M69" s="115"/>
      <c r="N69" s="116"/>
      <c r="O69" s="115"/>
      <c r="P69" s="116"/>
      <c r="Q69" s="115"/>
      <c r="R69" s="116"/>
      <c r="S69" s="115"/>
      <c r="T69" s="116"/>
      <c r="U69" s="115"/>
      <c r="V69" s="116"/>
      <c r="W69" s="117"/>
      <c r="X69" s="118"/>
      <c r="Z69" s="1" t="str">
        <f t="shared" si="0"/>
        <v/>
      </c>
    </row>
    <row r="70" spans="1:26" hidden="1" x14ac:dyDescent="0.25">
      <c r="A70" s="117"/>
      <c r="B70" s="118"/>
      <c r="C70" s="117"/>
      <c r="D70" s="118"/>
      <c r="E70" s="117"/>
      <c r="F70" s="118"/>
      <c r="G70" s="115"/>
      <c r="H70" s="116"/>
      <c r="I70" s="115"/>
      <c r="J70" s="116"/>
      <c r="K70" s="115"/>
      <c r="L70" s="116"/>
      <c r="M70" s="115"/>
      <c r="N70" s="116"/>
      <c r="O70" s="115"/>
      <c r="P70" s="116"/>
      <c r="Q70" s="115"/>
      <c r="R70" s="116"/>
      <c r="S70" s="115"/>
      <c r="T70" s="116"/>
      <c r="U70" s="115"/>
      <c r="V70" s="116"/>
      <c r="W70" s="117"/>
      <c r="X70" s="118"/>
      <c r="Z70" s="1" t="str">
        <f t="shared" si="0"/>
        <v/>
      </c>
    </row>
    <row r="71" spans="1:26" hidden="1" x14ac:dyDescent="0.25">
      <c r="A71" s="117"/>
      <c r="B71" s="118"/>
      <c r="C71" s="117"/>
      <c r="D71" s="118"/>
      <c r="E71" s="117"/>
      <c r="F71" s="118"/>
      <c r="G71" s="115"/>
      <c r="H71" s="116"/>
      <c r="I71" s="115"/>
      <c r="J71" s="116"/>
      <c r="K71" s="115"/>
      <c r="L71" s="116"/>
      <c r="M71" s="115"/>
      <c r="N71" s="116"/>
      <c r="O71" s="115"/>
      <c r="P71" s="116"/>
      <c r="Q71" s="115"/>
      <c r="R71" s="116"/>
      <c r="S71" s="115"/>
      <c r="T71" s="116"/>
      <c r="U71" s="115"/>
      <c r="V71" s="116"/>
      <c r="W71" s="117"/>
      <c r="X71" s="118"/>
      <c r="Z71" s="1" t="str">
        <f t="shared" ref="Z71:Z134" si="1">IF(ROW(A67)&lt;=$Z$2,ROW(A67),"")</f>
        <v/>
      </c>
    </row>
    <row r="72" spans="1:26" hidden="1" x14ac:dyDescent="0.25">
      <c r="A72" s="117"/>
      <c r="B72" s="118"/>
      <c r="C72" s="117"/>
      <c r="D72" s="118"/>
      <c r="E72" s="117"/>
      <c r="F72" s="118"/>
      <c r="G72" s="115"/>
      <c r="H72" s="116"/>
      <c r="I72" s="115"/>
      <c r="J72" s="116"/>
      <c r="K72" s="115"/>
      <c r="L72" s="116"/>
      <c r="M72" s="115"/>
      <c r="N72" s="116"/>
      <c r="O72" s="115"/>
      <c r="P72" s="116"/>
      <c r="Q72" s="115"/>
      <c r="R72" s="116"/>
      <c r="S72" s="115"/>
      <c r="T72" s="116"/>
      <c r="U72" s="115"/>
      <c r="V72" s="116"/>
      <c r="W72" s="117"/>
      <c r="X72" s="118"/>
      <c r="Z72" s="1" t="str">
        <f t="shared" si="1"/>
        <v/>
      </c>
    </row>
    <row r="73" spans="1:26" hidden="1" x14ac:dyDescent="0.25">
      <c r="A73" s="117"/>
      <c r="B73" s="118"/>
      <c r="C73" s="117"/>
      <c r="D73" s="118"/>
      <c r="E73" s="117"/>
      <c r="F73" s="118"/>
      <c r="G73" s="115"/>
      <c r="H73" s="116"/>
      <c r="I73" s="115"/>
      <c r="J73" s="116"/>
      <c r="K73" s="115"/>
      <c r="L73" s="116"/>
      <c r="M73" s="115"/>
      <c r="N73" s="116"/>
      <c r="O73" s="115"/>
      <c r="P73" s="116"/>
      <c r="Q73" s="115"/>
      <c r="R73" s="116"/>
      <c r="S73" s="115"/>
      <c r="T73" s="116"/>
      <c r="U73" s="115"/>
      <c r="V73" s="116"/>
      <c r="W73" s="117"/>
      <c r="X73" s="118"/>
      <c r="Z73" s="1" t="str">
        <f t="shared" si="1"/>
        <v/>
      </c>
    </row>
    <row r="74" spans="1:26" hidden="1" x14ac:dyDescent="0.25">
      <c r="A74" s="117"/>
      <c r="B74" s="118"/>
      <c r="C74" s="117"/>
      <c r="D74" s="118"/>
      <c r="E74" s="117"/>
      <c r="F74" s="118"/>
      <c r="G74" s="115"/>
      <c r="H74" s="116"/>
      <c r="I74" s="115"/>
      <c r="J74" s="116"/>
      <c r="K74" s="115"/>
      <c r="L74" s="116"/>
      <c r="M74" s="115"/>
      <c r="N74" s="116"/>
      <c r="O74" s="115"/>
      <c r="P74" s="116"/>
      <c r="Q74" s="115"/>
      <c r="R74" s="116"/>
      <c r="S74" s="115"/>
      <c r="T74" s="116"/>
      <c r="U74" s="115"/>
      <c r="V74" s="116"/>
      <c r="W74" s="117"/>
      <c r="X74" s="118"/>
      <c r="Z74" s="1" t="str">
        <f t="shared" si="1"/>
        <v/>
      </c>
    </row>
    <row r="75" spans="1:26" hidden="1" x14ac:dyDescent="0.25">
      <c r="A75" s="117"/>
      <c r="B75" s="118"/>
      <c r="C75" s="117"/>
      <c r="D75" s="118"/>
      <c r="E75" s="117"/>
      <c r="F75" s="118"/>
      <c r="G75" s="115"/>
      <c r="H75" s="116"/>
      <c r="I75" s="115"/>
      <c r="J75" s="116"/>
      <c r="K75" s="115"/>
      <c r="L75" s="116"/>
      <c r="M75" s="115"/>
      <c r="N75" s="116"/>
      <c r="O75" s="115"/>
      <c r="P75" s="116"/>
      <c r="Q75" s="115"/>
      <c r="R75" s="116"/>
      <c r="S75" s="115"/>
      <c r="T75" s="116"/>
      <c r="U75" s="115"/>
      <c r="V75" s="116"/>
      <c r="W75" s="117"/>
      <c r="X75" s="118"/>
      <c r="Z75" s="1" t="str">
        <f t="shared" si="1"/>
        <v/>
      </c>
    </row>
    <row r="76" spans="1:26" hidden="1" x14ac:dyDescent="0.25">
      <c r="A76" s="117"/>
      <c r="B76" s="118"/>
      <c r="C76" s="117"/>
      <c r="D76" s="118"/>
      <c r="E76" s="117"/>
      <c r="F76" s="118"/>
      <c r="G76" s="115"/>
      <c r="H76" s="116"/>
      <c r="I76" s="115"/>
      <c r="J76" s="116"/>
      <c r="K76" s="115"/>
      <c r="L76" s="116"/>
      <c r="M76" s="115"/>
      <c r="N76" s="116"/>
      <c r="O76" s="115"/>
      <c r="P76" s="116"/>
      <c r="Q76" s="115"/>
      <c r="R76" s="116"/>
      <c r="S76" s="115"/>
      <c r="T76" s="116"/>
      <c r="U76" s="115"/>
      <c r="V76" s="116"/>
      <c r="W76" s="117"/>
      <c r="X76" s="118"/>
      <c r="Z76" s="1" t="str">
        <f t="shared" si="1"/>
        <v/>
      </c>
    </row>
    <row r="77" spans="1:26" hidden="1" x14ac:dyDescent="0.25">
      <c r="A77" s="117"/>
      <c r="B77" s="118"/>
      <c r="C77" s="117"/>
      <c r="D77" s="118"/>
      <c r="E77" s="117"/>
      <c r="F77" s="118"/>
      <c r="G77" s="115"/>
      <c r="H77" s="116"/>
      <c r="I77" s="115"/>
      <c r="J77" s="116"/>
      <c r="K77" s="115"/>
      <c r="L77" s="116"/>
      <c r="M77" s="115"/>
      <c r="N77" s="116"/>
      <c r="O77" s="115"/>
      <c r="P77" s="116"/>
      <c r="Q77" s="115"/>
      <c r="R77" s="116"/>
      <c r="S77" s="115"/>
      <c r="T77" s="116"/>
      <c r="U77" s="115"/>
      <c r="V77" s="116"/>
      <c r="W77" s="117"/>
      <c r="X77" s="118"/>
      <c r="Z77" s="1" t="str">
        <f t="shared" si="1"/>
        <v/>
      </c>
    </row>
    <row r="78" spans="1:26" hidden="1" x14ac:dyDescent="0.25">
      <c r="A78" s="117"/>
      <c r="B78" s="118"/>
      <c r="C78" s="117"/>
      <c r="D78" s="118"/>
      <c r="E78" s="117"/>
      <c r="F78" s="118"/>
      <c r="G78" s="115"/>
      <c r="H78" s="116"/>
      <c r="I78" s="115"/>
      <c r="J78" s="116"/>
      <c r="K78" s="115"/>
      <c r="L78" s="116"/>
      <c r="M78" s="115"/>
      <c r="N78" s="116"/>
      <c r="O78" s="115"/>
      <c r="P78" s="116"/>
      <c r="Q78" s="115"/>
      <c r="R78" s="116"/>
      <c r="S78" s="115"/>
      <c r="T78" s="116"/>
      <c r="U78" s="115"/>
      <c r="V78" s="116"/>
      <c r="W78" s="117"/>
      <c r="X78" s="118"/>
      <c r="Z78" s="1" t="str">
        <f t="shared" si="1"/>
        <v/>
      </c>
    </row>
    <row r="79" spans="1:26" hidden="1" x14ac:dyDescent="0.25">
      <c r="A79" s="117"/>
      <c r="B79" s="118"/>
      <c r="C79" s="117"/>
      <c r="D79" s="118"/>
      <c r="E79" s="117"/>
      <c r="F79" s="118"/>
      <c r="G79" s="115"/>
      <c r="H79" s="116"/>
      <c r="I79" s="115"/>
      <c r="J79" s="116"/>
      <c r="K79" s="115"/>
      <c r="L79" s="116"/>
      <c r="M79" s="115"/>
      <c r="N79" s="116"/>
      <c r="O79" s="115"/>
      <c r="P79" s="116"/>
      <c r="Q79" s="115"/>
      <c r="R79" s="116"/>
      <c r="S79" s="115"/>
      <c r="T79" s="116"/>
      <c r="U79" s="115"/>
      <c r="V79" s="116"/>
      <c r="W79" s="117"/>
      <c r="X79" s="118"/>
      <c r="Z79" s="1" t="str">
        <f t="shared" si="1"/>
        <v/>
      </c>
    </row>
    <row r="80" spans="1:26" hidden="1" x14ac:dyDescent="0.25">
      <c r="A80" s="117"/>
      <c r="B80" s="118"/>
      <c r="C80" s="117"/>
      <c r="D80" s="118"/>
      <c r="E80" s="117"/>
      <c r="F80" s="118"/>
      <c r="G80" s="115"/>
      <c r="H80" s="116"/>
      <c r="I80" s="115"/>
      <c r="J80" s="116"/>
      <c r="K80" s="115"/>
      <c r="L80" s="116"/>
      <c r="M80" s="115"/>
      <c r="N80" s="116"/>
      <c r="O80" s="115"/>
      <c r="P80" s="116"/>
      <c r="Q80" s="115"/>
      <c r="R80" s="116"/>
      <c r="S80" s="115"/>
      <c r="T80" s="116"/>
      <c r="U80" s="115"/>
      <c r="V80" s="116"/>
      <c r="W80" s="117"/>
      <c r="X80" s="118"/>
      <c r="Z80" s="1" t="str">
        <f t="shared" si="1"/>
        <v/>
      </c>
    </row>
    <row r="81" spans="1:26" hidden="1" x14ac:dyDescent="0.25">
      <c r="A81" s="117"/>
      <c r="B81" s="118"/>
      <c r="C81" s="117"/>
      <c r="D81" s="118"/>
      <c r="E81" s="117"/>
      <c r="F81" s="118"/>
      <c r="G81" s="115"/>
      <c r="H81" s="116"/>
      <c r="I81" s="115"/>
      <c r="J81" s="116"/>
      <c r="K81" s="115"/>
      <c r="L81" s="116"/>
      <c r="M81" s="115"/>
      <c r="N81" s="116"/>
      <c r="O81" s="115"/>
      <c r="P81" s="116"/>
      <c r="Q81" s="115"/>
      <c r="R81" s="116"/>
      <c r="S81" s="115"/>
      <c r="T81" s="116"/>
      <c r="U81" s="115"/>
      <c r="V81" s="116"/>
      <c r="W81" s="117"/>
      <c r="X81" s="118"/>
      <c r="Z81" s="1" t="str">
        <f t="shared" si="1"/>
        <v/>
      </c>
    </row>
    <row r="82" spans="1:26" hidden="1" x14ac:dyDescent="0.25">
      <c r="A82" s="117"/>
      <c r="B82" s="118"/>
      <c r="C82" s="117"/>
      <c r="D82" s="118"/>
      <c r="E82" s="117"/>
      <c r="F82" s="118"/>
      <c r="G82" s="115"/>
      <c r="H82" s="116"/>
      <c r="I82" s="115"/>
      <c r="J82" s="116"/>
      <c r="K82" s="115"/>
      <c r="L82" s="116"/>
      <c r="M82" s="115"/>
      <c r="N82" s="116"/>
      <c r="O82" s="115"/>
      <c r="P82" s="116"/>
      <c r="Q82" s="115"/>
      <c r="R82" s="116"/>
      <c r="S82" s="115"/>
      <c r="T82" s="116"/>
      <c r="U82" s="115"/>
      <c r="V82" s="116"/>
      <c r="W82" s="117"/>
      <c r="X82" s="118"/>
      <c r="Z82" s="1" t="str">
        <f t="shared" si="1"/>
        <v/>
      </c>
    </row>
    <row r="83" spans="1:26" hidden="1" x14ac:dyDescent="0.25">
      <c r="A83" s="117"/>
      <c r="B83" s="118"/>
      <c r="C83" s="117"/>
      <c r="D83" s="118"/>
      <c r="E83" s="117"/>
      <c r="F83" s="118"/>
      <c r="G83" s="115"/>
      <c r="H83" s="116"/>
      <c r="I83" s="115"/>
      <c r="J83" s="116"/>
      <c r="K83" s="115"/>
      <c r="L83" s="116"/>
      <c r="M83" s="115"/>
      <c r="N83" s="116"/>
      <c r="O83" s="115"/>
      <c r="P83" s="116"/>
      <c r="Q83" s="115"/>
      <c r="R83" s="116"/>
      <c r="S83" s="115"/>
      <c r="T83" s="116"/>
      <c r="U83" s="115"/>
      <c r="V83" s="116"/>
      <c r="W83" s="117"/>
      <c r="X83" s="118"/>
      <c r="Z83" s="1" t="str">
        <f t="shared" si="1"/>
        <v/>
      </c>
    </row>
    <row r="84" spans="1:26" hidden="1" x14ac:dyDescent="0.25">
      <c r="A84" s="117"/>
      <c r="B84" s="118"/>
      <c r="C84" s="117"/>
      <c r="D84" s="118"/>
      <c r="E84" s="117"/>
      <c r="F84" s="118"/>
      <c r="G84" s="115"/>
      <c r="H84" s="116"/>
      <c r="I84" s="115"/>
      <c r="J84" s="116"/>
      <c r="K84" s="115"/>
      <c r="L84" s="116"/>
      <c r="M84" s="115"/>
      <c r="N84" s="116"/>
      <c r="O84" s="115"/>
      <c r="P84" s="116"/>
      <c r="Q84" s="115"/>
      <c r="R84" s="116"/>
      <c r="S84" s="115"/>
      <c r="T84" s="116"/>
      <c r="U84" s="115"/>
      <c r="V84" s="116"/>
      <c r="W84" s="117"/>
      <c r="X84" s="118"/>
      <c r="Z84" s="1" t="str">
        <f t="shared" si="1"/>
        <v/>
      </c>
    </row>
    <row r="85" spans="1:26" hidden="1" x14ac:dyDescent="0.25">
      <c r="A85" s="117"/>
      <c r="B85" s="118"/>
      <c r="C85" s="117"/>
      <c r="D85" s="118"/>
      <c r="E85" s="117"/>
      <c r="F85" s="118"/>
      <c r="G85" s="115"/>
      <c r="H85" s="116"/>
      <c r="I85" s="115"/>
      <c r="J85" s="116"/>
      <c r="K85" s="115"/>
      <c r="L85" s="116"/>
      <c r="M85" s="115"/>
      <c r="N85" s="116"/>
      <c r="O85" s="115"/>
      <c r="P85" s="116"/>
      <c r="Q85" s="115"/>
      <c r="R85" s="116"/>
      <c r="S85" s="115"/>
      <c r="T85" s="116"/>
      <c r="U85" s="115"/>
      <c r="V85" s="116"/>
      <c r="W85" s="117"/>
      <c r="X85" s="118"/>
      <c r="Z85" s="1" t="str">
        <f t="shared" si="1"/>
        <v/>
      </c>
    </row>
    <row r="86" spans="1:26" hidden="1" x14ac:dyDescent="0.25">
      <c r="A86" s="117"/>
      <c r="B86" s="118"/>
      <c r="C86" s="117"/>
      <c r="D86" s="118"/>
      <c r="E86" s="117"/>
      <c r="F86" s="118"/>
      <c r="G86" s="115"/>
      <c r="H86" s="116"/>
      <c r="I86" s="115"/>
      <c r="J86" s="116"/>
      <c r="K86" s="115"/>
      <c r="L86" s="116"/>
      <c r="M86" s="115"/>
      <c r="N86" s="116"/>
      <c r="O86" s="115"/>
      <c r="P86" s="116"/>
      <c r="Q86" s="115"/>
      <c r="R86" s="116"/>
      <c r="S86" s="115"/>
      <c r="T86" s="116"/>
      <c r="U86" s="115"/>
      <c r="V86" s="116"/>
      <c r="W86" s="117"/>
      <c r="X86" s="118"/>
      <c r="Z86" s="1" t="str">
        <f t="shared" si="1"/>
        <v/>
      </c>
    </row>
    <row r="87" spans="1:26" hidden="1" x14ac:dyDescent="0.25">
      <c r="A87" s="117"/>
      <c r="B87" s="118"/>
      <c r="C87" s="117"/>
      <c r="D87" s="118"/>
      <c r="E87" s="117"/>
      <c r="F87" s="118"/>
      <c r="G87" s="115"/>
      <c r="H87" s="116"/>
      <c r="I87" s="115"/>
      <c r="J87" s="116"/>
      <c r="K87" s="115"/>
      <c r="L87" s="116"/>
      <c r="M87" s="115"/>
      <c r="N87" s="116"/>
      <c r="O87" s="115"/>
      <c r="P87" s="116"/>
      <c r="Q87" s="115"/>
      <c r="R87" s="116"/>
      <c r="S87" s="115"/>
      <c r="T87" s="116"/>
      <c r="U87" s="115"/>
      <c r="V87" s="116"/>
      <c r="W87" s="117"/>
      <c r="X87" s="118"/>
      <c r="Z87" s="1" t="str">
        <f t="shared" si="1"/>
        <v/>
      </c>
    </row>
    <row r="88" spans="1:26" hidden="1" x14ac:dyDescent="0.25">
      <c r="A88" s="117"/>
      <c r="B88" s="118"/>
      <c r="C88" s="117"/>
      <c r="D88" s="118"/>
      <c r="E88" s="117"/>
      <c r="F88" s="118"/>
      <c r="G88" s="115"/>
      <c r="H88" s="116"/>
      <c r="I88" s="115"/>
      <c r="J88" s="116"/>
      <c r="K88" s="115"/>
      <c r="L88" s="116"/>
      <c r="M88" s="115"/>
      <c r="N88" s="116"/>
      <c r="O88" s="115"/>
      <c r="P88" s="116"/>
      <c r="Q88" s="115"/>
      <c r="R88" s="116"/>
      <c r="S88" s="115"/>
      <c r="T88" s="116"/>
      <c r="U88" s="115"/>
      <c r="V88" s="116"/>
      <c r="W88" s="117"/>
      <c r="X88" s="118"/>
      <c r="Z88" s="1" t="str">
        <f t="shared" si="1"/>
        <v/>
      </c>
    </row>
    <row r="89" spans="1:26" hidden="1" x14ac:dyDescent="0.25">
      <c r="A89" s="117"/>
      <c r="B89" s="118"/>
      <c r="C89" s="117"/>
      <c r="D89" s="118"/>
      <c r="E89" s="117"/>
      <c r="F89" s="118"/>
      <c r="G89" s="115"/>
      <c r="H89" s="116"/>
      <c r="I89" s="115"/>
      <c r="J89" s="116"/>
      <c r="K89" s="115"/>
      <c r="L89" s="116"/>
      <c r="M89" s="115"/>
      <c r="N89" s="116"/>
      <c r="O89" s="115"/>
      <c r="P89" s="116"/>
      <c r="Q89" s="115"/>
      <c r="R89" s="116"/>
      <c r="S89" s="115"/>
      <c r="T89" s="116"/>
      <c r="U89" s="115"/>
      <c r="V89" s="116"/>
      <c r="W89" s="117"/>
      <c r="X89" s="118"/>
      <c r="Z89" s="1" t="str">
        <f t="shared" si="1"/>
        <v/>
      </c>
    </row>
    <row r="90" spans="1:26" hidden="1" x14ac:dyDescent="0.25">
      <c r="A90" s="117"/>
      <c r="B90" s="118"/>
      <c r="C90" s="117"/>
      <c r="D90" s="118"/>
      <c r="E90" s="117"/>
      <c r="F90" s="118"/>
      <c r="G90" s="115"/>
      <c r="H90" s="116"/>
      <c r="I90" s="115"/>
      <c r="J90" s="116"/>
      <c r="K90" s="115"/>
      <c r="L90" s="116"/>
      <c r="M90" s="115"/>
      <c r="N90" s="116"/>
      <c r="O90" s="115"/>
      <c r="P90" s="116"/>
      <c r="Q90" s="115"/>
      <c r="R90" s="116"/>
      <c r="S90" s="115"/>
      <c r="T90" s="116"/>
      <c r="U90" s="115"/>
      <c r="V90" s="116"/>
      <c r="W90" s="117"/>
      <c r="X90" s="118"/>
      <c r="Z90" s="1" t="str">
        <f t="shared" si="1"/>
        <v/>
      </c>
    </row>
    <row r="91" spans="1:26" hidden="1" x14ac:dyDescent="0.25">
      <c r="A91" s="117"/>
      <c r="B91" s="118"/>
      <c r="C91" s="117"/>
      <c r="D91" s="118"/>
      <c r="E91" s="117"/>
      <c r="F91" s="118"/>
      <c r="G91" s="115"/>
      <c r="H91" s="116"/>
      <c r="I91" s="115"/>
      <c r="J91" s="116"/>
      <c r="K91" s="115"/>
      <c r="L91" s="116"/>
      <c r="M91" s="115"/>
      <c r="N91" s="116"/>
      <c r="O91" s="115"/>
      <c r="P91" s="116"/>
      <c r="Q91" s="115"/>
      <c r="R91" s="116"/>
      <c r="S91" s="115"/>
      <c r="T91" s="116"/>
      <c r="U91" s="115"/>
      <c r="V91" s="116"/>
      <c r="W91" s="117"/>
      <c r="X91" s="118"/>
      <c r="Z91" s="1" t="str">
        <f t="shared" si="1"/>
        <v/>
      </c>
    </row>
    <row r="92" spans="1:26" hidden="1" x14ac:dyDescent="0.25">
      <c r="A92" s="117"/>
      <c r="B92" s="118"/>
      <c r="C92" s="117"/>
      <c r="D92" s="118"/>
      <c r="E92" s="117"/>
      <c r="F92" s="118"/>
      <c r="G92" s="115"/>
      <c r="H92" s="116"/>
      <c r="I92" s="115"/>
      <c r="J92" s="116"/>
      <c r="K92" s="115"/>
      <c r="L92" s="116"/>
      <c r="M92" s="115"/>
      <c r="N92" s="116"/>
      <c r="O92" s="115"/>
      <c r="P92" s="116"/>
      <c r="Q92" s="115"/>
      <c r="R92" s="116"/>
      <c r="S92" s="115"/>
      <c r="T92" s="116"/>
      <c r="U92" s="115"/>
      <c r="V92" s="116"/>
      <c r="W92" s="117"/>
      <c r="X92" s="118"/>
      <c r="Z92" s="1" t="str">
        <f t="shared" si="1"/>
        <v/>
      </c>
    </row>
    <row r="93" spans="1:26" hidden="1" x14ac:dyDescent="0.25">
      <c r="A93" s="117"/>
      <c r="B93" s="118"/>
      <c r="C93" s="117"/>
      <c r="D93" s="118"/>
      <c r="E93" s="117"/>
      <c r="F93" s="118"/>
      <c r="G93" s="115"/>
      <c r="H93" s="116"/>
      <c r="I93" s="115"/>
      <c r="J93" s="116"/>
      <c r="K93" s="115"/>
      <c r="L93" s="116"/>
      <c r="M93" s="115"/>
      <c r="N93" s="116"/>
      <c r="O93" s="115"/>
      <c r="P93" s="116"/>
      <c r="Q93" s="115"/>
      <c r="R93" s="116"/>
      <c r="S93" s="115"/>
      <c r="T93" s="116"/>
      <c r="U93" s="115"/>
      <c r="V93" s="116"/>
      <c r="W93" s="117"/>
      <c r="X93" s="118"/>
      <c r="Z93" s="1" t="str">
        <f t="shared" si="1"/>
        <v/>
      </c>
    </row>
    <row r="94" spans="1:26" hidden="1" x14ac:dyDescent="0.25">
      <c r="A94" s="117"/>
      <c r="B94" s="118"/>
      <c r="C94" s="117"/>
      <c r="D94" s="118"/>
      <c r="E94" s="117"/>
      <c r="F94" s="118"/>
      <c r="G94" s="115"/>
      <c r="H94" s="116"/>
      <c r="I94" s="115"/>
      <c r="J94" s="116"/>
      <c r="K94" s="115"/>
      <c r="L94" s="116"/>
      <c r="M94" s="115"/>
      <c r="N94" s="116"/>
      <c r="O94" s="115"/>
      <c r="P94" s="116"/>
      <c r="Q94" s="115"/>
      <c r="R94" s="116"/>
      <c r="S94" s="115"/>
      <c r="T94" s="116"/>
      <c r="U94" s="115"/>
      <c r="V94" s="116"/>
      <c r="W94" s="117"/>
      <c r="X94" s="118"/>
      <c r="Z94" s="1" t="str">
        <f t="shared" si="1"/>
        <v/>
      </c>
    </row>
    <row r="95" spans="1:26" hidden="1" x14ac:dyDescent="0.25">
      <c r="A95" s="117"/>
      <c r="B95" s="118"/>
      <c r="C95" s="117"/>
      <c r="D95" s="118"/>
      <c r="E95" s="117"/>
      <c r="F95" s="118"/>
      <c r="G95" s="115"/>
      <c r="H95" s="116"/>
      <c r="I95" s="115"/>
      <c r="J95" s="116"/>
      <c r="K95" s="115"/>
      <c r="L95" s="116"/>
      <c r="M95" s="115"/>
      <c r="N95" s="116"/>
      <c r="O95" s="115"/>
      <c r="P95" s="116"/>
      <c r="Q95" s="115"/>
      <c r="R95" s="116"/>
      <c r="S95" s="115"/>
      <c r="T95" s="116"/>
      <c r="U95" s="115"/>
      <c r="V95" s="116"/>
      <c r="W95" s="117"/>
      <c r="X95" s="118"/>
      <c r="Z95" s="1" t="str">
        <f t="shared" si="1"/>
        <v/>
      </c>
    </row>
    <row r="96" spans="1:26" hidden="1" x14ac:dyDescent="0.25">
      <c r="A96" s="117"/>
      <c r="B96" s="118"/>
      <c r="C96" s="117"/>
      <c r="D96" s="118"/>
      <c r="E96" s="117"/>
      <c r="F96" s="118"/>
      <c r="G96" s="115"/>
      <c r="H96" s="116"/>
      <c r="I96" s="115"/>
      <c r="J96" s="116"/>
      <c r="K96" s="115"/>
      <c r="L96" s="116"/>
      <c r="M96" s="115"/>
      <c r="N96" s="116"/>
      <c r="O96" s="115"/>
      <c r="P96" s="116"/>
      <c r="Q96" s="115"/>
      <c r="R96" s="116"/>
      <c r="S96" s="115"/>
      <c r="T96" s="116"/>
      <c r="U96" s="115"/>
      <c r="V96" s="116"/>
      <c r="W96" s="117"/>
      <c r="X96" s="118"/>
      <c r="Z96" s="1" t="str">
        <f t="shared" si="1"/>
        <v/>
      </c>
    </row>
    <row r="97" spans="1:26" hidden="1" x14ac:dyDescent="0.25">
      <c r="A97" s="117"/>
      <c r="B97" s="118"/>
      <c r="C97" s="117"/>
      <c r="D97" s="118"/>
      <c r="E97" s="117"/>
      <c r="F97" s="118"/>
      <c r="G97" s="115"/>
      <c r="H97" s="116"/>
      <c r="I97" s="115"/>
      <c r="J97" s="116"/>
      <c r="K97" s="115"/>
      <c r="L97" s="116"/>
      <c r="M97" s="115"/>
      <c r="N97" s="116"/>
      <c r="O97" s="115"/>
      <c r="P97" s="116"/>
      <c r="Q97" s="115"/>
      <c r="R97" s="116"/>
      <c r="S97" s="115"/>
      <c r="T97" s="116"/>
      <c r="U97" s="115"/>
      <c r="V97" s="116"/>
      <c r="W97" s="117"/>
      <c r="X97" s="118"/>
      <c r="Z97" s="1" t="str">
        <f t="shared" si="1"/>
        <v/>
      </c>
    </row>
    <row r="98" spans="1:26" hidden="1" x14ac:dyDescent="0.25">
      <c r="A98" s="117"/>
      <c r="B98" s="118"/>
      <c r="C98" s="117"/>
      <c r="D98" s="118"/>
      <c r="E98" s="117"/>
      <c r="F98" s="118"/>
      <c r="G98" s="115"/>
      <c r="H98" s="116"/>
      <c r="I98" s="115"/>
      <c r="J98" s="116"/>
      <c r="K98" s="115"/>
      <c r="L98" s="116"/>
      <c r="M98" s="115"/>
      <c r="N98" s="116"/>
      <c r="O98" s="115"/>
      <c r="P98" s="116"/>
      <c r="Q98" s="115"/>
      <c r="R98" s="116"/>
      <c r="S98" s="115"/>
      <c r="T98" s="116"/>
      <c r="U98" s="115"/>
      <c r="V98" s="116"/>
      <c r="W98" s="117"/>
      <c r="X98" s="118"/>
      <c r="Z98" s="1" t="str">
        <f t="shared" si="1"/>
        <v/>
      </c>
    </row>
    <row r="99" spans="1:26" hidden="1" x14ac:dyDescent="0.25">
      <c r="A99" s="117"/>
      <c r="B99" s="118"/>
      <c r="C99" s="117"/>
      <c r="D99" s="118"/>
      <c r="E99" s="117"/>
      <c r="F99" s="118"/>
      <c r="G99" s="115"/>
      <c r="H99" s="116"/>
      <c r="I99" s="115"/>
      <c r="J99" s="116"/>
      <c r="K99" s="115"/>
      <c r="L99" s="116"/>
      <c r="M99" s="115"/>
      <c r="N99" s="116"/>
      <c r="O99" s="115"/>
      <c r="P99" s="116"/>
      <c r="Q99" s="115"/>
      <c r="R99" s="116"/>
      <c r="S99" s="115"/>
      <c r="T99" s="116"/>
      <c r="U99" s="115"/>
      <c r="V99" s="116"/>
      <c r="W99" s="117"/>
      <c r="X99" s="118"/>
      <c r="Z99" s="1" t="str">
        <f t="shared" si="1"/>
        <v/>
      </c>
    </row>
    <row r="100" spans="1:26" hidden="1" x14ac:dyDescent="0.25">
      <c r="A100" s="117"/>
      <c r="B100" s="118"/>
      <c r="C100" s="117"/>
      <c r="D100" s="118"/>
      <c r="E100" s="117"/>
      <c r="F100" s="118"/>
      <c r="G100" s="115"/>
      <c r="H100" s="116"/>
      <c r="I100" s="115"/>
      <c r="J100" s="116"/>
      <c r="K100" s="115"/>
      <c r="L100" s="116"/>
      <c r="M100" s="115"/>
      <c r="N100" s="116"/>
      <c r="O100" s="115"/>
      <c r="P100" s="116"/>
      <c r="Q100" s="115"/>
      <c r="R100" s="116"/>
      <c r="S100" s="115"/>
      <c r="T100" s="116"/>
      <c r="U100" s="115"/>
      <c r="V100" s="116"/>
      <c r="W100" s="117"/>
      <c r="X100" s="118"/>
      <c r="Z100" s="1" t="str">
        <f t="shared" si="1"/>
        <v/>
      </c>
    </row>
    <row r="101" spans="1:26" hidden="1" x14ac:dyDescent="0.25">
      <c r="A101" s="117"/>
      <c r="B101" s="118"/>
      <c r="C101" s="117"/>
      <c r="D101" s="118"/>
      <c r="E101" s="117"/>
      <c r="F101" s="118"/>
      <c r="G101" s="115"/>
      <c r="H101" s="116"/>
      <c r="I101" s="115"/>
      <c r="J101" s="116"/>
      <c r="K101" s="115"/>
      <c r="L101" s="116"/>
      <c r="M101" s="115"/>
      <c r="N101" s="116"/>
      <c r="O101" s="115"/>
      <c r="P101" s="116"/>
      <c r="Q101" s="115"/>
      <c r="R101" s="116"/>
      <c r="S101" s="115"/>
      <c r="T101" s="116"/>
      <c r="U101" s="115"/>
      <c r="V101" s="116"/>
      <c r="W101" s="117"/>
      <c r="X101" s="118"/>
      <c r="Z101" s="1" t="str">
        <f t="shared" si="1"/>
        <v/>
      </c>
    </row>
    <row r="102" spans="1:26" hidden="1" x14ac:dyDescent="0.25">
      <c r="A102" s="117"/>
      <c r="B102" s="118"/>
      <c r="C102" s="117"/>
      <c r="D102" s="118"/>
      <c r="E102" s="117"/>
      <c r="F102" s="118"/>
      <c r="G102" s="115"/>
      <c r="H102" s="116"/>
      <c r="I102" s="115"/>
      <c r="J102" s="116"/>
      <c r="K102" s="115"/>
      <c r="L102" s="116"/>
      <c r="M102" s="115"/>
      <c r="N102" s="116"/>
      <c r="O102" s="115"/>
      <c r="P102" s="116"/>
      <c r="Q102" s="115"/>
      <c r="R102" s="116"/>
      <c r="S102" s="115"/>
      <c r="T102" s="116"/>
      <c r="U102" s="115"/>
      <c r="V102" s="116"/>
      <c r="W102" s="117"/>
      <c r="X102" s="118"/>
      <c r="Z102" s="1" t="str">
        <f t="shared" si="1"/>
        <v/>
      </c>
    </row>
    <row r="103" spans="1:26" hidden="1" x14ac:dyDescent="0.25">
      <c r="A103" s="117"/>
      <c r="B103" s="118"/>
      <c r="C103" s="117"/>
      <c r="D103" s="118"/>
      <c r="E103" s="117"/>
      <c r="F103" s="118"/>
      <c r="G103" s="115"/>
      <c r="H103" s="116"/>
      <c r="I103" s="115"/>
      <c r="J103" s="116"/>
      <c r="K103" s="115"/>
      <c r="L103" s="116"/>
      <c r="M103" s="115"/>
      <c r="N103" s="116"/>
      <c r="O103" s="115"/>
      <c r="P103" s="116"/>
      <c r="Q103" s="115"/>
      <c r="R103" s="116"/>
      <c r="S103" s="115"/>
      <c r="T103" s="116"/>
      <c r="U103" s="115"/>
      <c r="V103" s="116"/>
      <c r="W103" s="117"/>
      <c r="X103" s="118"/>
      <c r="Z103" s="1" t="str">
        <f t="shared" si="1"/>
        <v/>
      </c>
    </row>
    <row r="104" spans="1:26" hidden="1" x14ac:dyDescent="0.25">
      <c r="A104" s="117"/>
      <c r="B104" s="118"/>
      <c r="C104" s="117"/>
      <c r="D104" s="118"/>
      <c r="E104" s="117"/>
      <c r="F104" s="118"/>
      <c r="G104" s="115"/>
      <c r="H104" s="116"/>
      <c r="I104" s="115"/>
      <c r="J104" s="116"/>
      <c r="K104" s="115"/>
      <c r="L104" s="116"/>
      <c r="M104" s="115"/>
      <c r="N104" s="116"/>
      <c r="O104" s="115"/>
      <c r="P104" s="116"/>
      <c r="Q104" s="115"/>
      <c r="R104" s="116"/>
      <c r="S104" s="115"/>
      <c r="T104" s="116"/>
      <c r="U104" s="115"/>
      <c r="V104" s="116"/>
      <c r="W104" s="117"/>
      <c r="X104" s="118"/>
      <c r="Z104" s="1" t="str">
        <f t="shared" si="1"/>
        <v/>
      </c>
    </row>
    <row r="105" spans="1:26" hidden="1" x14ac:dyDescent="0.25">
      <c r="A105" s="117"/>
      <c r="B105" s="118"/>
      <c r="C105" s="117"/>
      <c r="D105" s="118"/>
      <c r="E105" s="117"/>
      <c r="F105" s="118"/>
      <c r="G105" s="115"/>
      <c r="H105" s="116"/>
      <c r="I105" s="115"/>
      <c r="J105" s="116"/>
      <c r="K105" s="115"/>
      <c r="L105" s="116"/>
      <c r="M105" s="115"/>
      <c r="N105" s="116"/>
      <c r="O105" s="115"/>
      <c r="P105" s="116"/>
      <c r="Q105" s="115"/>
      <c r="R105" s="116"/>
      <c r="S105" s="115"/>
      <c r="T105" s="116"/>
      <c r="U105" s="115"/>
      <c r="V105" s="116"/>
      <c r="W105" s="117"/>
      <c r="X105" s="118"/>
      <c r="Z105" s="1" t="str">
        <f t="shared" si="1"/>
        <v/>
      </c>
    </row>
    <row r="106" spans="1:26" hidden="1" x14ac:dyDescent="0.25">
      <c r="A106" s="117"/>
      <c r="B106" s="118"/>
      <c r="C106" s="117"/>
      <c r="D106" s="118"/>
      <c r="E106" s="117"/>
      <c r="F106" s="118"/>
      <c r="G106" s="115"/>
      <c r="H106" s="116"/>
      <c r="I106" s="115"/>
      <c r="J106" s="116"/>
      <c r="K106" s="115"/>
      <c r="L106" s="116"/>
      <c r="M106" s="115"/>
      <c r="N106" s="116"/>
      <c r="O106" s="115"/>
      <c r="P106" s="116"/>
      <c r="Q106" s="115"/>
      <c r="R106" s="116"/>
      <c r="S106" s="115"/>
      <c r="T106" s="116"/>
      <c r="U106" s="115"/>
      <c r="V106" s="116"/>
      <c r="W106" s="117"/>
      <c r="X106" s="118"/>
      <c r="Z106" s="1" t="str">
        <f t="shared" si="1"/>
        <v/>
      </c>
    </row>
    <row r="107" spans="1:26" hidden="1" x14ac:dyDescent="0.25">
      <c r="A107" s="117"/>
      <c r="B107" s="118"/>
      <c r="C107" s="117"/>
      <c r="D107" s="118"/>
      <c r="E107" s="117"/>
      <c r="F107" s="118"/>
      <c r="G107" s="115"/>
      <c r="H107" s="116"/>
      <c r="I107" s="115"/>
      <c r="J107" s="116"/>
      <c r="K107" s="115"/>
      <c r="L107" s="116"/>
      <c r="M107" s="115"/>
      <c r="N107" s="116"/>
      <c r="O107" s="115"/>
      <c r="P107" s="116"/>
      <c r="Q107" s="115"/>
      <c r="R107" s="116"/>
      <c r="S107" s="115"/>
      <c r="T107" s="116"/>
      <c r="U107" s="115"/>
      <c r="V107" s="116"/>
      <c r="W107" s="117"/>
      <c r="X107" s="118"/>
      <c r="Z107" s="1" t="str">
        <f t="shared" si="1"/>
        <v/>
      </c>
    </row>
    <row r="108" spans="1:26" hidden="1" x14ac:dyDescent="0.25">
      <c r="A108" s="117"/>
      <c r="B108" s="118"/>
      <c r="C108" s="117"/>
      <c r="D108" s="118"/>
      <c r="E108" s="117"/>
      <c r="F108" s="118"/>
      <c r="G108" s="115"/>
      <c r="H108" s="116"/>
      <c r="I108" s="115"/>
      <c r="J108" s="116"/>
      <c r="K108" s="115"/>
      <c r="L108" s="116"/>
      <c r="M108" s="115"/>
      <c r="N108" s="116"/>
      <c r="O108" s="115"/>
      <c r="P108" s="116"/>
      <c r="Q108" s="115"/>
      <c r="R108" s="116"/>
      <c r="S108" s="115"/>
      <c r="T108" s="116"/>
      <c r="U108" s="115"/>
      <c r="V108" s="116"/>
      <c r="W108" s="117"/>
      <c r="X108" s="118"/>
      <c r="Z108" s="1" t="str">
        <f t="shared" si="1"/>
        <v/>
      </c>
    </row>
    <row r="109" spans="1:26" hidden="1" x14ac:dyDescent="0.25">
      <c r="A109" s="117"/>
      <c r="B109" s="118"/>
      <c r="C109" s="117"/>
      <c r="D109" s="118"/>
      <c r="E109" s="117"/>
      <c r="F109" s="118"/>
      <c r="G109" s="115"/>
      <c r="H109" s="116"/>
      <c r="I109" s="115"/>
      <c r="J109" s="116"/>
      <c r="K109" s="115"/>
      <c r="L109" s="116"/>
      <c r="M109" s="115"/>
      <c r="N109" s="116"/>
      <c r="O109" s="115"/>
      <c r="P109" s="116"/>
      <c r="Q109" s="115"/>
      <c r="R109" s="116"/>
      <c r="S109" s="115"/>
      <c r="T109" s="116"/>
      <c r="U109" s="115"/>
      <c r="V109" s="116"/>
      <c r="W109" s="117"/>
      <c r="X109" s="118"/>
      <c r="Z109" s="1" t="str">
        <f t="shared" si="1"/>
        <v/>
      </c>
    </row>
    <row r="110" spans="1:26" hidden="1" x14ac:dyDescent="0.25">
      <c r="A110" s="117"/>
      <c r="B110" s="118"/>
      <c r="C110" s="117"/>
      <c r="D110" s="118"/>
      <c r="E110" s="117"/>
      <c r="F110" s="118"/>
      <c r="G110" s="115"/>
      <c r="H110" s="116"/>
      <c r="I110" s="115"/>
      <c r="J110" s="116"/>
      <c r="K110" s="115"/>
      <c r="L110" s="116"/>
      <c r="M110" s="115"/>
      <c r="N110" s="116"/>
      <c r="O110" s="115"/>
      <c r="P110" s="116"/>
      <c r="Q110" s="115"/>
      <c r="R110" s="116"/>
      <c r="S110" s="115"/>
      <c r="T110" s="116"/>
      <c r="U110" s="115"/>
      <c r="V110" s="116"/>
      <c r="W110" s="117"/>
      <c r="X110" s="118"/>
      <c r="Z110" s="1" t="str">
        <f t="shared" si="1"/>
        <v/>
      </c>
    </row>
    <row r="111" spans="1:26" hidden="1" x14ac:dyDescent="0.25">
      <c r="A111" s="117"/>
      <c r="B111" s="118"/>
      <c r="C111" s="117"/>
      <c r="D111" s="118"/>
      <c r="E111" s="117"/>
      <c r="F111" s="118"/>
      <c r="G111" s="115"/>
      <c r="H111" s="116"/>
      <c r="I111" s="115"/>
      <c r="J111" s="116"/>
      <c r="K111" s="115"/>
      <c r="L111" s="116"/>
      <c r="M111" s="115"/>
      <c r="N111" s="116"/>
      <c r="O111" s="115"/>
      <c r="P111" s="116"/>
      <c r="Q111" s="115"/>
      <c r="R111" s="116"/>
      <c r="S111" s="115"/>
      <c r="T111" s="116"/>
      <c r="U111" s="115"/>
      <c r="V111" s="116"/>
      <c r="W111" s="117"/>
      <c r="X111" s="118"/>
      <c r="Z111" s="1" t="str">
        <f t="shared" si="1"/>
        <v/>
      </c>
    </row>
    <row r="112" spans="1:26" hidden="1" x14ac:dyDescent="0.25">
      <c r="A112" s="117"/>
      <c r="B112" s="118"/>
      <c r="C112" s="117"/>
      <c r="D112" s="118"/>
      <c r="E112" s="117"/>
      <c r="F112" s="118"/>
      <c r="G112" s="115"/>
      <c r="H112" s="116"/>
      <c r="I112" s="115"/>
      <c r="J112" s="116"/>
      <c r="K112" s="115"/>
      <c r="L112" s="116"/>
      <c r="M112" s="115"/>
      <c r="N112" s="116"/>
      <c r="O112" s="115"/>
      <c r="P112" s="116"/>
      <c r="Q112" s="115"/>
      <c r="R112" s="116"/>
      <c r="S112" s="115"/>
      <c r="T112" s="116"/>
      <c r="U112" s="115"/>
      <c r="V112" s="116"/>
      <c r="W112" s="117"/>
      <c r="X112" s="118"/>
      <c r="Z112" s="1" t="str">
        <f t="shared" si="1"/>
        <v/>
      </c>
    </row>
    <row r="113" spans="1:26" hidden="1" x14ac:dyDescent="0.25">
      <c r="A113" s="117"/>
      <c r="B113" s="118"/>
      <c r="C113" s="117"/>
      <c r="D113" s="118"/>
      <c r="E113" s="117"/>
      <c r="F113" s="118"/>
      <c r="G113" s="115"/>
      <c r="H113" s="116"/>
      <c r="I113" s="115"/>
      <c r="J113" s="116"/>
      <c r="K113" s="115"/>
      <c r="L113" s="116"/>
      <c r="M113" s="115"/>
      <c r="N113" s="116"/>
      <c r="O113" s="115"/>
      <c r="P113" s="116"/>
      <c r="Q113" s="115"/>
      <c r="R113" s="116"/>
      <c r="S113" s="115"/>
      <c r="T113" s="116"/>
      <c r="U113" s="115"/>
      <c r="V113" s="116"/>
      <c r="W113" s="117"/>
      <c r="X113" s="118"/>
      <c r="Z113" s="1" t="str">
        <f t="shared" si="1"/>
        <v/>
      </c>
    </row>
    <row r="114" spans="1:26" hidden="1" x14ac:dyDescent="0.25">
      <c r="A114" s="117"/>
      <c r="B114" s="118"/>
      <c r="C114" s="117"/>
      <c r="D114" s="118"/>
      <c r="E114" s="117"/>
      <c r="F114" s="118"/>
      <c r="G114" s="115"/>
      <c r="H114" s="116"/>
      <c r="I114" s="115"/>
      <c r="J114" s="116"/>
      <c r="K114" s="115"/>
      <c r="L114" s="116"/>
      <c r="M114" s="115"/>
      <c r="N114" s="116"/>
      <c r="O114" s="115"/>
      <c r="P114" s="116"/>
      <c r="Q114" s="115"/>
      <c r="R114" s="116"/>
      <c r="S114" s="115"/>
      <c r="T114" s="116"/>
      <c r="U114" s="115"/>
      <c r="V114" s="116"/>
      <c r="W114" s="117"/>
      <c r="X114" s="118"/>
      <c r="Z114" s="1" t="str">
        <f t="shared" si="1"/>
        <v/>
      </c>
    </row>
    <row r="115" spans="1:26" hidden="1" x14ac:dyDescent="0.25">
      <c r="A115" s="117"/>
      <c r="B115" s="118"/>
      <c r="C115" s="117"/>
      <c r="D115" s="118"/>
      <c r="E115" s="117"/>
      <c r="F115" s="118"/>
      <c r="G115" s="115"/>
      <c r="H115" s="116"/>
      <c r="I115" s="115"/>
      <c r="J115" s="116"/>
      <c r="K115" s="115"/>
      <c r="L115" s="116"/>
      <c r="M115" s="115"/>
      <c r="N115" s="116"/>
      <c r="O115" s="115"/>
      <c r="P115" s="116"/>
      <c r="Q115" s="115"/>
      <c r="R115" s="116"/>
      <c r="S115" s="115"/>
      <c r="T115" s="116"/>
      <c r="U115" s="115"/>
      <c r="V115" s="116"/>
      <c r="W115" s="117"/>
      <c r="X115" s="118"/>
      <c r="Z115" s="1" t="str">
        <f t="shared" si="1"/>
        <v/>
      </c>
    </row>
    <row r="116" spans="1:26" hidden="1" x14ac:dyDescent="0.25">
      <c r="A116" s="117"/>
      <c r="B116" s="118"/>
      <c r="C116" s="117"/>
      <c r="D116" s="118"/>
      <c r="E116" s="117"/>
      <c r="F116" s="118"/>
      <c r="G116" s="115"/>
      <c r="H116" s="116"/>
      <c r="I116" s="115"/>
      <c r="J116" s="116"/>
      <c r="K116" s="115"/>
      <c r="L116" s="116"/>
      <c r="M116" s="115"/>
      <c r="N116" s="116"/>
      <c r="O116" s="115"/>
      <c r="P116" s="116"/>
      <c r="Q116" s="115"/>
      <c r="R116" s="116"/>
      <c r="S116" s="115"/>
      <c r="T116" s="116"/>
      <c r="U116" s="115"/>
      <c r="V116" s="116"/>
      <c r="W116" s="117"/>
      <c r="X116" s="118"/>
      <c r="Z116" s="1" t="str">
        <f t="shared" si="1"/>
        <v/>
      </c>
    </row>
    <row r="117" spans="1:26" hidden="1" x14ac:dyDescent="0.25">
      <c r="A117" s="117"/>
      <c r="B117" s="118"/>
      <c r="C117" s="117"/>
      <c r="D117" s="118"/>
      <c r="E117" s="117"/>
      <c r="F117" s="118"/>
      <c r="G117" s="115"/>
      <c r="H117" s="116"/>
      <c r="I117" s="115"/>
      <c r="J117" s="116"/>
      <c r="K117" s="115"/>
      <c r="L117" s="116"/>
      <c r="M117" s="115"/>
      <c r="N117" s="116"/>
      <c r="O117" s="115"/>
      <c r="P117" s="116"/>
      <c r="Q117" s="115"/>
      <c r="R117" s="116"/>
      <c r="S117" s="115"/>
      <c r="T117" s="116"/>
      <c r="U117" s="115"/>
      <c r="V117" s="116"/>
      <c r="W117" s="117"/>
      <c r="X117" s="118"/>
      <c r="Z117" s="1" t="str">
        <f t="shared" si="1"/>
        <v/>
      </c>
    </row>
    <row r="118" spans="1:26" hidden="1" x14ac:dyDescent="0.25">
      <c r="A118" s="117"/>
      <c r="B118" s="118"/>
      <c r="C118" s="117"/>
      <c r="D118" s="118"/>
      <c r="E118" s="117"/>
      <c r="F118" s="118"/>
      <c r="G118" s="115"/>
      <c r="H118" s="116"/>
      <c r="I118" s="115"/>
      <c r="J118" s="116"/>
      <c r="K118" s="115"/>
      <c r="L118" s="116"/>
      <c r="M118" s="115"/>
      <c r="N118" s="116"/>
      <c r="O118" s="115"/>
      <c r="P118" s="116"/>
      <c r="Q118" s="115"/>
      <c r="R118" s="116"/>
      <c r="S118" s="115"/>
      <c r="T118" s="116"/>
      <c r="U118" s="115"/>
      <c r="V118" s="116"/>
      <c r="W118" s="117"/>
      <c r="X118" s="118"/>
      <c r="Z118" s="1" t="str">
        <f t="shared" si="1"/>
        <v/>
      </c>
    </row>
    <row r="119" spans="1:26" hidden="1" x14ac:dyDescent="0.25">
      <c r="A119" s="117"/>
      <c r="B119" s="118"/>
      <c r="C119" s="117"/>
      <c r="D119" s="118"/>
      <c r="E119" s="117"/>
      <c r="F119" s="118"/>
      <c r="G119" s="115"/>
      <c r="H119" s="116"/>
      <c r="I119" s="115"/>
      <c r="J119" s="116"/>
      <c r="K119" s="115"/>
      <c r="L119" s="116"/>
      <c r="M119" s="115"/>
      <c r="N119" s="116"/>
      <c r="O119" s="115"/>
      <c r="P119" s="116"/>
      <c r="Q119" s="115"/>
      <c r="R119" s="116"/>
      <c r="S119" s="115"/>
      <c r="T119" s="116"/>
      <c r="U119" s="115"/>
      <c r="V119" s="116"/>
      <c r="W119" s="117"/>
      <c r="X119" s="118"/>
      <c r="Z119" s="1" t="str">
        <f t="shared" si="1"/>
        <v/>
      </c>
    </row>
    <row r="120" spans="1:26" hidden="1" x14ac:dyDescent="0.25">
      <c r="A120" s="117"/>
      <c r="B120" s="118"/>
      <c r="C120" s="117"/>
      <c r="D120" s="118"/>
      <c r="E120" s="117"/>
      <c r="F120" s="118"/>
      <c r="G120" s="115"/>
      <c r="H120" s="116"/>
      <c r="I120" s="115"/>
      <c r="J120" s="116"/>
      <c r="K120" s="115"/>
      <c r="L120" s="116"/>
      <c r="M120" s="115"/>
      <c r="N120" s="116"/>
      <c r="O120" s="115"/>
      <c r="P120" s="116"/>
      <c r="Q120" s="115"/>
      <c r="R120" s="116"/>
      <c r="S120" s="115"/>
      <c r="T120" s="116"/>
      <c r="U120" s="115"/>
      <c r="V120" s="116"/>
      <c r="W120" s="117"/>
      <c r="X120" s="118"/>
      <c r="Z120" s="1" t="str">
        <f t="shared" si="1"/>
        <v/>
      </c>
    </row>
    <row r="121" spans="1:26" hidden="1" x14ac:dyDescent="0.25">
      <c r="A121" s="117"/>
      <c r="B121" s="118"/>
      <c r="C121" s="117"/>
      <c r="D121" s="118"/>
      <c r="E121" s="117"/>
      <c r="F121" s="118"/>
      <c r="G121" s="115"/>
      <c r="H121" s="116"/>
      <c r="I121" s="115"/>
      <c r="J121" s="116"/>
      <c r="K121" s="115"/>
      <c r="L121" s="116"/>
      <c r="M121" s="115"/>
      <c r="N121" s="116"/>
      <c r="O121" s="115"/>
      <c r="P121" s="116"/>
      <c r="Q121" s="115"/>
      <c r="R121" s="116"/>
      <c r="S121" s="115"/>
      <c r="T121" s="116"/>
      <c r="U121" s="115"/>
      <c r="V121" s="116"/>
      <c r="W121" s="117"/>
      <c r="X121" s="118"/>
      <c r="Z121" s="1" t="str">
        <f t="shared" si="1"/>
        <v/>
      </c>
    </row>
    <row r="122" spans="1:26" hidden="1" x14ac:dyDescent="0.25">
      <c r="A122" s="117"/>
      <c r="B122" s="118"/>
      <c r="C122" s="117"/>
      <c r="D122" s="118"/>
      <c r="E122" s="117"/>
      <c r="F122" s="118"/>
      <c r="G122" s="115"/>
      <c r="H122" s="116"/>
      <c r="I122" s="115"/>
      <c r="J122" s="116"/>
      <c r="K122" s="115"/>
      <c r="L122" s="116"/>
      <c r="M122" s="115"/>
      <c r="N122" s="116"/>
      <c r="O122" s="115"/>
      <c r="P122" s="116"/>
      <c r="Q122" s="115"/>
      <c r="R122" s="116"/>
      <c r="S122" s="115"/>
      <c r="T122" s="116"/>
      <c r="U122" s="115"/>
      <c r="V122" s="116"/>
      <c r="W122" s="117"/>
      <c r="X122" s="118"/>
      <c r="Z122" s="1" t="str">
        <f t="shared" si="1"/>
        <v/>
      </c>
    </row>
    <row r="123" spans="1:26" hidden="1" x14ac:dyDescent="0.25">
      <c r="A123" s="117"/>
      <c r="B123" s="118"/>
      <c r="C123" s="117"/>
      <c r="D123" s="118"/>
      <c r="E123" s="117"/>
      <c r="F123" s="118"/>
      <c r="G123" s="115"/>
      <c r="H123" s="116"/>
      <c r="I123" s="115"/>
      <c r="J123" s="116"/>
      <c r="K123" s="115"/>
      <c r="L123" s="116"/>
      <c r="M123" s="115"/>
      <c r="N123" s="116"/>
      <c r="O123" s="115"/>
      <c r="P123" s="116"/>
      <c r="Q123" s="115"/>
      <c r="R123" s="116"/>
      <c r="S123" s="115"/>
      <c r="T123" s="116"/>
      <c r="U123" s="115"/>
      <c r="V123" s="116"/>
      <c r="W123" s="117"/>
      <c r="X123" s="118"/>
      <c r="Z123" s="1" t="str">
        <f t="shared" si="1"/>
        <v/>
      </c>
    </row>
    <row r="124" spans="1:26" hidden="1" x14ac:dyDescent="0.25">
      <c r="A124" s="117"/>
      <c r="B124" s="118"/>
      <c r="C124" s="117"/>
      <c r="D124" s="118"/>
      <c r="E124" s="117"/>
      <c r="F124" s="118"/>
      <c r="G124" s="115"/>
      <c r="H124" s="116"/>
      <c r="I124" s="115"/>
      <c r="J124" s="116"/>
      <c r="K124" s="115"/>
      <c r="L124" s="116"/>
      <c r="M124" s="115"/>
      <c r="N124" s="116"/>
      <c r="O124" s="115"/>
      <c r="P124" s="116"/>
      <c r="Q124" s="115"/>
      <c r="R124" s="116"/>
      <c r="S124" s="115"/>
      <c r="T124" s="116"/>
      <c r="U124" s="115"/>
      <c r="V124" s="116"/>
      <c r="W124" s="117"/>
      <c r="X124" s="118"/>
      <c r="Z124" s="1" t="str">
        <f t="shared" si="1"/>
        <v/>
      </c>
    </row>
    <row r="125" spans="1:26" hidden="1" x14ac:dyDescent="0.25">
      <c r="A125" s="117"/>
      <c r="B125" s="118"/>
      <c r="C125" s="117"/>
      <c r="D125" s="118"/>
      <c r="E125" s="117"/>
      <c r="F125" s="118"/>
      <c r="G125" s="115"/>
      <c r="H125" s="116"/>
      <c r="I125" s="115"/>
      <c r="J125" s="116"/>
      <c r="K125" s="115"/>
      <c r="L125" s="116"/>
      <c r="M125" s="115"/>
      <c r="N125" s="116"/>
      <c r="O125" s="115"/>
      <c r="P125" s="116"/>
      <c r="Q125" s="115"/>
      <c r="R125" s="116"/>
      <c r="S125" s="115"/>
      <c r="T125" s="116"/>
      <c r="U125" s="115"/>
      <c r="V125" s="116"/>
      <c r="W125" s="117"/>
      <c r="X125" s="118"/>
      <c r="Z125" s="1" t="str">
        <f t="shared" si="1"/>
        <v/>
      </c>
    </row>
    <row r="126" spans="1:26" hidden="1" x14ac:dyDescent="0.25">
      <c r="A126" s="117"/>
      <c r="B126" s="118"/>
      <c r="C126" s="117"/>
      <c r="D126" s="118"/>
      <c r="E126" s="117"/>
      <c r="F126" s="118"/>
      <c r="G126" s="115"/>
      <c r="H126" s="116"/>
      <c r="I126" s="115"/>
      <c r="J126" s="116"/>
      <c r="K126" s="115"/>
      <c r="L126" s="116"/>
      <c r="M126" s="115"/>
      <c r="N126" s="116"/>
      <c r="O126" s="115"/>
      <c r="P126" s="116"/>
      <c r="Q126" s="115"/>
      <c r="R126" s="116"/>
      <c r="S126" s="115"/>
      <c r="T126" s="116"/>
      <c r="U126" s="115"/>
      <c r="V126" s="116"/>
      <c r="W126" s="117"/>
      <c r="X126" s="118"/>
      <c r="Z126" s="1" t="str">
        <f t="shared" si="1"/>
        <v/>
      </c>
    </row>
    <row r="127" spans="1:26" hidden="1" x14ac:dyDescent="0.25">
      <c r="A127" s="117"/>
      <c r="B127" s="118"/>
      <c r="C127" s="117"/>
      <c r="D127" s="118"/>
      <c r="E127" s="117"/>
      <c r="F127" s="118"/>
      <c r="G127" s="115"/>
      <c r="H127" s="116"/>
      <c r="I127" s="115"/>
      <c r="J127" s="116"/>
      <c r="K127" s="115"/>
      <c r="L127" s="116"/>
      <c r="M127" s="115"/>
      <c r="N127" s="116"/>
      <c r="O127" s="115"/>
      <c r="P127" s="116"/>
      <c r="Q127" s="115"/>
      <c r="R127" s="116"/>
      <c r="S127" s="115"/>
      <c r="T127" s="116"/>
      <c r="U127" s="115"/>
      <c r="V127" s="116"/>
      <c r="W127" s="117"/>
      <c r="X127" s="118"/>
      <c r="Z127" s="1" t="str">
        <f t="shared" si="1"/>
        <v/>
      </c>
    </row>
    <row r="128" spans="1:26" hidden="1" x14ac:dyDescent="0.25">
      <c r="A128" s="117"/>
      <c r="B128" s="118"/>
      <c r="C128" s="117"/>
      <c r="D128" s="118"/>
      <c r="E128" s="117"/>
      <c r="F128" s="118"/>
      <c r="G128" s="115"/>
      <c r="H128" s="116"/>
      <c r="I128" s="115"/>
      <c r="J128" s="116"/>
      <c r="K128" s="115"/>
      <c r="L128" s="116"/>
      <c r="M128" s="115"/>
      <c r="N128" s="116"/>
      <c r="O128" s="115"/>
      <c r="P128" s="116"/>
      <c r="Q128" s="115"/>
      <c r="R128" s="116"/>
      <c r="S128" s="115"/>
      <c r="T128" s="116"/>
      <c r="U128" s="115"/>
      <c r="V128" s="116"/>
      <c r="W128" s="117"/>
      <c r="X128" s="118"/>
      <c r="Z128" s="1" t="str">
        <f t="shared" si="1"/>
        <v/>
      </c>
    </row>
    <row r="129" spans="1:26" hidden="1" x14ac:dyDescent="0.25">
      <c r="A129" s="117"/>
      <c r="B129" s="118"/>
      <c r="C129" s="117"/>
      <c r="D129" s="118"/>
      <c r="E129" s="117"/>
      <c r="F129" s="118"/>
      <c r="G129" s="115"/>
      <c r="H129" s="116"/>
      <c r="I129" s="115"/>
      <c r="J129" s="116"/>
      <c r="K129" s="115"/>
      <c r="L129" s="116"/>
      <c r="M129" s="115"/>
      <c r="N129" s="116"/>
      <c r="O129" s="115"/>
      <c r="P129" s="116"/>
      <c r="Q129" s="115"/>
      <c r="R129" s="116"/>
      <c r="S129" s="115"/>
      <c r="T129" s="116"/>
      <c r="U129" s="115"/>
      <c r="V129" s="116"/>
      <c r="W129" s="117"/>
      <c r="X129" s="118"/>
      <c r="Z129" s="1" t="str">
        <f t="shared" si="1"/>
        <v/>
      </c>
    </row>
    <row r="130" spans="1:26" hidden="1" x14ac:dyDescent="0.25">
      <c r="A130" s="117"/>
      <c r="B130" s="118"/>
      <c r="C130" s="117"/>
      <c r="D130" s="118"/>
      <c r="E130" s="117"/>
      <c r="F130" s="118"/>
      <c r="G130" s="115"/>
      <c r="H130" s="116"/>
      <c r="I130" s="115"/>
      <c r="J130" s="116"/>
      <c r="K130" s="115"/>
      <c r="L130" s="116"/>
      <c r="M130" s="115"/>
      <c r="N130" s="116"/>
      <c r="O130" s="115"/>
      <c r="P130" s="116"/>
      <c r="Q130" s="115"/>
      <c r="R130" s="116"/>
      <c r="S130" s="115"/>
      <c r="T130" s="116"/>
      <c r="U130" s="115"/>
      <c r="V130" s="116"/>
      <c r="W130" s="117"/>
      <c r="X130" s="118"/>
      <c r="Z130" s="1" t="str">
        <f t="shared" si="1"/>
        <v/>
      </c>
    </row>
    <row r="131" spans="1:26" hidden="1" x14ac:dyDescent="0.25">
      <c r="A131" s="117"/>
      <c r="B131" s="118"/>
      <c r="C131" s="117"/>
      <c r="D131" s="118"/>
      <c r="E131" s="117"/>
      <c r="F131" s="118"/>
      <c r="G131" s="115"/>
      <c r="H131" s="116"/>
      <c r="I131" s="115"/>
      <c r="J131" s="116"/>
      <c r="K131" s="115"/>
      <c r="L131" s="116"/>
      <c r="M131" s="115"/>
      <c r="N131" s="116"/>
      <c r="O131" s="115"/>
      <c r="P131" s="116"/>
      <c r="Q131" s="115"/>
      <c r="R131" s="116"/>
      <c r="S131" s="115"/>
      <c r="T131" s="116"/>
      <c r="U131" s="115"/>
      <c r="V131" s="116"/>
      <c r="W131" s="117"/>
      <c r="X131" s="118"/>
      <c r="Z131" s="1" t="str">
        <f t="shared" si="1"/>
        <v/>
      </c>
    </row>
    <row r="132" spans="1:26" hidden="1" x14ac:dyDescent="0.25">
      <c r="A132" s="117"/>
      <c r="B132" s="118"/>
      <c r="C132" s="117"/>
      <c r="D132" s="118"/>
      <c r="E132" s="117"/>
      <c r="F132" s="118"/>
      <c r="G132" s="115"/>
      <c r="H132" s="116"/>
      <c r="I132" s="115"/>
      <c r="J132" s="116"/>
      <c r="K132" s="115"/>
      <c r="L132" s="116"/>
      <c r="M132" s="115"/>
      <c r="N132" s="116"/>
      <c r="O132" s="115"/>
      <c r="P132" s="116"/>
      <c r="Q132" s="115"/>
      <c r="R132" s="116"/>
      <c r="S132" s="115"/>
      <c r="T132" s="116"/>
      <c r="U132" s="115"/>
      <c r="V132" s="116"/>
      <c r="W132" s="117"/>
      <c r="X132" s="118"/>
      <c r="Z132" s="1" t="str">
        <f t="shared" si="1"/>
        <v/>
      </c>
    </row>
    <row r="133" spans="1:26" hidden="1" x14ac:dyDescent="0.25">
      <c r="A133" s="117"/>
      <c r="B133" s="118"/>
      <c r="C133" s="117"/>
      <c r="D133" s="118"/>
      <c r="E133" s="117"/>
      <c r="F133" s="118"/>
      <c r="G133" s="115"/>
      <c r="H133" s="116"/>
      <c r="I133" s="115"/>
      <c r="J133" s="116"/>
      <c r="K133" s="115"/>
      <c r="L133" s="116"/>
      <c r="M133" s="115"/>
      <c r="N133" s="116"/>
      <c r="O133" s="115"/>
      <c r="P133" s="116"/>
      <c r="Q133" s="115"/>
      <c r="R133" s="116"/>
      <c r="S133" s="115"/>
      <c r="T133" s="116"/>
      <c r="U133" s="115"/>
      <c r="V133" s="116"/>
      <c r="W133" s="117"/>
      <c r="X133" s="118"/>
      <c r="Z133" s="1" t="str">
        <f t="shared" si="1"/>
        <v/>
      </c>
    </row>
    <row r="134" spans="1:26" hidden="1" x14ac:dyDescent="0.25">
      <c r="A134" s="117"/>
      <c r="B134" s="118"/>
      <c r="C134" s="117"/>
      <c r="D134" s="118"/>
      <c r="E134" s="117"/>
      <c r="F134" s="118"/>
      <c r="G134" s="115"/>
      <c r="H134" s="116"/>
      <c r="I134" s="115"/>
      <c r="J134" s="116"/>
      <c r="K134" s="115"/>
      <c r="L134" s="116"/>
      <c r="M134" s="115"/>
      <c r="N134" s="116"/>
      <c r="O134" s="115"/>
      <c r="P134" s="116"/>
      <c r="Q134" s="115"/>
      <c r="R134" s="116"/>
      <c r="S134" s="115"/>
      <c r="T134" s="116"/>
      <c r="U134" s="115"/>
      <c r="V134" s="116"/>
      <c r="W134" s="117"/>
      <c r="X134" s="118"/>
      <c r="Z134" s="1" t="str">
        <f t="shared" si="1"/>
        <v/>
      </c>
    </row>
    <row r="135" spans="1:26" hidden="1" x14ac:dyDescent="0.25">
      <c r="A135" s="117"/>
      <c r="B135" s="118"/>
      <c r="C135" s="117"/>
      <c r="D135" s="118"/>
      <c r="E135" s="117"/>
      <c r="F135" s="118"/>
      <c r="G135" s="115"/>
      <c r="H135" s="116"/>
      <c r="I135" s="115"/>
      <c r="J135" s="116"/>
      <c r="K135" s="115"/>
      <c r="L135" s="116"/>
      <c r="M135" s="115"/>
      <c r="N135" s="116"/>
      <c r="O135" s="115"/>
      <c r="P135" s="116"/>
      <c r="Q135" s="115"/>
      <c r="R135" s="116"/>
      <c r="S135" s="115"/>
      <c r="T135" s="116"/>
      <c r="U135" s="115"/>
      <c r="V135" s="116"/>
      <c r="W135" s="117"/>
      <c r="X135" s="118"/>
      <c r="Z135" s="1" t="str">
        <f t="shared" ref="Z135:Z198" si="2">IF(ROW(A131)&lt;=$Z$2,ROW(A131),"")</f>
        <v/>
      </c>
    </row>
    <row r="136" spans="1:26" hidden="1" x14ac:dyDescent="0.25">
      <c r="A136" s="117"/>
      <c r="B136" s="118"/>
      <c r="C136" s="117"/>
      <c r="D136" s="118"/>
      <c r="E136" s="117"/>
      <c r="F136" s="118"/>
      <c r="G136" s="115"/>
      <c r="H136" s="116"/>
      <c r="I136" s="115"/>
      <c r="J136" s="116"/>
      <c r="K136" s="115"/>
      <c r="L136" s="116"/>
      <c r="M136" s="115"/>
      <c r="N136" s="116"/>
      <c r="O136" s="115"/>
      <c r="P136" s="116"/>
      <c r="Q136" s="115"/>
      <c r="R136" s="116"/>
      <c r="S136" s="115"/>
      <c r="T136" s="116"/>
      <c r="U136" s="115"/>
      <c r="V136" s="116"/>
      <c r="W136" s="117"/>
      <c r="X136" s="118"/>
      <c r="Z136" s="1" t="str">
        <f t="shared" si="2"/>
        <v/>
      </c>
    </row>
    <row r="137" spans="1:26" hidden="1" x14ac:dyDescent="0.25">
      <c r="A137" s="117"/>
      <c r="B137" s="118"/>
      <c r="C137" s="117"/>
      <c r="D137" s="118"/>
      <c r="E137" s="117"/>
      <c r="F137" s="118"/>
      <c r="G137" s="115"/>
      <c r="H137" s="116"/>
      <c r="I137" s="115"/>
      <c r="J137" s="116"/>
      <c r="K137" s="115"/>
      <c r="L137" s="116"/>
      <c r="M137" s="115"/>
      <c r="N137" s="116"/>
      <c r="O137" s="115"/>
      <c r="P137" s="116"/>
      <c r="Q137" s="115"/>
      <c r="R137" s="116"/>
      <c r="S137" s="115"/>
      <c r="T137" s="116"/>
      <c r="U137" s="115"/>
      <c r="V137" s="116"/>
      <c r="W137" s="117"/>
      <c r="X137" s="118"/>
      <c r="Z137" s="1" t="str">
        <f t="shared" si="2"/>
        <v/>
      </c>
    </row>
    <row r="138" spans="1:26" hidden="1" x14ac:dyDescent="0.25">
      <c r="A138" s="117"/>
      <c r="B138" s="118"/>
      <c r="C138" s="117"/>
      <c r="D138" s="118"/>
      <c r="E138" s="117"/>
      <c r="F138" s="118"/>
      <c r="G138" s="115"/>
      <c r="H138" s="116"/>
      <c r="I138" s="115"/>
      <c r="J138" s="116"/>
      <c r="K138" s="115"/>
      <c r="L138" s="116"/>
      <c r="M138" s="115"/>
      <c r="N138" s="116"/>
      <c r="O138" s="115"/>
      <c r="P138" s="116"/>
      <c r="Q138" s="115"/>
      <c r="R138" s="116"/>
      <c r="S138" s="115"/>
      <c r="T138" s="116"/>
      <c r="U138" s="115"/>
      <c r="V138" s="116"/>
      <c r="W138" s="117"/>
      <c r="X138" s="118"/>
      <c r="Z138" s="1" t="str">
        <f t="shared" si="2"/>
        <v/>
      </c>
    </row>
    <row r="139" spans="1:26" hidden="1" x14ac:dyDescent="0.25">
      <c r="A139" s="117"/>
      <c r="B139" s="118"/>
      <c r="C139" s="117"/>
      <c r="D139" s="118"/>
      <c r="E139" s="117"/>
      <c r="F139" s="118"/>
      <c r="G139" s="115"/>
      <c r="H139" s="116"/>
      <c r="I139" s="115"/>
      <c r="J139" s="116"/>
      <c r="K139" s="115"/>
      <c r="L139" s="116"/>
      <c r="M139" s="115"/>
      <c r="N139" s="116"/>
      <c r="O139" s="115"/>
      <c r="P139" s="116"/>
      <c r="Q139" s="115"/>
      <c r="R139" s="116"/>
      <c r="S139" s="115"/>
      <c r="T139" s="116"/>
      <c r="U139" s="115"/>
      <c r="V139" s="116"/>
      <c r="W139" s="117"/>
      <c r="X139" s="118"/>
      <c r="Z139" s="1" t="str">
        <f t="shared" si="2"/>
        <v/>
      </c>
    </row>
    <row r="140" spans="1:26" hidden="1" x14ac:dyDescent="0.25">
      <c r="A140" s="117"/>
      <c r="B140" s="118"/>
      <c r="C140" s="117"/>
      <c r="D140" s="118"/>
      <c r="E140" s="117"/>
      <c r="F140" s="118"/>
      <c r="G140" s="115"/>
      <c r="H140" s="116"/>
      <c r="I140" s="115"/>
      <c r="J140" s="116"/>
      <c r="K140" s="115"/>
      <c r="L140" s="116"/>
      <c r="M140" s="115"/>
      <c r="N140" s="116"/>
      <c r="O140" s="115"/>
      <c r="P140" s="116"/>
      <c r="Q140" s="115"/>
      <c r="R140" s="116"/>
      <c r="S140" s="115"/>
      <c r="T140" s="116"/>
      <c r="U140" s="115"/>
      <c r="V140" s="116"/>
      <c r="W140" s="117"/>
      <c r="X140" s="118"/>
      <c r="Z140" s="1" t="str">
        <f t="shared" si="2"/>
        <v/>
      </c>
    </row>
    <row r="141" spans="1:26" hidden="1" x14ac:dyDescent="0.25">
      <c r="A141" s="117"/>
      <c r="B141" s="118"/>
      <c r="C141" s="117"/>
      <c r="D141" s="118"/>
      <c r="E141" s="117"/>
      <c r="F141" s="118"/>
      <c r="G141" s="115"/>
      <c r="H141" s="116"/>
      <c r="I141" s="115"/>
      <c r="J141" s="116"/>
      <c r="K141" s="115"/>
      <c r="L141" s="116"/>
      <c r="M141" s="115"/>
      <c r="N141" s="116"/>
      <c r="O141" s="115"/>
      <c r="P141" s="116"/>
      <c r="Q141" s="115"/>
      <c r="R141" s="116"/>
      <c r="S141" s="115"/>
      <c r="T141" s="116"/>
      <c r="U141" s="115"/>
      <c r="V141" s="116"/>
      <c r="W141" s="117"/>
      <c r="X141" s="118"/>
      <c r="Z141" s="1" t="str">
        <f t="shared" si="2"/>
        <v/>
      </c>
    </row>
    <row r="142" spans="1:26" hidden="1" x14ac:dyDescent="0.25">
      <c r="A142" s="117"/>
      <c r="B142" s="118"/>
      <c r="C142" s="117"/>
      <c r="D142" s="118"/>
      <c r="E142" s="117"/>
      <c r="F142" s="118"/>
      <c r="G142" s="115"/>
      <c r="H142" s="116"/>
      <c r="I142" s="115"/>
      <c r="J142" s="116"/>
      <c r="K142" s="115"/>
      <c r="L142" s="116"/>
      <c r="M142" s="115"/>
      <c r="N142" s="116"/>
      <c r="O142" s="115"/>
      <c r="P142" s="116"/>
      <c r="Q142" s="115"/>
      <c r="R142" s="116"/>
      <c r="S142" s="115"/>
      <c r="T142" s="116"/>
      <c r="U142" s="115"/>
      <c r="V142" s="116"/>
      <c r="W142" s="117"/>
      <c r="X142" s="118"/>
      <c r="Z142" s="1" t="str">
        <f t="shared" si="2"/>
        <v/>
      </c>
    </row>
    <row r="143" spans="1:26" hidden="1" x14ac:dyDescent="0.25">
      <c r="A143" s="117"/>
      <c r="B143" s="118"/>
      <c r="C143" s="117"/>
      <c r="D143" s="118"/>
      <c r="E143" s="117"/>
      <c r="F143" s="118"/>
      <c r="G143" s="115"/>
      <c r="H143" s="116"/>
      <c r="I143" s="115"/>
      <c r="J143" s="116"/>
      <c r="K143" s="115"/>
      <c r="L143" s="116"/>
      <c r="M143" s="115"/>
      <c r="N143" s="116"/>
      <c r="O143" s="115"/>
      <c r="P143" s="116"/>
      <c r="Q143" s="115"/>
      <c r="R143" s="116"/>
      <c r="S143" s="115"/>
      <c r="T143" s="116"/>
      <c r="U143" s="115"/>
      <c r="V143" s="116"/>
      <c r="W143" s="117"/>
      <c r="X143" s="118"/>
      <c r="Z143" s="1" t="str">
        <f t="shared" si="2"/>
        <v/>
      </c>
    </row>
    <row r="144" spans="1:26" hidden="1" x14ac:dyDescent="0.25">
      <c r="A144" s="117"/>
      <c r="B144" s="118"/>
      <c r="C144" s="117"/>
      <c r="D144" s="118"/>
      <c r="E144" s="117"/>
      <c r="F144" s="118"/>
      <c r="G144" s="115"/>
      <c r="H144" s="116"/>
      <c r="I144" s="115"/>
      <c r="J144" s="116"/>
      <c r="K144" s="115"/>
      <c r="L144" s="116"/>
      <c r="M144" s="115"/>
      <c r="N144" s="116"/>
      <c r="O144" s="115"/>
      <c r="P144" s="116"/>
      <c r="Q144" s="115"/>
      <c r="R144" s="116"/>
      <c r="S144" s="115"/>
      <c r="T144" s="116"/>
      <c r="U144" s="115"/>
      <c r="V144" s="116"/>
      <c r="W144" s="117"/>
      <c r="X144" s="118"/>
      <c r="Z144" s="1" t="str">
        <f t="shared" si="2"/>
        <v/>
      </c>
    </row>
    <row r="145" spans="1:26" hidden="1" x14ac:dyDescent="0.25">
      <c r="A145" s="117"/>
      <c r="B145" s="118"/>
      <c r="C145" s="117"/>
      <c r="D145" s="118"/>
      <c r="E145" s="117"/>
      <c r="F145" s="118"/>
      <c r="G145" s="115"/>
      <c r="H145" s="116"/>
      <c r="I145" s="115"/>
      <c r="J145" s="116"/>
      <c r="K145" s="115"/>
      <c r="L145" s="116"/>
      <c r="M145" s="115"/>
      <c r="N145" s="116"/>
      <c r="O145" s="115"/>
      <c r="P145" s="116"/>
      <c r="Q145" s="115"/>
      <c r="R145" s="116"/>
      <c r="S145" s="115"/>
      <c r="T145" s="116"/>
      <c r="U145" s="115"/>
      <c r="V145" s="116"/>
      <c r="W145" s="117"/>
      <c r="X145" s="118"/>
      <c r="Z145" s="1" t="str">
        <f t="shared" si="2"/>
        <v/>
      </c>
    </row>
    <row r="146" spans="1:26" hidden="1" x14ac:dyDescent="0.25">
      <c r="A146" s="117"/>
      <c r="B146" s="118"/>
      <c r="C146" s="117"/>
      <c r="D146" s="118"/>
      <c r="E146" s="117"/>
      <c r="F146" s="118"/>
      <c r="G146" s="115"/>
      <c r="H146" s="116"/>
      <c r="I146" s="115"/>
      <c r="J146" s="116"/>
      <c r="K146" s="115"/>
      <c r="L146" s="116"/>
      <c r="M146" s="115"/>
      <c r="N146" s="116"/>
      <c r="O146" s="115"/>
      <c r="P146" s="116"/>
      <c r="Q146" s="115"/>
      <c r="R146" s="116"/>
      <c r="S146" s="115"/>
      <c r="T146" s="116"/>
      <c r="U146" s="115"/>
      <c r="V146" s="116"/>
      <c r="W146" s="117"/>
      <c r="X146" s="118"/>
      <c r="Z146" s="1" t="str">
        <f t="shared" si="2"/>
        <v/>
      </c>
    </row>
    <row r="147" spans="1:26" hidden="1" x14ac:dyDescent="0.25">
      <c r="A147" s="117"/>
      <c r="B147" s="118"/>
      <c r="C147" s="117"/>
      <c r="D147" s="118"/>
      <c r="E147" s="117"/>
      <c r="F147" s="118"/>
      <c r="G147" s="115"/>
      <c r="H147" s="116"/>
      <c r="I147" s="115"/>
      <c r="J147" s="116"/>
      <c r="K147" s="115"/>
      <c r="L147" s="116"/>
      <c r="M147" s="115"/>
      <c r="N147" s="116"/>
      <c r="O147" s="115"/>
      <c r="P147" s="116"/>
      <c r="Q147" s="115"/>
      <c r="R147" s="116"/>
      <c r="S147" s="115"/>
      <c r="T147" s="116"/>
      <c r="U147" s="115"/>
      <c r="V147" s="116"/>
      <c r="W147" s="117"/>
      <c r="X147" s="118"/>
      <c r="Z147" s="1" t="str">
        <f t="shared" si="2"/>
        <v/>
      </c>
    </row>
    <row r="148" spans="1:26" hidden="1" x14ac:dyDescent="0.25">
      <c r="A148" s="117"/>
      <c r="B148" s="118"/>
      <c r="C148" s="117"/>
      <c r="D148" s="118"/>
      <c r="E148" s="117"/>
      <c r="F148" s="118"/>
      <c r="G148" s="115"/>
      <c r="H148" s="116"/>
      <c r="I148" s="115"/>
      <c r="J148" s="116"/>
      <c r="K148" s="115"/>
      <c r="L148" s="116"/>
      <c r="M148" s="115"/>
      <c r="N148" s="116"/>
      <c r="O148" s="115"/>
      <c r="P148" s="116"/>
      <c r="Q148" s="115"/>
      <c r="R148" s="116"/>
      <c r="S148" s="115"/>
      <c r="T148" s="116"/>
      <c r="U148" s="115"/>
      <c r="V148" s="116"/>
      <c r="W148" s="117"/>
      <c r="X148" s="118"/>
      <c r="Z148" s="1" t="str">
        <f t="shared" si="2"/>
        <v/>
      </c>
    </row>
    <row r="149" spans="1:26" hidden="1" x14ac:dyDescent="0.25">
      <c r="A149" s="117"/>
      <c r="B149" s="118"/>
      <c r="C149" s="117"/>
      <c r="D149" s="118"/>
      <c r="E149" s="117"/>
      <c r="F149" s="118"/>
      <c r="G149" s="115"/>
      <c r="H149" s="116"/>
      <c r="I149" s="115"/>
      <c r="J149" s="116"/>
      <c r="K149" s="115"/>
      <c r="L149" s="116"/>
      <c r="M149" s="115"/>
      <c r="N149" s="116"/>
      <c r="O149" s="115"/>
      <c r="P149" s="116"/>
      <c r="Q149" s="115"/>
      <c r="R149" s="116"/>
      <c r="S149" s="115"/>
      <c r="T149" s="116"/>
      <c r="U149" s="115"/>
      <c r="V149" s="116"/>
      <c r="W149" s="117"/>
      <c r="X149" s="118"/>
      <c r="Z149" s="1" t="str">
        <f t="shared" si="2"/>
        <v/>
      </c>
    </row>
    <row r="150" spans="1:26" hidden="1" x14ac:dyDescent="0.25">
      <c r="A150" s="117"/>
      <c r="B150" s="118"/>
      <c r="C150" s="117"/>
      <c r="D150" s="118"/>
      <c r="E150" s="117"/>
      <c r="F150" s="118"/>
      <c r="G150" s="115"/>
      <c r="H150" s="116"/>
      <c r="I150" s="115"/>
      <c r="J150" s="116"/>
      <c r="K150" s="115"/>
      <c r="L150" s="116"/>
      <c r="M150" s="115"/>
      <c r="N150" s="116"/>
      <c r="O150" s="115"/>
      <c r="P150" s="116"/>
      <c r="Q150" s="115"/>
      <c r="R150" s="116"/>
      <c r="S150" s="115"/>
      <c r="T150" s="116"/>
      <c r="U150" s="115"/>
      <c r="V150" s="116"/>
      <c r="W150" s="117"/>
      <c r="X150" s="118"/>
      <c r="Z150" s="1" t="str">
        <f t="shared" si="2"/>
        <v/>
      </c>
    </row>
    <row r="151" spans="1:26" hidden="1" x14ac:dyDescent="0.25">
      <c r="A151" s="117"/>
      <c r="B151" s="118"/>
      <c r="C151" s="117"/>
      <c r="D151" s="118"/>
      <c r="E151" s="117"/>
      <c r="F151" s="118"/>
      <c r="G151" s="115"/>
      <c r="H151" s="116"/>
      <c r="I151" s="115"/>
      <c r="J151" s="116"/>
      <c r="K151" s="115"/>
      <c r="L151" s="116"/>
      <c r="M151" s="115"/>
      <c r="N151" s="116"/>
      <c r="O151" s="115"/>
      <c r="P151" s="116"/>
      <c r="Q151" s="115"/>
      <c r="R151" s="116"/>
      <c r="S151" s="115"/>
      <c r="T151" s="116"/>
      <c r="U151" s="115"/>
      <c r="V151" s="116"/>
      <c r="W151" s="117"/>
      <c r="X151" s="118"/>
      <c r="Z151" s="1" t="str">
        <f t="shared" si="2"/>
        <v/>
      </c>
    </row>
    <row r="152" spans="1:26" hidden="1" x14ac:dyDescent="0.25">
      <c r="A152" s="117"/>
      <c r="B152" s="118"/>
      <c r="C152" s="117"/>
      <c r="D152" s="118"/>
      <c r="E152" s="117"/>
      <c r="F152" s="118"/>
      <c r="G152" s="115"/>
      <c r="H152" s="116"/>
      <c r="I152" s="115"/>
      <c r="J152" s="116"/>
      <c r="K152" s="115"/>
      <c r="L152" s="116"/>
      <c r="M152" s="115"/>
      <c r="N152" s="116"/>
      <c r="O152" s="115"/>
      <c r="P152" s="116"/>
      <c r="Q152" s="115"/>
      <c r="R152" s="116"/>
      <c r="S152" s="115"/>
      <c r="T152" s="116"/>
      <c r="U152" s="115"/>
      <c r="V152" s="116"/>
      <c r="W152" s="117"/>
      <c r="X152" s="118"/>
      <c r="Z152" s="1" t="str">
        <f t="shared" si="2"/>
        <v/>
      </c>
    </row>
    <row r="153" spans="1:26" hidden="1" x14ac:dyDescent="0.25">
      <c r="A153" s="117"/>
      <c r="B153" s="118"/>
      <c r="C153" s="117"/>
      <c r="D153" s="118"/>
      <c r="E153" s="117"/>
      <c r="F153" s="118"/>
      <c r="G153" s="115"/>
      <c r="H153" s="116"/>
      <c r="I153" s="115"/>
      <c r="J153" s="116"/>
      <c r="K153" s="115"/>
      <c r="L153" s="116"/>
      <c r="M153" s="115"/>
      <c r="N153" s="116"/>
      <c r="O153" s="115"/>
      <c r="P153" s="116"/>
      <c r="Q153" s="115"/>
      <c r="R153" s="116"/>
      <c r="S153" s="115"/>
      <c r="T153" s="116"/>
      <c r="U153" s="115"/>
      <c r="V153" s="116"/>
      <c r="W153" s="117"/>
      <c r="X153" s="118"/>
      <c r="Z153" s="1" t="str">
        <f t="shared" si="2"/>
        <v/>
      </c>
    </row>
    <row r="154" spans="1:26" hidden="1" x14ac:dyDescent="0.25">
      <c r="A154" s="117"/>
      <c r="B154" s="118"/>
      <c r="C154" s="117"/>
      <c r="D154" s="118"/>
      <c r="E154" s="117"/>
      <c r="F154" s="118"/>
      <c r="G154" s="115"/>
      <c r="H154" s="116"/>
      <c r="I154" s="115"/>
      <c r="J154" s="116"/>
      <c r="K154" s="115"/>
      <c r="L154" s="116"/>
      <c r="M154" s="115"/>
      <c r="N154" s="116"/>
      <c r="O154" s="115"/>
      <c r="P154" s="116"/>
      <c r="Q154" s="115"/>
      <c r="R154" s="116"/>
      <c r="S154" s="115"/>
      <c r="T154" s="116"/>
      <c r="U154" s="115"/>
      <c r="V154" s="116"/>
      <c r="W154" s="117"/>
      <c r="X154" s="118"/>
      <c r="Z154" s="1" t="str">
        <f t="shared" si="2"/>
        <v/>
      </c>
    </row>
    <row r="155" spans="1:26" hidden="1" x14ac:dyDescent="0.25">
      <c r="A155" s="117"/>
      <c r="B155" s="118"/>
      <c r="C155" s="117"/>
      <c r="D155" s="118"/>
      <c r="E155" s="117"/>
      <c r="F155" s="118"/>
      <c r="G155" s="115"/>
      <c r="H155" s="116"/>
      <c r="I155" s="115"/>
      <c r="J155" s="116"/>
      <c r="K155" s="115"/>
      <c r="L155" s="116"/>
      <c r="M155" s="115"/>
      <c r="N155" s="116"/>
      <c r="O155" s="115"/>
      <c r="P155" s="116"/>
      <c r="Q155" s="115"/>
      <c r="R155" s="116"/>
      <c r="S155" s="115"/>
      <c r="T155" s="116"/>
      <c r="U155" s="115"/>
      <c r="V155" s="116"/>
      <c r="W155" s="117"/>
      <c r="X155" s="118"/>
      <c r="Z155" s="1" t="str">
        <f t="shared" si="2"/>
        <v/>
      </c>
    </row>
    <row r="156" spans="1:26" hidden="1" x14ac:dyDescent="0.25">
      <c r="A156" s="117"/>
      <c r="B156" s="118"/>
      <c r="C156" s="117"/>
      <c r="D156" s="118"/>
      <c r="E156" s="117"/>
      <c r="F156" s="118"/>
      <c r="G156" s="115"/>
      <c r="H156" s="116"/>
      <c r="I156" s="115"/>
      <c r="J156" s="116"/>
      <c r="K156" s="115"/>
      <c r="L156" s="116"/>
      <c r="M156" s="115"/>
      <c r="N156" s="116"/>
      <c r="O156" s="115"/>
      <c r="P156" s="116"/>
      <c r="Q156" s="115"/>
      <c r="R156" s="116"/>
      <c r="S156" s="115"/>
      <c r="T156" s="116"/>
      <c r="U156" s="115"/>
      <c r="V156" s="116"/>
      <c r="W156" s="117"/>
      <c r="X156" s="118"/>
      <c r="Z156" s="1" t="str">
        <f t="shared" si="2"/>
        <v/>
      </c>
    </row>
    <row r="157" spans="1:26" hidden="1" x14ac:dyDescent="0.25">
      <c r="A157" s="117"/>
      <c r="B157" s="118"/>
      <c r="C157" s="117"/>
      <c r="D157" s="118"/>
      <c r="E157" s="117"/>
      <c r="F157" s="118"/>
      <c r="G157" s="115"/>
      <c r="H157" s="116"/>
      <c r="I157" s="115"/>
      <c r="J157" s="116"/>
      <c r="K157" s="115"/>
      <c r="L157" s="116"/>
      <c r="M157" s="115"/>
      <c r="N157" s="116"/>
      <c r="O157" s="115"/>
      <c r="P157" s="116"/>
      <c r="Q157" s="115"/>
      <c r="R157" s="116"/>
      <c r="S157" s="115"/>
      <c r="T157" s="116"/>
      <c r="U157" s="115"/>
      <c r="V157" s="116"/>
      <c r="W157" s="117"/>
      <c r="X157" s="118"/>
      <c r="Z157" s="1" t="str">
        <f t="shared" si="2"/>
        <v/>
      </c>
    </row>
    <row r="158" spans="1:26" hidden="1" x14ac:dyDescent="0.25">
      <c r="A158" s="117"/>
      <c r="B158" s="118"/>
      <c r="C158" s="117"/>
      <c r="D158" s="118"/>
      <c r="E158" s="117"/>
      <c r="F158" s="118"/>
      <c r="G158" s="115"/>
      <c r="H158" s="116"/>
      <c r="I158" s="115"/>
      <c r="J158" s="116"/>
      <c r="K158" s="115"/>
      <c r="L158" s="116"/>
      <c r="M158" s="115"/>
      <c r="N158" s="116"/>
      <c r="O158" s="115"/>
      <c r="P158" s="116"/>
      <c r="Q158" s="115"/>
      <c r="R158" s="116"/>
      <c r="S158" s="115"/>
      <c r="T158" s="116"/>
      <c r="U158" s="115"/>
      <c r="V158" s="116"/>
      <c r="W158" s="117"/>
      <c r="X158" s="118"/>
      <c r="Z158" s="1" t="str">
        <f t="shared" si="2"/>
        <v/>
      </c>
    </row>
    <row r="159" spans="1:26" hidden="1" x14ac:dyDescent="0.25">
      <c r="A159" s="117"/>
      <c r="B159" s="118"/>
      <c r="C159" s="117"/>
      <c r="D159" s="118"/>
      <c r="E159" s="117"/>
      <c r="F159" s="118"/>
      <c r="G159" s="115"/>
      <c r="H159" s="116"/>
      <c r="I159" s="115"/>
      <c r="J159" s="116"/>
      <c r="K159" s="115"/>
      <c r="L159" s="116"/>
      <c r="M159" s="115"/>
      <c r="N159" s="116"/>
      <c r="O159" s="115"/>
      <c r="P159" s="116"/>
      <c r="Q159" s="115"/>
      <c r="R159" s="116"/>
      <c r="S159" s="115"/>
      <c r="T159" s="116"/>
      <c r="U159" s="115"/>
      <c r="V159" s="116"/>
      <c r="W159" s="117"/>
      <c r="X159" s="118"/>
      <c r="Z159" s="1" t="str">
        <f t="shared" si="2"/>
        <v/>
      </c>
    </row>
    <row r="160" spans="1:26" hidden="1" x14ac:dyDescent="0.25">
      <c r="A160" s="117"/>
      <c r="B160" s="118"/>
      <c r="C160" s="117"/>
      <c r="D160" s="118"/>
      <c r="E160" s="117"/>
      <c r="F160" s="118"/>
      <c r="G160" s="115"/>
      <c r="H160" s="116"/>
      <c r="I160" s="115"/>
      <c r="J160" s="116"/>
      <c r="K160" s="115"/>
      <c r="L160" s="116"/>
      <c r="M160" s="115"/>
      <c r="N160" s="116"/>
      <c r="O160" s="115"/>
      <c r="P160" s="116"/>
      <c r="Q160" s="115"/>
      <c r="R160" s="116"/>
      <c r="S160" s="115"/>
      <c r="T160" s="116"/>
      <c r="U160" s="115"/>
      <c r="V160" s="116"/>
      <c r="W160" s="117"/>
      <c r="X160" s="118"/>
      <c r="Z160" s="1" t="str">
        <f t="shared" si="2"/>
        <v/>
      </c>
    </row>
    <row r="161" spans="1:26" hidden="1" x14ac:dyDescent="0.25">
      <c r="A161" s="117"/>
      <c r="B161" s="118"/>
      <c r="C161" s="117"/>
      <c r="D161" s="118"/>
      <c r="E161" s="117"/>
      <c r="F161" s="118"/>
      <c r="G161" s="115"/>
      <c r="H161" s="116"/>
      <c r="I161" s="115"/>
      <c r="J161" s="116"/>
      <c r="K161" s="115"/>
      <c r="L161" s="116"/>
      <c r="M161" s="115"/>
      <c r="N161" s="116"/>
      <c r="O161" s="115"/>
      <c r="P161" s="116"/>
      <c r="Q161" s="115"/>
      <c r="R161" s="116"/>
      <c r="S161" s="115"/>
      <c r="T161" s="116"/>
      <c r="U161" s="115"/>
      <c r="V161" s="116"/>
      <c r="W161" s="117"/>
      <c r="X161" s="118"/>
      <c r="Z161" s="1" t="str">
        <f t="shared" si="2"/>
        <v/>
      </c>
    </row>
    <row r="162" spans="1:26" hidden="1" x14ac:dyDescent="0.25">
      <c r="A162" s="117"/>
      <c r="B162" s="118"/>
      <c r="C162" s="117"/>
      <c r="D162" s="118"/>
      <c r="E162" s="117"/>
      <c r="F162" s="118"/>
      <c r="G162" s="115"/>
      <c r="H162" s="116"/>
      <c r="I162" s="115"/>
      <c r="J162" s="116"/>
      <c r="K162" s="115"/>
      <c r="L162" s="116"/>
      <c r="M162" s="115"/>
      <c r="N162" s="116"/>
      <c r="O162" s="115"/>
      <c r="P162" s="116"/>
      <c r="Q162" s="115"/>
      <c r="R162" s="116"/>
      <c r="S162" s="115"/>
      <c r="T162" s="116"/>
      <c r="U162" s="115"/>
      <c r="V162" s="116"/>
      <c r="W162" s="117"/>
      <c r="X162" s="118"/>
      <c r="Z162" s="1" t="str">
        <f t="shared" si="2"/>
        <v/>
      </c>
    </row>
    <row r="163" spans="1:26" hidden="1" x14ac:dyDescent="0.25">
      <c r="A163" s="117"/>
      <c r="B163" s="118"/>
      <c r="C163" s="117"/>
      <c r="D163" s="118"/>
      <c r="E163" s="117"/>
      <c r="F163" s="118"/>
      <c r="G163" s="115"/>
      <c r="H163" s="116"/>
      <c r="I163" s="115"/>
      <c r="J163" s="116"/>
      <c r="K163" s="115"/>
      <c r="L163" s="116"/>
      <c r="M163" s="115"/>
      <c r="N163" s="116"/>
      <c r="O163" s="115"/>
      <c r="P163" s="116"/>
      <c r="Q163" s="115"/>
      <c r="R163" s="116"/>
      <c r="S163" s="115"/>
      <c r="T163" s="116"/>
      <c r="U163" s="115"/>
      <c r="V163" s="116"/>
      <c r="W163" s="117"/>
      <c r="X163" s="118"/>
      <c r="Z163" s="1" t="str">
        <f t="shared" si="2"/>
        <v/>
      </c>
    </row>
    <row r="164" spans="1:26" hidden="1" x14ac:dyDescent="0.25">
      <c r="A164" s="117"/>
      <c r="B164" s="118"/>
      <c r="C164" s="117"/>
      <c r="D164" s="118"/>
      <c r="E164" s="117"/>
      <c r="F164" s="118"/>
      <c r="G164" s="115"/>
      <c r="H164" s="116"/>
      <c r="I164" s="115"/>
      <c r="J164" s="116"/>
      <c r="K164" s="115"/>
      <c r="L164" s="116"/>
      <c r="M164" s="115"/>
      <c r="N164" s="116"/>
      <c r="O164" s="115"/>
      <c r="P164" s="116"/>
      <c r="Q164" s="115"/>
      <c r="R164" s="116"/>
      <c r="S164" s="115"/>
      <c r="T164" s="116"/>
      <c r="U164" s="115"/>
      <c r="V164" s="116"/>
      <c r="W164" s="117"/>
      <c r="X164" s="118"/>
      <c r="Z164" s="1" t="str">
        <f t="shared" si="2"/>
        <v/>
      </c>
    </row>
    <row r="165" spans="1:26" hidden="1" x14ac:dyDescent="0.25">
      <c r="A165" s="117"/>
      <c r="B165" s="118"/>
      <c r="C165" s="117"/>
      <c r="D165" s="118"/>
      <c r="E165" s="117"/>
      <c r="F165" s="118"/>
      <c r="G165" s="115"/>
      <c r="H165" s="116"/>
      <c r="I165" s="115"/>
      <c r="J165" s="116"/>
      <c r="K165" s="115"/>
      <c r="L165" s="116"/>
      <c r="M165" s="115"/>
      <c r="N165" s="116"/>
      <c r="O165" s="115"/>
      <c r="P165" s="116"/>
      <c r="Q165" s="115"/>
      <c r="R165" s="116"/>
      <c r="S165" s="115"/>
      <c r="T165" s="116"/>
      <c r="U165" s="115"/>
      <c r="V165" s="116"/>
      <c r="W165" s="117"/>
      <c r="X165" s="118"/>
      <c r="Z165" s="1" t="str">
        <f t="shared" si="2"/>
        <v/>
      </c>
    </row>
    <row r="166" spans="1:26" hidden="1" x14ac:dyDescent="0.25">
      <c r="A166" s="117"/>
      <c r="B166" s="118"/>
      <c r="C166" s="117"/>
      <c r="D166" s="118"/>
      <c r="E166" s="117"/>
      <c r="F166" s="118"/>
      <c r="G166" s="115"/>
      <c r="H166" s="116"/>
      <c r="I166" s="115"/>
      <c r="J166" s="116"/>
      <c r="K166" s="115"/>
      <c r="L166" s="116"/>
      <c r="M166" s="115"/>
      <c r="N166" s="116"/>
      <c r="O166" s="115"/>
      <c r="P166" s="116"/>
      <c r="Q166" s="115"/>
      <c r="R166" s="116"/>
      <c r="S166" s="115"/>
      <c r="T166" s="116"/>
      <c r="U166" s="115"/>
      <c r="V166" s="116"/>
      <c r="W166" s="117"/>
      <c r="X166" s="118"/>
      <c r="Z166" s="1" t="str">
        <f t="shared" si="2"/>
        <v/>
      </c>
    </row>
    <row r="167" spans="1:26" hidden="1" x14ac:dyDescent="0.25">
      <c r="A167" s="117"/>
      <c r="B167" s="118"/>
      <c r="C167" s="117"/>
      <c r="D167" s="118"/>
      <c r="E167" s="117"/>
      <c r="F167" s="118"/>
      <c r="G167" s="115"/>
      <c r="H167" s="116"/>
      <c r="I167" s="115"/>
      <c r="J167" s="116"/>
      <c r="K167" s="115"/>
      <c r="L167" s="116"/>
      <c r="M167" s="115"/>
      <c r="N167" s="116"/>
      <c r="O167" s="115"/>
      <c r="P167" s="116"/>
      <c r="Q167" s="115"/>
      <c r="R167" s="116"/>
      <c r="S167" s="115"/>
      <c r="T167" s="116"/>
      <c r="U167" s="115"/>
      <c r="V167" s="116"/>
      <c r="W167" s="117"/>
      <c r="X167" s="118"/>
      <c r="Z167" s="1" t="str">
        <f t="shared" si="2"/>
        <v/>
      </c>
    </row>
    <row r="168" spans="1:26" hidden="1" x14ac:dyDescent="0.25">
      <c r="A168" s="117"/>
      <c r="B168" s="118"/>
      <c r="C168" s="117"/>
      <c r="D168" s="118"/>
      <c r="E168" s="117"/>
      <c r="F168" s="118"/>
      <c r="G168" s="115"/>
      <c r="H168" s="116"/>
      <c r="I168" s="115"/>
      <c r="J168" s="116"/>
      <c r="K168" s="115"/>
      <c r="L168" s="116"/>
      <c r="M168" s="115"/>
      <c r="N168" s="116"/>
      <c r="O168" s="115"/>
      <c r="P168" s="116"/>
      <c r="Q168" s="115"/>
      <c r="R168" s="116"/>
      <c r="S168" s="115"/>
      <c r="T168" s="116"/>
      <c r="U168" s="115"/>
      <c r="V168" s="116"/>
      <c r="W168" s="117"/>
      <c r="X168" s="118"/>
      <c r="Z168" s="1" t="str">
        <f t="shared" si="2"/>
        <v/>
      </c>
    </row>
    <row r="169" spans="1:26" hidden="1" x14ac:dyDescent="0.25">
      <c r="A169" s="117"/>
      <c r="B169" s="118"/>
      <c r="C169" s="117"/>
      <c r="D169" s="118"/>
      <c r="E169" s="117"/>
      <c r="F169" s="118"/>
      <c r="G169" s="115"/>
      <c r="H169" s="116"/>
      <c r="I169" s="115"/>
      <c r="J169" s="116"/>
      <c r="K169" s="115"/>
      <c r="L169" s="116"/>
      <c r="M169" s="115"/>
      <c r="N169" s="116"/>
      <c r="O169" s="115"/>
      <c r="P169" s="116"/>
      <c r="Q169" s="115"/>
      <c r="R169" s="116"/>
      <c r="S169" s="115"/>
      <c r="T169" s="116"/>
      <c r="U169" s="115"/>
      <c r="V169" s="116"/>
      <c r="W169" s="117"/>
      <c r="X169" s="118"/>
      <c r="Z169" s="1" t="str">
        <f t="shared" si="2"/>
        <v/>
      </c>
    </row>
    <row r="170" spans="1:26" hidden="1" x14ac:dyDescent="0.25">
      <c r="A170" s="117"/>
      <c r="B170" s="118"/>
      <c r="C170" s="117"/>
      <c r="D170" s="118"/>
      <c r="E170" s="117"/>
      <c r="F170" s="118"/>
      <c r="G170" s="115"/>
      <c r="H170" s="116"/>
      <c r="I170" s="115"/>
      <c r="J170" s="116"/>
      <c r="K170" s="115"/>
      <c r="L170" s="116"/>
      <c r="M170" s="115"/>
      <c r="N170" s="116"/>
      <c r="O170" s="115"/>
      <c r="P170" s="116"/>
      <c r="Q170" s="115"/>
      <c r="R170" s="116"/>
      <c r="S170" s="115"/>
      <c r="T170" s="116"/>
      <c r="U170" s="115"/>
      <c r="V170" s="116"/>
      <c r="W170" s="117"/>
      <c r="X170" s="118"/>
      <c r="Z170" s="1" t="str">
        <f t="shared" si="2"/>
        <v/>
      </c>
    </row>
    <row r="171" spans="1:26" hidden="1" x14ac:dyDescent="0.25">
      <c r="A171" s="117"/>
      <c r="B171" s="118"/>
      <c r="C171" s="117"/>
      <c r="D171" s="118"/>
      <c r="E171" s="117"/>
      <c r="F171" s="118"/>
      <c r="G171" s="115"/>
      <c r="H171" s="116"/>
      <c r="I171" s="115"/>
      <c r="J171" s="116"/>
      <c r="K171" s="115"/>
      <c r="L171" s="116"/>
      <c r="M171" s="115"/>
      <c r="N171" s="116"/>
      <c r="O171" s="115"/>
      <c r="P171" s="116"/>
      <c r="Q171" s="115"/>
      <c r="R171" s="116"/>
      <c r="S171" s="115"/>
      <c r="T171" s="116"/>
      <c r="U171" s="115"/>
      <c r="V171" s="116"/>
      <c r="W171" s="117"/>
      <c r="X171" s="118"/>
      <c r="Z171" s="1" t="str">
        <f t="shared" si="2"/>
        <v/>
      </c>
    </row>
    <row r="172" spans="1:26" hidden="1" x14ac:dyDescent="0.25">
      <c r="A172" s="117"/>
      <c r="B172" s="118"/>
      <c r="C172" s="117"/>
      <c r="D172" s="118"/>
      <c r="E172" s="117"/>
      <c r="F172" s="118"/>
      <c r="G172" s="115"/>
      <c r="H172" s="116"/>
      <c r="I172" s="115"/>
      <c r="J172" s="116"/>
      <c r="K172" s="115"/>
      <c r="L172" s="116"/>
      <c r="M172" s="115"/>
      <c r="N172" s="116"/>
      <c r="O172" s="115"/>
      <c r="P172" s="116"/>
      <c r="Q172" s="115"/>
      <c r="R172" s="116"/>
      <c r="S172" s="115"/>
      <c r="T172" s="116"/>
      <c r="U172" s="115"/>
      <c r="V172" s="116"/>
      <c r="W172" s="117"/>
      <c r="X172" s="118"/>
      <c r="Z172" s="1" t="str">
        <f t="shared" si="2"/>
        <v/>
      </c>
    </row>
    <row r="173" spans="1:26" hidden="1" x14ac:dyDescent="0.25">
      <c r="A173" s="117"/>
      <c r="B173" s="118"/>
      <c r="C173" s="117"/>
      <c r="D173" s="118"/>
      <c r="E173" s="117"/>
      <c r="F173" s="118"/>
      <c r="G173" s="115"/>
      <c r="H173" s="116"/>
      <c r="I173" s="115"/>
      <c r="J173" s="116"/>
      <c r="K173" s="115"/>
      <c r="L173" s="116"/>
      <c r="M173" s="115"/>
      <c r="N173" s="116"/>
      <c r="O173" s="115"/>
      <c r="P173" s="116"/>
      <c r="Q173" s="115"/>
      <c r="R173" s="116"/>
      <c r="S173" s="115"/>
      <c r="T173" s="116"/>
      <c r="U173" s="115"/>
      <c r="V173" s="116"/>
      <c r="W173" s="117"/>
      <c r="X173" s="118"/>
      <c r="Z173" s="1" t="str">
        <f t="shared" si="2"/>
        <v/>
      </c>
    </row>
    <row r="174" spans="1:26" hidden="1" x14ac:dyDescent="0.25">
      <c r="A174" s="117"/>
      <c r="B174" s="118"/>
      <c r="C174" s="117"/>
      <c r="D174" s="118"/>
      <c r="E174" s="117"/>
      <c r="F174" s="118"/>
      <c r="G174" s="115"/>
      <c r="H174" s="116"/>
      <c r="I174" s="115"/>
      <c r="J174" s="116"/>
      <c r="K174" s="115"/>
      <c r="L174" s="116"/>
      <c r="M174" s="115"/>
      <c r="N174" s="116"/>
      <c r="O174" s="115"/>
      <c r="P174" s="116"/>
      <c r="Q174" s="115"/>
      <c r="R174" s="116"/>
      <c r="S174" s="115"/>
      <c r="T174" s="116"/>
      <c r="U174" s="115"/>
      <c r="V174" s="116"/>
      <c r="W174" s="117"/>
      <c r="X174" s="118"/>
      <c r="Z174" s="1" t="str">
        <f t="shared" si="2"/>
        <v/>
      </c>
    </row>
    <row r="175" spans="1:26" hidden="1" x14ac:dyDescent="0.25">
      <c r="A175" s="117"/>
      <c r="B175" s="118"/>
      <c r="C175" s="117"/>
      <c r="D175" s="118"/>
      <c r="E175" s="117"/>
      <c r="F175" s="118"/>
      <c r="G175" s="115"/>
      <c r="H175" s="116"/>
      <c r="I175" s="115"/>
      <c r="J175" s="116"/>
      <c r="K175" s="115"/>
      <c r="L175" s="116"/>
      <c r="M175" s="115"/>
      <c r="N175" s="116"/>
      <c r="O175" s="115"/>
      <c r="P175" s="116"/>
      <c r="Q175" s="115"/>
      <c r="R175" s="116"/>
      <c r="S175" s="115"/>
      <c r="T175" s="116"/>
      <c r="U175" s="115"/>
      <c r="V175" s="116"/>
      <c r="W175" s="117"/>
      <c r="X175" s="118"/>
      <c r="Z175" s="1" t="str">
        <f t="shared" si="2"/>
        <v/>
      </c>
    </row>
    <row r="176" spans="1:26" hidden="1" x14ac:dyDescent="0.25">
      <c r="A176" s="117"/>
      <c r="B176" s="118"/>
      <c r="C176" s="117"/>
      <c r="D176" s="118"/>
      <c r="E176" s="117"/>
      <c r="F176" s="118"/>
      <c r="G176" s="115"/>
      <c r="H176" s="116"/>
      <c r="I176" s="115"/>
      <c r="J176" s="116"/>
      <c r="K176" s="115"/>
      <c r="L176" s="116"/>
      <c r="M176" s="115"/>
      <c r="N176" s="116"/>
      <c r="O176" s="115"/>
      <c r="P176" s="116"/>
      <c r="Q176" s="115"/>
      <c r="R176" s="116"/>
      <c r="S176" s="115"/>
      <c r="T176" s="116"/>
      <c r="U176" s="115"/>
      <c r="V176" s="116"/>
      <c r="W176" s="117"/>
      <c r="X176" s="118"/>
      <c r="Z176" s="1" t="str">
        <f t="shared" si="2"/>
        <v/>
      </c>
    </row>
    <row r="177" spans="1:26" hidden="1" x14ac:dyDescent="0.25">
      <c r="A177" s="117"/>
      <c r="B177" s="118"/>
      <c r="C177" s="117"/>
      <c r="D177" s="118"/>
      <c r="E177" s="117"/>
      <c r="F177" s="118"/>
      <c r="G177" s="115"/>
      <c r="H177" s="116"/>
      <c r="I177" s="115"/>
      <c r="J177" s="116"/>
      <c r="K177" s="115"/>
      <c r="L177" s="116"/>
      <c r="M177" s="115"/>
      <c r="N177" s="116"/>
      <c r="O177" s="115"/>
      <c r="P177" s="116"/>
      <c r="Q177" s="115"/>
      <c r="R177" s="116"/>
      <c r="S177" s="115"/>
      <c r="T177" s="116"/>
      <c r="U177" s="115"/>
      <c r="V177" s="116"/>
      <c r="W177" s="117"/>
      <c r="X177" s="118"/>
      <c r="Z177" s="1" t="str">
        <f t="shared" si="2"/>
        <v/>
      </c>
    </row>
    <row r="178" spans="1:26" hidden="1" x14ac:dyDescent="0.25">
      <c r="A178" s="117"/>
      <c r="B178" s="118"/>
      <c r="C178" s="117"/>
      <c r="D178" s="118"/>
      <c r="E178" s="117"/>
      <c r="F178" s="118"/>
      <c r="G178" s="115"/>
      <c r="H178" s="116"/>
      <c r="I178" s="115"/>
      <c r="J178" s="116"/>
      <c r="K178" s="115"/>
      <c r="L178" s="116"/>
      <c r="M178" s="115"/>
      <c r="N178" s="116"/>
      <c r="O178" s="115"/>
      <c r="P178" s="116"/>
      <c r="Q178" s="115"/>
      <c r="R178" s="116"/>
      <c r="S178" s="115"/>
      <c r="T178" s="116"/>
      <c r="U178" s="115"/>
      <c r="V178" s="116"/>
      <c r="W178" s="117"/>
      <c r="X178" s="118"/>
      <c r="Z178" s="1" t="str">
        <f t="shared" si="2"/>
        <v/>
      </c>
    </row>
    <row r="179" spans="1:26" hidden="1" x14ac:dyDescent="0.25">
      <c r="A179" s="117"/>
      <c r="B179" s="118"/>
      <c r="C179" s="117"/>
      <c r="D179" s="118"/>
      <c r="E179" s="117"/>
      <c r="F179" s="118"/>
      <c r="G179" s="115"/>
      <c r="H179" s="116"/>
      <c r="I179" s="115"/>
      <c r="J179" s="116"/>
      <c r="K179" s="115"/>
      <c r="L179" s="116"/>
      <c r="M179" s="115"/>
      <c r="N179" s="116"/>
      <c r="O179" s="115"/>
      <c r="P179" s="116"/>
      <c r="Q179" s="115"/>
      <c r="R179" s="116"/>
      <c r="S179" s="115"/>
      <c r="T179" s="116"/>
      <c r="U179" s="115"/>
      <c r="V179" s="116"/>
      <c r="W179" s="117"/>
      <c r="X179" s="118"/>
      <c r="Z179" s="1" t="str">
        <f t="shared" si="2"/>
        <v/>
      </c>
    </row>
    <row r="180" spans="1:26" hidden="1" x14ac:dyDescent="0.25">
      <c r="A180" s="117"/>
      <c r="B180" s="118"/>
      <c r="C180" s="117"/>
      <c r="D180" s="118"/>
      <c r="E180" s="117"/>
      <c r="F180" s="118"/>
      <c r="G180" s="115"/>
      <c r="H180" s="116"/>
      <c r="I180" s="115"/>
      <c r="J180" s="116"/>
      <c r="K180" s="115"/>
      <c r="L180" s="116"/>
      <c r="M180" s="115"/>
      <c r="N180" s="116"/>
      <c r="O180" s="115"/>
      <c r="P180" s="116"/>
      <c r="Q180" s="115"/>
      <c r="R180" s="116"/>
      <c r="S180" s="115"/>
      <c r="T180" s="116"/>
      <c r="U180" s="115"/>
      <c r="V180" s="116"/>
      <c r="W180" s="117"/>
      <c r="X180" s="118"/>
      <c r="Z180" s="1" t="str">
        <f t="shared" si="2"/>
        <v/>
      </c>
    </row>
    <row r="181" spans="1:26" hidden="1" x14ac:dyDescent="0.25">
      <c r="A181" s="117"/>
      <c r="B181" s="118"/>
      <c r="C181" s="117"/>
      <c r="D181" s="118"/>
      <c r="E181" s="117"/>
      <c r="F181" s="118"/>
      <c r="G181" s="115"/>
      <c r="H181" s="116"/>
      <c r="I181" s="115"/>
      <c r="J181" s="116"/>
      <c r="K181" s="115"/>
      <c r="L181" s="116"/>
      <c r="M181" s="115"/>
      <c r="N181" s="116"/>
      <c r="O181" s="115"/>
      <c r="P181" s="116"/>
      <c r="Q181" s="115"/>
      <c r="R181" s="116"/>
      <c r="S181" s="115"/>
      <c r="T181" s="116"/>
      <c r="U181" s="115"/>
      <c r="V181" s="116"/>
      <c r="W181" s="117"/>
      <c r="X181" s="118"/>
      <c r="Z181" s="1" t="str">
        <f t="shared" si="2"/>
        <v/>
      </c>
    </row>
    <row r="182" spans="1:26" hidden="1" x14ac:dyDescent="0.25">
      <c r="A182" s="117"/>
      <c r="B182" s="118"/>
      <c r="C182" s="117"/>
      <c r="D182" s="118"/>
      <c r="E182" s="117"/>
      <c r="F182" s="118"/>
      <c r="G182" s="115"/>
      <c r="H182" s="116"/>
      <c r="I182" s="115"/>
      <c r="J182" s="116"/>
      <c r="K182" s="115"/>
      <c r="L182" s="116"/>
      <c r="M182" s="115"/>
      <c r="N182" s="116"/>
      <c r="O182" s="115"/>
      <c r="P182" s="116"/>
      <c r="Q182" s="115"/>
      <c r="R182" s="116"/>
      <c r="S182" s="115"/>
      <c r="T182" s="116"/>
      <c r="U182" s="115"/>
      <c r="V182" s="116"/>
      <c r="W182" s="117"/>
      <c r="X182" s="118"/>
      <c r="Z182" s="1" t="str">
        <f t="shared" si="2"/>
        <v/>
      </c>
    </row>
    <row r="183" spans="1:26" hidden="1" x14ac:dyDescent="0.25">
      <c r="A183" s="117"/>
      <c r="B183" s="118"/>
      <c r="C183" s="117"/>
      <c r="D183" s="118"/>
      <c r="E183" s="117"/>
      <c r="F183" s="118"/>
      <c r="G183" s="115"/>
      <c r="H183" s="116"/>
      <c r="I183" s="115"/>
      <c r="J183" s="116"/>
      <c r="K183" s="115"/>
      <c r="L183" s="116"/>
      <c r="M183" s="115"/>
      <c r="N183" s="116"/>
      <c r="O183" s="115"/>
      <c r="P183" s="116"/>
      <c r="Q183" s="115"/>
      <c r="R183" s="116"/>
      <c r="S183" s="115"/>
      <c r="T183" s="116"/>
      <c r="U183" s="115"/>
      <c r="V183" s="116"/>
      <c r="W183" s="117"/>
      <c r="X183" s="118"/>
      <c r="Z183" s="1" t="str">
        <f t="shared" si="2"/>
        <v/>
      </c>
    </row>
    <row r="184" spans="1:26" hidden="1" x14ac:dyDescent="0.25">
      <c r="A184" s="117"/>
      <c r="B184" s="118"/>
      <c r="C184" s="117"/>
      <c r="D184" s="118"/>
      <c r="E184" s="117"/>
      <c r="F184" s="118"/>
      <c r="G184" s="115"/>
      <c r="H184" s="116"/>
      <c r="I184" s="115"/>
      <c r="J184" s="116"/>
      <c r="K184" s="115"/>
      <c r="L184" s="116"/>
      <c r="M184" s="115"/>
      <c r="N184" s="116"/>
      <c r="O184" s="115"/>
      <c r="P184" s="116"/>
      <c r="Q184" s="115"/>
      <c r="R184" s="116"/>
      <c r="S184" s="115"/>
      <c r="T184" s="116"/>
      <c r="U184" s="115"/>
      <c r="V184" s="116"/>
      <c r="W184" s="117"/>
      <c r="X184" s="118"/>
      <c r="Z184" s="1" t="str">
        <f t="shared" si="2"/>
        <v/>
      </c>
    </row>
    <row r="185" spans="1:26" hidden="1" x14ac:dyDescent="0.25">
      <c r="A185" s="117"/>
      <c r="B185" s="118"/>
      <c r="C185" s="117"/>
      <c r="D185" s="118"/>
      <c r="E185" s="117"/>
      <c r="F185" s="118"/>
      <c r="G185" s="115"/>
      <c r="H185" s="116"/>
      <c r="I185" s="115"/>
      <c r="J185" s="116"/>
      <c r="K185" s="115"/>
      <c r="L185" s="116"/>
      <c r="M185" s="115"/>
      <c r="N185" s="116"/>
      <c r="O185" s="115"/>
      <c r="P185" s="116"/>
      <c r="Q185" s="115"/>
      <c r="R185" s="116"/>
      <c r="S185" s="115"/>
      <c r="T185" s="116"/>
      <c r="U185" s="115"/>
      <c r="V185" s="116"/>
      <c r="W185" s="117"/>
      <c r="X185" s="118"/>
      <c r="Z185" s="1" t="str">
        <f t="shared" si="2"/>
        <v/>
      </c>
    </row>
    <row r="186" spans="1:26" hidden="1" x14ac:dyDescent="0.25">
      <c r="A186" s="117"/>
      <c r="B186" s="118"/>
      <c r="C186" s="117"/>
      <c r="D186" s="118"/>
      <c r="E186" s="117"/>
      <c r="F186" s="118"/>
      <c r="G186" s="115"/>
      <c r="H186" s="116"/>
      <c r="I186" s="115"/>
      <c r="J186" s="116"/>
      <c r="K186" s="115"/>
      <c r="L186" s="116"/>
      <c r="M186" s="115"/>
      <c r="N186" s="116"/>
      <c r="O186" s="115"/>
      <c r="P186" s="116"/>
      <c r="Q186" s="115"/>
      <c r="R186" s="116"/>
      <c r="S186" s="115"/>
      <c r="T186" s="116"/>
      <c r="U186" s="115"/>
      <c r="V186" s="116"/>
      <c r="W186" s="117"/>
      <c r="X186" s="118"/>
      <c r="Z186" s="1" t="str">
        <f t="shared" si="2"/>
        <v/>
      </c>
    </row>
    <row r="187" spans="1:26" hidden="1" x14ac:dyDescent="0.25">
      <c r="A187" s="117"/>
      <c r="B187" s="118"/>
      <c r="C187" s="117"/>
      <c r="D187" s="118"/>
      <c r="E187" s="117"/>
      <c r="F187" s="118"/>
      <c r="G187" s="115"/>
      <c r="H187" s="116"/>
      <c r="I187" s="115"/>
      <c r="J187" s="116"/>
      <c r="K187" s="115"/>
      <c r="L187" s="116"/>
      <c r="M187" s="115"/>
      <c r="N187" s="116"/>
      <c r="O187" s="115"/>
      <c r="P187" s="116"/>
      <c r="Q187" s="115"/>
      <c r="R187" s="116"/>
      <c r="S187" s="115"/>
      <c r="T187" s="116"/>
      <c r="U187" s="115"/>
      <c r="V187" s="116"/>
      <c r="W187" s="117"/>
      <c r="X187" s="118"/>
      <c r="Z187" s="1" t="str">
        <f t="shared" si="2"/>
        <v/>
      </c>
    </row>
    <row r="188" spans="1:26" hidden="1" x14ac:dyDescent="0.25">
      <c r="A188" s="117"/>
      <c r="B188" s="118"/>
      <c r="C188" s="117"/>
      <c r="D188" s="118"/>
      <c r="E188" s="117"/>
      <c r="F188" s="118"/>
      <c r="G188" s="115"/>
      <c r="H188" s="116"/>
      <c r="I188" s="115"/>
      <c r="J188" s="116"/>
      <c r="K188" s="115"/>
      <c r="L188" s="116"/>
      <c r="M188" s="115"/>
      <c r="N188" s="116"/>
      <c r="O188" s="115"/>
      <c r="P188" s="116"/>
      <c r="Q188" s="115"/>
      <c r="R188" s="116"/>
      <c r="S188" s="115"/>
      <c r="T188" s="116"/>
      <c r="U188" s="115"/>
      <c r="V188" s="116"/>
      <c r="W188" s="117"/>
      <c r="X188" s="118"/>
      <c r="Z188" s="1" t="str">
        <f t="shared" si="2"/>
        <v/>
      </c>
    </row>
    <row r="189" spans="1:26" hidden="1" x14ac:dyDescent="0.25">
      <c r="A189" s="117"/>
      <c r="B189" s="118"/>
      <c r="C189" s="117"/>
      <c r="D189" s="118"/>
      <c r="E189" s="117"/>
      <c r="F189" s="118"/>
      <c r="G189" s="115"/>
      <c r="H189" s="116"/>
      <c r="I189" s="115"/>
      <c r="J189" s="116"/>
      <c r="K189" s="115"/>
      <c r="L189" s="116"/>
      <c r="M189" s="115"/>
      <c r="N189" s="116"/>
      <c r="O189" s="115"/>
      <c r="P189" s="116"/>
      <c r="Q189" s="115"/>
      <c r="R189" s="116"/>
      <c r="S189" s="115"/>
      <c r="T189" s="116"/>
      <c r="U189" s="115"/>
      <c r="V189" s="116"/>
      <c r="W189" s="117"/>
      <c r="X189" s="118"/>
      <c r="Z189" s="1" t="str">
        <f t="shared" si="2"/>
        <v/>
      </c>
    </row>
    <row r="190" spans="1:26" hidden="1" x14ac:dyDescent="0.25">
      <c r="A190" s="117"/>
      <c r="B190" s="118"/>
      <c r="C190" s="117"/>
      <c r="D190" s="118"/>
      <c r="E190" s="117"/>
      <c r="F190" s="118"/>
      <c r="G190" s="115"/>
      <c r="H190" s="116"/>
      <c r="I190" s="115"/>
      <c r="J190" s="116"/>
      <c r="K190" s="115"/>
      <c r="L190" s="116"/>
      <c r="M190" s="115"/>
      <c r="N190" s="116"/>
      <c r="O190" s="115"/>
      <c r="P190" s="116"/>
      <c r="Q190" s="115"/>
      <c r="R190" s="116"/>
      <c r="S190" s="115"/>
      <c r="T190" s="116"/>
      <c r="U190" s="115"/>
      <c r="V190" s="116"/>
      <c r="W190" s="117"/>
      <c r="X190" s="118"/>
      <c r="Z190" s="1" t="str">
        <f t="shared" si="2"/>
        <v/>
      </c>
    </row>
    <row r="191" spans="1:26" hidden="1" x14ac:dyDescent="0.25">
      <c r="A191" s="117"/>
      <c r="B191" s="118"/>
      <c r="C191" s="117"/>
      <c r="D191" s="118"/>
      <c r="E191" s="117"/>
      <c r="F191" s="118"/>
      <c r="G191" s="115"/>
      <c r="H191" s="116"/>
      <c r="I191" s="115"/>
      <c r="J191" s="116"/>
      <c r="K191" s="115"/>
      <c r="L191" s="116"/>
      <c r="M191" s="115"/>
      <c r="N191" s="116"/>
      <c r="O191" s="115"/>
      <c r="P191" s="116"/>
      <c r="Q191" s="115"/>
      <c r="R191" s="116"/>
      <c r="S191" s="115"/>
      <c r="T191" s="116"/>
      <c r="U191" s="115"/>
      <c r="V191" s="116"/>
      <c r="W191" s="117"/>
      <c r="X191" s="118"/>
      <c r="Z191" s="1" t="str">
        <f t="shared" si="2"/>
        <v/>
      </c>
    </row>
    <row r="192" spans="1:26" hidden="1" x14ac:dyDescent="0.25">
      <c r="A192" s="117"/>
      <c r="B192" s="118"/>
      <c r="C192" s="117"/>
      <c r="D192" s="118"/>
      <c r="E192" s="117"/>
      <c r="F192" s="118"/>
      <c r="G192" s="115"/>
      <c r="H192" s="116"/>
      <c r="I192" s="115"/>
      <c r="J192" s="116"/>
      <c r="K192" s="115"/>
      <c r="L192" s="116"/>
      <c r="M192" s="115"/>
      <c r="N192" s="116"/>
      <c r="O192" s="115"/>
      <c r="P192" s="116"/>
      <c r="Q192" s="115"/>
      <c r="R192" s="116"/>
      <c r="S192" s="115"/>
      <c r="T192" s="116"/>
      <c r="U192" s="115"/>
      <c r="V192" s="116"/>
      <c r="W192" s="117"/>
      <c r="X192" s="118"/>
      <c r="Z192" s="1" t="str">
        <f t="shared" si="2"/>
        <v/>
      </c>
    </row>
    <row r="193" spans="1:26" hidden="1" x14ac:dyDescent="0.25">
      <c r="A193" s="117"/>
      <c r="B193" s="118"/>
      <c r="C193" s="117"/>
      <c r="D193" s="118"/>
      <c r="E193" s="117"/>
      <c r="F193" s="118"/>
      <c r="G193" s="115"/>
      <c r="H193" s="116"/>
      <c r="I193" s="115"/>
      <c r="J193" s="116"/>
      <c r="K193" s="115"/>
      <c r="L193" s="116"/>
      <c r="M193" s="115"/>
      <c r="N193" s="116"/>
      <c r="O193" s="115"/>
      <c r="P193" s="116"/>
      <c r="Q193" s="115"/>
      <c r="R193" s="116"/>
      <c r="S193" s="115"/>
      <c r="T193" s="116"/>
      <c r="U193" s="115"/>
      <c r="V193" s="116"/>
      <c r="W193" s="117"/>
      <c r="X193" s="118"/>
      <c r="Z193" s="1" t="str">
        <f t="shared" si="2"/>
        <v/>
      </c>
    </row>
    <row r="194" spans="1:26" hidden="1" x14ac:dyDescent="0.25">
      <c r="A194" s="117"/>
      <c r="B194" s="118"/>
      <c r="C194" s="117"/>
      <c r="D194" s="118"/>
      <c r="E194" s="117"/>
      <c r="F194" s="118"/>
      <c r="G194" s="115"/>
      <c r="H194" s="116"/>
      <c r="I194" s="115"/>
      <c r="J194" s="116"/>
      <c r="K194" s="115"/>
      <c r="L194" s="116"/>
      <c r="M194" s="115"/>
      <c r="N194" s="116"/>
      <c r="O194" s="115"/>
      <c r="P194" s="116"/>
      <c r="Q194" s="115"/>
      <c r="R194" s="116"/>
      <c r="S194" s="115"/>
      <c r="T194" s="116"/>
      <c r="U194" s="115"/>
      <c r="V194" s="116"/>
      <c r="W194" s="117"/>
      <c r="X194" s="118"/>
      <c r="Z194" s="1" t="str">
        <f t="shared" si="2"/>
        <v/>
      </c>
    </row>
    <row r="195" spans="1:26" hidden="1" x14ac:dyDescent="0.25">
      <c r="A195" s="117"/>
      <c r="B195" s="118"/>
      <c r="C195" s="117"/>
      <c r="D195" s="118"/>
      <c r="E195" s="117"/>
      <c r="F195" s="118"/>
      <c r="G195" s="115"/>
      <c r="H195" s="116"/>
      <c r="I195" s="115"/>
      <c r="J195" s="116"/>
      <c r="K195" s="115"/>
      <c r="L195" s="116"/>
      <c r="M195" s="115"/>
      <c r="N195" s="116"/>
      <c r="O195" s="115"/>
      <c r="P195" s="116"/>
      <c r="Q195" s="115"/>
      <c r="R195" s="116"/>
      <c r="S195" s="115"/>
      <c r="T195" s="116"/>
      <c r="U195" s="115"/>
      <c r="V195" s="116"/>
      <c r="W195" s="117"/>
      <c r="X195" s="118"/>
      <c r="Z195" s="1" t="str">
        <f t="shared" si="2"/>
        <v/>
      </c>
    </row>
    <row r="196" spans="1:26" hidden="1" x14ac:dyDescent="0.25">
      <c r="A196" s="117"/>
      <c r="B196" s="118"/>
      <c r="C196" s="117"/>
      <c r="D196" s="118"/>
      <c r="E196" s="117"/>
      <c r="F196" s="118"/>
      <c r="G196" s="115"/>
      <c r="H196" s="116"/>
      <c r="I196" s="115"/>
      <c r="J196" s="116"/>
      <c r="K196" s="115"/>
      <c r="L196" s="116"/>
      <c r="M196" s="115"/>
      <c r="N196" s="116"/>
      <c r="O196" s="115"/>
      <c r="P196" s="116"/>
      <c r="Q196" s="115"/>
      <c r="R196" s="116"/>
      <c r="S196" s="115"/>
      <c r="T196" s="116"/>
      <c r="U196" s="115"/>
      <c r="V196" s="116"/>
      <c r="W196" s="117"/>
      <c r="X196" s="118"/>
      <c r="Z196" s="1" t="str">
        <f t="shared" si="2"/>
        <v/>
      </c>
    </row>
    <row r="197" spans="1:26" hidden="1" x14ac:dyDescent="0.25">
      <c r="A197" s="117"/>
      <c r="B197" s="118"/>
      <c r="C197" s="117"/>
      <c r="D197" s="118"/>
      <c r="E197" s="117"/>
      <c r="F197" s="118"/>
      <c r="G197" s="115"/>
      <c r="H197" s="116"/>
      <c r="I197" s="115"/>
      <c r="J197" s="116"/>
      <c r="K197" s="115"/>
      <c r="L197" s="116"/>
      <c r="M197" s="115"/>
      <c r="N197" s="116"/>
      <c r="O197" s="115"/>
      <c r="P197" s="116"/>
      <c r="Q197" s="115"/>
      <c r="R197" s="116"/>
      <c r="S197" s="115"/>
      <c r="T197" s="116"/>
      <c r="U197" s="115"/>
      <c r="V197" s="116"/>
      <c r="W197" s="117"/>
      <c r="X197" s="118"/>
      <c r="Z197" s="1" t="str">
        <f t="shared" si="2"/>
        <v/>
      </c>
    </row>
    <row r="198" spans="1:26" hidden="1" x14ac:dyDescent="0.25">
      <c r="A198" s="117"/>
      <c r="B198" s="118"/>
      <c r="C198" s="117"/>
      <c r="D198" s="118"/>
      <c r="E198" s="117"/>
      <c r="F198" s="118"/>
      <c r="G198" s="115"/>
      <c r="H198" s="116"/>
      <c r="I198" s="115"/>
      <c r="J198" s="116"/>
      <c r="K198" s="115"/>
      <c r="L198" s="116"/>
      <c r="M198" s="115"/>
      <c r="N198" s="116"/>
      <c r="O198" s="115"/>
      <c r="P198" s="116"/>
      <c r="Q198" s="115"/>
      <c r="R198" s="116"/>
      <c r="S198" s="115"/>
      <c r="T198" s="116"/>
      <c r="U198" s="115"/>
      <c r="V198" s="116"/>
      <c r="W198" s="117"/>
      <c r="X198" s="118"/>
      <c r="Z198" s="1" t="str">
        <f t="shared" si="2"/>
        <v/>
      </c>
    </row>
    <row r="199" spans="1:26" hidden="1" x14ac:dyDescent="0.25">
      <c r="A199" s="117"/>
      <c r="B199" s="118"/>
      <c r="C199" s="117"/>
      <c r="D199" s="118"/>
      <c r="E199" s="117"/>
      <c r="F199" s="118"/>
      <c r="G199" s="115"/>
      <c r="H199" s="116"/>
      <c r="I199" s="115"/>
      <c r="J199" s="116"/>
      <c r="K199" s="115"/>
      <c r="L199" s="116"/>
      <c r="M199" s="115"/>
      <c r="N199" s="116"/>
      <c r="O199" s="115"/>
      <c r="P199" s="116"/>
      <c r="Q199" s="115"/>
      <c r="R199" s="116"/>
      <c r="S199" s="115"/>
      <c r="T199" s="116"/>
      <c r="U199" s="115"/>
      <c r="V199" s="116"/>
      <c r="W199" s="117"/>
      <c r="X199" s="118"/>
      <c r="Z199" s="1" t="str">
        <f t="shared" ref="Z199:Z200" si="3">IF(ROW(A195)&lt;=$Z$2,ROW(A195),"")</f>
        <v/>
      </c>
    </row>
    <row r="200" spans="1:26" hidden="1" x14ac:dyDescent="0.25">
      <c r="A200" s="117"/>
      <c r="B200" s="118"/>
      <c r="C200" s="117"/>
      <c r="D200" s="118"/>
      <c r="E200" s="117"/>
      <c r="F200" s="118"/>
      <c r="G200" s="115"/>
      <c r="H200" s="116"/>
      <c r="I200" s="115"/>
      <c r="J200" s="116"/>
      <c r="K200" s="115"/>
      <c r="L200" s="116"/>
      <c r="M200" s="115"/>
      <c r="N200" s="116"/>
      <c r="O200" s="115"/>
      <c r="P200" s="116"/>
      <c r="Q200" s="115"/>
      <c r="R200" s="116"/>
      <c r="S200" s="115"/>
      <c r="T200" s="116"/>
      <c r="U200" s="115"/>
      <c r="V200" s="116"/>
      <c r="W200" s="117"/>
      <c r="X200" s="118"/>
      <c r="Z200" s="1" t="str">
        <f t="shared" si="3"/>
        <v/>
      </c>
    </row>
    <row r="201" spans="1:26" hidden="1" x14ac:dyDescent="0.25">
      <c r="A201" s="117"/>
      <c r="B201" s="118"/>
      <c r="C201" s="117"/>
      <c r="D201" s="118"/>
      <c r="E201" s="117"/>
      <c r="F201" s="118"/>
      <c r="G201" s="115"/>
      <c r="H201" s="116"/>
      <c r="I201" s="115"/>
      <c r="J201" s="116"/>
      <c r="K201" s="115"/>
      <c r="L201" s="116"/>
      <c r="M201" s="115"/>
      <c r="N201" s="116"/>
      <c r="O201" s="115"/>
      <c r="P201" s="116"/>
      <c r="Q201" s="115"/>
      <c r="R201" s="116"/>
      <c r="S201" s="115"/>
      <c r="T201" s="116"/>
      <c r="U201" s="115"/>
      <c r="V201" s="116"/>
      <c r="W201" s="117"/>
      <c r="X201" s="118"/>
    </row>
    <row r="202" spans="1:26" hidden="1" x14ac:dyDescent="0.25">
      <c r="A202" s="117"/>
      <c r="B202" s="118"/>
      <c r="C202" s="117"/>
      <c r="D202" s="118"/>
      <c r="E202" s="117"/>
      <c r="F202" s="118"/>
      <c r="G202" s="115"/>
      <c r="H202" s="116"/>
      <c r="I202" s="115"/>
      <c r="J202" s="116"/>
      <c r="K202" s="115"/>
      <c r="L202" s="116"/>
      <c r="M202" s="115"/>
      <c r="N202" s="116"/>
      <c r="O202" s="115"/>
      <c r="P202" s="116"/>
      <c r="Q202" s="115"/>
      <c r="R202" s="116"/>
      <c r="S202" s="115"/>
      <c r="T202" s="116"/>
      <c r="U202" s="115"/>
      <c r="V202" s="116"/>
      <c r="W202" s="117"/>
      <c r="X202" s="118"/>
    </row>
    <row r="203" spans="1:26" hidden="1" x14ac:dyDescent="0.25">
      <c r="A203" s="117"/>
      <c r="B203" s="118"/>
      <c r="C203" s="117"/>
      <c r="D203" s="118"/>
      <c r="E203" s="117"/>
      <c r="F203" s="118"/>
      <c r="G203" s="115"/>
      <c r="H203" s="116"/>
      <c r="I203" s="115"/>
      <c r="J203" s="116"/>
      <c r="K203" s="115"/>
      <c r="L203" s="116"/>
      <c r="M203" s="115"/>
      <c r="N203" s="116"/>
      <c r="O203" s="115"/>
      <c r="P203" s="116"/>
      <c r="Q203" s="115"/>
      <c r="R203" s="116"/>
      <c r="S203" s="115"/>
      <c r="T203" s="116"/>
      <c r="U203" s="115"/>
      <c r="V203" s="116"/>
      <c r="W203" s="117"/>
      <c r="X203" s="118"/>
    </row>
    <row r="204" spans="1:26" hidden="1" x14ac:dyDescent="0.25">
      <c r="A204" s="117"/>
      <c r="B204" s="118"/>
      <c r="C204" s="117"/>
      <c r="D204" s="118"/>
      <c r="E204" s="117"/>
      <c r="F204" s="118"/>
      <c r="G204" s="115"/>
      <c r="H204" s="116"/>
      <c r="I204" s="115"/>
      <c r="J204" s="116"/>
      <c r="K204" s="115"/>
      <c r="L204" s="116"/>
      <c r="M204" s="115"/>
      <c r="N204" s="116"/>
      <c r="O204" s="115"/>
      <c r="P204" s="116"/>
      <c r="Q204" s="115"/>
      <c r="R204" s="116"/>
      <c r="S204" s="115"/>
      <c r="T204" s="116"/>
      <c r="U204" s="115"/>
      <c r="V204" s="116"/>
      <c r="W204" s="117"/>
      <c r="X204" s="118"/>
    </row>
    <row r="205" spans="1:26" hidden="1" x14ac:dyDescent="0.25">
      <c r="A205" s="117"/>
      <c r="B205" s="118"/>
      <c r="C205" s="117"/>
      <c r="D205" s="118"/>
      <c r="E205" s="117"/>
      <c r="F205" s="118"/>
      <c r="G205" s="115"/>
      <c r="H205" s="116"/>
      <c r="I205" s="115"/>
      <c r="J205" s="116"/>
      <c r="K205" s="115"/>
      <c r="L205" s="116"/>
      <c r="M205" s="115"/>
      <c r="N205" s="116"/>
      <c r="O205" s="115"/>
      <c r="P205" s="116"/>
      <c r="Q205" s="115"/>
      <c r="R205" s="116"/>
      <c r="S205" s="115"/>
      <c r="T205" s="116"/>
      <c r="U205" s="115"/>
      <c r="V205" s="116"/>
      <c r="W205" s="117"/>
      <c r="X205" s="118"/>
    </row>
    <row r="206" spans="1:26" hidden="1" x14ac:dyDescent="0.25">
      <c r="A206" s="117"/>
      <c r="B206" s="118"/>
      <c r="C206" s="117"/>
      <c r="D206" s="118"/>
      <c r="E206" s="117"/>
      <c r="F206" s="118"/>
      <c r="G206" s="115"/>
      <c r="H206" s="116"/>
      <c r="I206" s="115"/>
      <c r="J206" s="116"/>
      <c r="K206" s="115"/>
      <c r="L206" s="116"/>
      <c r="M206" s="115"/>
      <c r="N206" s="116"/>
      <c r="O206" s="115"/>
      <c r="P206" s="116"/>
      <c r="Q206" s="115"/>
      <c r="R206" s="116"/>
      <c r="S206" s="115"/>
      <c r="T206" s="116"/>
      <c r="U206" s="115"/>
      <c r="V206" s="116"/>
      <c r="W206" s="117"/>
      <c r="X206" s="118"/>
    </row>
    <row r="207" spans="1:26" hidden="1" x14ac:dyDescent="0.25">
      <c r="A207" s="117"/>
      <c r="B207" s="118"/>
      <c r="C207" s="117"/>
      <c r="D207" s="118"/>
      <c r="E207" s="117"/>
      <c r="F207" s="118"/>
      <c r="G207" s="115"/>
      <c r="H207" s="116"/>
      <c r="I207" s="115"/>
      <c r="J207" s="116"/>
      <c r="K207" s="115"/>
      <c r="L207" s="116"/>
      <c r="M207" s="115"/>
      <c r="N207" s="116"/>
      <c r="O207" s="115"/>
      <c r="P207" s="116"/>
      <c r="Q207" s="115"/>
      <c r="R207" s="116"/>
      <c r="S207" s="115"/>
      <c r="T207" s="116"/>
      <c r="U207" s="115"/>
      <c r="V207" s="116"/>
      <c r="W207" s="117"/>
      <c r="X207" s="118"/>
    </row>
    <row r="208" spans="1:26" hidden="1" x14ac:dyDescent="0.25">
      <c r="A208" s="117"/>
      <c r="B208" s="118"/>
      <c r="C208" s="117"/>
      <c r="D208" s="118"/>
      <c r="E208" s="117"/>
      <c r="F208" s="118"/>
      <c r="G208" s="115"/>
      <c r="H208" s="116"/>
      <c r="I208" s="115"/>
      <c r="J208" s="116"/>
      <c r="K208" s="115"/>
      <c r="L208" s="116"/>
      <c r="M208" s="115"/>
      <c r="N208" s="116"/>
      <c r="O208" s="115"/>
      <c r="P208" s="116"/>
      <c r="Q208" s="115"/>
      <c r="R208" s="116"/>
      <c r="S208" s="115"/>
      <c r="T208" s="116"/>
      <c r="U208" s="115"/>
      <c r="V208" s="116"/>
      <c r="W208" s="117"/>
      <c r="X208" s="118"/>
    </row>
    <row r="209" spans="1:24" hidden="1" x14ac:dyDescent="0.25">
      <c r="A209" s="117"/>
      <c r="B209" s="118"/>
      <c r="C209" s="117"/>
      <c r="D209" s="118"/>
      <c r="E209" s="117"/>
      <c r="F209" s="118"/>
      <c r="G209" s="115"/>
      <c r="H209" s="116"/>
      <c r="I209" s="115"/>
      <c r="J209" s="116"/>
      <c r="K209" s="115"/>
      <c r="L209" s="116"/>
      <c r="M209" s="115"/>
      <c r="N209" s="116"/>
      <c r="O209" s="115"/>
      <c r="P209" s="116"/>
      <c r="Q209" s="115"/>
      <c r="R209" s="116"/>
      <c r="S209" s="115"/>
      <c r="T209" s="116"/>
      <c r="U209" s="115"/>
      <c r="V209" s="116"/>
      <c r="W209" s="117"/>
      <c r="X209" s="118"/>
    </row>
    <row r="210" spans="1:24" hidden="1" x14ac:dyDescent="0.25">
      <c r="A210" s="117"/>
      <c r="B210" s="118"/>
      <c r="C210" s="117"/>
      <c r="D210" s="118"/>
      <c r="E210" s="117"/>
      <c r="F210" s="118"/>
      <c r="G210" s="115"/>
      <c r="H210" s="116"/>
      <c r="I210" s="115"/>
      <c r="J210" s="116"/>
      <c r="K210" s="115"/>
      <c r="L210" s="116"/>
      <c r="M210" s="115"/>
      <c r="N210" s="116"/>
      <c r="O210" s="115"/>
      <c r="P210" s="116"/>
      <c r="Q210" s="115"/>
      <c r="R210" s="116"/>
      <c r="S210" s="115"/>
      <c r="T210" s="116"/>
      <c r="U210" s="115"/>
      <c r="V210" s="116"/>
      <c r="W210" s="117"/>
      <c r="X210" s="118"/>
    </row>
    <row r="211" spans="1:24" hidden="1" x14ac:dyDescent="0.25">
      <c r="A211" s="117"/>
      <c r="B211" s="118"/>
      <c r="C211" s="117"/>
      <c r="D211" s="118"/>
      <c r="E211" s="117"/>
      <c r="F211" s="118"/>
      <c r="G211" s="115"/>
      <c r="H211" s="116"/>
      <c r="I211" s="115"/>
      <c r="J211" s="116"/>
      <c r="K211" s="115"/>
      <c r="L211" s="116"/>
      <c r="M211" s="115"/>
      <c r="N211" s="116"/>
      <c r="O211" s="115"/>
      <c r="P211" s="116"/>
      <c r="Q211" s="115"/>
      <c r="R211" s="116"/>
      <c r="S211" s="115"/>
      <c r="T211" s="116"/>
      <c r="U211" s="115"/>
      <c r="V211" s="116"/>
      <c r="W211" s="117"/>
      <c r="X211" s="118"/>
    </row>
    <row r="212" spans="1:24" hidden="1" x14ac:dyDescent="0.25">
      <c r="A212" s="117"/>
      <c r="B212" s="118"/>
      <c r="C212" s="117"/>
      <c r="D212" s="118"/>
      <c r="E212" s="117"/>
      <c r="F212" s="118"/>
      <c r="G212" s="115"/>
      <c r="H212" s="116"/>
      <c r="I212" s="115"/>
      <c r="J212" s="116"/>
      <c r="K212" s="115"/>
      <c r="L212" s="116"/>
      <c r="M212" s="115"/>
      <c r="N212" s="116"/>
      <c r="O212" s="115"/>
      <c r="P212" s="116"/>
      <c r="Q212" s="115"/>
      <c r="R212" s="116"/>
      <c r="S212" s="115"/>
      <c r="T212" s="116"/>
      <c r="U212" s="115"/>
      <c r="V212" s="116"/>
      <c r="W212" s="117"/>
      <c r="X212" s="118"/>
    </row>
    <row r="213" spans="1:24" hidden="1" x14ac:dyDescent="0.25">
      <c r="A213" s="117"/>
      <c r="B213" s="118"/>
      <c r="C213" s="117"/>
      <c r="D213" s="118"/>
      <c r="E213" s="117"/>
      <c r="F213" s="118"/>
      <c r="G213" s="115"/>
      <c r="H213" s="116"/>
      <c r="I213" s="115"/>
      <c r="J213" s="116"/>
      <c r="K213" s="115"/>
      <c r="L213" s="116"/>
      <c r="M213" s="115"/>
      <c r="N213" s="116"/>
      <c r="O213" s="115"/>
      <c r="P213" s="116"/>
      <c r="Q213" s="115"/>
      <c r="R213" s="116"/>
      <c r="S213" s="115"/>
      <c r="T213" s="116"/>
      <c r="U213" s="115"/>
      <c r="V213" s="116"/>
      <c r="W213" s="117"/>
      <c r="X213" s="118"/>
    </row>
    <row r="214" spans="1:24" hidden="1" x14ac:dyDescent="0.25">
      <c r="A214" s="117"/>
      <c r="B214" s="118"/>
      <c r="C214" s="117"/>
      <c r="D214" s="118"/>
      <c r="E214" s="117"/>
      <c r="F214" s="118"/>
      <c r="G214" s="115"/>
      <c r="H214" s="116"/>
      <c r="I214" s="115"/>
      <c r="J214" s="116"/>
      <c r="K214" s="115"/>
      <c r="L214" s="116"/>
      <c r="M214" s="115"/>
      <c r="N214" s="116"/>
      <c r="O214" s="115"/>
      <c r="P214" s="116"/>
      <c r="Q214" s="115"/>
      <c r="R214" s="116"/>
      <c r="S214" s="115"/>
      <c r="T214" s="116"/>
      <c r="U214" s="115"/>
      <c r="V214" s="116"/>
      <c r="W214" s="117"/>
      <c r="X214" s="118"/>
    </row>
    <row r="215" spans="1:24" hidden="1" x14ac:dyDescent="0.25">
      <c r="A215" s="117"/>
      <c r="B215" s="118"/>
      <c r="C215" s="117"/>
      <c r="D215" s="118"/>
      <c r="E215" s="117"/>
      <c r="F215" s="118"/>
      <c r="G215" s="115"/>
      <c r="H215" s="116"/>
      <c r="I215" s="115"/>
      <c r="J215" s="116"/>
      <c r="K215" s="115"/>
      <c r="L215" s="116"/>
      <c r="M215" s="115"/>
      <c r="N215" s="116"/>
      <c r="O215" s="115"/>
      <c r="P215" s="116"/>
      <c r="Q215" s="115"/>
      <c r="R215" s="116"/>
      <c r="S215" s="115"/>
      <c r="T215" s="116"/>
      <c r="U215" s="115"/>
      <c r="V215" s="116"/>
      <c r="W215" s="117"/>
      <c r="X215" s="118"/>
    </row>
    <row r="216" spans="1:24" hidden="1" x14ac:dyDescent="0.25">
      <c r="A216" s="117"/>
      <c r="B216" s="118"/>
      <c r="C216" s="117"/>
      <c r="D216" s="118"/>
      <c r="E216" s="117"/>
      <c r="F216" s="118"/>
      <c r="G216" s="115"/>
      <c r="H216" s="116"/>
      <c r="I216" s="115"/>
      <c r="J216" s="116"/>
      <c r="K216" s="115"/>
      <c r="L216" s="116"/>
      <c r="M216" s="115"/>
      <c r="N216" s="116"/>
      <c r="O216" s="115"/>
      <c r="P216" s="116"/>
      <c r="Q216" s="115"/>
      <c r="R216" s="116"/>
      <c r="S216" s="115"/>
      <c r="T216" s="116"/>
      <c r="U216" s="115"/>
      <c r="V216" s="116"/>
      <c r="W216" s="117"/>
      <c r="X216" s="118"/>
    </row>
    <row r="217" spans="1:24" hidden="1" x14ac:dyDescent="0.25">
      <c r="A217" s="117"/>
      <c r="B217" s="118"/>
      <c r="C217" s="117"/>
      <c r="D217" s="118"/>
      <c r="E217" s="117"/>
      <c r="F217" s="118"/>
      <c r="G217" s="115"/>
      <c r="H217" s="116"/>
      <c r="I217" s="115"/>
      <c r="J217" s="116"/>
      <c r="K217" s="115"/>
      <c r="L217" s="116"/>
      <c r="M217" s="115"/>
      <c r="N217" s="116"/>
      <c r="O217" s="115"/>
      <c r="P217" s="116"/>
      <c r="Q217" s="115"/>
      <c r="R217" s="116"/>
      <c r="S217" s="115"/>
      <c r="T217" s="116"/>
      <c r="U217" s="115"/>
      <c r="V217" s="116"/>
      <c r="W217" s="117"/>
      <c r="X217" s="118"/>
    </row>
    <row r="218" spans="1:24" hidden="1" x14ac:dyDescent="0.25">
      <c r="A218" s="117"/>
      <c r="B218" s="118"/>
      <c r="C218" s="117"/>
      <c r="D218" s="118"/>
      <c r="E218" s="117"/>
      <c r="F218" s="118"/>
      <c r="G218" s="115"/>
      <c r="H218" s="116"/>
      <c r="I218" s="115"/>
      <c r="J218" s="116"/>
      <c r="K218" s="115"/>
      <c r="L218" s="116"/>
      <c r="M218" s="115"/>
      <c r="N218" s="116"/>
      <c r="O218" s="115"/>
      <c r="P218" s="116"/>
      <c r="Q218" s="115"/>
      <c r="R218" s="116"/>
      <c r="S218" s="115"/>
      <c r="T218" s="116"/>
      <c r="U218" s="115"/>
      <c r="V218" s="116"/>
      <c r="W218" s="117"/>
      <c r="X218" s="118"/>
    </row>
    <row r="219" spans="1:24" hidden="1" x14ac:dyDescent="0.25">
      <c r="A219" s="117"/>
      <c r="B219" s="118"/>
      <c r="C219" s="117"/>
      <c r="D219" s="118"/>
      <c r="E219" s="117"/>
      <c r="F219" s="118"/>
      <c r="G219" s="115"/>
      <c r="H219" s="116"/>
      <c r="I219" s="115"/>
      <c r="J219" s="116"/>
      <c r="K219" s="115"/>
      <c r="L219" s="116"/>
      <c r="M219" s="115"/>
      <c r="N219" s="116"/>
      <c r="O219" s="115"/>
      <c r="P219" s="116"/>
      <c r="Q219" s="115"/>
      <c r="R219" s="116"/>
      <c r="S219" s="115"/>
      <c r="T219" s="116"/>
      <c r="U219" s="115"/>
      <c r="V219" s="116"/>
      <c r="W219" s="117"/>
      <c r="X219" s="118"/>
    </row>
    <row r="220" spans="1:24" hidden="1" x14ac:dyDescent="0.25">
      <c r="A220" s="117"/>
      <c r="B220" s="118"/>
      <c r="C220" s="117"/>
      <c r="D220" s="118"/>
      <c r="E220" s="117"/>
      <c r="F220" s="118"/>
      <c r="G220" s="115"/>
      <c r="H220" s="116"/>
      <c r="I220" s="115"/>
      <c r="J220" s="116"/>
      <c r="K220" s="115"/>
      <c r="L220" s="116"/>
      <c r="M220" s="115"/>
      <c r="N220" s="116"/>
      <c r="O220" s="115"/>
      <c r="P220" s="116"/>
      <c r="Q220" s="115"/>
      <c r="R220" s="116"/>
      <c r="S220" s="115"/>
      <c r="T220" s="116"/>
      <c r="U220" s="115"/>
      <c r="V220" s="116"/>
      <c r="W220" s="117"/>
      <c r="X220" s="118"/>
    </row>
    <row r="221" spans="1:24" hidden="1" x14ac:dyDescent="0.25">
      <c r="A221" s="117"/>
      <c r="B221" s="118"/>
      <c r="C221" s="117"/>
      <c r="D221" s="118"/>
      <c r="E221" s="117"/>
      <c r="F221" s="118"/>
      <c r="G221" s="115"/>
      <c r="H221" s="116"/>
      <c r="I221" s="115"/>
      <c r="J221" s="116"/>
      <c r="K221" s="115"/>
      <c r="L221" s="116"/>
      <c r="M221" s="115"/>
      <c r="N221" s="116"/>
      <c r="O221" s="115"/>
      <c r="P221" s="116"/>
      <c r="Q221" s="115"/>
      <c r="R221" s="116"/>
      <c r="S221" s="115"/>
      <c r="T221" s="116"/>
      <c r="U221" s="115"/>
      <c r="V221" s="116"/>
      <c r="W221" s="117"/>
      <c r="X221" s="118"/>
    </row>
    <row r="222" spans="1:24" hidden="1" x14ac:dyDescent="0.25">
      <c r="A222" s="117"/>
      <c r="B222" s="118"/>
      <c r="C222" s="117"/>
      <c r="D222" s="118"/>
      <c r="E222" s="117"/>
      <c r="F222" s="118"/>
      <c r="G222" s="115"/>
      <c r="H222" s="116"/>
      <c r="I222" s="115"/>
      <c r="J222" s="116"/>
      <c r="K222" s="115"/>
      <c r="L222" s="116"/>
      <c r="M222" s="115"/>
      <c r="N222" s="116"/>
      <c r="O222" s="115"/>
      <c r="P222" s="116"/>
      <c r="Q222" s="115"/>
      <c r="R222" s="116"/>
      <c r="S222" s="115"/>
      <c r="T222" s="116"/>
      <c r="U222" s="115"/>
      <c r="V222" s="116"/>
      <c r="W222" s="117"/>
      <c r="X222" s="118"/>
    </row>
    <row r="223" spans="1:24" hidden="1" x14ac:dyDescent="0.25">
      <c r="A223" s="117"/>
      <c r="B223" s="118"/>
      <c r="C223" s="117"/>
      <c r="D223" s="118"/>
      <c r="E223" s="117"/>
      <c r="F223" s="118"/>
      <c r="G223" s="115"/>
      <c r="H223" s="116"/>
      <c r="I223" s="115"/>
      <c r="J223" s="116"/>
      <c r="K223" s="115"/>
      <c r="L223" s="116"/>
      <c r="M223" s="115"/>
      <c r="N223" s="116"/>
      <c r="O223" s="115"/>
      <c r="P223" s="116"/>
      <c r="Q223" s="115"/>
      <c r="R223" s="116"/>
      <c r="S223" s="115"/>
      <c r="T223" s="116"/>
      <c r="U223" s="115"/>
      <c r="V223" s="116"/>
      <c r="W223" s="117"/>
      <c r="X223" s="118"/>
    </row>
    <row r="224" spans="1:24" hidden="1" x14ac:dyDescent="0.25">
      <c r="A224" s="117"/>
      <c r="B224" s="118"/>
      <c r="C224" s="117"/>
      <c r="D224" s="118"/>
      <c r="E224" s="117"/>
      <c r="F224" s="118"/>
      <c r="G224" s="115"/>
      <c r="H224" s="116"/>
      <c r="I224" s="115"/>
      <c r="J224" s="116"/>
      <c r="K224" s="115"/>
      <c r="L224" s="116"/>
      <c r="M224" s="115"/>
      <c r="N224" s="116"/>
      <c r="O224" s="115"/>
      <c r="P224" s="116"/>
      <c r="Q224" s="115"/>
      <c r="R224" s="116"/>
      <c r="S224" s="115"/>
      <c r="T224" s="116"/>
      <c r="U224" s="115"/>
      <c r="V224" s="116"/>
      <c r="W224" s="117"/>
      <c r="X224" s="118"/>
    </row>
    <row r="225" spans="1:24" hidden="1" x14ac:dyDescent="0.25">
      <c r="A225" s="117"/>
      <c r="B225" s="118"/>
      <c r="C225" s="117"/>
      <c r="D225" s="118"/>
      <c r="E225" s="117"/>
      <c r="F225" s="118"/>
      <c r="G225" s="115"/>
      <c r="H225" s="116"/>
      <c r="I225" s="115"/>
      <c r="J225" s="116"/>
      <c r="K225" s="115"/>
      <c r="L225" s="116"/>
      <c r="M225" s="115"/>
      <c r="N225" s="116"/>
      <c r="O225" s="115"/>
      <c r="P225" s="116"/>
      <c r="Q225" s="115"/>
      <c r="R225" s="116"/>
      <c r="S225" s="115"/>
      <c r="T225" s="116"/>
      <c r="U225" s="115"/>
      <c r="V225" s="116"/>
      <c r="W225" s="117"/>
      <c r="X225" s="118"/>
    </row>
    <row r="226" spans="1:24" hidden="1" x14ac:dyDescent="0.25">
      <c r="A226" s="117"/>
      <c r="B226" s="118"/>
      <c r="C226" s="117"/>
      <c r="D226" s="118"/>
      <c r="E226" s="117"/>
      <c r="F226" s="118"/>
      <c r="G226" s="115"/>
      <c r="H226" s="116"/>
      <c r="I226" s="115"/>
      <c r="J226" s="116"/>
      <c r="K226" s="115"/>
      <c r="L226" s="116"/>
      <c r="M226" s="115"/>
      <c r="N226" s="116"/>
      <c r="O226" s="115"/>
      <c r="P226" s="116"/>
      <c r="Q226" s="115"/>
      <c r="R226" s="116"/>
      <c r="S226" s="115"/>
      <c r="T226" s="116"/>
      <c r="U226" s="115"/>
      <c r="V226" s="116"/>
      <c r="W226" s="117"/>
      <c r="X226" s="118"/>
    </row>
    <row r="227" spans="1:24" hidden="1" x14ac:dyDescent="0.25">
      <c r="A227" s="117"/>
      <c r="B227" s="118"/>
      <c r="C227" s="117"/>
      <c r="D227" s="118"/>
      <c r="E227" s="117"/>
      <c r="F227" s="118"/>
      <c r="G227" s="115"/>
      <c r="H227" s="116"/>
      <c r="I227" s="115"/>
      <c r="J227" s="116"/>
      <c r="K227" s="115"/>
      <c r="L227" s="116"/>
      <c r="M227" s="115"/>
      <c r="N227" s="116"/>
      <c r="O227" s="115"/>
      <c r="P227" s="116"/>
      <c r="Q227" s="115"/>
      <c r="R227" s="116"/>
      <c r="S227" s="115"/>
      <c r="T227" s="116"/>
      <c r="U227" s="115"/>
      <c r="V227" s="116"/>
      <c r="W227" s="117"/>
      <c r="X227" s="118"/>
    </row>
    <row r="228" spans="1:24" hidden="1" x14ac:dyDescent="0.25">
      <c r="A228" s="117"/>
      <c r="B228" s="118"/>
      <c r="C228" s="117"/>
      <c r="D228" s="118"/>
      <c r="E228" s="117"/>
      <c r="F228" s="118"/>
      <c r="G228" s="115"/>
      <c r="H228" s="116"/>
      <c r="I228" s="115"/>
      <c r="J228" s="116"/>
      <c r="K228" s="115"/>
      <c r="L228" s="116"/>
      <c r="M228" s="115"/>
      <c r="N228" s="116"/>
      <c r="O228" s="115"/>
      <c r="P228" s="116"/>
      <c r="Q228" s="115"/>
      <c r="R228" s="116"/>
      <c r="S228" s="115"/>
      <c r="T228" s="116"/>
      <c r="U228" s="115"/>
      <c r="V228" s="116"/>
      <c r="W228" s="117"/>
      <c r="X228" s="118"/>
    </row>
    <row r="229" spans="1:24" hidden="1" x14ac:dyDescent="0.25">
      <c r="A229" s="117"/>
      <c r="B229" s="118"/>
      <c r="C229" s="117"/>
      <c r="D229" s="118"/>
      <c r="E229" s="117"/>
      <c r="F229" s="118"/>
      <c r="G229" s="115"/>
      <c r="H229" s="116"/>
      <c r="I229" s="115"/>
      <c r="J229" s="116"/>
      <c r="K229" s="115"/>
      <c r="L229" s="116"/>
      <c r="M229" s="115"/>
      <c r="N229" s="116"/>
      <c r="O229" s="115"/>
      <c r="P229" s="116"/>
      <c r="Q229" s="115"/>
      <c r="R229" s="116"/>
      <c r="S229" s="115"/>
      <c r="T229" s="116"/>
      <c r="U229" s="115"/>
      <c r="V229" s="116"/>
      <c r="W229" s="117"/>
      <c r="X229" s="118"/>
    </row>
    <row r="230" spans="1:24" hidden="1" x14ac:dyDescent="0.25">
      <c r="A230" s="117"/>
      <c r="B230" s="118"/>
      <c r="C230" s="117"/>
      <c r="D230" s="118"/>
      <c r="E230" s="117"/>
      <c r="F230" s="118"/>
      <c r="G230" s="115"/>
      <c r="H230" s="116"/>
      <c r="I230" s="115"/>
      <c r="J230" s="116"/>
      <c r="K230" s="115"/>
      <c r="L230" s="116"/>
      <c r="M230" s="115"/>
      <c r="N230" s="116"/>
      <c r="O230" s="115"/>
      <c r="P230" s="116"/>
      <c r="Q230" s="115"/>
      <c r="R230" s="116"/>
      <c r="S230" s="115"/>
      <c r="T230" s="116"/>
      <c r="U230" s="115"/>
      <c r="V230" s="116"/>
      <c r="W230" s="117"/>
      <c r="X230" s="118"/>
    </row>
    <row r="231" spans="1:24" hidden="1" x14ac:dyDescent="0.25">
      <c r="A231" s="117"/>
      <c r="B231" s="118"/>
      <c r="C231" s="117"/>
      <c r="D231" s="118"/>
      <c r="E231" s="117"/>
      <c r="F231" s="118"/>
      <c r="G231" s="115"/>
      <c r="H231" s="116"/>
      <c r="I231" s="115"/>
      <c r="J231" s="116"/>
      <c r="K231" s="115"/>
      <c r="L231" s="116"/>
      <c r="M231" s="115"/>
      <c r="N231" s="116"/>
      <c r="O231" s="115"/>
      <c r="P231" s="116"/>
      <c r="Q231" s="115"/>
      <c r="R231" s="116"/>
      <c r="S231" s="115"/>
      <c r="T231" s="116"/>
      <c r="U231" s="115"/>
      <c r="V231" s="116"/>
      <c r="W231" s="117"/>
      <c r="X231" s="118"/>
    </row>
    <row r="232" spans="1:24" hidden="1" x14ac:dyDescent="0.25">
      <c r="A232" s="117"/>
      <c r="B232" s="118"/>
      <c r="C232" s="117"/>
      <c r="D232" s="118"/>
      <c r="E232" s="117"/>
      <c r="F232" s="118"/>
      <c r="G232" s="115"/>
      <c r="H232" s="116"/>
      <c r="I232" s="115"/>
      <c r="J232" s="116"/>
      <c r="K232" s="115"/>
      <c r="L232" s="116"/>
      <c r="M232" s="115"/>
      <c r="N232" s="116"/>
      <c r="O232" s="115"/>
      <c r="P232" s="116"/>
      <c r="Q232" s="115"/>
      <c r="R232" s="116"/>
      <c r="S232" s="115"/>
      <c r="T232" s="116"/>
      <c r="U232" s="115"/>
      <c r="V232" s="116"/>
      <c r="W232" s="117"/>
      <c r="X232" s="118"/>
    </row>
    <row r="233" spans="1:24" hidden="1" x14ac:dyDescent="0.25">
      <c r="A233" s="117"/>
      <c r="B233" s="118"/>
      <c r="C233" s="117"/>
      <c r="D233" s="118"/>
      <c r="E233" s="117"/>
      <c r="F233" s="118"/>
      <c r="G233" s="115"/>
      <c r="H233" s="116"/>
      <c r="I233" s="115"/>
      <c r="J233" s="116"/>
      <c r="K233" s="115"/>
      <c r="L233" s="116"/>
      <c r="M233" s="115"/>
      <c r="N233" s="116"/>
      <c r="O233" s="115"/>
      <c r="P233" s="116"/>
      <c r="Q233" s="115"/>
      <c r="R233" s="116"/>
      <c r="S233" s="115"/>
      <c r="T233" s="116"/>
      <c r="U233" s="115"/>
      <c r="V233" s="116"/>
      <c r="W233" s="117"/>
      <c r="X233" s="118"/>
    </row>
    <row r="234" spans="1:24" hidden="1" x14ac:dyDescent="0.25">
      <c r="A234" s="117"/>
      <c r="B234" s="118"/>
      <c r="C234" s="117"/>
      <c r="D234" s="118"/>
      <c r="E234" s="117"/>
      <c r="F234" s="118"/>
      <c r="G234" s="115"/>
      <c r="H234" s="116"/>
      <c r="I234" s="115"/>
      <c r="J234" s="116"/>
      <c r="K234" s="115"/>
      <c r="L234" s="116"/>
      <c r="M234" s="115"/>
      <c r="N234" s="116"/>
      <c r="O234" s="115"/>
      <c r="P234" s="116"/>
      <c r="Q234" s="115"/>
      <c r="R234" s="116"/>
      <c r="S234" s="115"/>
      <c r="T234" s="116"/>
      <c r="U234" s="115"/>
      <c r="V234" s="116"/>
      <c r="W234" s="117"/>
      <c r="X234" s="118"/>
    </row>
    <row r="235" spans="1:24" hidden="1" x14ac:dyDescent="0.25">
      <c r="A235" s="117"/>
      <c r="B235" s="118"/>
      <c r="C235" s="117"/>
      <c r="D235" s="118"/>
      <c r="E235" s="117"/>
      <c r="F235" s="118"/>
      <c r="G235" s="115"/>
      <c r="H235" s="116"/>
      <c r="I235" s="115"/>
      <c r="J235" s="116"/>
      <c r="K235" s="115"/>
      <c r="L235" s="116"/>
      <c r="M235" s="115"/>
      <c r="N235" s="116"/>
      <c r="O235" s="115"/>
      <c r="P235" s="116"/>
      <c r="Q235" s="115"/>
      <c r="R235" s="116"/>
      <c r="S235" s="115"/>
      <c r="T235" s="116"/>
      <c r="U235" s="115"/>
      <c r="V235" s="116"/>
      <c r="W235" s="117"/>
      <c r="X235" s="118"/>
    </row>
    <row r="236" spans="1:24" hidden="1" x14ac:dyDescent="0.25">
      <c r="A236" s="117"/>
      <c r="B236" s="118"/>
      <c r="C236" s="117"/>
      <c r="D236" s="118"/>
      <c r="E236" s="117"/>
      <c r="F236" s="118"/>
      <c r="G236" s="115"/>
      <c r="H236" s="116"/>
      <c r="I236" s="115"/>
      <c r="J236" s="116"/>
      <c r="K236" s="115"/>
      <c r="L236" s="116"/>
      <c r="M236" s="115"/>
      <c r="N236" s="116"/>
      <c r="O236" s="115"/>
      <c r="P236" s="116"/>
      <c r="Q236" s="115"/>
      <c r="R236" s="116"/>
      <c r="S236" s="115"/>
      <c r="T236" s="116"/>
      <c r="U236" s="115"/>
      <c r="V236" s="116"/>
      <c r="W236" s="117"/>
      <c r="X236" s="118"/>
    </row>
    <row r="237" spans="1:24" hidden="1" x14ac:dyDescent="0.25">
      <c r="A237" s="117"/>
      <c r="B237" s="118"/>
      <c r="C237" s="117"/>
      <c r="D237" s="118"/>
      <c r="E237" s="117"/>
      <c r="F237" s="118"/>
      <c r="G237" s="115"/>
      <c r="H237" s="116"/>
      <c r="I237" s="115"/>
      <c r="J237" s="116"/>
      <c r="K237" s="115"/>
      <c r="L237" s="116"/>
      <c r="M237" s="115"/>
      <c r="N237" s="116"/>
      <c r="O237" s="115"/>
      <c r="P237" s="116"/>
      <c r="Q237" s="115"/>
      <c r="R237" s="116"/>
      <c r="S237" s="115"/>
      <c r="T237" s="116"/>
      <c r="U237" s="115"/>
      <c r="V237" s="116"/>
      <c r="W237" s="117"/>
      <c r="X237" s="118"/>
    </row>
    <row r="238" spans="1:24" hidden="1" x14ac:dyDescent="0.25">
      <c r="A238" s="117"/>
      <c r="B238" s="118"/>
      <c r="C238" s="117"/>
      <c r="D238" s="118"/>
      <c r="E238" s="117"/>
      <c r="F238" s="118"/>
      <c r="G238" s="115"/>
      <c r="H238" s="116"/>
      <c r="I238" s="115"/>
      <c r="J238" s="116"/>
      <c r="K238" s="115"/>
      <c r="L238" s="116"/>
      <c r="M238" s="115"/>
      <c r="N238" s="116"/>
      <c r="O238" s="115"/>
      <c r="P238" s="116"/>
      <c r="Q238" s="115"/>
      <c r="R238" s="116"/>
      <c r="S238" s="115"/>
      <c r="T238" s="116"/>
      <c r="U238" s="115"/>
      <c r="V238" s="116"/>
      <c r="W238" s="117"/>
      <c r="X238" s="118"/>
    </row>
    <row r="239" spans="1:24" hidden="1" x14ac:dyDescent="0.25">
      <c r="A239" s="117"/>
      <c r="B239" s="118"/>
      <c r="C239" s="117"/>
      <c r="D239" s="118"/>
      <c r="E239" s="117"/>
      <c r="F239" s="118"/>
      <c r="G239" s="115"/>
      <c r="H239" s="116"/>
      <c r="I239" s="115"/>
      <c r="J239" s="116"/>
      <c r="K239" s="115"/>
      <c r="L239" s="116"/>
      <c r="M239" s="115"/>
      <c r="N239" s="116"/>
      <c r="O239" s="115"/>
      <c r="P239" s="116"/>
      <c r="Q239" s="115"/>
      <c r="R239" s="116"/>
      <c r="S239" s="115"/>
      <c r="T239" s="116"/>
      <c r="U239" s="115"/>
      <c r="V239" s="116"/>
      <c r="W239" s="117"/>
      <c r="X239" s="118"/>
    </row>
    <row r="240" spans="1:24" hidden="1" x14ac:dyDescent="0.25">
      <c r="A240" s="117"/>
      <c r="B240" s="118"/>
      <c r="C240" s="117"/>
      <c r="D240" s="118"/>
      <c r="E240" s="117"/>
      <c r="F240" s="118"/>
      <c r="G240" s="115"/>
      <c r="H240" s="116"/>
      <c r="I240" s="115"/>
      <c r="J240" s="116"/>
      <c r="K240" s="115"/>
      <c r="L240" s="116"/>
      <c r="M240" s="115"/>
      <c r="N240" s="116"/>
      <c r="O240" s="115"/>
      <c r="P240" s="116"/>
      <c r="Q240" s="115"/>
      <c r="R240" s="116"/>
      <c r="S240" s="115"/>
      <c r="T240" s="116"/>
      <c r="U240" s="115"/>
      <c r="V240" s="116"/>
      <c r="W240" s="117"/>
      <c r="X240" s="118"/>
    </row>
    <row r="241" spans="1:24" hidden="1" x14ac:dyDescent="0.25">
      <c r="A241" s="117"/>
      <c r="B241" s="118"/>
      <c r="C241" s="117"/>
      <c r="D241" s="118"/>
      <c r="E241" s="117"/>
      <c r="F241" s="118"/>
      <c r="G241" s="115"/>
      <c r="H241" s="116"/>
      <c r="I241" s="115"/>
      <c r="J241" s="116"/>
      <c r="K241" s="115"/>
      <c r="L241" s="116"/>
      <c r="M241" s="115"/>
      <c r="N241" s="116"/>
      <c r="O241" s="115"/>
      <c r="P241" s="116"/>
      <c r="Q241" s="115"/>
      <c r="R241" s="116"/>
      <c r="S241" s="115"/>
      <c r="T241" s="116"/>
      <c r="U241" s="115"/>
      <c r="V241" s="116"/>
      <c r="W241" s="117"/>
      <c r="X241" s="118"/>
    </row>
    <row r="242" spans="1:24" hidden="1" x14ac:dyDescent="0.25">
      <c r="A242" s="117"/>
      <c r="B242" s="118"/>
      <c r="C242" s="117"/>
      <c r="D242" s="118"/>
      <c r="E242" s="117"/>
      <c r="F242" s="118"/>
      <c r="G242" s="115"/>
      <c r="H242" s="116"/>
      <c r="I242" s="115"/>
      <c r="J242" s="116"/>
      <c r="K242" s="115"/>
      <c r="L242" s="116"/>
      <c r="M242" s="115"/>
      <c r="N242" s="116"/>
      <c r="O242" s="115"/>
      <c r="P242" s="116"/>
      <c r="Q242" s="115"/>
      <c r="R242" s="116"/>
      <c r="S242" s="115"/>
      <c r="T242" s="116"/>
      <c r="U242" s="115"/>
      <c r="V242" s="116"/>
      <c r="W242" s="117"/>
      <c r="X242" s="118"/>
    </row>
    <row r="243" spans="1:24" hidden="1" x14ac:dyDescent="0.25">
      <c r="A243" s="117"/>
      <c r="B243" s="118"/>
      <c r="C243" s="117"/>
      <c r="D243" s="118"/>
      <c r="E243" s="117"/>
      <c r="F243" s="118"/>
      <c r="G243" s="115"/>
      <c r="H243" s="116"/>
      <c r="I243" s="115"/>
      <c r="J243" s="116"/>
      <c r="K243" s="115"/>
      <c r="L243" s="116"/>
      <c r="M243" s="115"/>
      <c r="N243" s="116"/>
      <c r="O243" s="115"/>
      <c r="P243" s="116"/>
      <c r="Q243" s="115"/>
      <c r="R243" s="116"/>
      <c r="S243" s="115"/>
      <c r="T243" s="116"/>
      <c r="U243" s="115"/>
      <c r="V243" s="116"/>
      <c r="W243" s="117"/>
      <c r="X243" s="118"/>
    </row>
    <row r="244" spans="1:24" hidden="1" x14ac:dyDescent="0.25">
      <c r="A244" s="117"/>
      <c r="B244" s="118"/>
      <c r="C244" s="117"/>
      <c r="D244" s="118"/>
      <c r="E244" s="117"/>
      <c r="F244" s="118"/>
      <c r="G244" s="115"/>
      <c r="H244" s="116"/>
      <c r="I244" s="115"/>
      <c r="J244" s="116"/>
      <c r="K244" s="115"/>
      <c r="L244" s="116"/>
      <c r="M244" s="115"/>
      <c r="N244" s="116"/>
      <c r="O244" s="115"/>
      <c r="P244" s="116"/>
      <c r="Q244" s="115"/>
      <c r="R244" s="116"/>
      <c r="S244" s="115"/>
      <c r="T244" s="116"/>
      <c r="U244" s="115"/>
      <c r="V244" s="116"/>
      <c r="W244" s="117"/>
      <c r="X244" s="118"/>
    </row>
    <row r="245" spans="1:24" hidden="1" x14ac:dyDescent="0.25">
      <c r="A245" s="117"/>
      <c r="B245" s="118"/>
      <c r="C245" s="117"/>
      <c r="D245" s="118"/>
      <c r="E245" s="117"/>
      <c r="F245" s="118"/>
      <c r="G245" s="115"/>
      <c r="H245" s="116"/>
      <c r="I245" s="115"/>
      <c r="J245" s="116"/>
      <c r="K245" s="115"/>
      <c r="L245" s="116"/>
      <c r="M245" s="115"/>
      <c r="N245" s="116"/>
      <c r="O245" s="115"/>
      <c r="P245" s="116"/>
      <c r="Q245" s="115"/>
      <c r="R245" s="116"/>
      <c r="S245" s="115"/>
      <c r="T245" s="116"/>
      <c r="U245" s="115"/>
      <c r="V245" s="116"/>
      <c r="W245" s="117"/>
      <c r="X245" s="118"/>
    </row>
    <row r="246" spans="1:24" hidden="1" x14ac:dyDescent="0.25">
      <c r="A246" s="117"/>
      <c r="B246" s="118"/>
      <c r="C246" s="117"/>
      <c r="D246" s="118"/>
      <c r="E246" s="117"/>
      <c r="F246" s="118"/>
      <c r="G246" s="115"/>
      <c r="H246" s="116"/>
      <c r="I246" s="115"/>
      <c r="J246" s="116"/>
      <c r="K246" s="115"/>
      <c r="L246" s="116"/>
      <c r="M246" s="115"/>
      <c r="N246" s="116"/>
      <c r="O246" s="115"/>
      <c r="P246" s="116"/>
      <c r="Q246" s="115"/>
      <c r="R246" s="116"/>
      <c r="S246" s="115"/>
      <c r="T246" s="116"/>
      <c r="U246" s="115"/>
      <c r="V246" s="116"/>
      <c r="W246" s="117"/>
      <c r="X246" s="118"/>
    </row>
    <row r="247" spans="1:24" hidden="1" x14ac:dyDescent="0.25">
      <c r="A247" s="117"/>
      <c r="B247" s="118"/>
      <c r="C247" s="117"/>
      <c r="D247" s="118"/>
      <c r="E247" s="117"/>
      <c r="F247" s="118"/>
      <c r="G247" s="115"/>
      <c r="H247" s="116"/>
      <c r="I247" s="115"/>
      <c r="J247" s="116"/>
      <c r="K247" s="115"/>
      <c r="L247" s="116"/>
      <c r="M247" s="115"/>
      <c r="N247" s="116"/>
      <c r="O247" s="115"/>
      <c r="P247" s="116"/>
      <c r="Q247" s="115"/>
      <c r="R247" s="116"/>
      <c r="S247" s="115"/>
      <c r="T247" s="116"/>
      <c r="U247" s="115"/>
      <c r="V247" s="116"/>
      <c r="W247" s="117"/>
      <c r="X247" s="118"/>
    </row>
    <row r="248" spans="1:24" hidden="1" x14ac:dyDescent="0.25">
      <c r="A248" s="117"/>
      <c r="B248" s="118"/>
      <c r="C248" s="117"/>
      <c r="D248" s="118"/>
      <c r="E248" s="117"/>
      <c r="F248" s="118"/>
      <c r="G248" s="115"/>
      <c r="H248" s="116"/>
      <c r="I248" s="115"/>
      <c r="J248" s="116"/>
      <c r="K248" s="115"/>
      <c r="L248" s="116"/>
      <c r="M248" s="115"/>
      <c r="N248" s="116"/>
      <c r="O248" s="115"/>
      <c r="P248" s="116"/>
      <c r="Q248" s="115"/>
      <c r="R248" s="116"/>
      <c r="S248" s="115"/>
      <c r="T248" s="116"/>
      <c r="U248" s="115"/>
      <c r="V248" s="116"/>
      <c r="W248" s="117"/>
      <c r="X248" s="118"/>
    </row>
    <row r="249" spans="1:24" hidden="1" x14ac:dyDescent="0.25">
      <c r="A249" s="117"/>
      <c r="B249" s="118"/>
      <c r="C249" s="117"/>
      <c r="D249" s="118"/>
      <c r="E249" s="117"/>
      <c r="F249" s="118"/>
      <c r="G249" s="115"/>
      <c r="H249" s="116"/>
      <c r="I249" s="115"/>
      <c r="J249" s="116"/>
      <c r="K249" s="115"/>
      <c r="L249" s="116"/>
      <c r="M249" s="115"/>
      <c r="N249" s="116"/>
      <c r="O249" s="115"/>
      <c r="P249" s="116"/>
      <c r="Q249" s="115"/>
      <c r="R249" s="116"/>
      <c r="S249" s="115"/>
      <c r="T249" s="116"/>
      <c r="U249" s="115"/>
      <c r="V249" s="116"/>
      <c r="W249" s="117"/>
      <c r="X249" s="118"/>
    </row>
    <row r="250" spans="1:24" hidden="1" x14ac:dyDescent="0.25">
      <c r="A250" s="117"/>
      <c r="B250" s="118"/>
      <c r="C250" s="117"/>
      <c r="D250" s="118"/>
      <c r="E250" s="117"/>
      <c r="F250" s="118"/>
      <c r="G250" s="115"/>
      <c r="H250" s="116"/>
      <c r="I250" s="115"/>
      <c r="J250" s="116"/>
      <c r="K250" s="115"/>
      <c r="L250" s="116"/>
      <c r="M250" s="115"/>
      <c r="N250" s="116"/>
      <c r="O250" s="115"/>
      <c r="P250" s="116"/>
      <c r="Q250" s="115"/>
      <c r="R250" s="116"/>
      <c r="S250" s="115"/>
      <c r="T250" s="116"/>
      <c r="U250" s="115"/>
      <c r="V250" s="116"/>
      <c r="W250" s="117"/>
      <c r="X250" s="118"/>
    </row>
    <row r="251" spans="1:24" hidden="1" x14ac:dyDescent="0.25">
      <c r="A251" s="117"/>
      <c r="B251" s="118"/>
      <c r="C251" s="117"/>
      <c r="D251" s="118"/>
      <c r="E251" s="117"/>
      <c r="F251" s="118"/>
      <c r="G251" s="115"/>
      <c r="H251" s="116"/>
      <c r="I251" s="115"/>
      <c r="J251" s="116"/>
      <c r="K251" s="115"/>
      <c r="L251" s="116"/>
      <c r="M251" s="115"/>
      <c r="N251" s="116"/>
      <c r="O251" s="115"/>
      <c r="P251" s="116"/>
      <c r="Q251" s="115"/>
      <c r="R251" s="116"/>
      <c r="S251" s="115"/>
      <c r="T251" s="116"/>
      <c r="U251" s="115"/>
      <c r="V251" s="116"/>
      <c r="W251" s="117"/>
      <c r="X251" s="118"/>
    </row>
    <row r="252" spans="1:24" hidden="1" x14ac:dyDescent="0.25">
      <c r="A252" s="117"/>
      <c r="B252" s="118"/>
      <c r="C252" s="117"/>
      <c r="D252" s="118"/>
      <c r="E252" s="117"/>
      <c r="F252" s="118"/>
      <c r="G252" s="115"/>
      <c r="H252" s="116"/>
      <c r="I252" s="115"/>
      <c r="J252" s="116"/>
      <c r="K252" s="115"/>
      <c r="L252" s="116"/>
      <c r="M252" s="115"/>
      <c r="N252" s="116"/>
      <c r="O252" s="115"/>
      <c r="P252" s="116"/>
      <c r="Q252" s="115"/>
      <c r="R252" s="116"/>
      <c r="S252" s="115"/>
      <c r="T252" s="116"/>
      <c r="U252" s="115"/>
      <c r="V252" s="116"/>
      <c r="W252" s="117"/>
      <c r="X252" s="118"/>
    </row>
    <row r="253" spans="1:24" hidden="1" x14ac:dyDescent="0.25">
      <c r="A253" s="117"/>
      <c r="B253" s="118"/>
      <c r="C253" s="117"/>
      <c r="D253" s="118"/>
      <c r="E253" s="117"/>
      <c r="F253" s="118"/>
      <c r="G253" s="115"/>
      <c r="H253" s="116"/>
      <c r="I253" s="115"/>
      <c r="J253" s="116"/>
      <c r="K253" s="115"/>
      <c r="L253" s="116"/>
      <c r="M253" s="115"/>
      <c r="N253" s="116"/>
      <c r="O253" s="115"/>
      <c r="P253" s="116"/>
      <c r="Q253" s="115"/>
      <c r="R253" s="116"/>
      <c r="S253" s="115"/>
      <c r="T253" s="116"/>
      <c r="U253" s="115"/>
      <c r="V253" s="116"/>
      <c r="W253" s="117"/>
      <c r="X253" s="118"/>
    </row>
    <row r="254" spans="1:24" hidden="1" x14ac:dyDescent="0.25">
      <c r="A254" s="117"/>
      <c r="B254" s="118"/>
      <c r="C254" s="117"/>
      <c r="D254" s="118"/>
      <c r="E254" s="117"/>
      <c r="F254" s="118"/>
      <c r="G254" s="115"/>
      <c r="H254" s="116"/>
      <c r="I254" s="115"/>
      <c r="J254" s="116"/>
      <c r="K254" s="115"/>
      <c r="L254" s="116"/>
      <c r="M254" s="115"/>
      <c r="N254" s="116"/>
      <c r="O254" s="115"/>
      <c r="P254" s="116"/>
      <c r="Q254" s="115"/>
      <c r="R254" s="116"/>
      <c r="S254" s="115"/>
      <c r="T254" s="116"/>
      <c r="U254" s="115"/>
      <c r="V254" s="116"/>
      <c r="W254" s="117"/>
      <c r="X254" s="118"/>
    </row>
    <row r="255" spans="1:24" hidden="1" x14ac:dyDescent="0.25">
      <c r="A255" s="117"/>
      <c r="B255" s="118"/>
      <c r="C255" s="117"/>
      <c r="D255" s="118"/>
      <c r="E255" s="117"/>
      <c r="F255" s="118"/>
      <c r="G255" s="115"/>
      <c r="H255" s="116"/>
      <c r="I255" s="115"/>
      <c r="J255" s="116"/>
      <c r="K255" s="115"/>
      <c r="L255" s="116"/>
      <c r="M255" s="115"/>
      <c r="N255" s="116"/>
      <c r="O255" s="115"/>
      <c r="P255" s="116"/>
      <c r="Q255" s="115"/>
      <c r="R255" s="116"/>
      <c r="S255" s="115"/>
      <c r="T255" s="116"/>
      <c r="U255" s="115"/>
      <c r="V255" s="116"/>
      <c r="W255" s="117"/>
      <c r="X255" s="118"/>
    </row>
    <row r="256" spans="1:24" hidden="1" x14ac:dyDescent="0.25">
      <c r="A256" s="117"/>
      <c r="B256" s="118"/>
      <c r="C256" s="117"/>
      <c r="D256" s="118"/>
      <c r="E256" s="117"/>
      <c r="F256" s="118"/>
      <c r="G256" s="115"/>
      <c r="H256" s="116"/>
      <c r="I256" s="115"/>
      <c r="J256" s="116"/>
      <c r="K256" s="115"/>
      <c r="L256" s="116"/>
      <c r="M256" s="115"/>
      <c r="N256" s="116"/>
      <c r="O256" s="115"/>
      <c r="P256" s="116"/>
      <c r="Q256" s="115"/>
      <c r="R256" s="116"/>
      <c r="S256" s="115"/>
      <c r="T256" s="116"/>
      <c r="U256" s="115"/>
      <c r="V256" s="116"/>
      <c r="W256" s="117"/>
      <c r="X256" s="118"/>
    </row>
    <row r="257" spans="1:24" hidden="1" x14ac:dyDescent="0.25">
      <c r="A257" s="117"/>
      <c r="B257" s="118"/>
      <c r="C257" s="117"/>
      <c r="D257" s="118"/>
      <c r="E257" s="117"/>
      <c r="F257" s="118"/>
      <c r="G257" s="115"/>
      <c r="H257" s="116"/>
      <c r="I257" s="115"/>
      <c r="J257" s="116"/>
      <c r="K257" s="115"/>
      <c r="L257" s="116"/>
      <c r="M257" s="115"/>
      <c r="N257" s="116"/>
      <c r="O257" s="115"/>
      <c r="P257" s="116"/>
      <c r="Q257" s="115"/>
      <c r="R257" s="116"/>
      <c r="S257" s="115"/>
      <c r="T257" s="116"/>
      <c r="U257" s="115"/>
      <c r="V257" s="116"/>
      <c r="W257" s="117"/>
      <c r="X257" s="118"/>
    </row>
    <row r="258" spans="1:24" hidden="1" x14ac:dyDescent="0.25">
      <c r="A258" s="117"/>
      <c r="B258" s="118"/>
      <c r="C258" s="117"/>
      <c r="D258" s="118"/>
      <c r="E258" s="117"/>
      <c r="F258" s="118"/>
      <c r="G258" s="115"/>
      <c r="H258" s="116"/>
      <c r="I258" s="115"/>
      <c r="J258" s="116"/>
      <c r="K258" s="115"/>
      <c r="L258" s="116"/>
      <c r="M258" s="115"/>
      <c r="N258" s="116"/>
      <c r="O258" s="115"/>
      <c r="P258" s="116"/>
      <c r="Q258" s="115"/>
      <c r="R258" s="116"/>
      <c r="S258" s="115"/>
      <c r="T258" s="116"/>
      <c r="U258" s="115"/>
      <c r="V258" s="116"/>
      <c r="W258" s="117"/>
      <c r="X258" s="118"/>
    </row>
    <row r="259" spans="1:24" hidden="1" x14ac:dyDescent="0.25">
      <c r="A259" s="117"/>
      <c r="B259" s="118"/>
      <c r="C259" s="117"/>
      <c r="D259" s="118"/>
      <c r="E259" s="117"/>
      <c r="F259" s="118"/>
      <c r="G259" s="115"/>
      <c r="H259" s="116"/>
      <c r="I259" s="115"/>
      <c r="J259" s="116"/>
      <c r="K259" s="115"/>
      <c r="L259" s="116"/>
      <c r="M259" s="115"/>
      <c r="N259" s="116"/>
      <c r="O259" s="115"/>
      <c r="P259" s="116"/>
      <c r="Q259" s="115"/>
      <c r="R259" s="116"/>
      <c r="S259" s="115"/>
      <c r="T259" s="116"/>
      <c r="U259" s="115"/>
      <c r="V259" s="116"/>
      <c r="W259" s="117"/>
      <c r="X259" s="118"/>
    </row>
    <row r="260" spans="1:24" hidden="1" x14ac:dyDescent="0.25">
      <c r="A260" s="117"/>
      <c r="B260" s="118"/>
      <c r="C260" s="117"/>
      <c r="D260" s="118"/>
      <c r="E260" s="117"/>
      <c r="F260" s="118"/>
      <c r="G260" s="115"/>
      <c r="H260" s="116"/>
      <c r="I260" s="115"/>
      <c r="J260" s="116"/>
      <c r="K260" s="115"/>
      <c r="L260" s="116"/>
      <c r="M260" s="115"/>
      <c r="N260" s="116"/>
      <c r="O260" s="115"/>
      <c r="P260" s="116"/>
      <c r="Q260" s="115"/>
      <c r="R260" s="116"/>
      <c r="S260" s="115"/>
      <c r="T260" s="116"/>
      <c r="U260" s="115"/>
      <c r="V260" s="116"/>
      <c r="W260" s="117"/>
      <c r="X260" s="118"/>
    </row>
    <row r="261" spans="1:24" hidden="1" x14ac:dyDescent="0.25">
      <c r="A261" s="117"/>
      <c r="B261" s="118"/>
      <c r="C261" s="117"/>
      <c r="D261" s="118"/>
      <c r="E261" s="117"/>
      <c r="F261" s="118"/>
      <c r="G261" s="115"/>
      <c r="H261" s="116"/>
      <c r="I261" s="115"/>
      <c r="J261" s="116"/>
      <c r="K261" s="115"/>
      <c r="L261" s="116"/>
      <c r="M261" s="115"/>
      <c r="N261" s="116"/>
      <c r="O261" s="115"/>
      <c r="P261" s="116"/>
      <c r="Q261" s="115"/>
      <c r="R261" s="116"/>
      <c r="S261" s="115"/>
      <c r="T261" s="116"/>
      <c r="U261" s="115"/>
      <c r="V261" s="116"/>
      <c r="W261" s="117"/>
      <c r="X261" s="118"/>
    </row>
    <row r="262" spans="1:24" hidden="1" x14ac:dyDescent="0.25">
      <c r="A262" s="117"/>
      <c r="B262" s="118"/>
      <c r="C262" s="117"/>
      <c r="D262" s="118"/>
      <c r="E262" s="117"/>
      <c r="F262" s="118"/>
      <c r="G262" s="115"/>
      <c r="H262" s="116"/>
      <c r="I262" s="115"/>
      <c r="J262" s="116"/>
      <c r="K262" s="115"/>
      <c r="L262" s="116"/>
      <c r="M262" s="115"/>
      <c r="N262" s="116"/>
      <c r="O262" s="115"/>
      <c r="P262" s="116"/>
      <c r="Q262" s="115"/>
      <c r="R262" s="116"/>
      <c r="S262" s="115"/>
      <c r="T262" s="116"/>
      <c r="U262" s="115"/>
      <c r="V262" s="116"/>
      <c r="W262" s="117"/>
      <c r="X262" s="118"/>
    </row>
    <row r="263" spans="1:24" hidden="1" x14ac:dyDescent="0.25">
      <c r="A263" s="117"/>
      <c r="B263" s="118"/>
      <c r="C263" s="117"/>
      <c r="D263" s="118"/>
      <c r="E263" s="117"/>
      <c r="F263" s="118"/>
      <c r="G263" s="115"/>
      <c r="H263" s="116"/>
      <c r="I263" s="115"/>
      <c r="J263" s="116"/>
      <c r="K263" s="115"/>
      <c r="L263" s="116"/>
      <c r="M263" s="115"/>
      <c r="N263" s="116"/>
      <c r="O263" s="115"/>
      <c r="P263" s="116"/>
      <c r="Q263" s="115"/>
      <c r="R263" s="116"/>
      <c r="S263" s="115"/>
      <c r="T263" s="116"/>
      <c r="U263" s="115"/>
      <c r="V263" s="116"/>
      <c r="W263" s="117"/>
      <c r="X263" s="118"/>
    </row>
    <row r="264" spans="1:24" hidden="1" x14ac:dyDescent="0.25">
      <c r="A264" s="117"/>
      <c r="B264" s="118"/>
      <c r="C264" s="117"/>
      <c r="D264" s="118"/>
      <c r="E264" s="117"/>
      <c r="F264" s="118"/>
      <c r="G264" s="115"/>
      <c r="H264" s="116"/>
      <c r="I264" s="115"/>
      <c r="J264" s="116"/>
      <c r="K264" s="115"/>
      <c r="L264" s="116"/>
      <c r="M264" s="115"/>
      <c r="N264" s="116"/>
      <c r="O264" s="115"/>
      <c r="P264" s="116"/>
      <c r="Q264" s="115"/>
      <c r="R264" s="116"/>
      <c r="S264" s="115"/>
      <c r="T264" s="116"/>
      <c r="U264" s="115"/>
      <c r="V264" s="116"/>
      <c r="W264" s="117"/>
      <c r="X264" s="118"/>
    </row>
    <row r="265" spans="1:24" hidden="1" x14ac:dyDescent="0.25">
      <c r="A265" s="117"/>
      <c r="B265" s="118"/>
      <c r="C265" s="117"/>
      <c r="D265" s="118"/>
      <c r="E265" s="117"/>
      <c r="F265" s="118"/>
      <c r="G265" s="115"/>
      <c r="H265" s="116"/>
      <c r="I265" s="115"/>
      <c r="J265" s="116"/>
      <c r="K265" s="115"/>
      <c r="L265" s="116"/>
      <c r="M265" s="115"/>
      <c r="N265" s="116"/>
      <c r="O265" s="115"/>
      <c r="P265" s="116"/>
      <c r="Q265" s="115"/>
      <c r="R265" s="116"/>
      <c r="S265" s="115"/>
      <c r="T265" s="116"/>
      <c r="U265" s="115"/>
      <c r="V265" s="116"/>
      <c r="W265" s="117"/>
      <c r="X265" s="118"/>
    </row>
    <row r="266" spans="1:24" hidden="1" x14ac:dyDescent="0.25">
      <c r="A266" s="117"/>
      <c r="B266" s="118"/>
      <c r="C266" s="117"/>
      <c r="D266" s="118"/>
      <c r="E266" s="117"/>
      <c r="F266" s="118"/>
      <c r="G266" s="115"/>
      <c r="H266" s="116"/>
      <c r="I266" s="115"/>
      <c r="J266" s="116"/>
      <c r="K266" s="115"/>
      <c r="L266" s="116"/>
      <c r="M266" s="115"/>
      <c r="N266" s="116"/>
      <c r="O266" s="115"/>
      <c r="P266" s="116"/>
      <c r="Q266" s="115"/>
      <c r="R266" s="116"/>
      <c r="S266" s="115"/>
      <c r="T266" s="116"/>
      <c r="U266" s="115"/>
      <c r="V266" s="116"/>
      <c r="W266" s="117"/>
      <c r="X266" s="118"/>
    </row>
    <row r="267" spans="1:24" hidden="1" x14ac:dyDescent="0.25">
      <c r="A267" s="117"/>
      <c r="B267" s="118"/>
      <c r="C267" s="117"/>
      <c r="D267" s="118"/>
      <c r="E267" s="117"/>
      <c r="F267" s="118"/>
      <c r="G267" s="115"/>
      <c r="H267" s="116"/>
      <c r="I267" s="115"/>
      <c r="J267" s="116"/>
      <c r="K267" s="115"/>
      <c r="L267" s="116"/>
      <c r="M267" s="115"/>
      <c r="N267" s="116"/>
      <c r="O267" s="115"/>
      <c r="P267" s="116"/>
      <c r="Q267" s="115"/>
      <c r="R267" s="116"/>
      <c r="S267" s="115"/>
      <c r="T267" s="116"/>
      <c r="U267" s="115"/>
      <c r="V267" s="116"/>
      <c r="W267" s="117"/>
      <c r="X267" s="118"/>
    </row>
    <row r="268" spans="1:24" hidden="1" x14ac:dyDescent="0.25">
      <c r="A268" s="117"/>
      <c r="B268" s="118"/>
      <c r="C268" s="117"/>
      <c r="D268" s="118"/>
      <c r="E268" s="117"/>
      <c r="F268" s="118"/>
      <c r="G268" s="115"/>
      <c r="H268" s="116"/>
      <c r="I268" s="115"/>
      <c r="J268" s="116"/>
      <c r="K268" s="115"/>
      <c r="L268" s="116"/>
      <c r="M268" s="115"/>
      <c r="N268" s="116"/>
      <c r="O268" s="115"/>
      <c r="P268" s="116"/>
      <c r="Q268" s="115"/>
      <c r="R268" s="116"/>
      <c r="S268" s="115"/>
      <c r="T268" s="116"/>
      <c r="U268" s="115"/>
      <c r="V268" s="116"/>
      <c r="W268" s="117"/>
      <c r="X268" s="118"/>
    </row>
    <row r="269" spans="1:24" hidden="1" x14ac:dyDescent="0.25">
      <c r="A269" s="117"/>
      <c r="B269" s="118"/>
      <c r="C269" s="117"/>
      <c r="D269" s="118"/>
      <c r="E269" s="117"/>
      <c r="F269" s="118"/>
      <c r="G269" s="115"/>
      <c r="H269" s="116"/>
      <c r="I269" s="115"/>
      <c r="J269" s="116"/>
      <c r="K269" s="115"/>
      <c r="L269" s="116"/>
      <c r="M269" s="115"/>
      <c r="N269" s="116"/>
      <c r="O269" s="115"/>
      <c r="P269" s="116"/>
      <c r="Q269" s="115"/>
      <c r="R269" s="116"/>
      <c r="S269" s="115"/>
      <c r="T269" s="116"/>
      <c r="U269" s="115"/>
      <c r="V269" s="116"/>
      <c r="W269" s="117"/>
      <c r="X269" s="118"/>
    </row>
    <row r="270" spans="1:24" hidden="1" x14ac:dyDescent="0.25">
      <c r="A270" s="117"/>
      <c r="B270" s="118"/>
      <c r="C270" s="117"/>
      <c r="D270" s="118"/>
      <c r="E270" s="117"/>
      <c r="F270" s="118"/>
      <c r="G270" s="115"/>
      <c r="H270" s="116"/>
      <c r="I270" s="115"/>
      <c r="J270" s="116"/>
      <c r="K270" s="115"/>
      <c r="L270" s="116"/>
      <c r="M270" s="115"/>
      <c r="N270" s="116"/>
      <c r="O270" s="115"/>
      <c r="P270" s="116"/>
      <c r="Q270" s="115"/>
      <c r="R270" s="116"/>
      <c r="S270" s="115"/>
      <c r="T270" s="116"/>
      <c r="U270" s="115"/>
      <c r="V270" s="116"/>
      <c r="W270" s="117"/>
      <c r="X270" s="118"/>
    </row>
    <row r="271" spans="1:24" hidden="1" x14ac:dyDescent="0.25">
      <c r="A271" s="117"/>
      <c r="B271" s="118"/>
      <c r="C271" s="117"/>
      <c r="D271" s="118"/>
      <c r="E271" s="117"/>
      <c r="F271" s="118"/>
      <c r="G271" s="115"/>
      <c r="H271" s="116"/>
      <c r="I271" s="115"/>
      <c r="J271" s="116"/>
      <c r="K271" s="115"/>
      <c r="L271" s="116"/>
      <c r="M271" s="115"/>
      <c r="N271" s="116"/>
      <c r="O271" s="115"/>
      <c r="P271" s="116"/>
      <c r="Q271" s="115"/>
      <c r="R271" s="116"/>
      <c r="S271" s="115"/>
      <c r="T271" s="116"/>
      <c r="U271" s="115"/>
      <c r="V271" s="116"/>
      <c r="W271" s="117"/>
      <c r="X271" s="118"/>
    </row>
    <row r="272" spans="1:24" hidden="1" x14ac:dyDescent="0.25">
      <c r="A272" s="117"/>
      <c r="B272" s="118"/>
      <c r="C272" s="117"/>
      <c r="D272" s="118"/>
      <c r="E272" s="117"/>
      <c r="F272" s="118"/>
      <c r="G272" s="115"/>
      <c r="H272" s="116"/>
      <c r="I272" s="115"/>
      <c r="J272" s="116"/>
      <c r="K272" s="115"/>
      <c r="L272" s="116"/>
      <c r="M272" s="115"/>
      <c r="N272" s="116"/>
      <c r="O272" s="115"/>
      <c r="P272" s="116"/>
      <c r="Q272" s="115"/>
      <c r="R272" s="116"/>
      <c r="S272" s="115"/>
      <c r="T272" s="116"/>
      <c r="U272" s="115"/>
      <c r="V272" s="116"/>
      <c r="W272" s="117"/>
      <c r="X272" s="118"/>
    </row>
    <row r="273" spans="1:24" hidden="1" x14ac:dyDescent="0.25">
      <c r="A273" s="117"/>
      <c r="B273" s="118"/>
      <c r="C273" s="117"/>
      <c r="D273" s="118"/>
      <c r="E273" s="117"/>
      <c r="F273" s="118"/>
      <c r="G273" s="115"/>
      <c r="H273" s="116"/>
      <c r="I273" s="115"/>
      <c r="J273" s="116"/>
      <c r="K273" s="115"/>
      <c r="L273" s="116"/>
      <c r="M273" s="115"/>
      <c r="N273" s="116"/>
      <c r="O273" s="115"/>
      <c r="P273" s="116"/>
      <c r="Q273" s="115"/>
      <c r="R273" s="116"/>
      <c r="S273" s="115"/>
      <c r="T273" s="116"/>
      <c r="U273" s="115"/>
      <c r="V273" s="116"/>
      <c r="W273" s="117"/>
      <c r="X273" s="118"/>
    </row>
    <row r="274" spans="1:24" hidden="1" x14ac:dyDescent="0.25">
      <c r="A274" s="117"/>
      <c r="B274" s="118"/>
      <c r="C274" s="117"/>
      <c r="D274" s="118"/>
      <c r="E274" s="117"/>
      <c r="F274" s="118"/>
      <c r="G274" s="115"/>
      <c r="H274" s="116"/>
      <c r="I274" s="115"/>
      <c r="J274" s="116"/>
      <c r="K274" s="115"/>
      <c r="L274" s="116"/>
      <c r="M274" s="115"/>
      <c r="N274" s="116"/>
      <c r="O274" s="115"/>
      <c r="P274" s="116"/>
      <c r="Q274" s="115"/>
      <c r="R274" s="116"/>
      <c r="S274" s="115"/>
      <c r="T274" s="116"/>
      <c r="U274" s="115"/>
      <c r="V274" s="116"/>
      <c r="W274" s="117"/>
      <c r="X274" s="118"/>
    </row>
    <row r="275" spans="1:24" hidden="1" x14ac:dyDescent="0.25">
      <c r="A275" s="117"/>
      <c r="B275" s="118"/>
      <c r="C275" s="117"/>
      <c r="D275" s="118"/>
      <c r="E275" s="117"/>
      <c r="F275" s="118"/>
      <c r="G275" s="115"/>
      <c r="H275" s="116"/>
      <c r="I275" s="115"/>
      <c r="J275" s="116"/>
      <c r="K275" s="115"/>
      <c r="L275" s="116"/>
      <c r="M275" s="115"/>
      <c r="N275" s="116"/>
      <c r="O275" s="115"/>
      <c r="P275" s="116"/>
      <c r="Q275" s="115"/>
      <c r="R275" s="116"/>
      <c r="S275" s="115"/>
      <c r="T275" s="116"/>
      <c r="U275" s="115"/>
      <c r="V275" s="116"/>
      <c r="W275" s="117"/>
      <c r="X275" s="118"/>
    </row>
    <row r="276" spans="1:24" hidden="1" x14ac:dyDescent="0.25">
      <c r="A276" s="117"/>
      <c r="B276" s="118"/>
      <c r="C276" s="117"/>
      <c r="D276" s="118"/>
      <c r="E276" s="117"/>
      <c r="F276" s="118"/>
      <c r="G276" s="115"/>
      <c r="H276" s="116"/>
      <c r="I276" s="115"/>
      <c r="J276" s="116"/>
      <c r="K276" s="115"/>
      <c r="L276" s="116"/>
      <c r="M276" s="115"/>
      <c r="N276" s="116"/>
      <c r="O276" s="115"/>
      <c r="P276" s="116"/>
      <c r="Q276" s="115"/>
      <c r="R276" s="116"/>
      <c r="S276" s="115"/>
      <c r="T276" s="116"/>
      <c r="U276" s="115"/>
      <c r="V276" s="116"/>
      <c r="W276" s="117"/>
      <c r="X276" s="118"/>
    </row>
    <row r="277" spans="1:24" hidden="1" x14ac:dyDescent="0.25">
      <c r="A277" s="117"/>
      <c r="B277" s="118"/>
      <c r="C277" s="117"/>
      <c r="D277" s="118"/>
      <c r="E277" s="117"/>
      <c r="F277" s="118"/>
      <c r="G277" s="115"/>
      <c r="H277" s="116"/>
      <c r="I277" s="115"/>
      <c r="J277" s="116"/>
      <c r="K277" s="115"/>
      <c r="L277" s="116"/>
      <c r="M277" s="115"/>
      <c r="N277" s="116"/>
      <c r="O277" s="115"/>
      <c r="P277" s="116"/>
      <c r="Q277" s="115"/>
      <c r="R277" s="116"/>
      <c r="S277" s="115"/>
      <c r="T277" s="116"/>
      <c r="U277" s="115"/>
      <c r="V277" s="116"/>
      <c r="W277" s="117"/>
      <c r="X277" s="118"/>
    </row>
    <row r="278" spans="1:24" hidden="1" x14ac:dyDescent="0.25">
      <c r="A278" s="117"/>
      <c r="B278" s="118"/>
      <c r="C278" s="117"/>
      <c r="D278" s="118"/>
      <c r="E278" s="117"/>
      <c r="F278" s="118"/>
      <c r="G278" s="115"/>
      <c r="H278" s="116"/>
      <c r="I278" s="115"/>
      <c r="J278" s="116"/>
      <c r="K278" s="115"/>
      <c r="L278" s="116"/>
      <c r="M278" s="115"/>
      <c r="N278" s="116"/>
      <c r="O278" s="115"/>
      <c r="P278" s="116"/>
      <c r="Q278" s="115"/>
      <c r="R278" s="116"/>
      <c r="S278" s="115"/>
      <c r="T278" s="116"/>
      <c r="U278" s="115"/>
      <c r="V278" s="116"/>
      <c r="W278" s="117"/>
      <c r="X278" s="118"/>
    </row>
    <row r="279" spans="1:24" hidden="1" x14ac:dyDescent="0.25">
      <c r="A279" s="117"/>
      <c r="B279" s="118"/>
      <c r="C279" s="117"/>
      <c r="D279" s="118"/>
      <c r="E279" s="117"/>
      <c r="F279" s="118"/>
      <c r="G279" s="115"/>
      <c r="H279" s="116"/>
      <c r="I279" s="115"/>
      <c r="J279" s="116"/>
      <c r="K279" s="115"/>
      <c r="L279" s="116"/>
      <c r="M279" s="115"/>
      <c r="N279" s="116"/>
      <c r="O279" s="115"/>
      <c r="P279" s="116"/>
      <c r="Q279" s="115"/>
      <c r="R279" s="116"/>
      <c r="S279" s="115"/>
      <c r="T279" s="116"/>
      <c r="U279" s="115"/>
      <c r="V279" s="116"/>
      <c r="W279" s="117"/>
      <c r="X279" s="118"/>
    </row>
    <row r="280" spans="1:24" hidden="1" x14ac:dyDescent="0.25">
      <c r="A280" s="117"/>
      <c r="B280" s="118"/>
      <c r="C280" s="117"/>
      <c r="D280" s="118"/>
      <c r="E280" s="117"/>
      <c r="F280" s="118"/>
      <c r="G280" s="115"/>
      <c r="H280" s="116"/>
      <c r="I280" s="115"/>
      <c r="J280" s="116"/>
      <c r="K280" s="115"/>
      <c r="L280" s="116"/>
      <c r="M280" s="115"/>
      <c r="N280" s="116"/>
      <c r="O280" s="115"/>
      <c r="P280" s="116"/>
      <c r="Q280" s="115"/>
      <c r="R280" s="116"/>
      <c r="S280" s="115"/>
      <c r="T280" s="116"/>
      <c r="U280" s="115"/>
      <c r="V280" s="116"/>
      <c r="W280" s="117"/>
      <c r="X280" s="118"/>
    </row>
    <row r="281" spans="1:24" hidden="1" x14ac:dyDescent="0.25">
      <c r="A281" s="117"/>
      <c r="B281" s="118"/>
      <c r="C281" s="117"/>
      <c r="D281" s="118"/>
      <c r="E281" s="117"/>
      <c r="F281" s="118"/>
      <c r="G281" s="115"/>
      <c r="H281" s="116"/>
      <c r="I281" s="115"/>
      <c r="J281" s="116"/>
      <c r="K281" s="115"/>
      <c r="L281" s="116"/>
      <c r="M281" s="115"/>
      <c r="N281" s="116"/>
      <c r="O281" s="115"/>
      <c r="P281" s="116"/>
      <c r="Q281" s="115"/>
      <c r="R281" s="116"/>
      <c r="S281" s="115"/>
      <c r="T281" s="116"/>
      <c r="U281" s="115"/>
      <c r="V281" s="116"/>
      <c r="W281" s="117"/>
      <c r="X281" s="118"/>
    </row>
    <row r="282" spans="1:24" hidden="1" x14ac:dyDescent="0.25">
      <c r="A282" s="117"/>
      <c r="B282" s="118"/>
      <c r="C282" s="117"/>
      <c r="D282" s="118"/>
      <c r="E282" s="117"/>
      <c r="F282" s="118"/>
      <c r="G282" s="115"/>
      <c r="H282" s="116"/>
      <c r="I282" s="115"/>
      <c r="J282" s="116"/>
      <c r="K282" s="115"/>
      <c r="L282" s="116"/>
      <c r="M282" s="115"/>
      <c r="N282" s="116"/>
      <c r="O282" s="115"/>
      <c r="P282" s="116"/>
      <c r="Q282" s="115"/>
      <c r="R282" s="116"/>
      <c r="S282" s="115"/>
      <c r="T282" s="116"/>
      <c r="U282" s="115"/>
      <c r="V282" s="116"/>
      <c r="W282" s="117"/>
      <c r="X282" s="118"/>
    </row>
    <row r="283" spans="1:24" hidden="1" x14ac:dyDescent="0.25">
      <c r="A283" s="117"/>
      <c r="B283" s="118"/>
      <c r="C283" s="117"/>
      <c r="D283" s="118"/>
      <c r="E283" s="117"/>
      <c r="F283" s="118"/>
      <c r="G283" s="115"/>
      <c r="H283" s="116"/>
      <c r="I283" s="115"/>
      <c r="J283" s="116"/>
      <c r="K283" s="115"/>
      <c r="L283" s="116"/>
      <c r="M283" s="115"/>
      <c r="N283" s="116"/>
      <c r="O283" s="115"/>
      <c r="P283" s="116"/>
      <c r="Q283" s="115"/>
      <c r="R283" s="116"/>
      <c r="S283" s="115"/>
      <c r="T283" s="116"/>
      <c r="U283" s="115"/>
      <c r="V283" s="116"/>
      <c r="W283" s="117"/>
      <c r="X283" s="118"/>
    </row>
    <row r="284" spans="1:24" hidden="1" x14ac:dyDescent="0.25">
      <c r="A284" s="117"/>
      <c r="B284" s="118"/>
      <c r="C284" s="117"/>
      <c r="D284" s="118"/>
      <c r="E284" s="117"/>
      <c r="F284" s="118"/>
      <c r="G284" s="115"/>
      <c r="H284" s="116"/>
      <c r="I284" s="115"/>
      <c r="J284" s="116"/>
      <c r="K284" s="115"/>
      <c r="L284" s="116"/>
      <c r="M284" s="115"/>
      <c r="N284" s="116"/>
      <c r="O284" s="115"/>
      <c r="P284" s="116"/>
      <c r="Q284" s="115"/>
      <c r="R284" s="116"/>
      <c r="S284" s="115"/>
      <c r="T284" s="116"/>
      <c r="U284" s="115"/>
      <c r="V284" s="116"/>
      <c r="W284" s="117"/>
      <c r="X284" s="118"/>
    </row>
    <row r="285" spans="1:24" hidden="1" x14ac:dyDescent="0.25">
      <c r="A285" s="117"/>
      <c r="B285" s="118"/>
      <c r="C285" s="117"/>
      <c r="D285" s="118"/>
      <c r="E285" s="117"/>
      <c r="F285" s="118"/>
      <c r="G285" s="115"/>
      <c r="H285" s="116"/>
      <c r="I285" s="115"/>
      <c r="J285" s="116"/>
      <c r="K285" s="115"/>
      <c r="L285" s="116"/>
      <c r="M285" s="115"/>
      <c r="N285" s="116"/>
      <c r="O285" s="115"/>
      <c r="P285" s="116"/>
      <c r="Q285" s="115"/>
      <c r="R285" s="116"/>
      <c r="S285" s="115"/>
      <c r="T285" s="116"/>
      <c r="U285" s="115"/>
      <c r="V285" s="116"/>
      <c r="W285" s="117"/>
      <c r="X285" s="118"/>
    </row>
    <row r="286" spans="1:24" hidden="1" x14ac:dyDescent="0.25">
      <c r="A286" s="117"/>
      <c r="B286" s="118"/>
      <c r="C286" s="117"/>
      <c r="D286" s="118"/>
      <c r="E286" s="117"/>
      <c r="F286" s="118"/>
      <c r="G286" s="115"/>
      <c r="H286" s="116"/>
      <c r="I286" s="115"/>
      <c r="J286" s="116"/>
      <c r="K286" s="115"/>
      <c r="L286" s="116"/>
      <c r="M286" s="115"/>
      <c r="N286" s="116"/>
      <c r="O286" s="115"/>
      <c r="P286" s="116"/>
      <c r="Q286" s="115"/>
      <c r="R286" s="116"/>
      <c r="S286" s="115"/>
      <c r="T286" s="116"/>
      <c r="U286" s="115"/>
      <c r="V286" s="116"/>
      <c r="W286" s="117"/>
      <c r="X286" s="118"/>
    </row>
    <row r="287" spans="1:24" hidden="1" x14ac:dyDescent="0.25">
      <c r="A287" s="117"/>
      <c r="B287" s="118"/>
      <c r="C287" s="117"/>
      <c r="D287" s="118"/>
      <c r="E287" s="117"/>
      <c r="F287" s="118"/>
      <c r="G287" s="115"/>
      <c r="H287" s="116"/>
      <c r="I287" s="115"/>
      <c r="J287" s="116"/>
      <c r="K287" s="115"/>
      <c r="L287" s="116"/>
      <c r="M287" s="115"/>
      <c r="N287" s="116"/>
      <c r="O287" s="115"/>
      <c r="P287" s="116"/>
      <c r="Q287" s="115"/>
      <c r="R287" s="116"/>
      <c r="S287" s="115"/>
      <c r="T287" s="116"/>
      <c r="U287" s="115"/>
      <c r="V287" s="116"/>
      <c r="W287" s="117"/>
      <c r="X287" s="118"/>
    </row>
    <row r="288" spans="1:24" hidden="1" x14ac:dyDescent="0.25">
      <c r="A288" s="117"/>
      <c r="B288" s="118"/>
      <c r="C288" s="117"/>
      <c r="D288" s="118"/>
      <c r="E288" s="117"/>
      <c r="F288" s="118"/>
      <c r="G288" s="115"/>
      <c r="H288" s="116"/>
      <c r="I288" s="115"/>
      <c r="J288" s="116"/>
      <c r="K288" s="115"/>
      <c r="L288" s="116"/>
      <c r="M288" s="115"/>
      <c r="N288" s="116"/>
      <c r="O288" s="115"/>
      <c r="P288" s="116"/>
      <c r="Q288" s="115"/>
      <c r="R288" s="116"/>
      <c r="S288" s="115"/>
      <c r="T288" s="116"/>
      <c r="U288" s="115"/>
      <c r="V288" s="116"/>
      <c r="W288" s="117"/>
      <c r="X288" s="118"/>
    </row>
    <row r="289" spans="1:24" hidden="1" x14ac:dyDescent="0.25">
      <c r="A289" s="117"/>
      <c r="B289" s="118"/>
      <c r="C289" s="117"/>
      <c r="D289" s="118"/>
      <c r="E289" s="117"/>
      <c r="F289" s="118"/>
      <c r="G289" s="115"/>
      <c r="H289" s="116"/>
      <c r="I289" s="115"/>
      <c r="J289" s="116"/>
      <c r="K289" s="115"/>
      <c r="L289" s="116"/>
      <c r="M289" s="115"/>
      <c r="N289" s="116"/>
      <c r="O289" s="115"/>
      <c r="P289" s="116"/>
      <c r="Q289" s="115"/>
      <c r="R289" s="116"/>
      <c r="S289" s="115"/>
      <c r="T289" s="116"/>
      <c r="U289" s="115"/>
      <c r="V289" s="116"/>
      <c r="W289" s="117"/>
      <c r="X289" s="118"/>
    </row>
    <row r="290" spans="1:24" hidden="1" x14ac:dyDescent="0.25">
      <c r="A290" s="117"/>
      <c r="B290" s="118"/>
      <c r="C290" s="117"/>
      <c r="D290" s="118"/>
      <c r="E290" s="117"/>
      <c r="F290" s="118"/>
      <c r="G290" s="115"/>
      <c r="H290" s="116"/>
      <c r="I290" s="115"/>
      <c r="J290" s="116"/>
      <c r="K290" s="115"/>
      <c r="L290" s="116"/>
      <c r="M290" s="115"/>
      <c r="N290" s="116"/>
      <c r="O290" s="115"/>
      <c r="P290" s="116"/>
      <c r="Q290" s="115"/>
      <c r="R290" s="116"/>
      <c r="S290" s="115"/>
      <c r="T290" s="116"/>
      <c r="U290" s="115"/>
      <c r="V290" s="116"/>
      <c r="W290" s="117"/>
      <c r="X290" s="118"/>
    </row>
    <row r="291" spans="1:24" hidden="1" x14ac:dyDescent="0.25">
      <c r="A291" s="117"/>
      <c r="B291" s="118"/>
      <c r="C291" s="117"/>
      <c r="D291" s="118"/>
      <c r="E291" s="117"/>
      <c r="F291" s="118"/>
      <c r="G291" s="115"/>
      <c r="H291" s="116"/>
      <c r="I291" s="115"/>
      <c r="J291" s="116"/>
      <c r="K291" s="115"/>
      <c r="L291" s="116"/>
      <c r="M291" s="115"/>
      <c r="N291" s="116"/>
      <c r="O291" s="115"/>
      <c r="P291" s="116"/>
      <c r="Q291" s="115"/>
      <c r="R291" s="116"/>
      <c r="S291" s="115"/>
      <c r="T291" s="116"/>
      <c r="U291" s="115"/>
      <c r="V291" s="116"/>
      <c r="W291" s="117"/>
      <c r="X291" s="118"/>
    </row>
    <row r="292" spans="1:24" hidden="1" x14ac:dyDescent="0.25">
      <c r="A292" s="117"/>
      <c r="B292" s="118"/>
      <c r="C292" s="117"/>
      <c r="D292" s="118"/>
      <c r="E292" s="117"/>
      <c r="F292" s="118"/>
      <c r="G292" s="115"/>
      <c r="H292" s="116"/>
      <c r="I292" s="115"/>
      <c r="J292" s="116"/>
      <c r="K292" s="115"/>
      <c r="L292" s="116"/>
      <c r="M292" s="115"/>
      <c r="N292" s="116"/>
      <c r="O292" s="115"/>
      <c r="P292" s="116"/>
      <c r="Q292" s="115"/>
      <c r="R292" s="116"/>
      <c r="S292" s="115"/>
      <c r="T292" s="116"/>
      <c r="U292" s="115"/>
      <c r="V292" s="116"/>
      <c r="W292" s="117"/>
      <c r="X292" s="118"/>
    </row>
    <row r="293" spans="1:24" hidden="1" x14ac:dyDescent="0.25">
      <c r="A293" s="117"/>
      <c r="B293" s="118"/>
      <c r="C293" s="117"/>
      <c r="D293" s="118"/>
      <c r="E293" s="117"/>
      <c r="F293" s="118"/>
      <c r="G293" s="115"/>
      <c r="H293" s="116"/>
      <c r="I293" s="115"/>
      <c r="J293" s="116"/>
      <c r="K293" s="115"/>
      <c r="L293" s="116"/>
      <c r="M293" s="115"/>
      <c r="N293" s="116"/>
      <c r="O293" s="115"/>
      <c r="P293" s="116"/>
      <c r="Q293" s="115"/>
      <c r="R293" s="116"/>
      <c r="S293" s="115"/>
      <c r="T293" s="116"/>
      <c r="U293" s="115"/>
      <c r="V293" s="116"/>
      <c r="W293" s="117"/>
      <c r="X293" s="118"/>
    </row>
    <row r="294" spans="1:24" hidden="1" x14ac:dyDescent="0.25">
      <c r="A294" s="117"/>
      <c r="B294" s="118"/>
      <c r="C294" s="117"/>
      <c r="D294" s="118"/>
      <c r="E294" s="117"/>
      <c r="F294" s="118"/>
      <c r="G294" s="115"/>
      <c r="H294" s="116"/>
      <c r="I294" s="115"/>
      <c r="J294" s="116"/>
      <c r="K294" s="115"/>
      <c r="L294" s="116"/>
      <c r="M294" s="115"/>
      <c r="N294" s="116"/>
      <c r="O294" s="115"/>
      <c r="P294" s="116"/>
      <c r="Q294" s="115"/>
      <c r="R294" s="116"/>
      <c r="S294" s="115"/>
      <c r="T294" s="116"/>
      <c r="U294" s="115"/>
      <c r="V294" s="116"/>
      <c r="W294" s="117"/>
      <c r="X294" s="118"/>
    </row>
    <row r="295" spans="1:24" hidden="1" x14ac:dyDescent="0.25">
      <c r="A295" s="117"/>
      <c r="B295" s="118"/>
      <c r="C295" s="117"/>
      <c r="D295" s="118"/>
      <c r="E295" s="117"/>
      <c r="F295" s="118"/>
      <c r="G295" s="115"/>
      <c r="H295" s="116"/>
      <c r="I295" s="115"/>
      <c r="J295" s="116"/>
      <c r="K295" s="115"/>
      <c r="L295" s="116"/>
      <c r="M295" s="115"/>
      <c r="N295" s="116"/>
      <c r="O295" s="115"/>
      <c r="P295" s="116"/>
      <c r="Q295" s="115"/>
      <c r="R295" s="116"/>
      <c r="S295" s="115"/>
      <c r="T295" s="116"/>
      <c r="U295" s="115"/>
      <c r="V295" s="116"/>
      <c r="W295" s="117"/>
      <c r="X295" s="118"/>
    </row>
    <row r="296" spans="1:24" hidden="1" x14ac:dyDescent="0.25">
      <c r="A296" s="117"/>
      <c r="B296" s="118"/>
      <c r="C296" s="117"/>
      <c r="D296" s="118"/>
      <c r="E296" s="117"/>
      <c r="F296" s="118"/>
      <c r="G296" s="115"/>
      <c r="H296" s="116"/>
      <c r="I296" s="115"/>
      <c r="J296" s="116"/>
      <c r="K296" s="115"/>
      <c r="L296" s="116"/>
      <c r="M296" s="115"/>
      <c r="N296" s="116"/>
      <c r="O296" s="115"/>
      <c r="P296" s="116"/>
      <c r="Q296" s="115"/>
      <c r="R296" s="116"/>
      <c r="S296" s="115"/>
      <c r="T296" s="116"/>
      <c r="U296" s="115"/>
      <c r="V296" s="116"/>
      <c r="W296" s="117"/>
      <c r="X296" s="118"/>
    </row>
    <row r="297" spans="1:24" hidden="1" x14ac:dyDescent="0.25">
      <c r="A297" s="117"/>
      <c r="B297" s="118"/>
      <c r="C297" s="117"/>
      <c r="D297" s="118"/>
      <c r="E297" s="117"/>
      <c r="F297" s="118"/>
      <c r="G297" s="115"/>
      <c r="H297" s="116"/>
      <c r="I297" s="115"/>
      <c r="J297" s="116"/>
      <c r="K297" s="115"/>
      <c r="L297" s="116"/>
      <c r="M297" s="115"/>
      <c r="N297" s="116"/>
      <c r="O297" s="115"/>
      <c r="P297" s="116"/>
      <c r="Q297" s="115"/>
      <c r="R297" s="116"/>
      <c r="S297" s="115"/>
      <c r="T297" s="116"/>
      <c r="U297" s="115"/>
      <c r="V297" s="116"/>
      <c r="W297" s="117"/>
      <c r="X297" s="118"/>
    </row>
    <row r="298" spans="1:24" hidden="1" x14ac:dyDescent="0.25">
      <c r="A298" s="117"/>
      <c r="B298" s="118"/>
      <c r="C298" s="117"/>
      <c r="D298" s="118"/>
      <c r="E298" s="117"/>
      <c r="F298" s="118"/>
      <c r="G298" s="115"/>
      <c r="H298" s="116"/>
      <c r="I298" s="115"/>
      <c r="J298" s="116"/>
      <c r="K298" s="115"/>
      <c r="L298" s="116"/>
      <c r="M298" s="115"/>
      <c r="N298" s="116"/>
      <c r="O298" s="115"/>
      <c r="P298" s="116"/>
      <c r="Q298" s="115"/>
      <c r="R298" s="116"/>
      <c r="S298" s="115"/>
      <c r="T298" s="116"/>
      <c r="U298" s="115"/>
      <c r="V298" s="116"/>
      <c r="W298" s="117"/>
      <c r="X298" s="118"/>
    </row>
    <row r="299" spans="1:24" hidden="1" x14ac:dyDescent="0.25">
      <c r="A299" s="117"/>
      <c r="B299" s="118"/>
      <c r="C299" s="117"/>
      <c r="D299" s="118"/>
      <c r="E299" s="117"/>
      <c r="F299" s="118"/>
      <c r="G299" s="115"/>
      <c r="H299" s="116"/>
      <c r="I299" s="115"/>
      <c r="J299" s="116"/>
      <c r="K299" s="115"/>
      <c r="L299" s="116"/>
      <c r="M299" s="115"/>
      <c r="N299" s="116"/>
      <c r="O299" s="115"/>
      <c r="P299" s="116"/>
      <c r="Q299" s="115"/>
      <c r="R299" s="116"/>
      <c r="S299" s="115"/>
      <c r="T299" s="116"/>
      <c r="U299" s="115"/>
      <c r="V299" s="116"/>
      <c r="W299" s="117"/>
      <c r="X299" s="118"/>
    </row>
    <row r="300" spans="1:24" hidden="1" x14ac:dyDescent="0.25">
      <c r="A300" s="117"/>
      <c r="B300" s="118"/>
      <c r="C300" s="117"/>
      <c r="D300" s="118"/>
      <c r="E300" s="117"/>
      <c r="F300" s="118"/>
      <c r="G300" s="115"/>
      <c r="H300" s="116"/>
      <c r="I300" s="115"/>
      <c r="J300" s="116"/>
      <c r="K300" s="115"/>
      <c r="L300" s="116"/>
      <c r="M300" s="115"/>
      <c r="N300" s="116"/>
      <c r="O300" s="115"/>
      <c r="P300" s="116"/>
      <c r="Q300" s="115"/>
      <c r="R300" s="116"/>
      <c r="S300" s="115"/>
      <c r="T300" s="116"/>
      <c r="U300" s="115"/>
      <c r="V300" s="116"/>
      <c r="W300" s="117"/>
      <c r="X300" s="118"/>
    </row>
    <row r="301" spans="1:24" hidden="1" x14ac:dyDescent="0.25">
      <c r="A301" s="117"/>
      <c r="B301" s="118"/>
      <c r="C301" s="117"/>
      <c r="D301" s="118"/>
      <c r="E301" s="117"/>
      <c r="F301" s="118"/>
      <c r="G301" s="115"/>
      <c r="H301" s="116"/>
      <c r="I301" s="115"/>
      <c r="J301" s="116"/>
      <c r="K301" s="115"/>
      <c r="L301" s="116"/>
      <c r="M301" s="115"/>
      <c r="N301" s="116"/>
      <c r="O301" s="115"/>
      <c r="P301" s="116"/>
      <c r="Q301" s="115"/>
      <c r="R301" s="116"/>
      <c r="S301" s="115"/>
      <c r="T301" s="116"/>
      <c r="U301" s="115"/>
      <c r="V301" s="116"/>
      <c r="W301" s="117"/>
      <c r="X301" s="118"/>
    </row>
    <row r="302" spans="1:24" hidden="1" x14ac:dyDescent="0.25">
      <c r="A302" s="117"/>
      <c r="B302" s="118"/>
      <c r="C302" s="117"/>
      <c r="D302" s="118"/>
      <c r="E302" s="117"/>
      <c r="F302" s="118"/>
      <c r="G302" s="115"/>
      <c r="H302" s="116"/>
      <c r="I302" s="115"/>
      <c r="J302" s="116"/>
      <c r="K302" s="115"/>
      <c r="L302" s="116"/>
      <c r="M302" s="115"/>
      <c r="N302" s="116"/>
      <c r="O302" s="115"/>
      <c r="P302" s="116"/>
      <c r="Q302" s="115"/>
      <c r="R302" s="116"/>
      <c r="S302" s="115"/>
      <c r="T302" s="116"/>
      <c r="U302" s="115"/>
      <c r="V302" s="116"/>
      <c r="W302" s="117"/>
      <c r="X302" s="118"/>
    </row>
    <row r="303" spans="1:24" hidden="1" x14ac:dyDescent="0.25">
      <c r="A303" s="117"/>
      <c r="B303" s="118"/>
      <c r="C303" s="117"/>
      <c r="D303" s="118"/>
      <c r="E303" s="117"/>
      <c r="F303" s="118"/>
      <c r="G303" s="115"/>
      <c r="H303" s="116"/>
      <c r="I303" s="115"/>
      <c r="J303" s="116"/>
      <c r="K303" s="115"/>
      <c r="L303" s="116"/>
      <c r="M303" s="115"/>
      <c r="N303" s="116"/>
      <c r="O303" s="115"/>
      <c r="P303" s="116"/>
      <c r="Q303" s="115"/>
      <c r="R303" s="116"/>
      <c r="S303" s="115"/>
      <c r="T303" s="116"/>
      <c r="U303" s="115"/>
      <c r="V303" s="116"/>
      <c r="W303" s="117"/>
      <c r="X303" s="118"/>
    </row>
    <row r="304" spans="1:24" hidden="1" x14ac:dyDescent="0.25">
      <c r="A304" s="117"/>
      <c r="B304" s="118"/>
      <c r="C304" s="117"/>
      <c r="D304" s="118"/>
      <c r="E304" s="117"/>
      <c r="F304" s="118"/>
      <c r="G304" s="115"/>
      <c r="H304" s="116"/>
      <c r="I304" s="115"/>
      <c r="J304" s="116"/>
      <c r="K304" s="115"/>
      <c r="L304" s="116"/>
      <c r="M304" s="115"/>
      <c r="N304" s="116"/>
      <c r="O304" s="115"/>
      <c r="P304" s="116"/>
      <c r="Q304" s="115"/>
      <c r="R304" s="116"/>
      <c r="S304" s="115"/>
      <c r="T304" s="116"/>
      <c r="U304" s="115"/>
      <c r="V304" s="116"/>
      <c r="W304" s="117"/>
      <c r="X304" s="118"/>
    </row>
    <row r="305" spans="1:24" hidden="1" x14ac:dyDescent="0.25">
      <c r="A305" s="117"/>
      <c r="B305" s="118"/>
      <c r="C305" s="117"/>
      <c r="D305" s="118"/>
      <c r="E305" s="117"/>
      <c r="F305" s="118"/>
      <c r="G305" s="115"/>
      <c r="H305" s="116"/>
      <c r="I305" s="115"/>
      <c r="J305" s="116"/>
      <c r="K305" s="115"/>
      <c r="L305" s="116"/>
      <c r="M305" s="115"/>
      <c r="N305" s="116"/>
      <c r="O305" s="115"/>
      <c r="P305" s="116"/>
      <c r="Q305" s="115"/>
      <c r="R305" s="116"/>
      <c r="S305" s="115"/>
      <c r="T305" s="116"/>
      <c r="U305" s="115"/>
      <c r="V305" s="116"/>
      <c r="W305" s="117"/>
      <c r="X305" s="118"/>
    </row>
    <row r="306" spans="1:24" hidden="1" x14ac:dyDescent="0.25">
      <c r="A306" s="117"/>
      <c r="B306" s="118"/>
      <c r="C306" s="117"/>
      <c r="D306" s="118"/>
      <c r="E306" s="117"/>
      <c r="F306" s="118"/>
      <c r="G306" s="115"/>
      <c r="H306" s="116"/>
      <c r="I306" s="115"/>
      <c r="J306" s="116"/>
      <c r="K306" s="115"/>
      <c r="L306" s="116"/>
      <c r="M306" s="115"/>
      <c r="N306" s="116"/>
      <c r="O306" s="115"/>
      <c r="P306" s="116"/>
      <c r="Q306" s="115"/>
      <c r="R306" s="116"/>
      <c r="S306" s="115"/>
      <c r="T306" s="116"/>
      <c r="U306" s="115"/>
      <c r="V306" s="116"/>
      <c r="W306" s="117"/>
      <c r="X306" s="118"/>
    </row>
    <row r="307" spans="1:24" hidden="1" x14ac:dyDescent="0.25">
      <c r="A307" s="117"/>
      <c r="B307" s="118"/>
      <c r="C307" s="117"/>
      <c r="D307" s="118"/>
      <c r="E307" s="117"/>
      <c r="F307" s="118"/>
      <c r="G307" s="115"/>
      <c r="H307" s="116"/>
      <c r="I307" s="115"/>
      <c r="J307" s="116"/>
      <c r="K307" s="115"/>
      <c r="L307" s="116"/>
      <c r="M307" s="115"/>
      <c r="N307" s="116"/>
      <c r="O307" s="115"/>
      <c r="P307" s="116"/>
      <c r="Q307" s="115"/>
      <c r="R307" s="116"/>
      <c r="S307" s="115"/>
      <c r="T307" s="116"/>
      <c r="U307" s="115"/>
      <c r="V307" s="116"/>
      <c r="W307" s="117"/>
      <c r="X307" s="118"/>
    </row>
    <row r="308" spans="1:24" hidden="1" x14ac:dyDescent="0.25">
      <c r="A308" s="117"/>
      <c r="B308" s="118"/>
      <c r="C308" s="117"/>
      <c r="D308" s="118"/>
      <c r="E308" s="117"/>
      <c r="F308" s="118"/>
      <c r="G308" s="115"/>
      <c r="H308" s="116"/>
      <c r="I308" s="115"/>
      <c r="J308" s="116"/>
      <c r="K308" s="115"/>
      <c r="L308" s="116"/>
      <c r="M308" s="115"/>
      <c r="N308" s="116"/>
      <c r="O308" s="115"/>
      <c r="P308" s="116"/>
      <c r="Q308" s="115"/>
      <c r="R308" s="116"/>
      <c r="S308" s="115"/>
      <c r="T308" s="116"/>
      <c r="U308" s="115"/>
      <c r="V308" s="116"/>
      <c r="W308" s="117"/>
      <c r="X308" s="118"/>
    </row>
    <row r="309" spans="1:24" hidden="1" x14ac:dyDescent="0.25">
      <c r="A309" s="117"/>
      <c r="B309" s="118"/>
      <c r="C309" s="117"/>
      <c r="D309" s="118"/>
      <c r="E309" s="117"/>
      <c r="F309" s="118"/>
      <c r="G309" s="115"/>
      <c r="H309" s="116"/>
      <c r="I309" s="115"/>
      <c r="J309" s="116"/>
      <c r="K309" s="115"/>
      <c r="L309" s="116"/>
      <c r="M309" s="115"/>
      <c r="N309" s="116"/>
      <c r="O309" s="115"/>
      <c r="P309" s="116"/>
      <c r="Q309" s="115"/>
      <c r="R309" s="116"/>
      <c r="S309" s="115"/>
      <c r="T309" s="116"/>
      <c r="U309" s="115"/>
      <c r="V309" s="116"/>
      <c r="W309" s="117"/>
      <c r="X309" s="118"/>
    </row>
    <row r="310" spans="1:24" hidden="1" x14ac:dyDescent="0.25">
      <c r="A310" s="117"/>
      <c r="B310" s="118"/>
      <c r="C310" s="117"/>
      <c r="D310" s="118"/>
      <c r="E310" s="117"/>
      <c r="F310" s="118"/>
      <c r="G310" s="115"/>
      <c r="H310" s="116"/>
      <c r="I310" s="115"/>
      <c r="J310" s="116"/>
      <c r="K310" s="115"/>
      <c r="L310" s="116"/>
      <c r="M310" s="115"/>
      <c r="N310" s="116"/>
      <c r="O310" s="115"/>
      <c r="P310" s="116"/>
      <c r="Q310" s="115"/>
      <c r="R310" s="116"/>
      <c r="S310" s="115"/>
      <c r="T310" s="116"/>
      <c r="U310" s="115"/>
      <c r="V310" s="116"/>
      <c r="W310" s="117"/>
      <c r="X310" s="118"/>
    </row>
    <row r="311" spans="1:24" hidden="1" x14ac:dyDescent="0.25">
      <c r="A311" s="117"/>
      <c r="B311" s="118"/>
      <c r="C311" s="117"/>
      <c r="D311" s="118"/>
      <c r="E311" s="117"/>
      <c r="F311" s="118"/>
      <c r="G311" s="115"/>
      <c r="H311" s="116"/>
      <c r="I311" s="115"/>
      <c r="J311" s="116"/>
      <c r="K311" s="115"/>
      <c r="L311" s="116"/>
      <c r="M311" s="115"/>
      <c r="N311" s="116"/>
      <c r="O311" s="115"/>
      <c r="P311" s="116"/>
      <c r="Q311" s="115"/>
      <c r="R311" s="116"/>
      <c r="S311" s="115"/>
      <c r="T311" s="116"/>
      <c r="U311" s="115"/>
      <c r="V311" s="116"/>
      <c r="W311" s="117"/>
      <c r="X311" s="118"/>
    </row>
    <row r="312" spans="1:24" hidden="1" x14ac:dyDescent="0.25">
      <c r="A312" s="117"/>
      <c r="B312" s="118"/>
      <c r="C312" s="117"/>
      <c r="D312" s="118"/>
      <c r="E312" s="117"/>
      <c r="F312" s="118"/>
      <c r="G312" s="115"/>
      <c r="H312" s="116"/>
      <c r="I312" s="115"/>
      <c r="J312" s="116"/>
      <c r="K312" s="115"/>
      <c r="L312" s="116"/>
      <c r="M312" s="115"/>
      <c r="N312" s="116"/>
      <c r="O312" s="115"/>
      <c r="P312" s="116"/>
      <c r="Q312" s="115"/>
      <c r="R312" s="116"/>
      <c r="S312" s="115"/>
      <c r="T312" s="116"/>
      <c r="U312" s="115"/>
      <c r="V312" s="116"/>
      <c r="W312" s="117"/>
      <c r="X312" s="118"/>
    </row>
    <row r="313" spans="1:24" hidden="1" x14ac:dyDescent="0.25">
      <c r="A313" s="117"/>
      <c r="B313" s="118"/>
      <c r="C313" s="117"/>
      <c r="D313" s="118"/>
      <c r="E313" s="117"/>
      <c r="F313" s="118"/>
      <c r="G313" s="115"/>
      <c r="H313" s="116"/>
      <c r="I313" s="115"/>
      <c r="J313" s="116"/>
      <c r="K313" s="115"/>
      <c r="L313" s="116"/>
      <c r="M313" s="115"/>
      <c r="N313" s="116"/>
      <c r="O313" s="115"/>
      <c r="P313" s="116"/>
      <c r="Q313" s="115"/>
      <c r="R313" s="116"/>
      <c r="S313" s="115"/>
      <c r="T313" s="116"/>
      <c r="U313" s="115"/>
      <c r="V313" s="116"/>
      <c r="W313" s="117"/>
      <c r="X313" s="118"/>
    </row>
    <row r="314" spans="1:24" hidden="1" x14ac:dyDescent="0.25">
      <c r="A314" s="117"/>
      <c r="B314" s="118"/>
      <c r="C314" s="117"/>
      <c r="D314" s="118"/>
      <c r="E314" s="117"/>
      <c r="F314" s="118"/>
      <c r="G314" s="115"/>
      <c r="H314" s="116"/>
      <c r="I314" s="115"/>
      <c r="J314" s="116"/>
      <c r="K314" s="115"/>
      <c r="L314" s="116"/>
      <c r="M314" s="115"/>
      <c r="N314" s="116"/>
      <c r="O314" s="115"/>
      <c r="P314" s="116"/>
      <c r="Q314" s="115"/>
      <c r="R314" s="116"/>
      <c r="S314" s="115"/>
      <c r="T314" s="116"/>
      <c r="U314" s="115"/>
      <c r="V314" s="116"/>
      <c r="W314" s="117"/>
      <c r="X314" s="118"/>
    </row>
    <row r="315" spans="1:24" hidden="1" x14ac:dyDescent="0.25">
      <c r="A315" s="117"/>
      <c r="B315" s="118"/>
      <c r="C315" s="117"/>
      <c r="D315" s="118"/>
      <c r="E315" s="117"/>
      <c r="F315" s="118"/>
      <c r="G315" s="115"/>
      <c r="H315" s="116"/>
      <c r="I315" s="115"/>
      <c r="J315" s="116"/>
      <c r="K315" s="115"/>
      <c r="L315" s="116"/>
      <c r="M315" s="115"/>
      <c r="N315" s="116"/>
      <c r="O315" s="115"/>
      <c r="P315" s="116"/>
      <c r="Q315" s="115"/>
      <c r="R315" s="116"/>
      <c r="S315" s="115"/>
      <c r="T315" s="116"/>
      <c r="U315" s="115"/>
      <c r="V315" s="116"/>
      <c r="W315" s="117"/>
      <c r="X315" s="118"/>
    </row>
    <row r="316" spans="1:24" hidden="1" x14ac:dyDescent="0.25">
      <c r="A316" s="117"/>
      <c r="B316" s="118"/>
      <c r="C316" s="117"/>
      <c r="D316" s="118"/>
      <c r="E316" s="117"/>
      <c r="F316" s="118"/>
      <c r="G316" s="115"/>
      <c r="H316" s="116"/>
      <c r="I316" s="115"/>
      <c r="J316" s="116"/>
      <c r="K316" s="115"/>
      <c r="L316" s="116"/>
      <c r="M316" s="115"/>
      <c r="N316" s="116"/>
      <c r="O316" s="115"/>
      <c r="P316" s="116"/>
      <c r="Q316" s="115"/>
      <c r="R316" s="116"/>
      <c r="S316" s="115"/>
      <c r="T316" s="116"/>
      <c r="U316" s="115"/>
      <c r="V316" s="116"/>
      <c r="W316" s="117"/>
      <c r="X316" s="118"/>
    </row>
    <row r="317" spans="1:24" hidden="1" x14ac:dyDescent="0.25">
      <c r="A317" s="117"/>
      <c r="B317" s="118"/>
      <c r="C317" s="117"/>
      <c r="D317" s="118"/>
      <c r="E317" s="117"/>
      <c r="F317" s="118"/>
      <c r="G317" s="115"/>
      <c r="H317" s="116"/>
      <c r="I317" s="115"/>
      <c r="J317" s="116"/>
      <c r="K317" s="115"/>
      <c r="L317" s="116"/>
      <c r="M317" s="115"/>
      <c r="N317" s="116"/>
      <c r="O317" s="115"/>
      <c r="P317" s="116"/>
      <c r="Q317" s="115"/>
      <c r="R317" s="116"/>
      <c r="S317" s="115"/>
      <c r="T317" s="116"/>
      <c r="U317" s="115"/>
      <c r="V317" s="116"/>
      <c r="W317" s="117"/>
      <c r="X317" s="118"/>
    </row>
    <row r="318" spans="1:24" hidden="1" x14ac:dyDescent="0.25">
      <c r="A318" s="117"/>
      <c r="B318" s="118"/>
      <c r="C318" s="117"/>
      <c r="D318" s="118"/>
      <c r="E318" s="117"/>
      <c r="F318" s="118"/>
      <c r="G318" s="115"/>
      <c r="H318" s="116"/>
      <c r="I318" s="115"/>
      <c r="J318" s="116"/>
      <c r="K318" s="115"/>
      <c r="L318" s="116"/>
      <c r="M318" s="115"/>
      <c r="N318" s="116"/>
      <c r="O318" s="115"/>
      <c r="P318" s="116"/>
      <c r="Q318" s="115"/>
      <c r="R318" s="116"/>
      <c r="S318" s="115"/>
      <c r="T318" s="116"/>
      <c r="U318" s="115"/>
      <c r="V318" s="116"/>
      <c r="W318" s="117"/>
      <c r="X318" s="118"/>
    </row>
    <row r="319" spans="1:24" hidden="1" x14ac:dyDescent="0.25">
      <c r="A319" s="117"/>
      <c r="B319" s="118"/>
      <c r="C319" s="117"/>
      <c r="D319" s="118"/>
      <c r="E319" s="117"/>
      <c r="F319" s="118"/>
      <c r="G319" s="115"/>
      <c r="H319" s="116"/>
      <c r="I319" s="115"/>
      <c r="J319" s="116"/>
      <c r="K319" s="115"/>
      <c r="L319" s="116"/>
      <c r="M319" s="115"/>
      <c r="N319" s="116"/>
      <c r="O319" s="115"/>
      <c r="P319" s="116"/>
      <c r="Q319" s="115"/>
      <c r="R319" s="116"/>
      <c r="S319" s="115"/>
      <c r="T319" s="116"/>
      <c r="U319" s="115"/>
      <c r="V319" s="116"/>
      <c r="W319" s="117"/>
      <c r="X319" s="118"/>
    </row>
    <row r="320" spans="1:24" hidden="1" x14ac:dyDescent="0.25">
      <c r="A320" s="117"/>
      <c r="B320" s="118"/>
      <c r="C320" s="117"/>
      <c r="D320" s="118"/>
      <c r="E320" s="117"/>
      <c r="F320" s="118"/>
      <c r="G320" s="115"/>
      <c r="H320" s="116"/>
      <c r="I320" s="115"/>
      <c r="J320" s="116"/>
      <c r="K320" s="115"/>
      <c r="L320" s="116"/>
      <c r="M320" s="115"/>
      <c r="N320" s="116"/>
      <c r="O320" s="115"/>
      <c r="P320" s="116"/>
      <c r="Q320" s="115"/>
      <c r="R320" s="116"/>
      <c r="S320" s="115"/>
      <c r="T320" s="116"/>
      <c r="U320" s="115"/>
      <c r="V320" s="116"/>
      <c r="W320" s="117"/>
      <c r="X320" s="118"/>
    </row>
    <row r="321" spans="1:24" hidden="1" x14ac:dyDescent="0.25">
      <c r="A321" s="117"/>
      <c r="B321" s="118"/>
      <c r="C321" s="117"/>
      <c r="D321" s="118"/>
      <c r="E321" s="117"/>
      <c r="F321" s="118"/>
      <c r="G321" s="115"/>
      <c r="H321" s="116"/>
      <c r="I321" s="115"/>
      <c r="J321" s="116"/>
      <c r="K321" s="115"/>
      <c r="L321" s="116"/>
      <c r="M321" s="115"/>
      <c r="N321" s="116"/>
      <c r="O321" s="115"/>
      <c r="P321" s="116"/>
      <c r="Q321" s="115"/>
      <c r="R321" s="116"/>
      <c r="S321" s="115"/>
      <c r="T321" s="116"/>
      <c r="U321" s="115"/>
      <c r="V321" s="116"/>
      <c r="W321" s="117"/>
      <c r="X321" s="118"/>
    </row>
    <row r="322" spans="1:24" hidden="1" x14ac:dyDescent="0.25">
      <c r="A322" s="117"/>
      <c r="B322" s="118"/>
      <c r="C322" s="117"/>
      <c r="D322" s="118"/>
      <c r="E322" s="117"/>
      <c r="F322" s="118"/>
      <c r="G322" s="115"/>
      <c r="H322" s="116"/>
      <c r="I322" s="115"/>
      <c r="J322" s="116"/>
      <c r="K322" s="115"/>
      <c r="L322" s="116"/>
      <c r="M322" s="115"/>
      <c r="N322" s="116"/>
      <c r="O322" s="115"/>
      <c r="P322" s="116"/>
      <c r="Q322" s="115"/>
      <c r="R322" s="116"/>
      <c r="S322" s="115"/>
      <c r="T322" s="116"/>
      <c r="U322" s="115"/>
      <c r="V322" s="116"/>
      <c r="W322" s="117"/>
      <c r="X322" s="118"/>
    </row>
    <row r="323" spans="1:24" hidden="1" x14ac:dyDescent="0.25">
      <c r="A323" s="117"/>
      <c r="B323" s="118"/>
      <c r="C323" s="117"/>
      <c r="D323" s="118"/>
      <c r="E323" s="117"/>
      <c r="F323" s="118"/>
      <c r="G323" s="115"/>
      <c r="H323" s="116"/>
      <c r="I323" s="115"/>
      <c r="J323" s="116"/>
      <c r="K323" s="115"/>
      <c r="L323" s="116"/>
      <c r="M323" s="115"/>
      <c r="N323" s="116"/>
      <c r="O323" s="115"/>
      <c r="P323" s="116"/>
      <c r="Q323" s="115"/>
      <c r="R323" s="116"/>
      <c r="S323" s="115"/>
      <c r="T323" s="116"/>
      <c r="U323" s="115"/>
      <c r="V323" s="116"/>
      <c r="W323" s="117"/>
      <c r="X323" s="118"/>
    </row>
    <row r="324" spans="1:24" hidden="1" x14ac:dyDescent="0.25">
      <c r="A324" s="117"/>
      <c r="B324" s="118"/>
      <c r="C324" s="117"/>
      <c r="D324" s="118"/>
      <c r="E324" s="117"/>
      <c r="F324" s="118"/>
      <c r="G324" s="115"/>
      <c r="H324" s="116"/>
      <c r="I324" s="115"/>
      <c r="J324" s="116"/>
      <c r="K324" s="115"/>
      <c r="L324" s="116"/>
      <c r="M324" s="115"/>
      <c r="N324" s="116"/>
      <c r="O324" s="115"/>
      <c r="P324" s="116"/>
      <c r="Q324" s="115"/>
      <c r="R324" s="116"/>
      <c r="S324" s="115"/>
      <c r="T324" s="116"/>
      <c r="U324" s="115"/>
      <c r="V324" s="116"/>
      <c r="W324" s="117"/>
      <c r="X324" s="118"/>
    </row>
    <row r="325" spans="1:24" hidden="1" x14ac:dyDescent="0.25">
      <c r="A325" s="117"/>
      <c r="B325" s="118"/>
      <c r="C325" s="117"/>
      <c r="D325" s="118"/>
      <c r="E325" s="117"/>
      <c r="F325" s="118"/>
      <c r="G325" s="115"/>
      <c r="H325" s="116"/>
      <c r="I325" s="115"/>
      <c r="J325" s="116"/>
      <c r="K325" s="115"/>
      <c r="L325" s="116"/>
      <c r="M325" s="115"/>
      <c r="N325" s="116"/>
      <c r="O325" s="115"/>
      <c r="P325" s="116"/>
      <c r="Q325" s="115"/>
      <c r="R325" s="116"/>
      <c r="S325" s="115"/>
      <c r="T325" s="116"/>
      <c r="U325" s="115"/>
      <c r="V325" s="116"/>
      <c r="W325" s="117"/>
      <c r="X325" s="118"/>
    </row>
    <row r="326" spans="1:24" hidden="1" x14ac:dyDescent="0.25">
      <c r="A326" s="117"/>
      <c r="B326" s="118"/>
      <c r="C326" s="117"/>
      <c r="D326" s="118"/>
      <c r="E326" s="117"/>
      <c r="F326" s="118"/>
      <c r="G326" s="115"/>
      <c r="H326" s="116"/>
      <c r="I326" s="115"/>
      <c r="J326" s="116"/>
      <c r="K326" s="115"/>
      <c r="L326" s="116"/>
      <c r="M326" s="115"/>
      <c r="N326" s="116"/>
      <c r="O326" s="115"/>
      <c r="P326" s="116"/>
      <c r="Q326" s="115"/>
      <c r="R326" s="116"/>
      <c r="S326" s="115"/>
      <c r="T326" s="116"/>
      <c r="U326" s="115"/>
      <c r="V326" s="116"/>
      <c r="W326" s="117"/>
      <c r="X326" s="118"/>
    </row>
    <row r="327" spans="1:24" hidden="1" x14ac:dyDescent="0.25">
      <c r="A327" s="117"/>
      <c r="B327" s="118"/>
      <c r="C327" s="117"/>
      <c r="D327" s="118"/>
      <c r="E327" s="117"/>
      <c r="F327" s="118"/>
      <c r="G327" s="115"/>
      <c r="H327" s="116"/>
      <c r="I327" s="115"/>
      <c r="J327" s="116"/>
      <c r="K327" s="115"/>
      <c r="L327" s="116"/>
      <c r="M327" s="115"/>
      <c r="N327" s="116"/>
      <c r="O327" s="115"/>
      <c r="P327" s="116"/>
      <c r="Q327" s="115"/>
      <c r="R327" s="116"/>
      <c r="S327" s="115"/>
      <c r="T327" s="116"/>
      <c r="U327" s="115"/>
      <c r="V327" s="116"/>
      <c r="W327" s="117"/>
      <c r="X327" s="118"/>
    </row>
    <row r="328" spans="1:24" hidden="1" x14ac:dyDescent="0.25">
      <c r="A328" s="117"/>
      <c r="B328" s="118"/>
      <c r="C328" s="117"/>
      <c r="D328" s="118"/>
      <c r="E328" s="117"/>
      <c r="F328" s="118"/>
      <c r="G328" s="115"/>
      <c r="H328" s="116"/>
      <c r="I328" s="115"/>
      <c r="J328" s="116"/>
      <c r="K328" s="115"/>
      <c r="L328" s="116"/>
      <c r="M328" s="115"/>
      <c r="N328" s="116"/>
      <c r="O328" s="115"/>
      <c r="P328" s="116"/>
      <c r="Q328" s="115"/>
      <c r="R328" s="116"/>
      <c r="S328" s="115"/>
      <c r="T328" s="116"/>
      <c r="U328" s="115"/>
      <c r="V328" s="116"/>
      <c r="W328" s="117"/>
      <c r="X328" s="118"/>
    </row>
    <row r="329" spans="1:24" hidden="1" x14ac:dyDescent="0.25">
      <c r="A329" s="117"/>
      <c r="B329" s="118"/>
      <c r="C329" s="117"/>
      <c r="D329" s="118"/>
      <c r="E329" s="117"/>
      <c r="F329" s="118"/>
      <c r="G329" s="115"/>
      <c r="H329" s="116"/>
      <c r="I329" s="115"/>
      <c r="J329" s="116"/>
      <c r="K329" s="115"/>
      <c r="L329" s="116"/>
      <c r="M329" s="115"/>
      <c r="N329" s="116"/>
      <c r="O329" s="115"/>
      <c r="P329" s="116"/>
      <c r="Q329" s="115"/>
      <c r="R329" s="116"/>
      <c r="S329" s="115"/>
      <c r="T329" s="116"/>
      <c r="U329" s="115"/>
      <c r="V329" s="116"/>
      <c r="W329" s="117"/>
      <c r="X329" s="118"/>
    </row>
    <row r="330" spans="1:24" hidden="1" x14ac:dyDescent="0.25">
      <c r="A330" s="117"/>
      <c r="B330" s="118"/>
      <c r="C330" s="117"/>
      <c r="D330" s="118"/>
      <c r="E330" s="117"/>
      <c r="F330" s="118"/>
      <c r="G330" s="115"/>
      <c r="H330" s="116"/>
      <c r="I330" s="115"/>
      <c r="J330" s="116"/>
      <c r="K330" s="115"/>
      <c r="L330" s="116"/>
      <c r="M330" s="115"/>
      <c r="N330" s="116"/>
      <c r="O330" s="115"/>
      <c r="P330" s="116"/>
      <c r="Q330" s="115"/>
      <c r="R330" s="116"/>
      <c r="S330" s="115"/>
      <c r="T330" s="116"/>
      <c r="U330" s="115"/>
      <c r="V330" s="116"/>
      <c r="W330" s="117"/>
      <c r="X330" s="118"/>
    </row>
    <row r="331" spans="1:24" hidden="1" x14ac:dyDescent="0.25">
      <c r="A331" s="117"/>
      <c r="B331" s="118"/>
      <c r="C331" s="117"/>
      <c r="D331" s="118"/>
      <c r="E331" s="117"/>
      <c r="F331" s="118"/>
      <c r="G331" s="115"/>
      <c r="H331" s="116"/>
      <c r="I331" s="115"/>
      <c r="J331" s="116"/>
      <c r="K331" s="115"/>
      <c r="L331" s="116"/>
      <c r="M331" s="115"/>
      <c r="N331" s="116"/>
      <c r="O331" s="115"/>
      <c r="P331" s="116"/>
      <c r="Q331" s="115"/>
      <c r="R331" s="116"/>
      <c r="S331" s="115"/>
      <c r="T331" s="116"/>
      <c r="U331" s="115"/>
      <c r="V331" s="116"/>
      <c r="W331" s="117"/>
      <c r="X331" s="118"/>
    </row>
    <row r="332" spans="1:24" hidden="1" x14ac:dyDescent="0.25">
      <c r="A332" s="117"/>
      <c r="B332" s="118"/>
      <c r="C332" s="117"/>
      <c r="D332" s="118"/>
      <c r="E332" s="117"/>
      <c r="F332" s="118"/>
      <c r="G332" s="115"/>
      <c r="H332" s="116"/>
      <c r="I332" s="115"/>
      <c r="J332" s="116"/>
      <c r="K332" s="115"/>
      <c r="L332" s="116"/>
      <c r="M332" s="115"/>
      <c r="N332" s="116"/>
      <c r="O332" s="115"/>
      <c r="P332" s="116"/>
      <c r="Q332" s="115"/>
      <c r="R332" s="116"/>
      <c r="S332" s="115"/>
      <c r="T332" s="116"/>
      <c r="U332" s="115"/>
      <c r="V332" s="116"/>
      <c r="W332" s="117"/>
      <c r="X332" s="118"/>
    </row>
    <row r="333" spans="1:24" hidden="1" x14ac:dyDescent="0.25">
      <c r="A333" s="117"/>
      <c r="B333" s="118"/>
      <c r="C333" s="117"/>
      <c r="D333" s="118"/>
      <c r="E333" s="117"/>
      <c r="F333" s="118"/>
      <c r="G333" s="115"/>
      <c r="H333" s="116"/>
      <c r="I333" s="115"/>
      <c r="J333" s="116"/>
      <c r="K333" s="115"/>
      <c r="L333" s="116"/>
      <c r="M333" s="115"/>
      <c r="N333" s="116"/>
      <c r="O333" s="115"/>
      <c r="P333" s="116"/>
      <c r="Q333" s="115"/>
      <c r="R333" s="116"/>
      <c r="S333" s="115"/>
      <c r="T333" s="116"/>
      <c r="U333" s="115"/>
      <c r="V333" s="116"/>
      <c r="W333" s="117"/>
      <c r="X333" s="118"/>
    </row>
    <row r="334" spans="1:24" hidden="1" x14ac:dyDescent="0.25">
      <c r="A334" s="117"/>
      <c r="B334" s="118"/>
      <c r="C334" s="117"/>
      <c r="D334" s="118"/>
      <c r="E334" s="117"/>
      <c r="F334" s="118"/>
      <c r="G334" s="115"/>
      <c r="H334" s="116"/>
      <c r="I334" s="115"/>
      <c r="J334" s="116"/>
      <c r="K334" s="115"/>
      <c r="L334" s="116"/>
      <c r="M334" s="115"/>
      <c r="N334" s="116"/>
      <c r="O334" s="115"/>
      <c r="P334" s="116"/>
      <c r="Q334" s="115"/>
      <c r="R334" s="116"/>
      <c r="S334" s="115"/>
      <c r="T334" s="116"/>
      <c r="U334" s="115"/>
      <c r="V334" s="116"/>
      <c r="W334" s="117"/>
      <c r="X334" s="118"/>
    </row>
    <row r="335" spans="1:24" hidden="1" x14ac:dyDescent="0.25">
      <c r="A335" s="117"/>
      <c r="B335" s="118"/>
      <c r="C335" s="117"/>
      <c r="D335" s="118"/>
      <c r="E335" s="117"/>
      <c r="F335" s="118"/>
      <c r="G335" s="115"/>
      <c r="H335" s="116"/>
      <c r="I335" s="115"/>
      <c r="J335" s="116"/>
      <c r="K335" s="115"/>
      <c r="L335" s="116"/>
      <c r="M335" s="115"/>
      <c r="N335" s="116"/>
      <c r="O335" s="115"/>
      <c r="P335" s="116"/>
      <c r="Q335" s="115"/>
      <c r="R335" s="116"/>
      <c r="S335" s="115"/>
      <c r="T335" s="116"/>
      <c r="U335" s="115"/>
      <c r="V335" s="116"/>
      <c r="W335" s="117"/>
      <c r="X335" s="118"/>
    </row>
    <row r="336" spans="1:24" hidden="1" x14ac:dyDescent="0.25">
      <c r="A336" s="117"/>
      <c r="B336" s="118"/>
      <c r="C336" s="117"/>
      <c r="D336" s="118"/>
      <c r="E336" s="117"/>
      <c r="F336" s="118"/>
      <c r="G336" s="115"/>
      <c r="H336" s="116"/>
      <c r="I336" s="115"/>
      <c r="J336" s="116"/>
      <c r="K336" s="115"/>
      <c r="L336" s="116"/>
      <c r="M336" s="115"/>
      <c r="N336" s="116"/>
      <c r="O336" s="115"/>
      <c r="P336" s="116"/>
      <c r="Q336" s="115"/>
      <c r="R336" s="116"/>
      <c r="S336" s="115"/>
      <c r="T336" s="116"/>
      <c r="U336" s="115"/>
      <c r="V336" s="116"/>
      <c r="W336" s="117"/>
      <c r="X336" s="118"/>
    </row>
    <row r="337" spans="1:24" hidden="1" x14ac:dyDescent="0.25">
      <c r="A337" s="117"/>
      <c r="B337" s="118"/>
      <c r="C337" s="117"/>
      <c r="D337" s="118"/>
      <c r="E337" s="117"/>
      <c r="F337" s="118"/>
      <c r="G337" s="115"/>
      <c r="H337" s="116"/>
      <c r="I337" s="115"/>
      <c r="J337" s="116"/>
      <c r="K337" s="115"/>
      <c r="L337" s="116"/>
      <c r="M337" s="115"/>
      <c r="N337" s="116"/>
      <c r="O337" s="115"/>
      <c r="P337" s="116"/>
      <c r="Q337" s="115"/>
      <c r="R337" s="116"/>
      <c r="S337" s="115"/>
      <c r="T337" s="116"/>
      <c r="U337" s="115"/>
      <c r="V337" s="116"/>
      <c r="W337" s="117"/>
      <c r="X337" s="118"/>
    </row>
    <row r="338" spans="1:24" hidden="1" x14ac:dyDescent="0.25">
      <c r="A338" s="117"/>
      <c r="B338" s="118"/>
      <c r="C338" s="117"/>
      <c r="D338" s="118"/>
      <c r="E338" s="117"/>
      <c r="F338" s="118"/>
      <c r="G338" s="115"/>
      <c r="H338" s="116"/>
      <c r="I338" s="115"/>
      <c r="J338" s="116"/>
      <c r="K338" s="115"/>
      <c r="L338" s="116"/>
      <c r="M338" s="115"/>
      <c r="N338" s="116"/>
      <c r="O338" s="115"/>
      <c r="P338" s="116"/>
      <c r="Q338" s="115"/>
      <c r="R338" s="116"/>
      <c r="S338" s="115"/>
      <c r="T338" s="116"/>
      <c r="U338" s="115"/>
      <c r="V338" s="116"/>
      <c r="W338" s="117"/>
      <c r="X338" s="118"/>
    </row>
    <row r="339" spans="1:24" hidden="1" x14ac:dyDescent="0.25">
      <c r="A339" s="117"/>
      <c r="B339" s="118"/>
      <c r="C339" s="117"/>
      <c r="D339" s="118"/>
      <c r="E339" s="117"/>
      <c r="F339" s="118"/>
      <c r="G339" s="115"/>
      <c r="H339" s="116"/>
      <c r="I339" s="115"/>
      <c r="J339" s="116"/>
      <c r="K339" s="115"/>
      <c r="L339" s="116"/>
      <c r="M339" s="115"/>
      <c r="N339" s="116"/>
      <c r="O339" s="115"/>
      <c r="P339" s="116"/>
      <c r="Q339" s="115"/>
      <c r="R339" s="116"/>
      <c r="S339" s="115"/>
      <c r="T339" s="116"/>
      <c r="U339" s="115"/>
      <c r="V339" s="116"/>
      <c r="W339" s="117"/>
      <c r="X339" s="118"/>
    </row>
    <row r="340" spans="1:24" hidden="1" x14ac:dyDescent="0.25">
      <c r="A340" s="117"/>
      <c r="B340" s="118"/>
      <c r="C340" s="117"/>
      <c r="D340" s="118"/>
      <c r="E340" s="117"/>
      <c r="F340" s="118"/>
      <c r="G340" s="115"/>
      <c r="H340" s="116"/>
      <c r="I340" s="115"/>
      <c r="J340" s="116"/>
      <c r="K340" s="115"/>
      <c r="L340" s="116"/>
      <c r="M340" s="115"/>
      <c r="N340" s="116"/>
      <c r="O340" s="115"/>
      <c r="P340" s="116"/>
      <c r="Q340" s="115"/>
      <c r="R340" s="116"/>
      <c r="S340" s="115"/>
      <c r="T340" s="116"/>
      <c r="U340" s="115"/>
      <c r="V340" s="116"/>
      <c r="W340" s="117"/>
      <c r="X340" s="118"/>
    </row>
    <row r="341" spans="1:24" hidden="1" x14ac:dyDescent="0.25">
      <c r="A341" s="117"/>
      <c r="B341" s="118"/>
      <c r="C341" s="117"/>
      <c r="D341" s="118"/>
      <c r="E341" s="117"/>
      <c r="F341" s="118"/>
      <c r="G341" s="115"/>
      <c r="H341" s="116"/>
      <c r="I341" s="115"/>
      <c r="J341" s="116"/>
      <c r="K341" s="115"/>
      <c r="L341" s="116"/>
      <c r="M341" s="115"/>
      <c r="N341" s="116"/>
      <c r="O341" s="115"/>
      <c r="P341" s="116"/>
      <c r="Q341" s="115"/>
      <c r="R341" s="116"/>
      <c r="S341" s="115"/>
      <c r="T341" s="116"/>
      <c r="U341" s="115"/>
      <c r="V341" s="116"/>
      <c r="W341" s="117"/>
      <c r="X341" s="118"/>
    </row>
    <row r="342" spans="1:24" hidden="1" x14ac:dyDescent="0.25">
      <c r="A342" s="117"/>
      <c r="B342" s="118"/>
      <c r="C342" s="117"/>
      <c r="D342" s="118"/>
      <c r="E342" s="117"/>
      <c r="F342" s="118"/>
      <c r="G342" s="115"/>
      <c r="H342" s="116"/>
      <c r="I342" s="115"/>
      <c r="J342" s="116"/>
      <c r="K342" s="115"/>
      <c r="L342" s="116"/>
      <c r="M342" s="115"/>
      <c r="N342" s="116"/>
      <c r="O342" s="115"/>
      <c r="P342" s="116"/>
      <c r="Q342" s="115"/>
      <c r="R342" s="116"/>
      <c r="S342" s="115"/>
      <c r="T342" s="116"/>
      <c r="U342" s="115"/>
      <c r="V342" s="116"/>
      <c r="W342" s="117"/>
      <c r="X342" s="118"/>
    </row>
    <row r="343" spans="1:24" hidden="1" x14ac:dyDescent="0.25">
      <c r="A343" s="117"/>
      <c r="B343" s="118"/>
      <c r="C343" s="117"/>
      <c r="D343" s="118"/>
      <c r="E343" s="117"/>
      <c r="F343" s="118"/>
      <c r="G343" s="115"/>
      <c r="H343" s="116"/>
      <c r="I343" s="115"/>
      <c r="J343" s="116"/>
      <c r="K343" s="115"/>
      <c r="L343" s="116"/>
      <c r="M343" s="115"/>
      <c r="N343" s="116"/>
      <c r="O343" s="115"/>
      <c r="P343" s="116"/>
      <c r="Q343" s="115"/>
      <c r="R343" s="116"/>
      <c r="S343" s="115"/>
      <c r="T343" s="116"/>
      <c r="U343" s="115"/>
      <c r="V343" s="116"/>
      <c r="W343" s="117"/>
      <c r="X343" s="118"/>
    </row>
    <row r="344" spans="1:24" hidden="1" x14ac:dyDescent="0.25">
      <c r="A344" s="117"/>
      <c r="B344" s="118"/>
      <c r="C344" s="117"/>
      <c r="D344" s="118"/>
      <c r="E344" s="117"/>
      <c r="F344" s="118"/>
      <c r="G344" s="115"/>
      <c r="H344" s="116"/>
      <c r="I344" s="115"/>
      <c r="J344" s="116"/>
      <c r="K344" s="115"/>
      <c r="L344" s="116"/>
      <c r="M344" s="115"/>
      <c r="N344" s="116"/>
      <c r="O344" s="115"/>
      <c r="P344" s="116"/>
      <c r="Q344" s="115"/>
      <c r="R344" s="116"/>
      <c r="S344" s="115"/>
      <c r="T344" s="116"/>
      <c r="U344" s="115"/>
      <c r="V344" s="116"/>
      <c r="W344" s="117"/>
      <c r="X344" s="118"/>
    </row>
    <row r="345" spans="1:24" hidden="1" x14ac:dyDescent="0.25">
      <c r="A345" s="117"/>
      <c r="B345" s="118"/>
      <c r="C345" s="117"/>
      <c r="D345" s="118"/>
      <c r="E345" s="117"/>
      <c r="F345" s="118"/>
      <c r="G345" s="115"/>
      <c r="H345" s="116"/>
      <c r="I345" s="115"/>
      <c r="J345" s="116"/>
      <c r="K345" s="115"/>
      <c r="L345" s="116"/>
      <c r="M345" s="115"/>
      <c r="N345" s="116"/>
      <c r="O345" s="115"/>
      <c r="P345" s="116"/>
      <c r="Q345" s="115"/>
      <c r="R345" s="116"/>
      <c r="S345" s="115"/>
      <c r="T345" s="116"/>
      <c r="U345" s="115"/>
      <c r="V345" s="116"/>
      <c r="W345" s="117"/>
      <c r="X345" s="118"/>
    </row>
    <row r="346" spans="1:24" hidden="1" x14ac:dyDescent="0.25">
      <c r="A346" s="117"/>
      <c r="B346" s="118"/>
      <c r="C346" s="117"/>
      <c r="D346" s="118"/>
      <c r="E346" s="117"/>
      <c r="F346" s="118"/>
      <c r="G346" s="115"/>
      <c r="H346" s="116"/>
      <c r="I346" s="115"/>
      <c r="J346" s="116"/>
      <c r="K346" s="115"/>
      <c r="L346" s="116"/>
      <c r="M346" s="115"/>
      <c r="N346" s="116"/>
      <c r="O346" s="115"/>
      <c r="P346" s="116"/>
      <c r="Q346" s="115"/>
      <c r="R346" s="116"/>
      <c r="S346" s="115"/>
      <c r="T346" s="116"/>
      <c r="U346" s="115"/>
      <c r="V346" s="116"/>
      <c r="W346" s="117"/>
      <c r="X346" s="118"/>
    </row>
    <row r="347" spans="1:24" hidden="1" x14ac:dyDescent="0.25">
      <c r="A347" s="117"/>
      <c r="B347" s="118"/>
      <c r="C347" s="117"/>
      <c r="D347" s="118"/>
      <c r="E347" s="117"/>
      <c r="F347" s="118"/>
      <c r="G347" s="115"/>
      <c r="H347" s="116"/>
      <c r="I347" s="115"/>
      <c r="J347" s="116"/>
      <c r="K347" s="115"/>
      <c r="L347" s="116"/>
      <c r="M347" s="115"/>
      <c r="N347" s="116"/>
      <c r="O347" s="115"/>
      <c r="P347" s="116"/>
      <c r="Q347" s="115"/>
      <c r="R347" s="116"/>
      <c r="S347" s="115"/>
      <c r="T347" s="116"/>
      <c r="U347" s="115"/>
      <c r="V347" s="116"/>
      <c r="W347" s="117"/>
      <c r="X347" s="118"/>
    </row>
    <row r="348" spans="1:24" hidden="1" x14ac:dyDescent="0.25">
      <c r="A348" s="117"/>
      <c r="B348" s="118"/>
      <c r="C348" s="117"/>
      <c r="D348" s="118"/>
      <c r="E348" s="117"/>
      <c r="F348" s="118"/>
      <c r="G348" s="115"/>
      <c r="H348" s="116"/>
      <c r="I348" s="115"/>
      <c r="J348" s="116"/>
      <c r="K348" s="115"/>
      <c r="L348" s="116"/>
      <c r="M348" s="115"/>
      <c r="N348" s="116"/>
      <c r="O348" s="115"/>
      <c r="P348" s="116"/>
      <c r="Q348" s="115"/>
      <c r="R348" s="116"/>
      <c r="S348" s="115"/>
      <c r="T348" s="116"/>
      <c r="U348" s="115"/>
      <c r="V348" s="116"/>
      <c r="W348" s="117"/>
      <c r="X348" s="118"/>
    </row>
    <row r="349" spans="1:24" hidden="1" x14ac:dyDescent="0.25">
      <c r="A349" s="117"/>
      <c r="B349" s="118"/>
      <c r="C349" s="117"/>
      <c r="D349" s="118"/>
      <c r="E349" s="117"/>
      <c r="F349" s="118"/>
      <c r="G349" s="115"/>
      <c r="H349" s="116"/>
      <c r="I349" s="115"/>
      <c r="J349" s="116"/>
      <c r="K349" s="115"/>
      <c r="L349" s="116"/>
      <c r="M349" s="115"/>
      <c r="N349" s="116"/>
      <c r="O349" s="115"/>
      <c r="P349" s="116"/>
      <c r="Q349" s="115"/>
      <c r="R349" s="116"/>
      <c r="S349" s="115"/>
      <c r="T349" s="116"/>
      <c r="U349" s="115"/>
      <c r="V349" s="116"/>
      <c r="W349" s="117"/>
      <c r="X349" s="118"/>
    </row>
    <row r="350" spans="1:24" hidden="1" x14ac:dyDescent="0.25">
      <c r="A350" s="117"/>
      <c r="B350" s="118"/>
      <c r="C350" s="117"/>
      <c r="D350" s="118"/>
      <c r="E350" s="117"/>
      <c r="F350" s="118"/>
      <c r="G350" s="115"/>
      <c r="H350" s="116"/>
      <c r="I350" s="115"/>
      <c r="J350" s="116"/>
      <c r="K350" s="115"/>
      <c r="L350" s="116"/>
      <c r="M350" s="115"/>
      <c r="N350" s="116"/>
      <c r="O350" s="115"/>
      <c r="P350" s="116"/>
      <c r="Q350" s="115"/>
      <c r="R350" s="116"/>
      <c r="S350" s="115"/>
      <c r="T350" s="116"/>
      <c r="U350" s="115"/>
      <c r="V350" s="116"/>
      <c r="W350" s="117"/>
      <c r="X350" s="118"/>
    </row>
    <row r="351" spans="1:24" hidden="1" x14ac:dyDescent="0.25">
      <c r="A351" s="117"/>
      <c r="B351" s="118"/>
      <c r="C351" s="117"/>
      <c r="D351" s="118"/>
      <c r="E351" s="117"/>
      <c r="F351" s="118"/>
      <c r="G351" s="115"/>
      <c r="H351" s="116"/>
      <c r="I351" s="115"/>
      <c r="J351" s="116"/>
      <c r="K351" s="115"/>
      <c r="L351" s="116"/>
      <c r="M351" s="115"/>
      <c r="N351" s="116"/>
      <c r="O351" s="115"/>
      <c r="P351" s="116"/>
      <c r="Q351" s="115"/>
      <c r="R351" s="116"/>
      <c r="S351" s="115"/>
      <c r="T351" s="116"/>
      <c r="U351" s="115"/>
      <c r="V351" s="116"/>
      <c r="W351" s="117"/>
      <c r="X351" s="118"/>
    </row>
    <row r="352" spans="1:24" hidden="1" x14ac:dyDescent="0.25">
      <c r="A352" s="117"/>
      <c r="B352" s="118"/>
      <c r="C352" s="117"/>
      <c r="D352" s="118"/>
      <c r="E352" s="117"/>
      <c r="F352" s="118"/>
      <c r="G352" s="115"/>
      <c r="H352" s="116"/>
      <c r="I352" s="115"/>
      <c r="J352" s="116"/>
      <c r="K352" s="115"/>
      <c r="L352" s="116"/>
      <c r="M352" s="115"/>
      <c r="N352" s="116"/>
      <c r="O352" s="115"/>
      <c r="P352" s="116"/>
      <c r="Q352" s="115"/>
      <c r="R352" s="116"/>
      <c r="S352" s="115"/>
      <c r="T352" s="116"/>
      <c r="U352" s="115"/>
      <c r="V352" s="116"/>
      <c r="W352" s="117"/>
      <c r="X352" s="118"/>
    </row>
    <row r="353" spans="1:24" hidden="1" x14ac:dyDescent="0.25">
      <c r="A353" s="117"/>
      <c r="B353" s="118"/>
      <c r="C353" s="117"/>
      <c r="D353" s="118"/>
      <c r="E353" s="117"/>
      <c r="F353" s="118"/>
      <c r="G353" s="115"/>
      <c r="H353" s="116"/>
      <c r="I353" s="115"/>
      <c r="J353" s="116"/>
      <c r="K353" s="115"/>
      <c r="L353" s="116"/>
      <c r="M353" s="115"/>
      <c r="N353" s="116"/>
      <c r="O353" s="115"/>
      <c r="P353" s="116"/>
      <c r="Q353" s="115"/>
      <c r="R353" s="116"/>
      <c r="S353" s="115"/>
      <c r="T353" s="116"/>
      <c r="U353" s="115"/>
      <c r="V353" s="116"/>
      <c r="W353" s="117"/>
      <c r="X353" s="118"/>
    </row>
    <row r="354" spans="1:24" hidden="1" x14ac:dyDescent="0.25">
      <c r="A354" s="117"/>
      <c r="B354" s="118"/>
      <c r="C354" s="117"/>
      <c r="D354" s="118"/>
      <c r="E354" s="117"/>
      <c r="F354" s="118"/>
      <c r="G354" s="115"/>
      <c r="H354" s="116"/>
      <c r="I354" s="115"/>
      <c r="J354" s="116"/>
      <c r="K354" s="115"/>
      <c r="L354" s="116"/>
      <c r="M354" s="115"/>
      <c r="N354" s="116"/>
      <c r="O354" s="115"/>
      <c r="P354" s="116"/>
      <c r="Q354" s="115"/>
      <c r="R354" s="116"/>
      <c r="S354" s="115"/>
      <c r="T354" s="116"/>
      <c r="U354" s="115"/>
      <c r="V354" s="116"/>
      <c r="W354" s="117"/>
      <c r="X354" s="118"/>
    </row>
    <row r="355" spans="1:24" hidden="1" x14ac:dyDescent="0.25">
      <c r="A355" s="117"/>
      <c r="B355" s="118"/>
      <c r="C355" s="117"/>
      <c r="D355" s="118"/>
      <c r="E355" s="117"/>
      <c r="F355" s="118"/>
      <c r="G355" s="115"/>
      <c r="H355" s="116"/>
      <c r="I355" s="115"/>
      <c r="J355" s="116"/>
      <c r="K355" s="115"/>
      <c r="L355" s="116"/>
      <c r="M355" s="115"/>
      <c r="N355" s="116"/>
      <c r="O355" s="115"/>
      <c r="P355" s="116"/>
      <c r="Q355" s="115"/>
      <c r="R355" s="116"/>
      <c r="S355" s="115"/>
      <c r="T355" s="116"/>
      <c r="U355" s="115"/>
      <c r="V355" s="116"/>
      <c r="W355" s="117"/>
      <c r="X355" s="118"/>
    </row>
    <row r="356" spans="1:24" hidden="1" x14ac:dyDescent="0.25">
      <c r="A356" s="117"/>
      <c r="B356" s="118"/>
      <c r="C356" s="117"/>
      <c r="D356" s="118"/>
      <c r="E356" s="117"/>
      <c r="F356" s="118"/>
      <c r="G356" s="115"/>
      <c r="H356" s="116"/>
      <c r="I356" s="115"/>
      <c r="J356" s="116"/>
      <c r="K356" s="115"/>
      <c r="L356" s="116"/>
      <c r="M356" s="115"/>
      <c r="N356" s="116"/>
      <c r="O356" s="115"/>
      <c r="P356" s="116"/>
      <c r="Q356" s="115"/>
      <c r="R356" s="116"/>
      <c r="S356" s="115"/>
      <c r="T356" s="116"/>
      <c r="U356" s="115"/>
      <c r="V356" s="116"/>
      <c r="W356" s="117"/>
      <c r="X356" s="118"/>
    </row>
    <row r="357" spans="1:24" hidden="1" x14ac:dyDescent="0.25">
      <c r="A357" s="117"/>
      <c r="B357" s="118"/>
      <c r="C357" s="117"/>
      <c r="D357" s="118"/>
      <c r="E357" s="117"/>
      <c r="F357" s="118"/>
      <c r="G357" s="115"/>
      <c r="H357" s="116"/>
      <c r="I357" s="115"/>
      <c r="J357" s="116"/>
      <c r="K357" s="115"/>
      <c r="L357" s="116"/>
      <c r="M357" s="115"/>
      <c r="N357" s="116"/>
      <c r="O357" s="115"/>
      <c r="P357" s="116"/>
      <c r="Q357" s="115"/>
      <c r="R357" s="116"/>
      <c r="S357" s="115"/>
      <c r="T357" s="116"/>
      <c r="U357" s="115"/>
      <c r="V357" s="116"/>
      <c r="W357" s="117"/>
      <c r="X357" s="118"/>
    </row>
    <row r="358" spans="1:24" hidden="1" x14ac:dyDescent="0.25">
      <c r="A358" s="117"/>
      <c r="B358" s="118"/>
      <c r="C358" s="117"/>
      <c r="D358" s="118"/>
      <c r="E358" s="117"/>
      <c r="F358" s="118"/>
      <c r="G358" s="115"/>
      <c r="H358" s="116"/>
      <c r="I358" s="115"/>
      <c r="J358" s="116"/>
      <c r="K358" s="115"/>
      <c r="L358" s="116"/>
      <c r="M358" s="115"/>
      <c r="N358" s="116"/>
      <c r="O358" s="115"/>
      <c r="P358" s="116"/>
      <c r="Q358" s="115"/>
      <c r="R358" s="116"/>
      <c r="S358" s="115"/>
      <c r="T358" s="116"/>
      <c r="U358" s="115"/>
      <c r="V358" s="116"/>
      <c r="W358" s="117"/>
      <c r="X358" s="118"/>
    </row>
    <row r="359" spans="1:24" hidden="1" x14ac:dyDescent="0.25">
      <c r="A359" s="117"/>
      <c r="B359" s="118"/>
      <c r="C359" s="117"/>
      <c r="D359" s="118"/>
      <c r="E359" s="117"/>
      <c r="F359" s="118"/>
      <c r="G359" s="115"/>
      <c r="H359" s="116"/>
      <c r="I359" s="115"/>
      <c r="J359" s="116"/>
      <c r="K359" s="115"/>
      <c r="L359" s="116"/>
      <c r="M359" s="115"/>
      <c r="N359" s="116"/>
      <c r="O359" s="115"/>
      <c r="P359" s="116"/>
      <c r="Q359" s="115"/>
      <c r="R359" s="116"/>
      <c r="S359" s="115"/>
      <c r="T359" s="116"/>
      <c r="U359" s="115"/>
      <c r="V359" s="116"/>
      <c r="W359" s="117"/>
      <c r="X359" s="118"/>
    </row>
    <row r="360" spans="1:24" hidden="1" x14ac:dyDescent="0.25">
      <c r="A360" s="117"/>
      <c r="B360" s="118"/>
      <c r="C360" s="117"/>
      <c r="D360" s="118"/>
      <c r="E360" s="117"/>
      <c r="F360" s="118"/>
      <c r="G360" s="115"/>
      <c r="H360" s="116"/>
      <c r="I360" s="115"/>
      <c r="J360" s="116"/>
      <c r="K360" s="115"/>
      <c r="L360" s="116"/>
      <c r="M360" s="115"/>
      <c r="N360" s="116"/>
      <c r="O360" s="115"/>
      <c r="P360" s="116"/>
      <c r="Q360" s="115"/>
      <c r="R360" s="116"/>
      <c r="S360" s="115"/>
      <c r="T360" s="116"/>
      <c r="U360" s="115"/>
      <c r="V360" s="116"/>
      <c r="W360" s="117"/>
      <c r="X360" s="118"/>
    </row>
    <row r="361" spans="1:24" hidden="1" x14ac:dyDescent="0.25">
      <c r="A361" s="117"/>
      <c r="B361" s="118"/>
      <c r="C361" s="117"/>
      <c r="D361" s="118"/>
      <c r="E361" s="117"/>
      <c r="F361" s="118"/>
      <c r="G361" s="115"/>
      <c r="H361" s="116"/>
      <c r="I361" s="115"/>
      <c r="J361" s="116"/>
      <c r="K361" s="115"/>
      <c r="L361" s="116"/>
      <c r="M361" s="115"/>
      <c r="N361" s="116"/>
      <c r="O361" s="115"/>
      <c r="P361" s="116"/>
      <c r="Q361" s="115"/>
      <c r="R361" s="116"/>
      <c r="S361" s="115"/>
      <c r="T361" s="116"/>
      <c r="U361" s="115"/>
      <c r="V361" s="116"/>
      <c r="W361" s="117"/>
      <c r="X361" s="118"/>
    </row>
    <row r="362" spans="1:24" hidden="1" x14ac:dyDescent="0.25">
      <c r="A362" s="117"/>
      <c r="B362" s="118"/>
      <c r="C362" s="117"/>
      <c r="D362" s="118"/>
      <c r="E362" s="117"/>
      <c r="F362" s="118"/>
      <c r="G362" s="115"/>
      <c r="H362" s="116"/>
      <c r="I362" s="115"/>
      <c r="J362" s="116"/>
      <c r="K362" s="115"/>
      <c r="L362" s="116"/>
      <c r="M362" s="115"/>
      <c r="N362" s="116"/>
      <c r="O362" s="115"/>
      <c r="P362" s="116"/>
      <c r="Q362" s="115"/>
      <c r="R362" s="116"/>
      <c r="S362" s="115"/>
      <c r="T362" s="116"/>
      <c r="U362" s="115"/>
      <c r="V362" s="116"/>
      <c r="W362" s="117"/>
      <c r="X362" s="118"/>
    </row>
    <row r="363" spans="1:24" hidden="1" x14ac:dyDescent="0.25">
      <c r="A363" s="117"/>
      <c r="B363" s="118"/>
      <c r="C363" s="117"/>
      <c r="D363" s="118"/>
      <c r="E363" s="117"/>
      <c r="F363" s="118"/>
      <c r="G363" s="115"/>
      <c r="H363" s="116"/>
      <c r="I363" s="115"/>
      <c r="J363" s="116"/>
      <c r="K363" s="115"/>
      <c r="L363" s="116"/>
      <c r="M363" s="115"/>
      <c r="N363" s="116"/>
      <c r="O363" s="115"/>
      <c r="P363" s="116"/>
      <c r="Q363" s="115"/>
      <c r="R363" s="116"/>
      <c r="S363" s="115"/>
      <c r="T363" s="116"/>
      <c r="U363" s="115"/>
      <c r="V363" s="116"/>
      <c r="W363" s="117"/>
      <c r="X363" s="118"/>
    </row>
    <row r="364" spans="1:24" hidden="1" x14ac:dyDescent="0.25">
      <c r="A364" s="117"/>
      <c r="B364" s="118"/>
      <c r="C364" s="117"/>
      <c r="D364" s="118"/>
      <c r="E364" s="117"/>
      <c r="F364" s="118"/>
      <c r="G364" s="115"/>
      <c r="H364" s="116"/>
      <c r="I364" s="115"/>
      <c r="J364" s="116"/>
      <c r="K364" s="115"/>
      <c r="L364" s="116"/>
      <c r="M364" s="115"/>
      <c r="N364" s="116"/>
      <c r="O364" s="115"/>
      <c r="P364" s="116"/>
      <c r="Q364" s="115"/>
      <c r="R364" s="116"/>
      <c r="S364" s="115"/>
      <c r="T364" s="116"/>
      <c r="U364" s="115"/>
      <c r="V364" s="116"/>
      <c r="W364" s="117"/>
      <c r="X364" s="118"/>
    </row>
    <row r="365" spans="1:24" hidden="1" x14ac:dyDescent="0.25">
      <c r="A365" s="117"/>
      <c r="B365" s="118"/>
      <c r="C365" s="117"/>
      <c r="D365" s="118"/>
      <c r="E365" s="117"/>
      <c r="F365" s="118"/>
      <c r="G365" s="115"/>
      <c r="H365" s="116"/>
      <c r="I365" s="115"/>
      <c r="J365" s="116"/>
      <c r="K365" s="115"/>
      <c r="L365" s="116"/>
      <c r="M365" s="115"/>
      <c r="N365" s="116"/>
      <c r="O365" s="115"/>
      <c r="P365" s="116"/>
      <c r="Q365" s="115"/>
      <c r="R365" s="116"/>
      <c r="S365" s="115"/>
      <c r="T365" s="116"/>
      <c r="U365" s="115"/>
      <c r="V365" s="116"/>
      <c r="W365" s="117"/>
      <c r="X365" s="118"/>
    </row>
    <row r="366" spans="1:24" hidden="1" x14ac:dyDescent="0.25">
      <c r="A366" s="117"/>
      <c r="B366" s="118"/>
      <c r="C366" s="117"/>
      <c r="D366" s="118"/>
      <c r="E366" s="117"/>
      <c r="F366" s="118"/>
      <c r="G366" s="115"/>
      <c r="H366" s="116"/>
      <c r="I366" s="115"/>
      <c r="J366" s="116"/>
      <c r="K366" s="115"/>
      <c r="L366" s="116"/>
      <c r="M366" s="115"/>
      <c r="N366" s="116"/>
      <c r="O366" s="115"/>
      <c r="P366" s="116"/>
      <c r="Q366" s="115"/>
      <c r="R366" s="116"/>
      <c r="S366" s="115"/>
      <c r="T366" s="116"/>
      <c r="U366" s="115"/>
      <c r="V366" s="116"/>
      <c r="W366" s="117"/>
      <c r="X366" s="118"/>
    </row>
    <row r="367" spans="1:24" hidden="1" x14ac:dyDescent="0.25">
      <c r="A367" s="117"/>
      <c r="B367" s="118"/>
      <c r="C367" s="117"/>
      <c r="D367" s="118"/>
      <c r="E367" s="117"/>
      <c r="F367" s="118"/>
      <c r="G367" s="115"/>
      <c r="H367" s="116"/>
      <c r="I367" s="115"/>
      <c r="J367" s="116"/>
      <c r="K367" s="115"/>
      <c r="L367" s="116"/>
      <c r="M367" s="115"/>
      <c r="N367" s="116"/>
      <c r="O367" s="115"/>
      <c r="P367" s="116"/>
      <c r="Q367" s="115"/>
      <c r="R367" s="116"/>
      <c r="S367" s="115"/>
      <c r="T367" s="116"/>
      <c r="U367" s="115"/>
      <c r="V367" s="116"/>
      <c r="W367" s="117"/>
      <c r="X367" s="118"/>
    </row>
    <row r="368" spans="1:24" hidden="1" x14ac:dyDescent="0.25">
      <c r="A368" s="117"/>
      <c r="B368" s="118"/>
      <c r="C368" s="117"/>
      <c r="D368" s="118"/>
      <c r="E368" s="117"/>
      <c r="F368" s="118"/>
      <c r="G368" s="115"/>
      <c r="H368" s="116"/>
      <c r="I368" s="115"/>
      <c r="J368" s="116"/>
      <c r="K368" s="115"/>
      <c r="L368" s="116"/>
      <c r="M368" s="115"/>
      <c r="N368" s="116"/>
      <c r="O368" s="115"/>
      <c r="P368" s="116"/>
      <c r="Q368" s="115"/>
      <c r="R368" s="116"/>
      <c r="S368" s="115"/>
      <c r="T368" s="116"/>
      <c r="U368" s="115"/>
      <c r="V368" s="116"/>
      <c r="W368" s="117"/>
      <c r="X368" s="118"/>
    </row>
    <row r="369" spans="1:24" hidden="1" x14ac:dyDescent="0.25">
      <c r="A369" s="117"/>
      <c r="B369" s="118"/>
      <c r="C369" s="117"/>
      <c r="D369" s="118"/>
      <c r="E369" s="117"/>
      <c r="F369" s="118"/>
      <c r="G369" s="115"/>
      <c r="H369" s="116"/>
      <c r="I369" s="115"/>
      <c r="J369" s="116"/>
      <c r="K369" s="115"/>
      <c r="L369" s="116"/>
      <c r="M369" s="115"/>
      <c r="N369" s="116"/>
      <c r="O369" s="115"/>
      <c r="P369" s="116"/>
      <c r="Q369" s="115"/>
      <c r="R369" s="116"/>
      <c r="S369" s="115"/>
      <c r="T369" s="116"/>
      <c r="U369" s="115"/>
      <c r="V369" s="116"/>
      <c r="W369" s="117"/>
      <c r="X369" s="118"/>
    </row>
    <row r="370" spans="1:24" hidden="1" x14ac:dyDescent="0.25">
      <c r="A370" s="117"/>
      <c r="B370" s="118"/>
      <c r="C370" s="117"/>
      <c r="D370" s="118"/>
      <c r="E370" s="117"/>
      <c r="F370" s="118"/>
      <c r="G370" s="115"/>
      <c r="H370" s="116"/>
      <c r="I370" s="115"/>
      <c r="J370" s="116"/>
      <c r="K370" s="115"/>
      <c r="L370" s="116"/>
      <c r="M370" s="115"/>
      <c r="N370" s="116"/>
      <c r="O370" s="115"/>
      <c r="P370" s="116"/>
      <c r="Q370" s="115"/>
      <c r="R370" s="116"/>
      <c r="S370" s="115"/>
      <c r="T370" s="116"/>
      <c r="U370" s="115"/>
      <c r="V370" s="116"/>
      <c r="W370" s="117"/>
      <c r="X370" s="118"/>
    </row>
    <row r="371" spans="1:24" hidden="1" x14ac:dyDescent="0.25">
      <c r="A371" s="117"/>
      <c r="B371" s="118"/>
      <c r="C371" s="117"/>
      <c r="D371" s="118"/>
      <c r="E371" s="117"/>
      <c r="F371" s="118"/>
      <c r="G371" s="115"/>
      <c r="H371" s="116"/>
      <c r="I371" s="115"/>
      <c r="J371" s="116"/>
      <c r="K371" s="115"/>
      <c r="L371" s="116"/>
      <c r="M371" s="115"/>
      <c r="N371" s="116"/>
      <c r="O371" s="115"/>
      <c r="P371" s="116"/>
      <c r="Q371" s="115"/>
      <c r="R371" s="116"/>
      <c r="S371" s="115"/>
      <c r="T371" s="116"/>
      <c r="U371" s="115"/>
      <c r="V371" s="116"/>
      <c r="W371" s="117"/>
      <c r="X371" s="118"/>
    </row>
    <row r="372" spans="1:24" hidden="1" x14ac:dyDescent="0.25">
      <c r="A372" s="117"/>
      <c r="B372" s="118"/>
      <c r="C372" s="117"/>
      <c r="D372" s="118"/>
      <c r="E372" s="117"/>
      <c r="F372" s="118"/>
      <c r="G372" s="115"/>
      <c r="H372" s="116"/>
      <c r="I372" s="115"/>
      <c r="J372" s="116"/>
      <c r="K372" s="115"/>
      <c r="L372" s="116"/>
      <c r="M372" s="115"/>
      <c r="N372" s="116"/>
      <c r="O372" s="115"/>
      <c r="P372" s="116"/>
      <c r="Q372" s="115"/>
      <c r="R372" s="116"/>
      <c r="S372" s="115"/>
      <c r="T372" s="116"/>
      <c r="U372" s="115"/>
      <c r="V372" s="116"/>
      <c r="W372" s="117"/>
      <c r="X372" s="118"/>
    </row>
    <row r="373" spans="1:24" hidden="1" x14ac:dyDescent="0.25">
      <c r="A373" s="117"/>
      <c r="B373" s="118"/>
      <c r="C373" s="117"/>
      <c r="D373" s="118"/>
      <c r="E373" s="117"/>
      <c r="F373" s="118"/>
      <c r="G373" s="115"/>
      <c r="H373" s="116"/>
      <c r="I373" s="115"/>
      <c r="J373" s="116"/>
      <c r="K373" s="115"/>
      <c r="L373" s="116"/>
      <c r="M373" s="115"/>
      <c r="N373" s="116"/>
      <c r="O373" s="115"/>
      <c r="P373" s="116"/>
      <c r="Q373" s="115"/>
      <c r="R373" s="116"/>
      <c r="S373" s="115"/>
      <c r="T373" s="116"/>
      <c r="U373" s="115"/>
      <c r="V373" s="116"/>
      <c r="W373" s="117"/>
      <c r="X373" s="118"/>
    </row>
    <row r="374" spans="1:24" hidden="1" x14ac:dyDescent="0.25">
      <c r="A374" s="117"/>
      <c r="B374" s="118"/>
      <c r="C374" s="117"/>
      <c r="D374" s="118"/>
      <c r="E374" s="117"/>
      <c r="F374" s="118"/>
      <c r="G374" s="115"/>
      <c r="H374" s="116"/>
      <c r="I374" s="115"/>
      <c r="J374" s="116"/>
      <c r="K374" s="115"/>
      <c r="L374" s="116"/>
      <c r="M374" s="115"/>
      <c r="N374" s="116"/>
      <c r="O374" s="115"/>
      <c r="P374" s="116"/>
      <c r="Q374" s="115"/>
      <c r="R374" s="116"/>
      <c r="S374" s="115"/>
      <c r="T374" s="116"/>
      <c r="U374" s="115"/>
      <c r="V374" s="116"/>
      <c r="W374" s="117"/>
      <c r="X374" s="118"/>
    </row>
    <row r="375" spans="1:24" hidden="1" x14ac:dyDescent="0.25">
      <c r="A375" s="117"/>
      <c r="B375" s="118"/>
      <c r="C375" s="117"/>
      <c r="D375" s="118"/>
      <c r="E375" s="117"/>
      <c r="F375" s="118"/>
      <c r="G375" s="115"/>
      <c r="H375" s="116"/>
      <c r="I375" s="115"/>
      <c r="J375" s="116"/>
      <c r="K375" s="115"/>
      <c r="L375" s="116"/>
      <c r="M375" s="115"/>
      <c r="N375" s="116"/>
      <c r="O375" s="115"/>
      <c r="P375" s="116"/>
      <c r="Q375" s="115"/>
      <c r="R375" s="116"/>
      <c r="S375" s="115"/>
      <c r="T375" s="116"/>
      <c r="U375" s="115"/>
      <c r="V375" s="116"/>
      <c r="W375" s="117"/>
      <c r="X375" s="118"/>
    </row>
    <row r="376" spans="1:24" hidden="1" x14ac:dyDescent="0.25">
      <c r="A376" s="117"/>
      <c r="B376" s="118"/>
      <c r="C376" s="117"/>
      <c r="D376" s="118"/>
      <c r="E376" s="117"/>
      <c r="F376" s="118"/>
      <c r="G376" s="115"/>
      <c r="H376" s="116"/>
      <c r="I376" s="115"/>
      <c r="J376" s="116"/>
      <c r="K376" s="115"/>
      <c r="L376" s="116"/>
      <c r="M376" s="115"/>
      <c r="N376" s="116"/>
      <c r="O376" s="115"/>
      <c r="P376" s="116"/>
      <c r="Q376" s="115"/>
      <c r="R376" s="116"/>
      <c r="S376" s="115"/>
      <c r="T376" s="116"/>
      <c r="U376" s="115"/>
      <c r="V376" s="116"/>
      <c r="W376" s="117"/>
      <c r="X376" s="118"/>
    </row>
    <row r="377" spans="1:24" hidden="1" x14ac:dyDescent="0.25">
      <c r="A377" s="117"/>
      <c r="B377" s="118"/>
      <c r="C377" s="117"/>
      <c r="D377" s="118"/>
      <c r="E377" s="117"/>
      <c r="F377" s="118"/>
      <c r="G377" s="115"/>
      <c r="H377" s="116"/>
      <c r="I377" s="115"/>
      <c r="J377" s="116"/>
      <c r="K377" s="115"/>
      <c r="L377" s="116"/>
      <c r="M377" s="115"/>
      <c r="N377" s="116"/>
      <c r="O377" s="115"/>
      <c r="P377" s="116"/>
      <c r="Q377" s="115"/>
      <c r="R377" s="116"/>
      <c r="S377" s="115"/>
      <c r="T377" s="116"/>
      <c r="U377" s="115"/>
      <c r="V377" s="116"/>
      <c r="W377" s="117"/>
      <c r="X377" s="118"/>
    </row>
    <row r="378" spans="1:24" hidden="1" x14ac:dyDescent="0.25">
      <c r="A378" s="117"/>
      <c r="B378" s="118"/>
      <c r="C378" s="117"/>
      <c r="D378" s="118"/>
      <c r="E378" s="117"/>
      <c r="F378" s="118"/>
      <c r="G378" s="115"/>
      <c r="H378" s="116"/>
      <c r="I378" s="115"/>
      <c r="J378" s="116"/>
      <c r="K378" s="115"/>
      <c r="L378" s="116"/>
      <c r="M378" s="115"/>
      <c r="N378" s="116"/>
      <c r="O378" s="115"/>
      <c r="P378" s="116"/>
      <c r="Q378" s="115"/>
      <c r="R378" s="116"/>
      <c r="S378" s="115"/>
      <c r="T378" s="116"/>
      <c r="U378" s="115"/>
      <c r="V378" s="116"/>
      <c r="W378" s="117"/>
      <c r="X378" s="118"/>
    </row>
    <row r="379" spans="1:24" hidden="1" x14ac:dyDescent="0.25">
      <c r="A379" s="117"/>
      <c r="B379" s="118"/>
      <c r="C379" s="117"/>
      <c r="D379" s="118"/>
      <c r="E379" s="117"/>
      <c r="F379" s="118"/>
      <c r="G379" s="115"/>
      <c r="H379" s="116"/>
      <c r="I379" s="115"/>
      <c r="J379" s="116"/>
      <c r="K379" s="115"/>
      <c r="L379" s="116"/>
      <c r="M379" s="115"/>
      <c r="N379" s="116"/>
      <c r="O379" s="115"/>
      <c r="P379" s="116"/>
      <c r="Q379" s="115"/>
      <c r="R379" s="116"/>
      <c r="S379" s="115"/>
      <c r="T379" s="116"/>
      <c r="U379" s="115"/>
      <c r="V379" s="116"/>
      <c r="W379" s="117"/>
      <c r="X379" s="118"/>
    </row>
    <row r="380" spans="1:24" hidden="1" x14ac:dyDescent="0.25">
      <c r="A380" s="117"/>
      <c r="B380" s="118"/>
      <c r="C380" s="117"/>
      <c r="D380" s="118"/>
      <c r="E380" s="117"/>
      <c r="F380" s="118"/>
      <c r="G380" s="115"/>
      <c r="H380" s="116"/>
      <c r="I380" s="115"/>
      <c r="J380" s="116"/>
      <c r="K380" s="115"/>
      <c r="L380" s="116"/>
      <c r="M380" s="115"/>
      <c r="N380" s="116"/>
      <c r="O380" s="115"/>
      <c r="P380" s="116"/>
      <c r="Q380" s="115"/>
      <c r="R380" s="116"/>
      <c r="S380" s="115"/>
      <c r="T380" s="116"/>
      <c r="U380" s="115"/>
      <c r="V380" s="116"/>
      <c r="W380" s="117"/>
      <c r="X380" s="118"/>
    </row>
    <row r="381" spans="1:24" hidden="1" x14ac:dyDescent="0.25">
      <c r="A381" s="117"/>
      <c r="B381" s="118"/>
      <c r="C381" s="117"/>
      <c r="D381" s="118"/>
      <c r="E381" s="117"/>
      <c r="F381" s="118"/>
      <c r="G381" s="115"/>
      <c r="H381" s="116"/>
      <c r="I381" s="115"/>
      <c r="J381" s="116"/>
      <c r="K381" s="115"/>
      <c r="L381" s="116"/>
      <c r="M381" s="115"/>
      <c r="N381" s="116"/>
      <c r="O381" s="115"/>
      <c r="P381" s="116"/>
      <c r="Q381" s="115"/>
      <c r="R381" s="116"/>
      <c r="S381" s="115"/>
      <c r="T381" s="116"/>
      <c r="U381" s="115"/>
      <c r="V381" s="116"/>
      <c r="W381" s="117"/>
      <c r="X381" s="118"/>
    </row>
    <row r="382" spans="1:24" hidden="1" x14ac:dyDescent="0.25">
      <c r="A382" s="117"/>
      <c r="B382" s="118"/>
      <c r="C382" s="117"/>
      <c r="D382" s="118"/>
      <c r="E382" s="117"/>
      <c r="F382" s="118"/>
      <c r="G382" s="115"/>
      <c r="H382" s="116"/>
      <c r="I382" s="115"/>
      <c r="J382" s="116"/>
      <c r="K382" s="115"/>
      <c r="L382" s="116"/>
      <c r="M382" s="115"/>
      <c r="N382" s="116"/>
      <c r="O382" s="115"/>
      <c r="P382" s="116"/>
      <c r="Q382" s="115"/>
      <c r="R382" s="116"/>
      <c r="S382" s="115"/>
      <c r="T382" s="116"/>
      <c r="U382" s="115"/>
      <c r="V382" s="116"/>
      <c r="W382" s="117"/>
      <c r="X382" s="118"/>
    </row>
    <row r="383" spans="1:24" hidden="1" x14ac:dyDescent="0.25">
      <c r="A383" s="117"/>
      <c r="B383" s="118"/>
      <c r="C383" s="117"/>
      <c r="D383" s="118"/>
      <c r="E383" s="117"/>
      <c r="F383" s="118"/>
      <c r="G383" s="115"/>
      <c r="H383" s="116"/>
      <c r="I383" s="115"/>
      <c r="J383" s="116"/>
      <c r="K383" s="115"/>
      <c r="L383" s="116"/>
      <c r="M383" s="115"/>
      <c r="N383" s="116"/>
      <c r="O383" s="115"/>
      <c r="P383" s="116"/>
      <c r="Q383" s="115"/>
      <c r="R383" s="116"/>
      <c r="S383" s="115"/>
      <c r="T383" s="116"/>
      <c r="U383" s="115"/>
      <c r="V383" s="116"/>
      <c r="W383" s="117"/>
      <c r="X383" s="118"/>
    </row>
    <row r="384" spans="1:24" hidden="1" x14ac:dyDescent="0.25">
      <c r="A384" s="117"/>
      <c r="B384" s="118"/>
      <c r="C384" s="117"/>
      <c r="D384" s="118"/>
      <c r="E384" s="117"/>
      <c r="F384" s="118"/>
      <c r="G384" s="115"/>
      <c r="H384" s="116"/>
      <c r="I384" s="115"/>
      <c r="J384" s="116"/>
      <c r="K384" s="115"/>
      <c r="L384" s="116"/>
      <c r="M384" s="115"/>
      <c r="N384" s="116"/>
      <c r="O384" s="115"/>
      <c r="P384" s="116"/>
      <c r="Q384" s="115"/>
      <c r="R384" s="116"/>
      <c r="S384" s="115"/>
      <c r="T384" s="116"/>
      <c r="U384" s="115"/>
      <c r="V384" s="116"/>
      <c r="W384" s="117"/>
      <c r="X384" s="118"/>
    </row>
    <row r="385" spans="1:24" hidden="1" x14ac:dyDescent="0.25">
      <c r="A385" s="117"/>
      <c r="B385" s="118"/>
      <c r="C385" s="117"/>
      <c r="D385" s="118"/>
      <c r="E385" s="117"/>
      <c r="F385" s="118"/>
      <c r="G385" s="115"/>
      <c r="H385" s="116"/>
      <c r="I385" s="115"/>
      <c r="J385" s="116"/>
      <c r="K385" s="115"/>
      <c r="L385" s="116"/>
      <c r="M385" s="115"/>
      <c r="N385" s="116"/>
      <c r="O385" s="115"/>
      <c r="P385" s="116"/>
      <c r="Q385" s="115"/>
      <c r="R385" s="116"/>
      <c r="S385" s="115"/>
      <c r="T385" s="116"/>
      <c r="U385" s="115"/>
      <c r="V385" s="116"/>
      <c r="W385" s="117"/>
      <c r="X385" s="118"/>
    </row>
    <row r="386" spans="1:24" hidden="1" x14ac:dyDescent="0.25">
      <c r="A386" s="117"/>
      <c r="B386" s="118"/>
      <c r="C386" s="117"/>
      <c r="D386" s="118"/>
      <c r="E386" s="117"/>
      <c r="F386" s="118"/>
      <c r="G386" s="115"/>
      <c r="H386" s="116"/>
      <c r="I386" s="115"/>
      <c r="J386" s="116"/>
      <c r="K386" s="115"/>
      <c r="L386" s="116"/>
      <c r="M386" s="115"/>
      <c r="N386" s="116"/>
      <c r="O386" s="115"/>
      <c r="P386" s="116"/>
      <c r="Q386" s="115"/>
      <c r="R386" s="116"/>
      <c r="S386" s="115"/>
      <c r="T386" s="116"/>
      <c r="U386" s="115"/>
      <c r="V386" s="116"/>
      <c r="W386" s="117"/>
      <c r="X386" s="118"/>
    </row>
    <row r="387" spans="1:24" hidden="1" x14ac:dyDescent="0.25">
      <c r="A387" s="117"/>
      <c r="B387" s="118"/>
      <c r="C387" s="117"/>
      <c r="D387" s="118"/>
      <c r="E387" s="117"/>
      <c r="F387" s="118"/>
      <c r="G387" s="115"/>
      <c r="H387" s="116"/>
      <c r="I387" s="115"/>
      <c r="J387" s="116"/>
      <c r="K387" s="115"/>
      <c r="L387" s="116"/>
      <c r="M387" s="115"/>
      <c r="N387" s="116"/>
      <c r="O387" s="115"/>
      <c r="P387" s="116"/>
      <c r="Q387" s="115"/>
      <c r="R387" s="116"/>
      <c r="S387" s="115"/>
      <c r="T387" s="116"/>
      <c r="U387" s="115"/>
      <c r="V387" s="116"/>
      <c r="W387" s="117"/>
      <c r="X387" s="118"/>
    </row>
    <row r="388" spans="1:24" hidden="1" x14ac:dyDescent="0.25">
      <c r="A388" s="117"/>
      <c r="B388" s="118"/>
      <c r="C388" s="117"/>
      <c r="D388" s="118"/>
      <c r="E388" s="117"/>
      <c r="F388" s="118"/>
      <c r="G388" s="115"/>
      <c r="H388" s="116"/>
      <c r="I388" s="115"/>
      <c r="J388" s="116"/>
      <c r="K388" s="115"/>
      <c r="L388" s="116"/>
      <c r="M388" s="115"/>
      <c r="N388" s="116"/>
      <c r="O388" s="115"/>
      <c r="P388" s="116"/>
      <c r="Q388" s="115"/>
      <c r="R388" s="116"/>
      <c r="S388" s="115"/>
      <c r="T388" s="116"/>
      <c r="U388" s="115"/>
      <c r="V388" s="116"/>
      <c r="W388" s="117"/>
      <c r="X388" s="118"/>
    </row>
    <row r="389" spans="1:24" hidden="1" x14ac:dyDescent="0.25">
      <c r="A389" s="117"/>
      <c r="B389" s="118"/>
      <c r="C389" s="117"/>
      <c r="D389" s="118"/>
      <c r="E389" s="117"/>
      <c r="F389" s="118"/>
      <c r="G389" s="115"/>
      <c r="H389" s="116"/>
      <c r="I389" s="115"/>
      <c r="J389" s="116"/>
      <c r="K389" s="115"/>
      <c r="L389" s="116"/>
      <c r="M389" s="115"/>
      <c r="N389" s="116"/>
      <c r="O389" s="115"/>
      <c r="P389" s="116"/>
      <c r="Q389" s="115"/>
      <c r="R389" s="116"/>
      <c r="S389" s="115"/>
      <c r="T389" s="116"/>
      <c r="U389" s="115"/>
      <c r="V389" s="116"/>
      <c r="W389" s="117"/>
      <c r="X389" s="118"/>
    </row>
    <row r="390" spans="1:24" hidden="1" x14ac:dyDescent="0.25">
      <c r="A390" s="117"/>
      <c r="B390" s="118"/>
      <c r="C390" s="117"/>
      <c r="D390" s="118"/>
      <c r="E390" s="117"/>
      <c r="F390" s="118"/>
      <c r="G390" s="115"/>
      <c r="H390" s="116"/>
      <c r="I390" s="115"/>
      <c r="J390" s="116"/>
      <c r="K390" s="115"/>
      <c r="L390" s="116"/>
      <c r="M390" s="115"/>
      <c r="N390" s="116"/>
      <c r="O390" s="115"/>
      <c r="P390" s="116"/>
      <c r="Q390" s="115"/>
      <c r="R390" s="116"/>
      <c r="S390" s="115"/>
      <c r="T390" s="116"/>
      <c r="U390" s="115"/>
      <c r="V390" s="116"/>
      <c r="W390" s="117"/>
      <c r="X390" s="118"/>
    </row>
    <row r="391" spans="1:24" hidden="1" x14ac:dyDescent="0.25">
      <c r="A391" s="117"/>
      <c r="B391" s="118"/>
      <c r="C391" s="117"/>
      <c r="D391" s="118"/>
      <c r="E391" s="117"/>
      <c r="F391" s="118"/>
      <c r="G391" s="115"/>
      <c r="H391" s="116"/>
      <c r="I391" s="115"/>
      <c r="J391" s="116"/>
      <c r="K391" s="115"/>
      <c r="L391" s="116"/>
      <c r="M391" s="115"/>
      <c r="N391" s="116"/>
      <c r="O391" s="115"/>
      <c r="P391" s="116"/>
      <c r="Q391" s="115"/>
      <c r="R391" s="116"/>
      <c r="S391" s="115"/>
      <c r="T391" s="116"/>
      <c r="U391" s="115"/>
      <c r="V391" s="116"/>
      <c r="W391" s="117"/>
      <c r="X391" s="118"/>
    </row>
    <row r="392" spans="1:24" hidden="1" x14ac:dyDescent="0.25">
      <c r="A392" s="117"/>
      <c r="B392" s="118"/>
      <c r="C392" s="117"/>
      <c r="D392" s="118"/>
      <c r="E392" s="117"/>
      <c r="F392" s="118"/>
      <c r="G392" s="115"/>
      <c r="H392" s="116"/>
      <c r="I392" s="115"/>
      <c r="J392" s="116"/>
      <c r="K392" s="115"/>
      <c r="L392" s="116"/>
      <c r="M392" s="115"/>
      <c r="N392" s="116"/>
      <c r="O392" s="115"/>
      <c r="P392" s="116"/>
      <c r="Q392" s="115"/>
      <c r="R392" s="116"/>
      <c r="S392" s="115"/>
      <c r="T392" s="116"/>
      <c r="U392" s="115"/>
      <c r="V392" s="116"/>
      <c r="W392" s="117"/>
      <c r="X392" s="118"/>
    </row>
    <row r="393" spans="1:24" hidden="1" x14ac:dyDescent="0.25">
      <c r="A393" s="117"/>
      <c r="B393" s="118"/>
      <c r="C393" s="117"/>
      <c r="D393" s="118"/>
      <c r="E393" s="117"/>
      <c r="F393" s="118"/>
      <c r="G393" s="115"/>
      <c r="H393" s="116"/>
      <c r="I393" s="115"/>
      <c r="J393" s="116"/>
      <c r="K393" s="115"/>
      <c r="L393" s="116"/>
      <c r="M393" s="115"/>
      <c r="N393" s="116"/>
      <c r="O393" s="115"/>
      <c r="P393" s="116"/>
      <c r="Q393" s="115"/>
      <c r="R393" s="116"/>
      <c r="S393" s="115"/>
      <c r="T393" s="116"/>
      <c r="U393" s="115"/>
      <c r="V393" s="116"/>
      <c r="W393" s="117"/>
      <c r="X393" s="118"/>
    </row>
    <row r="394" spans="1:24" hidden="1" x14ac:dyDescent="0.25">
      <c r="A394" s="117"/>
      <c r="B394" s="118"/>
      <c r="C394" s="117"/>
      <c r="D394" s="118"/>
      <c r="E394" s="117"/>
      <c r="F394" s="118"/>
      <c r="G394" s="115"/>
      <c r="H394" s="116"/>
      <c r="I394" s="115"/>
      <c r="J394" s="116"/>
      <c r="K394" s="115"/>
      <c r="L394" s="116"/>
      <c r="M394" s="115"/>
      <c r="N394" s="116"/>
      <c r="O394" s="115"/>
      <c r="P394" s="116"/>
      <c r="Q394" s="115"/>
      <c r="R394" s="116"/>
      <c r="S394" s="115"/>
      <c r="T394" s="116"/>
      <c r="U394" s="115"/>
      <c r="V394" s="116"/>
      <c r="W394" s="117"/>
      <c r="X394" s="118"/>
    </row>
    <row r="395" spans="1:24" hidden="1" x14ac:dyDescent="0.25">
      <c r="A395" s="117"/>
      <c r="B395" s="118"/>
      <c r="C395" s="117"/>
      <c r="D395" s="118"/>
      <c r="E395" s="117"/>
      <c r="F395" s="118"/>
      <c r="G395" s="115"/>
      <c r="H395" s="116"/>
      <c r="I395" s="115"/>
      <c r="J395" s="116"/>
      <c r="K395" s="115"/>
      <c r="L395" s="116"/>
      <c r="M395" s="115"/>
      <c r="N395" s="116"/>
      <c r="O395" s="115"/>
      <c r="P395" s="116"/>
      <c r="Q395" s="115"/>
      <c r="R395" s="116"/>
      <c r="S395" s="115"/>
      <c r="T395" s="116"/>
      <c r="U395" s="115"/>
      <c r="V395" s="116"/>
      <c r="W395" s="117"/>
      <c r="X395" s="118"/>
    </row>
    <row r="396" spans="1:24" hidden="1" x14ac:dyDescent="0.25">
      <c r="A396" s="117"/>
      <c r="B396" s="118"/>
      <c r="C396" s="117"/>
      <c r="D396" s="118"/>
      <c r="E396" s="117"/>
      <c r="F396" s="118"/>
      <c r="G396" s="115"/>
      <c r="H396" s="116"/>
      <c r="I396" s="115"/>
      <c r="J396" s="116"/>
      <c r="K396" s="115"/>
      <c r="L396" s="116"/>
      <c r="M396" s="115"/>
      <c r="N396" s="116"/>
      <c r="O396" s="115"/>
      <c r="P396" s="116"/>
      <c r="Q396" s="115"/>
      <c r="R396" s="116"/>
      <c r="S396" s="115"/>
      <c r="T396" s="116"/>
      <c r="U396" s="115"/>
      <c r="V396" s="116"/>
      <c r="W396" s="117"/>
      <c r="X396" s="118"/>
    </row>
    <row r="397" spans="1:24" hidden="1" x14ac:dyDescent="0.25">
      <c r="A397" s="117"/>
      <c r="B397" s="118"/>
      <c r="C397" s="117"/>
      <c r="D397" s="118"/>
      <c r="E397" s="117"/>
      <c r="F397" s="118"/>
      <c r="G397" s="115"/>
      <c r="H397" s="116"/>
      <c r="I397" s="115"/>
      <c r="J397" s="116"/>
      <c r="K397" s="115"/>
      <c r="L397" s="116"/>
      <c r="M397" s="115"/>
      <c r="N397" s="116"/>
      <c r="O397" s="115"/>
      <c r="P397" s="116"/>
      <c r="Q397" s="115"/>
      <c r="R397" s="116"/>
      <c r="S397" s="115"/>
      <c r="T397" s="116"/>
      <c r="U397" s="115"/>
      <c r="V397" s="116"/>
      <c r="W397" s="117"/>
      <c r="X397" s="118"/>
    </row>
    <row r="398" spans="1:24" hidden="1" x14ac:dyDescent="0.25">
      <c r="A398" s="117"/>
      <c r="B398" s="118"/>
      <c r="C398" s="117"/>
      <c r="D398" s="118"/>
      <c r="E398" s="117"/>
      <c r="F398" s="118"/>
      <c r="G398" s="115"/>
      <c r="H398" s="116"/>
      <c r="I398" s="115"/>
      <c r="J398" s="116"/>
      <c r="K398" s="115"/>
      <c r="L398" s="116"/>
      <c r="M398" s="115"/>
      <c r="N398" s="116"/>
      <c r="O398" s="115"/>
      <c r="P398" s="116"/>
      <c r="Q398" s="115"/>
      <c r="R398" s="116"/>
      <c r="S398" s="115"/>
      <c r="T398" s="116"/>
      <c r="U398" s="115"/>
      <c r="V398" s="116"/>
      <c r="W398" s="117"/>
      <c r="X398" s="118"/>
    </row>
    <row r="399" spans="1:24" hidden="1" x14ac:dyDescent="0.25">
      <c r="A399" s="117"/>
      <c r="B399" s="118"/>
      <c r="C399" s="117"/>
      <c r="D399" s="118"/>
      <c r="E399" s="117"/>
      <c r="F399" s="118"/>
      <c r="G399" s="115"/>
      <c r="H399" s="116"/>
      <c r="I399" s="115"/>
      <c r="J399" s="116"/>
      <c r="K399" s="115"/>
      <c r="L399" s="116"/>
      <c r="M399" s="115"/>
      <c r="N399" s="116"/>
      <c r="O399" s="115"/>
      <c r="P399" s="116"/>
      <c r="Q399" s="115"/>
      <c r="R399" s="116"/>
      <c r="S399" s="115"/>
      <c r="T399" s="116"/>
      <c r="U399" s="115"/>
      <c r="V399" s="116"/>
      <c r="W399" s="117"/>
      <c r="X399" s="118"/>
    </row>
    <row r="400" spans="1:24" hidden="1" x14ac:dyDescent="0.25">
      <c r="A400" s="117"/>
      <c r="B400" s="118"/>
      <c r="C400" s="117"/>
      <c r="D400" s="118"/>
      <c r="E400" s="117"/>
      <c r="F400" s="118"/>
      <c r="G400" s="115"/>
      <c r="H400" s="116"/>
      <c r="I400" s="115"/>
      <c r="J400" s="116"/>
      <c r="K400" s="115"/>
      <c r="L400" s="116"/>
      <c r="M400" s="115"/>
      <c r="N400" s="116"/>
      <c r="O400" s="115"/>
      <c r="P400" s="116"/>
      <c r="Q400" s="115"/>
      <c r="R400" s="116"/>
      <c r="S400" s="115"/>
      <c r="T400" s="116"/>
      <c r="U400" s="115"/>
      <c r="V400" s="116"/>
      <c r="W400" s="117"/>
      <c r="X400" s="118"/>
    </row>
    <row r="401" spans="1:24" hidden="1" x14ac:dyDescent="0.25">
      <c r="A401" s="117"/>
      <c r="B401" s="118"/>
      <c r="C401" s="117"/>
      <c r="D401" s="118"/>
      <c r="E401" s="117"/>
      <c r="F401" s="118"/>
      <c r="G401" s="115"/>
      <c r="H401" s="116"/>
      <c r="I401" s="115"/>
      <c r="J401" s="116"/>
      <c r="K401" s="115"/>
      <c r="L401" s="116"/>
      <c r="M401" s="115"/>
      <c r="N401" s="116"/>
      <c r="O401" s="115"/>
      <c r="P401" s="116"/>
      <c r="Q401" s="115"/>
      <c r="R401" s="116"/>
      <c r="S401" s="115"/>
      <c r="T401" s="116"/>
      <c r="U401" s="115"/>
      <c r="V401" s="116"/>
      <c r="W401" s="117"/>
      <c r="X401" s="118"/>
    </row>
    <row r="402" spans="1:24" hidden="1" x14ac:dyDescent="0.25">
      <c r="A402" s="117"/>
      <c r="B402" s="118"/>
      <c r="C402" s="117"/>
      <c r="D402" s="118"/>
      <c r="E402" s="117"/>
      <c r="F402" s="118"/>
      <c r="G402" s="115"/>
      <c r="H402" s="116"/>
      <c r="I402" s="115"/>
      <c r="J402" s="116"/>
      <c r="K402" s="115"/>
      <c r="L402" s="116"/>
      <c r="M402" s="115"/>
      <c r="N402" s="116"/>
      <c r="O402" s="115"/>
      <c r="P402" s="116"/>
      <c r="Q402" s="115"/>
      <c r="R402" s="116"/>
      <c r="S402" s="115"/>
      <c r="T402" s="116"/>
      <c r="U402" s="115"/>
      <c r="V402" s="116"/>
      <c r="W402" s="117"/>
      <c r="X402" s="118"/>
    </row>
    <row r="403" spans="1:24" hidden="1" x14ac:dyDescent="0.25">
      <c r="A403" s="117"/>
      <c r="B403" s="118"/>
      <c r="C403" s="117"/>
      <c r="D403" s="118"/>
      <c r="E403" s="117"/>
      <c r="F403" s="118"/>
      <c r="G403" s="115"/>
      <c r="H403" s="116"/>
      <c r="I403" s="115"/>
      <c r="J403" s="116"/>
      <c r="K403" s="115"/>
      <c r="L403" s="116"/>
      <c r="M403" s="115"/>
      <c r="N403" s="116"/>
      <c r="O403" s="115"/>
      <c r="P403" s="116"/>
      <c r="Q403" s="115"/>
      <c r="R403" s="116"/>
      <c r="S403" s="115"/>
      <c r="T403" s="116"/>
      <c r="U403" s="115"/>
      <c r="V403" s="116"/>
      <c r="W403" s="117"/>
      <c r="X403" s="118"/>
    </row>
    <row r="404" spans="1:24" hidden="1" x14ac:dyDescent="0.25">
      <c r="A404" s="117"/>
      <c r="B404" s="118"/>
      <c r="C404" s="117"/>
      <c r="D404" s="118"/>
      <c r="E404" s="117"/>
      <c r="F404" s="118"/>
      <c r="G404" s="115"/>
      <c r="H404" s="116"/>
      <c r="I404" s="115"/>
      <c r="J404" s="116"/>
      <c r="K404" s="115"/>
      <c r="L404" s="116"/>
      <c r="M404" s="115"/>
      <c r="N404" s="116"/>
      <c r="O404" s="115"/>
      <c r="P404" s="116"/>
      <c r="Q404" s="115"/>
      <c r="R404" s="116"/>
      <c r="S404" s="115"/>
      <c r="T404" s="116"/>
      <c r="U404" s="115"/>
      <c r="V404" s="116"/>
      <c r="W404" s="117"/>
      <c r="X404" s="118"/>
    </row>
    <row r="405" spans="1:24" hidden="1" x14ac:dyDescent="0.25">
      <c r="A405" s="117"/>
      <c r="B405" s="118"/>
      <c r="C405" s="117"/>
      <c r="D405" s="118"/>
      <c r="E405" s="117"/>
      <c r="F405" s="118"/>
      <c r="G405" s="115"/>
      <c r="H405" s="116"/>
      <c r="I405" s="115"/>
      <c r="J405" s="116"/>
      <c r="K405" s="115"/>
      <c r="L405" s="116"/>
      <c r="M405" s="115"/>
      <c r="N405" s="116"/>
      <c r="O405" s="115"/>
      <c r="P405" s="116"/>
      <c r="Q405" s="115"/>
      <c r="R405" s="116"/>
      <c r="S405" s="115"/>
      <c r="T405" s="116"/>
      <c r="U405" s="115"/>
      <c r="V405" s="116"/>
      <c r="W405" s="117"/>
      <c r="X405" s="118"/>
    </row>
    <row r="406" spans="1:24" hidden="1" x14ac:dyDescent="0.25">
      <c r="A406" s="117"/>
      <c r="B406" s="118"/>
      <c r="C406" s="117"/>
      <c r="D406" s="118"/>
      <c r="E406" s="117"/>
      <c r="F406" s="118"/>
      <c r="G406" s="115"/>
      <c r="H406" s="116"/>
      <c r="I406" s="115"/>
      <c r="J406" s="116"/>
      <c r="K406" s="115"/>
      <c r="L406" s="116"/>
      <c r="M406" s="115"/>
      <c r="N406" s="116"/>
      <c r="O406" s="115"/>
      <c r="P406" s="116"/>
      <c r="Q406" s="115"/>
      <c r="R406" s="116"/>
      <c r="S406" s="115"/>
      <c r="T406" s="116"/>
      <c r="U406" s="115"/>
      <c r="V406" s="116"/>
      <c r="W406" s="117"/>
      <c r="X406" s="118"/>
    </row>
    <row r="407" spans="1:24" hidden="1" x14ac:dyDescent="0.25">
      <c r="A407" s="117"/>
      <c r="B407" s="118"/>
      <c r="C407" s="117"/>
      <c r="D407" s="118"/>
      <c r="E407" s="117"/>
      <c r="F407" s="118"/>
      <c r="G407" s="115"/>
      <c r="H407" s="116"/>
      <c r="I407" s="115"/>
      <c r="J407" s="116"/>
      <c r="K407" s="115"/>
      <c r="L407" s="116"/>
      <c r="M407" s="115"/>
      <c r="N407" s="116"/>
      <c r="O407" s="115"/>
      <c r="P407" s="116"/>
      <c r="Q407" s="115"/>
      <c r="R407" s="116"/>
      <c r="S407" s="115"/>
      <c r="T407" s="116"/>
      <c r="U407" s="115"/>
      <c r="V407" s="116"/>
      <c r="W407" s="117"/>
      <c r="X407" s="118"/>
    </row>
    <row r="408" spans="1:24" hidden="1" x14ac:dyDescent="0.25">
      <c r="A408" s="117"/>
      <c r="B408" s="118"/>
      <c r="C408" s="117"/>
      <c r="D408" s="118"/>
      <c r="E408" s="117"/>
      <c r="F408" s="118"/>
      <c r="G408" s="115"/>
      <c r="H408" s="116"/>
      <c r="I408" s="115"/>
      <c r="J408" s="116"/>
      <c r="K408" s="115"/>
      <c r="L408" s="116"/>
      <c r="M408" s="115"/>
      <c r="N408" s="116"/>
      <c r="O408" s="115"/>
      <c r="P408" s="116"/>
      <c r="Q408" s="115"/>
      <c r="R408" s="116"/>
      <c r="S408" s="115"/>
      <c r="T408" s="116"/>
      <c r="U408" s="115"/>
      <c r="V408" s="116"/>
      <c r="W408" s="117"/>
      <c r="X408" s="118"/>
    </row>
    <row r="409" spans="1:24" hidden="1" x14ac:dyDescent="0.25">
      <c r="A409" s="117"/>
      <c r="B409" s="118"/>
      <c r="C409" s="117"/>
      <c r="D409" s="118"/>
      <c r="E409" s="117"/>
      <c r="F409" s="118"/>
      <c r="G409" s="115"/>
      <c r="H409" s="116"/>
      <c r="I409" s="115"/>
      <c r="J409" s="116"/>
      <c r="K409" s="115"/>
      <c r="L409" s="116"/>
      <c r="M409" s="115"/>
      <c r="N409" s="116"/>
      <c r="O409" s="115"/>
      <c r="P409" s="116"/>
      <c r="Q409" s="115"/>
      <c r="R409" s="116"/>
      <c r="S409" s="115"/>
      <c r="T409" s="116"/>
      <c r="U409" s="115"/>
      <c r="V409" s="116"/>
      <c r="W409" s="117"/>
      <c r="X409" s="118"/>
    </row>
    <row r="410" spans="1:24" hidden="1" x14ac:dyDescent="0.25">
      <c r="A410" s="117"/>
      <c r="B410" s="118"/>
      <c r="C410" s="117"/>
      <c r="D410" s="118"/>
      <c r="E410" s="117"/>
      <c r="F410" s="118"/>
      <c r="G410" s="115"/>
      <c r="H410" s="116"/>
      <c r="I410" s="115"/>
      <c r="J410" s="116"/>
      <c r="K410" s="115"/>
      <c r="L410" s="116"/>
      <c r="M410" s="115"/>
      <c r="N410" s="116"/>
      <c r="O410" s="115"/>
      <c r="P410" s="116"/>
      <c r="Q410" s="115"/>
      <c r="R410" s="116"/>
      <c r="S410" s="115"/>
      <c r="T410" s="116"/>
      <c r="U410" s="115"/>
      <c r="V410" s="116"/>
      <c r="W410" s="117"/>
      <c r="X410" s="118"/>
    </row>
    <row r="411" spans="1:24" hidden="1" x14ac:dyDescent="0.25">
      <c r="A411" s="117"/>
      <c r="B411" s="118"/>
      <c r="C411" s="117"/>
      <c r="D411" s="118"/>
      <c r="E411" s="117"/>
      <c r="F411" s="118"/>
      <c r="G411" s="115"/>
      <c r="H411" s="116"/>
      <c r="I411" s="115"/>
      <c r="J411" s="116"/>
      <c r="K411" s="115"/>
      <c r="L411" s="116"/>
      <c r="M411" s="115"/>
      <c r="N411" s="116"/>
      <c r="O411" s="115"/>
      <c r="P411" s="116"/>
      <c r="Q411" s="115"/>
      <c r="R411" s="116"/>
      <c r="S411" s="115"/>
      <c r="T411" s="116"/>
      <c r="U411" s="115"/>
      <c r="V411" s="116"/>
      <c r="W411" s="117"/>
      <c r="X411" s="118"/>
    </row>
    <row r="412" spans="1:24" hidden="1" x14ac:dyDescent="0.25">
      <c r="A412" s="117"/>
      <c r="B412" s="118"/>
      <c r="C412" s="117"/>
      <c r="D412" s="118"/>
      <c r="E412" s="117"/>
      <c r="F412" s="118"/>
      <c r="G412" s="115"/>
      <c r="H412" s="116"/>
      <c r="I412" s="115"/>
      <c r="J412" s="116"/>
      <c r="K412" s="115"/>
      <c r="L412" s="116"/>
      <c r="M412" s="115"/>
      <c r="N412" s="116"/>
      <c r="O412" s="115"/>
      <c r="P412" s="116"/>
      <c r="Q412" s="115"/>
      <c r="R412" s="116"/>
      <c r="S412" s="115"/>
      <c r="T412" s="116"/>
      <c r="U412" s="115"/>
      <c r="V412" s="116"/>
      <c r="W412" s="117"/>
      <c r="X412" s="118"/>
    </row>
    <row r="413" spans="1:24" hidden="1" x14ac:dyDescent="0.25">
      <c r="A413" s="117"/>
      <c r="B413" s="118"/>
      <c r="C413" s="117"/>
      <c r="D413" s="118"/>
      <c r="E413" s="117"/>
      <c r="F413" s="118"/>
      <c r="G413" s="115"/>
      <c r="H413" s="116"/>
      <c r="I413" s="115"/>
      <c r="J413" s="116"/>
      <c r="K413" s="115"/>
      <c r="L413" s="116"/>
      <c r="M413" s="115"/>
      <c r="N413" s="116"/>
      <c r="O413" s="115"/>
      <c r="P413" s="116"/>
      <c r="Q413" s="115"/>
      <c r="R413" s="116"/>
      <c r="S413" s="115"/>
      <c r="T413" s="116"/>
      <c r="U413" s="115"/>
      <c r="V413" s="116"/>
      <c r="W413" s="117"/>
      <c r="X413" s="118"/>
    </row>
    <row r="414" spans="1:24" hidden="1" x14ac:dyDescent="0.25">
      <c r="A414" s="117"/>
      <c r="B414" s="118"/>
      <c r="C414" s="117"/>
      <c r="D414" s="118"/>
      <c r="E414" s="117"/>
      <c r="F414" s="118"/>
      <c r="G414" s="115"/>
      <c r="H414" s="116"/>
      <c r="I414" s="115"/>
      <c r="J414" s="116"/>
      <c r="K414" s="115"/>
      <c r="L414" s="116"/>
      <c r="M414" s="115"/>
      <c r="N414" s="116"/>
      <c r="O414" s="115"/>
      <c r="P414" s="116"/>
      <c r="Q414" s="115"/>
      <c r="R414" s="116"/>
      <c r="S414" s="115"/>
      <c r="T414" s="116"/>
      <c r="U414" s="115"/>
      <c r="V414" s="116"/>
      <c r="W414" s="117"/>
      <c r="X414" s="118"/>
    </row>
    <row r="415" spans="1:24" hidden="1" x14ac:dyDescent="0.25">
      <c r="A415" s="117"/>
      <c r="B415" s="118"/>
      <c r="C415" s="117"/>
      <c r="D415" s="118"/>
      <c r="E415" s="117"/>
      <c r="F415" s="118"/>
      <c r="G415" s="115"/>
      <c r="H415" s="116"/>
      <c r="I415" s="115"/>
      <c r="J415" s="116"/>
      <c r="K415" s="115"/>
      <c r="L415" s="116"/>
      <c r="M415" s="115"/>
      <c r="N415" s="116"/>
      <c r="O415" s="115"/>
      <c r="P415" s="116"/>
      <c r="Q415" s="115"/>
      <c r="R415" s="116"/>
      <c r="S415" s="115"/>
      <c r="T415" s="116"/>
      <c r="U415" s="115"/>
      <c r="V415" s="116"/>
      <c r="W415" s="117"/>
      <c r="X415" s="118"/>
    </row>
    <row r="416" spans="1:24" hidden="1" x14ac:dyDescent="0.25">
      <c r="A416" s="117"/>
      <c r="B416" s="118"/>
      <c r="C416" s="117"/>
      <c r="D416" s="118"/>
      <c r="E416" s="117"/>
      <c r="F416" s="118"/>
      <c r="G416" s="115"/>
      <c r="H416" s="116"/>
      <c r="I416" s="115"/>
      <c r="J416" s="116"/>
      <c r="K416" s="115"/>
      <c r="L416" s="116"/>
      <c r="M416" s="115"/>
      <c r="N416" s="116"/>
      <c r="O416" s="115"/>
      <c r="P416" s="116"/>
      <c r="Q416" s="115"/>
      <c r="R416" s="116"/>
      <c r="S416" s="115"/>
      <c r="T416" s="116"/>
      <c r="U416" s="115"/>
      <c r="V416" s="116"/>
      <c r="W416" s="117"/>
      <c r="X416" s="118"/>
    </row>
    <row r="417" spans="1:24" hidden="1" x14ac:dyDescent="0.25">
      <c r="A417" s="117"/>
      <c r="B417" s="118"/>
      <c r="C417" s="117"/>
      <c r="D417" s="118"/>
      <c r="E417" s="117"/>
      <c r="F417" s="118"/>
      <c r="G417" s="115"/>
      <c r="H417" s="116"/>
      <c r="I417" s="115"/>
      <c r="J417" s="116"/>
      <c r="K417" s="115"/>
      <c r="L417" s="116"/>
      <c r="M417" s="115"/>
      <c r="N417" s="116"/>
      <c r="O417" s="115"/>
      <c r="P417" s="116"/>
      <c r="Q417" s="115"/>
      <c r="R417" s="116"/>
      <c r="S417" s="115"/>
      <c r="T417" s="116"/>
      <c r="U417" s="115"/>
      <c r="V417" s="116"/>
      <c r="W417" s="117"/>
      <c r="X417" s="118"/>
    </row>
    <row r="418" spans="1:24" hidden="1" x14ac:dyDescent="0.25">
      <c r="A418" s="117"/>
      <c r="B418" s="118"/>
      <c r="C418" s="117"/>
      <c r="D418" s="118"/>
      <c r="E418" s="117"/>
      <c r="F418" s="118"/>
      <c r="G418" s="115"/>
      <c r="H418" s="116"/>
      <c r="I418" s="115"/>
      <c r="J418" s="116"/>
      <c r="K418" s="115"/>
      <c r="L418" s="116"/>
      <c r="M418" s="115"/>
      <c r="N418" s="116"/>
      <c r="O418" s="115"/>
      <c r="P418" s="116"/>
      <c r="Q418" s="115"/>
      <c r="R418" s="116"/>
      <c r="S418" s="115"/>
      <c r="T418" s="116"/>
      <c r="U418" s="115"/>
      <c r="V418" s="116"/>
      <c r="W418" s="117"/>
      <c r="X418" s="118"/>
    </row>
    <row r="419" spans="1:24" hidden="1" x14ac:dyDescent="0.25">
      <c r="A419" s="117"/>
      <c r="B419" s="118"/>
      <c r="C419" s="117"/>
      <c r="D419" s="118"/>
      <c r="E419" s="117"/>
      <c r="F419" s="118"/>
      <c r="G419" s="115"/>
      <c r="H419" s="116"/>
      <c r="I419" s="115"/>
      <c r="J419" s="116"/>
      <c r="K419" s="115"/>
      <c r="L419" s="116"/>
      <c r="M419" s="115"/>
      <c r="N419" s="116"/>
      <c r="O419" s="115"/>
      <c r="P419" s="116"/>
      <c r="Q419" s="115"/>
      <c r="R419" s="116"/>
      <c r="S419" s="115"/>
      <c r="T419" s="116"/>
      <c r="U419" s="115"/>
      <c r="V419" s="116"/>
      <c r="W419" s="117"/>
      <c r="X419" s="118"/>
    </row>
    <row r="420" spans="1:24" hidden="1" x14ac:dyDescent="0.25">
      <c r="A420" s="117"/>
      <c r="B420" s="118"/>
      <c r="C420" s="117"/>
      <c r="D420" s="118"/>
      <c r="E420" s="117"/>
      <c r="F420" s="118"/>
      <c r="G420" s="115"/>
      <c r="H420" s="116"/>
      <c r="I420" s="115"/>
      <c r="J420" s="116"/>
      <c r="K420" s="115"/>
      <c r="L420" s="116"/>
      <c r="M420" s="115"/>
      <c r="N420" s="116"/>
      <c r="O420" s="115"/>
      <c r="P420" s="116"/>
      <c r="Q420" s="115"/>
      <c r="R420" s="116"/>
      <c r="S420" s="115"/>
      <c r="T420" s="116"/>
      <c r="U420" s="115"/>
      <c r="V420" s="116"/>
      <c r="W420" s="117"/>
      <c r="X420" s="118"/>
    </row>
    <row r="421" spans="1:24" hidden="1" x14ac:dyDescent="0.25">
      <c r="A421" s="117"/>
      <c r="B421" s="118"/>
      <c r="C421" s="117"/>
      <c r="D421" s="118"/>
      <c r="E421" s="117"/>
      <c r="F421" s="118"/>
      <c r="G421" s="115"/>
      <c r="H421" s="116"/>
      <c r="I421" s="115"/>
      <c r="J421" s="116"/>
      <c r="K421" s="115"/>
      <c r="L421" s="116"/>
      <c r="M421" s="115"/>
      <c r="N421" s="116"/>
      <c r="O421" s="115"/>
      <c r="P421" s="116"/>
      <c r="Q421" s="115"/>
      <c r="R421" s="116"/>
      <c r="S421" s="115"/>
      <c r="T421" s="116"/>
      <c r="U421" s="115"/>
      <c r="V421" s="116"/>
      <c r="W421" s="117"/>
      <c r="X421" s="118"/>
    </row>
    <row r="422" spans="1:24" hidden="1" x14ac:dyDescent="0.25">
      <c r="A422" s="117"/>
      <c r="B422" s="118"/>
      <c r="C422" s="117"/>
      <c r="D422" s="118"/>
      <c r="E422" s="117"/>
      <c r="F422" s="118"/>
      <c r="G422" s="115"/>
      <c r="H422" s="116"/>
      <c r="I422" s="115"/>
      <c r="J422" s="116"/>
      <c r="K422" s="115"/>
      <c r="L422" s="116"/>
      <c r="M422" s="115"/>
      <c r="N422" s="116"/>
      <c r="O422" s="115"/>
      <c r="P422" s="116"/>
      <c r="Q422" s="115"/>
      <c r="R422" s="116"/>
      <c r="S422" s="115"/>
      <c r="T422" s="116"/>
      <c r="U422" s="115"/>
      <c r="V422" s="116"/>
      <c r="W422" s="117"/>
      <c r="X422" s="118"/>
    </row>
    <row r="423" spans="1:24" hidden="1" x14ac:dyDescent="0.25">
      <c r="A423" s="117"/>
      <c r="B423" s="118"/>
      <c r="C423" s="117"/>
      <c r="D423" s="118"/>
      <c r="E423" s="117"/>
      <c r="F423" s="118"/>
      <c r="G423" s="115"/>
      <c r="H423" s="116"/>
      <c r="I423" s="115"/>
      <c r="J423" s="116"/>
      <c r="K423" s="115"/>
      <c r="L423" s="116"/>
      <c r="M423" s="115"/>
      <c r="N423" s="116"/>
      <c r="O423" s="115"/>
      <c r="P423" s="116"/>
      <c r="Q423" s="115"/>
      <c r="R423" s="116"/>
      <c r="S423" s="115"/>
      <c r="T423" s="116"/>
      <c r="U423" s="115"/>
      <c r="V423" s="116"/>
      <c r="W423" s="117"/>
      <c r="X423" s="118"/>
    </row>
    <row r="424" spans="1:24" hidden="1" x14ac:dyDescent="0.25">
      <c r="A424" s="117"/>
      <c r="B424" s="118"/>
      <c r="C424" s="117"/>
      <c r="D424" s="118"/>
      <c r="E424" s="117"/>
      <c r="F424" s="118"/>
      <c r="G424" s="115"/>
      <c r="H424" s="116"/>
      <c r="I424" s="115"/>
      <c r="J424" s="116"/>
      <c r="K424" s="115"/>
      <c r="L424" s="116"/>
      <c r="M424" s="115"/>
      <c r="N424" s="116"/>
      <c r="O424" s="115"/>
      <c r="P424" s="116"/>
      <c r="Q424" s="115"/>
      <c r="R424" s="116"/>
      <c r="S424" s="115"/>
      <c r="T424" s="116"/>
      <c r="U424" s="115"/>
      <c r="V424" s="116"/>
      <c r="W424" s="117"/>
      <c r="X424" s="118"/>
    </row>
    <row r="425" spans="1:24" hidden="1" x14ac:dyDescent="0.25">
      <c r="A425" s="117"/>
      <c r="B425" s="118"/>
      <c r="C425" s="117"/>
      <c r="D425" s="118"/>
      <c r="E425" s="117"/>
      <c r="F425" s="118"/>
      <c r="G425" s="115"/>
      <c r="H425" s="116"/>
      <c r="I425" s="115"/>
      <c r="J425" s="116"/>
      <c r="K425" s="115"/>
      <c r="L425" s="116"/>
      <c r="M425" s="115"/>
      <c r="N425" s="116"/>
      <c r="O425" s="115"/>
      <c r="P425" s="116"/>
      <c r="Q425" s="115"/>
      <c r="R425" s="116"/>
      <c r="S425" s="115"/>
      <c r="T425" s="116"/>
      <c r="U425" s="115"/>
      <c r="V425" s="116"/>
      <c r="W425" s="117"/>
      <c r="X425" s="118"/>
    </row>
    <row r="426" spans="1:24" hidden="1" x14ac:dyDescent="0.25">
      <c r="A426" s="117"/>
      <c r="B426" s="118"/>
      <c r="C426" s="117"/>
      <c r="D426" s="118"/>
      <c r="E426" s="117"/>
      <c r="F426" s="118"/>
      <c r="G426" s="115"/>
      <c r="H426" s="116"/>
      <c r="I426" s="115"/>
      <c r="J426" s="116"/>
      <c r="K426" s="115"/>
      <c r="L426" s="116"/>
      <c r="M426" s="115"/>
      <c r="N426" s="116"/>
      <c r="O426" s="115"/>
      <c r="P426" s="116"/>
      <c r="Q426" s="115"/>
      <c r="R426" s="116"/>
      <c r="S426" s="115"/>
      <c r="T426" s="116"/>
      <c r="U426" s="115"/>
      <c r="V426" s="116"/>
      <c r="W426" s="117"/>
      <c r="X426" s="118"/>
    </row>
    <row r="427" spans="1:24" hidden="1" x14ac:dyDescent="0.25">
      <c r="A427" s="117"/>
      <c r="B427" s="118"/>
      <c r="C427" s="117"/>
      <c r="D427" s="118"/>
      <c r="E427" s="117"/>
      <c r="F427" s="118"/>
      <c r="G427" s="115"/>
      <c r="H427" s="116"/>
      <c r="I427" s="115"/>
      <c r="J427" s="116"/>
      <c r="K427" s="115"/>
      <c r="L427" s="116"/>
      <c r="M427" s="115"/>
      <c r="N427" s="116"/>
      <c r="O427" s="115"/>
      <c r="P427" s="116"/>
      <c r="Q427" s="115"/>
      <c r="R427" s="116"/>
      <c r="S427" s="115"/>
      <c r="T427" s="116"/>
      <c r="U427" s="115"/>
      <c r="V427" s="116"/>
      <c r="W427" s="117"/>
      <c r="X427" s="118"/>
    </row>
    <row r="428" spans="1:24" hidden="1" x14ac:dyDescent="0.25">
      <c r="A428" s="117"/>
      <c r="B428" s="118"/>
      <c r="C428" s="117"/>
      <c r="D428" s="118"/>
      <c r="E428" s="117"/>
      <c r="F428" s="118"/>
      <c r="G428" s="115"/>
      <c r="H428" s="116"/>
      <c r="I428" s="115"/>
      <c r="J428" s="116"/>
      <c r="K428" s="115"/>
      <c r="L428" s="116"/>
      <c r="M428" s="115"/>
      <c r="N428" s="116"/>
      <c r="O428" s="115"/>
      <c r="P428" s="116"/>
      <c r="Q428" s="115"/>
      <c r="R428" s="116"/>
      <c r="S428" s="115"/>
      <c r="T428" s="116"/>
      <c r="U428" s="115"/>
      <c r="V428" s="116"/>
      <c r="W428" s="117"/>
      <c r="X428" s="118"/>
    </row>
    <row r="429" spans="1:24" hidden="1" x14ac:dyDescent="0.25">
      <c r="A429" s="117"/>
      <c r="B429" s="118"/>
      <c r="C429" s="117"/>
      <c r="D429" s="118"/>
      <c r="E429" s="117"/>
      <c r="F429" s="118"/>
      <c r="G429" s="115"/>
      <c r="H429" s="116"/>
      <c r="I429" s="115"/>
      <c r="J429" s="116"/>
      <c r="K429" s="115"/>
      <c r="L429" s="116"/>
      <c r="M429" s="115"/>
      <c r="N429" s="116"/>
      <c r="O429" s="115"/>
      <c r="P429" s="116"/>
      <c r="Q429" s="115"/>
      <c r="R429" s="116"/>
      <c r="S429" s="115"/>
      <c r="T429" s="116"/>
      <c r="U429" s="115"/>
      <c r="V429" s="116"/>
      <c r="W429" s="117"/>
      <c r="X429" s="118"/>
    </row>
    <row r="430" spans="1:24" hidden="1" x14ac:dyDescent="0.25">
      <c r="A430" s="117"/>
      <c r="B430" s="118"/>
      <c r="C430" s="117"/>
      <c r="D430" s="118"/>
      <c r="E430" s="117"/>
      <c r="F430" s="118"/>
      <c r="G430" s="115"/>
      <c r="H430" s="116"/>
      <c r="I430" s="115"/>
      <c r="J430" s="116"/>
      <c r="K430" s="115"/>
      <c r="L430" s="116"/>
      <c r="M430" s="115"/>
      <c r="N430" s="116"/>
      <c r="O430" s="115"/>
      <c r="P430" s="116"/>
      <c r="Q430" s="115"/>
      <c r="R430" s="116"/>
      <c r="S430" s="115"/>
      <c r="T430" s="116"/>
      <c r="U430" s="115"/>
      <c r="V430" s="116"/>
      <c r="W430" s="117"/>
      <c r="X430" s="118"/>
    </row>
    <row r="431" spans="1:24" hidden="1" x14ac:dyDescent="0.25">
      <c r="A431" s="117"/>
      <c r="B431" s="118"/>
      <c r="C431" s="117"/>
      <c r="D431" s="118"/>
      <c r="E431" s="117"/>
      <c r="F431" s="118"/>
      <c r="G431" s="115"/>
      <c r="H431" s="116"/>
      <c r="I431" s="115"/>
      <c r="J431" s="116"/>
      <c r="K431" s="115"/>
      <c r="L431" s="116"/>
      <c r="M431" s="115"/>
      <c r="N431" s="116"/>
      <c r="O431" s="115"/>
      <c r="P431" s="116"/>
      <c r="Q431" s="115"/>
      <c r="R431" s="116"/>
      <c r="S431" s="115"/>
      <c r="T431" s="116"/>
      <c r="U431" s="115"/>
      <c r="V431" s="116"/>
      <c r="W431" s="117"/>
      <c r="X431" s="118"/>
    </row>
    <row r="432" spans="1:24" hidden="1" x14ac:dyDescent="0.25">
      <c r="A432" s="117"/>
      <c r="B432" s="118"/>
      <c r="C432" s="117"/>
      <c r="D432" s="118"/>
      <c r="E432" s="117"/>
      <c r="F432" s="118"/>
      <c r="G432" s="115"/>
      <c r="H432" s="116"/>
      <c r="I432" s="115"/>
      <c r="J432" s="116"/>
      <c r="K432" s="115"/>
      <c r="L432" s="116"/>
      <c r="M432" s="115"/>
      <c r="N432" s="116"/>
      <c r="O432" s="115"/>
      <c r="P432" s="116"/>
      <c r="Q432" s="115"/>
      <c r="R432" s="116"/>
      <c r="S432" s="115"/>
      <c r="T432" s="116"/>
      <c r="U432" s="115"/>
      <c r="V432" s="116"/>
      <c r="W432" s="117"/>
      <c r="X432" s="118"/>
    </row>
    <row r="433" spans="1:24" hidden="1" x14ac:dyDescent="0.25">
      <c r="A433" s="117"/>
      <c r="B433" s="118"/>
      <c r="C433" s="117"/>
      <c r="D433" s="118"/>
      <c r="E433" s="117"/>
      <c r="F433" s="118"/>
      <c r="G433" s="115"/>
      <c r="H433" s="116"/>
      <c r="I433" s="115"/>
      <c r="J433" s="116"/>
      <c r="K433" s="115"/>
      <c r="L433" s="116"/>
      <c r="M433" s="115"/>
      <c r="N433" s="116"/>
      <c r="O433" s="115"/>
      <c r="P433" s="116"/>
      <c r="Q433" s="115"/>
      <c r="R433" s="116"/>
      <c r="S433" s="115"/>
      <c r="T433" s="116"/>
      <c r="U433" s="115"/>
      <c r="V433" s="116"/>
      <c r="W433" s="117"/>
      <c r="X433" s="118"/>
    </row>
    <row r="434" spans="1:24" hidden="1" x14ac:dyDescent="0.25">
      <c r="A434" s="117"/>
      <c r="B434" s="118"/>
      <c r="C434" s="117"/>
      <c r="D434" s="118"/>
      <c r="E434" s="117"/>
      <c r="F434" s="118"/>
      <c r="G434" s="115"/>
      <c r="H434" s="116"/>
      <c r="I434" s="115"/>
      <c r="J434" s="116"/>
      <c r="K434" s="115"/>
      <c r="L434" s="116"/>
      <c r="M434" s="115"/>
      <c r="N434" s="116"/>
      <c r="O434" s="115"/>
      <c r="P434" s="116"/>
      <c r="Q434" s="115"/>
      <c r="R434" s="116"/>
      <c r="S434" s="115"/>
      <c r="T434" s="116"/>
      <c r="U434" s="115"/>
      <c r="V434" s="116"/>
      <c r="W434" s="117"/>
      <c r="X434" s="118"/>
    </row>
    <row r="435" spans="1:24" hidden="1" x14ac:dyDescent="0.25">
      <c r="A435" s="117"/>
      <c r="B435" s="118"/>
      <c r="C435" s="117"/>
      <c r="D435" s="118"/>
      <c r="E435" s="117"/>
      <c r="F435" s="118"/>
      <c r="G435" s="115"/>
      <c r="H435" s="116"/>
      <c r="I435" s="115"/>
      <c r="J435" s="116"/>
      <c r="K435" s="115"/>
      <c r="L435" s="116"/>
      <c r="M435" s="115"/>
      <c r="N435" s="116"/>
      <c r="O435" s="115"/>
      <c r="P435" s="116"/>
      <c r="Q435" s="115"/>
      <c r="R435" s="116"/>
      <c r="S435" s="115"/>
      <c r="T435" s="116"/>
      <c r="U435" s="115"/>
      <c r="V435" s="116"/>
      <c r="W435" s="117"/>
      <c r="X435" s="118"/>
    </row>
    <row r="436" spans="1:24" hidden="1" x14ac:dyDescent="0.25">
      <c r="A436" s="117"/>
      <c r="B436" s="118"/>
      <c r="C436" s="117"/>
      <c r="D436" s="118"/>
      <c r="E436" s="117"/>
      <c r="F436" s="118"/>
      <c r="G436" s="115"/>
      <c r="H436" s="116"/>
      <c r="I436" s="115"/>
      <c r="J436" s="116"/>
      <c r="K436" s="115"/>
      <c r="L436" s="116"/>
      <c r="M436" s="115"/>
      <c r="N436" s="116"/>
      <c r="O436" s="115"/>
      <c r="P436" s="116"/>
      <c r="Q436" s="115"/>
      <c r="R436" s="116"/>
      <c r="S436" s="115"/>
      <c r="T436" s="116"/>
      <c r="U436" s="115"/>
      <c r="V436" s="116"/>
      <c r="W436" s="117"/>
      <c r="X436" s="118"/>
    </row>
    <row r="437" spans="1:24" hidden="1" x14ac:dyDescent="0.25">
      <c r="A437" s="117"/>
      <c r="B437" s="118"/>
      <c r="C437" s="117"/>
      <c r="D437" s="118"/>
      <c r="E437" s="117"/>
      <c r="F437" s="118"/>
      <c r="G437" s="115"/>
      <c r="H437" s="116"/>
      <c r="I437" s="115"/>
      <c r="J437" s="116"/>
      <c r="K437" s="115"/>
      <c r="L437" s="116"/>
      <c r="M437" s="115"/>
      <c r="N437" s="116"/>
      <c r="O437" s="115"/>
      <c r="P437" s="116"/>
      <c r="Q437" s="115"/>
      <c r="R437" s="116"/>
      <c r="S437" s="115"/>
      <c r="T437" s="116"/>
      <c r="U437" s="115"/>
      <c r="V437" s="116"/>
      <c r="W437" s="117"/>
      <c r="X437" s="118"/>
    </row>
    <row r="438" spans="1:24" hidden="1" x14ac:dyDescent="0.25">
      <c r="A438" s="117"/>
      <c r="B438" s="118"/>
      <c r="C438" s="117"/>
      <c r="D438" s="118"/>
      <c r="E438" s="117"/>
      <c r="F438" s="118"/>
      <c r="G438" s="115"/>
      <c r="H438" s="116"/>
      <c r="I438" s="115"/>
      <c r="J438" s="116"/>
      <c r="K438" s="115"/>
      <c r="L438" s="116"/>
      <c r="M438" s="115"/>
      <c r="N438" s="116"/>
      <c r="O438" s="115"/>
      <c r="P438" s="116"/>
      <c r="Q438" s="115"/>
      <c r="R438" s="116"/>
      <c r="S438" s="115"/>
      <c r="T438" s="116"/>
      <c r="U438" s="115"/>
      <c r="V438" s="116"/>
      <c r="W438" s="117"/>
      <c r="X438" s="118"/>
    </row>
    <row r="439" spans="1:24" hidden="1" x14ac:dyDescent="0.25">
      <c r="A439" s="117"/>
      <c r="B439" s="118"/>
      <c r="C439" s="117"/>
      <c r="D439" s="118"/>
      <c r="E439" s="117"/>
      <c r="F439" s="118"/>
      <c r="G439" s="115"/>
      <c r="H439" s="116"/>
      <c r="I439" s="115"/>
      <c r="J439" s="116"/>
      <c r="K439" s="115"/>
      <c r="L439" s="116"/>
      <c r="M439" s="115"/>
      <c r="N439" s="116"/>
      <c r="O439" s="115"/>
      <c r="P439" s="116"/>
      <c r="Q439" s="115"/>
      <c r="R439" s="116"/>
      <c r="S439" s="115"/>
      <c r="T439" s="116"/>
      <c r="U439" s="115"/>
      <c r="V439" s="116"/>
      <c r="W439" s="117"/>
      <c r="X439" s="118"/>
    </row>
    <row r="440" spans="1:24" hidden="1" x14ac:dyDescent="0.25">
      <c r="A440" s="117"/>
      <c r="B440" s="118"/>
      <c r="C440" s="117"/>
      <c r="D440" s="118"/>
      <c r="E440" s="117"/>
      <c r="F440" s="118"/>
      <c r="G440" s="115"/>
      <c r="H440" s="116"/>
      <c r="I440" s="115"/>
      <c r="J440" s="116"/>
      <c r="K440" s="115"/>
      <c r="L440" s="116"/>
      <c r="M440" s="115"/>
      <c r="N440" s="116"/>
      <c r="O440" s="115"/>
      <c r="P440" s="116"/>
      <c r="Q440" s="115"/>
      <c r="R440" s="116"/>
      <c r="S440" s="115"/>
      <c r="T440" s="116"/>
      <c r="U440" s="115"/>
      <c r="V440" s="116"/>
      <c r="W440" s="117"/>
      <c r="X440" s="118"/>
    </row>
    <row r="441" spans="1:24" hidden="1" x14ac:dyDescent="0.25">
      <c r="A441" s="117"/>
      <c r="B441" s="118"/>
      <c r="C441" s="117"/>
      <c r="D441" s="118"/>
      <c r="E441" s="117"/>
      <c r="F441" s="118"/>
      <c r="G441" s="115"/>
      <c r="H441" s="116"/>
      <c r="I441" s="115"/>
      <c r="J441" s="116"/>
      <c r="K441" s="115"/>
      <c r="L441" s="116"/>
      <c r="M441" s="115"/>
      <c r="N441" s="116"/>
      <c r="O441" s="115"/>
      <c r="P441" s="116"/>
      <c r="Q441" s="115"/>
      <c r="R441" s="116"/>
      <c r="S441" s="115"/>
      <c r="T441" s="116"/>
      <c r="U441" s="115"/>
      <c r="V441" s="116"/>
      <c r="W441" s="117"/>
      <c r="X441" s="118"/>
    </row>
    <row r="442" spans="1:24" hidden="1" x14ac:dyDescent="0.25">
      <c r="A442" s="117"/>
      <c r="B442" s="118"/>
      <c r="C442" s="117"/>
      <c r="D442" s="118"/>
      <c r="E442" s="117"/>
      <c r="F442" s="118"/>
      <c r="G442" s="115"/>
      <c r="H442" s="116"/>
      <c r="I442" s="115"/>
      <c r="J442" s="116"/>
      <c r="K442" s="115"/>
      <c r="L442" s="116"/>
      <c r="M442" s="115"/>
      <c r="N442" s="116"/>
      <c r="O442" s="115"/>
      <c r="P442" s="116"/>
      <c r="Q442" s="115"/>
      <c r="R442" s="116"/>
      <c r="S442" s="115"/>
      <c r="T442" s="116"/>
      <c r="U442" s="115"/>
      <c r="V442" s="116"/>
      <c r="W442" s="117"/>
      <c r="X442" s="118"/>
    </row>
    <row r="443" spans="1:24" hidden="1" x14ac:dyDescent="0.25">
      <c r="A443" s="117"/>
      <c r="B443" s="118"/>
      <c r="C443" s="117"/>
      <c r="D443" s="118"/>
      <c r="E443" s="117"/>
      <c r="F443" s="118"/>
      <c r="G443" s="115"/>
      <c r="H443" s="116"/>
      <c r="I443" s="115"/>
      <c r="J443" s="116"/>
      <c r="K443" s="115"/>
      <c r="L443" s="116"/>
      <c r="M443" s="115"/>
      <c r="N443" s="116"/>
      <c r="O443" s="115"/>
      <c r="P443" s="116"/>
      <c r="Q443" s="115"/>
      <c r="R443" s="116"/>
      <c r="S443" s="115"/>
      <c r="T443" s="116"/>
      <c r="U443" s="115"/>
      <c r="V443" s="116"/>
      <c r="W443" s="117"/>
      <c r="X443" s="118"/>
    </row>
    <row r="444" spans="1:24" hidden="1" x14ac:dyDescent="0.25">
      <c r="A444" s="117"/>
      <c r="B444" s="118"/>
      <c r="C444" s="117"/>
      <c r="D444" s="118"/>
      <c r="E444" s="117"/>
      <c r="F444" s="118"/>
      <c r="G444" s="115"/>
      <c r="H444" s="116"/>
      <c r="I444" s="115"/>
      <c r="J444" s="116"/>
      <c r="K444" s="115"/>
      <c r="L444" s="116"/>
      <c r="M444" s="115"/>
      <c r="N444" s="116"/>
      <c r="O444" s="115"/>
      <c r="P444" s="116"/>
      <c r="Q444" s="115"/>
      <c r="R444" s="116"/>
      <c r="S444" s="115"/>
      <c r="T444" s="116"/>
      <c r="U444" s="115"/>
      <c r="V444" s="116"/>
      <c r="W444" s="117"/>
      <c r="X444" s="118"/>
    </row>
    <row r="445" spans="1:24" hidden="1" x14ac:dyDescent="0.25">
      <c r="A445" s="117"/>
      <c r="B445" s="118"/>
      <c r="C445" s="117"/>
      <c r="D445" s="118"/>
      <c r="E445" s="117"/>
      <c r="F445" s="118"/>
      <c r="G445" s="115"/>
      <c r="H445" s="116"/>
      <c r="I445" s="115"/>
      <c r="J445" s="116"/>
      <c r="K445" s="115"/>
      <c r="L445" s="116"/>
      <c r="M445" s="115"/>
      <c r="N445" s="116"/>
      <c r="O445" s="115"/>
      <c r="P445" s="116"/>
      <c r="Q445" s="115"/>
      <c r="R445" s="116"/>
      <c r="S445" s="115"/>
      <c r="T445" s="116"/>
      <c r="U445" s="115"/>
      <c r="V445" s="116"/>
      <c r="W445" s="117"/>
      <c r="X445" s="118"/>
    </row>
    <row r="446" spans="1:24" hidden="1" x14ac:dyDescent="0.25">
      <c r="A446" s="117"/>
      <c r="B446" s="118"/>
      <c r="C446" s="117"/>
      <c r="D446" s="118"/>
      <c r="E446" s="117"/>
      <c r="F446" s="118"/>
      <c r="G446" s="115"/>
      <c r="H446" s="116"/>
      <c r="I446" s="115"/>
      <c r="J446" s="116"/>
      <c r="K446" s="115"/>
      <c r="L446" s="116"/>
      <c r="M446" s="115"/>
      <c r="N446" s="116"/>
      <c r="O446" s="115"/>
      <c r="P446" s="116"/>
      <c r="Q446" s="115"/>
      <c r="R446" s="116"/>
      <c r="S446" s="115"/>
      <c r="T446" s="116"/>
      <c r="U446" s="115"/>
      <c r="V446" s="116"/>
      <c r="W446" s="117"/>
      <c r="X446" s="118"/>
    </row>
    <row r="447" spans="1:24" hidden="1" x14ac:dyDescent="0.25">
      <c r="A447" s="117"/>
      <c r="B447" s="118"/>
      <c r="C447" s="117"/>
      <c r="D447" s="118"/>
      <c r="E447" s="117"/>
      <c r="F447" s="118"/>
      <c r="G447" s="115"/>
      <c r="H447" s="116"/>
      <c r="I447" s="115"/>
      <c r="J447" s="116"/>
      <c r="K447" s="115"/>
      <c r="L447" s="116"/>
      <c r="M447" s="115"/>
      <c r="N447" s="116"/>
      <c r="O447" s="115"/>
      <c r="P447" s="116"/>
      <c r="Q447" s="115"/>
      <c r="R447" s="116"/>
      <c r="S447" s="115"/>
      <c r="T447" s="116"/>
      <c r="U447" s="115"/>
      <c r="V447" s="116"/>
      <c r="W447" s="117"/>
      <c r="X447" s="118"/>
    </row>
    <row r="448" spans="1:24" hidden="1" x14ac:dyDescent="0.25">
      <c r="A448" s="117"/>
      <c r="B448" s="118"/>
      <c r="C448" s="117"/>
      <c r="D448" s="118"/>
      <c r="E448" s="117"/>
      <c r="F448" s="118"/>
      <c r="G448" s="115"/>
      <c r="H448" s="116"/>
      <c r="I448" s="115"/>
      <c r="J448" s="116"/>
      <c r="K448" s="115"/>
      <c r="L448" s="116"/>
      <c r="M448" s="115"/>
      <c r="N448" s="116"/>
      <c r="O448" s="115"/>
      <c r="P448" s="116"/>
      <c r="Q448" s="115"/>
      <c r="R448" s="116"/>
      <c r="S448" s="115"/>
      <c r="T448" s="116"/>
      <c r="U448" s="115"/>
      <c r="V448" s="116"/>
      <c r="W448" s="117"/>
      <c r="X448" s="118"/>
    </row>
    <row r="449" spans="1:24" hidden="1" x14ac:dyDescent="0.25">
      <c r="A449" s="117"/>
      <c r="B449" s="118"/>
      <c r="C449" s="117"/>
      <c r="D449" s="118"/>
      <c r="E449" s="117"/>
      <c r="F449" s="118"/>
      <c r="G449" s="115"/>
      <c r="H449" s="116"/>
      <c r="I449" s="115"/>
      <c r="J449" s="116"/>
      <c r="K449" s="115"/>
      <c r="L449" s="116"/>
      <c r="M449" s="115"/>
      <c r="N449" s="116"/>
      <c r="O449" s="115"/>
      <c r="P449" s="116"/>
      <c r="Q449" s="115"/>
      <c r="R449" s="116"/>
      <c r="S449" s="115"/>
      <c r="T449" s="116"/>
      <c r="U449" s="115"/>
      <c r="V449" s="116"/>
      <c r="W449" s="117"/>
      <c r="X449" s="118"/>
    </row>
    <row r="450" spans="1:24" hidden="1" x14ac:dyDescent="0.25">
      <c r="A450" s="117"/>
      <c r="B450" s="118"/>
      <c r="C450" s="117"/>
      <c r="D450" s="118"/>
      <c r="E450" s="117"/>
      <c r="F450" s="118"/>
      <c r="G450" s="115"/>
      <c r="H450" s="116"/>
      <c r="I450" s="115"/>
      <c r="J450" s="116"/>
      <c r="K450" s="115"/>
      <c r="L450" s="116"/>
      <c r="M450" s="115"/>
      <c r="N450" s="116"/>
      <c r="O450" s="115"/>
      <c r="P450" s="116"/>
      <c r="Q450" s="115"/>
      <c r="R450" s="116"/>
      <c r="S450" s="115"/>
      <c r="T450" s="116"/>
      <c r="U450" s="115"/>
      <c r="V450" s="116"/>
      <c r="W450" s="117"/>
      <c r="X450" s="118"/>
    </row>
    <row r="451" spans="1:24" hidden="1" x14ac:dyDescent="0.25">
      <c r="A451" s="117"/>
      <c r="B451" s="118"/>
      <c r="C451" s="117"/>
      <c r="D451" s="118"/>
      <c r="E451" s="117"/>
      <c r="F451" s="118"/>
      <c r="G451" s="115"/>
      <c r="H451" s="116"/>
      <c r="I451" s="115"/>
      <c r="J451" s="116"/>
      <c r="K451" s="115"/>
      <c r="L451" s="116"/>
      <c r="M451" s="115"/>
      <c r="N451" s="116"/>
      <c r="O451" s="115"/>
      <c r="P451" s="116"/>
      <c r="Q451" s="115"/>
      <c r="R451" s="116"/>
      <c r="S451" s="115"/>
      <c r="T451" s="116"/>
      <c r="U451" s="115"/>
      <c r="V451" s="116"/>
      <c r="W451" s="117"/>
      <c r="X451" s="118"/>
    </row>
    <row r="452" spans="1:24" hidden="1" x14ac:dyDescent="0.25">
      <c r="A452" s="117"/>
      <c r="B452" s="118"/>
      <c r="C452" s="117"/>
      <c r="D452" s="118"/>
      <c r="E452" s="117"/>
      <c r="F452" s="118"/>
      <c r="G452" s="115"/>
      <c r="H452" s="116"/>
      <c r="I452" s="115"/>
      <c r="J452" s="116"/>
      <c r="K452" s="115"/>
      <c r="L452" s="116"/>
      <c r="M452" s="115"/>
      <c r="N452" s="116"/>
      <c r="O452" s="115"/>
      <c r="P452" s="116"/>
      <c r="Q452" s="115"/>
      <c r="R452" s="116"/>
      <c r="S452" s="115"/>
      <c r="T452" s="116"/>
      <c r="U452" s="115"/>
      <c r="V452" s="116"/>
      <c r="W452" s="117"/>
      <c r="X452" s="118"/>
    </row>
    <row r="453" spans="1:24" hidden="1" x14ac:dyDescent="0.25">
      <c r="A453" s="117"/>
      <c r="B453" s="118"/>
      <c r="C453" s="117"/>
      <c r="D453" s="118"/>
      <c r="E453" s="117"/>
      <c r="F453" s="118"/>
      <c r="G453" s="115"/>
      <c r="H453" s="116"/>
      <c r="I453" s="115"/>
      <c r="J453" s="116"/>
      <c r="K453" s="115"/>
      <c r="L453" s="116"/>
      <c r="M453" s="115"/>
      <c r="N453" s="116"/>
      <c r="O453" s="115"/>
      <c r="P453" s="116"/>
      <c r="Q453" s="115"/>
      <c r="R453" s="116"/>
      <c r="S453" s="115"/>
      <c r="T453" s="116"/>
      <c r="U453" s="115"/>
      <c r="V453" s="116"/>
      <c r="W453" s="117"/>
      <c r="X453" s="118"/>
    </row>
    <row r="454" spans="1:24" hidden="1" x14ac:dyDescent="0.25">
      <c r="A454" s="117"/>
      <c r="B454" s="118"/>
      <c r="C454" s="117"/>
      <c r="D454" s="118"/>
      <c r="E454" s="117"/>
      <c r="F454" s="118"/>
      <c r="G454" s="115"/>
      <c r="H454" s="116"/>
      <c r="I454" s="115"/>
      <c r="J454" s="116"/>
      <c r="K454" s="115"/>
      <c r="L454" s="116"/>
      <c r="M454" s="115"/>
      <c r="N454" s="116"/>
      <c r="O454" s="115"/>
      <c r="P454" s="116"/>
      <c r="Q454" s="115"/>
      <c r="R454" s="116"/>
      <c r="S454" s="115"/>
      <c r="T454" s="116"/>
      <c r="U454" s="115"/>
      <c r="V454" s="116"/>
      <c r="W454" s="117"/>
      <c r="X454" s="118"/>
    </row>
    <row r="455" spans="1:24" hidden="1" x14ac:dyDescent="0.25">
      <c r="A455" s="117"/>
      <c r="B455" s="118"/>
      <c r="C455" s="117"/>
      <c r="D455" s="118"/>
      <c r="E455" s="117"/>
      <c r="F455" s="118"/>
      <c r="G455" s="115"/>
      <c r="H455" s="116"/>
      <c r="I455" s="115"/>
      <c r="J455" s="116"/>
      <c r="K455" s="115"/>
      <c r="L455" s="116"/>
      <c r="M455" s="115"/>
      <c r="N455" s="116"/>
      <c r="O455" s="115"/>
      <c r="P455" s="116"/>
      <c r="Q455" s="115"/>
      <c r="R455" s="116"/>
      <c r="S455" s="115"/>
      <c r="T455" s="116"/>
      <c r="U455" s="115"/>
      <c r="V455" s="116"/>
      <c r="W455" s="117"/>
      <c r="X455" s="118"/>
    </row>
    <row r="456" spans="1:24" hidden="1" x14ac:dyDescent="0.25">
      <c r="A456" s="117"/>
      <c r="B456" s="118"/>
      <c r="C456" s="117"/>
      <c r="D456" s="118"/>
      <c r="E456" s="117"/>
      <c r="F456" s="118"/>
      <c r="G456" s="115"/>
      <c r="H456" s="116"/>
      <c r="I456" s="115"/>
      <c r="J456" s="116"/>
      <c r="K456" s="115"/>
      <c r="L456" s="116"/>
      <c r="M456" s="115"/>
      <c r="N456" s="116"/>
      <c r="O456" s="115"/>
      <c r="P456" s="116"/>
      <c r="Q456" s="115"/>
      <c r="R456" s="116"/>
      <c r="S456" s="115"/>
      <c r="T456" s="116"/>
      <c r="U456" s="115"/>
      <c r="V456" s="116"/>
      <c r="W456" s="117"/>
      <c r="X456" s="118"/>
    </row>
    <row r="457" spans="1:24" hidden="1" x14ac:dyDescent="0.25">
      <c r="A457" s="117"/>
      <c r="B457" s="118"/>
      <c r="C457" s="117"/>
      <c r="D457" s="118"/>
      <c r="E457" s="117"/>
      <c r="F457" s="118"/>
      <c r="G457" s="115"/>
      <c r="H457" s="116"/>
      <c r="I457" s="115"/>
      <c r="J457" s="116"/>
      <c r="K457" s="115"/>
      <c r="L457" s="116"/>
      <c r="M457" s="115"/>
      <c r="N457" s="116"/>
      <c r="O457" s="115"/>
      <c r="P457" s="116"/>
      <c r="Q457" s="115"/>
      <c r="R457" s="116"/>
      <c r="S457" s="115"/>
      <c r="T457" s="116"/>
      <c r="U457" s="115"/>
      <c r="V457" s="116"/>
      <c r="W457" s="117"/>
      <c r="X457" s="118"/>
    </row>
    <row r="458" spans="1:24" hidden="1" x14ac:dyDescent="0.25">
      <c r="A458" s="117"/>
      <c r="B458" s="118"/>
      <c r="C458" s="117"/>
      <c r="D458" s="118"/>
      <c r="E458" s="117"/>
      <c r="F458" s="118"/>
      <c r="G458" s="115"/>
      <c r="H458" s="116"/>
      <c r="I458" s="115"/>
      <c r="J458" s="116"/>
      <c r="K458" s="115"/>
      <c r="L458" s="116"/>
      <c r="M458" s="115"/>
      <c r="N458" s="116"/>
      <c r="O458" s="115"/>
      <c r="P458" s="116"/>
      <c r="Q458" s="115"/>
      <c r="R458" s="116"/>
      <c r="S458" s="115"/>
      <c r="T458" s="116"/>
      <c r="U458" s="115"/>
      <c r="V458" s="116"/>
      <c r="W458" s="117"/>
      <c r="X458" s="118"/>
    </row>
    <row r="459" spans="1:24" hidden="1" x14ac:dyDescent="0.25">
      <c r="A459" s="117"/>
      <c r="B459" s="118"/>
      <c r="C459" s="117"/>
      <c r="D459" s="118"/>
      <c r="E459" s="117"/>
      <c r="F459" s="118"/>
      <c r="G459" s="115"/>
      <c r="H459" s="116"/>
      <c r="I459" s="115"/>
      <c r="J459" s="116"/>
      <c r="K459" s="115"/>
      <c r="L459" s="116"/>
      <c r="M459" s="115"/>
      <c r="N459" s="116"/>
      <c r="O459" s="115"/>
      <c r="P459" s="116"/>
      <c r="Q459" s="115"/>
      <c r="R459" s="116"/>
      <c r="S459" s="115"/>
      <c r="T459" s="116"/>
      <c r="U459" s="115"/>
      <c r="V459" s="116"/>
      <c r="W459" s="117"/>
      <c r="X459" s="118"/>
    </row>
    <row r="460" spans="1:24" hidden="1" x14ac:dyDescent="0.25">
      <c r="A460" s="117"/>
      <c r="B460" s="118"/>
      <c r="C460" s="117"/>
      <c r="D460" s="118"/>
      <c r="E460" s="117"/>
      <c r="F460" s="118"/>
      <c r="G460" s="115"/>
      <c r="H460" s="116"/>
      <c r="I460" s="115"/>
      <c r="J460" s="116"/>
      <c r="K460" s="115"/>
      <c r="L460" s="116"/>
      <c r="M460" s="115"/>
      <c r="N460" s="116"/>
      <c r="O460" s="115"/>
      <c r="P460" s="116"/>
      <c r="Q460" s="115"/>
      <c r="R460" s="116"/>
      <c r="S460" s="115"/>
      <c r="T460" s="116"/>
      <c r="U460" s="115"/>
      <c r="V460" s="116"/>
      <c r="W460" s="117"/>
      <c r="X460" s="118"/>
    </row>
    <row r="461" spans="1:24" hidden="1" x14ac:dyDescent="0.25">
      <c r="A461" s="117"/>
      <c r="B461" s="118"/>
      <c r="C461" s="117"/>
      <c r="D461" s="118"/>
      <c r="E461" s="117"/>
      <c r="F461" s="118"/>
      <c r="G461" s="115"/>
      <c r="H461" s="116"/>
      <c r="I461" s="115"/>
      <c r="J461" s="116"/>
      <c r="K461" s="115"/>
      <c r="L461" s="116"/>
      <c r="M461" s="115"/>
      <c r="N461" s="116"/>
      <c r="O461" s="115"/>
      <c r="P461" s="116"/>
      <c r="Q461" s="115"/>
      <c r="R461" s="116"/>
      <c r="S461" s="115"/>
      <c r="T461" s="116"/>
      <c r="U461" s="115"/>
      <c r="V461" s="116"/>
      <c r="W461" s="117"/>
      <c r="X461" s="118"/>
    </row>
    <row r="462" spans="1:24" hidden="1" x14ac:dyDescent="0.25">
      <c r="A462" s="117"/>
      <c r="B462" s="118"/>
      <c r="C462" s="117"/>
      <c r="D462" s="118"/>
      <c r="E462" s="117"/>
      <c r="F462" s="118"/>
      <c r="G462" s="115"/>
      <c r="H462" s="116"/>
      <c r="I462" s="115"/>
      <c r="J462" s="116"/>
      <c r="K462" s="115"/>
      <c r="L462" s="116"/>
      <c r="M462" s="115"/>
      <c r="N462" s="116"/>
      <c r="O462" s="115"/>
      <c r="P462" s="116"/>
      <c r="Q462" s="115"/>
      <c r="R462" s="116"/>
      <c r="S462" s="115"/>
      <c r="T462" s="116"/>
      <c r="U462" s="115"/>
      <c r="V462" s="116"/>
      <c r="W462" s="117"/>
      <c r="X462" s="118"/>
    </row>
    <row r="463" spans="1:24" hidden="1" x14ac:dyDescent="0.25">
      <c r="A463" s="117"/>
      <c r="B463" s="118"/>
      <c r="C463" s="117"/>
      <c r="D463" s="118"/>
      <c r="E463" s="117"/>
      <c r="F463" s="118"/>
      <c r="G463" s="115"/>
      <c r="H463" s="116"/>
      <c r="I463" s="115"/>
      <c r="J463" s="116"/>
      <c r="K463" s="115"/>
      <c r="L463" s="116"/>
      <c r="M463" s="115"/>
      <c r="N463" s="116"/>
      <c r="O463" s="115"/>
      <c r="P463" s="116"/>
      <c r="Q463" s="115"/>
      <c r="R463" s="116"/>
      <c r="S463" s="115"/>
      <c r="T463" s="116"/>
      <c r="U463" s="115"/>
      <c r="V463" s="116"/>
      <c r="W463" s="117"/>
      <c r="X463" s="118"/>
    </row>
    <row r="464" spans="1:24" hidden="1" x14ac:dyDescent="0.25">
      <c r="A464" s="117"/>
      <c r="B464" s="118"/>
      <c r="C464" s="117"/>
      <c r="D464" s="118"/>
      <c r="E464" s="117"/>
      <c r="F464" s="118"/>
      <c r="G464" s="115"/>
      <c r="H464" s="116"/>
      <c r="I464" s="115"/>
      <c r="J464" s="116"/>
      <c r="K464" s="115"/>
      <c r="L464" s="116"/>
      <c r="M464" s="115"/>
      <c r="N464" s="116"/>
      <c r="O464" s="115"/>
      <c r="P464" s="116"/>
      <c r="Q464" s="115"/>
      <c r="R464" s="116"/>
      <c r="S464" s="115"/>
      <c r="T464" s="116"/>
      <c r="U464" s="115"/>
      <c r="V464" s="116"/>
      <c r="W464" s="117"/>
      <c r="X464" s="118"/>
    </row>
    <row r="465" spans="1:24" hidden="1" x14ac:dyDescent="0.25">
      <c r="A465" s="117"/>
      <c r="B465" s="118"/>
      <c r="C465" s="117"/>
      <c r="D465" s="118"/>
      <c r="E465" s="117"/>
      <c r="F465" s="118"/>
      <c r="G465" s="115"/>
      <c r="H465" s="116"/>
      <c r="I465" s="115"/>
      <c r="J465" s="116"/>
      <c r="K465" s="115"/>
      <c r="L465" s="116"/>
      <c r="M465" s="115"/>
      <c r="N465" s="116"/>
      <c r="O465" s="115"/>
      <c r="P465" s="116"/>
      <c r="Q465" s="115"/>
      <c r="R465" s="116"/>
      <c r="S465" s="115"/>
      <c r="T465" s="116"/>
      <c r="U465" s="115"/>
      <c r="V465" s="116"/>
      <c r="W465" s="117"/>
      <c r="X465" s="118"/>
    </row>
    <row r="466" spans="1:24" hidden="1" x14ac:dyDescent="0.25">
      <c r="A466" s="117"/>
      <c r="B466" s="118"/>
      <c r="C466" s="117"/>
      <c r="D466" s="118"/>
      <c r="E466" s="117"/>
      <c r="F466" s="118"/>
      <c r="G466" s="115"/>
      <c r="H466" s="116"/>
      <c r="I466" s="115"/>
      <c r="J466" s="116"/>
      <c r="K466" s="115"/>
      <c r="L466" s="116"/>
      <c r="M466" s="115"/>
      <c r="N466" s="116"/>
      <c r="O466" s="115"/>
      <c r="P466" s="116"/>
      <c r="Q466" s="115"/>
      <c r="R466" s="116"/>
      <c r="S466" s="115"/>
      <c r="T466" s="116"/>
      <c r="U466" s="115"/>
      <c r="V466" s="116"/>
      <c r="W466" s="117"/>
      <c r="X466" s="118"/>
    </row>
    <row r="467" spans="1:24" hidden="1" x14ac:dyDescent="0.25">
      <c r="A467" s="117"/>
      <c r="B467" s="118"/>
      <c r="C467" s="117"/>
      <c r="D467" s="118"/>
      <c r="E467" s="117"/>
      <c r="F467" s="118"/>
      <c r="G467" s="115"/>
      <c r="H467" s="116"/>
      <c r="I467" s="115"/>
      <c r="J467" s="116"/>
      <c r="K467" s="115"/>
      <c r="L467" s="116"/>
      <c r="M467" s="115"/>
      <c r="N467" s="116"/>
      <c r="O467" s="115"/>
      <c r="P467" s="116"/>
      <c r="Q467" s="115"/>
      <c r="R467" s="116"/>
      <c r="S467" s="115"/>
      <c r="T467" s="116"/>
      <c r="U467" s="115"/>
      <c r="V467" s="116"/>
      <c r="W467" s="117"/>
      <c r="X467" s="118"/>
    </row>
    <row r="468" spans="1:24" hidden="1" x14ac:dyDescent="0.25">
      <c r="A468" s="117"/>
      <c r="B468" s="118"/>
      <c r="C468" s="117"/>
      <c r="D468" s="118"/>
      <c r="E468" s="117"/>
      <c r="F468" s="118"/>
      <c r="G468" s="115"/>
      <c r="H468" s="116"/>
      <c r="I468" s="115"/>
      <c r="J468" s="116"/>
      <c r="K468" s="115"/>
      <c r="L468" s="116"/>
      <c r="M468" s="115"/>
      <c r="N468" s="116"/>
      <c r="O468" s="115"/>
      <c r="P468" s="116"/>
      <c r="Q468" s="115"/>
      <c r="R468" s="116"/>
      <c r="S468" s="115"/>
      <c r="T468" s="116"/>
      <c r="U468" s="115"/>
      <c r="V468" s="116"/>
      <c r="W468" s="117"/>
      <c r="X468" s="118"/>
    </row>
    <row r="469" spans="1:24" hidden="1" x14ac:dyDescent="0.25">
      <c r="A469" s="117"/>
      <c r="B469" s="118"/>
      <c r="C469" s="117"/>
      <c r="D469" s="118"/>
      <c r="E469" s="117"/>
      <c r="F469" s="118"/>
      <c r="G469" s="115"/>
      <c r="H469" s="116"/>
      <c r="I469" s="115"/>
      <c r="J469" s="116"/>
      <c r="K469" s="115"/>
      <c r="L469" s="116"/>
      <c r="M469" s="115"/>
      <c r="N469" s="116"/>
      <c r="O469" s="115"/>
      <c r="P469" s="116"/>
      <c r="Q469" s="115"/>
      <c r="R469" s="116"/>
      <c r="S469" s="115"/>
      <c r="T469" s="116"/>
      <c r="U469" s="115"/>
      <c r="V469" s="116"/>
      <c r="W469" s="117"/>
      <c r="X469" s="118"/>
    </row>
    <row r="470" spans="1:24" hidden="1" x14ac:dyDescent="0.25">
      <c r="A470" s="117"/>
      <c r="B470" s="118"/>
      <c r="C470" s="117"/>
      <c r="D470" s="118"/>
      <c r="E470" s="117"/>
      <c r="F470" s="118"/>
      <c r="G470" s="115"/>
      <c r="H470" s="116"/>
      <c r="I470" s="115"/>
      <c r="J470" s="116"/>
      <c r="K470" s="115"/>
      <c r="L470" s="116"/>
      <c r="M470" s="115"/>
      <c r="N470" s="116"/>
      <c r="O470" s="115"/>
      <c r="P470" s="116"/>
      <c r="Q470" s="115"/>
      <c r="R470" s="116"/>
      <c r="S470" s="115"/>
      <c r="T470" s="116"/>
      <c r="U470" s="115"/>
      <c r="V470" s="116"/>
      <c r="W470" s="117"/>
      <c r="X470" s="118"/>
    </row>
    <row r="471" spans="1:24" hidden="1" x14ac:dyDescent="0.25">
      <c r="A471" s="117"/>
      <c r="B471" s="118"/>
      <c r="C471" s="117"/>
      <c r="D471" s="118"/>
      <c r="E471" s="117"/>
      <c r="F471" s="118"/>
      <c r="G471" s="115"/>
      <c r="H471" s="116"/>
      <c r="I471" s="115"/>
      <c r="J471" s="116"/>
      <c r="K471" s="115"/>
      <c r="L471" s="116"/>
      <c r="M471" s="115"/>
      <c r="N471" s="116"/>
      <c r="O471" s="115"/>
      <c r="P471" s="116"/>
      <c r="Q471" s="115"/>
      <c r="R471" s="116"/>
      <c r="S471" s="115"/>
      <c r="T471" s="116"/>
      <c r="U471" s="115"/>
      <c r="V471" s="116"/>
      <c r="W471" s="117"/>
      <c r="X471" s="118"/>
    </row>
    <row r="472" spans="1:24" hidden="1" x14ac:dyDescent="0.25">
      <c r="A472" s="117"/>
      <c r="B472" s="118"/>
      <c r="C472" s="117"/>
      <c r="D472" s="118"/>
      <c r="E472" s="117"/>
      <c r="F472" s="118"/>
      <c r="G472" s="115"/>
      <c r="H472" s="116"/>
      <c r="I472" s="115"/>
      <c r="J472" s="116"/>
      <c r="K472" s="115"/>
      <c r="L472" s="116"/>
      <c r="M472" s="115"/>
      <c r="N472" s="116"/>
      <c r="O472" s="115"/>
      <c r="P472" s="116"/>
      <c r="Q472" s="115"/>
      <c r="R472" s="116"/>
      <c r="S472" s="115"/>
      <c r="T472" s="116"/>
      <c r="U472" s="115"/>
      <c r="V472" s="116"/>
      <c r="W472" s="117"/>
      <c r="X472" s="118"/>
    </row>
    <row r="473" spans="1:24" hidden="1" x14ac:dyDescent="0.25">
      <c r="A473" s="117"/>
      <c r="B473" s="118"/>
      <c r="C473" s="117"/>
      <c r="D473" s="118"/>
      <c r="E473" s="117"/>
      <c r="F473" s="118"/>
      <c r="G473" s="115"/>
      <c r="H473" s="116"/>
      <c r="I473" s="115"/>
      <c r="J473" s="116"/>
      <c r="K473" s="115"/>
      <c r="L473" s="116"/>
      <c r="M473" s="115"/>
      <c r="N473" s="116"/>
      <c r="O473" s="115"/>
      <c r="P473" s="116"/>
      <c r="Q473" s="115"/>
      <c r="R473" s="116"/>
      <c r="S473" s="115"/>
      <c r="T473" s="116"/>
      <c r="U473" s="115"/>
      <c r="V473" s="116"/>
      <c r="W473" s="117"/>
      <c r="X473" s="118"/>
    </row>
    <row r="474" spans="1:24" hidden="1" x14ac:dyDescent="0.25">
      <c r="A474" s="117"/>
      <c r="B474" s="118"/>
      <c r="C474" s="117"/>
      <c r="D474" s="118"/>
      <c r="E474" s="117"/>
      <c r="F474" s="118"/>
      <c r="G474" s="115"/>
      <c r="H474" s="116"/>
      <c r="I474" s="115"/>
      <c r="J474" s="116"/>
      <c r="K474" s="115"/>
      <c r="L474" s="116"/>
      <c r="M474" s="115"/>
      <c r="N474" s="116"/>
      <c r="O474" s="115"/>
      <c r="P474" s="116"/>
      <c r="Q474" s="115"/>
      <c r="R474" s="116"/>
      <c r="S474" s="115"/>
      <c r="T474" s="116"/>
      <c r="U474" s="115"/>
      <c r="V474" s="116"/>
      <c r="W474" s="117"/>
      <c r="X474" s="118"/>
    </row>
    <row r="475" spans="1:24" hidden="1" x14ac:dyDescent="0.25">
      <c r="A475" s="117"/>
      <c r="B475" s="118"/>
      <c r="C475" s="117"/>
      <c r="D475" s="118"/>
      <c r="E475" s="117"/>
      <c r="F475" s="118"/>
      <c r="G475" s="115"/>
      <c r="H475" s="116"/>
      <c r="I475" s="115"/>
      <c r="J475" s="116"/>
      <c r="K475" s="115"/>
      <c r="L475" s="116"/>
      <c r="M475" s="115"/>
      <c r="N475" s="116"/>
      <c r="O475" s="115"/>
      <c r="P475" s="116"/>
      <c r="Q475" s="115"/>
      <c r="R475" s="116"/>
      <c r="S475" s="115"/>
      <c r="T475" s="116"/>
      <c r="U475" s="115"/>
      <c r="V475" s="116"/>
      <c r="W475" s="117"/>
      <c r="X475" s="118"/>
    </row>
    <row r="476" spans="1:24" hidden="1" x14ac:dyDescent="0.25">
      <c r="A476" s="117"/>
      <c r="B476" s="118"/>
      <c r="C476" s="117"/>
      <c r="D476" s="118"/>
      <c r="E476" s="117"/>
      <c r="F476" s="118"/>
      <c r="G476" s="115"/>
      <c r="H476" s="116"/>
      <c r="I476" s="115"/>
      <c r="J476" s="116"/>
      <c r="K476" s="115"/>
      <c r="L476" s="116"/>
      <c r="M476" s="115"/>
      <c r="N476" s="116"/>
      <c r="O476" s="115"/>
      <c r="P476" s="116"/>
      <c r="Q476" s="115"/>
      <c r="R476" s="116"/>
      <c r="S476" s="115"/>
      <c r="T476" s="116"/>
      <c r="U476" s="115"/>
      <c r="V476" s="116"/>
      <c r="W476" s="117"/>
      <c r="X476" s="118"/>
    </row>
    <row r="477" spans="1:24" hidden="1" x14ac:dyDescent="0.25">
      <c r="A477" s="117"/>
      <c r="B477" s="118"/>
      <c r="C477" s="117"/>
      <c r="D477" s="118"/>
      <c r="E477" s="117"/>
      <c r="F477" s="118"/>
      <c r="G477" s="115"/>
      <c r="H477" s="116"/>
      <c r="I477" s="115"/>
      <c r="J477" s="116"/>
      <c r="K477" s="115"/>
      <c r="L477" s="116"/>
      <c r="M477" s="115"/>
      <c r="N477" s="116"/>
      <c r="O477" s="115"/>
      <c r="P477" s="116"/>
      <c r="Q477" s="115"/>
      <c r="R477" s="116"/>
      <c r="S477" s="115"/>
      <c r="T477" s="116"/>
      <c r="U477" s="115"/>
      <c r="V477" s="116"/>
      <c r="W477" s="117"/>
      <c r="X477" s="118"/>
    </row>
    <row r="478" spans="1:24" hidden="1" x14ac:dyDescent="0.25">
      <c r="A478" s="117"/>
      <c r="B478" s="118"/>
      <c r="C478" s="117"/>
      <c r="D478" s="118"/>
      <c r="E478" s="117"/>
      <c r="F478" s="118"/>
      <c r="G478" s="115"/>
      <c r="H478" s="116"/>
      <c r="I478" s="115"/>
      <c r="J478" s="116"/>
      <c r="K478" s="115"/>
      <c r="L478" s="116"/>
      <c r="M478" s="115"/>
      <c r="N478" s="116"/>
      <c r="O478" s="115"/>
      <c r="P478" s="116"/>
      <c r="Q478" s="115"/>
      <c r="R478" s="116"/>
      <c r="S478" s="115"/>
      <c r="T478" s="116"/>
      <c r="U478" s="115"/>
      <c r="V478" s="116"/>
      <c r="W478" s="117"/>
      <c r="X478" s="118"/>
    </row>
    <row r="479" spans="1:24" hidden="1" x14ac:dyDescent="0.25">
      <c r="A479" s="117"/>
      <c r="B479" s="118"/>
      <c r="C479" s="117"/>
      <c r="D479" s="118"/>
      <c r="E479" s="117"/>
      <c r="F479" s="118"/>
      <c r="G479" s="115"/>
      <c r="H479" s="116"/>
      <c r="I479" s="115"/>
      <c r="J479" s="116"/>
      <c r="K479" s="115"/>
      <c r="L479" s="116"/>
      <c r="M479" s="115"/>
      <c r="N479" s="116"/>
      <c r="O479" s="115"/>
      <c r="P479" s="116"/>
      <c r="Q479" s="115"/>
      <c r="R479" s="116"/>
      <c r="S479" s="115"/>
      <c r="T479" s="116"/>
      <c r="U479" s="115"/>
      <c r="V479" s="116"/>
      <c r="W479" s="117"/>
      <c r="X479" s="118"/>
    </row>
    <row r="480" spans="1:24" hidden="1" x14ac:dyDescent="0.25">
      <c r="A480" s="117"/>
      <c r="B480" s="118"/>
      <c r="C480" s="117"/>
      <c r="D480" s="118"/>
      <c r="E480" s="117"/>
      <c r="F480" s="118"/>
      <c r="G480" s="115"/>
      <c r="H480" s="116"/>
      <c r="I480" s="115"/>
      <c r="J480" s="116"/>
      <c r="K480" s="115"/>
      <c r="L480" s="116"/>
      <c r="M480" s="115"/>
      <c r="N480" s="116"/>
      <c r="O480" s="115"/>
      <c r="P480" s="116"/>
      <c r="Q480" s="115"/>
      <c r="R480" s="116"/>
      <c r="S480" s="115"/>
      <c r="T480" s="116"/>
      <c r="U480" s="115"/>
      <c r="V480" s="116"/>
      <c r="W480" s="117"/>
      <c r="X480" s="118"/>
    </row>
    <row r="481" spans="1:24" hidden="1" x14ac:dyDescent="0.25">
      <c r="A481" s="117"/>
      <c r="B481" s="118"/>
      <c r="C481" s="117"/>
      <c r="D481" s="118"/>
      <c r="E481" s="117"/>
      <c r="F481" s="118"/>
      <c r="G481" s="115"/>
      <c r="H481" s="116"/>
      <c r="I481" s="115"/>
      <c r="J481" s="116"/>
      <c r="K481" s="115"/>
      <c r="L481" s="116"/>
      <c r="M481" s="115"/>
      <c r="N481" s="116"/>
      <c r="O481" s="115"/>
      <c r="P481" s="116"/>
      <c r="Q481" s="115"/>
      <c r="R481" s="116"/>
      <c r="S481" s="115"/>
      <c r="T481" s="116"/>
      <c r="U481" s="115"/>
      <c r="V481" s="116"/>
      <c r="W481" s="117"/>
      <c r="X481" s="118"/>
    </row>
    <row r="482" spans="1:24" hidden="1" x14ac:dyDescent="0.25">
      <c r="A482" s="117"/>
      <c r="B482" s="118"/>
      <c r="C482" s="117"/>
      <c r="D482" s="118"/>
      <c r="E482" s="117"/>
      <c r="F482" s="118"/>
      <c r="G482" s="115"/>
      <c r="H482" s="116"/>
      <c r="I482" s="115"/>
      <c r="J482" s="116"/>
      <c r="K482" s="115"/>
      <c r="L482" s="116"/>
      <c r="M482" s="115"/>
      <c r="N482" s="116"/>
      <c r="O482" s="115"/>
      <c r="P482" s="116"/>
      <c r="Q482" s="115"/>
      <c r="R482" s="116"/>
      <c r="S482" s="115"/>
      <c r="T482" s="116"/>
      <c r="U482" s="115"/>
      <c r="V482" s="116"/>
      <c r="W482" s="117"/>
      <c r="X482" s="118"/>
    </row>
    <row r="483" spans="1:24" hidden="1" x14ac:dyDescent="0.25">
      <c r="A483" s="117"/>
      <c r="B483" s="118"/>
      <c r="C483" s="117"/>
      <c r="D483" s="118"/>
      <c r="E483" s="117"/>
      <c r="F483" s="118"/>
      <c r="G483" s="115"/>
      <c r="H483" s="116"/>
      <c r="I483" s="115"/>
      <c r="J483" s="116"/>
      <c r="K483" s="115"/>
      <c r="L483" s="116"/>
      <c r="M483" s="115"/>
      <c r="N483" s="116"/>
      <c r="O483" s="115"/>
      <c r="P483" s="116"/>
      <c r="Q483" s="115"/>
      <c r="R483" s="116"/>
      <c r="S483" s="115"/>
      <c r="T483" s="116"/>
      <c r="U483" s="115"/>
      <c r="V483" s="116"/>
      <c r="W483" s="117"/>
      <c r="X483" s="118"/>
    </row>
    <row r="484" spans="1:24" hidden="1" x14ac:dyDescent="0.25">
      <c r="A484" s="117"/>
      <c r="B484" s="118"/>
      <c r="C484" s="117"/>
      <c r="D484" s="118"/>
      <c r="E484" s="117"/>
      <c r="F484" s="118"/>
      <c r="G484" s="115"/>
      <c r="H484" s="116"/>
      <c r="I484" s="115"/>
      <c r="J484" s="116"/>
      <c r="K484" s="115"/>
      <c r="L484" s="116"/>
      <c r="M484" s="115"/>
      <c r="N484" s="116"/>
      <c r="O484" s="115"/>
      <c r="P484" s="116"/>
      <c r="Q484" s="115"/>
      <c r="R484" s="116"/>
      <c r="S484" s="115"/>
      <c r="T484" s="116"/>
      <c r="U484" s="115"/>
      <c r="V484" s="116"/>
      <c r="W484" s="117"/>
      <c r="X484" s="118"/>
    </row>
    <row r="485" spans="1:24" hidden="1" x14ac:dyDescent="0.25">
      <c r="A485" s="117"/>
      <c r="B485" s="118"/>
      <c r="C485" s="117"/>
      <c r="D485" s="118"/>
      <c r="E485" s="117"/>
      <c r="F485" s="118"/>
      <c r="G485" s="115"/>
      <c r="H485" s="116"/>
      <c r="I485" s="115"/>
      <c r="J485" s="116"/>
      <c r="K485" s="115"/>
      <c r="L485" s="116"/>
      <c r="M485" s="115"/>
      <c r="N485" s="116"/>
      <c r="O485" s="115"/>
      <c r="P485" s="116"/>
      <c r="Q485" s="115"/>
      <c r="R485" s="116"/>
      <c r="S485" s="115"/>
      <c r="T485" s="116"/>
      <c r="U485" s="115"/>
      <c r="V485" s="116"/>
      <c r="W485" s="117"/>
      <c r="X485" s="118"/>
    </row>
    <row r="486" spans="1:24" hidden="1" x14ac:dyDescent="0.25">
      <c r="A486" s="117"/>
      <c r="B486" s="118"/>
      <c r="C486" s="117"/>
      <c r="D486" s="118"/>
      <c r="E486" s="117"/>
      <c r="F486" s="118"/>
      <c r="G486" s="115"/>
      <c r="H486" s="116"/>
      <c r="I486" s="115"/>
      <c r="J486" s="116"/>
      <c r="K486" s="115"/>
      <c r="L486" s="116"/>
      <c r="M486" s="115"/>
      <c r="N486" s="116"/>
      <c r="O486" s="115"/>
      <c r="P486" s="116"/>
      <c r="Q486" s="115"/>
      <c r="R486" s="116"/>
      <c r="S486" s="115"/>
      <c r="T486" s="116"/>
      <c r="U486" s="115"/>
      <c r="V486" s="116"/>
      <c r="W486" s="117"/>
      <c r="X486" s="118"/>
    </row>
    <row r="487" spans="1:24" hidden="1" x14ac:dyDescent="0.25">
      <c r="A487" s="117"/>
      <c r="B487" s="118"/>
      <c r="C487" s="117"/>
      <c r="D487" s="118"/>
      <c r="E487" s="117"/>
      <c r="F487" s="118"/>
      <c r="G487" s="115"/>
      <c r="H487" s="116"/>
      <c r="I487" s="115"/>
      <c r="J487" s="116"/>
      <c r="K487" s="115"/>
      <c r="L487" s="116"/>
      <c r="M487" s="115"/>
      <c r="N487" s="116"/>
      <c r="O487" s="115"/>
      <c r="P487" s="116"/>
      <c r="Q487" s="115"/>
      <c r="R487" s="116"/>
      <c r="S487" s="115"/>
      <c r="T487" s="116"/>
      <c r="U487" s="115"/>
      <c r="V487" s="116"/>
      <c r="W487" s="117"/>
      <c r="X487" s="118"/>
    </row>
    <row r="488" spans="1:24" hidden="1" x14ac:dyDescent="0.25">
      <c r="A488" s="117"/>
      <c r="B488" s="118"/>
      <c r="C488" s="117"/>
      <c r="D488" s="118"/>
      <c r="E488" s="117"/>
      <c r="F488" s="118"/>
      <c r="G488" s="115"/>
      <c r="H488" s="116"/>
      <c r="I488" s="115"/>
      <c r="J488" s="116"/>
      <c r="K488" s="115"/>
      <c r="L488" s="116"/>
      <c r="M488" s="115"/>
      <c r="N488" s="116"/>
      <c r="O488" s="115"/>
      <c r="P488" s="116"/>
      <c r="Q488" s="115"/>
      <c r="R488" s="116"/>
      <c r="S488" s="115"/>
      <c r="T488" s="116"/>
      <c r="U488" s="115"/>
      <c r="V488" s="116"/>
      <c r="W488" s="117"/>
      <c r="X488" s="118"/>
    </row>
    <row r="489" spans="1:24" hidden="1" x14ac:dyDescent="0.25">
      <c r="A489" s="117"/>
      <c r="B489" s="118"/>
      <c r="C489" s="117"/>
      <c r="D489" s="118"/>
      <c r="E489" s="117"/>
      <c r="F489" s="118"/>
      <c r="G489" s="115"/>
      <c r="H489" s="116"/>
      <c r="I489" s="115"/>
      <c r="J489" s="116"/>
      <c r="K489" s="115"/>
      <c r="L489" s="116"/>
      <c r="M489" s="115"/>
      <c r="N489" s="116"/>
      <c r="O489" s="115"/>
      <c r="P489" s="116"/>
      <c r="Q489" s="115"/>
      <c r="R489" s="116"/>
      <c r="S489" s="115"/>
      <c r="T489" s="116"/>
      <c r="U489" s="115"/>
      <c r="V489" s="116"/>
      <c r="W489" s="117"/>
      <c r="X489" s="118"/>
    </row>
    <row r="490" spans="1:24" hidden="1" x14ac:dyDescent="0.25">
      <c r="A490" s="117"/>
      <c r="B490" s="118"/>
      <c r="C490" s="117"/>
      <c r="D490" s="118"/>
      <c r="E490" s="117"/>
      <c r="F490" s="118"/>
      <c r="G490" s="115"/>
      <c r="H490" s="116"/>
      <c r="I490" s="115"/>
      <c r="J490" s="116"/>
      <c r="K490" s="115"/>
      <c r="L490" s="116"/>
      <c r="M490" s="115"/>
      <c r="N490" s="116"/>
      <c r="O490" s="115"/>
      <c r="P490" s="116"/>
      <c r="Q490" s="115"/>
      <c r="R490" s="116"/>
      <c r="S490" s="115"/>
      <c r="T490" s="116"/>
      <c r="U490" s="115"/>
      <c r="V490" s="116"/>
      <c r="W490" s="117"/>
      <c r="X490" s="118"/>
    </row>
    <row r="491" spans="1:24" hidden="1" x14ac:dyDescent="0.25">
      <c r="A491" s="117"/>
      <c r="B491" s="118"/>
      <c r="C491" s="117"/>
      <c r="D491" s="118"/>
      <c r="E491" s="117"/>
      <c r="F491" s="118"/>
      <c r="G491" s="115"/>
      <c r="H491" s="116"/>
      <c r="I491" s="115"/>
      <c r="J491" s="116"/>
      <c r="K491" s="115"/>
      <c r="L491" s="116"/>
      <c r="M491" s="115"/>
      <c r="N491" s="116"/>
      <c r="O491" s="115"/>
      <c r="P491" s="116"/>
      <c r="Q491" s="115"/>
      <c r="R491" s="116"/>
      <c r="S491" s="115"/>
      <c r="T491" s="116"/>
      <c r="U491" s="115"/>
      <c r="V491" s="116"/>
      <c r="W491" s="117"/>
      <c r="X491" s="118"/>
    </row>
    <row r="492" spans="1:24" hidden="1" x14ac:dyDescent="0.25">
      <c r="A492" s="117"/>
      <c r="B492" s="118"/>
      <c r="C492" s="117"/>
      <c r="D492" s="118"/>
      <c r="E492" s="117"/>
      <c r="F492" s="118"/>
      <c r="G492" s="115"/>
      <c r="H492" s="116"/>
      <c r="I492" s="115"/>
      <c r="J492" s="116"/>
      <c r="K492" s="115"/>
      <c r="L492" s="116"/>
      <c r="M492" s="115"/>
      <c r="N492" s="116"/>
      <c r="O492" s="115"/>
      <c r="P492" s="116"/>
      <c r="Q492" s="115"/>
      <c r="R492" s="116"/>
      <c r="S492" s="115"/>
      <c r="T492" s="116"/>
      <c r="U492" s="115"/>
      <c r="V492" s="116"/>
      <c r="W492" s="117"/>
      <c r="X492" s="118"/>
    </row>
    <row r="493" spans="1:24" hidden="1" x14ac:dyDescent="0.25">
      <c r="A493" s="117"/>
      <c r="B493" s="118"/>
      <c r="C493" s="117"/>
      <c r="D493" s="118"/>
      <c r="E493" s="117"/>
      <c r="F493" s="118"/>
      <c r="G493" s="115"/>
      <c r="H493" s="116"/>
      <c r="I493" s="115"/>
      <c r="J493" s="116"/>
      <c r="K493" s="115"/>
      <c r="L493" s="116"/>
      <c r="M493" s="115"/>
      <c r="N493" s="116"/>
      <c r="O493" s="115"/>
      <c r="P493" s="116"/>
      <c r="Q493" s="115"/>
      <c r="R493" s="116"/>
      <c r="S493" s="115"/>
      <c r="T493" s="116"/>
      <c r="U493" s="115"/>
      <c r="V493" s="116"/>
      <c r="W493" s="117"/>
      <c r="X493" s="118"/>
    </row>
    <row r="494" spans="1:24" hidden="1" x14ac:dyDescent="0.25">
      <c r="A494" s="117"/>
      <c r="B494" s="118"/>
      <c r="C494" s="117"/>
      <c r="D494" s="118"/>
      <c r="E494" s="117"/>
      <c r="F494" s="118"/>
      <c r="G494" s="115"/>
      <c r="H494" s="116"/>
      <c r="I494" s="115"/>
      <c r="J494" s="116"/>
      <c r="K494" s="115"/>
      <c r="L494" s="116"/>
      <c r="M494" s="115"/>
      <c r="N494" s="116"/>
      <c r="O494" s="115"/>
      <c r="P494" s="116"/>
      <c r="Q494" s="115"/>
      <c r="R494" s="116"/>
      <c r="S494" s="115"/>
      <c r="T494" s="116"/>
      <c r="U494" s="115"/>
      <c r="V494" s="116"/>
      <c r="W494" s="117"/>
      <c r="X494" s="118"/>
    </row>
    <row r="495" spans="1:24" hidden="1" x14ac:dyDescent="0.25">
      <c r="A495" s="117"/>
      <c r="B495" s="118"/>
      <c r="C495" s="117"/>
      <c r="D495" s="118"/>
      <c r="E495" s="117"/>
      <c r="F495" s="118"/>
      <c r="G495" s="115"/>
      <c r="H495" s="116"/>
      <c r="I495" s="115"/>
      <c r="J495" s="116"/>
      <c r="K495" s="115"/>
      <c r="L495" s="116"/>
      <c r="M495" s="115"/>
      <c r="N495" s="116"/>
      <c r="O495" s="115"/>
      <c r="P495" s="116"/>
      <c r="Q495" s="115"/>
      <c r="R495" s="116"/>
      <c r="S495" s="115"/>
      <c r="T495" s="116"/>
      <c r="U495" s="115"/>
      <c r="V495" s="116"/>
      <c r="W495" s="117"/>
      <c r="X495" s="118"/>
    </row>
    <row r="496" spans="1:24" hidden="1" x14ac:dyDescent="0.25">
      <c r="A496" s="117"/>
      <c r="B496" s="118"/>
      <c r="C496" s="117"/>
      <c r="D496" s="118"/>
      <c r="E496" s="117"/>
      <c r="F496" s="118"/>
      <c r="G496" s="115"/>
      <c r="H496" s="116"/>
      <c r="I496" s="115"/>
      <c r="J496" s="116"/>
      <c r="K496" s="115"/>
      <c r="L496" s="116"/>
      <c r="M496" s="115"/>
      <c r="N496" s="116"/>
      <c r="O496" s="115"/>
      <c r="P496" s="116"/>
      <c r="Q496" s="115"/>
      <c r="R496" s="116"/>
      <c r="S496" s="115"/>
      <c r="T496" s="116"/>
      <c r="U496" s="115"/>
      <c r="V496" s="116"/>
      <c r="W496" s="117"/>
      <c r="X496" s="118"/>
    </row>
    <row r="497" spans="1:24" hidden="1" x14ac:dyDescent="0.25">
      <c r="A497" s="117"/>
      <c r="B497" s="118"/>
      <c r="C497" s="117"/>
      <c r="D497" s="118"/>
      <c r="E497" s="117"/>
      <c r="F497" s="118"/>
      <c r="G497" s="115"/>
      <c r="H497" s="116"/>
      <c r="I497" s="115"/>
      <c r="J497" s="116"/>
      <c r="K497" s="115"/>
      <c r="L497" s="116"/>
      <c r="M497" s="115"/>
      <c r="N497" s="116"/>
      <c r="O497" s="115"/>
      <c r="P497" s="116"/>
      <c r="Q497" s="115"/>
      <c r="R497" s="116"/>
      <c r="S497" s="115"/>
      <c r="T497" s="116"/>
      <c r="U497" s="115"/>
      <c r="V497" s="116"/>
      <c r="W497" s="117"/>
      <c r="X497" s="118"/>
    </row>
    <row r="498" spans="1:24" hidden="1" x14ac:dyDescent="0.25">
      <c r="A498" s="117"/>
      <c r="B498" s="118"/>
      <c r="C498" s="117"/>
      <c r="D498" s="118"/>
      <c r="E498" s="117"/>
      <c r="F498" s="118"/>
      <c r="G498" s="115"/>
      <c r="H498" s="116"/>
      <c r="I498" s="115"/>
      <c r="J498" s="116"/>
      <c r="K498" s="115"/>
      <c r="L498" s="116"/>
      <c r="M498" s="115"/>
      <c r="N498" s="116"/>
      <c r="O498" s="115"/>
      <c r="P498" s="116"/>
      <c r="Q498" s="115"/>
      <c r="R498" s="116"/>
      <c r="S498" s="115"/>
      <c r="T498" s="116"/>
      <c r="U498" s="115"/>
      <c r="V498" s="116"/>
      <c r="W498" s="117"/>
      <c r="X498" s="118"/>
    </row>
    <row r="499" spans="1:24" hidden="1" x14ac:dyDescent="0.25">
      <c r="A499" s="117"/>
      <c r="B499" s="118"/>
      <c r="C499" s="117"/>
      <c r="D499" s="118"/>
      <c r="E499" s="117"/>
      <c r="F499" s="118"/>
      <c r="G499" s="115"/>
      <c r="H499" s="116"/>
      <c r="I499" s="115"/>
      <c r="J499" s="116"/>
      <c r="K499" s="115"/>
      <c r="L499" s="116"/>
      <c r="M499" s="115"/>
      <c r="N499" s="116"/>
      <c r="O499" s="115"/>
      <c r="P499" s="116"/>
      <c r="Q499" s="115"/>
      <c r="R499" s="116"/>
      <c r="S499" s="115"/>
      <c r="T499" s="116"/>
      <c r="U499" s="115"/>
      <c r="V499" s="116"/>
      <c r="W499" s="117"/>
      <c r="X499" s="118"/>
    </row>
    <row r="500" spans="1:24" hidden="1" x14ac:dyDescent="0.25">
      <c r="A500" s="117"/>
      <c r="B500" s="118"/>
      <c r="C500" s="117"/>
      <c r="D500" s="118"/>
      <c r="E500" s="117"/>
      <c r="F500" s="118"/>
      <c r="G500" s="115"/>
      <c r="H500" s="116"/>
      <c r="I500" s="115"/>
      <c r="J500" s="116"/>
      <c r="K500" s="115"/>
      <c r="L500" s="116"/>
      <c r="M500" s="115"/>
      <c r="N500" s="116"/>
      <c r="O500" s="115"/>
      <c r="P500" s="116"/>
      <c r="Q500" s="115"/>
      <c r="R500" s="116"/>
      <c r="S500" s="115"/>
      <c r="T500" s="116"/>
      <c r="U500" s="115"/>
      <c r="V500" s="116"/>
      <c r="W500" s="117"/>
      <c r="X500" s="118"/>
    </row>
  </sheetData>
  <sheetProtection algorithmName="SHA-512" hashValue="3xoL94EWivOCphBzpEFOPwseYLCMZv+aQTsDfWIotk4v5ffFSmWeSksV+sEY4Vq1BbgdBT61E3v6OgbzP59tMw==" saltValue="w3z25CbJnX+LIgLQBu7U9Q==" spinCount="100000" sheet="1" objects="1" scenarios="1" autoFilter="0"/>
  <mergeCells count="5846">
    <mergeCell ref="AB1:AC2"/>
    <mergeCell ref="A1:B4"/>
    <mergeCell ref="W3:X4"/>
    <mergeCell ref="S1:X2"/>
    <mergeCell ref="C1:D4"/>
    <mergeCell ref="E1:F4"/>
    <mergeCell ref="O3:P4"/>
    <mergeCell ref="Q3:R4"/>
    <mergeCell ref="K1:R2"/>
    <mergeCell ref="S3:T4"/>
    <mergeCell ref="U3:V4"/>
    <mergeCell ref="G1:J2"/>
    <mergeCell ref="G3:H4"/>
    <mergeCell ref="I3:J4"/>
    <mergeCell ref="K3:L4"/>
    <mergeCell ref="M3:N4"/>
    <mergeCell ref="AB3:AC4"/>
    <mergeCell ref="M14:N14"/>
    <mergeCell ref="O14:P14"/>
    <mergeCell ref="Q14:R14"/>
    <mergeCell ref="S14:T14"/>
    <mergeCell ref="U14:V14"/>
    <mergeCell ref="W14:X14"/>
    <mergeCell ref="C14:D14"/>
    <mergeCell ref="E14:F14"/>
    <mergeCell ref="G14:H14"/>
    <mergeCell ref="I14:J14"/>
    <mergeCell ref="K14:L14"/>
    <mergeCell ref="M16:N16"/>
    <mergeCell ref="O16:P16"/>
    <mergeCell ref="Q16:R16"/>
    <mergeCell ref="S16:T16"/>
    <mergeCell ref="U16:V16"/>
    <mergeCell ref="W16:X16"/>
    <mergeCell ref="C16:D16"/>
    <mergeCell ref="E16:F16"/>
    <mergeCell ref="G16:H16"/>
    <mergeCell ref="I16:J16"/>
    <mergeCell ref="K16:L16"/>
    <mergeCell ref="M15:N15"/>
    <mergeCell ref="O15:P15"/>
    <mergeCell ref="Q15:R15"/>
    <mergeCell ref="S15:T15"/>
    <mergeCell ref="U15:V15"/>
    <mergeCell ref="W15:X15"/>
    <mergeCell ref="C15:D15"/>
    <mergeCell ref="E15:F15"/>
    <mergeCell ref="G15:H15"/>
    <mergeCell ref="I15:J15"/>
    <mergeCell ref="K15:L15"/>
    <mergeCell ref="M18:N18"/>
    <mergeCell ref="O18:P18"/>
    <mergeCell ref="Q18:R18"/>
    <mergeCell ref="S18:T18"/>
    <mergeCell ref="U18:V18"/>
    <mergeCell ref="W18:X18"/>
    <mergeCell ref="C18:D18"/>
    <mergeCell ref="E18:F18"/>
    <mergeCell ref="G18:H18"/>
    <mergeCell ref="I18:J18"/>
    <mergeCell ref="K18:L18"/>
    <mergeCell ref="M17:N17"/>
    <mergeCell ref="O17:P17"/>
    <mergeCell ref="Q17:R17"/>
    <mergeCell ref="S17:T17"/>
    <mergeCell ref="U17:V17"/>
    <mergeCell ref="W17:X17"/>
    <mergeCell ref="C17:D17"/>
    <mergeCell ref="E17:F17"/>
    <mergeCell ref="G17:H17"/>
    <mergeCell ref="I17:J17"/>
    <mergeCell ref="K17:L17"/>
    <mergeCell ref="M20:N20"/>
    <mergeCell ref="O20:P20"/>
    <mergeCell ref="Q20:R20"/>
    <mergeCell ref="S20:T20"/>
    <mergeCell ref="U20:V20"/>
    <mergeCell ref="W20:X20"/>
    <mergeCell ref="C20:D20"/>
    <mergeCell ref="E20:F20"/>
    <mergeCell ref="G20:H20"/>
    <mergeCell ref="I20:J20"/>
    <mergeCell ref="K20:L20"/>
    <mergeCell ref="M19:N19"/>
    <mergeCell ref="O19:P19"/>
    <mergeCell ref="Q19:R19"/>
    <mergeCell ref="S19:T19"/>
    <mergeCell ref="U19:V19"/>
    <mergeCell ref="W19:X19"/>
    <mergeCell ref="C19:D19"/>
    <mergeCell ref="E19:F19"/>
    <mergeCell ref="G19:H19"/>
    <mergeCell ref="I19:J19"/>
    <mergeCell ref="K19:L19"/>
    <mergeCell ref="M22:N22"/>
    <mergeCell ref="O22:P22"/>
    <mergeCell ref="Q22:R22"/>
    <mergeCell ref="S22:T22"/>
    <mergeCell ref="U22:V22"/>
    <mergeCell ref="W22:X22"/>
    <mergeCell ref="C22:D22"/>
    <mergeCell ref="E22:F22"/>
    <mergeCell ref="G22:H22"/>
    <mergeCell ref="I22:J22"/>
    <mergeCell ref="K22:L22"/>
    <mergeCell ref="M21:N21"/>
    <mergeCell ref="O21:P21"/>
    <mergeCell ref="Q21:R21"/>
    <mergeCell ref="S21:T21"/>
    <mergeCell ref="U21:V21"/>
    <mergeCell ref="W21:X21"/>
    <mergeCell ref="C21:D21"/>
    <mergeCell ref="E21:F21"/>
    <mergeCell ref="G21:H21"/>
    <mergeCell ref="I21:J21"/>
    <mergeCell ref="K21:L21"/>
    <mergeCell ref="M24:N24"/>
    <mergeCell ref="O24:P24"/>
    <mergeCell ref="Q24:R24"/>
    <mergeCell ref="S24:T24"/>
    <mergeCell ref="U24:V24"/>
    <mergeCell ref="W24:X24"/>
    <mergeCell ref="C24:D24"/>
    <mergeCell ref="E24:F24"/>
    <mergeCell ref="G24:H24"/>
    <mergeCell ref="I24:J24"/>
    <mergeCell ref="K24:L24"/>
    <mergeCell ref="M23:N23"/>
    <mergeCell ref="O23:P23"/>
    <mergeCell ref="Q23:R23"/>
    <mergeCell ref="S23:T23"/>
    <mergeCell ref="U23:V23"/>
    <mergeCell ref="W23:X23"/>
    <mergeCell ref="C23:D23"/>
    <mergeCell ref="E23:F23"/>
    <mergeCell ref="G23:H23"/>
    <mergeCell ref="I23:J23"/>
    <mergeCell ref="K23:L23"/>
    <mergeCell ref="M26:N26"/>
    <mergeCell ref="O26:P26"/>
    <mergeCell ref="Q26:R26"/>
    <mergeCell ref="S26:T26"/>
    <mergeCell ref="U26:V26"/>
    <mergeCell ref="W26:X26"/>
    <mergeCell ref="C26:D26"/>
    <mergeCell ref="E26:F26"/>
    <mergeCell ref="G26:H26"/>
    <mergeCell ref="I26:J26"/>
    <mergeCell ref="K26:L26"/>
    <mergeCell ref="M25:N25"/>
    <mergeCell ref="O25:P25"/>
    <mergeCell ref="Q25:R25"/>
    <mergeCell ref="S25:T25"/>
    <mergeCell ref="U25:V25"/>
    <mergeCell ref="W25:X25"/>
    <mergeCell ref="C25:D25"/>
    <mergeCell ref="E25:F25"/>
    <mergeCell ref="G25:H25"/>
    <mergeCell ref="I25:J25"/>
    <mergeCell ref="K25:L25"/>
    <mergeCell ref="M28:N28"/>
    <mergeCell ref="O28:P28"/>
    <mergeCell ref="Q28:R28"/>
    <mergeCell ref="S28:T28"/>
    <mergeCell ref="U28:V28"/>
    <mergeCell ref="W28:X28"/>
    <mergeCell ref="C28:D28"/>
    <mergeCell ref="E28:F28"/>
    <mergeCell ref="G28:H28"/>
    <mergeCell ref="I28:J28"/>
    <mergeCell ref="K28:L28"/>
    <mergeCell ref="M27:N27"/>
    <mergeCell ref="O27:P27"/>
    <mergeCell ref="Q27:R27"/>
    <mergeCell ref="S27:T27"/>
    <mergeCell ref="U27:V27"/>
    <mergeCell ref="W27:X27"/>
    <mergeCell ref="C27:D27"/>
    <mergeCell ref="E27:F27"/>
    <mergeCell ref="G27:H27"/>
    <mergeCell ref="I27:J27"/>
    <mergeCell ref="K27:L27"/>
    <mergeCell ref="M30:N30"/>
    <mergeCell ref="O30:P30"/>
    <mergeCell ref="Q30:R30"/>
    <mergeCell ref="S30:T30"/>
    <mergeCell ref="U30:V30"/>
    <mergeCell ref="W30:X30"/>
    <mergeCell ref="C30:D30"/>
    <mergeCell ref="E30:F30"/>
    <mergeCell ref="G30:H30"/>
    <mergeCell ref="I30:J30"/>
    <mergeCell ref="K30:L30"/>
    <mergeCell ref="M29:N29"/>
    <mergeCell ref="O29:P29"/>
    <mergeCell ref="Q29:R29"/>
    <mergeCell ref="S29:T29"/>
    <mergeCell ref="U29:V29"/>
    <mergeCell ref="W29:X29"/>
    <mergeCell ref="C29:D29"/>
    <mergeCell ref="E29:F29"/>
    <mergeCell ref="G29:H29"/>
    <mergeCell ref="I29:J29"/>
    <mergeCell ref="K29:L29"/>
    <mergeCell ref="M32:N32"/>
    <mergeCell ref="O32:P32"/>
    <mergeCell ref="Q32:R32"/>
    <mergeCell ref="S32:T32"/>
    <mergeCell ref="U32:V32"/>
    <mergeCell ref="W32:X32"/>
    <mergeCell ref="C32:D32"/>
    <mergeCell ref="E32:F32"/>
    <mergeCell ref="G32:H32"/>
    <mergeCell ref="I32:J32"/>
    <mergeCell ref="K32:L32"/>
    <mergeCell ref="M31:N31"/>
    <mergeCell ref="O31:P31"/>
    <mergeCell ref="Q31:R31"/>
    <mergeCell ref="S31:T31"/>
    <mergeCell ref="U31:V31"/>
    <mergeCell ref="W31:X31"/>
    <mergeCell ref="C31:D31"/>
    <mergeCell ref="E31:F31"/>
    <mergeCell ref="G31:H31"/>
    <mergeCell ref="I31:J31"/>
    <mergeCell ref="K31:L31"/>
    <mergeCell ref="M34:N34"/>
    <mergeCell ref="O34:P34"/>
    <mergeCell ref="Q34:R34"/>
    <mergeCell ref="S34:T34"/>
    <mergeCell ref="U34:V34"/>
    <mergeCell ref="W34:X34"/>
    <mergeCell ref="C34:D34"/>
    <mergeCell ref="E34:F34"/>
    <mergeCell ref="G34:H34"/>
    <mergeCell ref="I34:J34"/>
    <mergeCell ref="K34:L34"/>
    <mergeCell ref="M33:N33"/>
    <mergeCell ref="O33:P33"/>
    <mergeCell ref="Q33:R33"/>
    <mergeCell ref="S33:T33"/>
    <mergeCell ref="U33:V33"/>
    <mergeCell ref="W33:X33"/>
    <mergeCell ref="C33:D33"/>
    <mergeCell ref="E33:F33"/>
    <mergeCell ref="G33:H33"/>
    <mergeCell ref="I33:J33"/>
    <mergeCell ref="K33:L33"/>
    <mergeCell ref="M36:N36"/>
    <mergeCell ref="O36:P36"/>
    <mergeCell ref="Q36:R36"/>
    <mergeCell ref="S36:T36"/>
    <mergeCell ref="U36:V36"/>
    <mergeCell ref="W36:X36"/>
    <mergeCell ref="A36:B36"/>
    <mergeCell ref="C36:D36"/>
    <mergeCell ref="E36:F36"/>
    <mergeCell ref="G36:H36"/>
    <mergeCell ref="I36:J36"/>
    <mergeCell ref="K36:L36"/>
    <mergeCell ref="M35:N35"/>
    <mergeCell ref="O35:P35"/>
    <mergeCell ref="Q35:R35"/>
    <mergeCell ref="S35:T35"/>
    <mergeCell ref="U35:V35"/>
    <mergeCell ref="W35:X35"/>
    <mergeCell ref="A35:B35"/>
    <mergeCell ref="C35:D35"/>
    <mergeCell ref="E35:F35"/>
    <mergeCell ref="G35:H35"/>
    <mergeCell ref="I35:J35"/>
    <mergeCell ref="K35:L35"/>
    <mergeCell ref="M38:N38"/>
    <mergeCell ref="O38:P38"/>
    <mergeCell ref="Q38:R38"/>
    <mergeCell ref="S38:T38"/>
    <mergeCell ref="U38:V38"/>
    <mergeCell ref="W38:X38"/>
    <mergeCell ref="A38:B38"/>
    <mergeCell ref="C38:D38"/>
    <mergeCell ref="E38:F38"/>
    <mergeCell ref="G38:H38"/>
    <mergeCell ref="I38:J38"/>
    <mergeCell ref="K38:L38"/>
    <mergeCell ref="M37:N37"/>
    <mergeCell ref="O37:P37"/>
    <mergeCell ref="Q37:R37"/>
    <mergeCell ref="S37:T37"/>
    <mergeCell ref="U37:V37"/>
    <mergeCell ref="W37:X37"/>
    <mergeCell ref="A37:B37"/>
    <mergeCell ref="C37:D37"/>
    <mergeCell ref="E37:F37"/>
    <mergeCell ref="G37:H37"/>
    <mergeCell ref="I37:J37"/>
    <mergeCell ref="K37:L37"/>
    <mergeCell ref="M40:N40"/>
    <mergeCell ref="O40:P40"/>
    <mergeCell ref="Q40:R40"/>
    <mergeCell ref="S40:T40"/>
    <mergeCell ref="U40:V40"/>
    <mergeCell ref="W40:X40"/>
    <mergeCell ref="A40:B40"/>
    <mergeCell ref="C40:D40"/>
    <mergeCell ref="E40:F40"/>
    <mergeCell ref="G40:H40"/>
    <mergeCell ref="I40:J40"/>
    <mergeCell ref="K40:L40"/>
    <mergeCell ref="M39:N39"/>
    <mergeCell ref="O39:P39"/>
    <mergeCell ref="Q39:R39"/>
    <mergeCell ref="S39:T39"/>
    <mergeCell ref="U39:V39"/>
    <mergeCell ref="W39:X39"/>
    <mergeCell ref="A39:B39"/>
    <mergeCell ref="C39:D39"/>
    <mergeCell ref="E39:F39"/>
    <mergeCell ref="G39:H39"/>
    <mergeCell ref="I39:J39"/>
    <mergeCell ref="K39:L39"/>
    <mergeCell ref="M42:N42"/>
    <mergeCell ref="O42:P42"/>
    <mergeCell ref="Q42:R42"/>
    <mergeCell ref="S42:T42"/>
    <mergeCell ref="U42:V42"/>
    <mergeCell ref="W42:X42"/>
    <mergeCell ref="A42:B42"/>
    <mergeCell ref="C42:D42"/>
    <mergeCell ref="E42:F42"/>
    <mergeCell ref="G42:H42"/>
    <mergeCell ref="I42:J42"/>
    <mergeCell ref="K42:L42"/>
    <mergeCell ref="M41:N41"/>
    <mergeCell ref="O41:P41"/>
    <mergeCell ref="Q41:R41"/>
    <mergeCell ref="S41:T41"/>
    <mergeCell ref="U41:V41"/>
    <mergeCell ref="W41:X41"/>
    <mergeCell ref="A41:B41"/>
    <mergeCell ref="C41:D41"/>
    <mergeCell ref="E41:F41"/>
    <mergeCell ref="G41:H41"/>
    <mergeCell ref="I41:J41"/>
    <mergeCell ref="K41:L41"/>
    <mergeCell ref="M44:N44"/>
    <mergeCell ref="O44:P44"/>
    <mergeCell ref="Q44:R44"/>
    <mergeCell ref="S44:T44"/>
    <mergeCell ref="U44:V44"/>
    <mergeCell ref="W44:X44"/>
    <mergeCell ref="A44:B44"/>
    <mergeCell ref="C44:D44"/>
    <mergeCell ref="E44:F44"/>
    <mergeCell ref="G44:H44"/>
    <mergeCell ref="I44:J44"/>
    <mergeCell ref="K44:L44"/>
    <mergeCell ref="M43:N43"/>
    <mergeCell ref="O43:P43"/>
    <mergeCell ref="Q43:R43"/>
    <mergeCell ref="S43:T43"/>
    <mergeCell ref="U43:V43"/>
    <mergeCell ref="W43:X43"/>
    <mergeCell ref="A43:B43"/>
    <mergeCell ref="C43:D43"/>
    <mergeCell ref="E43:F43"/>
    <mergeCell ref="G43:H43"/>
    <mergeCell ref="I43:J43"/>
    <mergeCell ref="K43:L43"/>
    <mergeCell ref="M46:N46"/>
    <mergeCell ref="O46:P46"/>
    <mergeCell ref="Q46:R46"/>
    <mergeCell ref="S46:T46"/>
    <mergeCell ref="U46:V46"/>
    <mergeCell ref="W46:X46"/>
    <mergeCell ref="A46:B46"/>
    <mergeCell ref="C46:D46"/>
    <mergeCell ref="E46:F46"/>
    <mergeCell ref="G46:H46"/>
    <mergeCell ref="I46:J46"/>
    <mergeCell ref="K46:L46"/>
    <mergeCell ref="M45:N45"/>
    <mergeCell ref="O45:P45"/>
    <mergeCell ref="Q45:R45"/>
    <mergeCell ref="S45:T45"/>
    <mergeCell ref="U45:V45"/>
    <mergeCell ref="W45:X45"/>
    <mergeCell ref="A45:B45"/>
    <mergeCell ref="C45:D45"/>
    <mergeCell ref="E45:F45"/>
    <mergeCell ref="G45:H45"/>
    <mergeCell ref="I45:J45"/>
    <mergeCell ref="K45:L45"/>
    <mergeCell ref="M48:N48"/>
    <mergeCell ref="O48:P48"/>
    <mergeCell ref="Q48:R48"/>
    <mergeCell ref="S48:T48"/>
    <mergeCell ref="U48:V48"/>
    <mergeCell ref="W48:X48"/>
    <mergeCell ref="A48:B48"/>
    <mergeCell ref="C48:D48"/>
    <mergeCell ref="E48:F48"/>
    <mergeCell ref="G48:H48"/>
    <mergeCell ref="I48:J48"/>
    <mergeCell ref="K48:L48"/>
    <mergeCell ref="M47:N47"/>
    <mergeCell ref="O47:P47"/>
    <mergeCell ref="Q47:R47"/>
    <mergeCell ref="S47:T47"/>
    <mergeCell ref="U47:V47"/>
    <mergeCell ref="W47:X47"/>
    <mergeCell ref="A47:B47"/>
    <mergeCell ref="C47:D47"/>
    <mergeCell ref="E47:F47"/>
    <mergeCell ref="G47:H47"/>
    <mergeCell ref="I47:J47"/>
    <mergeCell ref="K47:L47"/>
    <mergeCell ref="M50:N50"/>
    <mergeCell ref="O50:P50"/>
    <mergeCell ref="Q50:R50"/>
    <mergeCell ref="S50:T50"/>
    <mergeCell ref="U50:V50"/>
    <mergeCell ref="W50:X50"/>
    <mergeCell ref="A50:B50"/>
    <mergeCell ref="C50:D50"/>
    <mergeCell ref="E50:F50"/>
    <mergeCell ref="G50:H50"/>
    <mergeCell ref="I50:J50"/>
    <mergeCell ref="K50:L50"/>
    <mergeCell ref="M49:N49"/>
    <mergeCell ref="O49:P49"/>
    <mergeCell ref="Q49:R49"/>
    <mergeCell ref="S49:T49"/>
    <mergeCell ref="U49:V49"/>
    <mergeCell ref="W49:X49"/>
    <mergeCell ref="A49:B49"/>
    <mergeCell ref="C49:D49"/>
    <mergeCell ref="E49:F49"/>
    <mergeCell ref="G49:H49"/>
    <mergeCell ref="I49:J49"/>
    <mergeCell ref="K49:L49"/>
    <mergeCell ref="M52:N52"/>
    <mergeCell ref="O52:P52"/>
    <mergeCell ref="Q52:R52"/>
    <mergeCell ref="S52:T52"/>
    <mergeCell ref="U52:V52"/>
    <mergeCell ref="W52:X52"/>
    <mergeCell ref="A52:B52"/>
    <mergeCell ref="C52:D52"/>
    <mergeCell ref="E52:F52"/>
    <mergeCell ref="G52:H52"/>
    <mergeCell ref="I52:J52"/>
    <mergeCell ref="K52:L52"/>
    <mergeCell ref="M51:N51"/>
    <mergeCell ref="O51:P51"/>
    <mergeCell ref="Q51:R51"/>
    <mergeCell ref="S51:T51"/>
    <mergeCell ref="U51:V51"/>
    <mergeCell ref="W51:X51"/>
    <mergeCell ref="A51:B51"/>
    <mergeCell ref="C51:D51"/>
    <mergeCell ref="E51:F51"/>
    <mergeCell ref="G51:H51"/>
    <mergeCell ref="I51:J51"/>
    <mergeCell ref="K51:L51"/>
    <mergeCell ref="M54:N54"/>
    <mergeCell ref="O54:P54"/>
    <mergeCell ref="Q54:R54"/>
    <mergeCell ref="S54:T54"/>
    <mergeCell ref="U54:V54"/>
    <mergeCell ref="W54:X54"/>
    <mergeCell ref="A54:B54"/>
    <mergeCell ref="C54:D54"/>
    <mergeCell ref="E54:F54"/>
    <mergeCell ref="G54:H54"/>
    <mergeCell ref="I54:J54"/>
    <mergeCell ref="K54:L54"/>
    <mergeCell ref="M53:N53"/>
    <mergeCell ref="O53:P53"/>
    <mergeCell ref="Q53:R53"/>
    <mergeCell ref="S53:T53"/>
    <mergeCell ref="U53:V53"/>
    <mergeCell ref="W53:X53"/>
    <mergeCell ref="A53:B53"/>
    <mergeCell ref="C53:D53"/>
    <mergeCell ref="E53:F53"/>
    <mergeCell ref="G53:H53"/>
    <mergeCell ref="I53:J53"/>
    <mergeCell ref="K53:L53"/>
    <mergeCell ref="M56:N56"/>
    <mergeCell ref="O56:P56"/>
    <mergeCell ref="Q56:R56"/>
    <mergeCell ref="S56:T56"/>
    <mergeCell ref="U56:V56"/>
    <mergeCell ref="W56:X56"/>
    <mergeCell ref="A56:B56"/>
    <mergeCell ref="C56:D56"/>
    <mergeCell ref="E56:F56"/>
    <mergeCell ref="G56:H56"/>
    <mergeCell ref="I56:J56"/>
    <mergeCell ref="K56:L56"/>
    <mergeCell ref="M55:N55"/>
    <mergeCell ref="O55:P55"/>
    <mergeCell ref="Q55:R55"/>
    <mergeCell ref="S55:T55"/>
    <mergeCell ref="U55:V55"/>
    <mergeCell ref="W55:X55"/>
    <mergeCell ref="A55:B55"/>
    <mergeCell ref="C55:D55"/>
    <mergeCell ref="E55:F55"/>
    <mergeCell ref="G55:H55"/>
    <mergeCell ref="I55:J55"/>
    <mergeCell ref="K55:L55"/>
    <mergeCell ref="M58:N58"/>
    <mergeCell ref="O58:P58"/>
    <mergeCell ref="Q58:R58"/>
    <mergeCell ref="S58:T58"/>
    <mergeCell ref="U58:V58"/>
    <mergeCell ref="W58:X58"/>
    <mergeCell ref="A58:B58"/>
    <mergeCell ref="C58:D58"/>
    <mergeCell ref="E58:F58"/>
    <mergeCell ref="G58:H58"/>
    <mergeCell ref="I58:J58"/>
    <mergeCell ref="K58:L58"/>
    <mergeCell ref="M57:N57"/>
    <mergeCell ref="O57:P57"/>
    <mergeCell ref="Q57:R57"/>
    <mergeCell ref="S57:T57"/>
    <mergeCell ref="U57:V57"/>
    <mergeCell ref="W57:X57"/>
    <mergeCell ref="A57:B57"/>
    <mergeCell ref="C57:D57"/>
    <mergeCell ref="E57:F57"/>
    <mergeCell ref="G57:H57"/>
    <mergeCell ref="I57:J57"/>
    <mergeCell ref="K57:L57"/>
    <mergeCell ref="M60:N60"/>
    <mergeCell ref="O60:P60"/>
    <mergeCell ref="Q60:R60"/>
    <mergeCell ref="S60:T60"/>
    <mergeCell ref="U60:V60"/>
    <mergeCell ref="W60:X60"/>
    <mergeCell ref="A60:B60"/>
    <mergeCell ref="C60:D60"/>
    <mergeCell ref="E60:F60"/>
    <mergeCell ref="G60:H60"/>
    <mergeCell ref="I60:J60"/>
    <mergeCell ref="K60:L60"/>
    <mergeCell ref="M59:N59"/>
    <mergeCell ref="O59:P59"/>
    <mergeCell ref="Q59:R59"/>
    <mergeCell ref="S59:T59"/>
    <mergeCell ref="U59:V59"/>
    <mergeCell ref="W59:X59"/>
    <mergeCell ref="A59:B59"/>
    <mergeCell ref="C59:D59"/>
    <mergeCell ref="E59:F59"/>
    <mergeCell ref="G59:H59"/>
    <mergeCell ref="I59:J59"/>
    <mergeCell ref="K59:L59"/>
    <mergeCell ref="M62:N62"/>
    <mergeCell ref="O62:P62"/>
    <mergeCell ref="Q62:R62"/>
    <mergeCell ref="S62:T62"/>
    <mergeCell ref="U62:V62"/>
    <mergeCell ref="W62:X62"/>
    <mergeCell ref="A62:B62"/>
    <mergeCell ref="C62:D62"/>
    <mergeCell ref="E62:F62"/>
    <mergeCell ref="G62:H62"/>
    <mergeCell ref="I62:J62"/>
    <mergeCell ref="K62:L62"/>
    <mergeCell ref="M61:N61"/>
    <mergeCell ref="O61:P61"/>
    <mergeCell ref="Q61:R61"/>
    <mergeCell ref="S61:T61"/>
    <mergeCell ref="U61:V61"/>
    <mergeCell ref="W61:X61"/>
    <mergeCell ref="A61:B61"/>
    <mergeCell ref="C61:D61"/>
    <mergeCell ref="E61:F61"/>
    <mergeCell ref="G61:H61"/>
    <mergeCell ref="I61:J61"/>
    <mergeCell ref="K61:L61"/>
    <mergeCell ref="M64:N64"/>
    <mergeCell ref="O64:P64"/>
    <mergeCell ref="Q64:R64"/>
    <mergeCell ref="S64:T64"/>
    <mergeCell ref="U64:V64"/>
    <mergeCell ref="W64:X64"/>
    <mergeCell ref="A64:B64"/>
    <mergeCell ref="C64:D64"/>
    <mergeCell ref="E64:F64"/>
    <mergeCell ref="G64:H64"/>
    <mergeCell ref="I64:J64"/>
    <mergeCell ref="K64:L64"/>
    <mergeCell ref="M63:N63"/>
    <mergeCell ref="O63:P63"/>
    <mergeCell ref="Q63:R63"/>
    <mergeCell ref="S63:T63"/>
    <mergeCell ref="U63:V63"/>
    <mergeCell ref="W63:X63"/>
    <mergeCell ref="A63:B63"/>
    <mergeCell ref="C63:D63"/>
    <mergeCell ref="E63:F63"/>
    <mergeCell ref="G63:H63"/>
    <mergeCell ref="I63:J63"/>
    <mergeCell ref="K63:L63"/>
    <mergeCell ref="M66:N66"/>
    <mergeCell ref="O66:P66"/>
    <mergeCell ref="Q66:R66"/>
    <mergeCell ref="S66:T66"/>
    <mergeCell ref="U66:V66"/>
    <mergeCell ref="W66:X66"/>
    <mergeCell ref="A66:B66"/>
    <mergeCell ref="C66:D66"/>
    <mergeCell ref="E66:F66"/>
    <mergeCell ref="G66:H66"/>
    <mergeCell ref="I66:J66"/>
    <mergeCell ref="K66:L66"/>
    <mergeCell ref="M65:N65"/>
    <mergeCell ref="O65:P65"/>
    <mergeCell ref="Q65:R65"/>
    <mergeCell ref="S65:T65"/>
    <mergeCell ref="U65:V65"/>
    <mergeCell ref="W65:X65"/>
    <mergeCell ref="A65:B65"/>
    <mergeCell ref="C65:D65"/>
    <mergeCell ref="E65:F65"/>
    <mergeCell ref="G65:H65"/>
    <mergeCell ref="I65:J65"/>
    <mergeCell ref="K65:L65"/>
    <mergeCell ref="M68:N68"/>
    <mergeCell ref="O68:P68"/>
    <mergeCell ref="Q68:R68"/>
    <mergeCell ref="S68:T68"/>
    <mergeCell ref="U68:V68"/>
    <mergeCell ref="W68:X68"/>
    <mergeCell ref="A68:B68"/>
    <mergeCell ref="C68:D68"/>
    <mergeCell ref="E68:F68"/>
    <mergeCell ref="G68:H68"/>
    <mergeCell ref="I68:J68"/>
    <mergeCell ref="K68:L68"/>
    <mergeCell ref="M67:N67"/>
    <mergeCell ref="O67:P67"/>
    <mergeCell ref="Q67:R67"/>
    <mergeCell ref="S67:T67"/>
    <mergeCell ref="U67:V67"/>
    <mergeCell ref="W67:X67"/>
    <mergeCell ref="A67:B67"/>
    <mergeCell ref="C67:D67"/>
    <mergeCell ref="E67:F67"/>
    <mergeCell ref="G67:H67"/>
    <mergeCell ref="I67:J67"/>
    <mergeCell ref="K67:L67"/>
    <mergeCell ref="M70:N70"/>
    <mergeCell ref="O70:P70"/>
    <mergeCell ref="Q70:R70"/>
    <mergeCell ref="S70:T70"/>
    <mergeCell ref="U70:V70"/>
    <mergeCell ref="W70:X70"/>
    <mergeCell ref="A70:B70"/>
    <mergeCell ref="C70:D70"/>
    <mergeCell ref="E70:F70"/>
    <mergeCell ref="G70:H70"/>
    <mergeCell ref="I70:J70"/>
    <mergeCell ref="K70:L70"/>
    <mergeCell ref="M69:N69"/>
    <mergeCell ref="O69:P69"/>
    <mergeCell ref="Q69:R69"/>
    <mergeCell ref="S69:T69"/>
    <mergeCell ref="U69:V69"/>
    <mergeCell ref="W69:X69"/>
    <mergeCell ref="A69:B69"/>
    <mergeCell ref="C69:D69"/>
    <mergeCell ref="E69:F69"/>
    <mergeCell ref="G69:H69"/>
    <mergeCell ref="I69:J69"/>
    <mergeCell ref="K69:L69"/>
    <mergeCell ref="M72:N72"/>
    <mergeCell ref="O72:P72"/>
    <mergeCell ref="Q72:R72"/>
    <mergeCell ref="S72:T72"/>
    <mergeCell ref="U72:V72"/>
    <mergeCell ref="W72:X72"/>
    <mergeCell ref="A72:B72"/>
    <mergeCell ref="C72:D72"/>
    <mergeCell ref="E72:F72"/>
    <mergeCell ref="G72:H72"/>
    <mergeCell ref="I72:J72"/>
    <mergeCell ref="K72:L72"/>
    <mergeCell ref="M71:N71"/>
    <mergeCell ref="O71:P71"/>
    <mergeCell ref="Q71:R71"/>
    <mergeCell ref="S71:T71"/>
    <mergeCell ref="U71:V71"/>
    <mergeCell ref="W71:X71"/>
    <mergeCell ref="A71:B71"/>
    <mergeCell ref="C71:D71"/>
    <mergeCell ref="E71:F71"/>
    <mergeCell ref="G71:H71"/>
    <mergeCell ref="I71:J71"/>
    <mergeCell ref="K71:L71"/>
    <mergeCell ref="M74:N74"/>
    <mergeCell ref="O74:P74"/>
    <mergeCell ref="Q74:R74"/>
    <mergeCell ref="S74:T74"/>
    <mergeCell ref="U74:V74"/>
    <mergeCell ref="W74:X74"/>
    <mergeCell ref="A74:B74"/>
    <mergeCell ref="C74:D74"/>
    <mergeCell ref="E74:F74"/>
    <mergeCell ref="G74:H74"/>
    <mergeCell ref="I74:J74"/>
    <mergeCell ref="K74:L74"/>
    <mergeCell ref="M73:N73"/>
    <mergeCell ref="O73:P73"/>
    <mergeCell ref="Q73:R73"/>
    <mergeCell ref="S73:T73"/>
    <mergeCell ref="U73:V73"/>
    <mergeCell ref="W73:X73"/>
    <mergeCell ref="A73:B73"/>
    <mergeCell ref="C73:D73"/>
    <mergeCell ref="E73:F73"/>
    <mergeCell ref="G73:H73"/>
    <mergeCell ref="I73:J73"/>
    <mergeCell ref="K73:L73"/>
    <mergeCell ref="M76:N76"/>
    <mergeCell ref="O76:P76"/>
    <mergeCell ref="Q76:R76"/>
    <mergeCell ref="S76:T76"/>
    <mergeCell ref="U76:V76"/>
    <mergeCell ref="W76:X76"/>
    <mergeCell ref="A76:B76"/>
    <mergeCell ref="C76:D76"/>
    <mergeCell ref="E76:F76"/>
    <mergeCell ref="G76:H76"/>
    <mergeCell ref="I76:J76"/>
    <mergeCell ref="K76:L76"/>
    <mergeCell ref="M75:N75"/>
    <mergeCell ref="O75:P75"/>
    <mergeCell ref="Q75:R75"/>
    <mergeCell ref="S75:T75"/>
    <mergeCell ref="U75:V75"/>
    <mergeCell ref="W75:X75"/>
    <mergeCell ref="A75:B75"/>
    <mergeCell ref="C75:D75"/>
    <mergeCell ref="E75:F75"/>
    <mergeCell ref="G75:H75"/>
    <mergeCell ref="I75:J75"/>
    <mergeCell ref="K75:L75"/>
    <mergeCell ref="M78:N78"/>
    <mergeCell ref="O78:P78"/>
    <mergeCell ref="Q78:R78"/>
    <mergeCell ref="S78:T78"/>
    <mergeCell ref="U78:V78"/>
    <mergeCell ref="W78:X78"/>
    <mergeCell ref="A78:B78"/>
    <mergeCell ref="C78:D78"/>
    <mergeCell ref="E78:F78"/>
    <mergeCell ref="G78:H78"/>
    <mergeCell ref="I78:J78"/>
    <mergeCell ref="K78:L78"/>
    <mergeCell ref="M77:N77"/>
    <mergeCell ref="O77:P77"/>
    <mergeCell ref="Q77:R77"/>
    <mergeCell ref="S77:T77"/>
    <mergeCell ref="U77:V77"/>
    <mergeCell ref="W77:X77"/>
    <mergeCell ref="A77:B77"/>
    <mergeCell ref="C77:D77"/>
    <mergeCell ref="E77:F77"/>
    <mergeCell ref="G77:H77"/>
    <mergeCell ref="I77:J77"/>
    <mergeCell ref="K77:L77"/>
    <mergeCell ref="M80:N80"/>
    <mergeCell ref="O80:P80"/>
    <mergeCell ref="Q80:R80"/>
    <mergeCell ref="S80:T80"/>
    <mergeCell ref="U80:V80"/>
    <mergeCell ref="W80:X80"/>
    <mergeCell ref="A80:B80"/>
    <mergeCell ref="C80:D80"/>
    <mergeCell ref="E80:F80"/>
    <mergeCell ref="G80:H80"/>
    <mergeCell ref="I80:J80"/>
    <mergeCell ref="K80:L80"/>
    <mergeCell ref="M79:N79"/>
    <mergeCell ref="O79:P79"/>
    <mergeCell ref="Q79:R79"/>
    <mergeCell ref="S79:T79"/>
    <mergeCell ref="U79:V79"/>
    <mergeCell ref="W79:X79"/>
    <mergeCell ref="A79:B79"/>
    <mergeCell ref="C79:D79"/>
    <mergeCell ref="E79:F79"/>
    <mergeCell ref="G79:H79"/>
    <mergeCell ref="I79:J79"/>
    <mergeCell ref="K79:L79"/>
    <mergeCell ref="M82:N82"/>
    <mergeCell ref="O82:P82"/>
    <mergeCell ref="Q82:R82"/>
    <mergeCell ref="S82:T82"/>
    <mergeCell ref="U82:V82"/>
    <mergeCell ref="W82:X82"/>
    <mergeCell ref="A82:B82"/>
    <mergeCell ref="C82:D82"/>
    <mergeCell ref="E82:F82"/>
    <mergeCell ref="G82:H82"/>
    <mergeCell ref="I82:J82"/>
    <mergeCell ref="K82:L82"/>
    <mergeCell ref="M81:N81"/>
    <mergeCell ref="O81:P81"/>
    <mergeCell ref="Q81:R81"/>
    <mergeCell ref="S81:T81"/>
    <mergeCell ref="U81:V81"/>
    <mergeCell ref="W81:X81"/>
    <mergeCell ref="A81:B81"/>
    <mergeCell ref="C81:D81"/>
    <mergeCell ref="E81:F81"/>
    <mergeCell ref="G81:H81"/>
    <mergeCell ref="I81:J81"/>
    <mergeCell ref="K81:L81"/>
    <mergeCell ref="M84:N84"/>
    <mergeCell ref="O84:P84"/>
    <mergeCell ref="Q84:R84"/>
    <mergeCell ref="S84:T84"/>
    <mergeCell ref="U84:V84"/>
    <mergeCell ref="W84:X84"/>
    <mergeCell ref="A84:B84"/>
    <mergeCell ref="C84:D84"/>
    <mergeCell ref="E84:F84"/>
    <mergeCell ref="G84:H84"/>
    <mergeCell ref="I84:J84"/>
    <mergeCell ref="K84:L84"/>
    <mergeCell ref="M83:N83"/>
    <mergeCell ref="O83:P83"/>
    <mergeCell ref="Q83:R83"/>
    <mergeCell ref="S83:T83"/>
    <mergeCell ref="U83:V83"/>
    <mergeCell ref="W83:X83"/>
    <mergeCell ref="A83:B83"/>
    <mergeCell ref="C83:D83"/>
    <mergeCell ref="E83:F83"/>
    <mergeCell ref="G83:H83"/>
    <mergeCell ref="I83:J83"/>
    <mergeCell ref="K83:L83"/>
    <mergeCell ref="M86:N86"/>
    <mergeCell ref="O86:P86"/>
    <mergeCell ref="Q86:R86"/>
    <mergeCell ref="S86:T86"/>
    <mergeCell ref="U86:V86"/>
    <mergeCell ref="W86:X86"/>
    <mergeCell ref="A86:B86"/>
    <mergeCell ref="C86:D86"/>
    <mergeCell ref="E86:F86"/>
    <mergeCell ref="G86:H86"/>
    <mergeCell ref="I86:J86"/>
    <mergeCell ref="K86:L86"/>
    <mergeCell ref="M85:N85"/>
    <mergeCell ref="O85:P85"/>
    <mergeCell ref="Q85:R85"/>
    <mergeCell ref="S85:T85"/>
    <mergeCell ref="U85:V85"/>
    <mergeCell ref="W85:X85"/>
    <mergeCell ref="A85:B85"/>
    <mergeCell ref="C85:D85"/>
    <mergeCell ref="E85:F85"/>
    <mergeCell ref="G85:H85"/>
    <mergeCell ref="I85:J85"/>
    <mergeCell ref="K85:L85"/>
    <mergeCell ref="M88:N88"/>
    <mergeCell ref="O88:P88"/>
    <mergeCell ref="Q88:R88"/>
    <mergeCell ref="S88:T88"/>
    <mergeCell ref="U88:V88"/>
    <mergeCell ref="W88:X88"/>
    <mergeCell ref="A88:B88"/>
    <mergeCell ref="C88:D88"/>
    <mergeCell ref="E88:F88"/>
    <mergeCell ref="G88:H88"/>
    <mergeCell ref="I88:J88"/>
    <mergeCell ref="K88:L88"/>
    <mergeCell ref="M87:N87"/>
    <mergeCell ref="O87:P87"/>
    <mergeCell ref="Q87:R87"/>
    <mergeCell ref="S87:T87"/>
    <mergeCell ref="U87:V87"/>
    <mergeCell ref="W87:X87"/>
    <mergeCell ref="A87:B87"/>
    <mergeCell ref="C87:D87"/>
    <mergeCell ref="E87:F87"/>
    <mergeCell ref="G87:H87"/>
    <mergeCell ref="I87:J87"/>
    <mergeCell ref="K87:L87"/>
    <mergeCell ref="M90:N90"/>
    <mergeCell ref="O90:P90"/>
    <mergeCell ref="Q90:R90"/>
    <mergeCell ref="S90:T90"/>
    <mergeCell ref="U90:V90"/>
    <mergeCell ref="W90:X90"/>
    <mergeCell ref="A90:B90"/>
    <mergeCell ref="C90:D90"/>
    <mergeCell ref="E90:F90"/>
    <mergeCell ref="G90:H90"/>
    <mergeCell ref="I90:J90"/>
    <mergeCell ref="K90:L90"/>
    <mergeCell ref="M89:N89"/>
    <mergeCell ref="O89:P89"/>
    <mergeCell ref="Q89:R89"/>
    <mergeCell ref="S89:T89"/>
    <mergeCell ref="U89:V89"/>
    <mergeCell ref="W89:X89"/>
    <mergeCell ref="A89:B89"/>
    <mergeCell ref="C89:D89"/>
    <mergeCell ref="E89:F89"/>
    <mergeCell ref="G89:H89"/>
    <mergeCell ref="I89:J89"/>
    <mergeCell ref="K89:L89"/>
    <mergeCell ref="M92:N92"/>
    <mergeCell ref="O92:P92"/>
    <mergeCell ref="Q92:R92"/>
    <mergeCell ref="S92:T92"/>
    <mergeCell ref="U92:V92"/>
    <mergeCell ref="W92:X92"/>
    <mergeCell ref="A92:B92"/>
    <mergeCell ref="C92:D92"/>
    <mergeCell ref="E92:F92"/>
    <mergeCell ref="G92:H92"/>
    <mergeCell ref="I92:J92"/>
    <mergeCell ref="K92:L92"/>
    <mergeCell ref="M91:N91"/>
    <mergeCell ref="O91:P91"/>
    <mergeCell ref="Q91:R91"/>
    <mergeCell ref="S91:T91"/>
    <mergeCell ref="U91:V91"/>
    <mergeCell ref="W91:X91"/>
    <mergeCell ref="A91:B91"/>
    <mergeCell ref="C91:D91"/>
    <mergeCell ref="E91:F91"/>
    <mergeCell ref="G91:H91"/>
    <mergeCell ref="I91:J91"/>
    <mergeCell ref="K91:L91"/>
    <mergeCell ref="M94:N94"/>
    <mergeCell ref="O94:P94"/>
    <mergeCell ref="Q94:R94"/>
    <mergeCell ref="S94:T94"/>
    <mergeCell ref="U94:V94"/>
    <mergeCell ref="W94:X94"/>
    <mergeCell ref="A94:B94"/>
    <mergeCell ref="C94:D94"/>
    <mergeCell ref="E94:F94"/>
    <mergeCell ref="G94:H94"/>
    <mergeCell ref="I94:J94"/>
    <mergeCell ref="K94:L94"/>
    <mergeCell ref="M93:N93"/>
    <mergeCell ref="O93:P93"/>
    <mergeCell ref="Q93:R93"/>
    <mergeCell ref="S93:T93"/>
    <mergeCell ref="U93:V93"/>
    <mergeCell ref="W93:X93"/>
    <mergeCell ref="A93:B93"/>
    <mergeCell ref="C93:D93"/>
    <mergeCell ref="E93:F93"/>
    <mergeCell ref="G93:H93"/>
    <mergeCell ref="I93:J93"/>
    <mergeCell ref="K93:L93"/>
    <mergeCell ref="M96:N96"/>
    <mergeCell ref="O96:P96"/>
    <mergeCell ref="Q96:R96"/>
    <mergeCell ref="S96:T96"/>
    <mergeCell ref="U96:V96"/>
    <mergeCell ref="W96:X96"/>
    <mergeCell ref="A96:B96"/>
    <mergeCell ref="C96:D96"/>
    <mergeCell ref="E96:F96"/>
    <mergeCell ref="G96:H96"/>
    <mergeCell ref="I96:J96"/>
    <mergeCell ref="K96:L96"/>
    <mergeCell ref="M95:N95"/>
    <mergeCell ref="O95:P95"/>
    <mergeCell ref="Q95:R95"/>
    <mergeCell ref="S95:T95"/>
    <mergeCell ref="U95:V95"/>
    <mergeCell ref="W95:X95"/>
    <mergeCell ref="A95:B95"/>
    <mergeCell ref="C95:D95"/>
    <mergeCell ref="E95:F95"/>
    <mergeCell ref="G95:H95"/>
    <mergeCell ref="I95:J95"/>
    <mergeCell ref="K95:L95"/>
    <mergeCell ref="M98:N98"/>
    <mergeCell ref="O98:P98"/>
    <mergeCell ref="Q98:R98"/>
    <mergeCell ref="S98:T98"/>
    <mergeCell ref="U98:V98"/>
    <mergeCell ref="W98:X98"/>
    <mergeCell ref="A98:B98"/>
    <mergeCell ref="C98:D98"/>
    <mergeCell ref="E98:F98"/>
    <mergeCell ref="G98:H98"/>
    <mergeCell ref="I98:J98"/>
    <mergeCell ref="K98:L98"/>
    <mergeCell ref="M97:N97"/>
    <mergeCell ref="O97:P97"/>
    <mergeCell ref="Q97:R97"/>
    <mergeCell ref="S97:T97"/>
    <mergeCell ref="U97:V97"/>
    <mergeCell ref="W97:X97"/>
    <mergeCell ref="A97:B97"/>
    <mergeCell ref="C97:D97"/>
    <mergeCell ref="E97:F97"/>
    <mergeCell ref="G97:H97"/>
    <mergeCell ref="I97:J97"/>
    <mergeCell ref="K97:L97"/>
    <mergeCell ref="M100:N100"/>
    <mergeCell ref="O100:P100"/>
    <mergeCell ref="Q100:R100"/>
    <mergeCell ref="S100:T100"/>
    <mergeCell ref="U100:V100"/>
    <mergeCell ref="W100:X100"/>
    <mergeCell ref="A100:B100"/>
    <mergeCell ref="C100:D100"/>
    <mergeCell ref="E100:F100"/>
    <mergeCell ref="G100:H100"/>
    <mergeCell ref="I100:J100"/>
    <mergeCell ref="K100:L100"/>
    <mergeCell ref="M99:N99"/>
    <mergeCell ref="O99:P99"/>
    <mergeCell ref="Q99:R99"/>
    <mergeCell ref="S99:T99"/>
    <mergeCell ref="U99:V99"/>
    <mergeCell ref="W99:X99"/>
    <mergeCell ref="A99:B99"/>
    <mergeCell ref="C99:D99"/>
    <mergeCell ref="E99:F99"/>
    <mergeCell ref="G99:H99"/>
    <mergeCell ref="I99:J99"/>
    <mergeCell ref="K99:L99"/>
    <mergeCell ref="M102:N102"/>
    <mergeCell ref="O102:P102"/>
    <mergeCell ref="Q102:R102"/>
    <mergeCell ref="S102:T102"/>
    <mergeCell ref="U102:V102"/>
    <mergeCell ref="W102:X102"/>
    <mergeCell ref="A102:B102"/>
    <mergeCell ref="C102:D102"/>
    <mergeCell ref="E102:F102"/>
    <mergeCell ref="G102:H102"/>
    <mergeCell ref="I102:J102"/>
    <mergeCell ref="K102:L102"/>
    <mergeCell ref="M101:N101"/>
    <mergeCell ref="O101:P101"/>
    <mergeCell ref="Q101:R101"/>
    <mergeCell ref="S101:T101"/>
    <mergeCell ref="U101:V101"/>
    <mergeCell ref="W101:X101"/>
    <mergeCell ref="A101:B101"/>
    <mergeCell ref="C101:D101"/>
    <mergeCell ref="E101:F101"/>
    <mergeCell ref="G101:H101"/>
    <mergeCell ref="I101:J101"/>
    <mergeCell ref="K101:L101"/>
    <mergeCell ref="M104:N104"/>
    <mergeCell ref="O104:P104"/>
    <mergeCell ref="Q104:R104"/>
    <mergeCell ref="S104:T104"/>
    <mergeCell ref="U104:V104"/>
    <mergeCell ref="W104:X104"/>
    <mergeCell ref="A104:B104"/>
    <mergeCell ref="C104:D104"/>
    <mergeCell ref="E104:F104"/>
    <mergeCell ref="G104:H104"/>
    <mergeCell ref="I104:J104"/>
    <mergeCell ref="K104:L104"/>
    <mergeCell ref="M103:N103"/>
    <mergeCell ref="O103:P103"/>
    <mergeCell ref="Q103:R103"/>
    <mergeCell ref="S103:T103"/>
    <mergeCell ref="U103:V103"/>
    <mergeCell ref="W103:X103"/>
    <mergeCell ref="A103:B103"/>
    <mergeCell ref="C103:D103"/>
    <mergeCell ref="E103:F103"/>
    <mergeCell ref="G103:H103"/>
    <mergeCell ref="I103:J103"/>
    <mergeCell ref="K103:L103"/>
    <mergeCell ref="M106:N106"/>
    <mergeCell ref="O106:P106"/>
    <mergeCell ref="Q106:R106"/>
    <mergeCell ref="S106:T106"/>
    <mergeCell ref="U106:V106"/>
    <mergeCell ref="W106:X106"/>
    <mergeCell ref="A106:B106"/>
    <mergeCell ref="C106:D106"/>
    <mergeCell ref="E106:F106"/>
    <mergeCell ref="G106:H106"/>
    <mergeCell ref="I106:J106"/>
    <mergeCell ref="K106:L106"/>
    <mergeCell ref="M105:N105"/>
    <mergeCell ref="O105:P105"/>
    <mergeCell ref="Q105:R105"/>
    <mergeCell ref="S105:T105"/>
    <mergeCell ref="U105:V105"/>
    <mergeCell ref="W105:X105"/>
    <mergeCell ref="A105:B105"/>
    <mergeCell ref="C105:D105"/>
    <mergeCell ref="E105:F105"/>
    <mergeCell ref="G105:H105"/>
    <mergeCell ref="I105:J105"/>
    <mergeCell ref="K105:L105"/>
    <mergeCell ref="M108:N108"/>
    <mergeCell ref="O108:P108"/>
    <mergeCell ref="Q108:R108"/>
    <mergeCell ref="S108:T108"/>
    <mergeCell ref="U108:V108"/>
    <mergeCell ref="W108:X108"/>
    <mergeCell ref="A108:B108"/>
    <mergeCell ref="C108:D108"/>
    <mergeCell ref="E108:F108"/>
    <mergeCell ref="G108:H108"/>
    <mergeCell ref="I108:J108"/>
    <mergeCell ref="K108:L108"/>
    <mergeCell ref="M107:N107"/>
    <mergeCell ref="O107:P107"/>
    <mergeCell ref="Q107:R107"/>
    <mergeCell ref="S107:T107"/>
    <mergeCell ref="U107:V107"/>
    <mergeCell ref="W107:X107"/>
    <mergeCell ref="A107:B107"/>
    <mergeCell ref="C107:D107"/>
    <mergeCell ref="E107:F107"/>
    <mergeCell ref="G107:H107"/>
    <mergeCell ref="I107:J107"/>
    <mergeCell ref="K107:L107"/>
    <mergeCell ref="M110:N110"/>
    <mergeCell ref="O110:P110"/>
    <mergeCell ref="Q110:R110"/>
    <mergeCell ref="S110:T110"/>
    <mergeCell ref="U110:V110"/>
    <mergeCell ref="W110:X110"/>
    <mergeCell ref="A110:B110"/>
    <mergeCell ref="C110:D110"/>
    <mergeCell ref="E110:F110"/>
    <mergeCell ref="G110:H110"/>
    <mergeCell ref="I110:J110"/>
    <mergeCell ref="K110:L110"/>
    <mergeCell ref="M109:N109"/>
    <mergeCell ref="O109:P109"/>
    <mergeCell ref="Q109:R109"/>
    <mergeCell ref="S109:T109"/>
    <mergeCell ref="U109:V109"/>
    <mergeCell ref="W109:X109"/>
    <mergeCell ref="A109:B109"/>
    <mergeCell ref="C109:D109"/>
    <mergeCell ref="E109:F109"/>
    <mergeCell ref="G109:H109"/>
    <mergeCell ref="I109:J109"/>
    <mergeCell ref="K109:L109"/>
    <mergeCell ref="M112:N112"/>
    <mergeCell ref="O112:P112"/>
    <mergeCell ref="Q112:R112"/>
    <mergeCell ref="S112:T112"/>
    <mergeCell ref="U112:V112"/>
    <mergeCell ref="W112:X112"/>
    <mergeCell ref="A112:B112"/>
    <mergeCell ref="C112:D112"/>
    <mergeCell ref="E112:F112"/>
    <mergeCell ref="G112:H112"/>
    <mergeCell ref="I112:J112"/>
    <mergeCell ref="K112:L112"/>
    <mergeCell ref="M111:N111"/>
    <mergeCell ref="O111:P111"/>
    <mergeCell ref="Q111:R111"/>
    <mergeCell ref="S111:T111"/>
    <mergeCell ref="U111:V111"/>
    <mergeCell ref="W111:X111"/>
    <mergeCell ref="A111:B111"/>
    <mergeCell ref="C111:D111"/>
    <mergeCell ref="E111:F111"/>
    <mergeCell ref="G111:H111"/>
    <mergeCell ref="I111:J111"/>
    <mergeCell ref="K111:L111"/>
    <mergeCell ref="M114:N114"/>
    <mergeCell ref="O114:P114"/>
    <mergeCell ref="Q114:R114"/>
    <mergeCell ref="S114:T114"/>
    <mergeCell ref="U114:V114"/>
    <mergeCell ref="W114:X114"/>
    <mergeCell ref="A114:B114"/>
    <mergeCell ref="C114:D114"/>
    <mergeCell ref="E114:F114"/>
    <mergeCell ref="G114:H114"/>
    <mergeCell ref="I114:J114"/>
    <mergeCell ref="K114:L114"/>
    <mergeCell ref="M113:N113"/>
    <mergeCell ref="O113:P113"/>
    <mergeCell ref="Q113:R113"/>
    <mergeCell ref="S113:T113"/>
    <mergeCell ref="U113:V113"/>
    <mergeCell ref="W113:X113"/>
    <mergeCell ref="A113:B113"/>
    <mergeCell ref="C113:D113"/>
    <mergeCell ref="E113:F113"/>
    <mergeCell ref="G113:H113"/>
    <mergeCell ref="I113:J113"/>
    <mergeCell ref="K113:L113"/>
    <mergeCell ref="M116:N116"/>
    <mergeCell ref="O116:P116"/>
    <mergeCell ref="Q116:R116"/>
    <mergeCell ref="S116:T116"/>
    <mergeCell ref="U116:V116"/>
    <mergeCell ref="W116:X116"/>
    <mergeCell ref="A116:B116"/>
    <mergeCell ref="C116:D116"/>
    <mergeCell ref="E116:F116"/>
    <mergeCell ref="G116:H116"/>
    <mergeCell ref="I116:J116"/>
    <mergeCell ref="K116:L116"/>
    <mergeCell ref="M115:N115"/>
    <mergeCell ref="O115:P115"/>
    <mergeCell ref="Q115:R115"/>
    <mergeCell ref="S115:T115"/>
    <mergeCell ref="U115:V115"/>
    <mergeCell ref="W115:X115"/>
    <mergeCell ref="A115:B115"/>
    <mergeCell ref="C115:D115"/>
    <mergeCell ref="E115:F115"/>
    <mergeCell ref="G115:H115"/>
    <mergeCell ref="I115:J115"/>
    <mergeCell ref="K115:L115"/>
    <mergeCell ref="M118:N118"/>
    <mergeCell ref="O118:P118"/>
    <mergeCell ref="Q118:R118"/>
    <mergeCell ref="S118:T118"/>
    <mergeCell ref="U118:V118"/>
    <mergeCell ref="W118:X118"/>
    <mergeCell ref="A118:B118"/>
    <mergeCell ref="C118:D118"/>
    <mergeCell ref="E118:F118"/>
    <mergeCell ref="G118:H118"/>
    <mergeCell ref="I118:J118"/>
    <mergeCell ref="K118:L118"/>
    <mergeCell ref="M117:N117"/>
    <mergeCell ref="O117:P117"/>
    <mergeCell ref="Q117:R117"/>
    <mergeCell ref="S117:T117"/>
    <mergeCell ref="U117:V117"/>
    <mergeCell ref="W117:X117"/>
    <mergeCell ref="A117:B117"/>
    <mergeCell ref="C117:D117"/>
    <mergeCell ref="E117:F117"/>
    <mergeCell ref="G117:H117"/>
    <mergeCell ref="I117:J117"/>
    <mergeCell ref="K117:L117"/>
    <mergeCell ref="M120:N120"/>
    <mergeCell ref="O120:P120"/>
    <mergeCell ref="Q120:R120"/>
    <mergeCell ref="S120:T120"/>
    <mergeCell ref="U120:V120"/>
    <mergeCell ref="W120:X120"/>
    <mergeCell ref="A120:B120"/>
    <mergeCell ref="C120:D120"/>
    <mergeCell ref="E120:F120"/>
    <mergeCell ref="G120:H120"/>
    <mergeCell ref="I120:J120"/>
    <mergeCell ref="K120:L120"/>
    <mergeCell ref="M119:N119"/>
    <mergeCell ref="O119:P119"/>
    <mergeCell ref="Q119:R119"/>
    <mergeCell ref="S119:T119"/>
    <mergeCell ref="U119:V119"/>
    <mergeCell ref="W119:X119"/>
    <mergeCell ref="A119:B119"/>
    <mergeCell ref="C119:D119"/>
    <mergeCell ref="E119:F119"/>
    <mergeCell ref="G119:H119"/>
    <mergeCell ref="I119:J119"/>
    <mergeCell ref="K119:L119"/>
    <mergeCell ref="M122:N122"/>
    <mergeCell ref="O122:P122"/>
    <mergeCell ref="Q122:R122"/>
    <mergeCell ref="S122:T122"/>
    <mergeCell ref="U122:V122"/>
    <mergeCell ref="W122:X122"/>
    <mergeCell ref="A122:B122"/>
    <mergeCell ref="C122:D122"/>
    <mergeCell ref="E122:F122"/>
    <mergeCell ref="G122:H122"/>
    <mergeCell ref="I122:J122"/>
    <mergeCell ref="K122:L122"/>
    <mergeCell ref="M121:N121"/>
    <mergeCell ref="O121:P121"/>
    <mergeCell ref="Q121:R121"/>
    <mergeCell ref="S121:T121"/>
    <mergeCell ref="U121:V121"/>
    <mergeCell ref="W121:X121"/>
    <mergeCell ref="A121:B121"/>
    <mergeCell ref="C121:D121"/>
    <mergeCell ref="E121:F121"/>
    <mergeCell ref="G121:H121"/>
    <mergeCell ref="I121:J121"/>
    <mergeCell ref="K121:L121"/>
    <mergeCell ref="M124:N124"/>
    <mergeCell ref="O124:P124"/>
    <mergeCell ref="Q124:R124"/>
    <mergeCell ref="S124:T124"/>
    <mergeCell ref="U124:V124"/>
    <mergeCell ref="W124:X124"/>
    <mergeCell ref="A124:B124"/>
    <mergeCell ref="C124:D124"/>
    <mergeCell ref="E124:F124"/>
    <mergeCell ref="G124:H124"/>
    <mergeCell ref="I124:J124"/>
    <mergeCell ref="K124:L124"/>
    <mergeCell ref="M123:N123"/>
    <mergeCell ref="O123:P123"/>
    <mergeCell ref="Q123:R123"/>
    <mergeCell ref="S123:T123"/>
    <mergeCell ref="U123:V123"/>
    <mergeCell ref="W123:X123"/>
    <mergeCell ref="A123:B123"/>
    <mergeCell ref="C123:D123"/>
    <mergeCell ref="E123:F123"/>
    <mergeCell ref="G123:H123"/>
    <mergeCell ref="I123:J123"/>
    <mergeCell ref="K123:L123"/>
    <mergeCell ref="M126:N126"/>
    <mergeCell ref="O126:P126"/>
    <mergeCell ref="Q126:R126"/>
    <mergeCell ref="S126:T126"/>
    <mergeCell ref="U126:V126"/>
    <mergeCell ref="W126:X126"/>
    <mergeCell ref="A126:B126"/>
    <mergeCell ref="C126:D126"/>
    <mergeCell ref="E126:F126"/>
    <mergeCell ref="G126:H126"/>
    <mergeCell ref="I126:J126"/>
    <mergeCell ref="K126:L126"/>
    <mergeCell ref="M125:N125"/>
    <mergeCell ref="O125:P125"/>
    <mergeCell ref="Q125:R125"/>
    <mergeCell ref="S125:T125"/>
    <mergeCell ref="U125:V125"/>
    <mergeCell ref="W125:X125"/>
    <mergeCell ref="A125:B125"/>
    <mergeCell ref="C125:D125"/>
    <mergeCell ref="E125:F125"/>
    <mergeCell ref="G125:H125"/>
    <mergeCell ref="I125:J125"/>
    <mergeCell ref="K125:L125"/>
    <mergeCell ref="M128:N128"/>
    <mergeCell ref="O128:P128"/>
    <mergeCell ref="Q128:R128"/>
    <mergeCell ref="S128:T128"/>
    <mergeCell ref="U128:V128"/>
    <mergeCell ref="W128:X128"/>
    <mergeCell ref="A128:B128"/>
    <mergeCell ref="C128:D128"/>
    <mergeCell ref="E128:F128"/>
    <mergeCell ref="G128:H128"/>
    <mergeCell ref="I128:J128"/>
    <mergeCell ref="K128:L128"/>
    <mergeCell ref="M127:N127"/>
    <mergeCell ref="O127:P127"/>
    <mergeCell ref="Q127:R127"/>
    <mergeCell ref="S127:T127"/>
    <mergeCell ref="U127:V127"/>
    <mergeCell ref="W127:X127"/>
    <mergeCell ref="A127:B127"/>
    <mergeCell ref="C127:D127"/>
    <mergeCell ref="E127:F127"/>
    <mergeCell ref="G127:H127"/>
    <mergeCell ref="I127:J127"/>
    <mergeCell ref="K127:L127"/>
    <mergeCell ref="M130:N130"/>
    <mergeCell ref="O130:P130"/>
    <mergeCell ref="Q130:R130"/>
    <mergeCell ref="S130:T130"/>
    <mergeCell ref="U130:V130"/>
    <mergeCell ref="W130:X130"/>
    <mergeCell ref="A130:B130"/>
    <mergeCell ref="C130:D130"/>
    <mergeCell ref="E130:F130"/>
    <mergeCell ref="G130:H130"/>
    <mergeCell ref="I130:J130"/>
    <mergeCell ref="K130:L130"/>
    <mergeCell ref="M129:N129"/>
    <mergeCell ref="O129:P129"/>
    <mergeCell ref="Q129:R129"/>
    <mergeCell ref="S129:T129"/>
    <mergeCell ref="U129:V129"/>
    <mergeCell ref="W129:X129"/>
    <mergeCell ref="A129:B129"/>
    <mergeCell ref="C129:D129"/>
    <mergeCell ref="E129:F129"/>
    <mergeCell ref="G129:H129"/>
    <mergeCell ref="I129:J129"/>
    <mergeCell ref="K129:L129"/>
    <mergeCell ref="M132:N132"/>
    <mergeCell ref="O132:P132"/>
    <mergeCell ref="Q132:R132"/>
    <mergeCell ref="S132:T132"/>
    <mergeCell ref="U132:V132"/>
    <mergeCell ref="W132:X132"/>
    <mergeCell ref="A132:B132"/>
    <mergeCell ref="C132:D132"/>
    <mergeCell ref="E132:F132"/>
    <mergeCell ref="G132:H132"/>
    <mergeCell ref="I132:J132"/>
    <mergeCell ref="K132:L132"/>
    <mergeCell ref="M131:N131"/>
    <mergeCell ref="O131:P131"/>
    <mergeCell ref="Q131:R131"/>
    <mergeCell ref="S131:T131"/>
    <mergeCell ref="U131:V131"/>
    <mergeCell ref="W131:X131"/>
    <mergeCell ref="A131:B131"/>
    <mergeCell ref="C131:D131"/>
    <mergeCell ref="E131:F131"/>
    <mergeCell ref="G131:H131"/>
    <mergeCell ref="I131:J131"/>
    <mergeCell ref="K131:L131"/>
    <mergeCell ref="M134:N134"/>
    <mergeCell ref="O134:P134"/>
    <mergeCell ref="Q134:R134"/>
    <mergeCell ref="S134:T134"/>
    <mergeCell ref="U134:V134"/>
    <mergeCell ref="W134:X134"/>
    <mergeCell ref="A134:B134"/>
    <mergeCell ref="C134:D134"/>
    <mergeCell ref="E134:F134"/>
    <mergeCell ref="G134:H134"/>
    <mergeCell ref="I134:J134"/>
    <mergeCell ref="K134:L134"/>
    <mergeCell ref="M133:N133"/>
    <mergeCell ref="O133:P133"/>
    <mergeCell ref="Q133:R133"/>
    <mergeCell ref="S133:T133"/>
    <mergeCell ref="U133:V133"/>
    <mergeCell ref="W133:X133"/>
    <mergeCell ref="A133:B133"/>
    <mergeCell ref="C133:D133"/>
    <mergeCell ref="E133:F133"/>
    <mergeCell ref="G133:H133"/>
    <mergeCell ref="I133:J133"/>
    <mergeCell ref="K133:L133"/>
    <mergeCell ref="M136:N136"/>
    <mergeCell ref="O136:P136"/>
    <mergeCell ref="Q136:R136"/>
    <mergeCell ref="S136:T136"/>
    <mergeCell ref="U136:V136"/>
    <mergeCell ref="W136:X136"/>
    <mergeCell ref="A136:B136"/>
    <mergeCell ref="C136:D136"/>
    <mergeCell ref="E136:F136"/>
    <mergeCell ref="G136:H136"/>
    <mergeCell ref="I136:J136"/>
    <mergeCell ref="K136:L136"/>
    <mergeCell ref="M135:N135"/>
    <mergeCell ref="O135:P135"/>
    <mergeCell ref="Q135:R135"/>
    <mergeCell ref="S135:T135"/>
    <mergeCell ref="U135:V135"/>
    <mergeCell ref="W135:X135"/>
    <mergeCell ref="A135:B135"/>
    <mergeCell ref="C135:D135"/>
    <mergeCell ref="E135:F135"/>
    <mergeCell ref="G135:H135"/>
    <mergeCell ref="I135:J135"/>
    <mergeCell ref="K135:L135"/>
    <mergeCell ref="M138:N138"/>
    <mergeCell ref="O138:P138"/>
    <mergeCell ref="Q138:R138"/>
    <mergeCell ref="S138:T138"/>
    <mergeCell ref="U138:V138"/>
    <mergeCell ref="W138:X138"/>
    <mergeCell ref="A138:B138"/>
    <mergeCell ref="C138:D138"/>
    <mergeCell ref="E138:F138"/>
    <mergeCell ref="G138:H138"/>
    <mergeCell ref="I138:J138"/>
    <mergeCell ref="K138:L138"/>
    <mergeCell ref="M137:N137"/>
    <mergeCell ref="O137:P137"/>
    <mergeCell ref="Q137:R137"/>
    <mergeCell ref="S137:T137"/>
    <mergeCell ref="U137:V137"/>
    <mergeCell ref="W137:X137"/>
    <mergeCell ref="A137:B137"/>
    <mergeCell ref="C137:D137"/>
    <mergeCell ref="E137:F137"/>
    <mergeCell ref="G137:H137"/>
    <mergeCell ref="I137:J137"/>
    <mergeCell ref="K137:L137"/>
    <mergeCell ref="M140:N140"/>
    <mergeCell ref="O140:P140"/>
    <mergeCell ref="Q140:R140"/>
    <mergeCell ref="S140:T140"/>
    <mergeCell ref="U140:V140"/>
    <mergeCell ref="W140:X140"/>
    <mergeCell ref="A140:B140"/>
    <mergeCell ref="C140:D140"/>
    <mergeCell ref="E140:F140"/>
    <mergeCell ref="G140:H140"/>
    <mergeCell ref="I140:J140"/>
    <mergeCell ref="K140:L140"/>
    <mergeCell ref="M139:N139"/>
    <mergeCell ref="O139:P139"/>
    <mergeCell ref="Q139:R139"/>
    <mergeCell ref="S139:T139"/>
    <mergeCell ref="U139:V139"/>
    <mergeCell ref="W139:X139"/>
    <mergeCell ref="A139:B139"/>
    <mergeCell ref="C139:D139"/>
    <mergeCell ref="E139:F139"/>
    <mergeCell ref="G139:H139"/>
    <mergeCell ref="I139:J139"/>
    <mergeCell ref="K139:L139"/>
    <mergeCell ref="M142:N142"/>
    <mergeCell ref="O142:P142"/>
    <mergeCell ref="Q142:R142"/>
    <mergeCell ref="S142:T142"/>
    <mergeCell ref="U142:V142"/>
    <mergeCell ref="W142:X142"/>
    <mergeCell ref="A142:B142"/>
    <mergeCell ref="C142:D142"/>
    <mergeCell ref="E142:F142"/>
    <mergeCell ref="G142:H142"/>
    <mergeCell ref="I142:J142"/>
    <mergeCell ref="K142:L142"/>
    <mergeCell ref="M141:N141"/>
    <mergeCell ref="O141:P141"/>
    <mergeCell ref="Q141:R141"/>
    <mergeCell ref="S141:T141"/>
    <mergeCell ref="U141:V141"/>
    <mergeCell ref="W141:X141"/>
    <mergeCell ref="A141:B141"/>
    <mergeCell ref="C141:D141"/>
    <mergeCell ref="E141:F141"/>
    <mergeCell ref="G141:H141"/>
    <mergeCell ref="I141:J141"/>
    <mergeCell ref="K141:L141"/>
    <mergeCell ref="M144:N144"/>
    <mergeCell ref="O144:P144"/>
    <mergeCell ref="Q144:R144"/>
    <mergeCell ref="S144:T144"/>
    <mergeCell ref="U144:V144"/>
    <mergeCell ref="W144:X144"/>
    <mergeCell ref="A144:B144"/>
    <mergeCell ref="C144:D144"/>
    <mergeCell ref="E144:F144"/>
    <mergeCell ref="G144:H144"/>
    <mergeCell ref="I144:J144"/>
    <mergeCell ref="K144:L144"/>
    <mergeCell ref="M143:N143"/>
    <mergeCell ref="O143:P143"/>
    <mergeCell ref="Q143:R143"/>
    <mergeCell ref="S143:T143"/>
    <mergeCell ref="U143:V143"/>
    <mergeCell ref="W143:X143"/>
    <mergeCell ref="A143:B143"/>
    <mergeCell ref="C143:D143"/>
    <mergeCell ref="E143:F143"/>
    <mergeCell ref="G143:H143"/>
    <mergeCell ref="I143:J143"/>
    <mergeCell ref="K143:L143"/>
    <mergeCell ref="M146:N146"/>
    <mergeCell ref="O146:P146"/>
    <mergeCell ref="Q146:R146"/>
    <mergeCell ref="S146:T146"/>
    <mergeCell ref="U146:V146"/>
    <mergeCell ref="W146:X146"/>
    <mergeCell ref="A146:B146"/>
    <mergeCell ref="C146:D146"/>
    <mergeCell ref="E146:F146"/>
    <mergeCell ref="G146:H146"/>
    <mergeCell ref="I146:J146"/>
    <mergeCell ref="K146:L146"/>
    <mergeCell ref="M145:N145"/>
    <mergeCell ref="O145:P145"/>
    <mergeCell ref="Q145:R145"/>
    <mergeCell ref="S145:T145"/>
    <mergeCell ref="U145:V145"/>
    <mergeCell ref="W145:X145"/>
    <mergeCell ref="A145:B145"/>
    <mergeCell ref="C145:D145"/>
    <mergeCell ref="E145:F145"/>
    <mergeCell ref="G145:H145"/>
    <mergeCell ref="I145:J145"/>
    <mergeCell ref="K145:L145"/>
    <mergeCell ref="M148:N148"/>
    <mergeCell ref="O148:P148"/>
    <mergeCell ref="Q148:R148"/>
    <mergeCell ref="S148:T148"/>
    <mergeCell ref="U148:V148"/>
    <mergeCell ref="W148:X148"/>
    <mergeCell ref="A148:B148"/>
    <mergeCell ref="C148:D148"/>
    <mergeCell ref="E148:F148"/>
    <mergeCell ref="G148:H148"/>
    <mergeCell ref="I148:J148"/>
    <mergeCell ref="K148:L148"/>
    <mergeCell ref="M147:N147"/>
    <mergeCell ref="O147:P147"/>
    <mergeCell ref="Q147:R147"/>
    <mergeCell ref="S147:T147"/>
    <mergeCell ref="U147:V147"/>
    <mergeCell ref="W147:X147"/>
    <mergeCell ref="A147:B147"/>
    <mergeCell ref="C147:D147"/>
    <mergeCell ref="E147:F147"/>
    <mergeCell ref="G147:H147"/>
    <mergeCell ref="I147:J147"/>
    <mergeCell ref="K147:L147"/>
    <mergeCell ref="M150:N150"/>
    <mergeCell ref="O150:P150"/>
    <mergeCell ref="Q150:R150"/>
    <mergeCell ref="S150:T150"/>
    <mergeCell ref="U150:V150"/>
    <mergeCell ref="W150:X150"/>
    <mergeCell ref="A150:B150"/>
    <mergeCell ref="C150:D150"/>
    <mergeCell ref="E150:F150"/>
    <mergeCell ref="G150:H150"/>
    <mergeCell ref="I150:J150"/>
    <mergeCell ref="K150:L150"/>
    <mergeCell ref="M149:N149"/>
    <mergeCell ref="O149:P149"/>
    <mergeCell ref="Q149:R149"/>
    <mergeCell ref="S149:T149"/>
    <mergeCell ref="U149:V149"/>
    <mergeCell ref="W149:X149"/>
    <mergeCell ref="A149:B149"/>
    <mergeCell ref="C149:D149"/>
    <mergeCell ref="E149:F149"/>
    <mergeCell ref="G149:H149"/>
    <mergeCell ref="I149:J149"/>
    <mergeCell ref="K149:L149"/>
    <mergeCell ref="M152:N152"/>
    <mergeCell ref="O152:P152"/>
    <mergeCell ref="Q152:R152"/>
    <mergeCell ref="S152:T152"/>
    <mergeCell ref="U152:V152"/>
    <mergeCell ref="W152:X152"/>
    <mergeCell ref="A152:B152"/>
    <mergeCell ref="C152:D152"/>
    <mergeCell ref="E152:F152"/>
    <mergeCell ref="G152:H152"/>
    <mergeCell ref="I152:J152"/>
    <mergeCell ref="K152:L152"/>
    <mergeCell ref="M151:N151"/>
    <mergeCell ref="O151:P151"/>
    <mergeCell ref="Q151:R151"/>
    <mergeCell ref="S151:T151"/>
    <mergeCell ref="U151:V151"/>
    <mergeCell ref="W151:X151"/>
    <mergeCell ref="A151:B151"/>
    <mergeCell ref="C151:D151"/>
    <mergeCell ref="E151:F151"/>
    <mergeCell ref="G151:H151"/>
    <mergeCell ref="I151:J151"/>
    <mergeCell ref="K151:L151"/>
    <mergeCell ref="M154:N154"/>
    <mergeCell ref="O154:P154"/>
    <mergeCell ref="Q154:R154"/>
    <mergeCell ref="S154:T154"/>
    <mergeCell ref="U154:V154"/>
    <mergeCell ref="W154:X154"/>
    <mergeCell ref="A154:B154"/>
    <mergeCell ref="C154:D154"/>
    <mergeCell ref="E154:F154"/>
    <mergeCell ref="G154:H154"/>
    <mergeCell ref="I154:J154"/>
    <mergeCell ref="K154:L154"/>
    <mergeCell ref="M153:N153"/>
    <mergeCell ref="O153:P153"/>
    <mergeCell ref="Q153:R153"/>
    <mergeCell ref="S153:T153"/>
    <mergeCell ref="U153:V153"/>
    <mergeCell ref="W153:X153"/>
    <mergeCell ref="A153:B153"/>
    <mergeCell ref="C153:D153"/>
    <mergeCell ref="E153:F153"/>
    <mergeCell ref="G153:H153"/>
    <mergeCell ref="I153:J153"/>
    <mergeCell ref="K153:L153"/>
    <mergeCell ref="M156:N156"/>
    <mergeCell ref="O156:P156"/>
    <mergeCell ref="Q156:R156"/>
    <mergeCell ref="S156:T156"/>
    <mergeCell ref="U156:V156"/>
    <mergeCell ref="W156:X156"/>
    <mergeCell ref="A156:B156"/>
    <mergeCell ref="C156:D156"/>
    <mergeCell ref="E156:F156"/>
    <mergeCell ref="G156:H156"/>
    <mergeCell ref="I156:J156"/>
    <mergeCell ref="K156:L156"/>
    <mergeCell ref="M155:N155"/>
    <mergeCell ref="O155:P155"/>
    <mergeCell ref="Q155:R155"/>
    <mergeCell ref="S155:T155"/>
    <mergeCell ref="U155:V155"/>
    <mergeCell ref="W155:X155"/>
    <mergeCell ref="A155:B155"/>
    <mergeCell ref="C155:D155"/>
    <mergeCell ref="E155:F155"/>
    <mergeCell ref="G155:H155"/>
    <mergeCell ref="I155:J155"/>
    <mergeCell ref="K155:L155"/>
    <mergeCell ref="M158:N158"/>
    <mergeCell ref="O158:P158"/>
    <mergeCell ref="Q158:R158"/>
    <mergeCell ref="S158:T158"/>
    <mergeCell ref="U158:V158"/>
    <mergeCell ref="W158:X158"/>
    <mergeCell ref="A158:B158"/>
    <mergeCell ref="C158:D158"/>
    <mergeCell ref="E158:F158"/>
    <mergeCell ref="G158:H158"/>
    <mergeCell ref="I158:J158"/>
    <mergeCell ref="K158:L158"/>
    <mergeCell ref="M157:N157"/>
    <mergeCell ref="O157:P157"/>
    <mergeCell ref="Q157:R157"/>
    <mergeCell ref="S157:T157"/>
    <mergeCell ref="U157:V157"/>
    <mergeCell ref="W157:X157"/>
    <mergeCell ref="A157:B157"/>
    <mergeCell ref="C157:D157"/>
    <mergeCell ref="E157:F157"/>
    <mergeCell ref="G157:H157"/>
    <mergeCell ref="I157:J157"/>
    <mergeCell ref="K157:L157"/>
    <mergeCell ref="M160:N160"/>
    <mergeCell ref="O160:P160"/>
    <mergeCell ref="Q160:R160"/>
    <mergeCell ref="S160:T160"/>
    <mergeCell ref="U160:V160"/>
    <mergeCell ref="W160:X160"/>
    <mergeCell ref="A160:B160"/>
    <mergeCell ref="C160:D160"/>
    <mergeCell ref="E160:F160"/>
    <mergeCell ref="G160:H160"/>
    <mergeCell ref="I160:J160"/>
    <mergeCell ref="K160:L160"/>
    <mergeCell ref="M159:N159"/>
    <mergeCell ref="O159:P159"/>
    <mergeCell ref="Q159:R159"/>
    <mergeCell ref="S159:T159"/>
    <mergeCell ref="U159:V159"/>
    <mergeCell ref="W159:X159"/>
    <mergeCell ref="A159:B159"/>
    <mergeCell ref="C159:D159"/>
    <mergeCell ref="E159:F159"/>
    <mergeCell ref="G159:H159"/>
    <mergeCell ref="I159:J159"/>
    <mergeCell ref="K159:L159"/>
    <mergeCell ref="M162:N162"/>
    <mergeCell ref="O162:P162"/>
    <mergeCell ref="Q162:R162"/>
    <mergeCell ref="S162:T162"/>
    <mergeCell ref="U162:V162"/>
    <mergeCell ref="W162:X162"/>
    <mergeCell ref="A162:B162"/>
    <mergeCell ref="C162:D162"/>
    <mergeCell ref="E162:F162"/>
    <mergeCell ref="G162:H162"/>
    <mergeCell ref="I162:J162"/>
    <mergeCell ref="K162:L162"/>
    <mergeCell ref="M161:N161"/>
    <mergeCell ref="O161:P161"/>
    <mergeCell ref="Q161:R161"/>
    <mergeCell ref="S161:T161"/>
    <mergeCell ref="U161:V161"/>
    <mergeCell ref="W161:X161"/>
    <mergeCell ref="A161:B161"/>
    <mergeCell ref="C161:D161"/>
    <mergeCell ref="E161:F161"/>
    <mergeCell ref="G161:H161"/>
    <mergeCell ref="I161:J161"/>
    <mergeCell ref="K161:L161"/>
    <mergeCell ref="M164:N164"/>
    <mergeCell ref="O164:P164"/>
    <mergeCell ref="Q164:R164"/>
    <mergeCell ref="S164:T164"/>
    <mergeCell ref="U164:V164"/>
    <mergeCell ref="W164:X164"/>
    <mergeCell ref="A164:B164"/>
    <mergeCell ref="C164:D164"/>
    <mergeCell ref="E164:F164"/>
    <mergeCell ref="G164:H164"/>
    <mergeCell ref="I164:J164"/>
    <mergeCell ref="K164:L164"/>
    <mergeCell ref="M163:N163"/>
    <mergeCell ref="O163:P163"/>
    <mergeCell ref="Q163:R163"/>
    <mergeCell ref="S163:T163"/>
    <mergeCell ref="U163:V163"/>
    <mergeCell ref="W163:X163"/>
    <mergeCell ref="A163:B163"/>
    <mergeCell ref="C163:D163"/>
    <mergeCell ref="E163:F163"/>
    <mergeCell ref="G163:H163"/>
    <mergeCell ref="I163:J163"/>
    <mergeCell ref="K163:L163"/>
    <mergeCell ref="M166:N166"/>
    <mergeCell ref="O166:P166"/>
    <mergeCell ref="Q166:R166"/>
    <mergeCell ref="S166:T166"/>
    <mergeCell ref="U166:V166"/>
    <mergeCell ref="W166:X166"/>
    <mergeCell ref="A166:B166"/>
    <mergeCell ref="C166:D166"/>
    <mergeCell ref="E166:F166"/>
    <mergeCell ref="G166:H166"/>
    <mergeCell ref="I166:J166"/>
    <mergeCell ref="K166:L166"/>
    <mergeCell ref="M165:N165"/>
    <mergeCell ref="O165:P165"/>
    <mergeCell ref="Q165:R165"/>
    <mergeCell ref="S165:T165"/>
    <mergeCell ref="U165:V165"/>
    <mergeCell ref="W165:X165"/>
    <mergeCell ref="A165:B165"/>
    <mergeCell ref="C165:D165"/>
    <mergeCell ref="E165:F165"/>
    <mergeCell ref="G165:H165"/>
    <mergeCell ref="I165:J165"/>
    <mergeCell ref="K165:L165"/>
    <mergeCell ref="M168:N168"/>
    <mergeCell ref="O168:P168"/>
    <mergeCell ref="Q168:R168"/>
    <mergeCell ref="S168:T168"/>
    <mergeCell ref="U168:V168"/>
    <mergeCell ref="W168:X168"/>
    <mergeCell ref="A168:B168"/>
    <mergeCell ref="C168:D168"/>
    <mergeCell ref="E168:F168"/>
    <mergeCell ref="G168:H168"/>
    <mergeCell ref="I168:J168"/>
    <mergeCell ref="K168:L168"/>
    <mergeCell ref="M167:N167"/>
    <mergeCell ref="O167:P167"/>
    <mergeCell ref="Q167:R167"/>
    <mergeCell ref="S167:T167"/>
    <mergeCell ref="U167:V167"/>
    <mergeCell ref="W167:X167"/>
    <mergeCell ref="A167:B167"/>
    <mergeCell ref="C167:D167"/>
    <mergeCell ref="E167:F167"/>
    <mergeCell ref="G167:H167"/>
    <mergeCell ref="I167:J167"/>
    <mergeCell ref="K167:L167"/>
    <mergeCell ref="M170:N170"/>
    <mergeCell ref="O170:P170"/>
    <mergeCell ref="Q170:R170"/>
    <mergeCell ref="S170:T170"/>
    <mergeCell ref="U170:V170"/>
    <mergeCell ref="W170:X170"/>
    <mergeCell ref="A170:B170"/>
    <mergeCell ref="C170:D170"/>
    <mergeCell ref="E170:F170"/>
    <mergeCell ref="G170:H170"/>
    <mergeCell ref="I170:J170"/>
    <mergeCell ref="K170:L170"/>
    <mergeCell ref="M169:N169"/>
    <mergeCell ref="O169:P169"/>
    <mergeCell ref="Q169:R169"/>
    <mergeCell ref="S169:T169"/>
    <mergeCell ref="U169:V169"/>
    <mergeCell ref="W169:X169"/>
    <mergeCell ref="A169:B169"/>
    <mergeCell ref="C169:D169"/>
    <mergeCell ref="E169:F169"/>
    <mergeCell ref="G169:H169"/>
    <mergeCell ref="I169:J169"/>
    <mergeCell ref="K169:L169"/>
    <mergeCell ref="M172:N172"/>
    <mergeCell ref="O172:P172"/>
    <mergeCell ref="Q172:R172"/>
    <mergeCell ref="S172:T172"/>
    <mergeCell ref="U172:V172"/>
    <mergeCell ref="W172:X172"/>
    <mergeCell ref="A172:B172"/>
    <mergeCell ref="C172:D172"/>
    <mergeCell ref="E172:F172"/>
    <mergeCell ref="G172:H172"/>
    <mergeCell ref="I172:J172"/>
    <mergeCell ref="K172:L172"/>
    <mergeCell ref="M171:N171"/>
    <mergeCell ref="O171:P171"/>
    <mergeCell ref="Q171:R171"/>
    <mergeCell ref="S171:T171"/>
    <mergeCell ref="U171:V171"/>
    <mergeCell ref="W171:X171"/>
    <mergeCell ref="A171:B171"/>
    <mergeCell ref="C171:D171"/>
    <mergeCell ref="E171:F171"/>
    <mergeCell ref="G171:H171"/>
    <mergeCell ref="I171:J171"/>
    <mergeCell ref="K171:L171"/>
    <mergeCell ref="M174:N174"/>
    <mergeCell ref="O174:P174"/>
    <mergeCell ref="Q174:R174"/>
    <mergeCell ref="S174:T174"/>
    <mergeCell ref="U174:V174"/>
    <mergeCell ref="W174:X174"/>
    <mergeCell ref="A174:B174"/>
    <mergeCell ref="C174:D174"/>
    <mergeCell ref="E174:F174"/>
    <mergeCell ref="G174:H174"/>
    <mergeCell ref="I174:J174"/>
    <mergeCell ref="K174:L174"/>
    <mergeCell ref="M173:N173"/>
    <mergeCell ref="O173:P173"/>
    <mergeCell ref="Q173:R173"/>
    <mergeCell ref="S173:T173"/>
    <mergeCell ref="U173:V173"/>
    <mergeCell ref="W173:X173"/>
    <mergeCell ref="A173:B173"/>
    <mergeCell ref="C173:D173"/>
    <mergeCell ref="E173:F173"/>
    <mergeCell ref="G173:H173"/>
    <mergeCell ref="I173:J173"/>
    <mergeCell ref="K173:L173"/>
    <mergeCell ref="M176:N176"/>
    <mergeCell ref="O176:P176"/>
    <mergeCell ref="Q176:R176"/>
    <mergeCell ref="S176:T176"/>
    <mergeCell ref="U176:V176"/>
    <mergeCell ref="W176:X176"/>
    <mergeCell ref="A176:B176"/>
    <mergeCell ref="C176:D176"/>
    <mergeCell ref="E176:F176"/>
    <mergeCell ref="G176:H176"/>
    <mergeCell ref="I176:J176"/>
    <mergeCell ref="K176:L176"/>
    <mergeCell ref="M175:N175"/>
    <mergeCell ref="O175:P175"/>
    <mergeCell ref="Q175:R175"/>
    <mergeCell ref="S175:T175"/>
    <mergeCell ref="U175:V175"/>
    <mergeCell ref="W175:X175"/>
    <mergeCell ref="A175:B175"/>
    <mergeCell ref="C175:D175"/>
    <mergeCell ref="E175:F175"/>
    <mergeCell ref="G175:H175"/>
    <mergeCell ref="I175:J175"/>
    <mergeCell ref="K175:L175"/>
    <mergeCell ref="M178:N178"/>
    <mergeCell ref="O178:P178"/>
    <mergeCell ref="Q178:R178"/>
    <mergeCell ref="S178:T178"/>
    <mergeCell ref="U178:V178"/>
    <mergeCell ref="W178:X178"/>
    <mergeCell ref="A178:B178"/>
    <mergeCell ref="C178:D178"/>
    <mergeCell ref="E178:F178"/>
    <mergeCell ref="G178:H178"/>
    <mergeCell ref="I178:J178"/>
    <mergeCell ref="K178:L178"/>
    <mergeCell ref="M177:N177"/>
    <mergeCell ref="O177:P177"/>
    <mergeCell ref="Q177:R177"/>
    <mergeCell ref="S177:T177"/>
    <mergeCell ref="U177:V177"/>
    <mergeCell ref="W177:X177"/>
    <mergeCell ref="A177:B177"/>
    <mergeCell ref="C177:D177"/>
    <mergeCell ref="E177:F177"/>
    <mergeCell ref="G177:H177"/>
    <mergeCell ref="I177:J177"/>
    <mergeCell ref="K177:L177"/>
    <mergeCell ref="M180:N180"/>
    <mergeCell ref="O180:P180"/>
    <mergeCell ref="Q180:R180"/>
    <mergeCell ref="S180:T180"/>
    <mergeCell ref="U180:V180"/>
    <mergeCell ref="W180:X180"/>
    <mergeCell ref="A180:B180"/>
    <mergeCell ref="C180:D180"/>
    <mergeCell ref="E180:F180"/>
    <mergeCell ref="G180:H180"/>
    <mergeCell ref="I180:J180"/>
    <mergeCell ref="K180:L180"/>
    <mergeCell ref="M179:N179"/>
    <mergeCell ref="O179:P179"/>
    <mergeCell ref="Q179:R179"/>
    <mergeCell ref="S179:T179"/>
    <mergeCell ref="U179:V179"/>
    <mergeCell ref="W179:X179"/>
    <mergeCell ref="A179:B179"/>
    <mergeCell ref="C179:D179"/>
    <mergeCell ref="E179:F179"/>
    <mergeCell ref="G179:H179"/>
    <mergeCell ref="I179:J179"/>
    <mergeCell ref="K179:L179"/>
    <mergeCell ref="M182:N182"/>
    <mergeCell ref="O182:P182"/>
    <mergeCell ref="Q182:R182"/>
    <mergeCell ref="S182:T182"/>
    <mergeCell ref="U182:V182"/>
    <mergeCell ref="W182:X182"/>
    <mergeCell ref="A182:B182"/>
    <mergeCell ref="C182:D182"/>
    <mergeCell ref="E182:F182"/>
    <mergeCell ref="G182:H182"/>
    <mergeCell ref="I182:J182"/>
    <mergeCell ref="K182:L182"/>
    <mergeCell ref="M181:N181"/>
    <mergeCell ref="O181:P181"/>
    <mergeCell ref="Q181:R181"/>
    <mergeCell ref="S181:T181"/>
    <mergeCell ref="U181:V181"/>
    <mergeCell ref="W181:X181"/>
    <mergeCell ref="A181:B181"/>
    <mergeCell ref="C181:D181"/>
    <mergeCell ref="E181:F181"/>
    <mergeCell ref="G181:H181"/>
    <mergeCell ref="I181:J181"/>
    <mergeCell ref="K181:L181"/>
    <mergeCell ref="M184:N184"/>
    <mergeCell ref="O184:P184"/>
    <mergeCell ref="Q184:R184"/>
    <mergeCell ref="S184:T184"/>
    <mergeCell ref="U184:V184"/>
    <mergeCell ref="W184:X184"/>
    <mergeCell ref="A184:B184"/>
    <mergeCell ref="C184:D184"/>
    <mergeCell ref="E184:F184"/>
    <mergeCell ref="G184:H184"/>
    <mergeCell ref="I184:J184"/>
    <mergeCell ref="K184:L184"/>
    <mergeCell ref="M183:N183"/>
    <mergeCell ref="O183:P183"/>
    <mergeCell ref="Q183:R183"/>
    <mergeCell ref="S183:T183"/>
    <mergeCell ref="U183:V183"/>
    <mergeCell ref="W183:X183"/>
    <mergeCell ref="A183:B183"/>
    <mergeCell ref="C183:D183"/>
    <mergeCell ref="E183:F183"/>
    <mergeCell ref="G183:H183"/>
    <mergeCell ref="I183:J183"/>
    <mergeCell ref="K183:L183"/>
    <mergeCell ref="M186:N186"/>
    <mergeCell ref="O186:P186"/>
    <mergeCell ref="Q186:R186"/>
    <mergeCell ref="S186:T186"/>
    <mergeCell ref="U186:V186"/>
    <mergeCell ref="W186:X186"/>
    <mergeCell ref="A186:B186"/>
    <mergeCell ref="C186:D186"/>
    <mergeCell ref="E186:F186"/>
    <mergeCell ref="G186:H186"/>
    <mergeCell ref="I186:J186"/>
    <mergeCell ref="K186:L186"/>
    <mergeCell ref="M185:N185"/>
    <mergeCell ref="O185:P185"/>
    <mergeCell ref="Q185:R185"/>
    <mergeCell ref="S185:T185"/>
    <mergeCell ref="U185:V185"/>
    <mergeCell ref="W185:X185"/>
    <mergeCell ref="A185:B185"/>
    <mergeCell ref="C185:D185"/>
    <mergeCell ref="E185:F185"/>
    <mergeCell ref="G185:H185"/>
    <mergeCell ref="I185:J185"/>
    <mergeCell ref="K185:L185"/>
    <mergeCell ref="M188:N188"/>
    <mergeCell ref="O188:P188"/>
    <mergeCell ref="Q188:R188"/>
    <mergeCell ref="S188:T188"/>
    <mergeCell ref="U188:V188"/>
    <mergeCell ref="W188:X188"/>
    <mergeCell ref="A188:B188"/>
    <mergeCell ref="C188:D188"/>
    <mergeCell ref="E188:F188"/>
    <mergeCell ref="G188:H188"/>
    <mergeCell ref="I188:J188"/>
    <mergeCell ref="K188:L188"/>
    <mergeCell ref="M187:N187"/>
    <mergeCell ref="O187:P187"/>
    <mergeCell ref="Q187:R187"/>
    <mergeCell ref="S187:T187"/>
    <mergeCell ref="U187:V187"/>
    <mergeCell ref="W187:X187"/>
    <mergeCell ref="A187:B187"/>
    <mergeCell ref="C187:D187"/>
    <mergeCell ref="E187:F187"/>
    <mergeCell ref="G187:H187"/>
    <mergeCell ref="I187:J187"/>
    <mergeCell ref="K187:L187"/>
    <mergeCell ref="M190:N190"/>
    <mergeCell ref="O190:P190"/>
    <mergeCell ref="Q190:R190"/>
    <mergeCell ref="S190:T190"/>
    <mergeCell ref="U190:V190"/>
    <mergeCell ref="W190:X190"/>
    <mergeCell ref="A190:B190"/>
    <mergeCell ref="C190:D190"/>
    <mergeCell ref="E190:F190"/>
    <mergeCell ref="G190:H190"/>
    <mergeCell ref="I190:J190"/>
    <mergeCell ref="K190:L190"/>
    <mergeCell ref="M189:N189"/>
    <mergeCell ref="O189:P189"/>
    <mergeCell ref="Q189:R189"/>
    <mergeCell ref="S189:T189"/>
    <mergeCell ref="U189:V189"/>
    <mergeCell ref="W189:X189"/>
    <mergeCell ref="A189:B189"/>
    <mergeCell ref="C189:D189"/>
    <mergeCell ref="E189:F189"/>
    <mergeCell ref="G189:H189"/>
    <mergeCell ref="I189:J189"/>
    <mergeCell ref="K189:L189"/>
    <mergeCell ref="M192:N192"/>
    <mergeCell ref="O192:P192"/>
    <mergeCell ref="Q192:R192"/>
    <mergeCell ref="S192:T192"/>
    <mergeCell ref="U192:V192"/>
    <mergeCell ref="W192:X192"/>
    <mergeCell ref="A192:B192"/>
    <mergeCell ref="C192:D192"/>
    <mergeCell ref="E192:F192"/>
    <mergeCell ref="G192:H192"/>
    <mergeCell ref="I192:J192"/>
    <mergeCell ref="K192:L192"/>
    <mergeCell ref="M191:N191"/>
    <mergeCell ref="O191:P191"/>
    <mergeCell ref="Q191:R191"/>
    <mergeCell ref="S191:T191"/>
    <mergeCell ref="U191:V191"/>
    <mergeCell ref="W191:X191"/>
    <mergeCell ref="A191:B191"/>
    <mergeCell ref="C191:D191"/>
    <mergeCell ref="E191:F191"/>
    <mergeCell ref="G191:H191"/>
    <mergeCell ref="I191:J191"/>
    <mergeCell ref="K191:L191"/>
    <mergeCell ref="M194:N194"/>
    <mergeCell ref="O194:P194"/>
    <mergeCell ref="Q194:R194"/>
    <mergeCell ref="S194:T194"/>
    <mergeCell ref="U194:V194"/>
    <mergeCell ref="W194:X194"/>
    <mergeCell ref="A194:B194"/>
    <mergeCell ref="C194:D194"/>
    <mergeCell ref="E194:F194"/>
    <mergeCell ref="G194:H194"/>
    <mergeCell ref="I194:J194"/>
    <mergeCell ref="K194:L194"/>
    <mergeCell ref="M193:N193"/>
    <mergeCell ref="O193:P193"/>
    <mergeCell ref="Q193:R193"/>
    <mergeCell ref="S193:T193"/>
    <mergeCell ref="U193:V193"/>
    <mergeCell ref="W193:X193"/>
    <mergeCell ref="A193:B193"/>
    <mergeCell ref="C193:D193"/>
    <mergeCell ref="E193:F193"/>
    <mergeCell ref="G193:H193"/>
    <mergeCell ref="I193:J193"/>
    <mergeCell ref="K193:L193"/>
    <mergeCell ref="M196:N196"/>
    <mergeCell ref="O196:P196"/>
    <mergeCell ref="Q196:R196"/>
    <mergeCell ref="S196:T196"/>
    <mergeCell ref="U196:V196"/>
    <mergeCell ref="W196:X196"/>
    <mergeCell ref="A196:B196"/>
    <mergeCell ref="C196:D196"/>
    <mergeCell ref="E196:F196"/>
    <mergeCell ref="G196:H196"/>
    <mergeCell ref="I196:J196"/>
    <mergeCell ref="K196:L196"/>
    <mergeCell ref="M195:N195"/>
    <mergeCell ref="O195:P195"/>
    <mergeCell ref="Q195:R195"/>
    <mergeCell ref="S195:T195"/>
    <mergeCell ref="U195:V195"/>
    <mergeCell ref="W195:X195"/>
    <mergeCell ref="A195:B195"/>
    <mergeCell ref="C195:D195"/>
    <mergeCell ref="E195:F195"/>
    <mergeCell ref="G195:H195"/>
    <mergeCell ref="I195:J195"/>
    <mergeCell ref="K195:L195"/>
    <mergeCell ref="M198:N198"/>
    <mergeCell ref="O198:P198"/>
    <mergeCell ref="Q198:R198"/>
    <mergeCell ref="S198:T198"/>
    <mergeCell ref="U198:V198"/>
    <mergeCell ref="W198:X198"/>
    <mergeCell ref="A198:B198"/>
    <mergeCell ref="C198:D198"/>
    <mergeCell ref="E198:F198"/>
    <mergeCell ref="G198:H198"/>
    <mergeCell ref="I198:J198"/>
    <mergeCell ref="K198:L198"/>
    <mergeCell ref="M197:N197"/>
    <mergeCell ref="O197:P197"/>
    <mergeCell ref="Q197:R197"/>
    <mergeCell ref="S197:T197"/>
    <mergeCell ref="U197:V197"/>
    <mergeCell ref="W197:X197"/>
    <mergeCell ref="A197:B197"/>
    <mergeCell ref="C197:D197"/>
    <mergeCell ref="E197:F197"/>
    <mergeCell ref="G197:H197"/>
    <mergeCell ref="I197:J197"/>
    <mergeCell ref="K197:L197"/>
    <mergeCell ref="M200:N200"/>
    <mergeCell ref="O200:P200"/>
    <mergeCell ref="Q200:R200"/>
    <mergeCell ref="S200:T200"/>
    <mergeCell ref="U200:V200"/>
    <mergeCell ref="W200:X200"/>
    <mergeCell ref="A200:B200"/>
    <mergeCell ref="C200:D200"/>
    <mergeCell ref="E200:F200"/>
    <mergeCell ref="G200:H200"/>
    <mergeCell ref="I200:J200"/>
    <mergeCell ref="K200:L200"/>
    <mergeCell ref="M199:N199"/>
    <mergeCell ref="O199:P199"/>
    <mergeCell ref="Q199:R199"/>
    <mergeCell ref="S199:T199"/>
    <mergeCell ref="U199:V199"/>
    <mergeCell ref="W199:X199"/>
    <mergeCell ref="A199:B199"/>
    <mergeCell ref="C199:D199"/>
    <mergeCell ref="E199:F199"/>
    <mergeCell ref="G199:H199"/>
    <mergeCell ref="I199:J199"/>
    <mergeCell ref="K199:L199"/>
    <mergeCell ref="M202:N202"/>
    <mergeCell ref="O202:P202"/>
    <mergeCell ref="Q202:R202"/>
    <mergeCell ref="S202:T202"/>
    <mergeCell ref="U202:V202"/>
    <mergeCell ref="W202:X202"/>
    <mergeCell ref="A202:B202"/>
    <mergeCell ref="C202:D202"/>
    <mergeCell ref="E202:F202"/>
    <mergeCell ref="G202:H202"/>
    <mergeCell ref="I202:J202"/>
    <mergeCell ref="K202:L202"/>
    <mergeCell ref="M201:N201"/>
    <mergeCell ref="O201:P201"/>
    <mergeCell ref="Q201:R201"/>
    <mergeCell ref="S201:T201"/>
    <mergeCell ref="U201:V201"/>
    <mergeCell ref="W201:X201"/>
    <mergeCell ref="A201:B201"/>
    <mergeCell ref="C201:D201"/>
    <mergeCell ref="E201:F201"/>
    <mergeCell ref="G201:H201"/>
    <mergeCell ref="I201:J201"/>
    <mergeCell ref="K201:L201"/>
    <mergeCell ref="M204:N204"/>
    <mergeCell ref="O204:P204"/>
    <mergeCell ref="Q204:R204"/>
    <mergeCell ref="S204:T204"/>
    <mergeCell ref="U204:V204"/>
    <mergeCell ref="W204:X204"/>
    <mergeCell ref="A204:B204"/>
    <mergeCell ref="C204:D204"/>
    <mergeCell ref="E204:F204"/>
    <mergeCell ref="G204:H204"/>
    <mergeCell ref="I204:J204"/>
    <mergeCell ref="K204:L204"/>
    <mergeCell ref="M203:N203"/>
    <mergeCell ref="O203:P203"/>
    <mergeCell ref="Q203:R203"/>
    <mergeCell ref="S203:T203"/>
    <mergeCell ref="U203:V203"/>
    <mergeCell ref="W203:X203"/>
    <mergeCell ref="A203:B203"/>
    <mergeCell ref="C203:D203"/>
    <mergeCell ref="E203:F203"/>
    <mergeCell ref="G203:H203"/>
    <mergeCell ref="I203:J203"/>
    <mergeCell ref="K203:L203"/>
    <mergeCell ref="M206:N206"/>
    <mergeCell ref="O206:P206"/>
    <mergeCell ref="Q206:R206"/>
    <mergeCell ref="S206:T206"/>
    <mergeCell ref="U206:V206"/>
    <mergeCell ref="W206:X206"/>
    <mergeCell ref="A206:B206"/>
    <mergeCell ref="C206:D206"/>
    <mergeCell ref="E206:F206"/>
    <mergeCell ref="G206:H206"/>
    <mergeCell ref="I206:J206"/>
    <mergeCell ref="K206:L206"/>
    <mergeCell ref="M205:N205"/>
    <mergeCell ref="O205:P205"/>
    <mergeCell ref="Q205:R205"/>
    <mergeCell ref="S205:T205"/>
    <mergeCell ref="U205:V205"/>
    <mergeCell ref="W205:X205"/>
    <mergeCell ref="A205:B205"/>
    <mergeCell ref="C205:D205"/>
    <mergeCell ref="E205:F205"/>
    <mergeCell ref="G205:H205"/>
    <mergeCell ref="I205:J205"/>
    <mergeCell ref="K205:L205"/>
    <mergeCell ref="M208:N208"/>
    <mergeCell ref="O208:P208"/>
    <mergeCell ref="Q208:R208"/>
    <mergeCell ref="S208:T208"/>
    <mergeCell ref="U208:V208"/>
    <mergeCell ref="W208:X208"/>
    <mergeCell ref="A208:B208"/>
    <mergeCell ref="C208:D208"/>
    <mergeCell ref="E208:F208"/>
    <mergeCell ref="G208:H208"/>
    <mergeCell ref="I208:J208"/>
    <mergeCell ref="K208:L208"/>
    <mergeCell ref="M207:N207"/>
    <mergeCell ref="O207:P207"/>
    <mergeCell ref="Q207:R207"/>
    <mergeCell ref="S207:T207"/>
    <mergeCell ref="U207:V207"/>
    <mergeCell ref="W207:X207"/>
    <mergeCell ref="A207:B207"/>
    <mergeCell ref="C207:D207"/>
    <mergeCell ref="E207:F207"/>
    <mergeCell ref="G207:H207"/>
    <mergeCell ref="I207:J207"/>
    <mergeCell ref="K207:L207"/>
    <mergeCell ref="M210:N210"/>
    <mergeCell ref="O210:P210"/>
    <mergeCell ref="Q210:R210"/>
    <mergeCell ref="S210:T210"/>
    <mergeCell ref="U210:V210"/>
    <mergeCell ref="W210:X210"/>
    <mergeCell ref="A210:B210"/>
    <mergeCell ref="C210:D210"/>
    <mergeCell ref="E210:F210"/>
    <mergeCell ref="G210:H210"/>
    <mergeCell ref="I210:J210"/>
    <mergeCell ref="K210:L210"/>
    <mergeCell ref="M209:N209"/>
    <mergeCell ref="O209:P209"/>
    <mergeCell ref="Q209:R209"/>
    <mergeCell ref="S209:T209"/>
    <mergeCell ref="U209:V209"/>
    <mergeCell ref="W209:X209"/>
    <mergeCell ref="A209:B209"/>
    <mergeCell ref="C209:D209"/>
    <mergeCell ref="E209:F209"/>
    <mergeCell ref="G209:H209"/>
    <mergeCell ref="I209:J209"/>
    <mergeCell ref="K209:L209"/>
    <mergeCell ref="M212:N212"/>
    <mergeCell ref="O212:P212"/>
    <mergeCell ref="Q212:R212"/>
    <mergeCell ref="S212:T212"/>
    <mergeCell ref="U212:V212"/>
    <mergeCell ref="W212:X212"/>
    <mergeCell ref="A212:B212"/>
    <mergeCell ref="C212:D212"/>
    <mergeCell ref="E212:F212"/>
    <mergeCell ref="G212:H212"/>
    <mergeCell ref="I212:J212"/>
    <mergeCell ref="K212:L212"/>
    <mergeCell ref="M211:N211"/>
    <mergeCell ref="O211:P211"/>
    <mergeCell ref="Q211:R211"/>
    <mergeCell ref="S211:T211"/>
    <mergeCell ref="U211:V211"/>
    <mergeCell ref="W211:X211"/>
    <mergeCell ref="A211:B211"/>
    <mergeCell ref="C211:D211"/>
    <mergeCell ref="E211:F211"/>
    <mergeCell ref="G211:H211"/>
    <mergeCell ref="I211:J211"/>
    <mergeCell ref="K211:L211"/>
    <mergeCell ref="M214:N214"/>
    <mergeCell ref="O214:P214"/>
    <mergeCell ref="Q214:R214"/>
    <mergeCell ref="S214:T214"/>
    <mergeCell ref="U214:V214"/>
    <mergeCell ref="W214:X214"/>
    <mergeCell ref="A214:B214"/>
    <mergeCell ref="C214:D214"/>
    <mergeCell ref="E214:F214"/>
    <mergeCell ref="G214:H214"/>
    <mergeCell ref="I214:J214"/>
    <mergeCell ref="K214:L214"/>
    <mergeCell ref="M213:N213"/>
    <mergeCell ref="O213:P213"/>
    <mergeCell ref="Q213:R213"/>
    <mergeCell ref="S213:T213"/>
    <mergeCell ref="U213:V213"/>
    <mergeCell ref="W213:X213"/>
    <mergeCell ref="A213:B213"/>
    <mergeCell ref="C213:D213"/>
    <mergeCell ref="E213:F213"/>
    <mergeCell ref="G213:H213"/>
    <mergeCell ref="I213:J213"/>
    <mergeCell ref="K213:L213"/>
    <mergeCell ref="M216:N216"/>
    <mergeCell ref="O216:P216"/>
    <mergeCell ref="Q216:R216"/>
    <mergeCell ref="S216:T216"/>
    <mergeCell ref="U216:V216"/>
    <mergeCell ref="W216:X216"/>
    <mergeCell ref="A216:B216"/>
    <mergeCell ref="C216:D216"/>
    <mergeCell ref="E216:F216"/>
    <mergeCell ref="G216:H216"/>
    <mergeCell ref="I216:J216"/>
    <mergeCell ref="K216:L216"/>
    <mergeCell ref="M215:N215"/>
    <mergeCell ref="O215:P215"/>
    <mergeCell ref="Q215:R215"/>
    <mergeCell ref="S215:T215"/>
    <mergeCell ref="U215:V215"/>
    <mergeCell ref="W215:X215"/>
    <mergeCell ref="A215:B215"/>
    <mergeCell ref="C215:D215"/>
    <mergeCell ref="E215:F215"/>
    <mergeCell ref="G215:H215"/>
    <mergeCell ref="I215:J215"/>
    <mergeCell ref="K215:L215"/>
    <mergeCell ref="M218:N218"/>
    <mergeCell ref="O218:P218"/>
    <mergeCell ref="Q218:R218"/>
    <mergeCell ref="S218:T218"/>
    <mergeCell ref="U218:V218"/>
    <mergeCell ref="W218:X218"/>
    <mergeCell ref="A218:B218"/>
    <mergeCell ref="C218:D218"/>
    <mergeCell ref="E218:F218"/>
    <mergeCell ref="G218:H218"/>
    <mergeCell ref="I218:J218"/>
    <mergeCell ref="K218:L218"/>
    <mergeCell ref="M217:N217"/>
    <mergeCell ref="O217:P217"/>
    <mergeCell ref="Q217:R217"/>
    <mergeCell ref="S217:T217"/>
    <mergeCell ref="U217:V217"/>
    <mergeCell ref="W217:X217"/>
    <mergeCell ref="A217:B217"/>
    <mergeCell ref="C217:D217"/>
    <mergeCell ref="E217:F217"/>
    <mergeCell ref="G217:H217"/>
    <mergeCell ref="I217:J217"/>
    <mergeCell ref="K217:L217"/>
    <mergeCell ref="M220:N220"/>
    <mergeCell ref="O220:P220"/>
    <mergeCell ref="Q220:R220"/>
    <mergeCell ref="S220:T220"/>
    <mergeCell ref="U220:V220"/>
    <mergeCell ref="W220:X220"/>
    <mergeCell ref="A220:B220"/>
    <mergeCell ref="C220:D220"/>
    <mergeCell ref="E220:F220"/>
    <mergeCell ref="G220:H220"/>
    <mergeCell ref="I220:J220"/>
    <mergeCell ref="K220:L220"/>
    <mergeCell ref="M219:N219"/>
    <mergeCell ref="O219:P219"/>
    <mergeCell ref="Q219:R219"/>
    <mergeCell ref="S219:T219"/>
    <mergeCell ref="U219:V219"/>
    <mergeCell ref="W219:X219"/>
    <mergeCell ref="A219:B219"/>
    <mergeCell ref="C219:D219"/>
    <mergeCell ref="E219:F219"/>
    <mergeCell ref="G219:H219"/>
    <mergeCell ref="I219:J219"/>
    <mergeCell ref="K219:L219"/>
    <mergeCell ref="M222:N222"/>
    <mergeCell ref="O222:P222"/>
    <mergeCell ref="Q222:R222"/>
    <mergeCell ref="S222:T222"/>
    <mergeCell ref="U222:V222"/>
    <mergeCell ref="W222:X222"/>
    <mergeCell ref="A222:B222"/>
    <mergeCell ref="C222:D222"/>
    <mergeCell ref="E222:F222"/>
    <mergeCell ref="G222:H222"/>
    <mergeCell ref="I222:J222"/>
    <mergeCell ref="K222:L222"/>
    <mergeCell ref="M221:N221"/>
    <mergeCell ref="O221:P221"/>
    <mergeCell ref="Q221:R221"/>
    <mergeCell ref="S221:T221"/>
    <mergeCell ref="U221:V221"/>
    <mergeCell ref="W221:X221"/>
    <mergeCell ref="A221:B221"/>
    <mergeCell ref="C221:D221"/>
    <mergeCell ref="E221:F221"/>
    <mergeCell ref="G221:H221"/>
    <mergeCell ref="I221:J221"/>
    <mergeCell ref="K221:L221"/>
    <mergeCell ref="M224:N224"/>
    <mergeCell ref="O224:P224"/>
    <mergeCell ref="Q224:R224"/>
    <mergeCell ref="S224:T224"/>
    <mergeCell ref="U224:V224"/>
    <mergeCell ref="W224:X224"/>
    <mergeCell ref="A224:B224"/>
    <mergeCell ref="C224:D224"/>
    <mergeCell ref="E224:F224"/>
    <mergeCell ref="G224:H224"/>
    <mergeCell ref="I224:J224"/>
    <mergeCell ref="K224:L224"/>
    <mergeCell ref="M223:N223"/>
    <mergeCell ref="O223:P223"/>
    <mergeCell ref="Q223:R223"/>
    <mergeCell ref="S223:T223"/>
    <mergeCell ref="U223:V223"/>
    <mergeCell ref="W223:X223"/>
    <mergeCell ref="A223:B223"/>
    <mergeCell ref="C223:D223"/>
    <mergeCell ref="E223:F223"/>
    <mergeCell ref="G223:H223"/>
    <mergeCell ref="I223:J223"/>
    <mergeCell ref="K223:L223"/>
    <mergeCell ref="M226:N226"/>
    <mergeCell ref="O226:P226"/>
    <mergeCell ref="Q226:R226"/>
    <mergeCell ref="S226:T226"/>
    <mergeCell ref="U226:V226"/>
    <mergeCell ref="W226:X226"/>
    <mergeCell ref="A226:B226"/>
    <mergeCell ref="C226:D226"/>
    <mergeCell ref="E226:F226"/>
    <mergeCell ref="G226:H226"/>
    <mergeCell ref="I226:J226"/>
    <mergeCell ref="K226:L226"/>
    <mergeCell ref="M225:N225"/>
    <mergeCell ref="O225:P225"/>
    <mergeCell ref="Q225:R225"/>
    <mergeCell ref="S225:T225"/>
    <mergeCell ref="U225:V225"/>
    <mergeCell ref="W225:X225"/>
    <mergeCell ref="A225:B225"/>
    <mergeCell ref="C225:D225"/>
    <mergeCell ref="E225:F225"/>
    <mergeCell ref="G225:H225"/>
    <mergeCell ref="I225:J225"/>
    <mergeCell ref="K225:L225"/>
    <mergeCell ref="M228:N228"/>
    <mergeCell ref="O228:P228"/>
    <mergeCell ref="Q228:R228"/>
    <mergeCell ref="S228:T228"/>
    <mergeCell ref="U228:V228"/>
    <mergeCell ref="W228:X228"/>
    <mergeCell ref="A228:B228"/>
    <mergeCell ref="C228:D228"/>
    <mergeCell ref="E228:F228"/>
    <mergeCell ref="G228:H228"/>
    <mergeCell ref="I228:J228"/>
    <mergeCell ref="K228:L228"/>
    <mergeCell ref="M227:N227"/>
    <mergeCell ref="O227:P227"/>
    <mergeCell ref="Q227:R227"/>
    <mergeCell ref="S227:T227"/>
    <mergeCell ref="U227:V227"/>
    <mergeCell ref="W227:X227"/>
    <mergeCell ref="A227:B227"/>
    <mergeCell ref="C227:D227"/>
    <mergeCell ref="E227:F227"/>
    <mergeCell ref="G227:H227"/>
    <mergeCell ref="I227:J227"/>
    <mergeCell ref="K227:L227"/>
    <mergeCell ref="M230:N230"/>
    <mergeCell ref="O230:P230"/>
    <mergeCell ref="Q230:R230"/>
    <mergeCell ref="S230:T230"/>
    <mergeCell ref="U230:V230"/>
    <mergeCell ref="W230:X230"/>
    <mergeCell ref="A230:B230"/>
    <mergeCell ref="C230:D230"/>
    <mergeCell ref="E230:F230"/>
    <mergeCell ref="G230:H230"/>
    <mergeCell ref="I230:J230"/>
    <mergeCell ref="K230:L230"/>
    <mergeCell ref="M229:N229"/>
    <mergeCell ref="O229:P229"/>
    <mergeCell ref="Q229:R229"/>
    <mergeCell ref="S229:T229"/>
    <mergeCell ref="U229:V229"/>
    <mergeCell ref="W229:X229"/>
    <mergeCell ref="A229:B229"/>
    <mergeCell ref="C229:D229"/>
    <mergeCell ref="E229:F229"/>
    <mergeCell ref="G229:H229"/>
    <mergeCell ref="I229:J229"/>
    <mergeCell ref="K229:L229"/>
    <mergeCell ref="M232:N232"/>
    <mergeCell ref="O232:P232"/>
    <mergeCell ref="Q232:R232"/>
    <mergeCell ref="S232:T232"/>
    <mergeCell ref="U232:V232"/>
    <mergeCell ref="W232:X232"/>
    <mergeCell ref="A232:B232"/>
    <mergeCell ref="C232:D232"/>
    <mergeCell ref="E232:F232"/>
    <mergeCell ref="G232:H232"/>
    <mergeCell ref="I232:J232"/>
    <mergeCell ref="K232:L232"/>
    <mergeCell ref="M231:N231"/>
    <mergeCell ref="O231:P231"/>
    <mergeCell ref="Q231:R231"/>
    <mergeCell ref="S231:T231"/>
    <mergeCell ref="U231:V231"/>
    <mergeCell ref="W231:X231"/>
    <mergeCell ref="A231:B231"/>
    <mergeCell ref="C231:D231"/>
    <mergeCell ref="E231:F231"/>
    <mergeCell ref="G231:H231"/>
    <mergeCell ref="I231:J231"/>
    <mergeCell ref="K231:L231"/>
    <mergeCell ref="M234:N234"/>
    <mergeCell ref="O234:P234"/>
    <mergeCell ref="Q234:R234"/>
    <mergeCell ref="S234:T234"/>
    <mergeCell ref="U234:V234"/>
    <mergeCell ref="W234:X234"/>
    <mergeCell ref="A234:B234"/>
    <mergeCell ref="C234:D234"/>
    <mergeCell ref="E234:F234"/>
    <mergeCell ref="G234:H234"/>
    <mergeCell ref="I234:J234"/>
    <mergeCell ref="K234:L234"/>
    <mergeCell ref="M233:N233"/>
    <mergeCell ref="O233:P233"/>
    <mergeCell ref="Q233:R233"/>
    <mergeCell ref="S233:T233"/>
    <mergeCell ref="U233:V233"/>
    <mergeCell ref="W233:X233"/>
    <mergeCell ref="A233:B233"/>
    <mergeCell ref="C233:D233"/>
    <mergeCell ref="E233:F233"/>
    <mergeCell ref="G233:H233"/>
    <mergeCell ref="I233:J233"/>
    <mergeCell ref="K233:L233"/>
    <mergeCell ref="M236:N236"/>
    <mergeCell ref="O236:P236"/>
    <mergeCell ref="Q236:R236"/>
    <mergeCell ref="S236:T236"/>
    <mergeCell ref="U236:V236"/>
    <mergeCell ref="W236:X236"/>
    <mergeCell ref="A236:B236"/>
    <mergeCell ref="C236:D236"/>
    <mergeCell ref="E236:F236"/>
    <mergeCell ref="G236:H236"/>
    <mergeCell ref="I236:J236"/>
    <mergeCell ref="K236:L236"/>
    <mergeCell ref="M235:N235"/>
    <mergeCell ref="O235:P235"/>
    <mergeCell ref="Q235:R235"/>
    <mergeCell ref="S235:T235"/>
    <mergeCell ref="U235:V235"/>
    <mergeCell ref="W235:X235"/>
    <mergeCell ref="A235:B235"/>
    <mergeCell ref="C235:D235"/>
    <mergeCell ref="E235:F235"/>
    <mergeCell ref="G235:H235"/>
    <mergeCell ref="I235:J235"/>
    <mergeCell ref="K235:L235"/>
    <mergeCell ref="M238:N238"/>
    <mergeCell ref="O238:P238"/>
    <mergeCell ref="Q238:R238"/>
    <mergeCell ref="S238:T238"/>
    <mergeCell ref="U238:V238"/>
    <mergeCell ref="W238:X238"/>
    <mergeCell ref="A238:B238"/>
    <mergeCell ref="C238:D238"/>
    <mergeCell ref="E238:F238"/>
    <mergeCell ref="G238:H238"/>
    <mergeCell ref="I238:J238"/>
    <mergeCell ref="K238:L238"/>
    <mergeCell ref="M237:N237"/>
    <mergeCell ref="O237:P237"/>
    <mergeCell ref="Q237:R237"/>
    <mergeCell ref="S237:T237"/>
    <mergeCell ref="U237:V237"/>
    <mergeCell ref="W237:X237"/>
    <mergeCell ref="A237:B237"/>
    <mergeCell ref="C237:D237"/>
    <mergeCell ref="E237:F237"/>
    <mergeCell ref="G237:H237"/>
    <mergeCell ref="I237:J237"/>
    <mergeCell ref="K237:L237"/>
    <mergeCell ref="M240:N240"/>
    <mergeCell ref="O240:P240"/>
    <mergeCell ref="Q240:R240"/>
    <mergeCell ref="S240:T240"/>
    <mergeCell ref="U240:V240"/>
    <mergeCell ref="W240:X240"/>
    <mergeCell ref="A240:B240"/>
    <mergeCell ref="C240:D240"/>
    <mergeCell ref="E240:F240"/>
    <mergeCell ref="G240:H240"/>
    <mergeCell ref="I240:J240"/>
    <mergeCell ref="K240:L240"/>
    <mergeCell ref="M239:N239"/>
    <mergeCell ref="O239:P239"/>
    <mergeCell ref="Q239:R239"/>
    <mergeCell ref="S239:T239"/>
    <mergeCell ref="U239:V239"/>
    <mergeCell ref="W239:X239"/>
    <mergeCell ref="A239:B239"/>
    <mergeCell ref="C239:D239"/>
    <mergeCell ref="E239:F239"/>
    <mergeCell ref="G239:H239"/>
    <mergeCell ref="I239:J239"/>
    <mergeCell ref="K239:L239"/>
    <mergeCell ref="M242:N242"/>
    <mergeCell ref="O242:P242"/>
    <mergeCell ref="Q242:R242"/>
    <mergeCell ref="S242:T242"/>
    <mergeCell ref="U242:V242"/>
    <mergeCell ref="W242:X242"/>
    <mergeCell ref="A242:B242"/>
    <mergeCell ref="C242:D242"/>
    <mergeCell ref="E242:F242"/>
    <mergeCell ref="G242:H242"/>
    <mergeCell ref="I242:J242"/>
    <mergeCell ref="K242:L242"/>
    <mergeCell ref="M241:N241"/>
    <mergeCell ref="O241:P241"/>
    <mergeCell ref="Q241:R241"/>
    <mergeCell ref="S241:T241"/>
    <mergeCell ref="U241:V241"/>
    <mergeCell ref="W241:X241"/>
    <mergeCell ref="A241:B241"/>
    <mergeCell ref="C241:D241"/>
    <mergeCell ref="E241:F241"/>
    <mergeCell ref="G241:H241"/>
    <mergeCell ref="I241:J241"/>
    <mergeCell ref="K241:L241"/>
    <mergeCell ref="M244:N244"/>
    <mergeCell ref="O244:P244"/>
    <mergeCell ref="Q244:R244"/>
    <mergeCell ref="S244:T244"/>
    <mergeCell ref="U244:V244"/>
    <mergeCell ref="W244:X244"/>
    <mergeCell ref="A244:B244"/>
    <mergeCell ref="C244:D244"/>
    <mergeCell ref="E244:F244"/>
    <mergeCell ref="G244:H244"/>
    <mergeCell ref="I244:J244"/>
    <mergeCell ref="K244:L244"/>
    <mergeCell ref="M243:N243"/>
    <mergeCell ref="O243:P243"/>
    <mergeCell ref="Q243:R243"/>
    <mergeCell ref="S243:T243"/>
    <mergeCell ref="U243:V243"/>
    <mergeCell ref="W243:X243"/>
    <mergeCell ref="A243:B243"/>
    <mergeCell ref="C243:D243"/>
    <mergeCell ref="E243:F243"/>
    <mergeCell ref="G243:H243"/>
    <mergeCell ref="I243:J243"/>
    <mergeCell ref="K243:L243"/>
    <mergeCell ref="M246:N246"/>
    <mergeCell ref="O246:P246"/>
    <mergeCell ref="Q246:R246"/>
    <mergeCell ref="S246:T246"/>
    <mergeCell ref="U246:V246"/>
    <mergeCell ref="W246:X246"/>
    <mergeCell ref="A246:B246"/>
    <mergeCell ref="C246:D246"/>
    <mergeCell ref="E246:F246"/>
    <mergeCell ref="G246:H246"/>
    <mergeCell ref="I246:J246"/>
    <mergeCell ref="K246:L246"/>
    <mergeCell ref="M245:N245"/>
    <mergeCell ref="O245:P245"/>
    <mergeCell ref="Q245:R245"/>
    <mergeCell ref="S245:T245"/>
    <mergeCell ref="U245:V245"/>
    <mergeCell ref="W245:X245"/>
    <mergeCell ref="A245:B245"/>
    <mergeCell ref="C245:D245"/>
    <mergeCell ref="E245:F245"/>
    <mergeCell ref="G245:H245"/>
    <mergeCell ref="I245:J245"/>
    <mergeCell ref="K245:L245"/>
    <mergeCell ref="M248:N248"/>
    <mergeCell ref="O248:P248"/>
    <mergeCell ref="Q248:R248"/>
    <mergeCell ref="S248:T248"/>
    <mergeCell ref="U248:V248"/>
    <mergeCell ref="W248:X248"/>
    <mergeCell ref="A248:B248"/>
    <mergeCell ref="C248:D248"/>
    <mergeCell ref="E248:F248"/>
    <mergeCell ref="G248:H248"/>
    <mergeCell ref="I248:J248"/>
    <mergeCell ref="K248:L248"/>
    <mergeCell ref="M247:N247"/>
    <mergeCell ref="O247:P247"/>
    <mergeCell ref="Q247:R247"/>
    <mergeCell ref="S247:T247"/>
    <mergeCell ref="U247:V247"/>
    <mergeCell ref="W247:X247"/>
    <mergeCell ref="A247:B247"/>
    <mergeCell ref="C247:D247"/>
    <mergeCell ref="E247:F247"/>
    <mergeCell ref="G247:H247"/>
    <mergeCell ref="I247:J247"/>
    <mergeCell ref="K247:L247"/>
    <mergeCell ref="M250:N250"/>
    <mergeCell ref="O250:P250"/>
    <mergeCell ref="Q250:R250"/>
    <mergeCell ref="S250:T250"/>
    <mergeCell ref="U250:V250"/>
    <mergeCell ref="W250:X250"/>
    <mergeCell ref="A250:B250"/>
    <mergeCell ref="C250:D250"/>
    <mergeCell ref="E250:F250"/>
    <mergeCell ref="G250:H250"/>
    <mergeCell ref="I250:J250"/>
    <mergeCell ref="K250:L250"/>
    <mergeCell ref="M249:N249"/>
    <mergeCell ref="O249:P249"/>
    <mergeCell ref="Q249:R249"/>
    <mergeCell ref="S249:T249"/>
    <mergeCell ref="U249:V249"/>
    <mergeCell ref="W249:X249"/>
    <mergeCell ref="A249:B249"/>
    <mergeCell ref="C249:D249"/>
    <mergeCell ref="E249:F249"/>
    <mergeCell ref="G249:H249"/>
    <mergeCell ref="I249:J249"/>
    <mergeCell ref="K249:L249"/>
    <mergeCell ref="M252:N252"/>
    <mergeCell ref="O252:P252"/>
    <mergeCell ref="Q252:R252"/>
    <mergeCell ref="S252:T252"/>
    <mergeCell ref="U252:V252"/>
    <mergeCell ref="W252:X252"/>
    <mergeCell ref="A252:B252"/>
    <mergeCell ref="C252:D252"/>
    <mergeCell ref="E252:F252"/>
    <mergeCell ref="G252:H252"/>
    <mergeCell ref="I252:J252"/>
    <mergeCell ref="K252:L252"/>
    <mergeCell ref="M251:N251"/>
    <mergeCell ref="O251:P251"/>
    <mergeCell ref="Q251:R251"/>
    <mergeCell ref="S251:T251"/>
    <mergeCell ref="U251:V251"/>
    <mergeCell ref="W251:X251"/>
    <mergeCell ref="A251:B251"/>
    <mergeCell ref="C251:D251"/>
    <mergeCell ref="E251:F251"/>
    <mergeCell ref="G251:H251"/>
    <mergeCell ref="I251:J251"/>
    <mergeCell ref="K251:L251"/>
    <mergeCell ref="M254:N254"/>
    <mergeCell ref="O254:P254"/>
    <mergeCell ref="Q254:R254"/>
    <mergeCell ref="S254:T254"/>
    <mergeCell ref="U254:V254"/>
    <mergeCell ref="W254:X254"/>
    <mergeCell ref="A254:B254"/>
    <mergeCell ref="C254:D254"/>
    <mergeCell ref="E254:F254"/>
    <mergeCell ref="G254:H254"/>
    <mergeCell ref="I254:J254"/>
    <mergeCell ref="K254:L254"/>
    <mergeCell ref="M253:N253"/>
    <mergeCell ref="O253:P253"/>
    <mergeCell ref="Q253:R253"/>
    <mergeCell ref="S253:T253"/>
    <mergeCell ref="U253:V253"/>
    <mergeCell ref="W253:X253"/>
    <mergeCell ref="A253:B253"/>
    <mergeCell ref="C253:D253"/>
    <mergeCell ref="E253:F253"/>
    <mergeCell ref="G253:H253"/>
    <mergeCell ref="I253:J253"/>
    <mergeCell ref="K253:L253"/>
    <mergeCell ref="M256:N256"/>
    <mergeCell ref="O256:P256"/>
    <mergeCell ref="Q256:R256"/>
    <mergeCell ref="S256:T256"/>
    <mergeCell ref="U256:V256"/>
    <mergeCell ref="W256:X256"/>
    <mergeCell ref="A256:B256"/>
    <mergeCell ref="C256:D256"/>
    <mergeCell ref="E256:F256"/>
    <mergeCell ref="G256:H256"/>
    <mergeCell ref="I256:J256"/>
    <mergeCell ref="K256:L256"/>
    <mergeCell ref="M255:N255"/>
    <mergeCell ref="O255:P255"/>
    <mergeCell ref="Q255:R255"/>
    <mergeCell ref="S255:T255"/>
    <mergeCell ref="U255:V255"/>
    <mergeCell ref="W255:X255"/>
    <mergeCell ref="A255:B255"/>
    <mergeCell ref="C255:D255"/>
    <mergeCell ref="E255:F255"/>
    <mergeCell ref="G255:H255"/>
    <mergeCell ref="I255:J255"/>
    <mergeCell ref="K255:L255"/>
    <mergeCell ref="M258:N258"/>
    <mergeCell ref="O258:P258"/>
    <mergeCell ref="Q258:R258"/>
    <mergeCell ref="S258:T258"/>
    <mergeCell ref="U258:V258"/>
    <mergeCell ref="W258:X258"/>
    <mergeCell ref="A258:B258"/>
    <mergeCell ref="C258:D258"/>
    <mergeCell ref="E258:F258"/>
    <mergeCell ref="G258:H258"/>
    <mergeCell ref="I258:J258"/>
    <mergeCell ref="K258:L258"/>
    <mergeCell ref="M257:N257"/>
    <mergeCell ref="O257:P257"/>
    <mergeCell ref="Q257:R257"/>
    <mergeCell ref="S257:T257"/>
    <mergeCell ref="U257:V257"/>
    <mergeCell ref="W257:X257"/>
    <mergeCell ref="A257:B257"/>
    <mergeCell ref="C257:D257"/>
    <mergeCell ref="E257:F257"/>
    <mergeCell ref="G257:H257"/>
    <mergeCell ref="I257:J257"/>
    <mergeCell ref="K257:L257"/>
    <mergeCell ref="M260:N260"/>
    <mergeCell ref="O260:P260"/>
    <mergeCell ref="Q260:R260"/>
    <mergeCell ref="S260:T260"/>
    <mergeCell ref="U260:V260"/>
    <mergeCell ref="W260:X260"/>
    <mergeCell ref="A260:B260"/>
    <mergeCell ref="C260:D260"/>
    <mergeCell ref="E260:F260"/>
    <mergeCell ref="G260:H260"/>
    <mergeCell ref="I260:J260"/>
    <mergeCell ref="K260:L260"/>
    <mergeCell ref="M259:N259"/>
    <mergeCell ref="O259:P259"/>
    <mergeCell ref="Q259:R259"/>
    <mergeCell ref="S259:T259"/>
    <mergeCell ref="U259:V259"/>
    <mergeCell ref="W259:X259"/>
    <mergeCell ref="A259:B259"/>
    <mergeCell ref="C259:D259"/>
    <mergeCell ref="E259:F259"/>
    <mergeCell ref="G259:H259"/>
    <mergeCell ref="I259:J259"/>
    <mergeCell ref="K259:L259"/>
    <mergeCell ref="M262:N262"/>
    <mergeCell ref="O262:P262"/>
    <mergeCell ref="Q262:R262"/>
    <mergeCell ref="S262:T262"/>
    <mergeCell ref="U262:V262"/>
    <mergeCell ref="W262:X262"/>
    <mergeCell ref="A262:B262"/>
    <mergeCell ref="C262:D262"/>
    <mergeCell ref="E262:F262"/>
    <mergeCell ref="G262:H262"/>
    <mergeCell ref="I262:J262"/>
    <mergeCell ref="K262:L262"/>
    <mergeCell ref="M261:N261"/>
    <mergeCell ref="O261:P261"/>
    <mergeCell ref="Q261:R261"/>
    <mergeCell ref="S261:T261"/>
    <mergeCell ref="U261:V261"/>
    <mergeCell ref="W261:X261"/>
    <mergeCell ref="A261:B261"/>
    <mergeCell ref="C261:D261"/>
    <mergeCell ref="E261:F261"/>
    <mergeCell ref="G261:H261"/>
    <mergeCell ref="I261:J261"/>
    <mergeCell ref="K261:L261"/>
    <mergeCell ref="M264:N264"/>
    <mergeCell ref="O264:P264"/>
    <mergeCell ref="Q264:R264"/>
    <mergeCell ref="S264:T264"/>
    <mergeCell ref="U264:V264"/>
    <mergeCell ref="W264:X264"/>
    <mergeCell ref="A264:B264"/>
    <mergeCell ref="C264:D264"/>
    <mergeCell ref="E264:F264"/>
    <mergeCell ref="G264:H264"/>
    <mergeCell ref="I264:J264"/>
    <mergeCell ref="K264:L264"/>
    <mergeCell ref="M263:N263"/>
    <mergeCell ref="O263:P263"/>
    <mergeCell ref="Q263:R263"/>
    <mergeCell ref="S263:T263"/>
    <mergeCell ref="U263:V263"/>
    <mergeCell ref="W263:X263"/>
    <mergeCell ref="A263:B263"/>
    <mergeCell ref="C263:D263"/>
    <mergeCell ref="E263:F263"/>
    <mergeCell ref="G263:H263"/>
    <mergeCell ref="I263:J263"/>
    <mergeCell ref="K263:L263"/>
    <mergeCell ref="M266:N266"/>
    <mergeCell ref="O266:P266"/>
    <mergeCell ref="Q266:R266"/>
    <mergeCell ref="S266:T266"/>
    <mergeCell ref="U266:V266"/>
    <mergeCell ref="W266:X266"/>
    <mergeCell ref="A266:B266"/>
    <mergeCell ref="C266:D266"/>
    <mergeCell ref="E266:F266"/>
    <mergeCell ref="G266:H266"/>
    <mergeCell ref="I266:J266"/>
    <mergeCell ref="K266:L266"/>
    <mergeCell ref="M265:N265"/>
    <mergeCell ref="O265:P265"/>
    <mergeCell ref="Q265:R265"/>
    <mergeCell ref="S265:T265"/>
    <mergeCell ref="U265:V265"/>
    <mergeCell ref="W265:X265"/>
    <mergeCell ref="A265:B265"/>
    <mergeCell ref="C265:D265"/>
    <mergeCell ref="E265:F265"/>
    <mergeCell ref="G265:H265"/>
    <mergeCell ref="I265:J265"/>
    <mergeCell ref="K265:L265"/>
    <mergeCell ref="M268:N268"/>
    <mergeCell ref="O268:P268"/>
    <mergeCell ref="Q268:R268"/>
    <mergeCell ref="S268:T268"/>
    <mergeCell ref="U268:V268"/>
    <mergeCell ref="W268:X268"/>
    <mergeCell ref="A268:B268"/>
    <mergeCell ref="C268:D268"/>
    <mergeCell ref="E268:F268"/>
    <mergeCell ref="G268:H268"/>
    <mergeCell ref="I268:J268"/>
    <mergeCell ref="K268:L268"/>
    <mergeCell ref="M267:N267"/>
    <mergeCell ref="O267:P267"/>
    <mergeCell ref="Q267:R267"/>
    <mergeCell ref="S267:T267"/>
    <mergeCell ref="U267:V267"/>
    <mergeCell ref="W267:X267"/>
    <mergeCell ref="A267:B267"/>
    <mergeCell ref="C267:D267"/>
    <mergeCell ref="E267:F267"/>
    <mergeCell ref="G267:H267"/>
    <mergeCell ref="I267:J267"/>
    <mergeCell ref="K267:L267"/>
    <mergeCell ref="M270:N270"/>
    <mergeCell ref="O270:P270"/>
    <mergeCell ref="Q270:R270"/>
    <mergeCell ref="S270:T270"/>
    <mergeCell ref="U270:V270"/>
    <mergeCell ref="W270:X270"/>
    <mergeCell ref="A270:B270"/>
    <mergeCell ref="C270:D270"/>
    <mergeCell ref="E270:F270"/>
    <mergeCell ref="G270:H270"/>
    <mergeCell ref="I270:J270"/>
    <mergeCell ref="K270:L270"/>
    <mergeCell ref="M269:N269"/>
    <mergeCell ref="O269:P269"/>
    <mergeCell ref="Q269:R269"/>
    <mergeCell ref="S269:T269"/>
    <mergeCell ref="U269:V269"/>
    <mergeCell ref="W269:X269"/>
    <mergeCell ref="A269:B269"/>
    <mergeCell ref="C269:D269"/>
    <mergeCell ref="E269:F269"/>
    <mergeCell ref="G269:H269"/>
    <mergeCell ref="I269:J269"/>
    <mergeCell ref="K269:L269"/>
    <mergeCell ref="M272:N272"/>
    <mergeCell ref="O272:P272"/>
    <mergeCell ref="Q272:R272"/>
    <mergeCell ref="S272:T272"/>
    <mergeCell ref="U272:V272"/>
    <mergeCell ref="W272:X272"/>
    <mergeCell ref="A272:B272"/>
    <mergeCell ref="C272:D272"/>
    <mergeCell ref="E272:F272"/>
    <mergeCell ref="G272:H272"/>
    <mergeCell ref="I272:J272"/>
    <mergeCell ref="K272:L272"/>
    <mergeCell ref="M271:N271"/>
    <mergeCell ref="O271:P271"/>
    <mergeCell ref="Q271:R271"/>
    <mergeCell ref="S271:T271"/>
    <mergeCell ref="U271:V271"/>
    <mergeCell ref="W271:X271"/>
    <mergeCell ref="A271:B271"/>
    <mergeCell ref="C271:D271"/>
    <mergeCell ref="E271:F271"/>
    <mergeCell ref="G271:H271"/>
    <mergeCell ref="I271:J271"/>
    <mergeCell ref="K271:L271"/>
    <mergeCell ref="M274:N274"/>
    <mergeCell ref="O274:P274"/>
    <mergeCell ref="Q274:R274"/>
    <mergeCell ref="S274:T274"/>
    <mergeCell ref="U274:V274"/>
    <mergeCell ref="W274:X274"/>
    <mergeCell ref="A274:B274"/>
    <mergeCell ref="C274:D274"/>
    <mergeCell ref="E274:F274"/>
    <mergeCell ref="G274:H274"/>
    <mergeCell ref="I274:J274"/>
    <mergeCell ref="K274:L274"/>
    <mergeCell ref="M273:N273"/>
    <mergeCell ref="O273:P273"/>
    <mergeCell ref="Q273:R273"/>
    <mergeCell ref="S273:T273"/>
    <mergeCell ref="U273:V273"/>
    <mergeCell ref="W273:X273"/>
    <mergeCell ref="A273:B273"/>
    <mergeCell ref="C273:D273"/>
    <mergeCell ref="E273:F273"/>
    <mergeCell ref="G273:H273"/>
    <mergeCell ref="I273:J273"/>
    <mergeCell ref="K273:L273"/>
    <mergeCell ref="M276:N276"/>
    <mergeCell ref="O276:P276"/>
    <mergeCell ref="Q276:R276"/>
    <mergeCell ref="S276:T276"/>
    <mergeCell ref="U276:V276"/>
    <mergeCell ref="W276:X276"/>
    <mergeCell ref="A276:B276"/>
    <mergeCell ref="C276:D276"/>
    <mergeCell ref="E276:F276"/>
    <mergeCell ref="G276:H276"/>
    <mergeCell ref="I276:J276"/>
    <mergeCell ref="K276:L276"/>
    <mergeCell ref="M275:N275"/>
    <mergeCell ref="O275:P275"/>
    <mergeCell ref="Q275:R275"/>
    <mergeCell ref="S275:T275"/>
    <mergeCell ref="U275:V275"/>
    <mergeCell ref="W275:X275"/>
    <mergeCell ref="A275:B275"/>
    <mergeCell ref="C275:D275"/>
    <mergeCell ref="E275:F275"/>
    <mergeCell ref="G275:H275"/>
    <mergeCell ref="I275:J275"/>
    <mergeCell ref="K275:L275"/>
    <mergeCell ref="M278:N278"/>
    <mergeCell ref="O278:P278"/>
    <mergeCell ref="Q278:R278"/>
    <mergeCell ref="S278:T278"/>
    <mergeCell ref="U278:V278"/>
    <mergeCell ref="W278:X278"/>
    <mergeCell ref="A278:B278"/>
    <mergeCell ref="C278:D278"/>
    <mergeCell ref="E278:F278"/>
    <mergeCell ref="G278:H278"/>
    <mergeCell ref="I278:J278"/>
    <mergeCell ref="K278:L278"/>
    <mergeCell ref="M277:N277"/>
    <mergeCell ref="O277:P277"/>
    <mergeCell ref="Q277:R277"/>
    <mergeCell ref="S277:T277"/>
    <mergeCell ref="U277:V277"/>
    <mergeCell ref="W277:X277"/>
    <mergeCell ref="A277:B277"/>
    <mergeCell ref="C277:D277"/>
    <mergeCell ref="E277:F277"/>
    <mergeCell ref="G277:H277"/>
    <mergeCell ref="I277:J277"/>
    <mergeCell ref="K277:L277"/>
    <mergeCell ref="M280:N280"/>
    <mergeCell ref="O280:P280"/>
    <mergeCell ref="Q280:R280"/>
    <mergeCell ref="S280:T280"/>
    <mergeCell ref="U280:V280"/>
    <mergeCell ref="W280:X280"/>
    <mergeCell ref="A280:B280"/>
    <mergeCell ref="C280:D280"/>
    <mergeCell ref="E280:F280"/>
    <mergeCell ref="G280:H280"/>
    <mergeCell ref="I280:J280"/>
    <mergeCell ref="K280:L280"/>
    <mergeCell ref="M279:N279"/>
    <mergeCell ref="O279:P279"/>
    <mergeCell ref="Q279:R279"/>
    <mergeCell ref="S279:T279"/>
    <mergeCell ref="U279:V279"/>
    <mergeCell ref="W279:X279"/>
    <mergeCell ref="A279:B279"/>
    <mergeCell ref="C279:D279"/>
    <mergeCell ref="E279:F279"/>
    <mergeCell ref="G279:H279"/>
    <mergeCell ref="I279:J279"/>
    <mergeCell ref="K279:L279"/>
    <mergeCell ref="M282:N282"/>
    <mergeCell ref="O282:P282"/>
    <mergeCell ref="Q282:R282"/>
    <mergeCell ref="S282:T282"/>
    <mergeCell ref="U282:V282"/>
    <mergeCell ref="W282:X282"/>
    <mergeCell ref="A282:B282"/>
    <mergeCell ref="C282:D282"/>
    <mergeCell ref="E282:F282"/>
    <mergeCell ref="G282:H282"/>
    <mergeCell ref="I282:J282"/>
    <mergeCell ref="K282:L282"/>
    <mergeCell ref="M281:N281"/>
    <mergeCell ref="O281:P281"/>
    <mergeCell ref="Q281:R281"/>
    <mergeCell ref="S281:T281"/>
    <mergeCell ref="U281:V281"/>
    <mergeCell ref="W281:X281"/>
    <mergeCell ref="A281:B281"/>
    <mergeCell ref="C281:D281"/>
    <mergeCell ref="E281:F281"/>
    <mergeCell ref="G281:H281"/>
    <mergeCell ref="I281:J281"/>
    <mergeCell ref="K281:L281"/>
    <mergeCell ref="M284:N284"/>
    <mergeCell ref="O284:P284"/>
    <mergeCell ref="Q284:R284"/>
    <mergeCell ref="S284:T284"/>
    <mergeCell ref="U284:V284"/>
    <mergeCell ref="W284:X284"/>
    <mergeCell ref="A284:B284"/>
    <mergeCell ref="C284:D284"/>
    <mergeCell ref="E284:F284"/>
    <mergeCell ref="G284:H284"/>
    <mergeCell ref="I284:J284"/>
    <mergeCell ref="K284:L284"/>
    <mergeCell ref="M283:N283"/>
    <mergeCell ref="O283:P283"/>
    <mergeCell ref="Q283:R283"/>
    <mergeCell ref="S283:T283"/>
    <mergeCell ref="U283:V283"/>
    <mergeCell ref="W283:X283"/>
    <mergeCell ref="A283:B283"/>
    <mergeCell ref="C283:D283"/>
    <mergeCell ref="E283:F283"/>
    <mergeCell ref="G283:H283"/>
    <mergeCell ref="I283:J283"/>
    <mergeCell ref="K283:L283"/>
    <mergeCell ref="M286:N286"/>
    <mergeCell ref="O286:P286"/>
    <mergeCell ref="Q286:R286"/>
    <mergeCell ref="S286:T286"/>
    <mergeCell ref="U286:V286"/>
    <mergeCell ref="W286:X286"/>
    <mergeCell ref="A286:B286"/>
    <mergeCell ref="C286:D286"/>
    <mergeCell ref="E286:F286"/>
    <mergeCell ref="G286:H286"/>
    <mergeCell ref="I286:J286"/>
    <mergeCell ref="K286:L286"/>
    <mergeCell ref="M285:N285"/>
    <mergeCell ref="O285:P285"/>
    <mergeCell ref="Q285:R285"/>
    <mergeCell ref="S285:T285"/>
    <mergeCell ref="U285:V285"/>
    <mergeCell ref="W285:X285"/>
    <mergeCell ref="A285:B285"/>
    <mergeCell ref="C285:D285"/>
    <mergeCell ref="E285:F285"/>
    <mergeCell ref="G285:H285"/>
    <mergeCell ref="I285:J285"/>
    <mergeCell ref="K285:L285"/>
    <mergeCell ref="M288:N288"/>
    <mergeCell ref="O288:P288"/>
    <mergeCell ref="Q288:R288"/>
    <mergeCell ref="S288:T288"/>
    <mergeCell ref="U288:V288"/>
    <mergeCell ref="W288:X288"/>
    <mergeCell ref="A288:B288"/>
    <mergeCell ref="C288:D288"/>
    <mergeCell ref="E288:F288"/>
    <mergeCell ref="G288:H288"/>
    <mergeCell ref="I288:J288"/>
    <mergeCell ref="K288:L288"/>
    <mergeCell ref="M287:N287"/>
    <mergeCell ref="O287:P287"/>
    <mergeCell ref="Q287:R287"/>
    <mergeCell ref="S287:T287"/>
    <mergeCell ref="U287:V287"/>
    <mergeCell ref="W287:X287"/>
    <mergeCell ref="A287:B287"/>
    <mergeCell ref="C287:D287"/>
    <mergeCell ref="E287:F287"/>
    <mergeCell ref="G287:H287"/>
    <mergeCell ref="I287:J287"/>
    <mergeCell ref="K287:L287"/>
    <mergeCell ref="M290:N290"/>
    <mergeCell ref="O290:P290"/>
    <mergeCell ref="Q290:R290"/>
    <mergeCell ref="S290:T290"/>
    <mergeCell ref="U290:V290"/>
    <mergeCell ref="W290:X290"/>
    <mergeCell ref="A290:B290"/>
    <mergeCell ref="C290:D290"/>
    <mergeCell ref="E290:F290"/>
    <mergeCell ref="G290:H290"/>
    <mergeCell ref="I290:J290"/>
    <mergeCell ref="K290:L290"/>
    <mergeCell ref="M289:N289"/>
    <mergeCell ref="O289:P289"/>
    <mergeCell ref="Q289:R289"/>
    <mergeCell ref="S289:T289"/>
    <mergeCell ref="U289:V289"/>
    <mergeCell ref="W289:X289"/>
    <mergeCell ref="A289:B289"/>
    <mergeCell ref="C289:D289"/>
    <mergeCell ref="E289:F289"/>
    <mergeCell ref="G289:H289"/>
    <mergeCell ref="I289:J289"/>
    <mergeCell ref="K289:L289"/>
    <mergeCell ref="M292:N292"/>
    <mergeCell ref="O292:P292"/>
    <mergeCell ref="Q292:R292"/>
    <mergeCell ref="S292:T292"/>
    <mergeCell ref="U292:V292"/>
    <mergeCell ref="W292:X292"/>
    <mergeCell ref="A292:B292"/>
    <mergeCell ref="C292:D292"/>
    <mergeCell ref="E292:F292"/>
    <mergeCell ref="G292:H292"/>
    <mergeCell ref="I292:J292"/>
    <mergeCell ref="K292:L292"/>
    <mergeCell ref="M291:N291"/>
    <mergeCell ref="O291:P291"/>
    <mergeCell ref="Q291:R291"/>
    <mergeCell ref="S291:T291"/>
    <mergeCell ref="U291:V291"/>
    <mergeCell ref="W291:X291"/>
    <mergeCell ref="A291:B291"/>
    <mergeCell ref="C291:D291"/>
    <mergeCell ref="E291:F291"/>
    <mergeCell ref="G291:H291"/>
    <mergeCell ref="I291:J291"/>
    <mergeCell ref="K291:L291"/>
    <mergeCell ref="M294:N294"/>
    <mergeCell ref="O294:P294"/>
    <mergeCell ref="Q294:R294"/>
    <mergeCell ref="S294:T294"/>
    <mergeCell ref="U294:V294"/>
    <mergeCell ref="W294:X294"/>
    <mergeCell ref="A294:B294"/>
    <mergeCell ref="C294:D294"/>
    <mergeCell ref="E294:F294"/>
    <mergeCell ref="G294:H294"/>
    <mergeCell ref="I294:J294"/>
    <mergeCell ref="K294:L294"/>
    <mergeCell ref="M293:N293"/>
    <mergeCell ref="O293:P293"/>
    <mergeCell ref="Q293:R293"/>
    <mergeCell ref="S293:T293"/>
    <mergeCell ref="U293:V293"/>
    <mergeCell ref="W293:X293"/>
    <mergeCell ref="A293:B293"/>
    <mergeCell ref="C293:D293"/>
    <mergeCell ref="E293:F293"/>
    <mergeCell ref="G293:H293"/>
    <mergeCell ref="I293:J293"/>
    <mergeCell ref="K293:L293"/>
    <mergeCell ref="M296:N296"/>
    <mergeCell ref="O296:P296"/>
    <mergeCell ref="Q296:R296"/>
    <mergeCell ref="S296:T296"/>
    <mergeCell ref="U296:V296"/>
    <mergeCell ref="W296:X296"/>
    <mergeCell ref="A296:B296"/>
    <mergeCell ref="C296:D296"/>
    <mergeCell ref="E296:F296"/>
    <mergeCell ref="G296:H296"/>
    <mergeCell ref="I296:J296"/>
    <mergeCell ref="K296:L296"/>
    <mergeCell ref="M295:N295"/>
    <mergeCell ref="O295:P295"/>
    <mergeCell ref="Q295:R295"/>
    <mergeCell ref="S295:T295"/>
    <mergeCell ref="U295:V295"/>
    <mergeCell ref="W295:X295"/>
    <mergeCell ref="A295:B295"/>
    <mergeCell ref="C295:D295"/>
    <mergeCell ref="E295:F295"/>
    <mergeCell ref="G295:H295"/>
    <mergeCell ref="I295:J295"/>
    <mergeCell ref="K295:L295"/>
    <mergeCell ref="M298:N298"/>
    <mergeCell ref="O298:P298"/>
    <mergeCell ref="Q298:R298"/>
    <mergeCell ref="S298:T298"/>
    <mergeCell ref="U298:V298"/>
    <mergeCell ref="W298:X298"/>
    <mergeCell ref="A298:B298"/>
    <mergeCell ref="C298:D298"/>
    <mergeCell ref="E298:F298"/>
    <mergeCell ref="G298:H298"/>
    <mergeCell ref="I298:J298"/>
    <mergeCell ref="K298:L298"/>
    <mergeCell ref="M297:N297"/>
    <mergeCell ref="O297:P297"/>
    <mergeCell ref="Q297:R297"/>
    <mergeCell ref="S297:T297"/>
    <mergeCell ref="U297:V297"/>
    <mergeCell ref="W297:X297"/>
    <mergeCell ref="A297:B297"/>
    <mergeCell ref="C297:D297"/>
    <mergeCell ref="E297:F297"/>
    <mergeCell ref="G297:H297"/>
    <mergeCell ref="I297:J297"/>
    <mergeCell ref="K297:L297"/>
    <mergeCell ref="M300:N300"/>
    <mergeCell ref="O300:P300"/>
    <mergeCell ref="Q300:R300"/>
    <mergeCell ref="S300:T300"/>
    <mergeCell ref="U300:V300"/>
    <mergeCell ref="W300:X300"/>
    <mergeCell ref="A300:B300"/>
    <mergeCell ref="C300:D300"/>
    <mergeCell ref="E300:F300"/>
    <mergeCell ref="G300:H300"/>
    <mergeCell ref="I300:J300"/>
    <mergeCell ref="K300:L300"/>
    <mergeCell ref="M299:N299"/>
    <mergeCell ref="O299:P299"/>
    <mergeCell ref="Q299:R299"/>
    <mergeCell ref="S299:T299"/>
    <mergeCell ref="U299:V299"/>
    <mergeCell ref="W299:X299"/>
    <mergeCell ref="A299:B299"/>
    <mergeCell ref="C299:D299"/>
    <mergeCell ref="E299:F299"/>
    <mergeCell ref="G299:H299"/>
    <mergeCell ref="I299:J299"/>
    <mergeCell ref="K299:L299"/>
    <mergeCell ref="M302:N302"/>
    <mergeCell ref="O302:P302"/>
    <mergeCell ref="Q302:R302"/>
    <mergeCell ref="S302:T302"/>
    <mergeCell ref="U302:V302"/>
    <mergeCell ref="W302:X302"/>
    <mergeCell ref="A302:B302"/>
    <mergeCell ref="C302:D302"/>
    <mergeCell ref="E302:F302"/>
    <mergeCell ref="G302:H302"/>
    <mergeCell ref="I302:J302"/>
    <mergeCell ref="K302:L302"/>
    <mergeCell ref="M301:N301"/>
    <mergeCell ref="O301:P301"/>
    <mergeCell ref="Q301:R301"/>
    <mergeCell ref="S301:T301"/>
    <mergeCell ref="U301:V301"/>
    <mergeCell ref="W301:X301"/>
    <mergeCell ref="A301:B301"/>
    <mergeCell ref="C301:D301"/>
    <mergeCell ref="E301:F301"/>
    <mergeCell ref="G301:H301"/>
    <mergeCell ref="I301:J301"/>
    <mergeCell ref="K301:L301"/>
    <mergeCell ref="M304:N304"/>
    <mergeCell ref="O304:P304"/>
    <mergeCell ref="Q304:R304"/>
    <mergeCell ref="S304:T304"/>
    <mergeCell ref="U304:V304"/>
    <mergeCell ref="W304:X304"/>
    <mergeCell ref="A304:B304"/>
    <mergeCell ref="C304:D304"/>
    <mergeCell ref="E304:F304"/>
    <mergeCell ref="G304:H304"/>
    <mergeCell ref="I304:J304"/>
    <mergeCell ref="K304:L304"/>
    <mergeCell ref="M303:N303"/>
    <mergeCell ref="O303:P303"/>
    <mergeCell ref="Q303:R303"/>
    <mergeCell ref="S303:T303"/>
    <mergeCell ref="U303:V303"/>
    <mergeCell ref="W303:X303"/>
    <mergeCell ref="A303:B303"/>
    <mergeCell ref="C303:D303"/>
    <mergeCell ref="E303:F303"/>
    <mergeCell ref="G303:H303"/>
    <mergeCell ref="I303:J303"/>
    <mergeCell ref="K303:L303"/>
    <mergeCell ref="M306:N306"/>
    <mergeCell ref="O306:P306"/>
    <mergeCell ref="Q306:R306"/>
    <mergeCell ref="S306:T306"/>
    <mergeCell ref="U306:V306"/>
    <mergeCell ref="W306:X306"/>
    <mergeCell ref="A306:B306"/>
    <mergeCell ref="C306:D306"/>
    <mergeCell ref="E306:F306"/>
    <mergeCell ref="G306:H306"/>
    <mergeCell ref="I306:J306"/>
    <mergeCell ref="K306:L306"/>
    <mergeCell ref="M305:N305"/>
    <mergeCell ref="O305:P305"/>
    <mergeCell ref="Q305:R305"/>
    <mergeCell ref="S305:T305"/>
    <mergeCell ref="U305:V305"/>
    <mergeCell ref="W305:X305"/>
    <mergeCell ref="A305:B305"/>
    <mergeCell ref="C305:D305"/>
    <mergeCell ref="E305:F305"/>
    <mergeCell ref="G305:H305"/>
    <mergeCell ref="I305:J305"/>
    <mergeCell ref="K305:L305"/>
    <mergeCell ref="M308:N308"/>
    <mergeCell ref="O308:P308"/>
    <mergeCell ref="Q308:R308"/>
    <mergeCell ref="S308:T308"/>
    <mergeCell ref="U308:V308"/>
    <mergeCell ref="W308:X308"/>
    <mergeCell ref="A308:B308"/>
    <mergeCell ref="C308:D308"/>
    <mergeCell ref="E308:F308"/>
    <mergeCell ref="G308:H308"/>
    <mergeCell ref="I308:J308"/>
    <mergeCell ref="K308:L308"/>
    <mergeCell ref="M307:N307"/>
    <mergeCell ref="O307:P307"/>
    <mergeCell ref="Q307:R307"/>
    <mergeCell ref="S307:T307"/>
    <mergeCell ref="U307:V307"/>
    <mergeCell ref="W307:X307"/>
    <mergeCell ref="A307:B307"/>
    <mergeCell ref="C307:D307"/>
    <mergeCell ref="E307:F307"/>
    <mergeCell ref="G307:H307"/>
    <mergeCell ref="I307:J307"/>
    <mergeCell ref="K307:L307"/>
    <mergeCell ref="M310:N310"/>
    <mergeCell ref="O310:P310"/>
    <mergeCell ref="Q310:R310"/>
    <mergeCell ref="S310:T310"/>
    <mergeCell ref="U310:V310"/>
    <mergeCell ref="W310:X310"/>
    <mergeCell ref="A310:B310"/>
    <mergeCell ref="C310:D310"/>
    <mergeCell ref="E310:F310"/>
    <mergeCell ref="G310:H310"/>
    <mergeCell ref="I310:J310"/>
    <mergeCell ref="K310:L310"/>
    <mergeCell ref="M309:N309"/>
    <mergeCell ref="O309:P309"/>
    <mergeCell ref="Q309:R309"/>
    <mergeCell ref="S309:T309"/>
    <mergeCell ref="U309:V309"/>
    <mergeCell ref="W309:X309"/>
    <mergeCell ref="A309:B309"/>
    <mergeCell ref="C309:D309"/>
    <mergeCell ref="E309:F309"/>
    <mergeCell ref="G309:H309"/>
    <mergeCell ref="I309:J309"/>
    <mergeCell ref="K309:L309"/>
    <mergeCell ref="M312:N312"/>
    <mergeCell ref="O312:P312"/>
    <mergeCell ref="Q312:R312"/>
    <mergeCell ref="S312:T312"/>
    <mergeCell ref="U312:V312"/>
    <mergeCell ref="W312:X312"/>
    <mergeCell ref="A312:B312"/>
    <mergeCell ref="C312:D312"/>
    <mergeCell ref="E312:F312"/>
    <mergeCell ref="G312:H312"/>
    <mergeCell ref="I312:J312"/>
    <mergeCell ref="K312:L312"/>
    <mergeCell ref="M311:N311"/>
    <mergeCell ref="O311:P311"/>
    <mergeCell ref="Q311:R311"/>
    <mergeCell ref="S311:T311"/>
    <mergeCell ref="U311:V311"/>
    <mergeCell ref="W311:X311"/>
    <mergeCell ref="A311:B311"/>
    <mergeCell ref="C311:D311"/>
    <mergeCell ref="E311:F311"/>
    <mergeCell ref="G311:H311"/>
    <mergeCell ref="I311:J311"/>
    <mergeCell ref="K311:L311"/>
    <mergeCell ref="M314:N314"/>
    <mergeCell ref="O314:P314"/>
    <mergeCell ref="Q314:R314"/>
    <mergeCell ref="S314:T314"/>
    <mergeCell ref="U314:V314"/>
    <mergeCell ref="W314:X314"/>
    <mergeCell ref="A314:B314"/>
    <mergeCell ref="C314:D314"/>
    <mergeCell ref="E314:F314"/>
    <mergeCell ref="G314:H314"/>
    <mergeCell ref="I314:J314"/>
    <mergeCell ref="K314:L314"/>
    <mergeCell ref="M313:N313"/>
    <mergeCell ref="O313:P313"/>
    <mergeCell ref="Q313:R313"/>
    <mergeCell ref="S313:T313"/>
    <mergeCell ref="U313:V313"/>
    <mergeCell ref="W313:X313"/>
    <mergeCell ref="A313:B313"/>
    <mergeCell ref="C313:D313"/>
    <mergeCell ref="E313:F313"/>
    <mergeCell ref="G313:H313"/>
    <mergeCell ref="I313:J313"/>
    <mergeCell ref="K313:L313"/>
    <mergeCell ref="M316:N316"/>
    <mergeCell ref="O316:P316"/>
    <mergeCell ref="Q316:R316"/>
    <mergeCell ref="S316:T316"/>
    <mergeCell ref="U316:V316"/>
    <mergeCell ref="W316:X316"/>
    <mergeCell ref="A316:B316"/>
    <mergeCell ref="C316:D316"/>
    <mergeCell ref="E316:F316"/>
    <mergeCell ref="G316:H316"/>
    <mergeCell ref="I316:J316"/>
    <mergeCell ref="K316:L316"/>
    <mergeCell ref="M315:N315"/>
    <mergeCell ref="O315:P315"/>
    <mergeCell ref="Q315:R315"/>
    <mergeCell ref="S315:T315"/>
    <mergeCell ref="U315:V315"/>
    <mergeCell ref="W315:X315"/>
    <mergeCell ref="A315:B315"/>
    <mergeCell ref="C315:D315"/>
    <mergeCell ref="E315:F315"/>
    <mergeCell ref="G315:H315"/>
    <mergeCell ref="I315:J315"/>
    <mergeCell ref="K315:L315"/>
    <mergeCell ref="M318:N318"/>
    <mergeCell ref="O318:P318"/>
    <mergeCell ref="Q318:R318"/>
    <mergeCell ref="S318:T318"/>
    <mergeCell ref="U318:V318"/>
    <mergeCell ref="W318:X318"/>
    <mergeCell ref="A318:B318"/>
    <mergeCell ref="C318:D318"/>
    <mergeCell ref="E318:F318"/>
    <mergeCell ref="G318:H318"/>
    <mergeCell ref="I318:J318"/>
    <mergeCell ref="K318:L318"/>
    <mergeCell ref="M317:N317"/>
    <mergeCell ref="O317:P317"/>
    <mergeCell ref="Q317:R317"/>
    <mergeCell ref="S317:T317"/>
    <mergeCell ref="U317:V317"/>
    <mergeCell ref="W317:X317"/>
    <mergeCell ref="A317:B317"/>
    <mergeCell ref="C317:D317"/>
    <mergeCell ref="E317:F317"/>
    <mergeCell ref="G317:H317"/>
    <mergeCell ref="I317:J317"/>
    <mergeCell ref="K317:L317"/>
    <mergeCell ref="M320:N320"/>
    <mergeCell ref="O320:P320"/>
    <mergeCell ref="Q320:R320"/>
    <mergeCell ref="S320:T320"/>
    <mergeCell ref="U320:V320"/>
    <mergeCell ref="W320:X320"/>
    <mergeCell ref="A320:B320"/>
    <mergeCell ref="C320:D320"/>
    <mergeCell ref="E320:F320"/>
    <mergeCell ref="G320:H320"/>
    <mergeCell ref="I320:J320"/>
    <mergeCell ref="K320:L320"/>
    <mergeCell ref="M319:N319"/>
    <mergeCell ref="O319:P319"/>
    <mergeCell ref="Q319:R319"/>
    <mergeCell ref="S319:T319"/>
    <mergeCell ref="U319:V319"/>
    <mergeCell ref="W319:X319"/>
    <mergeCell ref="A319:B319"/>
    <mergeCell ref="C319:D319"/>
    <mergeCell ref="E319:F319"/>
    <mergeCell ref="G319:H319"/>
    <mergeCell ref="I319:J319"/>
    <mergeCell ref="K319:L319"/>
    <mergeCell ref="M322:N322"/>
    <mergeCell ref="O322:P322"/>
    <mergeCell ref="Q322:R322"/>
    <mergeCell ref="S322:T322"/>
    <mergeCell ref="U322:V322"/>
    <mergeCell ref="W322:X322"/>
    <mergeCell ref="A322:B322"/>
    <mergeCell ref="C322:D322"/>
    <mergeCell ref="E322:F322"/>
    <mergeCell ref="G322:H322"/>
    <mergeCell ref="I322:J322"/>
    <mergeCell ref="K322:L322"/>
    <mergeCell ref="M321:N321"/>
    <mergeCell ref="O321:P321"/>
    <mergeCell ref="Q321:R321"/>
    <mergeCell ref="S321:T321"/>
    <mergeCell ref="U321:V321"/>
    <mergeCell ref="W321:X321"/>
    <mergeCell ref="A321:B321"/>
    <mergeCell ref="C321:D321"/>
    <mergeCell ref="E321:F321"/>
    <mergeCell ref="G321:H321"/>
    <mergeCell ref="I321:J321"/>
    <mergeCell ref="K321:L321"/>
    <mergeCell ref="M324:N324"/>
    <mergeCell ref="O324:P324"/>
    <mergeCell ref="Q324:R324"/>
    <mergeCell ref="S324:T324"/>
    <mergeCell ref="U324:V324"/>
    <mergeCell ref="W324:X324"/>
    <mergeCell ref="A324:B324"/>
    <mergeCell ref="C324:D324"/>
    <mergeCell ref="E324:F324"/>
    <mergeCell ref="G324:H324"/>
    <mergeCell ref="I324:J324"/>
    <mergeCell ref="K324:L324"/>
    <mergeCell ref="M323:N323"/>
    <mergeCell ref="O323:P323"/>
    <mergeCell ref="Q323:R323"/>
    <mergeCell ref="S323:T323"/>
    <mergeCell ref="U323:V323"/>
    <mergeCell ref="W323:X323"/>
    <mergeCell ref="A323:B323"/>
    <mergeCell ref="C323:D323"/>
    <mergeCell ref="E323:F323"/>
    <mergeCell ref="G323:H323"/>
    <mergeCell ref="I323:J323"/>
    <mergeCell ref="K323:L323"/>
    <mergeCell ref="M326:N326"/>
    <mergeCell ref="O326:P326"/>
    <mergeCell ref="Q326:R326"/>
    <mergeCell ref="S326:T326"/>
    <mergeCell ref="U326:V326"/>
    <mergeCell ref="W326:X326"/>
    <mergeCell ref="A326:B326"/>
    <mergeCell ref="C326:D326"/>
    <mergeCell ref="E326:F326"/>
    <mergeCell ref="G326:H326"/>
    <mergeCell ref="I326:J326"/>
    <mergeCell ref="K326:L326"/>
    <mergeCell ref="M325:N325"/>
    <mergeCell ref="O325:P325"/>
    <mergeCell ref="Q325:R325"/>
    <mergeCell ref="S325:T325"/>
    <mergeCell ref="U325:V325"/>
    <mergeCell ref="W325:X325"/>
    <mergeCell ref="A325:B325"/>
    <mergeCell ref="C325:D325"/>
    <mergeCell ref="E325:F325"/>
    <mergeCell ref="G325:H325"/>
    <mergeCell ref="I325:J325"/>
    <mergeCell ref="K325:L325"/>
    <mergeCell ref="M328:N328"/>
    <mergeCell ref="O328:P328"/>
    <mergeCell ref="Q328:R328"/>
    <mergeCell ref="S328:T328"/>
    <mergeCell ref="U328:V328"/>
    <mergeCell ref="W328:X328"/>
    <mergeCell ref="A328:B328"/>
    <mergeCell ref="C328:D328"/>
    <mergeCell ref="E328:F328"/>
    <mergeCell ref="G328:H328"/>
    <mergeCell ref="I328:J328"/>
    <mergeCell ref="K328:L328"/>
    <mergeCell ref="M327:N327"/>
    <mergeCell ref="O327:P327"/>
    <mergeCell ref="Q327:R327"/>
    <mergeCell ref="S327:T327"/>
    <mergeCell ref="U327:V327"/>
    <mergeCell ref="W327:X327"/>
    <mergeCell ref="A327:B327"/>
    <mergeCell ref="C327:D327"/>
    <mergeCell ref="E327:F327"/>
    <mergeCell ref="G327:H327"/>
    <mergeCell ref="I327:J327"/>
    <mergeCell ref="K327:L327"/>
    <mergeCell ref="M330:N330"/>
    <mergeCell ref="O330:P330"/>
    <mergeCell ref="Q330:R330"/>
    <mergeCell ref="S330:T330"/>
    <mergeCell ref="U330:V330"/>
    <mergeCell ref="W330:X330"/>
    <mergeCell ref="A330:B330"/>
    <mergeCell ref="C330:D330"/>
    <mergeCell ref="E330:F330"/>
    <mergeCell ref="G330:H330"/>
    <mergeCell ref="I330:J330"/>
    <mergeCell ref="K330:L330"/>
    <mergeCell ref="M329:N329"/>
    <mergeCell ref="O329:P329"/>
    <mergeCell ref="Q329:R329"/>
    <mergeCell ref="S329:T329"/>
    <mergeCell ref="U329:V329"/>
    <mergeCell ref="W329:X329"/>
    <mergeCell ref="A329:B329"/>
    <mergeCell ref="C329:D329"/>
    <mergeCell ref="E329:F329"/>
    <mergeCell ref="G329:H329"/>
    <mergeCell ref="I329:J329"/>
    <mergeCell ref="K329:L329"/>
    <mergeCell ref="M332:N332"/>
    <mergeCell ref="O332:P332"/>
    <mergeCell ref="Q332:R332"/>
    <mergeCell ref="S332:T332"/>
    <mergeCell ref="U332:V332"/>
    <mergeCell ref="W332:X332"/>
    <mergeCell ref="A332:B332"/>
    <mergeCell ref="C332:D332"/>
    <mergeCell ref="E332:F332"/>
    <mergeCell ref="G332:H332"/>
    <mergeCell ref="I332:J332"/>
    <mergeCell ref="K332:L332"/>
    <mergeCell ref="M331:N331"/>
    <mergeCell ref="O331:P331"/>
    <mergeCell ref="Q331:R331"/>
    <mergeCell ref="S331:T331"/>
    <mergeCell ref="U331:V331"/>
    <mergeCell ref="W331:X331"/>
    <mergeCell ref="A331:B331"/>
    <mergeCell ref="C331:D331"/>
    <mergeCell ref="E331:F331"/>
    <mergeCell ref="G331:H331"/>
    <mergeCell ref="I331:J331"/>
    <mergeCell ref="K331:L331"/>
    <mergeCell ref="M334:N334"/>
    <mergeCell ref="O334:P334"/>
    <mergeCell ref="Q334:R334"/>
    <mergeCell ref="S334:T334"/>
    <mergeCell ref="U334:V334"/>
    <mergeCell ref="W334:X334"/>
    <mergeCell ref="A334:B334"/>
    <mergeCell ref="C334:D334"/>
    <mergeCell ref="E334:F334"/>
    <mergeCell ref="G334:H334"/>
    <mergeCell ref="I334:J334"/>
    <mergeCell ref="K334:L334"/>
    <mergeCell ref="M333:N333"/>
    <mergeCell ref="O333:P333"/>
    <mergeCell ref="Q333:R333"/>
    <mergeCell ref="S333:T333"/>
    <mergeCell ref="U333:V333"/>
    <mergeCell ref="W333:X333"/>
    <mergeCell ref="A333:B333"/>
    <mergeCell ref="C333:D333"/>
    <mergeCell ref="E333:F333"/>
    <mergeCell ref="G333:H333"/>
    <mergeCell ref="I333:J333"/>
    <mergeCell ref="K333:L333"/>
    <mergeCell ref="M336:N336"/>
    <mergeCell ref="O336:P336"/>
    <mergeCell ref="Q336:R336"/>
    <mergeCell ref="S336:T336"/>
    <mergeCell ref="U336:V336"/>
    <mergeCell ref="W336:X336"/>
    <mergeCell ref="A336:B336"/>
    <mergeCell ref="C336:D336"/>
    <mergeCell ref="E336:F336"/>
    <mergeCell ref="G336:H336"/>
    <mergeCell ref="I336:J336"/>
    <mergeCell ref="K336:L336"/>
    <mergeCell ref="M335:N335"/>
    <mergeCell ref="O335:P335"/>
    <mergeCell ref="Q335:R335"/>
    <mergeCell ref="S335:T335"/>
    <mergeCell ref="U335:V335"/>
    <mergeCell ref="W335:X335"/>
    <mergeCell ref="A335:B335"/>
    <mergeCell ref="C335:D335"/>
    <mergeCell ref="E335:F335"/>
    <mergeCell ref="G335:H335"/>
    <mergeCell ref="I335:J335"/>
    <mergeCell ref="K335:L335"/>
    <mergeCell ref="M338:N338"/>
    <mergeCell ref="O338:P338"/>
    <mergeCell ref="Q338:R338"/>
    <mergeCell ref="S338:T338"/>
    <mergeCell ref="U338:V338"/>
    <mergeCell ref="W338:X338"/>
    <mergeCell ref="A338:B338"/>
    <mergeCell ref="C338:D338"/>
    <mergeCell ref="E338:F338"/>
    <mergeCell ref="G338:H338"/>
    <mergeCell ref="I338:J338"/>
    <mergeCell ref="K338:L338"/>
    <mergeCell ref="M337:N337"/>
    <mergeCell ref="O337:P337"/>
    <mergeCell ref="Q337:R337"/>
    <mergeCell ref="S337:T337"/>
    <mergeCell ref="U337:V337"/>
    <mergeCell ref="W337:X337"/>
    <mergeCell ref="A337:B337"/>
    <mergeCell ref="C337:D337"/>
    <mergeCell ref="E337:F337"/>
    <mergeCell ref="G337:H337"/>
    <mergeCell ref="I337:J337"/>
    <mergeCell ref="K337:L337"/>
    <mergeCell ref="M340:N340"/>
    <mergeCell ref="O340:P340"/>
    <mergeCell ref="Q340:R340"/>
    <mergeCell ref="S340:T340"/>
    <mergeCell ref="U340:V340"/>
    <mergeCell ref="W340:X340"/>
    <mergeCell ref="A340:B340"/>
    <mergeCell ref="C340:D340"/>
    <mergeCell ref="E340:F340"/>
    <mergeCell ref="G340:H340"/>
    <mergeCell ref="I340:J340"/>
    <mergeCell ref="K340:L340"/>
    <mergeCell ref="M339:N339"/>
    <mergeCell ref="O339:P339"/>
    <mergeCell ref="Q339:R339"/>
    <mergeCell ref="S339:T339"/>
    <mergeCell ref="U339:V339"/>
    <mergeCell ref="W339:X339"/>
    <mergeCell ref="A339:B339"/>
    <mergeCell ref="C339:D339"/>
    <mergeCell ref="E339:F339"/>
    <mergeCell ref="G339:H339"/>
    <mergeCell ref="I339:J339"/>
    <mergeCell ref="K339:L339"/>
    <mergeCell ref="M342:N342"/>
    <mergeCell ref="O342:P342"/>
    <mergeCell ref="Q342:R342"/>
    <mergeCell ref="S342:T342"/>
    <mergeCell ref="U342:V342"/>
    <mergeCell ref="W342:X342"/>
    <mergeCell ref="A342:B342"/>
    <mergeCell ref="C342:D342"/>
    <mergeCell ref="E342:F342"/>
    <mergeCell ref="G342:H342"/>
    <mergeCell ref="I342:J342"/>
    <mergeCell ref="K342:L342"/>
    <mergeCell ref="M341:N341"/>
    <mergeCell ref="O341:P341"/>
    <mergeCell ref="Q341:R341"/>
    <mergeCell ref="S341:T341"/>
    <mergeCell ref="U341:V341"/>
    <mergeCell ref="W341:X341"/>
    <mergeCell ref="A341:B341"/>
    <mergeCell ref="C341:D341"/>
    <mergeCell ref="E341:F341"/>
    <mergeCell ref="G341:H341"/>
    <mergeCell ref="I341:J341"/>
    <mergeCell ref="K341:L341"/>
    <mergeCell ref="M344:N344"/>
    <mergeCell ref="O344:P344"/>
    <mergeCell ref="Q344:R344"/>
    <mergeCell ref="S344:T344"/>
    <mergeCell ref="U344:V344"/>
    <mergeCell ref="W344:X344"/>
    <mergeCell ref="A344:B344"/>
    <mergeCell ref="C344:D344"/>
    <mergeCell ref="E344:F344"/>
    <mergeCell ref="G344:H344"/>
    <mergeCell ref="I344:J344"/>
    <mergeCell ref="K344:L344"/>
    <mergeCell ref="M343:N343"/>
    <mergeCell ref="O343:P343"/>
    <mergeCell ref="Q343:R343"/>
    <mergeCell ref="S343:T343"/>
    <mergeCell ref="U343:V343"/>
    <mergeCell ref="W343:X343"/>
    <mergeCell ref="A343:B343"/>
    <mergeCell ref="C343:D343"/>
    <mergeCell ref="E343:F343"/>
    <mergeCell ref="G343:H343"/>
    <mergeCell ref="I343:J343"/>
    <mergeCell ref="K343:L343"/>
    <mergeCell ref="M346:N346"/>
    <mergeCell ref="O346:P346"/>
    <mergeCell ref="Q346:R346"/>
    <mergeCell ref="S346:T346"/>
    <mergeCell ref="U346:V346"/>
    <mergeCell ref="W346:X346"/>
    <mergeCell ref="A346:B346"/>
    <mergeCell ref="C346:D346"/>
    <mergeCell ref="E346:F346"/>
    <mergeCell ref="G346:H346"/>
    <mergeCell ref="I346:J346"/>
    <mergeCell ref="K346:L346"/>
    <mergeCell ref="M345:N345"/>
    <mergeCell ref="O345:P345"/>
    <mergeCell ref="Q345:R345"/>
    <mergeCell ref="S345:T345"/>
    <mergeCell ref="U345:V345"/>
    <mergeCell ref="W345:X345"/>
    <mergeCell ref="A345:B345"/>
    <mergeCell ref="C345:D345"/>
    <mergeCell ref="E345:F345"/>
    <mergeCell ref="G345:H345"/>
    <mergeCell ref="I345:J345"/>
    <mergeCell ref="K345:L345"/>
    <mergeCell ref="M348:N348"/>
    <mergeCell ref="O348:P348"/>
    <mergeCell ref="Q348:R348"/>
    <mergeCell ref="S348:T348"/>
    <mergeCell ref="U348:V348"/>
    <mergeCell ref="W348:X348"/>
    <mergeCell ref="A348:B348"/>
    <mergeCell ref="C348:D348"/>
    <mergeCell ref="E348:F348"/>
    <mergeCell ref="G348:H348"/>
    <mergeCell ref="I348:J348"/>
    <mergeCell ref="K348:L348"/>
    <mergeCell ref="M347:N347"/>
    <mergeCell ref="O347:P347"/>
    <mergeCell ref="Q347:R347"/>
    <mergeCell ref="S347:T347"/>
    <mergeCell ref="U347:V347"/>
    <mergeCell ref="W347:X347"/>
    <mergeCell ref="A347:B347"/>
    <mergeCell ref="C347:D347"/>
    <mergeCell ref="E347:F347"/>
    <mergeCell ref="G347:H347"/>
    <mergeCell ref="I347:J347"/>
    <mergeCell ref="K347:L347"/>
    <mergeCell ref="M350:N350"/>
    <mergeCell ref="O350:P350"/>
    <mergeCell ref="Q350:R350"/>
    <mergeCell ref="S350:T350"/>
    <mergeCell ref="U350:V350"/>
    <mergeCell ref="W350:X350"/>
    <mergeCell ref="A350:B350"/>
    <mergeCell ref="C350:D350"/>
    <mergeCell ref="E350:F350"/>
    <mergeCell ref="G350:H350"/>
    <mergeCell ref="I350:J350"/>
    <mergeCell ref="K350:L350"/>
    <mergeCell ref="M349:N349"/>
    <mergeCell ref="O349:P349"/>
    <mergeCell ref="Q349:R349"/>
    <mergeCell ref="S349:T349"/>
    <mergeCell ref="U349:V349"/>
    <mergeCell ref="W349:X349"/>
    <mergeCell ref="A349:B349"/>
    <mergeCell ref="C349:D349"/>
    <mergeCell ref="E349:F349"/>
    <mergeCell ref="G349:H349"/>
    <mergeCell ref="I349:J349"/>
    <mergeCell ref="K349:L349"/>
    <mergeCell ref="M352:N352"/>
    <mergeCell ref="O352:P352"/>
    <mergeCell ref="Q352:R352"/>
    <mergeCell ref="S352:T352"/>
    <mergeCell ref="U352:V352"/>
    <mergeCell ref="W352:X352"/>
    <mergeCell ref="A352:B352"/>
    <mergeCell ref="C352:D352"/>
    <mergeCell ref="E352:F352"/>
    <mergeCell ref="G352:H352"/>
    <mergeCell ref="I352:J352"/>
    <mergeCell ref="K352:L352"/>
    <mergeCell ref="M351:N351"/>
    <mergeCell ref="O351:P351"/>
    <mergeCell ref="Q351:R351"/>
    <mergeCell ref="S351:T351"/>
    <mergeCell ref="U351:V351"/>
    <mergeCell ref="W351:X351"/>
    <mergeCell ref="A351:B351"/>
    <mergeCell ref="C351:D351"/>
    <mergeCell ref="E351:F351"/>
    <mergeCell ref="G351:H351"/>
    <mergeCell ref="I351:J351"/>
    <mergeCell ref="K351:L351"/>
    <mergeCell ref="M354:N354"/>
    <mergeCell ref="O354:P354"/>
    <mergeCell ref="Q354:R354"/>
    <mergeCell ref="S354:T354"/>
    <mergeCell ref="U354:V354"/>
    <mergeCell ref="W354:X354"/>
    <mergeCell ref="A354:B354"/>
    <mergeCell ref="C354:D354"/>
    <mergeCell ref="E354:F354"/>
    <mergeCell ref="G354:H354"/>
    <mergeCell ref="I354:J354"/>
    <mergeCell ref="K354:L354"/>
    <mergeCell ref="M353:N353"/>
    <mergeCell ref="O353:P353"/>
    <mergeCell ref="Q353:R353"/>
    <mergeCell ref="S353:T353"/>
    <mergeCell ref="U353:V353"/>
    <mergeCell ref="W353:X353"/>
    <mergeCell ref="A353:B353"/>
    <mergeCell ref="C353:D353"/>
    <mergeCell ref="E353:F353"/>
    <mergeCell ref="G353:H353"/>
    <mergeCell ref="I353:J353"/>
    <mergeCell ref="K353:L353"/>
    <mergeCell ref="M356:N356"/>
    <mergeCell ref="O356:P356"/>
    <mergeCell ref="Q356:R356"/>
    <mergeCell ref="S356:T356"/>
    <mergeCell ref="U356:V356"/>
    <mergeCell ref="W356:X356"/>
    <mergeCell ref="A356:B356"/>
    <mergeCell ref="C356:D356"/>
    <mergeCell ref="E356:F356"/>
    <mergeCell ref="G356:H356"/>
    <mergeCell ref="I356:J356"/>
    <mergeCell ref="K356:L356"/>
    <mergeCell ref="M355:N355"/>
    <mergeCell ref="O355:P355"/>
    <mergeCell ref="Q355:R355"/>
    <mergeCell ref="S355:T355"/>
    <mergeCell ref="U355:V355"/>
    <mergeCell ref="W355:X355"/>
    <mergeCell ref="A355:B355"/>
    <mergeCell ref="C355:D355"/>
    <mergeCell ref="E355:F355"/>
    <mergeCell ref="G355:H355"/>
    <mergeCell ref="I355:J355"/>
    <mergeCell ref="K355:L355"/>
    <mergeCell ref="M358:N358"/>
    <mergeCell ref="O358:P358"/>
    <mergeCell ref="Q358:R358"/>
    <mergeCell ref="S358:T358"/>
    <mergeCell ref="U358:V358"/>
    <mergeCell ref="W358:X358"/>
    <mergeCell ref="A358:B358"/>
    <mergeCell ref="C358:D358"/>
    <mergeCell ref="E358:F358"/>
    <mergeCell ref="G358:H358"/>
    <mergeCell ref="I358:J358"/>
    <mergeCell ref="K358:L358"/>
    <mergeCell ref="M357:N357"/>
    <mergeCell ref="O357:P357"/>
    <mergeCell ref="Q357:R357"/>
    <mergeCell ref="S357:T357"/>
    <mergeCell ref="U357:V357"/>
    <mergeCell ref="W357:X357"/>
    <mergeCell ref="A357:B357"/>
    <mergeCell ref="C357:D357"/>
    <mergeCell ref="E357:F357"/>
    <mergeCell ref="G357:H357"/>
    <mergeCell ref="I357:J357"/>
    <mergeCell ref="K357:L357"/>
    <mergeCell ref="M360:N360"/>
    <mergeCell ref="O360:P360"/>
    <mergeCell ref="Q360:R360"/>
    <mergeCell ref="S360:T360"/>
    <mergeCell ref="U360:V360"/>
    <mergeCell ref="W360:X360"/>
    <mergeCell ref="A360:B360"/>
    <mergeCell ref="C360:D360"/>
    <mergeCell ref="E360:F360"/>
    <mergeCell ref="G360:H360"/>
    <mergeCell ref="I360:J360"/>
    <mergeCell ref="K360:L360"/>
    <mergeCell ref="M359:N359"/>
    <mergeCell ref="O359:P359"/>
    <mergeCell ref="Q359:R359"/>
    <mergeCell ref="S359:T359"/>
    <mergeCell ref="U359:V359"/>
    <mergeCell ref="W359:X359"/>
    <mergeCell ref="A359:B359"/>
    <mergeCell ref="C359:D359"/>
    <mergeCell ref="E359:F359"/>
    <mergeCell ref="G359:H359"/>
    <mergeCell ref="I359:J359"/>
    <mergeCell ref="K359:L359"/>
    <mergeCell ref="M362:N362"/>
    <mergeCell ref="O362:P362"/>
    <mergeCell ref="Q362:R362"/>
    <mergeCell ref="S362:T362"/>
    <mergeCell ref="U362:V362"/>
    <mergeCell ref="W362:X362"/>
    <mergeCell ref="A362:B362"/>
    <mergeCell ref="C362:D362"/>
    <mergeCell ref="E362:F362"/>
    <mergeCell ref="G362:H362"/>
    <mergeCell ref="I362:J362"/>
    <mergeCell ref="K362:L362"/>
    <mergeCell ref="M361:N361"/>
    <mergeCell ref="O361:P361"/>
    <mergeCell ref="Q361:R361"/>
    <mergeCell ref="S361:T361"/>
    <mergeCell ref="U361:V361"/>
    <mergeCell ref="W361:X361"/>
    <mergeCell ref="A361:B361"/>
    <mergeCell ref="C361:D361"/>
    <mergeCell ref="E361:F361"/>
    <mergeCell ref="G361:H361"/>
    <mergeCell ref="I361:J361"/>
    <mergeCell ref="K361:L361"/>
    <mergeCell ref="M364:N364"/>
    <mergeCell ref="O364:P364"/>
    <mergeCell ref="Q364:R364"/>
    <mergeCell ref="S364:T364"/>
    <mergeCell ref="U364:V364"/>
    <mergeCell ref="W364:X364"/>
    <mergeCell ref="A364:B364"/>
    <mergeCell ref="C364:D364"/>
    <mergeCell ref="E364:F364"/>
    <mergeCell ref="G364:H364"/>
    <mergeCell ref="I364:J364"/>
    <mergeCell ref="K364:L364"/>
    <mergeCell ref="M363:N363"/>
    <mergeCell ref="O363:P363"/>
    <mergeCell ref="Q363:R363"/>
    <mergeCell ref="S363:T363"/>
    <mergeCell ref="U363:V363"/>
    <mergeCell ref="W363:X363"/>
    <mergeCell ref="A363:B363"/>
    <mergeCell ref="C363:D363"/>
    <mergeCell ref="E363:F363"/>
    <mergeCell ref="G363:H363"/>
    <mergeCell ref="I363:J363"/>
    <mergeCell ref="K363:L363"/>
    <mergeCell ref="M366:N366"/>
    <mergeCell ref="O366:P366"/>
    <mergeCell ref="Q366:R366"/>
    <mergeCell ref="S366:T366"/>
    <mergeCell ref="U366:V366"/>
    <mergeCell ref="W366:X366"/>
    <mergeCell ref="A366:B366"/>
    <mergeCell ref="C366:D366"/>
    <mergeCell ref="E366:F366"/>
    <mergeCell ref="G366:H366"/>
    <mergeCell ref="I366:J366"/>
    <mergeCell ref="K366:L366"/>
    <mergeCell ref="M365:N365"/>
    <mergeCell ref="O365:P365"/>
    <mergeCell ref="Q365:R365"/>
    <mergeCell ref="S365:T365"/>
    <mergeCell ref="U365:V365"/>
    <mergeCell ref="W365:X365"/>
    <mergeCell ref="A365:B365"/>
    <mergeCell ref="C365:D365"/>
    <mergeCell ref="E365:F365"/>
    <mergeCell ref="G365:H365"/>
    <mergeCell ref="I365:J365"/>
    <mergeCell ref="K365:L365"/>
    <mergeCell ref="M368:N368"/>
    <mergeCell ref="O368:P368"/>
    <mergeCell ref="Q368:R368"/>
    <mergeCell ref="S368:T368"/>
    <mergeCell ref="U368:V368"/>
    <mergeCell ref="W368:X368"/>
    <mergeCell ref="A368:B368"/>
    <mergeCell ref="C368:D368"/>
    <mergeCell ref="E368:F368"/>
    <mergeCell ref="G368:H368"/>
    <mergeCell ref="I368:J368"/>
    <mergeCell ref="K368:L368"/>
    <mergeCell ref="M367:N367"/>
    <mergeCell ref="O367:P367"/>
    <mergeCell ref="Q367:R367"/>
    <mergeCell ref="S367:T367"/>
    <mergeCell ref="U367:V367"/>
    <mergeCell ref="W367:X367"/>
    <mergeCell ref="A367:B367"/>
    <mergeCell ref="C367:D367"/>
    <mergeCell ref="E367:F367"/>
    <mergeCell ref="G367:H367"/>
    <mergeCell ref="I367:J367"/>
    <mergeCell ref="K367:L367"/>
    <mergeCell ref="M370:N370"/>
    <mergeCell ref="O370:P370"/>
    <mergeCell ref="Q370:R370"/>
    <mergeCell ref="S370:T370"/>
    <mergeCell ref="U370:V370"/>
    <mergeCell ref="W370:X370"/>
    <mergeCell ref="A370:B370"/>
    <mergeCell ref="C370:D370"/>
    <mergeCell ref="E370:F370"/>
    <mergeCell ref="G370:H370"/>
    <mergeCell ref="I370:J370"/>
    <mergeCell ref="K370:L370"/>
    <mergeCell ref="M369:N369"/>
    <mergeCell ref="O369:P369"/>
    <mergeCell ref="Q369:R369"/>
    <mergeCell ref="S369:T369"/>
    <mergeCell ref="U369:V369"/>
    <mergeCell ref="W369:X369"/>
    <mergeCell ref="A369:B369"/>
    <mergeCell ref="C369:D369"/>
    <mergeCell ref="E369:F369"/>
    <mergeCell ref="G369:H369"/>
    <mergeCell ref="I369:J369"/>
    <mergeCell ref="K369:L369"/>
    <mergeCell ref="M372:N372"/>
    <mergeCell ref="O372:P372"/>
    <mergeCell ref="Q372:R372"/>
    <mergeCell ref="S372:T372"/>
    <mergeCell ref="U372:V372"/>
    <mergeCell ref="W372:X372"/>
    <mergeCell ref="A372:B372"/>
    <mergeCell ref="C372:D372"/>
    <mergeCell ref="E372:F372"/>
    <mergeCell ref="G372:H372"/>
    <mergeCell ref="I372:J372"/>
    <mergeCell ref="K372:L372"/>
    <mergeCell ref="M371:N371"/>
    <mergeCell ref="O371:P371"/>
    <mergeCell ref="Q371:R371"/>
    <mergeCell ref="S371:T371"/>
    <mergeCell ref="U371:V371"/>
    <mergeCell ref="W371:X371"/>
    <mergeCell ref="A371:B371"/>
    <mergeCell ref="C371:D371"/>
    <mergeCell ref="E371:F371"/>
    <mergeCell ref="G371:H371"/>
    <mergeCell ref="I371:J371"/>
    <mergeCell ref="K371:L371"/>
    <mergeCell ref="M374:N374"/>
    <mergeCell ref="O374:P374"/>
    <mergeCell ref="Q374:R374"/>
    <mergeCell ref="S374:T374"/>
    <mergeCell ref="U374:V374"/>
    <mergeCell ref="W374:X374"/>
    <mergeCell ref="A374:B374"/>
    <mergeCell ref="C374:D374"/>
    <mergeCell ref="E374:F374"/>
    <mergeCell ref="G374:H374"/>
    <mergeCell ref="I374:J374"/>
    <mergeCell ref="K374:L374"/>
    <mergeCell ref="M373:N373"/>
    <mergeCell ref="O373:P373"/>
    <mergeCell ref="Q373:R373"/>
    <mergeCell ref="S373:T373"/>
    <mergeCell ref="U373:V373"/>
    <mergeCell ref="W373:X373"/>
    <mergeCell ref="A373:B373"/>
    <mergeCell ref="C373:D373"/>
    <mergeCell ref="E373:F373"/>
    <mergeCell ref="G373:H373"/>
    <mergeCell ref="I373:J373"/>
    <mergeCell ref="K373:L373"/>
    <mergeCell ref="M376:N376"/>
    <mergeCell ref="O376:P376"/>
    <mergeCell ref="Q376:R376"/>
    <mergeCell ref="S376:T376"/>
    <mergeCell ref="U376:V376"/>
    <mergeCell ref="W376:X376"/>
    <mergeCell ref="A376:B376"/>
    <mergeCell ref="C376:D376"/>
    <mergeCell ref="E376:F376"/>
    <mergeCell ref="G376:H376"/>
    <mergeCell ref="I376:J376"/>
    <mergeCell ref="K376:L376"/>
    <mergeCell ref="M375:N375"/>
    <mergeCell ref="O375:P375"/>
    <mergeCell ref="Q375:R375"/>
    <mergeCell ref="S375:T375"/>
    <mergeCell ref="U375:V375"/>
    <mergeCell ref="W375:X375"/>
    <mergeCell ref="A375:B375"/>
    <mergeCell ref="C375:D375"/>
    <mergeCell ref="E375:F375"/>
    <mergeCell ref="G375:H375"/>
    <mergeCell ref="I375:J375"/>
    <mergeCell ref="K375:L375"/>
    <mergeCell ref="M378:N378"/>
    <mergeCell ref="O378:P378"/>
    <mergeCell ref="Q378:R378"/>
    <mergeCell ref="S378:T378"/>
    <mergeCell ref="U378:V378"/>
    <mergeCell ref="W378:X378"/>
    <mergeCell ref="A378:B378"/>
    <mergeCell ref="C378:D378"/>
    <mergeCell ref="E378:F378"/>
    <mergeCell ref="G378:H378"/>
    <mergeCell ref="I378:J378"/>
    <mergeCell ref="K378:L378"/>
    <mergeCell ref="M377:N377"/>
    <mergeCell ref="O377:P377"/>
    <mergeCell ref="Q377:R377"/>
    <mergeCell ref="S377:T377"/>
    <mergeCell ref="U377:V377"/>
    <mergeCell ref="W377:X377"/>
    <mergeCell ref="A377:B377"/>
    <mergeCell ref="C377:D377"/>
    <mergeCell ref="E377:F377"/>
    <mergeCell ref="G377:H377"/>
    <mergeCell ref="I377:J377"/>
    <mergeCell ref="K377:L377"/>
    <mergeCell ref="M380:N380"/>
    <mergeCell ref="O380:P380"/>
    <mergeCell ref="Q380:R380"/>
    <mergeCell ref="S380:T380"/>
    <mergeCell ref="U380:V380"/>
    <mergeCell ref="W380:X380"/>
    <mergeCell ref="A380:B380"/>
    <mergeCell ref="C380:D380"/>
    <mergeCell ref="E380:F380"/>
    <mergeCell ref="G380:H380"/>
    <mergeCell ref="I380:J380"/>
    <mergeCell ref="K380:L380"/>
    <mergeCell ref="M379:N379"/>
    <mergeCell ref="O379:P379"/>
    <mergeCell ref="Q379:R379"/>
    <mergeCell ref="S379:T379"/>
    <mergeCell ref="U379:V379"/>
    <mergeCell ref="W379:X379"/>
    <mergeCell ref="A379:B379"/>
    <mergeCell ref="C379:D379"/>
    <mergeCell ref="E379:F379"/>
    <mergeCell ref="G379:H379"/>
    <mergeCell ref="I379:J379"/>
    <mergeCell ref="K379:L379"/>
    <mergeCell ref="M382:N382"/>
    <mergeCell ref="O382:P382"/>
    <mergeCell ref="Q382:R382"/>
    <mergeCell ref="S382:T382"/>
    <mergeCell ref="U382:V382"/>
    <mergeCell ref="W382:X382"/>
    <mergeCell ref="A382:B382"/>
    <mergeCell ref="C382:D382"/>
    <mergeCell ref="E382:F382"/>
    <mergeCell ref="G382:H382"/>
    <mergeCell ref="I382:J382"/>
    <mergeCell ref="K382:L382"/>
    <mergeCell ref="M381:N381"/>
    <mergeCell ref="O381:P381"/>
    <mergeCell ref="Q381:R381"/>
    <mergeCell ref="S381:T381"/>
    <mergeCell ref="U381:V381"/>
    <mergeCell ref="W381:X381"/>
    <mergeCell ref="A381:B381"/>
    <mergeCell ref="C381:D381"/>
    <mergeCell ref="E381:F381"/>
    <mergeCell ref="G381:H381"/>
    <mergeCell ref="I381:J381"/>
    <mergeCell ref="K381:L381"/>
    <mergeCell ref="M384:N384"/>
    <mergeCell ref="O384:P384"/>
    <mergeCell ref="Q384:R384"/>
    <mergeCell ref="S384:T384"/>
    <mergeCell ref="U384:V384"/>
    <mergeCell ref="W384:X384"/>
    <mergeCell ref="A384:B384"/>
    <mergeCell ref="C384:D384"/>
    <mergeCell ref="E384:F384"/>
    <mergeCell ref="G384:H384"/>
    <mergeCell ref="I384:J384"/>
    <mergeCell ref="K384:L384"/>
    <mergeCell ref="M383:N383"/>
    <mergeCell ref="O383:P383"/>
    <mergeCell ref="Q383:R383"/>
    <mergeCell ref="S383:T383"/>
    <mergeCell ref="U383:V383"/>
    <mergeCell ref="W383:X383"/>
    <mergeCell ref="A383:B383"/>
    <mergeCell ref="C383:D383"/>
    <mergeCell ref="E383:F383"/>
    <mergeCell ref="G383:H383"/>
    <mergeCell ref="I383:J383"/>
    <mergeCell ref="K383:L383"/>
    <mergeCell ref="M386:N386"/>
    <mergeCell ref="O386:P386"/>
    <mergeCell ref="Q386:R386"/>
    <mergeCell ref="S386:T386"/>
    <mergeCell ref="U386:V386"/>
    <mergeCell ref="W386:X386"/>
    <mergeCell ref="A386:B386"/>
    <mergeCell ref="C386:D386"/>
    <mergeCell ref="E386:F386"/>
    <mergeCell ref="G386:H386"/>
    <mergeCell ref="I386:J386"/>
    <mergeCell ref="K386:L386"/>
    <mergeCell ref="M385:N385"/>
    <mergeCell ref="O385:P385"/>
    <mergeCell ref="Q385:R385"/>
    <mergeCell ref="S385:T385"/>
    <mergeCell ref="U385:V385"/>
    <mergeCell ref="W385:X385"/>
    <mergeCell ref="A385:B385"/>
    <mergeCell ref="C385:D385"/>
    <mergeCell ref="E385:F385"/>
    <mergeCell ref="G385:H385"/>
    <mergeCell ref="I385:J385"/>
    <mergeCell ref="K385:L385"/>
    <mergeCell ref="M388:N388"/>
    <mergeCell ref="O388:P388"/>
    <mergeCell ref="Q388:R388"/>
    <mergeCell ref="S388:T388"/>
    <mergeCell ref="U388:V388"/>
    <mergeCell ref="W388:X388"/>
    <mergeCell ref="A388:B388"/>
    <mergeCell ref="C388:D388"/>
    <mergeCell ref="E388:F388"/>
    <mergeCell ref="G388:H388"/>
    <mergeCell ref="I388:J388"/>
    <mergeCell ref="K388:L388"/>
    <mergeCell ref="M387:N387"/>
    <mergeCell ref="O387:P387"/>
    <mergeCell ref="Q387:R387"/>
    <mergeCell ref="S387:T387"/>
    <mergeCell ref="U387:V387"/>
    <mergeCell ref="W387:X387"/>
    <mergeCell ref="A387:B387"/>
    <mergeCell ref="C387:D387"/>
    <mergeCell ref="E387:F387"/>
    <mergeCell ref="G387:H387"/>
    <mergeCell ref="I387:J387"/>
    <mergeCell ref="K387:L387"/>
    <mergeCell ref="M390:N390"/>
    <mergeCell ref="O390:P390"/>
    <mergeCell ref="Q390:R390"/>
    <mergeCell ref="S390:T390"/>
    <mergeCell ref="U390:V390"/>
    <mergeCell ref="W390:X390"/>
    <mergeCell ref="A390:B390"/>
    <mergeCell ref="C390:D390"/>
    <mergeCell ref="E390:F390"/>
    <mergeCell ref="G390:H390"/>
    <mergeCell ref="I390:J390"/>
    <mergeCell ref="K390:L390"/>
    <mergeCell ref="M389:N389"/>
    <mergeCell ref="O389:P389"/>
    <mergeCell ref="Q389:R389"/>
    <mergeCell ref="S389:T389"/>
    <mergeCell ref="U389:V389"/>
    <mergeCell ref="W389:X389"/>
    <mergeCell ref="A389:B389"/>
    <mergeCell ref="C389:D389"/>
    <mergeCell ref="E389:F389"/>
    <mergeCell ref="G389:H389"/>
    <mergeCell ref="I389:J389"/>
    <mergeCell ref="K389:L389"/>
    <mergeCell ref="M392:N392"/>
    <mergeCell ref="O392:P392"/>
    <mergeCell ref="Q392:R392"/>
    <mergeCell ref="S392:T392"/>
    <mergeCell ref="U392:V392"/>
    <mergeCell ref="W392:X392"/>
    <mergeCell ref="A392:B392"/>
    <mergeCell ref="C392:D392"/>
    <mergeCell ref="E392:F392"/>
    <mergeCell ref="G392:H392"/>
    <mergeCell ref="I392:J392"/>
    <mergeCell ref="K392:L392"/>
    <mergeCell ref="M391:N391"/>
    <mergeCell ref="O391:P391"/>
    <mergeCell ref="Q391:R391"/>
    <mergeCell ref="S391:T391"/>
    <mergeCell ref="U391:V391"/>
    <mergeCell ref="W391:X391"/>
    <mergeCell ref="A391:B391"/>
    <mergeCell ref="C391:D391"/>
    <mergeCell ref="E391:F391"/>
    <mergeCell ref="G391:H391"/>
    <mergeCell ref="I391:J391"/>
    <mergeCell ref="K391:L391"/>
    <mergeCell ref="M394:N394"/>
    <mergeCell ref="O394:P394"/>
    <mergeCell ref="Q394:R394"/>
    <mergeCell ref="S394:T394"/>
    <mergeCell ref="U394:V394"/>
    <mergeCell ref="W394:X394"/>
    <mergeCell ref="A394:B394"/>
    <mergeCell ref="C394:D394"/>
    <mergeCell ref="E394:F394"/>
    <mergeCell ref="G394:H394"/>
    <mergeCell ref="I394:J394"/>
    <mergeCell ref="K394:L394"/>
    <mergeCell ref="M393:N393"/>
    <mergeCell ref="O393:P393"/>
    <mergeCell ref="Q393:R393"/>
    <mergeCell ref="S393:T393"/>
    <mergeCell ref="U393:V393"/>
    <mergeCell ref="W393:X393"/>
    <mergeCell ref="A393:B393"/>
    <mergeCell ref="C393:D393"/>
    <mergeCell ref="E393:F393"/>
    <mergeCell ref="G393:H393"/>
    <mergeCell ref="I393:J393"/>
    <mergeCell ref="K393:L393"/>
    <mergeCell ref="M396:N396"/>
    <mergeCell ref="O396:P396"/>
    <mergeCell ref="Q396:R396"/>
    <mergeCell ref="S396:T396"/>
    <mergeCell ref="U396:V396"/>
    <mergeCell ref="W396:X396"/>
    <mergeCell ref="A396:B396"/>
    <mergeCell ref="C396:D396"/>
    <mergeCell ref="E396:F396"/>
    <mergeCell ref="G396:H396"/>
    <mergeCell ref="I396:J396"/>
    <mergeCell ref="K396:L396"/>
    <mergeCell ref="M395:N395"/>
    <mergeCell ref="O395:P395"/>
    <mergeCell ref="Q395:R395"/>
    <mergeCell ref="S395:T395"/>
    <mergeCell ref="U395:V395"/>
    <mergeCell ref="W395:X395"/>
    <mergeCell ref="A395:B395"/>
    <mergeCell ref="C395:D395"/>
    <mergeCell ref="E395:F395"/>
    <mergeCell ref="G395:H395"/>
    <mergeCell ref="I395:J395"/>
    <mergeCell ref="K395:L395"/>
    <mergeCell ref="M398:N398"/>
    <mergeCell ref="O398:P398"/>
    <mergeCell ref="Q398:R398"/>
    <mergeCell ref="S398:T398"/>
    <mergeCell ref="U398:V398"/>
    <mergeCell ref="W398:X398"/>
    <mergeCell ref="A398:B398"/>
    <mergeCell ref="C398:D398"/>
    <mergeCell ref="E398:F398"/>
    <mergeCell ref="G398:H398"/>
    <mergeCell ref="I398:J398"/>
    <mergeCell ref="K398:L398"/>
    <mergeCell ref="M397:N397"/>
    <mergeCell ref="O397:P397"/>
    <mergeCell ref="Q397:R397"/>
    <mergeCell ref="S397:T397"/>
    <mergeCell ref="U397:V397"/>
    <mergeCell ref="W397:X397"/>
    <mergeCell ref="A397:B397"/>
    <mergeCell ref="C397:D397"/>
    <mergeCell ref="E397:F397"/>
    <mergeCell ref="G397:H397"/>
    <mergeCell ref="I397:J397"/>
    <mergeCell ref="K397:L397"/>
    <mergeCell ref="M400:N400"/>
    <mergeCell ref="O400:P400"/>
    <mergeCell ref="Q400:R400"/>
    <mergeCell ref="S400:T400"/>
    <mergeCell ref="U400:V400"/>
    <mergeCell ref="W400:X400"/>
    <mergeCell ref="A400:B400"/>
    <mergeCell ref="C400:D400"/>
    <mergeCell ref="E400:F400"/>
    <mergeCell ref="G400:H400"/>
    <mergeCell ref="I400:J400"/>
    <mergeCell ref="K400:L400"/>
    <mergeCell ref="M399:N399"/>
    <mergeCell ref="O399:P399"/>
    <mergeCell ref="Q399:R399"/>
    <mergeCell ref="S399:T399"/>
    <mergeCell ref="U399:V399"/>
    <mergeCell ref="W399:X399"/>
    <mergeCell ref="A399:B399"/>
    <mergeCell ref="C399:D399"/>
    <mergeCell ref="E399:F399"/>
    <mergeCell ref="G399:H399"/>
    <mergeCell ref="I399:J399"/>
    <mergeCell ref="K399:L399"/>
    <mergeCell ref="M402:N402"/>
    <mergeCell ref="O402:P402"/>
    <mergeCell ref="Q402:R402"/>
    <mergeCell ref="S402:T402"/>
    <mergeCell ref="U402:V402"/>
    <mergeCell ref="W402:X402"/>
    <mergeCell ref="A402:B402"/>
    <mergeCell ref="C402:D402"/>
    <mergeCell ref="E402:F402"/>
    <mergeCell ref="G402:H402"/>
    <mergeCell ref="I402:J402"/>
    <mergeCell ref="K402:L402"/>
    <mergeCell ref="M401:N401"/>
    <mergeCell ref="O401:P401"/>
    <mergeCell ref="Q401:R401"/>
    <mergeCell ref="S401:T401"/>
    <mergeCell ref="U401:V401"/>
    <mergeCell ref="W401:X401"/>
    <mergeCell ref="A401:B401"/>
    <mergeCell ref="C401:D401"/>
    <mergeCell ref="E401:F401"/>
    <mergeCell ref="G401:H401"/>
    <mergeCell ref="I401:J401"/>
    <mergeCell ref="K401:L401"/>
    <mergeCell ref="M404:N404"/>
    <mergeCell ref="O404:P404"/>
    <mergeCell ref="Q404:R404"/>
    <mergeCell ref="S404:T404"/>
    <mergeCell ref="U404:V404"/>
    <mergeCell ref="W404:X404"/>
    <mergeCell ref="A404:B404"/>
    <mergeCell ref="C404:D404"/>
    <mergeCell ref="E404:F404"/>
    <mergeCell ref="G404:H404"/>
    <mergeCell ref="I404:J404"/>
    <mergeCell ref="K404:L404"/>
    <mergeCell ref="M403:N403"/>
    <mergeCell ref="O403:P403"/>
    <mergeCell ref="Q403:R403"/>
    <mergeCell ref="S403:T403"/>
    <mergeCell ref="U403:V403"/>
    <mergeCell ref="W403:X403"/>
    <mergeCell ref="A403:B403"/>
    <mergeCell ref="C403:D403"/>
    <mergeCell ref="E403:F403"/>
    <mergeCell ref="G403:H403"/>
    <mergeCell ref="I403:J403"/>
    <mergeCell ref="K403:L403"/>
    <mergeCell ref="M406:N406"/>
    <mergeCell ref="O406:P406"/>
    <mergeCell ref="Q406:R406"/>
    <mergeCell ref="S406:T406"/>
    <mergeCell ref="U406:V406"/>
    <mergeCell ref="W406:X406"/>
    <mergeCell ref="A406:B406"/>
    <mergeCell ref="C406:D406"/>
    <mergeCell ref="E406:F406"/>
    <mergeCell ref="G406:H406"/>
    <mergeCell ref="I406:J406"/>
    <mergeCell ref="K406:L406"/>
    <mergeCell ref="M405:N405"/>
    <mergeCell ref="O405:P405"/>
    <mergeCell ref="Q405:R405"/>
    <mergeCell ref="S405:T405"/>
    <mergeCell ref="U405:V405"/>
    <mergeCell ref="W405:X405"/>
    <mergeCell ref="A405:B405"/>
    <mergeCell ref="C405:D405"/>
    <mergeCell ref="E405:F405"/>
    <mergeCell ref="G405:H405"/>
    <mergeCell ref="I405:J405"/>
    <mergeCell ref="K405:L405"/>
    <mergeCell ref="M408:N408"/>
    <mergeCell ref="O408:P408"/>
    <mergeCell ref="Q408:R408"/>
    <mergeCell ref="S408:T408"/>
    <mergeCell ref="U408:V408"/>
    <mergeCell ref="W408:X408"/>
    <mergeCell ref="A408:B408"/>
    <mergeCell ref="C408:D408"/>
    <mergeCell ref="E408:F408"/>
    <mergeCell ref="G408:H408"/>
    <mergeCell ref="I408:J408"/>
    <mergeCell ref="K408:L408"/>
    <mergeCell ref="M407:N407"/>
    <mergeCell ref="O407:P407"/>
    <mergeCell ref="Q407:R407"/>
    <mergeCell ref="S407:T407"/>
    <mergeCell ref="U407:V407"/>
    <mergeCell ref="W407:X407"/>
    <mergeCell ref="A407:B407"/>
    <mergeCell ref="C407:D407"/>
    <mergeCell ref="E407:F407"/>
    <mergeCell ref="G407:H407"/>
    <mergeCell ref="I407:J407"/>
    <mergeCell ref="K407:L407"/>
    <mergeCell ref="M410:N410"/>
    <mergeCell ref="O410:P410"/>
    <mergeCell ref="Q410:R410"/>
    <mergeCell ref="S410:T410"/>
    <mergeCell ref="U410:V410"/>
    <mergeCell ref="W410:X410"/>
    <mergeCell ref="A410:B410"/>
    <mergeCell ref="C410:D410"/>
    <mergeCell ref="E410:F410"/>
    <mergeCell ref="G410:H410"/>
    <mergeCell ref="I410:J410"/>
    <mergeCell ref="K410:L410"/>
    <mergeCell ref="M409:N409"/>
    <mergeCell ref="O409:P409"/>
    <mergeCell ref="Q409:R409"/>
    <mergeCell ref="S409:T409"/>
    <mergeCell ref="U409:V409"/>
    <mergeCell ref="W409:X409"/>
    <mergeCell ref="A409:B409"/>
    <mergeCell ref="C409:D409"/>
    <mergeCell ref="E409:F409"/>
    <mergeCell ref="G409:H409"/>
    <mergeCell ref="I409:J409"/>
    <mergeCell ref="K409:L409"/>
    <mergeCell ref="M412:N412"/>
    <mergeCell ref="O412:P412"/>
    <mergeCell ref="Q412:R412"/>
    <mergeCell ref="S412:T412"/>
    <mergeCell ref="U412:V412"/>
    <mergeCell ref="W412:X412"/>
    <mergeCell ref="A412:B412"/>
    <mergeCell ref="C412:D412"/>
    <mergeCell ref="E412:F412"/>
    <mergeCell ref="G412:H412"/>
    <mergeCell ref="I412:J412"/>
    <mergeCell ref="K412:L412"/>
    <mergeCell ref="M411:N411"/>
    <mergeCell ref="O411:P411"/>
    <mergeCell ref="Q411:R411"/>
    <mergeCell ref="S411:T411"/>
    <mergeCell ref="U411:V411"/>
    <mergeCell ref="W411:X411"/>
    <mergeCell ref="A411:B411"/>
    <mergeCell ref="C411:D411"/>
    <mergeCell ref="E411:F411"/>
    <mergeCell ref="G411:H411"/>
    <mergeCell ref="I411:J411"/>
    <mergeCell ref="K411:L411"/>
    <mergeCell ref="M414:N414"/>
    <mergeCell ref="O414:P414"/>
    <mergeCell ref="Q414:R414"/>
    <mergeCell ref="S414:T414"/>
    <mergeCell ref="U414:V414"/>
    <mergeCell ref="W414:X414"/>
    <mergeCell ref="A414:B414"/>
    <mergeCell ref="C414:D414"/>
    <mergeCell ref="E414:F414"/>
    <mergeCell ref="G414:H414"/>
    <mergeCell ref="I414:J414"/>
    <mergeCell ref="K414:L414"/>
    <mergeCell ref="M413:N413"/>
    <mergeCell ref="O413:P413"/>
    <mergeCell ref="Q413:R413"/>
    <mergeCell ref="S413:T413"/>
    <mergeCell ref="U413:V413"/>
    <mergeCell ref="W413:X413"/>
    <mergeCell ref="A413:B413"/>
    <mergeCell ref="C413:D413"/>
    <mergeCell ref="E413:F413"/>
    <mergeCell ref="G413:H413"/>
    <mergeCell ref="I413:J413"/>
    <mergeCell ref="K413:L413"/>
    <mergeCell ref="M416:N416"/>
    <mergeCell ref="O416:P416"/>
    <mergeCell ref="Q416:R416"/>
    <mergeCell ref="S416:T416"/>
    <mergeCell ref="U416:V416"/>
    <mergeCell ref="W416:X416"/>
    <mergeCell ref="A416:B416"/>
    <mergeCell ref="C416:D416"/>
    <mergeCell ref="E416:F416"/>
    <mergeCell ref="G416:H416"/>
    <mergeCell ref="I416:J416"/>
    <mergeCell ref="K416:L416"/>
    <mergeCell ref="M415:N415"/>
    <mergeCell ref="O415:P415"/>
    <mergeCell ref="Q415:R415"/>
    <mergeCell ref="S415:T415"/>
    <mergeCell ref="U415:V415"/>
    <mergeCell ref="W415:X415"/>
    <mergeCell ref="A415:B415"/>
    <mergeCell ref="C415:D415"/>
    <mergeCell ref="E415:F415"/>
    <mergeCell ref="G415:H415"/>
    <mergeCell ref="I415:J415"/>
    <mergeCell ref="K415:L415"/>
    <mergeCell ref="M418:N418"/>
    <mergeCell ref="O418:P418"/>
    <mergeCell ref="Q418:R418"/>
    <mergeCell ref="S418:T418"/>
    <mergeCell ref="U418:V418"/>
    <mergeCell ref="W418:X418"/>
    <mergeCell ref="A418:B418"/>
    <mergeCell ref="C418:D418"/>
    <mergeCell ref="E418:F418"/>
    <mergeCell ref="G418:H418"/>
    <mergeCell ref="I418:J418"/>
    <mergeCell ref="K418:L418"/>
    <mergeCell ref="M417:N417"/>
    <mergeCell ref="O417:P417"/>
    <mergeCell ref="Q417:R417"/>
    <mergeCell ref="S417:T417"/>
    <mergeCell ref="U417:V417"/>
    <mergeCell ref="W417:X417"/>
    <mergeCell ref="A417:B417"/>
    <mergeCell ref="C417:D417"/>
    <mergeCell ref="E417:F417"/>
    <mergeCell ref="G417:H417"/>
    <mergeCell ref="I417:J417"/>
    <mergeCell ref="K417:L417"/>
    <mergeCell ref="M420:N420"/>
    <mergeCell ref="O420:P420"/>
    <mergeCell ref="Q420:R420"/>
    <mergeCell ref="S420:T420"/>
    <mergeCell ref="U420:V420"/>
    <mergeCell ref="W420:X420"/>
    <mergeCell ref="A420:B420"/>
    <mergeCell ref="C420:D420"/>
    <mergeCell ref="E420:F420"/>
    <mergeCell ref="G420:H420"/>
    <mergeCell ref="I420:J420"/>
    <mergeCell ref="K420:L420"/>
    <mergeCell ref="M419:N419"/>
    <mergeCell ref="O419:P419"/>
    <mergeCell ref="Q419:R419"/>
    <mergeCell ref="S419:T419"/>
    <mergeCell ref="U419:V419"/>
    <mergeCell ref="W419:X419"/>
    <mergeCell ref="A419:B419"/>
    <mergeCell ref="C419:D419"/>
    <mergeCell ref="E419:F419"/>
    <mergeCell ref="G419:H419"/>
    <mergeCell ref="I419:J419"/>
    <mergeCell ref="K419:L419"/>
    <mergeCell ref="M422:N422"/>
    <mergeCell ref="O422:P422"/>
    <mergeCell ref="Q422:R422"/>
    <mergeCell ref="S422:T422"/>
    <mergeCell ref="U422:V422"/>
    <mergeCell ref="W422:X422"/>
    <mergeCell ref="A422:B422"/>
    <mergeCell ref="C422:D422"/>
    <mergeCell ref="E422:F422"/>
    <mergeCell ref="G422:H422"/>
    <mergeCell ref="I422:J422"/>
    <mergeCell ref="K422:L422"/>
    <mergeCell ref="M421:N421"/>
    <mergeCell ref="O421:P421"/>
    <mergeCell ref="Q421:R421"/>
    <mergeCell ref="S421:T421"/>
    <mergeCell ref="U421:V421"/>
    <mergeCell ref="W421:X421"/>
    <mergeCell ref="A421:B421"/>
    <mergeCell ref="C421:D421"/>
    <mergeCell ref="E421:F421"/>
    <mergeCell ref="G421:H421"/>
    <mergeCell ref="I421:J421"/>
    <mergeCell ref="K421:L421"/>
    <mergeCell ref="M424:N424"/>
    <mergeCell ref="O424:P424"/>
    <mergeCell ref="Q424:R424"/>
    <mergeCell ref="S424:T424"/>
    <mergeCell ref="U424:V424"/>
    <mergeCell ref="W424:X424"/>
    <mergeCell ref="A424:B424"/>
    <mergeCell ref="C424:D424"/>
    <mergeCell ref="E424:F424"/>
    <mergeCell ref="G424:H424"/>
    <mergeCell ref="I424:J424"/>
    <mergeCell ref="K424:L424"/>
    <mergeCell ref="M423:N423"/>
    <mergeCell ref="O423:P423"/>
    <mergeCell ref="Q423:R423"/>
    <mergeCell ref="S423:T423"/>
    <mergeCell ref="U423:V423"/>
    <mergeCell ref="W423:X423"/>
    <mergeCell ref="A423:B423"/>
    <mergeCell ref="C423:D423"/>
    <mergeCell ref="E423:F423"/>
    <mergeCell ref="G423:H423"/>
    <mergeCell ref="I423:J423"/>
    <mergeCell ref="K423:L423"/>
    <mergeCell ref="M426:N426"/>
    <mergeCell ref="O426:P426"/>
    <mergeCell ref="Q426:R426"/>
    <mergeCell ref="S426:T426"/>
    <mergeCell ref="U426:V426"/>
    <mergeCell ref="W426:X426"/>
    <mergeCell ref="A426:B426"/>
    <mergeCell ref="C426:D426"/>
    <mergeCell ref="E426:F426"/>
    <mergeCell ref="G426:H426"/>
    <mergeCell ref="I426:J426"/>
    <mergeCell ref="K426:L426"/>
    <mergeCell ref="M425:N425"/>
    <mergeCell ref="O425:P425"/>
    <mergeCell ref="Q425:R425"/>
    <mergeCell ref="S425:T425"/>
    <mergeCell ref="U425:V425"/>
    <mergeCell ref="W425:X425"/>
    <mergeCell ref="A425:B425"/>
    <mergeCell ref="C425:D425"/>
    <mergeCell ref="E425:F425"/>
    <mergeCell ref="G425:H425"/>
    <mergeCell ref="I425:J425"/>
    <mergeCell ref="K425:L425"/>
    <mergeCell ref="M428:N428"/>
    <mergeCell ref="O428:P428"/>
    <mergeCell ref="Q428:R428"/>
    <mergeCell ref="S428:T428"/>
    <mergeCell ref="U428:V428"/>
    <mergeCell ref="W428:X428"/>
    <mergeCell ref="A428:B428"/>
    <mergeCell ref="C428:D428"/>
    <mergeCell ref="E428:F428"/>
    <mergeCell ref="G428:H428"/>
    <mergeCell ref="I428:J428"/>
    <mergeCell ref="K428:L428"/>
    <mergeCell ref="M427:N427"/>
    <mergeCell ref="O427:P427"/>
    <mergeCell ref="Q427:R427"/>
    <mergeCell ref="S427:T427"/>
    <mergeCell ref="U427:V427"/>
    <mergeCell ref="W427:X427"/>
    <mergeCell ref="A427:B427"/>
    <mergeCell ref="C427:D427"/>
    <mergeCell ref="E427:F427"/>
    <mergeCell ref="G427:H427"/>
    <mergeCell ref="I427:J427"/>
    <mergeCell ref="K427:L427"/>
    <mergeCell ref="M430:N430"/>
    <mergeCell ref="O430:P430"/>
    <mergeCell ref="Q430:R430"/>
    <mergeCell ref="S430:T430"/>
    <mergeCell ref="U430:V430"/>
    <mergeCell ref="W430:X430"/>
    <mergeCell ref="A430:B430"/>
    <mergeCell ref="C430:D430"/>
    <mergeCell ref="E430:F430"/>
    <mergeCell ref="G430:H430"/>
    <mergeCell ref="I430:J430"/>
    <mergeCell ref="K430:L430"/>
    <mergeCell ref="M429:N429"/>
    <mergeCell ref="O429:P429"/>
    <mergeCell ref="Q429:R429"/>
    <mergeCell ref="S429:T429"/>
    <mergeCell ref="U429:V429"/>
    <mergeCell ref="W429:X429"/>
    <mergeCell ref="A429:B429"/>
    <mergeCell ref="C429:D429"/>
    <mergeCell ref="E429:F429"/>
    <mergeCell ref="G429:H429"/>
    <mergeCell ref="I429:J429"/>
    <mergeCell ref="K429:L429"/>
    <mergeCell ref="M432:N432"/>
    <mergeCell ref="O432:P432"/>
    <mergeCell ref="Q432:R432"/>
    <mergeCell ref="S432:T432"/>
    <mergeCell ref="U432:V432"/>
    <mergeCell ref="W432:X432"/>
    <mergeCell ref="A432:B432"/>
    <mergeCell ref="C432:D432"/>
    <mergeCell ref="E432:F432"/>
    <mergeCell ref="G432:H432"/>
    <mergeCell ref="I432:J432"/>
    <mergeCell ref="K432:L432"/>
    <mergeCell ref="M431:N431"/>
    <mergeCell ref="O431:P431"/>
    <mergeCell ref="Q431:R431"/>
    <mergeCell ref="S431:T431"/>
    <mergeCell ref="U431:V431"/>
    <mergeCell ref="W431:X431"/>
    <mergeCell ref="A431:B431"/>
    <mergeCell ref="C431:D431"/>
    <mergeCell ref="E431:F431"/>
    <mergeCell ref="G431:H431"/>
    <mergeCell ref="I431:J431"/>
    <mergeCell ref="K431:L431"/>
    <mergeCell ref="M434:N434"/>
    <mergeCell ref="O434:P434"/>
    <mergeCell ref="Q434:R434"/>
    <mergeCell ref="S434:T434"/>
    <mergeCell ref="U434:V434"/>
    <mergeCell ref="W434:X434"/>
    <mergeCell ref="A434:B434"/>
    <mergeCell ref="C434:D434"/>
    <mergeCell ref="E434:F434"/>
    <mergeCell ref="G434:H434"/>
    <mergeCell ref="I434:J434"/>
    <mergeCell ref="K434:L434"/>
    <mergeCell ref="M433:N433"/>
    <mergeCell ref="O433:P433"/>
    <mergeCell ref="Q433:R433"/>
    <mergeCell ref="S433:T433"/>
    <mergeCell ref="U433:V433"/>
    <mergeCell ref="W433:X433"/>
    <mergeCell ref="A433:B433"/>
    <mergeCell ref="C433:D433"/>
    <mergeCell ref="E433:F433"/>
    <mergeCell ref="G433:H433"/>
    <mergeCell ref="I433:J433"/>
    <mergeCell ref="K433:L433"/>
    <mergeCell ref="M436:N436"/>
    <mergeCell ref="O436:P436"/>
    <mergeCell ref="Q436:R436"/>
    <mergeCell ref="S436:T436"/>
    <mergeCell ref="U436:V436"/>
    <mergeCell ref="W436:X436"/>
    <mergeCell ref="A436:B436"/>
    <mergeCell ref="C436:D436"/>
    <mergeCell ref="E436:F436"/>
    <mergeCell ref="G436:H436"/>
    <mergeCell ref="I436:J436"/>
    <mergeCell ref="K436:L436"/>
    <mergeCell ref="M435:N435"/>
    <mergeCell ref="O435:P435"/>
    <mergeCell ref="Q435:R435"/>
    <mergeCell ref="S435:T435"/>
    <mergeCell ref="U435:V435"/>
    <mergeCell ref="W435:X435"/>
    <mergeCell ref="A435:B435"/>
    <mergeCell ref="C435:D435"/>
    <mergeCell ref="E435:F435"/>
    <mergeCell ref="G435:H435"/>
    <mergeCell ref="I435:J435"/>
    <mergeCell ref="K435:L435"/>
    <mergeCell ref="M438:N438"/>
    <mergeCell ref="O438:P438"/>
    <mergeCell ref="Q438:R438"/>
    <mergeCell ref="S438:T438"/>
    <mergeCell ref="U438:V438"/>
    <mergeCell ref="W438:X438"/>
    <mergeCell ref="A438:B438"/>
    <mergeCell ref="C438:D438"/>
    <mergeCell ref="E438:F438"/>
    <mergeCell ref="G438:H438"/>
    <mergeCell ref="I438:J438"/>
    <mergeCell ref="K438:L438"/>
    <mergeCell ref="M437:N437"/>
    <mergeCell ref="O437:P437"/>
    <mergeCell ref="Q437:R437"/>
    <mergeCell ref="S437:T437"/>
    <mergeCell ref="U437:V437"/>
    <mergeCell ref="W437:X437"/>
    <mergeCell ref="A437:B437"/>
    <mergeCell ref="C437:D437"/>
    <mergeCell ref="E437:F437"/>
    <mergeCell ref="G437:H437"/>
    <mergeCell ref="I437:J437"/>
    <mergeCell ref="K437:L437"/>
    <mergeCell ref="M440:N440"/>
    <mergeCell ref="O440:P440"/>
    <mergeCell ref="Q440:R440"/>
    <mergeCell ref="S440:T440"/>
    <mergeCell ref="U440:V440"/>
    <mergeCell ref="W440:X440"/>
    <mergeCell ref="A440:B440"/>
    <mergeCell ref="C440:D440"/>
    <mergeCell ref="E440:F440"/>
    <mergeCell ref="G440:H440"/>
    <mergeCell ref="I440:J440"/>
    <mergeCell ref="K440:L440"/>
    <mergeCell ref="M439:N439"/>
    <mergeCell ref="O439:P439"/>
    <mergeCell ref="Q439:R439"/>
    <mergeCell ref="S439:T439"/>
    <mergeCell ref="U439:V439"/>
    <mergeCell ref="W439:X439"/>
    <mergeCell ref="A439:B439"/>
    <mergeCell ref="C439:D439"/>
    <mergeCell ref="E439:F439"/>
    <mergeCell ref="G439:H439"/>
    <mergeCell ref="I439:J439"/>
    <mergeCell ref="K439:L439"/>
    <mergeCell ref="M442:N442"/>
    <mergeCell ref="O442:P442"/>
    <mergeCell ref="Q442:R442"/>
    <mergeCell ref="S442:T442"/>
    <mergeCell ref="U442:V442"/>
    <mergeCell ref="W442:X442"/>
    <mergeCell ref="A442:B442"/>
    <mergeCell ref="C442:D442"/>
    <mergeCell ref="E442:F442"/>
    <mergeCell ref="G442:H442"/>
    <mergeCell ref="I442:J442"/>
    <mergeCell ref="K442:L442"/>
    <mergeCell ref="M441:N441"/>
    <mergeCell ref="O441:P441"/>
    <mergeCell ref="Q441:R441"/>
    <mergeCell ref="S441:T441"/>
    <mergeCell ref="U441:V441"/>
    <mergeCell ref="W441:X441"/>
    <mergeCell ref="A441:B441"/>
    <mergeCell ref="C441:D441"/>
    <mergeCell ref="E441:F441"/>
    <mergeCell ref="G441:H441"/>
    <mergeCell ref="I441:J441"/>
    <mergeCell ref="K441:L441"/>
    <mergeCell ref="M444:N444"/>
    <mergeCell ref="O444:P444"/>
    <mergeCell ref="Q444:R444"/>
    <mergeCell ref="S444:T444"/>
    <mergeCell ref="U444:V444"/>
    <mergeCell ref="W444:X444"/>
    <mergeCell ref="A444:B444"/>
    <mergeCell ref="C444:D444"/>
    <mergeCell ref="E444:F444"/>
    <mergeCell ref="G444:H444"/>
    <mergeCell ref="I444:J444"/>
    <mergeCell ref="K444:L444"/>
    <mergeCell ref="M443:N443"/>
    <mergeCell ref="O443:P443"/>
    <mergeCell ref="Q443:R443"/>
    <mergeCell ref="S443:T443"/>
    <mergeCell ref="U443:V443"/>
    <mergeCell ref="W443:X443"/>
    <mergeCell ref="A443:B443"/>
    <mergeCell ref="C443:D443"/>
    <mergeCell ref="E443:F443"/>
    <mergeCell ref="G443:H443"/>
    <mergeCell ref="I443:J443"/>
    <mergeCell ref="K443:L443"/>
    <mergeCell ref="M446:N446"/>
    <mergeCell ref="O446:P446"/>
    <mergeCell ref="Q446:R446"/>
    <mergeCell ref="S446:T446"/>
    <mergeCell ref="U446:V446"/>
    <mergeCell ref="W446:X446"/>
    <mergeCell ref="A446:B446"/>
    <mergeCell ref="C446:D446"/>
    <mergeCell ref="E446:F446"/>
    <mergeCell ref="G446:H446"/>
    <mergeCell ref="I446:J446"/>
    <mergeCell ref="K446:L446"/>
    <mergeCell ref="M445:N445"/>
    <mergeCell ref="O445:P445"/>
    <mergeCell ref="Q445:R445"/>
    <mergeCell ref="S445:T445"/>
    <mergeCell ref="U445:V445"/>
    <mergeCell ref="W445:X445"/>
    <mergeCell ref="A445:B445"/>
    <mergeCell ref="C445:D445"/>
    <mergeCell ref="E445:F445"/>
    <mergeCell ref="G445:H445"/>
    <mergeCell ref="I445:J445"/>
    <mergeCell ref="K445:L445"/>
    <mergeCell ref="M448:N448"/>
    <mergeCell ref="O448:P448"/>
    <mergeCell ref="Q448:R448"/>
    <mergeCell ref="S448:T448"/>
    <mergeCell ref="U448:V448"/>
    <mergeCell ref="W448:X448"/>
    <mergeCell ref="A448:B448"/>
    <mergeCell ref="C448:D448"/>
    <mergeCell ref="E448:F448"/>
    <mergeCell ref="G448:H448"/>
    <mergeCell ref="I448:J448"/>
    <mergeCell ref="K448:L448"/>
    <mergeCell ref="M447:N447"/>
    <mergeCell ref="O447:P447"/>
    <mergeCell ref="Q447:R447"/>
    <mergeCell ref="S447:T447"/>
    <mergeCell ref="U447:V447"/>
    <mergeCell ref="W447:X447"/>
    <mergeCell ref="A447:B447"/>
    <mergeCell ref="C447:D447"/>
    <mergeCell ref="E447:F447"/>
    <mergeCell ref="G447:H447"/>
    <mergeCell ref="I447:J447"/>
    <mergeCell ref="K447:L447"/>
    <mergeCell ref="M450:N450"/>
    <mergeCell ref="O450:P450"/>
    <mergeCell ref="Q450:R450"/>
    <mergeCell ref="S450:T450"/>
    <mergeCell ref="U450:V450"/>
    <mergeCell ref="W450:X450"/>
    <mergeCell ref="A450:B450"/>
    <mergeCell ref="C450:D450"/>
    <mergeCell ref="E450:F450"/>
    <mergeCell ref="G450:H450"/>
    <mergeCell ref="I450:J450"/>
    <mergeCell ref="K450:L450"/>
    <mergeCell ref="M449:N449"/>
    <mergeCell ref="O449:P449"/>
    <mergeCell ref="Q449:R449"/>
    <mergeCell ref="S449:T449"/>
    <mergeCell ref="U449:V449"/>
    <mergeCell ref="W449:X449"/>
    <mergeCell ref="A449:B449"/>
    <mergeCell ref="C449:D449"/>
    <mergeCell ref="E449:F449"/>
    <mergeCell ref="G449:H449"/>
    <mergeCell ref="I449:J449"/>
    <mergeCell ref="K449:L449"/>
    <mergeCell ref="M452:N452"/>
    <mergeCell ref="O452:P452"/>
    <mergeCell ref="Q452:R452"/>
    <mergeCell ref="S452:T452"/>
    <mergeCell ref="U452:V452"/>
    <mergeCell ref="W452:X452"/>
    <mergeCell ref="A452:B452"/>
    <mergeCell ref="C452:D452"/>
    <mergeCell ref="E452:F452"/>
    <mergeCell ref="G452:H452"/>
    <mergeCell ref="I452:J452"/>
    <mergeCell ref="K452:L452"/>
    <mergeCell ref="M451:N451"/>
    <mergeCell ref="O451:P451"/>
    <mergeCell ref="Q451:R451"/>
    <mergeCell ref="S451:T451"/>
    <mergeCell ref="U451:V451"/>
    <mergeCell ref="W451:X451"/>
    <mergeCell ref="A451:B451"/>
    <mergeCell ref="C451:D451"/>
    <mergeCell ref="E451:F451"/>
    <mergeCell ref="G451:H451"/>
    <mergeCell ref="I451:J451"/>
    <mergeCell ref="K451:L451"/>
    <mergeCell ref="M454:N454"/>
    <mergeCell ref="O454:P454"/>
    <mergeCell ref="Q454:R454"/>
    <mergeCell ref="S454:T454"/>
    <mergeCell ref="U454:V454"/>
    <mergeCell ref="W454:X454"/>
    <mergeCell ref="A454:B454"/>
    <mergeCell ref="C454:D454"/>
    <mergeCell ref="E454:F454"/>
    <mergeCell ref="G454:H454"/>
    <mergeCell ref="I454:J454"/>
    <mergeCell ref="K454:L454"/>
    <mergeCell ref="M453:N453"/>
    <mergeCell ref="O453:P453"/>
    <mergeCell ref="Q453:R453"/>
    <mergeCell ref="S453:T453"/>
    <mergeCell ref="U453:V453"/>
    <mergeCell ref="W453:X453"/>
    <mergeCell ref="A453:B453"/>
    <mergeCell ref="C453:D453"/>
    <mergeCell ref="E453:F453"/>
    <mergeCell ref="G453:H453"/>
    <mergeCell ref="I453:J453"/>
    <mergeCell ref="K453:L453"/>
    <mergeCell ref="M456:N456"/>
    <mergeCell ref="O456:P456"/>
    <mergeCell ref="Q456:R456"/>
    <mergeCell ref="S456:T456"/>
    <mergeCell ref="U456:V456"/>
    <mergeCell ref="W456:X456"/>
    <mergeCell ref="A456:B456"/>
    <mergeCell ref="C456:D456"/>
    <mergeCell ref="E456:F456"/>
    <mergeCell ref="G456:H456"/>
    <mergeCell ref="I456:J456"/>
    <mergeCell ref="K456:L456"/>
    <mergeCell ref="M455:N455"/>
    <mergeCell ref="O455:P455"/>
    <mergeCell ref="Q455:R455"/>
    <mergeCell ref="S455:T455"/>
    <mergeCell ref="U455:V455"/>
    <mergeCell ref="W455:X455"/>
    <mergeCell ref="A455:B455"/>
    <mergeCell ref="C455:D455"/>
    <mergeCell ref="E455:F455"/>
    <mergeCell ref="G455:H455"/>
    <mergeCell ref="I455:J455"/>
    <mergeCell ref="K455:L455"/>
    <mergeCell ref="M458:N458"/>
    <mergeCell ref="O458:P458"/>
    <mergeCell ref="Q458:R458"/>
    <mergeCell ref="S458:T458"/>
    <mergeCell ref="U458:V458"/>
    <mergeCell ref="W458:X458"/>
    <mergeCell ref="A458:B458"/>
    <mergeCell ref="C458:D458"/>
    <mergeCell ref="E458:F458"/>
    <mergeCell ref="G458:H458"/>
    <mergeCell ref="I458:J458"/>
    <mergeCell ref="K458:L458"/>
    <mergeCell ref="M457:N457"/>
    <mergeCell ref="O457:P457"/>
    <mergeCell ref="Q457:R457"/>
    <mergeCell ref="S457:T457"/>
    <mergeCell ref="U457:V457"/>
    <mergeCell ref="W457:X457"/>
    <mergeCell ref="A457:B457"/>
    <mergeCell ref="C457:D457"/>
    <mergeCell ref="E457:F457"/>
    <mergeCell ref="G457:H457"/>
    <mergeCell ref="I457:J457"/>
    <mergeCell ref="K457:L457"/>
    <mergeCell ref="M460:N460"/>
    <mergeCell ref="O460:P460"/>
    <mergeCell ref="Q460:R460"/>
    <mergeCell ref="S460:T460"/>
    <mergeCell ref="U460:V460"/>
    <mergeCell ref="W460:X460"/>
    <mergeCell ref="A460:B460"/>
    <mergeCell ref="C460:D460"/>
    <mergeCell ref="E460:F460"/>
    <mergeCell ref="G460:H460"/>
    <mergeCell ref="I460:J460"/>
    <mergeCell ref="K460:L460"/>
    <mergeCell ref="M459:N459"/>
    <mergeCell ref="O459:P459"/>
    <mergeCell ref="Q459:R459"/>
    <mergeCell ref="S459:T459"/>
    <mergeCell ref="U459:V459"/>
    <mergeCell ref="W459:X459"/>
    <mergeCell ref="A459:B459"/>
    <mergeCell ref="C459:D459"/>
    <mergeCell ref="E459:F459"/>
    <mergeCell ref="G459:H459"/>
    <mergeCell ref="I459:J459"/>
    <mergeCell ref="K459:L459"/>
    <mergeCell ref="M462:N462"/>
    <mergeCell ref="O462:P462"/>
    <mergeCell ref="Q462:R462"/>
    <mergeCell ref="S462:T462"/>
    <mergeCell ref="U462:V462"/>
    <mergeCell ref="W462:X462"/>
    <mergeCell ref="A462:B462"/>
    <mergeCell ref="C462:D462"/>
    <mergeCell ref="E462:F462"/>
    <mergeCell ref="G462:H462"/>
    <mergeCell ref="I462:J462"/>
    <mergeCell ref="K462:L462"/>
    <mergeCell ref="M461:N461"/>
    <mergeCell ref="O461:P461"/>
    <mergeCell ref="Q461:R461"/>
    <mergeCell ref="S461:T461"/>
    <mergeCell ref="U461:V461"/>
    <mergeCell ref="W461:X461"/>
    <mergeCell ref="A461:B461"/>
    <mergeCell ref="C461:D461"/>
    <mergeCell ref="E461:F461"/>
    <mergeCell ref="G461:H461"/>
    <mergeCell ref="I461:J461"/>
    <mergeCell ref="K461:L461"/>
    <mergeCell ref="M464:N464"/>
    <mergeCell ref="O464:P464"/>
    <mergeCell ref="Q464:R464"/>
    <mergeCell ref="S464:T464"/>
    <mergeCell ref="U464:V464"/>
    <mergeCell ref="W464:X464"/>
    <mergeCell ref="A464:B464"/>
    <mergeCell ref="C464:D464"/>
    <mergeCell ref="E464:F464"/>
    <mergeCell ref="G464:H464"/>
    <mergeCell ref="I464:J464"/>
    <mergeCell ref="K464:L464"/>
    <mergeCell ref="M463:N463"/>
    <mergeCell ref="O463:P463"/>
    <mergeCell ref="Q463:R463"/>
    <mergeCell ref="S463:T463"/>
    <mergeCell ref="U463:V463"/>
    <mergeCell ref="W463:X463"/>
    <mergeCell ref="A463:B463"/>
    <mergeCell ref="C463:D463"/>
    <mergeCell ref="E463:F463"/>
    <mergeCell ref="G463:H463"/>
    <mergeCell ref="I463:J463"/>
    <mergeCell ref="K463:L463"/>
    <mergeCell ref="M466:N466"/>
    <mergeCell ref="O466:P466"/>
    <mergeCell ref="Q466:R466"/>
    <mergeCell ref="S466:T466"/>
    <mergeCell ref="U466:V466"/>
    <mergeCell ref="W466:X466"/>
    <mergeCell ref="A466:B466"/>
    <mergeCell ref="C466:D466"/>
    <mergeCell ref="E466:F466"/>
    <mergeCell ref="G466:H466"/>
    <mergeCell ref="I466:J466"/>
    <mergeCell ref="K466:L466"/>
    <mergeCell ref="M465:N465"/>
    <mergeCell ref="O465:P465"/>
    <mergeCell ref="Q465:R465"/>
    <mergeCell ref="S465:T465"/>
    <mergeCell ref="U465:V465"/>
    <mergeCell ref="W465:X465"/>
    <mergeCell ref="A465:B465"/>
    <mergeCell ref="C465:D465"/>
    <mergeCell ref="E465:F465"/>
    <mergeCell ref="G465:H465"/>
    <mergeCell ref="I465:J465"/>
    <mergeCell ref="K465:L465"/>
    <mergeCell ref="M468:N468"/>
    <mergeCell ref="O468:P468"/>
    <mergeCell ref="Q468:R468"/>
    <mergeCell ref="S468:T468"/>
    <mergeCell ref="U468:V468"/>
    <mergeCell ref="W468:X468"/>
    <mergeCell ref="A468:B468"/>
    <mergeCell ref="C468:D468"/>
    <mergeCell ref="E468:F468"/>
    <mergeCell ref="G468:H468"/>
    <mergeCell ref="I468:J468"/>
    <mergeCell ref="K468:L468"/>
    <mergeCell ref="M467:N467"/>
    <mergeCell ref="O467:P467"/>
    <mergeCell ref="Q467:R467"/>
    <mergeCell ref="S467:T467"/>
    <mergeCell ref="U467:V467"/>
    <mergeCell ref="W467:X467"/>
    <mergeCell ref="A467:B467"/>
    <mergeCell ref="C467:D467"/>
    <mergeCell ref="E467:F467"/>
    <mergeCell ref="G467:H467"/>
    <mergeCell ref="I467:J467"/>
    <mergeCell ref="K467:L467"/>
    <mergeCell ref="M470:N470"/>
    <mergeCell ref="O470:P470"/>
    <mergeCell ref="Q470:R470"/>
    <mergeCell ref="S470:T470"/>
    <mergeCell ref="U470:V470"/>
    <mergeCell ref="W470:X470"/>
    <mergeCell ref="A470:B470"/>
    <mergeCell ref="C470:D470"/>
    <mergeCell ref="E470:F470"/>
    <mergeCell ref="G470:H470"/>
    <mergeCell ref="I470:J470"/>
    <mergeCell ref="K470:L470"/>
    <mergeCell ref="M469:N469"/>
    <mergeCell ref="O469:P469"/>
    <mergeCell ref="Q469:R469"/>
    <mergeCell ref="S469:T469"/>
    <mergeCell ref="U469:V469"/>
    <mergeCell ref="W469:X469"/>
    <mergeCell ref="A469:B469"/>
    <mergeCell ref="C469:D469"/>
    <mergeCell ref="E469:F469"/>
    <mergeCell ref="G469:H469"/>
    <mergeCell ref="I469:J469"/>
    <mergeCell ref="K469:L469"/>
    <mergeCell ref="M472:N472"/>
    <mergeCell ref="O472:P472"/>
    <mergeCell ref="Q472:R472"/>
    <mergeCell ref="S472:T472"/>
    <mergeCell ref="U472:V472"/>
    <mergeCell ref="W472:X472"/>
    <mergeCell ref="A472:B472"/>
    <mergeCell ref="C472:D472"/>
    <mergeCell ref="E472:F472"/>
    <mergeCell ref="G472:H472"/>
    <mergeCell ref="I472:J472"/>
    <mergeCell ref="K472:L472"/>
    <mergeCell ref="M471:N471"/>
    <mergeCell ref="O471:P471"/>
    <mergeCell ref="Q471:R471"/>
    <mergeCell ref="S471:T471"/>
    <mergeCell ref="U471:V471"/>
    <mergeCell ref="W471:X471"/>
    <mergeCell ref="A471:B471"/>
    <mergeCell ref="C471:D471"/>
    <mergeCell ref="E471:F471"/>
    <mergeCell ref="G471:H471"/>
    <mergeCell ref="I471:J471"/>
    <mergeCell ref="K471:L471"/>
    <mergeCell ref="M474:N474"/>
    <mergeCell ref="O474:P474"/>
    <mergeCell ref="Q474:R474"/>
    <mergeCell ref="S474:T474"/>
    <mergeCell ref="U474:V474"/>
    <mergeCell ref="W474:X474"/>
    <mergeCell ref="A474:B474"/>
    <mergeCell ref="C474:D474"/>
    <mergeCell ref="E474:F474"/>
    <mergeCell ref="G474:H474"/>
    <mergeCell ref="I474:J474"/>
    <mergeCell ref="K474:L474"/>
    <mergeCell ref="M473:N473"/>
    <mergeCell ref="O473:P473"/>
    <mergeCell ref="Q473:R473"/>
    <mergeCell ref="S473:T473"/>
    <mergeCell ref="U473:V473"/>
    <mergeCell ref="W473:X473"/>
    <mergeCell ref="A473:B473"/>
    <mergeCell ref="C473:D473"/>
    <mergeCell ref="E473:F473"/>
    <mergeCell ref="G473:H473"/>
    <mergeCell ref="I473:J473"/>
    <mergeCell ref="K473:L473"/>
    <mergeCell ref="M476:N476"/>
    <mergeCell ref="O476:P476"/>
    <mergeCell ref="Q476:R476"/>
    <mergeCell ref="S476:T476"/>
    <mergeCell ref="U476:V476"/>
    <mergeCell ref="W476:X476"/>
    <mergeCell ref="A476:B476"/>
    <mergeCell ref="C476:D476"/>
    <mergeCell ref="E476:F476"/>
    <mergeCell ref="G476:H476"/>
    <mergeCell ref="I476:J476"/>
    <mergeCell ref="K476:L476"/>
    <mergeCell ref="M475:N475"/>
    <mergeCell ref="O475:P475"/>
    <mergeCell ref="Q475:R475"/>
    <mergeCell ref="S475:T475"/>
    <mergeCell ref="U475:V475"/>
    <mergeCell ref="W475:X475"/>
    <mergeCell ref="A475:B475"/>
    <mergeCell ref="C475:D475"/>
    <mergeCell ref="E475:F475"/>
    <mergeCell ref="G475:H475"/>
    <mergeCell ref="I475:J475"/>
    <mergeCell ref="K475:L475"/>
    <mergeCell ref="M478:N478"/>
    <mergeCell ref="O478:P478"/>
    <mergeCell ref="Q478:R478"/>
    <mergeCell ref="S478:T478"/>
    <mergeCell ref="U478:V478"/>
    <mergeCell ref="W478:X478"/>
    <mergeCell ref="A478:B478"/>
    <mergeCell ref="C478:D478"/>
    <mergeCell ref="E478:F478"/>
    <mergeCell ref="G478:H478"/>
    <mergeCell ref="I478:J478"/>
    <mergeCell ref="K478:L478"/>
    <mergeCell ref="M477:N477"/>
    <mergeCell ref="O477:P477"/>
    <mergeCell ref="Q477:R477"/>
    <mergeCell ref="S477:T477"/>
    <mergeCell ref="U477:V477"/>
    <mergeCell ref="W477:X477"/>
    <mergeCell ref="A477:B477"/>
    <mergeCell ref="C477:D477"/>
    <mergeCell ref="E477:F477"/>
    <mergeCell ref="G477:H477"/>
    <mergeCell ref="I477:J477"/>
    <mergeCell ref="K477:L477"/>
    <mergeCell ref="M480:N480"/>
    <mergeCell ref="O480:P480"/>
    <mergeCell ref="Q480:R480"/>
    <mergeCell ref="S480:T480"/>
    <mergeCell ref="U480:V480"/>
    <mergeCell ref="W480:X480"/>
    <mergeCell ref="A480:B480"/>
    <mergeCell ref="C480:D480"/>
    <mergeCell ref="E480:F480"/>
    <mergeCell ref="G480:H480"/>
    <mergeCell ref="I480:J480"/>
    <mergeCell ref="K480:L480"/>
    <mergeCell ref="M479:N479"/>
    <mergeCell ref="O479:P479"/>
    <mergeCell ref="Q479:R479"/>
    <mergeCell ref="S479:T479"/>
    <mergeCell ref="U479:V479"/>
    <mergeCell ref="W479:X479"/>
    <mergeCell ref="A479:B479"/>
    <mergeCell ref="C479:D479"/>
    <mergeCell ref="E479:F479"/>
    <mergeCell ref="G479:H479"/>
    <mergeCell ref="I479:J479"/>
    <mergeCell ref="K479:L479"/>
    <mergeCell ref="M482:N482"/>
    <mergeCell ref="O482:P482"/>
    <mergeCell ref="Q482:R482"/>
    <mergeCell ref="S482:T482"/>
    <mergeCell ref="U482:V482"/>
    <mergeCell ref="W482:X482"/>
    <mergeCell ref="A482:B482"/>
    <mergeCell ref="C482:D482"/>
    <mergeCell ref="E482:F482"/>
    <mergeCell ref="G482:H482"/>
    <mergeCell ref="I482:J482"/>
    <mergeCell ref="K482:L482"/>
    <mergeCell ref="M481:N481"/>
    <mergeCell ref="O481:P481"/>
    <mergeCell ref="Q481:R481"/>
    <mergeCell ref="S481:T481"/>
    <mergeCell ref="U481:V481"/>
    <mergeCell ref="W481:X481"/>
    <mergeCell ref="A481:B481"/>
    <mergeCell ref="C481:D481"/>
    <mergeCell ref="E481:F481"/>
    <mergeCell ref="G481:H481"/>
    <mergeCell ref="I481:J481"/>
    <mergeCell ref="K481:L481"/>
    <mergeCell ref="M484:N484"/>
    <mergeCell ref="O484:P484"/>
    <mergeCell ref="Q484:R484"/>
    <mergeCell ref="S484:T484"/>
    <mergeCell ref="U484:V484"/>
    <mergeCell ref="W484:X484"/>
    <mergeCell ref="A484:B484"/>
    <mergeCell ref="C484:D484"/>
    <mergeCell ref="E484:F484"/>
    <mergeCell ref="G484:H484"/>
    <mergeCell ref="I484:J484"/>
    <mergeCell ref="K484:L484"/>
    <mergeCell ref="M483:N483"/>
    <mergeCell ref="O483:P483"/>
    <mergeCell ref="Q483:R483"/>
    <mergeCell ref="S483:T483"/>
    <mergeCell ref="U483:V483"/>
    <mergeCell ref="W483:X483"/>
    <mergeCell ref="A483:B483"/>
    <mergeCell ref="C483:D483"/>
    <mergeCell ref="E483:F483"/>
    <mergeCell ref="G483:H483"/>
    <mergeCell ref="I483:J483"/>
    <mergeCell ref="K483:L483"/>
    <mergeCell ref="M486:N486"/>
    <mergeCell ref="O486:P486"/>
    <mergeCell ref="Q486:R486"/>
    <mergeCell ref="S486:T486"/>
    <mergeCell ref="U486:V486"/>
    <mergeCell ref="W486:X486"/>
    <mergeCell ref="A486:B486"/>
    <mergeCell ref="C486:D486"/>
    <mergeCell ref="E486:F486"/>
    <mergeCell ref="G486:H486"/>
    <mergeCell ref="I486:J486"/>
    <mergeCell ref="K486:L486"/>
    <mergeCell ref="M485:N485"/>
    <mergeCell ref="O485:P485"/>
    <mergeCell ref="Q485:R485"/>
    <mergeCell ref="S485:T485"/>
    <mergeCell ref="U485:V485"/>
    <mergeCell ref="W485:X485"/>
    <mergeCell ref="A485:B485"/>
    <mergeCell ref="C485:D485"/>
    <mergeCell ref="E485:F485"/>
    <mergeCell ref="G485:H485"/>
    <mergeCell ref="I485:J485"/>
    <mergeCell ref="K485:L485"/>
    <mergeCell ref="M488:N488"/>
    <mergeCell ref="O488:P488"/>
    <mergeCell ref="Q488:R488"/>
    <mergeCell ref="S488:T488"/>
    <mergeCell ref="U488:V488"/>
    <mergeCell ref="W488:X488"/>
    <mergeCell ref="A488:B488"/>
    <mergeCell ref="C488:D488"/>
    <mergeCell ref="E488:F488"/>
    <mergeCell ref="G488:H488"/>
    <mergeCell ref="I488:J488"/>
    <mergeCell ref="K488:L488"/>
    <mergeCell ref="M487:N487"/>
    <mergeCell ref="O487:P487"/>
    <mergeCell ref="Q487:R487"/>
    <mergeCell ref="S487:T487"/>
    <mergeCell ref="U487:V487"/>
    <mergeCell ref="W487:X487"/>
    <mergeCell ref="A487:B487"/>
    <mergeCell ref="C487:D487"/>
    <mergeCell ref="E487:F487"/>
    <mergeCell ref="G487:H487"/>
    <mergeCell ref="I487:J487"/>
    <mergeCell ref="K487:L487"/>
    <mergeCell ref="M490:N490"/>
    <mergeCell ref="O490:P490"/>
    <mergeCell ref="Q490:R490"/>
    <mergeCell ref="S490:T490"/>
    <mergeCell ref="U490:V490"/>
    <mergeCell ref="W490:X490"/>
    <mergeCell ref="A490:B490"/>
    <mergeCell ref="C490:D490"/>
    <mergeCell ref="E490:F490"/>
    <mergeCell ref="G490:H490"/>
    <mergeCell ref="I490:J490"/>
    <mergeCell ref="K490:L490"/>
    <mergeCell ref="M489:N489"/>
    <mergeCell ref="O489:P489"/>
    <mergeCell ref="Q489:R489"/>
    <mergeCell ref="S489:T489"/>
    <mergeCell ref="U489:V489"/>
    <mergeCell ref="W489:X489"/>
    <mergeCell ref="A489:B489"/>
    <mergeCell ref="C489:D489"/>
    <mergeCell ref="E489:F489"/>
    <mergeCell ref="G489:H489"/>
    <mergeCell ref="I489:J489"/>
    <mergeCell ref="K489:L489"/>
    <mergeCell ref="M492:N492"/>
    <mergeCell ref="O492:P492"/>
    <mergeCell ref="Q492:R492"/>
    <mergeCell ref="S492:T492"/>
    <mergeCell ref="U492:V492"/>
    <mergeCell ref="W492:X492"/>
    <mergeCell ref="A492:B492"/>
    <mergeCell ref="C492:D492"/>
    <mergeCell ref="E492:F492"/>
    <mergeCell ref="G492:H492"/>
    <mergeCell ref="I492:J492"/>
    <mergeCell ref="K492:L492"/>
    <mergeCell ref="M491:N491"/>
    <mergeCell ref="O491:P491"/>
    <mergeCell ref="Q491:R491"/>
    <mergeCell ref="S491:T491"/>
    <mergeCell ref="U491:V491"/>
    <mergeCell ref="W491:X491"/>
    <mergeCell ref="A491:B491"/>
    <mergeCell ref="C491:D491"/>
    <mergeCell ref="E491:F491"/>
    <mergeCell ref="G491:H491"/>
    <mergeCell ref="I491:J491"/>
    <mergeCell ref="K491:L491"/>
    <mergeCell ref="M494:N494"/>
    <mergeCell ref="O494:P494"/>
    <mergeCell ref="Q494:R494"/>
    <mergeCell ref="S494:T494"/>
    <mergeCell ref="U494:V494"/>
    <mergeCell ref="W494:X494"/>
    <mergeCell ref="A494:B494"/>
    <mergeCell ref="C494:D494"/>
    <mergeCell ref="E494:F494"/>
    <mergeCell ref="G494:H494"/>
    <mergeCell ref="I494:J494"/>
    <mergeCell ref="K494:L494"/>
    <mergeCell ref="M493:N493"/>
    <mergeCell ref="O493:P493"/>
    <mergeCell ref="Q493:R493"/>
    <mergeCell ref="S493:T493"/>
    <mergeCell ref="U493:V493"/>
    <mergeCell ref="W493:X493"/>
    <mergeCell ref="A493:B493"/>
    <mergeCell ref="C493:D493"/>
    <mergeCell ref="E493:F493"/>
    <mergeCell ref="G493:H493"/>
    <mergeCell ref="I493:J493"/>
    <mergeCell ref="K493:L493"/>
    <mergeCell ref="M496:N496"/>
    <mergeCell ref="O496:P496"/>
    <mergeCell ref="Q496:R496"/>
    <mergeCell ref="S496:T496"/>
    <mergeCell ref="U496:V496"/>
    <mergeCell ref="W496:X496"/>
    <mergeCell ref="A496:B496"/>
    <mergeCell ref="C496:D496"/>
    <mergeCell ref="E496:F496"/>
    <mergeCell ref="G496:H496"/>
    <mergeCell ref="I496:J496"/>
    <mergeCell ref="K496:L496"/>
    <mergeCell ref="M495:N495"/>
    <mergeCell ref="O495:P495"/>
    <mergeCell ref="Q495:R495"/>
    <mergeCell ref="S495:T495"/>
    <mergeCell ref="U495:V495"/>
    <mergeCell ref="W495:X495"/>
    <mergeCell ref="A495:B495"/>
    <mergeCell ref="C495:D495"/>
    <mergeCell ref="E495:F495"/>
    <mergeCell ref="G495:H495"/>
    <mergeCell ref="I495:J495"/>
    <mergeCell ref="K495:L495"/>
    <mergeCell ref="Q498:R498"/>
    <mergeCell ref="S498:T498"/>
    <mergeCell ref="U498:V498"/>
    <mergeCell ref="W498:X498"/>
    <mergeCell ref="A498:B498"/>
    <mergeCell ref="C498:D498"/>
    <mergeCell ref="E498:F498"/>
    <mergeCell ref="G498:H498"/>
    <mergeCell ref="I498:J498"/>
    <mergeCell ref="K498:L498"/>
    <mergeCell ref="M497:N497"/>
    <mergeCell ref="O497:P497"/>
    <mergeCell ref="Q497:R497"/>
    <mergeCell ref="S497:T497"/>
    <mergeCell ref="U497:V497"/>
    <mergeCell ref="W497:X497"/>
    <mergeCell ref="A497:B497"/>
    <mergeCell ref="C497:D497"/>
    <mergeCell ref="E497:F497"/>
    <mergeCell ref="G497:H497"/>
    <mergeCell ref="I497:J497"/>
    <mergeCell ref="K497:L497"/>
    <mergeCell ref="AE1:AI2"/>
    <mergeCell ref="AF3:AF4"/>
    <mergeCell ref="AG3:AG4"/>
    <mergeCell ref="AH3:AH4"/>
    <mergeCell ref="AI3:AI4"/>
    <mergeCell ref="AE3:AE4"/>
    <mergeCell ref="M500:N500"/>
    <mergeCell ref="O500:P500"/>
    <mergeCell ref="Q500:R500"/>
    <mergeCell ref="S500:T500"/>
    <mergeCell ref="U500:V500"/>
    <mergeCell ref="W500:X500"/>
    <mergeCell ref="A500:B500"/>
    <mergeCell ref="C500:D500"/>
    <mergeCell ref="E500:F500"/>
    <mergeCell ref="G500:H500"/>
    <mergeCell ref="I500:J500"/>
    <mergeCell ref="K500:L500"/>
    <mergeCell ref="M499:N499"/>
    <mergeCell ref="O499:P499"/>
    <mergeCell ref="Q499:R499"/>
    <mergeCell ref="S499:T499"/>
    <mergeCell ref="U499:V499"/>
    <mergeCell ref="W499:X499"/>
    <mergeCell ref="A499:B499"/>
    <mergeCell ref="C499:D499"/>
    <mergeCell ref="E499:F499"/>
    <mergeCell ref="G499:H499"/>
    <mergeCell ref="I499:J499"/>
    <mergeCell ref="K499:L499"/>
    <mergeCell ref="M498:N498"/>
    <mergeCell ref="O498:P498"/>
  </mergeCells>
  <phoneticPr fontId="12" type="noConversion"/>
  <conditionalFormatting sqref="G5:G1048576">
    <cfRule type="cellIs" dxfId="33" priority="26" operator="greaterThan">
      <formula>74%</formula>
    </cfRule>
    <cfRule type="cellIs" dxfId="32" priority="27" operator="between">
      <formula>60%</formula>
      <formula>75%</formula>
    </cfRule>
    <cfRule type="cellIs" dxfId="31" priority="28" operator="lessThan">
      <formula>60%</formula>
    </cfRule>
  </conditionalFormatting>
  <conditionalFormatting sqref="I5:I1048576">
    <cfRule type="cellIs" dxfId="30" priority="23" operator="greaterThan">
      <formula>54%</formula>
    </cfRule>
    <cfRule type="cellIs" dxfId="29" priority="24" operator="between">
      <formula>40%</formula>
      <formula>55%</formula>
    </cfRule>
    <cfRule type="cellIs" dxfId="28" priority="25" operator="lessThan">
      <formula>40%</formula>
    </cfRule>
  </conditionalFormatting>
  <conditionalFormatting sqref="K5:K1048576">
    <cfRule type="cellIs" dxfId="27" priority="20" operator="greaterThan">
      <formula>74%</formula>
    </cfRule>
    <cfRule type="cellIs" dxfId="26" priority="21" operator="between">
      <formula>60%</formula>
      <formula>75%</formula>
    </cfRule>
    <cfRule type="cellIs" dxfId="25" priority="22" operator="lessThan">
      <formula>60%</formula>
    </cfRule>
  </conditionalFormatting>
  <conditionalFormatting sqref="M5:M1048576">
    <cfRule type="cellIs" dxfId="24" priority="17" operator="greaterThan">
      <formula>64%</formula>
    </cfRule>
    <cfRule type="cellIs" dxfId="23" priority="18" operator="between">
      <formula>50%</formula>
      <formula>65%</formula>
    </cfRule>
    <cfRule type="cellIs" dxfId="22" priority="19" operator="lessThan">
      <formula>50%</formula>
    </cfRule>
  </conditionalFormatting>
  <conditionalFormatting sqref="O5:O1048576">
    <cfRule type="cellIs" dxfId="21" priority="14" operator="greaterThan">
      <formula>48%</formula>
    </cfRule>
    <cfRule type="cellIs" dxfId="20" priority="15" operator="between">
      <formula>38%</formula>
      <formula>49%</formula>
    </cfRule>
    <cfRule type="cellIs" dxfId="19" priority="16" operator="lessThan">
      <formula>38%</formula>
    </cfRule>
  </conditionalFormatting>
  <conditionalFormatting sqref="Q5:Q1048576">
    <cfRule type="cellIs" dxfId="18" priority="11" operator="greaterThan">
      <formula>64%</formula>
    </cfRule>
    <cfRule type="cellIs" dxfId="17" priority="12" operator="between">
      <formula>50%</formula>
      <formula>65%</formula>
    </cfRule>
    <cfRule type="cellIs" dxfId="16" priority="13" operator="lessThan">
      <formula>50%</formula>
    </cfRule>
  </conditionalFormatting>
  <conditionalFormatting sqref="S5:S1048576">
    <cfRule type="cellIs" dxfId="15" priority="8" operator="greaterThan">
      <formula>69%</formula>
    </cfRule>
    <cfRule type="cellIs" dxfId="14" priority="9" operator="between">
      <formula>55%</formula>
      <formula>70%</formula>
    </cfRule>
    <cfRule type="cellIs" dxfId="13" priority="10" operator="lessThan">
      <formula>55%</formula>
    </cfRule>
  </conditionalFormatting>
  <conditionalFormatting sqref="U5:U1048576">
    <cfRule type="cellIs" dxfId="12" priority="5" operator="greaterThan">
      <formula>64%</formula>
    </cfRule>
    <cfRule type="cellIs" dxfId="11" priority="6" operator="between">
      <formula>50%</formula>
      <formula>65%</formula>
    </cfRule>
    <cfRule type="cellIs" dxfId="10" priority="7" operator="lessThan">
      <formula>50%</formula>
    </cfRule>
  </conditionalFormatting>
  <conditionalFormatting sqref="W5:W1048576">
    <cfRule type="cellIs" dxfId="9" priority="2" operator="greaterThan">
      <formula>59%</formula>
    </cfRule>
    <cfRule type="cellIs" dxfId="8" priority="3" operator="between">
      <formula>45%</formula>
      <formula>60%</formula>
    </cfRule>
    <cfRule type="cellIs" dxfId="7" priority="4" operator="lessThan">
      <formula>45%</formula>
    </cfRule>
  </conditionalFormatting>
  <conditionalFormatting sqref="G1:W1048576">
    <cfRule type="cellIs" dxfId="6" priority="1" operator="lessThan">
      <formula>5%</formula>
    </cfRule>
  </conditionalFormatting>
  <dataValidations count="1">
    <dataValidation type="list" allowBlank="1" showInputMessage="1" showErrorMessage="1" sqref="AB3" xr:uid="{76A7DC28-7ABE-46E9-A65A-15F9396BE96A}">
      <formula1>SlipNumbers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DC200-B405-4ACD-B5E9-2DA33D235F4A}">
  <sheetPr codeName="Sheet3"/>
  <dimension ref="A1:H141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17.140625" bestFit="1" customWidth="1"/>
    <col min="5" max="5" width="32" bestFit="1" customWidth="1"/>
    <col min="6" max="6" width="21.140625" bestFit="1" customWidth="1"/>
    <col min="7" max="7" width="34.2851562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1499186</v>
      </c>
      <c r="B2" t="s">
        <v>3954</v>
      </c>
      <c r="C2" t="s">
        <v>17</v>
      </c>
      <c r="D2" t="s">
        <v>276</v>
      </c>
      <c r="E2" t="s">
        <v>27</v>
      </c>
      <c r="F2" t="s">
        <v>3955</v>
      </c>
      <c r="G2" t="s">
        <v>3956</v>
      </c>
      <c r="H2" t="s">
        <v>3957</v>
      </c>
    </row>
    <row r="3" spans="1:8" x14ac:dyDescent="0.25">
      <c r="A3">
        <v>1501583</v>
      </c>
      <c r="B3" t="s">
        <v>3954</v>
      </c>
      <c r="C3" t="s">
        <v>17</v>
      </c>
      <c r="D3" t="s">
        <v>290</v>
      </c>
      <c r="E3" t="s">
        <v>50</v>
      </c>
      <c r="F3" t="s">
        <v>3958</v>
      </c>
      <c r="G3" t="s">
        <v>545</v>
      </c>
      <c r="H3" t="s">
        <v>3959</v>
      </c>
    </row>
    <row r="4" spans="1:8" x14ac:dyDescent="0.25">
      <c r="A4">
        <v>1512974</v>
      </c>
      <c r="B4" t="s">
        <v>3954</v>
      </c>
      <c r="C4" t="s">
        <v>17</v>
      </c>
      <c r="D4" t="s">
        <v>389</v>
      </c>
      <c r="E4" t="s">
        <v>390</v>
      </c>
      <c r="F4" t="s">
        <v>3960</v>
      </c>
      <c r="G4" t="s">
        <v>3961</v>
      </c>
      <c r="H4" t="s">
        <v>3962</v>
      </c>
    </row>
    <row r="5" spans="1:8" x14ac:dyDescent="0.25">
      <c r="A5">
        <v>1512986</v>
      </c>
      <c r="B5" t="s">
        <v>3954</v>
      </c>
      <c r="C5" t="s">
        <v>17</v>
      </c>
      <c r="D5" t="s">
        <v>389</v>
      </c>
      <c r="E5" t="s">
        <v>390</v>
      </c>
      <c r="F5" t="s">
        <v>3963</v>
      </c>
      <c r="G5" t="s">
        <v>3964</v>
      </c>
      <c r="H5" t="s">
        <v>3965</v>
      </c>
    </row>
    <row r="6" spans="1:8" x14ac:dyDescent="0.25">
      <c r="A6">
        <v>1514408</v>
      </c>
      <c r="B6" t="s">
        <v>3954</v>
      </c>
      <c r="C6" t="s">
        <v>17</v>
      </c>
      <c r="D6" t="s">
        <v>284</v>
      </c>
      <c r="E6" t="s">
        <v>50</v>
      </c>
      <c r="F6" t="s">
        <v>3966</v>
      </c>
      <c r="G6" t="s">
        <v>3967</v>
      </c>
      <c r="H6" t="s">
        <v>3968</v>
      </c>
    </row>
    <row r="7" spans="1:8" x14ac:dyDescent="0.25">
      <c r="A7">
        <v>1530165</v>
      </c>
      <c r="B7" t="s">
        <v>3954</v>
      </c>
      <c r="C7" t="s">
        <v>17</v>
      </c>
      <c r="D7" t="s">
        <v>22</v>
      </c>
      <c r="E7" t="s">
        <v>822</v>
      </c>
      <c r="F7" t="s">
        <v>3969</v>
      </c>
      <c r="G7" t="s">
        <v>3970</v>
      </c>
      <c r="H7" t="s">
        <v>3971</v>
      </c>
    </row>
    <row r="8" spans="1:8" x14ac:dyDescent="0.25">
      <c r="A8">
        <v>1530493</v>
      </c>
      <c r="B8" t="s">
        <v>3954</v>
      </c>
      <c r="C8" t="s">
        <v>17</v>
      </c>
      <c r="D8" t="s">
        <v>391</v>
      </c>
      <c r="E8" t="s">
        <v>392</v>
      </c>
      <c r="F8" t="s">
        <v>3972</v>
      </c>
      <c r="G8" t="s">
        <v>3973</v>
      </c>
      <c r="H8" t="s">
        <v>3974</v>
      </c>
    </row>
    <row r="9" spans="1:8" x14ac:dyDescent="0.25">
      <c r="A9">
        <v>1512987</v>
      </c>
      <c r="B9" t="s">
        <v>3975</v>
      </c>
      <c r="C9" t="s">
        <v>17</v>
      </c>
      <c r="D9" t="s">
        <v>389</v>
      </c>
      <c r="E9" t="s">
        <v>390</v>
      </c>
      <c r="F9" t="s">
        <v>480</v>
      </c>
      <c r="G9" t="s">
        <v>476</v>
      </c>
      <c r="H9" t="s">
        <v>3978</v>
      </c>
    </row>
    <row r="10" spans="1:8" x14ac:dyDescent="0.25">
      <c r="A10">
        <v>1525806</v>
      </c>
      <c r="B10" t="s">
        <v>3979</v>
      </c>
      <c r="C10" t="s">
        <v>17</v>
      </c>
      <c r="D10" t="s">
        <v>24</v>
      </c>
      <c r="E10" t="s">
        <v>25</v>
      </c>
      <c r="F10" t="s">
        <v>3980</v>
      </c>
      <c r="G10" t="s">
        <v>482</v>
      </c>
      <c r="H10" t="s">
        <v>3981</v>
      </c>
    </row>
    <row r="11" spans="1:8" x14ac:dyDescent="0.25">
      <c r="A11">
        <v>1522573</v>
      </c>
      <c r="B11" t="s">
        <v>3982</v>
      </c>
      <c r="C11" t="s">
        <v>17</v>
      </c>
      <c r="D11" t="s">
        <v>452</v>
      </c>
      <c r="E11" t="s">
        <v>27</v>
      </c>
      <c r="F11" t="s">
        <v>544</v>
      </c>
      <c r="G11" t="s">
        <v>3983</v>
      </c>
      <c r="H11" t="s">
        <v>3984</v>
      </c>
    </row>
    <row r="12" spans="1:8" x14ac:dyDescent="0.25">
      <c r="A12">
        <v>1499188</v>
      </c>
      <c r="B12" t="s">
        <v>3985</v>
      </c>
      <c r="C12" t="s">
        <v>17</v>
      </c>
      <c r="D12" t="s">
        <v>276</v>
      </c>
      <c r="E12" t="s">
        <v>27</v>
      </c>
      <c r="F12" t="s">
        <v>818</v>
      </c>
      <c r="G12" t="s">
        <v>3986</v>
      </c>
      <c r="H12" t="s">
        <v>3987</v>
      </c>
    </row>
    <row r="13" spans="1:8" x14ac:dyDescent="0.25">
      <c r="A13">
        <v>1492552</v>
      </c>
      <c r="B13" t="s">
        <v>3990</v>
      </c>
      <c r="C13" t="s">
        <v>17</v>
      </c>
      <c r="D13" t="s">
        <v>18</v>
      </c>
      <c r="E13" t="s">
        <v>395</v>
      </c>
      <c r="F13" t="s">
        <v>3991</v>
      </c>
      <c r="G13" t="s">
        <v>3992</v>
      </c>
      <c r="H13" t="s">
        <v>3993</v>
      </c>
    </row>
    <row r="14" spans="1:8" x14ac:dyDescent="0.25">
      <c r="A14">
        <v>1512981</v>
      </c>
      <c r="B14" t="s">
        <v>4374</v>
      </c>
      <c r="C14" t="s">
        <v>17</v>
      </c>
      <c r="D14" t="s">
        <v>389</v>
      </c>
      <c r="E14" t="s">
        <v>390</v>
      </c>
      <c r="F14" t="s">
        <v>3988</v>
      </c>
      <c r="G14" t="s">
        <v>486</v>
      </c>
      <c r="H14" t="s">
        <v>4375</v>
      </c>
    </row>
    <row r="15" spans="1:8" x14ac:dyDescent="0.25">
      <c r="A15">
        <v>1516374</v>
      </c>
      <c r="B15" t="s">
        <v>3994</v>
      </c>
      <c r="C15" t="s">
        <v>17</v>
      </c>
      <c r="D15" t="s">
        <v>22</v>
      </c>
      <c r="E15" t="s">
        <v>453</v>
      </c>
      <c r="F15" t="s">
        <v>561</v>
      </c>
      <c r="G15" t="s">
        <v>559</v>
      </c>
      <c r="H15" t="s">
        <v>3995</v>
      </c>
    </row>
    <row r="16" spans="1:8" x14ac:dyDescent="0.25">
      <c r="A16">
        <v>1516375</v>
      </c>
      <c r="B16" t="s">
        <v>3994</v>
      </c>
      <c r="C16" t="s">
        <v>17</v>
      </c>
      <c r="D16" t="s">
        <v>22</v>
      </c>
      <c r="E16" t="s">
        <v>453</v>
      </c>
      <c r="F16" t="s">
        <v>558</v>
      </c>
      <c r="G16" t="s">
        <v>560</v>
      </c>
      <c r="H16" t="s">
        <v>3996</v>
      </c>
    </row>
    <row r="17" spans="1:8" x14ac:dyDescent="0.25">
      <c r="A17">
        <v>1522062</v>
      </c>
      <c r="B17" t="s">
        <v>3994</v>
      </c>
      <c r="C17" t="s">
        <v>17</v>
      </c>
      <c r="D17" t="s">
        <v>36</v>
      </c>
      <c r="E17" t="s">
        <v>236</v>
      </c>
      <c r="F17" t="s">
        <v>3997</v>
      </c>
      <c r="G17" t="s">
        <v>332</v>
      </c>
      <c r="H17" t="s">
        <v>3998</v>
      </c>
    </row>
    <row r="18" spans="1:8" x14ac:dyDescent="0.25">
      <c r="A18">
        <v>1503473</v>
      </c>
      <c r="B18" t="s">
        <v>3999</v>
      </c>
      <c r="C18" t="s">
        <v>17</v>
      </c>
      <c r="D18" t="s">
        <v>333</v>
      </c>
      <c r="E18" t="s">
        <v>106</v>
      </c>
      <c r="F18" t="s">
        <v>4000</v>
      </c>
      <c r="G18" t="s">
        <v>562</v>
      </c>
      <c r="H18" t="s">
        <v>4001</v>
      </c>
    </row>
    <row r="19" spans="1:8" x14ac:dyDescent="0.25">
      <c r="A19">
        <v>1404565</v>
      </c>
      <c r="B19" t="s">
        <v>4002</v>
      </c>
      <c r="C19" t="s">
        <v>17</v>
      </c>
      <c r="D19" t="s">
        <v>42</v>
      </c>
      <c r="E19" t="s">
        <v>264</v>
      </c>
      <c r="F19" t="s">
        <v>4003</v>
      </c>
      <c r="G19" t="s">
        <v>4004</v>
      </c>
      <c r="H19" t="s">
        <v>4005</v>
      </c>
    </row>
    <row r="20" spans="1:8" x14ac:dyDescent="0.25">
      <c r="A20">
        <v>1521003</v>
      </c>
      <c r="B20" t="s">
        <v>4006</v>
      </c>
      <c r="C20" t="s">
        <v>17</v>
      </c>
      <c r="D20" t="s">
        <v>495</v>
      </c>
      <c r="E20" t="s">
        <v>50</v>
      </c>
      <c r="F20" t="s">
        <v>4007</v>
      </c>
      <c r="G20" t="s">
        <v>4008</v>
      </c>
      <c r="H20" t="s">
        <v>4009</v>
      </c>
    </row>
    <row r="21" spans="1:8" x14ac:dyDescent="0.25">
      <c r="A21">
        <v>1522566</v>
      </c>
      <c r="B21" t="s">
        <v>4006</v>
      </c>
      <c r="C21" t="s">
        <v>17</v>
      </c>
      <c r="D21" t="s">
        <v>405</v>
      </c>
      <c r="E21" t="s">
        <v>46</v>
      </c>
      <c r="F21" t="s">
        <v>4010</v>
      </c>
      <c r="G21" t="s">
        <v>4011</v>
      </c>
      <c r="H21" t="s">
        <v>4012</v>
      </c>
    </row>
    <row r="22" spans="1:8" x14ac:dyDescent="0.25">
      <c r="A22">
        <v>1525652</v>
      </c>
      <c r="B22" t="s">
        <v>4006</v>
      </c>
      <c r="C22" t="s">
        <v>17</v>
      </c>
      <c r="D22" t="s">
        <v>495</v>
      </c>
      <c r="E22" t="s">
        <v>46</v>
      </c>
      <c r="F22" t="s">
        <v>569</v>
      </c>
      <c r="G22" t="s">
        <v>498</v>
      </c>
      <c r="H22" t="s">
        <v>4013</v>
      </c>
    </row>
    <row r="23" spans="1:8" x14ac:dyDescent="0.25">
      <c r="A23">
        <v>1404567</v>
      </c>
      <c r="B23" t="s">
        <v>4014</v>
      </c>
      <c r="C23" t="s">
        <v>17</v>
      </c>
      <c r="D23" t="s">
        <v>42</v>
      </c>
      <c r="E23" t="s">
        <v>264</v>
      </c>
      <c r="F23" t="s">
        <v>4015</v>
      </c>
      <c r="G23" t="s">
        <v>4016</v>
      </c>
      <c r="H23" t="s">
        <v>4017</v>
      </c>
    </row>
    <row r="24" spans="1:8" x14ac:dyDescent="0.25">
      <c r="A24">
        <v>1522269</v>
      </c>
      <c r="B24" t="s">
        <v>4014</v>
      </c>
      <c r="C24" t="s">
        <v>17</v>
      </c>
      <c r="D24" t="s">
        <v>574</v>
      </c>
      <c r="E24" t="s">
        <v>50</v>
      </c>
      <c r="F24" t="s">
        <v>4018</v>
      </c>
      <c r="G24" t="s">
        <v>578</v>
      </c>
      <c r="H24" t="s">
        <v>4019</v>
      </c>
    </row>
    <row r="25" spans="1:8" x14ac:dyDescent="0.25">
      <c r="A25">
        <v>1522270</v>
      </c>
      <c r="B25" t="s">
        <v>4014</v>
      </c>
      <c r="C25" t="s">
        <v>17</v>
      </c>
      <c r="D25" t="s">
        <v>574</v>
      </c>
      <c r="E25" t="s">
        <v>50</v>
      </c>
      <c r="F25" t="s">
        <v>597</v>
      </c>
      <c r="G25" t="s">
        <v>4020</v>
      </c>
      <c r="H25" t="s">
        <v>4021</v>
      </c>
    </row>
    <row r="26" spans="1:8" x14ac:dyDescent="0.25">
      <c r="A26">
        <v>1522568</v>
      </c>
      <c r="B26" t="s">
        <v>4014</v>
      </c>
      <c r="C26" t="s">
        <v>17</v>
      </c>
      <c r="D26" t="s">
        <v>405</v>
      </c>
      <c r="E26" t="s">
        <v>46</v>
      </c>
      <c r="F26" t="s">
        <v>519</v>
      </c>
      <c r="G26" t="s">
        <v>4022</v>
      </c>
      <c r="H26" t="s">
        <v>4023</v>
      </c>
    </row>
    <row r="27" spans="1:8" x14ac:dyDescent="0.25">
      <c r="A27">
        <v>1526637</v>
      </c>
      <c r="B27" t="s">
        <v>4014</v>
      </c>
      <c r="C27" t="s">
        <v>17</v>
      </c>
      <c r="D27" t="s">
        <v>711</v>
      </c>
      <c r="E27" t="s">
        <v>70</v>
      </c>
      <c r="F27" t="s">
        <v>4024</v>
      </c>
      <c r="G27" t="s">
        <v>4025</v>
      </c>
      <c r="H27" t="s">
        <v>4026</v>
      </c>
    </row>
    <row r="28" spans="1:8" x14ac:dyDescent="0.25">
      <c r="A28">
        <v>1526638</v>
      </c>
      <c r="B28" t="s">
        <v>4014</v>
      </c>
      <c r="C28" t="s">
        <v>17</v>
      </c>
      <c r="D28" t="s">
        <v>711</v>
      </c>
      <c r="E28" t="s">
        <v>70</v>
      </c>
      <c r="F28" t="s">
        <v>4027</v>
      </c>
      <c r="G28" t="s">
        <v>4028</v>
      </c>
      <c r="H28" t="s">
        <v>4029</v>
      </c>
    </row>
    <row r="29" spans="1:8" x14ac:dyDescent="0.25">
      <c r="A29">
        <v>1526639</v>
      </c>
      <c r="B29" t="s">
        <v>4014</v>
      </c>
      <c r="C29" t="s">
        <v>17</v>
      </c>
      <c r="D29" t="s">
        <v>711</v>
      </c>
      <c r="E29" t="s">
        <v>70</v>
      </c>
      <c r="F29" t="s">
        <v>4030</v>
      </c>
      <c r="G29" t="s">
        <v>4031</v>
      </c>
      <c r="H29" t="s">
        <v>4032</v>
      </c>
    </row>
    <row r="30" spans="1:8" x14ac:dyDescent="0.25">
      <c r="A30">
        <v>1421848</v>
      </c>
      <c r="B30" t="s">
        <v>4033</v>
      </c>
      <c r="C30" t="s">
        <v>17</v>
      </c>
      <c r="D30" t="s">
        <v>342</v>
      </c>
      <c r="E30" t="s">
        <v>50</v>
      </c>
      <c r="F30" t="s">
        <v>4034</v>
      </c>
      <c r="G30" t="s">
        <v>4035</v>
      </c>
      <c r="H30" t="s">
        <v>4036</v>
      </c>
    </row>
    <row r="31" spans="1:8" x14ac:dyDescent="0.25">
      <c r="A31">
        <v>1394652</v>
      </c>
      <c r="B31" t="s">
        <v>4037</v>
      </c>
      <c r="C31" t="s">
        <v>17</v>
      </c>
      <c r="D31" t="s">
        <v>43</v>
      </c>
      <c r="E31" t="s">
        <v>62</v>
      </c>
      <c r="F31" t="s">
        <v>4038</v>
      </c>
      <c r="G31" t="s">
        <v>4039</v>
      </c>
      <c r="H31" t="s">
        <v>4040</v>
      </c>
    </row>
    <row r="32" spans="1:8" x14ac:dyDescent="0.25">
      <c r="A32">
        <v>1395253</v>
      </c>
      <c r="B32" t="s">
        <v>4037</v>
      </c>
      <c r="C32" t="s">
        <v>17</v>
      </c>
      <c r="D32" t="s">
        <v>64</v>
      </c>
      <c r="E32" t="s">
        <v>720</v>
      </c>
      <c r="F32" t="s">
        <v>4041</v>
      </c>
      <c r="G32" t="s">
        <v>4042</v>
      </c>
      <c r="H32" t="s">
        <v>4043</v>
      </c>
    </row>
    <row r="33" spans="1:8" x14ac:dyDescent="0.25">
      <c r="A33">
        <v>1395258</v>
      </c>
      <c r="B33" t="s">
        <v>4037</v>
      </c>
      <c r="C33" t="s">
        <v>17</v>
      </c>
      <c r="D33" t="s">
        <v>64</v>
      </c>
      <c r="E33" t="s">
        <v>720</v>
      </c>
      <c r="F33" t="s">
        <v>4044</v>
      </c>
      <c r="G33" t="s">
        <v>4045</v>
      </c>
      <c r="H33" t="s">
        <v>4046</v>
      </c>
    </row>
    <row r="34" spans="1:8" x14ac:dyDescent="0.25">
      <c r="A34">
        <v>1423389</v>
      </c>
      <c r="B34" t="s">
        <v>4037</v>
      </c>
      <c r="C34" t="s">
        <v>17</v>
      </c>
      <c r="D34" t="s">
        <v>110</v>
      </c>
      <c r="E34" t="s">
        <v>46</v>
      </c>
      <c r="F34" t="s">
        <v>502</v>
      </c>
      <c r="G34" t="s">
        <v>581</v>
      </c>
      <c r="H34" t="s">
        <v>4047</v>
      </c>
    </row>
    <row r="35" spans="1:8" x14ac:dyDescent="0.25">
      <c r="A35">
        <v>1423390</v>
      </c>
      <c r="B35" t="s">
        <v>4037</v>
      </c>
      <c r="C35" t="s">
        <v>17</v>
      </c>
      <c r="D35" t="s">
        <v>110</v>
      </c>
      <c r="E35" t="s">
        <v>46</v>
      </c>
      <c r="F35" t="s">
        <v>4048</v>
      </c>
      <c r="G35" t="s">
        <v>4049</v>
      </c>
      <c r="H35" t="s">
        <v>4050</v>
      </c>
    </row>
    <row r="36" spans="1:8" x14ac:dyDescent="0.25">
      <c r="A36">
        <v>1434111</v>
      </c>
      <c r="B36" t="s">
        <v>4037</v>
      </c>
      <c r="C36" t="s">
        <v>17</v>
      </c>
      <c r="D36" t="s">
        <v>66</v>
      </c>
      <c r="E36" t="s">
        <v>312</v>
      </c>
      <c r="F36" t="s">
        <v>583</v>
      </c>
      <c r="G36" t="s">
        <v>652</v>
      </c>
      <c r="H36" t="s">
        <v>4051</v>
      </c>
    </row>
    <row r="37" spans="1:8" x14ac:dyDescent="0.25">
      <c r="A37">
        <v>1497782</v>
      </c>
      <c r="B37" t="s">
        <v>4037</v>
      </c>
      <c r="C37" t="s">
        <v>17</v>
      </c>
      <c r="D37" t="s">
        <v>725</v>
      </c>
      <c r="E37" t="s">
        <v>234</v>
      </c>
      <c r="F37" t="s">
        <v>4052</v>
      </c>
      <c r="G37" t="s">
        <v>646</v>
      </c>
      <c r="H37" t="s">
        <v>4053</v>
      </c>
    </row>
    <row r="38" spans="1:8" x14ac:dyDescent="0.25">
      <c r="A38">
        <v>1525650</v>
      </c>
      <c r="B38" t="s">
        <v>4037</v>
      </c>
      <c r="C38" t="s">
        <v>17</v>
      </c>
      <c r="D38" t="s">
        <v>495</v>
      </c>
      <c r="E38" t="s">
        <v>46</v>
      </c>
      <c r="F38" t="s">
        <v>570</v>
      </c>
      <c r="G38" t="s">
        <v>571</v>
      </c>
      <c r="H38" t="s">
        <v>4054</v>
      </c>
    </row>
    <row r="39" spans="1:8" x14ac:dyDescent="0.25">
      <c r="A39">
        <v>1528174</v>
      </c>
      <c r="B39" t="s">
        <v>4037</v>
      </c>
      <c r="C39" t="s">
        <v>17</v>
      </c>
      <c r="D39" t="s">
        <v>20</v>
      </c>
      <c r="E39" t="s">
        <v>441</v>
      </c>
      <c r="F39" t="s">
        <v>4055</v>
      </c>
      <c r="G39" t="s">
        <v>4056</v>
      </c>
      <c r="H39" t="s">
        <v>4057</v>
      </c>
    </row>
    <row r="40" spans="1:8" x14ac:dyDescent="0.25">
      <c r="A40">
        <v>1391566</v>
      </c>
      <c r="B40" t="s">
        <v>4058</v>
      </c>
      <c r="C40" t="s">
        <v>17</v>
      </c>
      <c r="D40" t="s">
        <v>338</v>
      </c>
      <c r="E40" t="s">
        <v>50</v>
      </c>
      <c r="F40" t="s">
        <v>4059</v>
      </c>
      <c r="G40" t="s">
        <v>4060</v>
      </c>
      <c r="H40" t="s">
        <v>4061</v>
      </c>
    </row>
    <row r="41" spans="1:8" x14ac:dyDescent="0.25">
      <c r="A41">
        <v>1400186</v>
      </c>
      <c r="B41" t="s">
        <v>4058</v>
      </c>
      <c r="C41" t="s">
        <v>17</v>
      </c>
      <c r="D41" t="s">
        <v>405</v>
      </c>
      <c r="E41" t="s">
        <v>50</v>
      </c>
      <c r="F41" t="s">
        <v>4062</v>
      </c>
      <c r="G41" t="s">
        <v>4063</v>
      </c>
      <c r="H41" t="s">
        <v>4064</v>
      </c>
    </row>
    <row r="42" spans="1:8" x14ac:dyDescent="0.25">
      <c r="A42">
        <v>1403782</v>
      </c>
      <c r="B42" t="s">
        <v>4058</v>
      </c>
      <c r="C42" t="s">
        <v>17</v>
      </c>
      <c r="D42" t="s">
        <v>39</v>
      </c>
      <c r="E42" t="s">
        <v>40</v>
      </c>
      <c r="F42" t="s">
        <v>314</v>
      </c>
      <c r="G42" t="s">
        <v>4065</v>
      </c>
      <c r="H42" t="s">
        <v>4066</v>
      </c>
    </row>
    <row r="43" spans="1:8" x14ac:dyDescent="0.25">
      <c r="A43">
        <v>1403783</v>
      </c>
      <c r="B43" t="s">
        <v>4058</v>
      </c>
      <c r="C43" t="s">
        <v>17</v>
      </c>
      <c r="D43" t="s">
        <v>39</v>
      </c>
      <c r="E43" t="s">
        <v>40</v>
      </c>
      <c r="F43" t="s">
        <v>4067</v>
      </c>
      <c r="G43" t="s">
        <v>4068</v>
      </c>
      <c r="H43" t="s">
        <v>4069</v>
      </c>
    </row>
    <row r="44" spans="1:8" x14ac:dyDescent="0.25">
      <c r="A44">
        <v>1451583</v>
      </c>
      <c r="B44" t="s">
        <v>4058</v>
      </c>
      <c r="C44" t="s">
        <v>17</v>
      </c>
      <c r="D44" t="s">
        <v>45</v>
      </c>
      <c r="E44" t="s">
        <v>46</v>
      </c>
      <c r="F44" t="s">
        <v>573</v>
      </c>
      <c r="G44" t="s">
        <v>513</v>
      </c>
      <c r="H44" t="s">
        <v>4070</v>
      </c>
    </row>
    <row r="45" spans="1:8" x14ac:dyDescent="0.25">
      <c r="A45">
        <v>1451854</v>
      </c>
      <c r="B45" t="s">
        <v>4058</v>
      </c>
      <c r="C45" t="s">
        <v>17</v>
      </c>
      <c r="D45" t="s">
        <v>45</v>
      </c>
      <c r="E45" t="s">
        <v>234</v>
      </c>
      <c r="F45" t="s">
        <v>504</v>
      </c>
      <c r="G45" t="s">
        <v>4071</v>
      </c>
      <c r="H45" t="s">
        <v>4072</v>
      </c>
    </row>
    <row r="46" spans="1:8" x14ac:dyDescent="0.25">
      <c r="A46">
        <v>1531130</v>
      </c>
      <c r="B46" t="s">
        <v>4058</v>
      </c>
      <c r="C46" t="s">
        <v>17</v>
      </c>
      <c r="D46" t="s">
        <v>22</v>
      </c>
      <c r="E46" t="s">
        <v>4376</v>
      </c>
      <c r="F46" t="s">
        <v>4377</v>
      </c>
      <c r="G46" t="s">
        <v>4378</v>
      </c>
      <c r="H46" t="s">
        <v>4379</v>
      </c>
    </row>
    <row r="47" spans="1:8" x14ac:dyDescent="0.25">
      <c r="A47">
        <v>1531131</v>
      </c>
      <c r="B47" t="s">
        <v>4058</v>
      </c>
      <c r="C47" t="s">
        <v>33</v>
      </c>
      <c r="D47" t="s">
        <v>22</v>
      </c>
      <c r="E47" t="s">
        <v>4376</v>
      </c>
      <c r="F47" t="s">
        <v>4380</v>
      </c>
      <c r="G47" t="s">
        <v>4381</v>
      </c>
      <c r="H47" t="s">
        <v>4382</v>
      </c>
    </row>
    <row r="48" spans="1:8" x14ac:dyDescent="0.25">
      <c r="A48">
        <v>1531132</v>
      </c>
      <c r="B48" t="s">
        <v>4058</v>
      </c>
      <c r="C48" t="s">
        <v>33</v>
      </c>
      <c r="D48" t="s">
        <v>22</v>
      </c>
      <c r="E48" t="s">
        <v>4376</v>
      </c>
      <c r="F48" t="s">
        <v>4383</v>
      </c>
      <c r="G48" t="s">
        <v>4384</v>
      </c>
      <c r="H48" t="s">
        <v>4385</v>
      </c>
    </row>
    <row r="49" spans="1:8" x14ac:dyDescent="0.25">
      <c r="A49">
        <v>1531133</v>
      </c>
      <c r="B49" t="s">
        <v>4058</v>
      </c>
      <c r="C49" t="s">
        <v>33</v>
      </c>
      <c r="D49" t="s">
        <v>22</v>
      </c>
      <c r="E49" t="s">
        <v>4376</v>
      </c>
      <c r="F49" t="s">
        <v>4386</v>
      </c>
      <c r="G49" t="s">
        <v>4387</v>
      </c>
      <c r="H49" t="s">
        <v>4388</v>
      </c>
    </row>
    <row r="50" spans="1:8" x14ac:dyDescent="0.25">
      <c r="A50">
        <v>1531163</v>
      </c>
      <c r="B50" t="s">
        <v>4058</v>
      </c>
      <c r="C50" t="s">
        <v>33</v>
      </c>
      <c r="D50" t="s">
        <v>22</v>
      </c>
      <c r="E50" t="s">
        <v>4376</v>
      </c>
      <c r="F50" t="s">
        <v>4389</v>
      </c>
      <c r="G50" t="s">
        <v>4390</v>
      </c>
      <c r="H50" t="s">
        <v>4391</v>
      </c>
    </row>
    <row r="51" spans="1:8" x14ac:dyDescent="0.25">
      <c r="A51">
        <v>1395254</v>
      </c>
      <c r="B51" t="s">
        <v>4073</v>
      </c>
      <c r="C51" t="s">
        <v>17</v>
      </c>
      <c r="D51" t="s">
        <v>64</v>
      </c>
      <c r="E51" t="s">
        <v>720</v>
      </c>
      <c r="F51" t="s">
        <v>4074</v>
      </c>
      <c r="G51" t="s">
        <v>4075</v>
      </c>
      <c r="H51" t="s">
        <v>4076</v>
      </c>
    </row>
    <row r="52" spans="1:8" x14ac:dyDescent="0.25">
      <c r="A52">
        <v>1404572</v>
      </c>
      <c r="B52" t="s">
        <v>4073</v>
      </c>
      <c r="C52" t="s">
        <v>17</v>
      </c>
      <c r="D52" t="s">
        <v>42</v>
      </c>
      <c r="E52" t="s">
        <v>264</v>
      </c>
      <c r="F52" t="s">
        <v>4077</v>
      </c>
      <c r="G52" t="s">
        <v>4078</v>
      </c>
      <c r="H52" t="s">
        <v>4079</v>
      </c>
    </row>
    <row r="53" spans="1:8" x14ac:dyDescent="0.25">
      <c r="A53">
        <v>1434498</v>
      </c>
      <c r="B53" t="s">
        <v>4073</v>
      </c>
      <c r="C53" t="s">
        <v>17</v>
      </c>
      <c r="D53" t="s">
        <v>66</v>
      </c>
      <c r="E53" t="s">
        <v>78</v>
      </c>
      <c r="F53" t="s">
        <v>529</v>
      </c>
      <c r="G53" t="s">
        <v>343</v>
      </c>
      <c r="H53" t="s">
        <v>4080</v>
      </c>
    </row>
    <row r="54" spans="1:8" x14ac:dyDescent="0.25">
      <c r="A54">
        <v>1521301</v>
      </c>
      <c r="B54" t="s">
        <v>4073</v>
      </c>
      <c r="C54" t="s">
        <v>17</v>
      </c>
      <c r="D54" t="s">
        <v>262</v>
      </c>
      <c r="E54" t="s">
        <v>263</v>
      </c>
      <c r="F54" t="s">
        <v>4081</v>
      </c>
      <c r="G54" t="s">
        <v>4082</v>
      </c>
      <c r="H54" t="s">
        <v>4083</v>
      </c>
    </row>
    <row r="55" spans="1:8" x14ac:dyDescent="0.25">
      <c r="A55">
        <v>1522567</v>
      </c>
      <c r="B55" t="s">
        <v>4073</v>
      </c>
      <c r="C55" t="s">
        <v>17</v>
      </c>
      <c r="D55" t="s">
        <v>405</v>
      </c>
      <c r="E55" t="s">
        <v>46</v>
      </c>
      <c r="F55" t="s">
        <v>4084</v>
      </c>
      <c r="G55" t="s">
        <v>4085</v>
      </c>
      <c r="H55" t="s">
        <v>4086</v>
      </c>
    </row>
    <row r="56" spans="1:8" x14ac:dyDescent="0.25">
      <c r="A56">
        <v>1525653</v>
      </c>
      <c r="B56" t="s">
        <v>4073</v>
      </c>
      <c r="C56" t="s">
        <v>17</v>
      </c>
      <c r="D56" t="s">
        <v>495</v>
      </c>
      <c r="E56" t="s">
        <v>46</v>
      </c>
      <c r="F56" t="s">
        <v>572</v>
      </c>
      <c r="G56" t="s">
        <v>499</v>
      </c>
      <c r="H56" t="s">
        <v>4087</v>
      </c>
    </row>
    <row r="57" spans="1:8" x14ac:dyDescent="0.25">
      <c r="A57">
        <v>1525654</v>
      </c>
      <c r="B57" t="s">
        <v>4073</v>
      </c>
      <c r="C57" t="s">
        <v>17</v>
      </c>
      <c r="D57" t="s">
        <v>495</v>
      </c>
      <c r="E57" t="s">
        <v>46</v>
      </c>
      <c r="F57" t="s">
        <v>497</v>
      </c>
      <c r="G57" t="s">
        <v>568</v>
      </c>
      <c r="H57" t="s">
        <v>4088</v>
      </c>
    </row>
    <row r="58" spans="1:8" x14ac:dyDescent="0.25">
      <c r="A58">
        <v>1528308</v>
      </c>
      <c r="B58" t="s">
        <v>4073</v>
      </c>
      <c r="C58" t="s">
        <v>17</v>
      </c>
      <c r="D58" t="s">
        <v>636</v>
      </c>
      <c r="E58" t="s">
        <v>238</v>
      </c>
      <c r="F58" t="s">
        <v>4089</v>
      </c>
      <c r="G58" t="s">
        <v>4090</v>
      </c>
      <c r="H58" t="s">
        <v>4091</v>
      </c>
    </row>
    <row r="59" spans="1:8" x14ac:dyDescent="0.25">
      <c r="A59">
        <v>1531134</v>
      </c>
      <c r="B59" t="s">
        <v>4073</v>
      </c>
      <c r="C59" t="s">
        <v>17</v>
      </c>
      <c r="D59" t="s">
        <v>22</v>
      </c>
      <c r="E59" t="s">
        <v>4376</v>
      </c>
      <c r="F59" t="s">
        <v>4392</v>
      </c>
      <c r="G59" t="s">
        <v>4393</v>
      </c>
      <c r="H59" t="s">
        <v>4394</v>
      </c>
    </row>
    <row r="60" spans="1:8" x14ac:dyDescent="0.25">
      <c r="A60">
        <v>1445903</v>
      </c>
      <c r="B60" t="s">
        <v>4092</v>
      </c>
      <c r="C60" t="s">
        <v>17</v>
      </c>
      <c r="D60" t="s">
        <v>67</v>
      </c>
      <c r="E60" t="s">
        <v>696</v>
      </c>
      <c r="F60" t="s">
        <v>588</v>
      </c>
      <c r="G60" t="s">
        <v>4093</v>
      </c>
      <c r="H60" t="s">
        <v>4094</v>
      </c>
    </row>
    <row r="61" spans="1:8" x14ac:dyDescent="0.25">
      <c r="A61">
        <v>1418398</v>
      </c>
      <c r="B61" t="s">
        <v>4095</v>
      </c>
      <c r="C61" t="s">
        <v>17</v>
      </c>
      <c r="D61" t="s">
        <v>97</v>
      </c>
      <c r="E61" t="s">
        <v>406</v>
      </c>
      <c r="F61" t="s">
        <v>4096</v>
      </c>
      <c r="G61" t="s">
        <v>4097</v>
      </c>
      <c r="H61" t="s">
        <v>4098</v>
      </c>
    </row>
    <row r="62" spans="1:8" x14ac:dyDescent="0.25">
      <c r="A62">
        <v>1498078</v>
      </c>
      <c r="B62" t="s">
        <v>4095</v>
      </c>
      <c r="C62" t="s">
        <v>17</v>
      </c>
      <c r="D62" t="s">
        <v>54</v>
      </c>
      <c r="E62" t="s">
        <v>55</v>
      </c>
      <c r="F62" t="s">
        <v>591</v>
      </c>
      <c r="G62" t="s">
        <v>589</v>
      </c>
      <c r="H62" t="s">
        <v>4099</v>
      </c>
    </row>
    <row r="63" spans="1:8" x14ac:dyDescent="0.25">
      <c r="A63">
        <v>1498079</v>
      </c>
      <c r="B63" t="s">
        <v>4095</v>
      </c>
      <c r="C63" t="s">
        <v>17</v>
      </c>
      <c r="D63" t="s">
        <v>54</v>
      </c>
      <c r="E63" t="s">
        <v>55</v>
      </c>
      <c r="F63" t="s">
        <v>590</v>
      </c>
      <c r="G63" t="s">
        <v>500</v>
      </c>
      <c r="H63" t="s">
        <v>4100</v>
      </c>
    </row>
    <row r="64" spans="1:8" x14ac:dyDescent="0.25">
      <c r="A64">
        <v>1522271</v>
      </c>
      <c r="B64" t="s">
        <v>4095</v>
      </c>
      <c r="C64" t="s">
        <v>17</v>
      </c>
      <c r="D64" t="s">
        <v>574</v>
      </c>
      <c r="E64" t="s">
        <v>50</v>
      </c>
      <c r="F64" t="s">
        <v>4101</v>
      </c>
      <c r="G64" t="s">
        <v>575</v>
      </c>
      <c r="H64" t="s">
        <v>4102</v>
      </c>
    </row>
    <row r="65" spans="1:8" x14ac:dyDescent="0.25">
      <c r="A65">
        <v>1522272</v>
      </c>
      <c r="B65" t="s">
        <v>4095</v>
      </c>
      <c r="C65" t="s">
        <v>17</v>
      </c>
      <c r="D65" t="s">
        <v>574</v>
      </c>
      <c r="E65" t="s">
        <v>50</v>
      </c>
      <c r="F65" t="s">
        <v>595</v>
      </c>
      <c r="G65" t="s">
        <v>4103</v>
      </c>
      <c r="H65" t="s">
        <v>4104</v>
      </c>
    </row>
    <row r="66" spans="1:8" x14ac:dyDescent="0.25">
      <c r="A66">
        <v>1391562</v>
      </c>
      <c r="B66" t="s">
        <v>4105</v>
      </c>
      <c r="C66" t="s">
        <v>17</v>
      </c>
      <c r="D66" t="s">
        <v>338</v>
      </c>
      <c r="E66" t="s">
        <v>50</v>
      </c>
      <c r="F66" t="s">
        <v>4106</v>
      </c>
      <c r="G66" t="s">
        <v>4107</v>
      </c>
      <c r="H66" t="s">
        <v>4108</v>
      </c>
    </row>
    <row r="67" spans="1:8" x14ac:dyDescent="0.25">
      <c r="A67">
        <v>1395256</v>
      </c>
      <c r="B67" t="s">
        <v>4105</v>
      </c>
      <c r="C67" t="s">
        <v>17</v>
      </c>
      <c r="D67" t="s">
        <v>64</v>
      </c>
      <c r="E67" t="s">
        <v>720</v>
      </c>
      <c r="F67" t="s">
        <v>4109</v>
      </c>
      <c r="G67" t="s">
        <v>3113</v>
      </c>
      <c r="H67" t="s">
        <v>4110</v>
      </c>
    </row>
    <row r="68" spans="1:8" x14ac:dyDescent="0.25">
      <c r="A68">
        <v>1400189</v>
      </c>
      <c r="B68" t="s">
        <v>4105</v>
      </c>
      <c r="C68" t="s">
        <v>17</v>
      </c>
      <c r="D68" t="s">
        <v>405</v>
      </c>
      <c r="E68" t="s">
        <v>50</v>
      </c>
      <c r="F68" t="s">
        <v>457</v>
      </c>
      <c r="G68" t="s">
        <v>4111</v>
      </c>
      <c r="H68" t="s">
        <v>4112</v>
      </c>
    </row>
    <row r="69" spans="1:8" x14ac:dyDescent="0.25">
      <c r="A69">
        <v>1400905</v>
      </c>
      <c r="B69" t="s">
        <v>4105</v>
      </c>
      <c r="C69" t="s">
        <v>17</v>
      </c>
      <c r="D69" t="s">
        <v>63</v>
      </c>
      <c r="E69" t="s">
        <v>272</v>
      </c>
      <c r="F69" t="s">
        <v>4113</v>
      </c>
      <c r="G69" t="s">
        <v>4114</v>
      </c>
      <c r="H69" t="s">
        <v>4115</v>
      </c>
    </row>
    <row r="70" spans="1:8" x14ac:dyDescent="0.25">
      <c r="A70">
        <v>1451578</v>
      </c>
      <c r="B70" t="s">
        <v>4105</v>
      </c>
      <c r="C70" t="s">
        <v>17</v>
      </c>
      <c r="D70" t="s">
        <v>45</v>
      </c>
      <c r="E70" t="s">
        <v>46</v>
      </c>
      <c r="F70" t="s">
        <v>4116</v>
      </c>
      <c r="G70" t="s">
        <v>514</v>
      </c>
      <c r="H70" t="s">
        <v>4117</v>
      </c>
    </row>
    <row r="71" spans="1:8" x14ac:dyDescent="0.25">
      <c r="A71">
        <v>1469464</v>
      </c>
      <c r="B71" t="s">
        <v>4105</v>
      </c>
      <c r="C71" t="s">
        <v>17</v>
      </c>
      <c r="D71" t="s">
        <v>3330</v>
      </c>
      <c r="E71" t="s">
        <v>48</v>
      </c>
      <c r="F71" t="s">
        <v>4118</v>
      </c>
      <c r="G71" t="s">
        <v>4119</v>
      </c>
      <c r="H71" t="s">
        <v>4120</v>
      </c>
    </row>
    <row r="72" spans="1:8" x14ac:dyDescent="0.25">
      <c r="A72">
        <v>1469465</v>
      </c>
      <c r="B72" t="s">
        <v>4105</v>
      </c>
      <c r="C72" t="s">
        <v>17</v>
      </c>
      <c r="D72" t="s">
        <v>3330</v>
      </c>
      <c r="E72" t="s">
        <v>48</v>
      </c>
      <c r="F72" t="s">
        <v>4121</v>
      </c>
      <c r="G72" t="s">
        <v>4122</v>
      </c>
      <c r="H72" t="s">
        <v>4123</v>
      </c>
    </row>
    <row r="73" spans="1:8" x14ac:dyDescent="0.25">
      <c r="A73">
        <v>1469466</v>
      </c>
      <c r="B73" t="s">
        <v>4105</v>
      </c>
      <c r="C73" t="s">
        <v>17</v>
      </c>
      <c r="D73" t="s">
        <v>3330</v>
      </c>
      <c r="E73" t="s">
        <v>48</v>
      </c>
      <c r="F73" t="s">
        <v>4124</v>
      </c>
      <c r="G73" t="s">
        <v>4125</v>
      </c>
      <c r="H73" t="s">
        <v>4126</v>
      </c>
    </row>
    <row r="74" spans="1:8" x14ac:dyDescent="0.25">
      <c r="A74">
        <v>1469467</v>
      </c>
      <c r="B74" t="s">
        <v>4105</v>
      </c>
      <c r="C74" t="s">
        <v>17</v>
      </c>
      <c r="D74" t="s">
        <v>3330</v>
      </c>
      <c r="E74" t="s">
        <v>48</v>
      </c>
      <c r="F74" t="s">
        <v>4127</v>
      </c>
      <c r="G74" t="s">
        <v>4128</v>
      </c>
      <c r="H74" t="s">
        <v>4129</v>
      </c>
    </row>
    <row r="75" spans="1:8" x14ac:dyDescent="0.25">
      <c r="A75">
        <v>1469470</v>
      </c>
      <c r="B75" t="s">
        <v>4105</v>
      </c>
      <c r="C75" t="s">
        <v>17</v>
      </c>
      <c r="D75" t="s">
        <v>3330</v>
      </c>
      <c r="E75" t="s">
        <v>48</v>
      </c>
      <c r="F75" t="s">
        <v>4130</v>
      </c>
      <c r="G75" t="s">
        <v>1661</v>
      </c>
      <c r="H75" t="s">
        <v>4131</v>
      </c>
    </row>
    <row r="76" spans="1:8" x14ac:dyDescent="0.25">
      <c r="A76">
        <v>1529466</v>
      </c>
      <c r="B76" t="s">
        <v>4105</v>
      </c>
      <c r="C76" t="s">
        <v>17</v>
      </c>
      <c r="D76" t="s">
        <v>435</v>
      </c>
      <c r="E76" t="s">
        <v>48</v>
      </c>
      <c r="F76" t="s">
        <v>4132</v>
      </c>
      <c r="G76" t="s">
        <v>4133</v>
      </c>
      <c r="H76" t="s">
        <v>4134</v>
      </c>
    </row>
    <row r="77" spans="1:8" x14ac:dyDescent="0.25">
      <c r="A77">
        <v>1384355</v>
      </c>
      <c r="B77" t="s">
        <v>4135</v>
      </c>
      <c r="C77" t="s">
        <v>17</v>
      </c>
      <c r="D77" t="s">
        <v>269</v>
      </c>
      <c r="E77" t="s">
        <v>777</v>
      </c>
      <c r="F77" t="s">
        <v>4136</v>
      </c>
      <c r="G77" t="s">
        <v>4137</v>
      </c>
      <c r="H77" t="s">
        <v>4138</v>
      </c>
    </row>
    <row r="78" spans="1:8" x14ac:dyDescent="0.25">
      <c r="A78">
        <v>1445902</v>
      </c>
      <c r="B78" t="s">
        <v>4135</v>
      </c>
      <c r="C78" t="s">
        <v>17</v>
      </c>
      <c r="D78" t="s">
        <v>67</v>
      </c>
      <c r="E78" t="s">
        <v>696</v>
      </c>
      <c r="F78" t="s">
        <v>4139</v>
      </c>
      <c r="G78" t="s">
        <v>4140</v>
      </c>
      <c r="H78" t="s">
        <v>4141</v>
      </c>
    </row>
    <row r="79" spans="1:8" x14ac:dyDescent="0.25">
      <c r="A79">
        <v>1381729</v>
      </c>
      <c r="B79" t="s">
        <v>4142</v>
      </c>
      <c r="C79" t="s">
        <v>17</v>
      </c>
      <c r="D79" t="s">
        <v>52</v>
      </c>
      <c r="E79" t="s">
        <v>53</v>
      </c>
      <c r="F79" t="s">
        <v>521</v>
      </c>
      <c r="G79" t="s">
        <v>4143</v>
      </c>
      <c r="H79" t="s">
        <v>4144</v>
      </c>
    </row>
    <row r="80" spans="1:8" x14ac:dyDescent="0.25">
      <c r="A80">
        <v>1385093</v>
      </c>
      <c r="B80" t="s">
        <v>4142</v>
      </c>
      <c r="C80" t="s">
        <v>17</v>
      </c>
      <c r="D80" t="s">
        <v>64</v>
      </c>
      <c r="E80" t="s">
        <v>267</v>
      </c>
      <c r="F80" t="s">
        <v>4145</v>
      </c>
      <c r="G80" t="s">
        <v>4146</v>
      </c>
      <c r="H80" t="s">
        <v>4147</v>
      </c>
    </row>
    <row r="81" spans="1:8" x14ac:dyDescent="0.25">
      <c r="A81">
        <v>1385094</v>
      </c>
      <c r="B81" t="s">
        <v>4142</v>
      </c>
      <c r="C81" t="s">
        <v>17</v>
      </c>
      <c r="D81" t="s">
        <v>64</v>
      </c>
      <c r="E81" t="s">
        <v>267</v>
      </c>
      <c r="F81" t="s">
        <v>4148</v>
      </c>
      <c r="G81" t="s">
        <v>4149</v>
      </c>
      <c r="H81" t="s">
        <v>4150</v>
      </c>
    </row>
    <row r="82" spans="1:8" x14ac:dyDescent="0.25">
      <c r="A82">
        <v>1389970</v>
      </c>
      <c r="B82" t="s">
        <v>4142</v>
      </c>
      <c r="C82" t="s">
        <v>35</v>
      </c>
      <c r="D82" t="s">
        <v>109</v>
      </c>
      <c r="E82" t="s">
        <v>307</v>
      </c>
      <c r="F82" t="s">
        <v>4151</v>
      </c>
      <c r="G82" t="s">
        <v>4152</v>
      </c>
      <c r="H82" t="s">
        <v>4153</v>
      </c>
    </row>
    <row r="83" spans="1:8" x14ac:dyDescent="0.25">
      <c r="A83">
        <v>1389972</v>
      </c>
      <c r="B83" t="s">
        <v>4142</v>
      </c>
      <c r="C83" t="s">
        <v>35</v>
      </c>
      <c r="D83" t="s">
        <v>109</v>
      </c>
      <c r="E83" t="s">
        <v>307</v>
      </c>
      <c r="F83" t="s">
        <v>4154</v>
      </c>
      <c r="G83" t="s">
        <v>308</v>
      </c>
      <c r="H83" t="s">
        <v>4155</v>
      </c>
    </row>
    <row r="84" spans="1:8" x14ac:dyDescent="0.25">
      <c r="A84">
        <v>1394649</v>
      </c>
      <c r="B84" t="s">
        <v>4142</v>
      </c>
      <c r="C84" t="s">
        <v>17</v>
      </c>
      <c r="D84" t="s">
        <v>43</v>
      </c>
      <c r="E84" t="s">
        <v>62</v>
      </c>
      <c r="F84" t="s">
        <v>606</v>
      </c>
      <c r="G84" t="s">
        <v>4156</v>
      </c>
      <c r="H84" t="s">
        <v>4157</v>
      </c>
    </row>
    <row r="85" spans="1:8" x14ac:dyDescent="0.25">
      <c r="A85">
        <v>1394655</v>
      </c>
      <c r="B85" t="s">
        <v>4142</v>
      </c>
      <c r="C85" t="s">
        <v>17</v>
      </c>
      <c r="D85" t="s">
        <v>43</v>
      </c>
      <c r="E85" t="s">
        <v>62</v>
      </c>
      <c r="F85" t="s">
        <v>4158</v>
      </c>
      <c r="G85" t="s">
        <v>607</v>
      </c>
      <c r="H85" t="s">
        <v>4159</v>
      </c>
    </row>
    <row r="86" spans="1:8" x14ac:dyDescent="0.25">
      <c r="A86">
        <v>1380056</v>
      </c>
      <c r="B86" t="s">
        <v>4160</v>
      </c>
      <c r="C86" t="s">
        <v>17</v>
      </c>
      <c r="D86" t="s">
        <v>79</v>
      </c>
      <c r="E86" t="s">
        <v>356</v>
      </c>
      <c r="F86" t="s">
        <v>4161</v>
      </c>
      <c r="G86" t="s">
        <v>4162</v>
      </c>
      <c r="H86" t="s">
        <v>4163</v>
      </c>
    </row>
    <row r="87" spans="1:8" x14ac:dyDescent="0.25">
      <c r="A87">
        <v>1380599</v>
      </c>
      <c r="B87" t="s">
        <v>4160</v>
      </c>
      <c r="C87" t="s">
        <v>17</v>
      </c>
      <c r="D87" t="s">
        <v>52</v>
      </c>
      <c r="E87" t="s">
        <v>58</v>
      </c>
      <c r="F87" t="s">
        <v>525</v>
      </c>
      <c r="G87" t="s">
        <v>4164</v>
      </c>
      <c r="H87" t="s">
        <v>4165</v>
      </c>
    </row>
    <row r="88" spans="1:8" x14ac:dyDescent="0.25">
      <c r="A88">
        <v>1385993</v>
      </c>
      <c r="B88" t="s">
        <v>4160</v>
      </c>
      <c r="C88" t="s">
        <v>17</v>
      </c>
      <c r="D88" t="s">
        <v>97</v>
      </c>
      <c r="E88" t="s">
        <v>98</v>
      </c>
      <c r="F88" t="s">
        <v>4166</v>
      </c>
      <c r="G88" t="s">
        <v>4167</v>
      </c>
      <c r="H88" t="s">
        <v>4168</v>
      </c>
    </row>
    <row r="89" spans="1:8" x14ac:dyDescent="0.25">
      <c r="A89">
        <v>1389976</v>
      </c>
      <c r="B89" t="s">
        <v>4160</v>
      </c>
      <c r="C89" t="s">
        <v>35</v>
      </c>
      <c r="D89" t="s">
        <v>109</v>
      </c>
      <c r="E89" t="s">
        <v>307</v>
      </c>
      <c r="F89" t="s">
        <v>4169</v>
      </c>
      <c r="G89" t="s">
        <v>526</v>
      </c>
      <c r="H89" t="s">
        <v>4170</v>
      </c>
    </row>
    <row r="90" spans="1:8" x14ac:dyDescent="0.25">
      <c r="A90">
        <v>1398185</v>
      </c>
      <c r="B90" t="s">
        <v>4160</v>
      </c>
      <c r="C90" t="s">
        <v>17</v>
      </c>
      <c r="D90" t="s">
        <v>54</v>
      </c>
      <c r="E90" t="s">
        <v>266</v>
      </c>
      <c r="F90" t="s">
        <v>4171</v>
      </c>
      <c r="G90" t="s">
        <v>527</v>
      </c>
      <c r="H90" t="s">
        <v>4172</v>
      </c>
    </row>
    <row r="91" spans="1:8" x14ac:dyDescent="0.25">
      <c r="A91">
        <v>1415532</v>
      </c>
      <c r="B91" t="s">
        <v>4160</v>
      </c>
      <c r="C91" t="s">
        <v>17</v>
      </c>
      <c r="D91" t="s">
        <v>733</v>
      </c>
      <c r="E91" t="s">
        <v>70</v>
      </c>
      <c r="F91" t="s">
        <v>4173</v>
      </c>
      <c r="G91" t="s">
        <v>4174</v>
      </c>
      <c r="H91" t="s">
        <v>4175</v>
      </c>
    </row>
    <row r="92" spans="1:8" x14ac:dyDescent="0.25">
      <c r="A92">
        <v>1415533</v>
      </c>
      <c r="B92" t="s">
        <v>4160</v>
      </c>
      <c r="C92" t="s">
        <v>17</v>
      </c>
      <c r="D92" t="s">
        <v>733</v>
      </c>
      <c r="E92" t="s">
        <v>70</v>
      </c>
      <c r="F92" t="s">
        <v>4176</v>
      </c>
      <c r="G92" t="s">
        <v>4177</v>
      </c>
      <c r="H92" t="s">
        <v>4178</v>
      </c>
    </row>
    <row r="93" spans="1:8" x14ac:dyDescent="0.25">
      <c r="A93">
        <v>1486358</v>
      </c>
      <c r="B93" t="s">
        <v>4160</v>
      </c>
      <c r="C93" t="s">
        <v>17</v>
      </c>
      <c r="D93" t="s">
        <v>86</v>
      </c>
      <c r="E93" t="s">
        <v>724</v>
      </c>
      <c r="F93" t="s">
        <v>4179</v>
      </c>
      <c r="G93" t="s">
        <v>4180</v>
      </c>
      <c r="H93" t="s">
        <v>4181</v>
      </c>
    </row>
    <row r="94" spans="1:8" x14ac:dyDescent="0.25">
      <c r="A94">
        <v>1522647</v>
      </c>
      <c r="B94" t="s">
        <v>4160</v>
      </c>
      <c r="C94" t="s">
        <v>17</v>
      </c>
      <c r="D94" t="s">
        <v>279</v>
      </c>
      <c r="E94" t="s">
        <v>362</v>
      </c>
      <c r="F94" t="s">
        <v>4182</v>
      </c>
      <c r="G94" t="s">
        <v>4183</v>
      </c>
      <c r="H94" t="s">
        <v>4184</v>
      </c>
    </row>
    <row r="95" spans="1:8" x14ac:dyDescent="0.25">
      <c r="A95">
        <v>1522648</v>
      </c>
      <c r="B95" t="s">
        <v>4160</v>
      </c>
      <c r="C95" t="s">
        <v>17</v>
      </c>
      <c r="D95" t="s">
        <v>279</v>
      </c>
      <c r="E95" t="s">
        <v>362</v>
      </c>
      <c r="F95" t="s">
        <v>4185</v>
      </c>
      <c r="G95" t="s">
        <v>4186</v>
      </c>
      <c r="H95" t="s">
        <v>4187</v>
      </c>
    </row>
    <row r="96" spans="1:8" x14ac:dyDescent="0.25">
      <c r="A96">
        <v>1530674</v>
      </c>
      <c r="B96" t="s">
        <v>4160</v>
      </c>
      <c r="C96" t="s">
        <v>17</v>
      </c>
      <c r="D96" t="s">
        <v>20</v>
      </c>
      <c r="E96" t="s">
        <v>735</v>
      </c>
      <c r="F96" t="s">
        <v>4188</v>
      </c>
      <c r="G96" t="s">
        <v>4189</v>
      </c>
      <c r="H96" t="s">
        <v>4190</v>
      </c>
    </row>
    <row r="97" spans="1:8" x14ac:dyDescent="0.25">
      <c r="A97">
        <v>1524404</v>
      </c>
      <c r="B97" t="s">
        <v>4191</v>
      </c>
      <c r="C97" t="s">
        <v>35</v>
      </c>
      <c r="D97" t="s">
        <v>22</v>
      </c>
      <c r="E97" t="s">
        <v>306</v>
      </c>
      <c r="F97" t="s">
        <v>516</v>
      </c>
      <c r="G97" t="s">
        <v>273</v>
      </c>
      <c r="H97" t="s">
        <v>4192</v>
      </c>
    </row>
    <row r="98" spans="1:8" x14ac:dyDescent="0.25">
      <c r="A98">
        <v>1477328</v>
      </c>
      <c r="B98" t="s">
        <v>4193</v>
      </c>
      <c r="C98" t="s">
        <v>35</v>
      </c>
      <c r="D98" t="s">
        <v>109</v>
      </c>
      <c r="E98" t="s">
        <v>237</v>
      </c>
      <c r="F98" t="s">
        <v>4194</v>
      </c>
      <c r="G98" t="s">
        <v>4195</v>
      </c>
      <c r="H98" t="s">
        <v>4196</v>
      </c>
    </row>
    <row r="99" spans="1:8" x14ac:dyDescent="0.25">
      <c r="A99">
        <v>1507860</v>
      </c>
      <c r="B99" t="s">
        <v>4193</v>
      </c>
      <c r="C99" t="s">
        <v>17</v>
      </c>
      <c r="D99" t="s">
        <v>729</v>
      </c>
      <c r="E99" t="s">
        <v>730</v>
      </c>
      <c r="F99" t="s">
        <v>80</v>
      </c>
      <c r="G99" t="s">
        <v>4197</v>
      </c>
      <c r="H99" t="s">
        <v>4198</v>
      </c>
    </row>
    <row r="100" spans="1:8" x14ac:dyDescent="0.25">
      <c r="A100">
        <v>1382213</v>
      </c>
      <c r="B100" t="s">
        <v>4199</v>
      </c>
      <c r="C100" t="s">
        <v>17</v>
      </c>
      <c r="D100" t="s">
        <v>59</v>
      </c>
      <c r="E100" t="s">
        <v>89</v>
      </c>
      <c r="F100" t="s">
        <v>4200</v>
      </c>
      <c r="G100" t="s">
        <v>616</v>
      </c>
      <c r="H100" t="s">
        <v>4201</v>
      </c>
    </row>
    <row r="101" spans="1:8" x14ac:dyDescent="0.25">
      <c r="A101">
        <v>1393977</v>
      </c>
      <c r="B101" t="s">
        <v>4199</v>
      </c>
      <c r="C101" t="s">
        <v>17</v>
      </c>
      <c r="D101" t="s">
        <v>418</v>
      </c>
      <c r="E101" t="s">
        <v>419</v>
      </c>
      <c r="F101" t="s">
        <v>4202</v>
      </c>
      <c r="G101" t="s">
        <v>621</v>
      </c>
      <c r="H101" t="s">
        <v>4203</v>
      </c>
    </row>
    <row r="102" spans="1:8" x14ac:dyDescent="0.25">
      <c r="A102">
        <v>1434109</v>
      </c>
      <c r="B102" t="s">
        <v>4199</v>
      </c>
      <c r="C102" t="s">
        <v>17</v>
      </c>
      <c r="D102" t="s">
        <v>66</v>
      </c>
      <c r="E102" t="s">
        <v>312</v>
      </c>
      <c r="F102" t="s">
        <v>4204</v>
      </c>
      <c r="G102" t="s">
        <v>535</v>
      </c>
      <c r="H102" t="s">
        <v>4205</v>
      </c>
    </row>
    <row r="103" spans="1:8" x14ac:dyDescent="0.25">
      <c r="A103">
        <v>1434550</v>
      </c>
      <c r="B103" t="s">
        <v>4199</v>
      </c>
      <c r="C103" t="s">
        <v>17</v>
      </c>
      <c r="D103" t="s">
        <v>66</v>
      </c>
      <c r="E103" t="s">
        <v>78</v>
      </c>
      <c r="F103" t="s">
        <v>4206</v>
      </c>
      <c r="G103" t="s">
        <v>4207</v>
      </c>
      <c r="H103" t="s">
        <v>4208</v>
      </c>
    </row>
    <row r="104" spans="1:8" x14ac:dyDescent="0.25">
      <c r="A104">
        <v>1434551</v>
      </c>
      <c r="B104" t="s">
        <v>4199</v>
      </c>
      <c r="C104" t="s">
        <v>17</v>
      </c>
      <c r="D104" t="s">
        <v>66</v>
      </c>
      <c r="E104" t="s">
        <v>78</v>
      </c>
      <c r="F104" t="s">
        <v>310</v>
      </c>
      <c r="G104" t="s">
        <v>4209</v>
      </c>
      <c r="H104" t="s">
        <v>4210</v>
      </c>
    </row>
    <row r="105" spans="1:8" x14ac:dyDescent="0.25">
      <c r="A105">
        <v>1434552</v>
      </c>
      <c r="B105" t="s">
        <v>4199</v>
      </c>
      <c r="C105" t="s">
        <v>17</v>
      </c>
      <c r="D105" t="s">
        <v>66</v>
      </c>
      <c r="E105" t="s">
        <v>78</v>
      </c>
      <c r="F105" t="s">
        <v>4211</v>
      </c>
      <c r="G105" t="s">
        <v>4212</v>
      </c>
      <c r="H105" t="s">
        <v>4213</v>
      </c>
    </row>
    <row r="106" spans="1:8" x14ac:dyDescent="0.25">
      <c r="A106">
        <v>1434553</v>
      </c>
      <c r="B106" t="s">
        <v>4199</v>
      </c>
      <c r="C106" t="s">
        <v>17</v>
      </c>
      <c r="D106" t="s">
        <v>66</v>
      </c>
      <c r="E106" t="s">
        <v>78</v>
      </c>
      <c r="F106" t="s">
        <v>505</v>
      </c>
      <c r="G106" t="s">
        <v>4214</v>
      </c>
      <c r="H106" t="s">
        <v>4215</v>
      </c>
    </row>
    <row r="107" spans="1:8" x14ac:dyDescent="0.25">
      <c r="A107">
        <v>1392073</v>
      </c>
      <c r="B107" t="s">
        <v>4216</v>
      </c>
      <c r="C107" t="s">
        <v>17</v>
      </c>
      <c r="D107" t="s">
        <v>41</v>
      </c>
      <c r="E107" t="s">
        <v>76</v>
      </c>
      <c r="F107" t="s">
        <v>4217</v>
      </c>
      <c r="G107" t="s">
        <v>4218</v>
      </c>
      <c r="H107" t="s">
        <v>4219</v>
      </c>
    </row>
    <row r="108" spans="1:8" x14ac:dyDescent="0.25">
      <c r="A108">
        <v>1418893</v>
      </c>
      <c r="B108" t="s">
        <v>4216</v>
      </c>
      <c r="C108" t="s">
        <v>17</v>
      </c>
      <c r="D108" t="s">
        <v>221</v>
      </c>
      <c r="E108" t="s">
        <v>50</v>
      </c>
      <c r="F108" t="s">
        <v>4220</v>
      </c>
      <c r="G108" t="s">
        <v>4221</v>
      </c>
      <c r="H108" t="s">
        <v>4222</v>
      </c>
    </row>
    <row r="109" spans="1:8" x14ac:dyDescent="0.25">
      <c r="A109">
        <v>1418894</v>
      </c>
      <c r="B109" t="s">
        <v>4216</v>
      </c>
      <c r="C109" t="s">
        <v>17</v>
      </c>
      <c r="D109" t="s">
        <v>221</v>
      </c>
      <c r="E109" t="s">
        <v>50</v>
      </c>
      <c r="F109" t="s">
        <v>4223</v>
      </c>
      <c r="G109" t="s">
        <v>4224</v>
      </c>
      <c r="H109" t="s">
        <v>4225</v>
      </c>
    </row>
    <row r="110" spans="1:8" x14ac:dyDescent="0.25">
      <c r="A110">
        <v>1439658</v>
      </c>
      <c r="B110" t="s">
        <v>4216</v>
      </c>
      <c r="C110" t="s">
        <v>17</v>
      </c>
      <c r="D110" t="s">
        <v>42</v>
      </c>
      <c r="E110" t="s">
        <v>1684</v>
      </c>
      <c r="F110" t="s">
        <v>4226</v>
      </c>
      <c r="G110" t="s">
        <v>4227</v>
      </c>
      <c r="H110" t="s">
        <v>4228</v>
      </c>
    </row>
    <row r="111" spans="1:8" x14ac:dyDescent="0.25">
      <c r="A111">
        <v>1439661</v>
      </c>
      <c r="B111" t="s">
        <v>4216</v>
      </c>
      <c r="C111" t="s">
        <v>17</v>
      </c>
      <c r="D111" t="s">
        <v>42</v>
      </c>
      <c r="E111" t="s">
        <v>1684</v>
      </c>
      <c r="F111" t="s">
        <v>4229</v>
      </c>
      <c r="G111" t="s">
        <v>4230</v>
      </c>
      <c r="H111" t="s">
        <v>4231</v>
      </c>
    </row>
    <row r="112" spans="1:8" x14ac:dyDescent="0.25">
      <c r="A112">
        <v>1439665</v>
      </c>
      <c r="B112" t="s">
        <v>4216</v>
      </c>
      <c r="C112" t="s">
        <v>17</v>
      </c>
      <c r="D112" t="s">
        <v>42</v>
      </c>
      <c r="E112" t="s">
        <v>1684</v>
      </c>
      <c r="F112" t="s">
        <v>4232</v>
      </c>
      <c r="G112" t="s">
        <v>4233</v>
      </c>
      <c r="H112" t="s">
        <v>4234</v>
      </c>
    </row>
    <row r="113" spans="1:8" x14ac:dyDescent="0.25">
      <c r="A113">
        <v>1440038</v>
      </c>
      <c r="B113" t="s">
        <v>4216</v>
      </c>
      <c r="C113" t="s">
        <v>17</v>
      </c>
      <c r="D113" t="s">
        <v>42</v>
      </c>
      <c r="E113" t="s">
        <v>2319</v>
      </c>
      <c r="F113" t="s">
        <v>4235</v>
      </c>
      <c r="G113" t="s">
        <v>4236</v>
      </c>
      <c r="H113" t="s">
        <v>4237</v>
      </c>
    </row>
    <row r="114" spans="1:8" x14ac:dyDescent="0.25">
      <c r="A114">
        <v>1440039</v>
      </c>
      <c r="B114" t="s">
        <v>4216</v>
      </c>
      <c r="C114" t="s">
        <v>17</v>
      </c>
      <c r="D114" t="s">
        <v>42</v>
      </c>
      <c r="E114" t="s">
        <v>2319</v>
      </c>
      <c r="F114" t="s">
        <v>4238</v>
      </c>
      <c r="G114" t="s">
        <v>4239</v>
      </c>
      <c r="H114" t="s">
        <v>4240</v>
      </c>
    </row>
    <row r="115" spans="1:8" x14ac:dyDescent="0.25">
      <c r="A115">
        <v>1440043</v>
      </c>
      <c r="B115" t="s">
        <v>4216</v>
      </c>
      <c r="C115" t="s">
        <v>17</v>
      </c>
      <c r="D115" t="s">
        <v>42</v>
      </c>
      <c r="E115" t="s">
        <v>2319</v>
      </c>
      <c r="F115" t="s">
        <v>4241</v>
      </c>
      <c r="G115" t="s">
        <v>4242</v>
      </c>
      <c r="H115" t="s">
        <v>4243</v>
      </c>
    </row>
    <row r="116" spans="1:8" x14ac:dyDescent="0.25">
      <c r="A116">
        <v>1523414</v>
      </c>
      <c r="B116" t="s">
        <v>4216</v>
      </c>
      <c r="C116" t="s">
        <v>4395</v>
      </c>
      <c r="D116" t="s">
        <v>66</v>
      </c>
      <c r="E116" t="s">
        <v>94</v>
      </c>
      <c r="F116" t="s">
        <v>4244</v>
      </c>
      <c r="G116" t="s">
        <v>622</v>
      </c>
      <c r="H116" t="s">
        <v>4245</v>
      </c>
    </row>
    <row r="117" spans="1:8" x14ac:dyDescent="0.25">
      <c r="A117">
        <v>1378140</v>
      </c>
      <c r="B117" t="s">
        <v>4246</v>
      </c>
      <c r="C117" t="s">
        <v>17</v>
      </c>
      <c r="D117" t="s">
        <v>42</v>
      </c>
      <c r="E117" t="s">
        <v>61</v>
      </c>
      <c r="F117" t="s">
        <v>4247</v>
      </c>
      <c r="G117" t="s">
        <v>4248</v>
      </c>
      <c r="H117" t="s">
        <v>4249</v>
      </c>
    </row>
    <row r="118" spans="1:8" x14ac:dyDescent="0.25">
      <c r="A118">
        <v>1389336</v>
      </c>
      <c r="B118" t="s">
        <v>4246</v>
      </c>
      <c r="C118" t="s">
        <v>96</v>
      </c>
      <c r="D118" t="s">
        <v>90</v>
      </c>
      <c r="E118" t="s">
        <v>238</v>
      </c>
      <c r="F118" t="s">
        <v>4250</v>
      </c>
      <c r="G118" t="s">
        <v>633</v>
      </c>
      <c r="H118" t="s">
        <v>4251</v>
      </c>
    </row>
    <row r="119" spans="1:8" x14ac:dyDescent="0.25">
      <c r="A119">
        <v>1395612</v>
      </c>
      <c r="B119" t="s">
        <v>4246</v>
      </c>
      <c r="C119" t="s">
        <v>17</v>
      </c>
      <c r="D119" t="s">
        <v>242</v>
      </c>
      <c r="E119" t="s">
        <v>243</v>
      </c>
      <c r="F119" t="s">
        <v>372</v>
      </c>
      <c r="G119" t="s">
        <v>373</v>
      </c>
      <c r="H119" t="s">
        <v>4252</v>
      </c>
    </row>
    <row r="120" spans="1:8" x14ac:dyDescent="0.25">
      <c r="A120">
        <v>1492623</v>
      </c>
      <c r="B120" t="s">
        <v>4246</v>
      </c>
      <c r="C120" t="s">
        <v>96</v>
      </c>
      <c r="D120" t="s">
        <v>377</v>
      </c>
      <c r="E120" t="s">
        <v>26</v>
      </c>
      <c r="F120" t="s">
        <v>667</v>
      </c>
      <c r="G120" t="s">
        <v>668</v>
      </c>
      <c r="H120" t="s">
        <v>4253</v>
      </c>
    </row>
    <row r="121" spans="1:8" x14ac:dyDescent="0.25">
      <c r="A121">
        <v>1391082</v>
      </c>
      <c r="B121" t="s">
        <v>4254</v>
      </c>
      <c r="C121" t="s">
        <v>96</v>
      </c>
      <c r="D121" t="s">
        <v>41</v>
      </c>
      <c r="E121" t="s">
        <v>75</v>
      </c>
      <c r="F121" t="s">
        <v>4255</v>
      </c>
      <c r="G121" t="s">
        <v>4256</v>
      </c>
      <c r="H121" t="s">
        <v>4257</v>
      </c>
    </row>
    <row r="122" spans="1:8" x14ac:dyDescent="0.25">
      <c r="A122">
        <v>1500162</v>
      </c>
      <c r="B122" t="s">
        <v>4254</v>
      </c>
      <c r="C122" t="s">
        <v>96</v>
      </c>
      <c r="D122" t="s">
        <v>29</v>
      </c>
      <c r="E122" t="s">
        <v>444</v>
      </c>
      <c r="F122" t="s">
        <v>542</v>
      </c>
      <c r="G122" t="s">
        <v>819</v>
      </c>
      <c r="H122" t="s">
        <v>4396</v>
      </c>
    </row>
    <row r="123" spans="1:8" x14ac:dyDescent="0.25">
      <c r="A123">
        <v>1524351</v>
      </c>
      <c r="B123" t="s">
        <v>4254</v>
      </c>
      <c r="C123" t="s">
        <v>33</v>
      </c>
      <c r="D123" t="s">
        <v>30</v>
      </c>
      <c r="E123" t="s">
        <v>4258</v>
      </c>
      <c r="F123" t="s">
        <v>4259</v>
      </c>
      <c r="G123" t="s">
        <v>4260</v>
      </c>
      <c r="H123" t="s">
        <v>4261</v>
      </c>
    </row>
    <row r="124" spans="1:8" x14ac:dyDescent="0.25">
      <c r="A124">
        <v>1524352</v>
      </c>
      <c r="B124" t="s">
        <v>4254</v>
      </c>
      <c r="C124" t="s">
        <v>96</v>
      </c>
      <c r="D124" t="s">
        <v>30</v>
      </c>
      <c r="E124" t="s">
        <v>4258</v>
      </c>
      <c r="F124" t="s">
        <v>4262</v>
      </c>
      <c r="G124" t="s">
        <v>4263</v>
      </c>
      <c r="H124" t="s">
        <v>4264</v>
      </c>
    </row>
    <row r="125" spans="1:8" x14ac:dyDescent="0.25">
      <c r="A125">
        <v>1524353</v>
      </c>
      <c r="B125" t="s">
        <v>4254</v>
      </c>
      <c r="C125" t="s">
        <v>96</v>
      </c>
      <c r="D125" t="s">
        <v>30</v>
      </c>
      <c r="E125" t="s">
        <v>4258</v>
      </c>
      <c r="F125" t="s">
        <v>4265</v>
      </c>
      <c r="G125" t="s">
        <v>4266</v>
      </c>
      <c r="H125" t="s">
        <v>4267</v>
      </c>
    </row>
    <row r="126" spans="1:8" x14ac:dyDescent="0.25">
      <c r="A126">
        <v>1396461</v>
      </c>
      <c r="B126" t="s">
        <v>4268</v>
      </c>
      <c r="C126" t="s">
        <v>96</v>
      </c>
      <c r="D126" t="s">
        <v>54</v>
      </c>
      <c r="E126" t="s">
        <v>101</v>
      </c>
      <c r="F126" t="s">
        <v>379</v>
      </c>
      <c r="G126" t="s">
        <v>311</v>
      </c>
      <c r="H126" t="s">
        <v>4269</v>
      </c>
    </row>
    <row r="127" spans="1:8" x14ac:dyDescent="0.25">
      <c r="A127">
        <v>1501584</v>
      </c>
      <c r="B127" t="s">
        <v>4270</v>
      </c>
      <c r="C127" t="s">
        <v>96</v>
      </c>
      <c r="D127" t="s">
        <v>290</v>
      </c>
      <c r="E127" t="s">
        <v>50</v>
      </c>
      <c r="F127" t="s">
        <v>292</v>
      </c>
      <c r="G127" t="s">
        <v>4271</v>
      </c>
      <c r="H127" t="s">
        <v>4272</v>
      </c>
    </row>
    <row r="128" spans="1:8" x14ac:dyDescent="0.25">
      <c r="A128">
        <v>1524401</v>
      </c>
      <c r="B128" t="s">
        <v>4270</v>
      </c>
      <c r="C128" t="s">
        <v>35</v>
      </c>
      <c r="D128" t="s">
        <v>22</v>
      </c>
      <c r="E128" t="s">
        <v>306</v>
      </c>
      <c r="F128" t="s">
        <v>531</v>
      </c>
      <c r="G128" t="s">
        <v>530</v>
      </c>
      <c r="H128" t="s">
        <v>4273</v>
      </c>
    </row>
    <row r="129" spans="1:8" x14ac:dyDescent="0.25">
      <c r="A129">
        <v>1506078</v>
      </c>
      <c r="B129" t="s">
        <v>4274</v>
      </c>
      <c r="C129" t="s">
        <v>102</v>
      </c>
      <c r="D129" t="s">
        <v>30</v>
      </c>
      <c r="E129" t="s">
        <v>31</v>
      </c>
      <c r="F129" t="s">
        <v>4302</v>
      </c>
      <c r="G129" t="s">
        <v>4303</v>
      </c>
      <c r="H129" t="s">
        <v>4397</v>
      </c>
    </row>
    <row r="130" spans="1:8" x14ac:dyDescent="0.25">
      <c r="A130">
        <v>1511511</v>
      </c>
      <c r="B130" t="s">
        <v>4274</v>
      </c>
      <c r="C130" t="s">
        <v>102</v>
      </c>
      <c r="D130" t="s">
        <v>380</v>
      </c>
      <c r="E130" t="s">
        <v>104</v>
      </c>
      <c r="F130" t="s">
        <v>4275</v>
      </c>
      <c r="G130" t="s">
        <v>4276</v>
      </c>
      <c r="H130" t="s">
        <v>4277</v>
      </c>
    </row>
    <row r="131" spans="1:8" x14ac:dyDescent="0.25">
      <c r="A131">
        <v>1505012</v>
      </c>
      <c r="B131" t="s">
        <v>4278</v>
      </c>
      <c r="C131" t="s">
        <v>102</v>
      </c>
      <c r="D131" t="s">
        <v>381</v>
      </c>
      <c r="E131" t="s">
        <v>382</v>
      </c>
      <c r="F131" t="s">
        <v>4279</v>
      </c>
      <c r="G131" t="s">
        <v>4280</v>
      </c>
      <c r="H131" t="s">
        <v>4281</v>
      </c>
    </row>
    <row r="132" spans="1:8" x14ac:dyDescent="0.25">
      <c r="A132">
        <v>1526464</v>
      </c>
      <c r="B132" t="s">
        <v>4278</v>
      </c>
      <c r="C132" t="s">
        <v>102</v>
      </c>
      <c r="D132" t="s">
        <v>73</v>
      </c>
      <c r="E132" t="s">
        <v>74</v>
      </c>
      <c r="F132" t="s">
        <v>4282</v>
      </c>
      <c r="G132" t="s">
        <v>638</v>
      </c>
      <c r="H132" t="s">
        <v>4283</v>
      </c>
    </row>
    <row r="133" spans="1:8" x14ac:dyDescent="0.25">
      <c r="A133">
        <v>1530166</v>
      </c>
      <c r="B133" t="s">
        <v>4284</v>
      </c>
      <c r="C133" t="s">
        <v>33</v>
      </c>
      <c r="D133" t="s">
        <v>22</v>
      </c>
      <c r="E133" t="s">
        <v>822</v>
      </c>
      <c r="F133" t="s">
        <v>4288</v>
      </c>
      <c r="G133" t="s">
        <v>4289</v>
      </c>
      <c r="H133" t="s">
        <v>4290</v>
      </c>
    </row>
    <row r="134" spans="1:8" x14ac:dyDescent="0.25">
      <c r="A134">
        <v>1512527</v>
      </c>
      <c r="B134" t="s">
        <v>4291</v>
      </c>
      <c r="C134" t="s">
        <v>33</v>
      </c>
      <c r="D134" t="s">
        <v>397</v>
      </c>
      <c r="E134" t="s">
        <v>28</v>
      </c>
      <c r="F134" t="s">
        <v>644</v>
      </c>
      <c r="G134" t="s">
        <v>4292</v>
      </c>
      <c r="H134" t="s">
        <v>4293</v>
      </c>
    </row>
    <row r="135" spans="1:8" x14ac:dyDescent="0.25">
      <c r="A135">
        <v>1529473</v>
      </c>
      <c r="B135" t="s">
        <v>4291</v>
      </c>
      <c r="C135" t="s">
        <v>33</v>
      </c>
      <c r="D135" t="s">
        <v>282</v>
      </c>
      <c r="E135" t="s">
        <v>50</v>
      </c>
      <c r="F135" t="s">
        <v>4294</v>
      </c>
      <c r="G135" t="s">
        <v>550</v>
      </c>
      <c r="H135" t="s">
        <v>4295</v>
      </c>
    </row>
    <row r="136" spans="1:8" x14ac:dyDescent="0.25">
      <c r="A136">
        <v>1501169</v>
      </c>
      <c r="B136" t="s">
        <v>4296</v>
      </c>
      <c r="C136" t="s">
        <v>33</v>
      </c>
      <c r="D136" t="s">
        <v>20</v>
      </c>
      <c r="E136" t="s">
        <v>222</v>
      </c>
      <c r="F136" t="s">
        <v>455</v>
      </c>
      <c r="G136" t="s">
        <v>4297</v>
      </c>
      <c r="H136" t="s">
        <v>4298</v>
      </c>
    </row>
    <row r="137" spans="1:8" x14ac:dyDescent="0.25">
      <c r="A137">
        <v>1505394</v>
      </c>
      <c r="B137" t="s">
        <v>4296</v>
      </c>
      <c r="C137" t="s">
        <v>33</v>
      </c>
      <c r="D137" t="s">
        <v>380</v>
      </c>
      <c r="E137" t="s">
        <v>28</v>
      </c>
      <c r="F137" t="s">
        <v>4299</v>
      </c>
      <c r="G137" t="s">
        <v>4300</v>
      </c>
      <c r="H137" t="s">
        <v>4301</v>
      </c>
    </row>
    <row r="138" spans="1:8" x14ac:dyDescent="0.25">
      <c r="A138">
        <v>1506026</v>
      </c>
      <c r="B138" t="s">
        <v>4305</v>
      </c>
      <c r="C138" t="s">
        <v>33</v>
      </c>
      <c r="D138" t="s">
        <v>30</v>
      </c>
      <c r="E138" t="s">
        <v>31</v>
      </c>
      <c r="F138" t="s">
        <v>4306</v>
      </c>
      <c r="G138" t="s">
        <v>4307</v>
      </c>
      <c r="H138" t="s">
        <v>4308</v>
      </c>
    </row>
    <row r="139" spans="1:8" x14ac:dyDescent="0.25">
      <c r="A139">
        <v>1505010</v>
      </c>
      <c r="B139" t="s">
        <v>4309</v>
      </c>
      <c r="C139" t="s">
        <v>33</v>
      </c>
      <c r="D139" t="s">
        <v>381</v>
      </c>
      <c r="E139" t="s">
        <v>382</v>
      </c>
      <c r="F139" t="s">
        <v>4310</v>
      </c>
      <c r="G139" t="s">
        <v>4311</v>
      </c>
      <c r="H139" t="s">
        <v>4312</v>
      </c>
    </row>
    <row r="140" spans="1:8" x14ac:dyDescent="0.25">
      <c r="A140">
        <v>1511506</v>
      </c>
      <c r="B140" t="s">
        <v>4309</v>
      </c>
      <c r="C140" t="s">
        <v>33</v>
      </c>
      <c r="D140" t="s">
        <v>380</v>
      </c>
      <c r="E140" t="s">
        <v>104</v>
      </c>
      <c r="F140" t="s">
        <v>4313</v>
      </c>
      <c r="G140" t="s">
        <v>4314</v>
      </c>
      <c r="H140" t="s">
        <v>4315</v>
      </c>
    </row>
    <row r="141" spans="1:8" x14ac:dyDescent="0.25">
      <c r="A141">
        <v>1514510</v>
      </c>
      <c r="B141" t="s">
        <v>4309</v>
      </c>
      <c r="C141" t="s">
        <v>33</v>
      </c>
      <c r="D141" t="s">
        <v>20</v>
      </c>
      <c r="E141" t="s">
        <v>812</v>
      </c>
      <c r="F141" t="s">
        <v>103</v>
      </c>
      <c r="G141" t="s">
        <v>3919</v>
      </c>
      <c r="H141" t="s">
        <v>4398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0617-D648-420A-9DD1-7823FBFBACC2}">
  <sheetPr codeName="Sheet4"/>
  <dimension ref="A1:H1070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20.5703125" bestFit="1" customWidth="1"/>
    <col min="5" max="5" width="41.140625" bestFit="1" customWidth="1"/>
    <col min="6" max="6" width="30.85546875" bestFit="1" customWidth="1"/>
    <col min="7" max="7" width="27.8554687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1445566</v>
      </c>
      <c r="B2" t="s">
        <v>823</v>
      </c>
      <c r="C2" t="s">
        <v>33</v>
      </c>
      <c r="D2" t="s">
        <v>18</v>
      </c>
      <c r="E2" t="s">
        <v>19</v>
      </c>
      <c r="F2" t="s">
        <v>824</v>
      </c>
      <c r="G2" t="s">
        <v>825</v>
      </c>
      <c r="H2" t="s">
        <v>826</v>
      </c>
    </row>
    <row r="3" spans="1:8" x14ac:dyDescent="0.25">
      <c r="A3">
        <v>1483617</v>
      </c>
      <c r="B3" t="s">
        <v>823</v>
      </c>
      <c r="C3" t="s">
        <v>33</v>
      </c>
      <c r="D3" t="s">
        <v>384</v>
      </c>
      <c r="E3" t="s">
        <v>359</v>
      </c>
      <c r="F3" t="s">
        <v>827</v>
      </c>
      <c r="G3" t="s">
        <v>80</v>
      </c>
      <c r="H3" t="s">
        <v>828</v>
      </c>
    </row>
    <row r="4" spans="1:8" x14ac:dyDescent="0.25">
      <c r="A4">
        <v>1488303</v>
      </c>
      <c r="B4" t="s">
        <v>823</v>
      </c>
      <c r="C4" t="s">
        <v>33</v>
      </c>
      <c r="D4" t="s">
        <v>22</v>
      </c>
      <c r="E4" t="s">
        <v>388</v>
      </c>
      <c r="F4" t="s">
        <v>829</v>
      </c>
      <c r="G4" t="s">
        <v>830</v>
      </c>
      <c r="H4" t="s">
        <v>831</v>
      </c>
    </row>
    <row r="5" spans="1:8" x14ac:dyDescent="0.25">
      <c r="A5">
        <v>1489145</v>
      </c>
      <c r="B5" t="s">
        <v>823</v>
      </c>
      <c r="C5" t="s">
        <v>33</v>
      </c>
      <c r="D5" t="s">
        <v>32</v>
      </c>
      <c r="E5" t="s">
        <v>28</v>
      </c>
      <c r="F5" t="s">
        <v>465</v>
      </c>
      <c r="G5" t="s">
        <v>832</v>
      </c>
      <c r="H5" t="s">
        <v>833</v>
      </c>
    </row>
    <row r="6" spans="1:8" x14ac:dyDescent="0.25">
      <c r="A6">
        <v>1491505</v>
      </c>
      <c r="B6" t="s">
        <v>823</v>
      </c>
      <c r="C6" t="s">
        <v>33</v>
      </c>
      <c r="D6" t="s">
        <v>389</v>
      </c>
      <c r="E6" t="s">
        <v>834</v>
      </c>
      <c r="F6" t="s">
        <v>835</v>
      </c>
      <c r="G6" t="s">
        <v>836</v>
      </c>
      <c r="H6" t="s">
        <v>837</v>
      </c>
    </row>
    <row r="7" spans="1:8" x14ac:dyDescent="0.25">
      <c r="A7">
        <v>1491507</v>
      </c>
      <c r="B7" t="s">
        <v>823</v>
      </c>
      <c r="C7" t="s">
        <v>33</v>
      </c>
      <c r="D7" t="s">
        <v>389</v>
      </c>
      <c r="E7" t="s">
        <v>834</v>
      </c>
      <c r="F7" t="s">
        <v>838</v>
      </c>
      <c r="G7" t="s">
        <v>839</v>
      </c>
      <c r="H7" t="s">
        <v>840</v>
      </c>
    </row>
    <row r="8" spans="1:8" x14ac:dyDescent="0.25">
      <c r="A8">
        <v>1504891</v>
      </c>
      <c r="B8" t="s">
        <v>823</v>
      </c>
      <c r="C8" t="s">
        <v>33</v>
      </c>
      <c r="D8" t="s">
        <v>841</v>
      </c>
      <c r="E8" t="s">
        <v>25</v>
      </c>
      <c r="F8" t="s">
        <v>275</v>
      </c>
      <c r="G8" t="s">
        <v>842</v>
      </c>
      <c r="H8" t="s">
        <v>843</v>
      </c>
    </row>
    <row r="9" spans="1:8" x14ac:dyDescent="0.25">
      <c r="A9">
        <v>1511978</v>
      </c>
      <c r="B9" t="s">
        <v>823</v>
      </c>
      <c r="C9" t="s">
        <v>33</v>
      </c>
      <c r="D9" t="s">
        <v>20</v>
      </c>
      <c r="E9" t="s">
        <v>111</v>
      </c>
      <c r="F9" t="s">
        <v>844</v>
      </c>
      <c r="G9" t="s">
        <v>319</v>
      </c>
      <c r="H9" t="s">
        <v>845</v>
      </c>
    </row>
    <row r="10" spans="1:8" x14ac:dyDescent="0.25">
      <c r="A10">
        <v>1512529</v>
      </c>
      <c r="B10" t="s">
        <v>823</v>
      </c>
      <c r="C10" t="s">
        <v>33</v>
      </c>
      <c r="D10" t="s">
        <v>397</v>
      </c>
      <c r="E10" t="s">
        <v>28</v>
      </c>
      <c r="F10" t="s">
        <v>846</v>
      </c>
      <c r="G10" t="s">
        <v>847</v>
      </c>
      <c r="H10" t="s">
        <v>848</v>
      </c>
    </row>
    <row r="11" spans="1:8" x14ac:dyDescent="0.25">
      <c r="A11">
        <v>1519276</v>
      </c>
      <c r="B11" t="s">
        <v>823</v>
      </c>
      <c r="C11" t="s">
        <v>33</v>
      </c>
      <c r="D11" t="s">
        <v>393</v>
      </c>
      <c r="E11" t="s">
        <v>394</v>
      </c>
      <c r="F11" t="s">
        <v>849</v>
      </c>
      <c r="G11" t="s">
        <v>850</v>
      </c>
      <c r="H11" t="s">
        <v>851</v>
      </c>
    </row>
    <row r="12" spans="1:8" x14ac:dyDescent="0.25">
      <c r="A12">
        <v>1526394</v>
      </c>
      <c r="B12" t="s">
        <v>823</v>
      </c>
      <c r="C12" t="s">
        <v>33</v>
      </c>
      <c r="D12" t="s">
        <v>22</v>
      </c>
      <c r="E12" t="s">
        <v>473</v>
      </c>
      <c r="F12" t="s">
        <v>487</v>
      </c>
      <c r="G12" t="s">
        <v>488</v>
      </c>
      <c r="H12" t="s">
        <v>852</v>
      </c>
    </row>
    <row r="13" spans="1:8" x14ac:dyDescent="0.25">
      <c r="A13">
        <v>1530164</v>
      </c>
      <c r="B13" t="s">
        <v>823</v>
      </c>
      <c r="C13" t="s">
        <v>33</v>
      </c>
      <c r="D13" t="s">
        <v>22</v>
      </c>
      <c r="E13" t="s">
        <v>822</v>
      </c>
      <c r="F13" t="s">
        <v>853</v>
      </c>
      <c r="G13" t="s">
        <v>854</v>
      </c>
      <c r="H13" t="s">
        <v>855</v>
      </c>
    </row>
    <row r="14" spans="1:8" x14ac:dyDescent="0.25">
      <c r="A14">
        <v>1490138</v>
      </c>
      <c r="B14" t="s">
        <v>856</v>
      </c>
      <c r="C14" t="s">
        <v>33</v>
      </c>
      <c r="D14" t="s">
        <v>389</v>
      </c>
      <c r="E14" t="s">
        <v>443</v>
      </c>
      <c r="F14" t="s">
        <v>857</v>
      </c>
      <c r="G14" t="s">
        <v>858</v>
      </c>
      <c r="H14" t="s">
        <v>859</v>
      </c>
    </row>
    <row r="15" spans="1:8" x14ac:dyDescent="0.25">
      <c r="A15">
        <v>1490139</v>
      </c>
      <c r="B15" t="s">
        <v>856</v>
      </c>
      <c r="C15" t="s">
        <v>33</v>
      </c>
      <c r="D15" t="s">
        <v>389</v>
      </c>
      <c r="E15" t="s">
        <v>443</v>
      </c>
      <c r="F15" t="s">
        <v>860</v>
      </c>
      <c r="G15" t="s">
        <v>861</v>
      </c>
      <c r="H15" t="s">
        <v>862</v>
      </c>
    </row>
    <row r="16" spans="1:8" x14ac:dyDescent="0.25">
      <c r="A16">
        <v>1490140</v>
      </c>
      <c r="B16" t="s">
        <v>856</v>
      </c>
      <c r="C16" t="s">
        <v>33</v>
      </c>
      <c r="D16" t="s">
        <v>389</v>
      </c>
      <c r="E16" t="s">
        <v>443</v>
      </c>
      <c r="F16" t="s">
        <v>863</v>
      </c>
      <c r="G16" t="s">
        <v>864</v>
      </c>
      <c r="H16" t="s">
        <v>865</v>
      </c>
    </row>
    <row r="17" spans="1:8" x14ac:dyDescent="0.25">
      <c r="A17">
        <v>1490141</v>
      </c>
      <c r="B17" t="s">
        <v>856</v>
      </c>
      <c r="C17" t="s">
        <v>33</v>
      </c>
      <c r="D17" t="s">
        <v>389</v>
      </c>
      <c r="E17" t="s">
        <v>443</v>
      </c>
      <c r="F17" t="s">
        <v>866</v>
      </c>
      <c r="G17" t="s">
        <v>867</v>
      </c>
      <c r="H17" t="s">
        <v>868</v>
      </c>
    </row>
    <row r="18" spans="1:8" x14ac:dyDescent="0.25">
      <c r="A18">
        <v>1491506</v>
      </c>
      <c r="B18" t="s">
        <v>856</v>
      </c>
      <c r="C18" t="s">
        <v>33</v>
      </c>
      <c r="D18" t="s">
        <v>389</v>
      </c>
      <c r="E18" t="s">
        <v>834</v>
      </c>
      <c r="F18" t="s">
        <v>869</v>
      </c>
      <c r="G18" t="s">
        <v>870</v>
      </c>
      <c r="H18" t="s">
        <v>871</v>
      </c>
    </row>
    <row r="19" spans="1:8" x14ac:dyDescent="0.25">
      <c r="A19">
        <v>1491556</v>
      </c>
      <c r="B19" t="s">
        <v>856</v>
      </c>
      <c r="C19" t="s">
        <v>33</v>
      </c>
      <c r="D19" t="s">
        <v>389</v>
      </c>
      <c r="E19" t="s">
        <v>672</v>
      </c>
      <c r="F19" t="s">
        <v>872</v>
      </c>
      <c r="G19" t="s">
        <v>873</v>
      </c>
      <c r="H19" t="s">
        <v>874</v>
      </c>
    </row>
    <row r="20" spans="1:8" x14ac:dyDescent="0.25">
      <c r="A20">
        <v>1506131</v>
      </c>
      <c r="B20" t="s">
        <v>856</v>
      </c>
      <c r="C20" t="s">
        <v>33</v>
      </c>
      <c r="D20" t="s">
        <v>445</v>
      </c>
      <c r="E20" t="s">
        <v>28</v>
      </c>
      <c r="F20" t="s">
        <v>875</v>
      </c>
      <c r="G20" t="s">
        <v>876</v>
      </c>
      <c r="H20" t="s">
        <v>877</v>
      </c>
    </row>
    <row r="21" spans="1:8" x14ac:dyDescent="0.25">
      <c r="A21">
        <v>1445571</v>
      </c>
      <c r="B21" t="s">
        <v>878</v>
      </c>
      <c r="C21" t="s">
        <v>33</v>
      </c>
      <c r="D21" t="s">
        <v>18</v>
      </c>
      <c r="E21" t="s">
        <v>19</v>
      </c>
      <c r="F21" t="s">
        <v>879</v>
      </c>
      <c r="G21" t="s">
        <v>880</v>
      </c>
      <c r="H21" t="s">
        <v>881</v>
      </c>
    </row>
    <row r="22" spans="1:8" x14ac:dyDescent="0.25">
      <c r="A22">
        <v>1457034</v>
      </c>
      <c r="B22" t="s">
        <v>878</v>
      </c>
      <c r="C22" t="s">
        <v>33</v>
      </c>
      <c r="D22" t="s">
        <v>18</v>
      </c>
      <c r="E22" t="s">
        <v>19</v>
      </c>
      <c r="F22" t="s">
        <v>882</v>
      </c>
      <c r="G22" t="s">
        <v>883</v>
      </c>
      <c r="H22" t="s">
        <v>884</v>
      </c>
    </row>
    <row r="23" spans="1:8" x14ac:dyDescent="0.25">
      <c r="A23">
        <v>1476886</v>
      </c>
      <c r="B23" t="s">
        <v>878</v>
      </c>
      <c r="C23" t="s">
        <v>33</v>
      </c>
      <c r="D23" t="s">
        <v>32</v>
      </c>
      <c r="E23" t="s">
        <v>442</v>
      </c>
      <c r="F23" t="s">
        <v>885</v>
      </c>
      <c r="G23" t="s">
        <v>886</v>
      </c>
      <c r="H23" t="s">
        <v>887</v>
      </c>
    </row>
    <row r="24" spans="1:8" x14ac:dyDescent="0.25">
      <c r="A24">
        <v>1491548</v>
      </c>
      <c r="B24" t="s">
        <v>878</v>
      </c>
      <c r="C24" t="s">
        <v>33</v>
      </c>
      <c r="D24" t="s">
        <v>389</v>
      </c>
      <c r="E24" t="s">
        <v>672</v>
      </c>
      <c r="F24" t="s">
        <v>888</v>
      </c>
      <c r="G24" t="s">
        <v>889</v>
      </c>
      <c r="H24" t="s">
        <v>890</v>
      </c>
    </row>
    <row r="25" spans="1:8" x14ac:dyDescent="0.25">
      <c r="A25">
        <v>1494458</v>
      </c>
      <c r="B25" t="s">
        <v>878</v>
      </c>
      <c r="C25" t="s">
        <v>33</v>
      </c>
      <c r="D25" t="s">
        <v>18</v>
      </c>
      <c r="E25" t="s">
        <v>396</v>
      </c>
      <c r="F25" t="s">
        <v>891</v>
      </c>
      <c r="G25" t="s">
        <v>892</v>
      </c>
      <c r="H25" t="s">
        <v>893</v>
      </c>
    </row>
    <row r="26" spans="1:8" x14ac:dyDescent="0.25">
      <c r="A26">
        <v>1504889</v>
      </c>
      <c r="B26" t="s">
        <v>878</v>
      </c>
      <c r="C26" t="s">
        <v>33</v>
      </c>
      <c r="D26" t="s">
        <v>841</v>
      </c>
      <c r="E26" t="s">
        <v>25</v>
      </c>
      <c r="F26" t="s">
        <v>894</v>
      </c>
      <c r="G26" t="s">
        <v>895</v>
      </c>
      <c r="H26" t="s">
        <v>896</v>
      </c>
    </row>
    <row r="27" spans="1:8" x14ac:dyDescent="0.25">
      <c r="A27">
        <v>1504892</v>
      </c>
      <c r="B27" t="s">
        <v>878</v>
      </c>
      <c r="C27" t="s">
        <v>33</v>
      </c>
      <c r="D27" t="s">
        <v>841</v>
      </c>
      <c r="E27" t="s">
        <v>25</v>
      </c>
      <c r="F27" t="s">
        <v>897</v>
      </c>
      <c r="G27" t="s">
        <v>898</v>
      </c>
      <c r="H27" t="s">
        <v>899</v>
      </c>
    </row>
    <row r="28" spans="1:8" x14ac:dyDescent="0.25">
      <c r="A28">
        <v>1504893</v>
      </c>
      <c r="B28" t="s">
        <v>878</v>
      </c>
      <c r="C28" t="s">
        <v>33</v>
      </c>
      <c r="D28" t="s">
        <v>841</v>
      </c>
      <c r="E28" t="s">
        <v>25</v>
      </c>
      <c r="F28" t="s">
        <v>900</v>
      </c>
      <c r="G28" t="s">
        <v>901</v>
      </c>
      <c r="H28" t="s">
        <v>902</v>
      </c>
    </row>
    <row r="29" spans="1:8" x14ac:dyDescent="0.25">
      <c r="A29">
        <v>1525803</v>
      </c>
      <c r="B29" t="s">
        <v>878</v>
      </c>
      <c r="C29" t="s">
        <v>33</v>
      </c>
      <c r="D29" t="s">
        <v>24</v>
      </c>
      <c r="E29" t="s">
        <v>25</v>
      </c>
      <c r="F29" t="s">
        <v>903</v>
      </c>
      <c r="G29" t="s">
        <v>904</v>
      </c>
      <c r="H29" t="s">
        <v>905</v>
      </c>
    </row>
    <row r="30" spans="1:8" x14ac:dyDescent="0.25">
      <c r="A30">
        <v>1492548</v>
      </c>
      <c r="B30" t="s">
        <v>906</v>
      </c>
      <c r="C30" t="s">
        <v>33</v>
      </c>
      <c r="D30" t="s">
        <v>18</v>
      </c>
      <c r="E30" t="s">
        <v>395</v>
      </c>
      <c r="F30" t="s">
        <v>907</v>
      </c>
      <c r="G30" t="s">
        <v>908</v>
      </c>
      <c r="H30" t="s">
        <v>909</v>
      </c>
    </row>
    <row r="31" spans="1:8" x14ac:dyDescent="0.25">
      <c r="A31">
        <v>1492547</v>
      </c>
      <c r="B31" t="s">
        <v>910</v>
      </c>
      <c r="C31" t="s">
        <v>33</v>
      </c>
      <c r="D31" t="s">
        <v>18</v>
      </c>
      <c r="E31" t="s">
        <v>395</v>
      </c>
      <c r="F31" t="s">
        <v>911</v>
      </c>
      <c r="G31" t="s">
        <v>912</v>
      </c>
      <c r="H31" t="s">
        <v>913</v>
      </c>
    </row>
    <row r="32" spans="1:8" x14ac:dyDescent="0.25">
      <c r="A32">
        <v>1490142</v>
      </c>
      <c r="B32" t="s">
        <v>914</v>
      </c>
      <c r="C32" t="s">
        <v>33</v>
      </c>
      <c r="D32" t="s">
        <v>389</v>
      </c>
      <c r="E32" t="s">
        <v>443</v>
      </c>
      <c r="F32" t="s">
        <v>484</v>
      </c>
      <c r="G32" t="s">
        <v>915</v>
      </c>
      <c r="H32" t="s">
        <v>916</v>
      </c>
    </row>
    <row r="33" spans="1:8" x14ac:dyDescent="0.25">
      <c r="A33">
        <v>1490143</v>
      </c>
      <c r="B33" t="s">
        <v>914</v>
      </c>
      <c r="C33" t="s">
        <v>33</v>
      </c>
      <c r="D33" t="s">
        <v>389</v>
      </c>
      <c r="E33" t="s">
        <v>443</v>
      </c>
      <c r="F33" t="s">
        <v>917</v>
      </c>
      <c r="G33" t="s">
        <v>918</v>
      </c>
      <c r="H33" t="s">
        <v>919</v>
      </c>
    </row>
    <row r="34" spans="1:8" x14ac:dyDescent="0.25">
      <c r="A34">
        <v>1490144</v>
      </c>
      <c r="B34" t="s">
        <v>914</v>
      </c>
      <c r="C34" t="s">
        <v>33</v>
      </c>
      <c r="D34" t="s">
        <v>389</v>
      </c>
      <c r="E34" t="s">
        <v>443</v>
      </c>
      <c r="F34" t="s">
        <v>920</v>
      </c>
      <c r="G34" t="s">
        <v>483</v>
      </c>
      <c r="H34" t="s">
        <v>921</v>
      </c>
    </row>
    <row r="35" spans="1:8" x14ac:dyDescent="0.25">
      <c r="A35">
        <v>1491555</v>
      </c>
      <c r="B35" t="s">
        <v>914</v>
      </c>
      <c r="C35" t="s">
        <v>33</v>
      </c>
      <c r="D35" t="s">
        <v>389</v>
      </c>
      <c r="E35" t="s">
        <v>672</v>
      </c>
      <c r="F35" t="s">
        <v>922</v>
      </c>
      <c r="G35" t="s">
        <v>923</v>
      </c>
      <c r="H35" t="s">
        <v>924</v>
      </c>
    </row>
    <row r="36" spans="1:8" x14ac:dyDescent="0.25">
      <c r="A36">
        <v>1510088</v>
      </c>
      <c r="B36" t="s">
        <v>914</v>
      </c>
      <c r="C36" t="s">
        <v>33</v>
      </c>
      <c r="D36" t="s">
        <v>398</v>
      </c>
      <c r="E36" t="s">
        <v>399</v>
      </c>
      <c r="F36" t="s">
        <v>925</v>
      </c>
      <c r="G36" t="s">
        <v>556</v>
      </c>
      <c r="H36" t="s">
        <v>926</v>
      </c>
    </row>
    <row r="37" spans="1:8" x14ac:dyDescent="0.25">
      <c r="A37">
        <v>1512975</v>
      </c>
      <c r="B37" t="s">
        <v>914</v>
      </c>
      <c r="C37" t="s">
        <v>33</v>
      </c>
      <c r="D37" t="s">
        <v>389</v>
      </c>
      <c r="E37" t="s">
        <v>390</v>
      </c>
      <c r="F37" t="s">
        <v>927</v>
      </c>
      <c r="G37" t="s">
        <v>471</v>
      </c>
      <c r="H37" t="s">
        <v>928</v>
      </c>
    </row>
    <row r="38" spans="1:8" x14ac:dyDescent="0.25">
      <c r="A38">
        <v>1522570</v>
      </c>
      <c r="B38" t="s">
        <v>914</v>
      </c>
      <c r="C38" t="s">
        <v>33</v>
      </c>
      <c r="D38" t="s">
        <v>452</v>
      </c>
      <c r="E38" t="s">
        <v>27</v>
      </c>
      <c r="F38" t="s">
        <v>929</v>
      </c>
      <c r="G38" t="s">
        <v>930</v>
      </c>
      <c r="H38" t="s">
        <v>931</v>
      </c>
    </row>
    <row r="39" spans="1:8" x14ac:dyDescent="0.25">
      <c r="A39">
        <v>1469675</v>
      </c>
      <c r="B39" t="s">
        <v>932</v>
      </c>
      <c r="C39" t="s">
        <v>33</v>
      </c>
      <c r="D39" t="s">
        <v>36</v>
      </c>
      <c r="E39" t="s">
        <v>37</v>
      </c>
      <c r="F39" t="s">
        <v>933</v>
      </c>
      <c r="G39" t="s">
        <v>934</v>
      </c>
      <c r="H39" t="s">
        <v>935</v>
      </c>
    </row>
    <row r="40" spans="1:8" x14ac:dyDescent="0.25">
      <c r="A40">
        <v>1489146</v>
      </c>
      <c r="B40" t="s">
        <v>932</v>
      </c>
      <c r="C40" t="s">
        <v>33</v>
      </c>
      <c r="D40" t="s">
        <v>32</v>
      </c>
      <c r="E40" t="s">
        <v>28</v>
      </c>
      <c r="F40" t="s">
        <v>474</v>
      </c>
      <c r="G40" t="s">
        <v>936</v>
      </c>
      <c r="H40" t="s">
        <v>937</v>
      </c>
    </row>
    <row r="41" spans="1:8" x14ac:dyDescent="0.25">
      <c r="A41">
        <v>1491550</v>
      </c>
      <c r="B41" t="s">
        <v>932</v>
      </c>
      <c r="C41" t="s">
        <v>33</v>
      </c>
      <c r="D41" t="s">
        <v>389</v>
      </c>
      <c r="E41" t="s">
        <v>672</v>
      </c>
      <c r="F41" t="s">
        <v>938</v>
      </c>
      <c r="G41" t="s">
        <v>939</v>
      </c>
      <c r="H41" t="s">
        <v>940</v>
      </c>
    </row>
    <row r="42" spans="1:8" x14ac:dyDescent="0.25">
      <c r="A42">
        <v>1499190</v>
      </c>
      <c r="B42" t="s">
        <v>932</v>
      </c>
      <c r="C42" t="s">
        <v>33</v>
      </c>
      <c r="D42" t="s">
        <v>276</v>
      </c>
      <c r="E42" t="s">
        <v>27</v>
      </c>
      <c r="F42" t="s">
        <v>941</v>
      </c>
      <c r="G42" t="s">
        <v>942</v>
      </c>
      <c r="H42" t="s">
        <v>943</v>
      </c>
    </row>
    <row r="43" spans="1:8" x14ac:dyDescent="0.25">
      <c r="A43">
        <v>1490145</v>
      </c>
      <c r="B43" t="s">
        <v>944</v>
      </c>
      <c r="C43" t="s">
        <v>33</v>
      </c>
      <c r="D43" t="s">
        <v>389</v>
      </c>
      <c r="E43" t="s">
        <v>443</v>
      </c>
      <c r="F43" t="s">
        <v>945</v>
      </c>
      <c r="G43" t="s">
        <v>946</v>
      </c>
      <c r="H43" t="s">
        <v>947</v>
      </c>
    </row>
    <row r="44" spans="1:8" x14ac:dyDescent="0.25">
      <c r="A44">
        <v>1445572</v>
      </c>
      <c r="B44" t="s">
        <v>948</v>
      </c>
      <c r="C44" t="s">
        <v>33</v>
      </c>
      <c r="D44" t="s">
        <v>18</v>
      </c>
      <c r="E44" t="s">
        <v>19</v>
      </c>
      <c r="F44" t="s">
        <v>949</v>
      </c>
      <c r="G44" t="s">
        <v>950</v>
      </c>
      <c r="H44" t="s">
        <v>951</v>
      </c>
    </row>
    <row r="45" spans="1:8" x14ac:dyDescent="0.25">
      <c r="A45">
        <v>1491552</v>
      </c>
      <c r="B45" t="s">
        <v>948</v>
      </c>
      <c r="C45" t="s">
        <v>33</v>
      </c>
      <c r="D45" t="s">
        <v>389</v>
      </c>
      <c r="E45" t="s">
        <v>672</v>
      </c>
      <c r="F45" t="s">
        <v>952</v>
      </c>
      <c r="G45" t="s">
        <v>953</v>
      </c>
      <c r="H45" t="s">
        <v>954</v>
      </c>
    </row>
    <row r="46" spans="1:8" x14ac:dyDescent="0.25">
      <c r="A46">
        <v>1491554</v>
      </c>
      <c r="B46" t="s">
        <v>948</v>
      </c>
      <c r="C46" t="s">
        <v>33</v>
      </c>
      <c r="D46" t="s">
        <v>389</v>
      </c>
      <c r="E46" t="s">
        <v>672</v>
      </c>
      <c r="F46" t="s">
        <v>955</v>
      </c>
      <c r="G46" t="s">
        <v>956</v>
      </c>
      <c r="H46" t="s">
        <v>957</v>
      </c>
    </row>
    <row r="47" spans="1:8" x14ac:dyDescent="0.25">
      <c r="A47">
        <v>1492549</v>
      </c>
      <c r="B47" t="s">
        <v>948</v>
      </c>
      <c r="C47" t="s">
        <v>33</v>
      </c>
      <c r="D47" t="s">
        <v>18</v>
      </c>
      <c r="E47" t="s">
        <v>395</v>
      </c>
      <c r="F47" t="s">
        <v>958</v>
      </c>
      <c r="G47" t="s">
        <v>959</v>
      </c>
      <c r="H47" t="s">
        <v>960</v>
      </c>
    </row>
    <row r="48" spans="1:8" x14ac:dyDescent="0.25">
      <c r="A48">
        <v>1493551</v>
      </c>
      <c r="B48" t="s">
        <v>948</v>
      </c>
      <c r="C48" t="s">
        <v>33</v>
      </c>
      <c r="D48" t="s">
        <v>389</v>
      </c>
      <c r="E48" t="s">
        <v>672</v>
      </c>
      <c r="F48" t="s">
        <v>961</v>
      </c>
      <c r="G48" t="s">
        <v>962</v>
      </c>
      <c r="H48" t="s">
        <v>963</v>
      </c>
    </row>
    <row r="49" spans="1:8" x14ac:dyDescent="0.25">
      <c r="A49">
        <v>1494456</v>
      </c>
      <c r="B49" t="s">
        <v>948</v>
      </c>
      <c r="C49" t="s">
        <v>33</v>
      </c>
      <c r="D49" t="s">
        <v>18</v>
      </c>
      <c r="E49" t="s">
        <v>396</v>
      </c>
      <c r="F49" t="s">
        <v>964</v>
      </c>
      <c r="G49" t="s">
        <v>965</v>
      </c>
      <c r="H49" t="s">
        <v>966</v>
      </c>
    </row>
    <row r="50" spans="1:8" x14ac:dyDescent="0.25">
      <c r="A50">
        <v>1529203</v>
      </c>
      <c r="B50" t="s">
        <v>948</v>
      </c>
      <c r="C50" t="s">
        <v>33</v>
      </c>
      <c r="D50" t="s">
        <v>36</v>
      </c>
      <c r="E50" t="s">
        <v>674</v>
      </c>
      <c r="F50" t="s">
        <v>967</v>
      </c>
      <c r="G50" t="s">
        <v>968</v>
      </c>
      <c r="H50" t="s">
        <v>969</v>
      </c>
    </row>
    <row r="51" spans="1:8" x14ac:dyDescent="0.25">
      <c r="A51">
        <v>1490146</v>
      </c>
      <c r="B51" t="s">
        <v>970</v>
      </c>
      <c r="C51" t="s">
        <v>33</v>
      </c>
      <c r="D51" t="s">
        <v>389</v>
      </c>
      <c r="E51" t="s">
        <v>443</v>
      </c>
      <c r="F51" t="s">
        <v>971</v>
      </c>
      <c r="G51" t="s">
        <v>972</v>
      </c>
      <c r="H51" t="s">
        <v>973</v>
      </c>
    </row>
    <row r="52" spans="1:8" x14ac:dyDescent="0.25">
      <c r="A52">
        <v>1490147</v>
      </c>
      <c r="B52" t="s">
        <v>970</v>
      </c>
      <c r="C52" t="s">
        <v>33</v>
      </c>
      <c r="D52" t="s">
        <v>389</v>
      </c>
      <c r="E52" t="s">
        <v>443</v>
      </c>
      <c r="F52" t="s">
        <v>974</v>
      </c>
      <c r="G52" t="s">
        <v>975</v>
      </c>
      <c r="H52" t="s">
        <v>976</v>
      </c>
    </row>
    <row r="53" spans="1:8" x14ac:dyDescent="0.25">
      <c r="A53">
        <v>1491504</v>
      </c>
      <c r="B53" t="s">
        <v>970</v>
      </c>
      <c r="C53" t="s">
        <v>33</v>
      </c>
      <c r="D53" t="s">
        <v>389</v>
      </c>
      <c r="E53" t="s">
        <v>834</v>
      </c>
      <c r="F53" t="s">
        <v>977</v>
      </c>
      <c r="G53" t="s">
        <v>978</v>
      </c>
      <c r="H53" t="s">
        <v>979</v>
      </c>
    </row>
    <row r="54" spans="1:8" x14ac:dyDescent="0.25">
      <c r="A54">
        <v>1504696</v>
      </c>
      <c r="B54" t="s">
        <v>980</v>
      </c>
      <c r="C54" t="s">
        <v>33</v>
      </c>
      <c r="D54" t="s">
        <v>34</v>
      </c>
      <c r="E54" t="s">
        <v>400</v>
      </c>
      <c r="F54" t="s">
        <v>981</v>
      </c>
      <c r="G54" t="s">
        <v>982</v>
      </c>
      <c r="H54" t="s">
        <v>983</v>
      </c>
    </row>
    <row r="55" spans="1:8" x14ac:dyDescent="0.25">
      <c r="A55">
        <v>1516598</v>
      </c>
      <c r="B55" t="s">
        <v>984</v>
      </c>
      <c r="C55" t="s">
        <v>33</v>
      </c>
      <c r="D55" t="s">
        <v>34</v>
      </c>
      <c r="E55" t="s">
        <v>401</v>
      </c>
      <c r="F55" t="s">
        <v>985</v>
      </c>
      <c r="G55" t="s">
        <v>986</v>
      </c>
      <c r="H55" t="s">
        <v>987</v>
      </c>
    </row>
    <row r="56" spans="1:8" x14ac:dyDescent="0.25">
      <c r="A56">
        <v>1517470</v>
      </c>
      <c r="B56" t="s">
        <v>984</v>
      </c>
      <c r="C56" t="s">
        <v>33</v>
      </c>
      <c r="D56" t="s">
        <v>36</v>
      </c>
      <c r="E56" t="s">
        <v>330</v>
      </c>
      <c r="F56" t="s">
        <v>988</v>
      </c>
      <c r="G56" t="s">
        <v>989</v>
      </c>
      <c r="H56" t="s">
        <v>990</v>
      </c>
    </row>
    <row r="57" spans="1:8" x14ac:dyDescent="0.25">
      <c r="A57">
        <v>1517705</v>
      </c>
      <c r="B57" t="s">
        <v>984</v>
      </c>
      <c r="C57" t="s">
        <v>33</v>
      </c>
      <c r="D57" t="s">
        <v>36</v>
      </c>
      <c r="E57" t="s">
        <v>335</v>
      </c>
      <c r="F57" t="s">
        <v>991</v>
      </c>
      <c r="G57" t="s">
        <v>992</v>
      </c>
      <c r="H57" t="s">
        <v>993</v>
      </c>
    </row>
    <row r="58" spans="1:8" x14ac:dyDescent="0.25">
      <c r="A58">
        <v>1521883</v>
      </c>
      <c r="B58" t="s">
        <v>984</v>
      </c>
      <c r="C58" t="s">
        <v>33</v>
      </c>
      <c r="D58" t="s">
        <v>36</v>
      </c>
      <c r="E58" t="s">
        <v>331</v>
      </c>
      <c r="F58" t="s">
        <v>994</v>
      </c>
      <c r="G58" t="s">
        <v>995</v>
      </c>
      <c r="H58" t="s">
        <v>996</v>
      </c>
    </row>
    <row r="59" spans="1:8" x14ac:dyDescent="0.25">
      <c r="A59">
        <v>1522019</v>
      </c>
      <c r="B59" t="s">
        <v>984</v>
      </c>
      <c r="C59" t="s">
        <v>33</v>
      </c>
      <c r="D59" t="s">
        <v>36</v>
      </c>
      <c r="E59" t="s">
        <v>331</v>
      </c>
      <c r="F59" t="s">
        <v>997</v>
      </c>
      <c r="G59" t="s">
        <v>998</v>
      </c>
      <c r="H59" t="s">
        <v>999</v>
      </c>
    </row>
    <row r="60" spans="1:8" x14ac:dyDescent="0.25">
      <c r="A60">
        <v>1523986</v>
      </c>
      <c r="B60" t="s">
        <v>984</v>
      </c>
      <c r="C60" t="s">
        <v>33</v>
      </c>
      <c r="D60" t="s">
        <v>36</v>
      </c>
      <c r="E60" t="s">
        <v>337</v>
      </c>
      <c r="F60" t="s">
        <v>1000</v>
      </c>
      <c r="G60" t="s">
        <v>1001</v>
      </c>
      <c r="H60" t="s">
        <v>1002</v>
      </c>
    </row>
    <row r="61" spans="1:8" x14ac:dyDescent="0.25">
      <c r="A61">
        <v>1506906</v>
      </c>
      <c r="B61" t="s">
        <v>1003</v>
      </c>
      <c r="C61" t="s">
        <v>33</v>
      </c>
      <c r="D61" t="s">
        <v>402</v>
      </c>
      <c r="E61" t="s">
        <v>403</v>
      </c>
      <c r="F61" t="s">
        <v>1004</v>
      </c>
      <c r="G61" t="s">
        <v>1005</v>
      </c>
      <c r="H61" t="s">
        <v>1006</v>
      </c>
    </row>
    <row r="62" spans="1:8" x14ac:dyDescent="0.25">
      <c r="A62">
        <v>1510255</v>
      </c>
      <c r="B62" t="s">
        <v>1003</v>
      </c>
      <c r="C62" t="s">
        <v>33</v>
      </c>
      <c r="D62" t="s">
        <v>402</v>
      </c>
      <c r="E62" t="s">
        <v>404</v>
      </c>
      <c r="F62" t="s">
        <v>1007</v>
      </c>
      <c r="G62" t="s">
        <v>490</v>
      </c>
      <c r="H62" t="s">
        <v>1008</v>
      </c>
    </row>
    <row r="63" spans="1:8" x14ac:dyDescent="0.25">
      <c r="A63">
        <v>1510256</v>
      </c>
      <c r="B63" t="s">
        <v>1003</v>
      </c>
      <c r="C63" t="s">
        <v>33</v>
      </c>
      <c r="D63" t="s">
        <v>402</v>
      </c>
      <c r="E63" t="s">
        <v>404</v>
      </c>
      <c r="F63" t="s">
        <v>491</v>
      </c>
      <c r="G63" t="s">
        <v>1009</v>
      </c>
      <c r="H63" t="s">
        <v>1010</v>
      </c>
    </row>
    <row r="64" spans="1:8" x14ac:dyDescent="0.25">
      <c r="A64">
        <v>1516599</v>
      </c>
      <c r="B64" t="s">
        <v>1003</v>
      </c>
      <c r="C64" t="s">
        <v>33</v>
      </c>
      <c r="D64" t="s">
        <v>34</v>
      </c>
      <c r="E64" t="s">
        <v>401</v>
      </c>
      <c r="F64" t="s">
        <v>1011</v>
      </c>
      <c r="G64" t="s">
        <v>1012</v>
      </c>
      <c r="H64" t="s">
        <v>1013</v>
      </c>
    </row>
    <row r="65" spans="1:8" x14ac:dyDescent="0.25">
      <c r="A65">
        <v>1516600</v>
      </c>
      <c r="B65" t="s">
        <v>1003</v>
      </c>
      <c r="C65" t="s">
        <v>33</v>
      </c>
      <c r="D65" t="s">
        <v>34</v>
      </c>
      <c r="E65" t="s">
        <v>401</v>
      </c>
      <c r="F65" t="s">
        <v>1014</v>
      </c>
      <c r="G65" t="s">
        <v>1015</v>
      </c>
      <c r="H65" t="s">
        <v>1016</v>
      </c>
    </row>
    <row r="66" spans="1:8" x14ac:dyDescent="0.25">
      <c r="A66">
        <v>1516601</v>
      </c>
      <c r="B66" t="s">
        <v>1003</v>
      </c>
      <c r="C66" t="s">
        <v>33</v>
      </c>
      <c r="D66" t="s">
        <v>34</v>
      </c>
      <c r="E66" t="s">
        <v>401</v>
      </c>
      <c r="F66" t="s">
        <v>1017</v>
      </c>
      <c r="G66" t="s">
        <v>1018</v>
      </c>
      <c r="H66" t="s">
        <v>1019</v>
      </c>
    </row>
    <row r="67" spans="1:8" x14ac:dyDescent="0.25">
      <c r="A67">
        <v>1516602</v>
      </c>
      <c r="B67" t="s">
        <v>1003</v>
      </c>
      <c r="C67" t="s">
        <v>33</v>
      </c>
      <c r="D67" t="s">
        <v>34</v>
      </c>
      <c r="E67" t="s">
        <v>401</v>
      </c>
      <c r="F67" t="s">
        <v>1020</v>
      </c>
      <c r="G67" t="s">
        <v>1021</v>
      </c>
      <c r="H67" t="s">
        <v>1022</v>
      </c>
    </row>
    <row r="68" spans="1:8" x14ac:dyDescent="0.25">
      <c r="A68">
        <v>1516603</v>
      </c>
      <c r="B68" t="s">
        <v>1003</v>
      </c>
      <c r="C68" t="s">
        <v>33</v>
      </c>
      <c r="D68" t="s">
        <v>34</v>
      </c>
      <c r="E68" t="s">
        <v>401</v>
      </c>
      <c r="F68" t="s">
        <v>1023</v>
      </c>
      <c r="G68" t="s">
        <v>1024</v>
      </c>
      <c r="H68" t="s">
        <v>1025</v>
      </c>
    </row>
    <row r="69" spans="1:8" x14ac:dyDescent="0.25">
      <c r="A69">
        <v>1516604</v>
      </c>
      <c r="B69" t="s">
        <v>1003</v>
      </c>
      <c r="C69" t="s">
        <v>33</v>
      </c>
      <c r="D69" t="s">
        <v>34</v>
      </c>
      <c r="E69" t="s">
        <v>401</v>
      </c>
      <c r="F69" t="s">
        <v>1026</v>
      </c>
      <c r="G69" t="s">
        <v>1027</v>
      </c>
      <c r="H69" t="s">
        <v>1028</v>
      </c>
    </row>
    <row r="70" spans="1:8" x14ac:dyDescent="0.25">
      <c r="A70">
        <v>1516605</v>
      </c>
      <c r="B70" t="s">
        <v>1003</v>
      </c>
      <c r="C70" t="s">
        <v>33</v>
      </c>
      <c r="D70" t="s">
        <v>34</v>
      </c>
      <c r="E70" t="s">
        <v>401</v>
      </c>
      <c r="F70" t="s">
        <v>1029</v>
      </c>
      <c r="G70" t="s">
        <v>1030</v>
      </c>
      <c r="H70" t="s">
        <v>1031</v>
      </c>
    </row>
    <row r="71" spans="1:8" x14ac:dyDescent="0.25">
      <c r="A71">
        <v>1516606</v>
      </c>
      <c r="B71" t="s">
        <v>1003</v>
      </c>
      <c r="C71" t="s">
        <v>33</v>
      </c>
      <c r="D71" t="s">
        <v>34</v>
      </c>
      <c r="E71" t="s">
        <v>401</v>
      </c>
      <c r="F71" t="s">
        <v>1032</v>
      </c>
      <c r="G71" t="s">
        <v>1033</v>
      </c>
      <c r="H71" t="s">
        <v>1034</v>
      </c>
    </row>
    <row r="72" spans="1:8" x14ac:dyDescent="0.25">
      <c r="A72">
        <v>1516607</v>
      </c>
      <c r="B72" t="s">
        <v>1003</v>
      </c>
      <c r="C72" t="s">
        <v>33</v>
      </c>
      <c r="D72" t="s">
        <v>34</v>
      </c>
      <c r="E72" t="s">
        <v>401</v>
      </c>
      <c r="F72" t="s">
        <v>1035</v>
      </c>
      <c r="G72" t="s">
        <v>1036</v>
      </c>
      <c r="H72" t="s">
        <v>1037</v>
      </c>
    </row>
    <row r="73" spans="1:8" x14ac:dyDescent="0.25">
      <c r="A73">
        <v>1516608</v>
      </c>
      <c r="B73" t="s">
        <v>1003</v>
      </c>
      <c r="C73" t="s">
        <v>33</v>
      </c>
      <c r="D73" t="s">
        <v>34</v>
      </c>
      <c r="E73" t="s">
        <v>401</v>
      </c>
      <c r="F73" t="s">
        <v>1038</v>
      </c>
      <c r="G73" t="s">
        <v>1039</v>
      </c>
      <c r="H73" t="s">
        <v>1040</v>
      </c>
    </row>
    <row r="74" spans="1:8" x14ac:dyDescent="0.25">
      <c r="A74">
        <v>1516609</v>
      </c>
      <c r="B74" t="s">
        <v>1003</v>
      </c>
      <c r="C74" t="s">
        <v>33</v>
      </c>
      <c r="D74" t="s">
        <v>34</v>
      </c>
      <c r="E74" t="s">
        <v>401</v>
      </c>
      <c r="F74" t="s">
        <v>1041</v>
      </c>
      <c r="G74" t="s">
        <v>1042</v>
      </c>
      <c r="H74" t="s">
        <v>1043</v>
      </c>
    </row>
    <row r="75" spans="1:8" x14ac:dyDescent="0.25">
      <c r="A75">
        <v>1517866</v>
      </c>
      <c r="B75" t="s">
        <v>1003</v>
      </c>
      <c r="C75" t="s">
        <v>33</v>
      </c>
      <c r="D75" t="s">
        <v>36</v>
      </c>
      <c r="E75" t="s">
        <v>335</v>
      </c>
      <c r="F75" t="s">
        <v>1044</v>
      </c>
      <c r="G75" t="s">
        <v>1045</v>
      </c>
      <c r="H75" t="s">
        <v>1046</v>
      </c>
    </row>
    <row r="76" spans="1:8" x14ac:dyDescent="0.25">
      <c r="A76">
        <v>1520409</v>
      </c>
      <c r="B76" t="s">
        <v>1003</v>
      </c>
      <c r="C76" t="s">
        <v>33</v>
      </c>
      <c r="D76" t="s">
        <v>402</v>
      </c>
      <c r="E76" t="s">
        <v>675</v>
      </c>
      <c r="F76" t="s">
        <v>1047</v>
      </c>
      <c r="G76" t="s">
        <v>1048</v>
      </c>
      <c r="H76" t="s">
        <v>1049</v>
      </c>
    </row>
    <row r="77" spans="1:8" x14ac:dyDescent="0.25">
      <c r="A77">
        <v>1520410</v>
      </c>
      <c r="B77" t="s">
        <v>1003</v>
      </c>
      <c r="C77" t="s">
        <v>33</v>
      </c>
      <c r="D77" t="s">
        <v>402</v>
      </c>
      <c r="E77" t="s">
        <v>675</v>
      </c>
      <c r="F77" t="s">
        <v>1050</v>
      </c>
      <c r="G77" t="s">
        <v>1051</v>
      </c>
      <c r="H77" t="s">
        <v>1052</v>
      </c>
    </row>
    <row r="78" spans="1:8" x14ac:dyDescent="0.25">
      <c r="A78">
        <v>1520411</v>
      </c>
      <c r="B78" t="s">
        <v>1003</v>
      </c>
      <c r="C78" t="s">
        <v>33</v>
      </c>
      <c r="D78" t="s">
        <v>402</v>
      </c>
      <c r="E78" t="s">
        <v>675</v>
      </c>
      <c r="F78" t="s">
        <v>1053</v>
      </c>
      <c r="G78" t="s">
        <v>1054</v>
      </c>
      <c r="H78" t="s">
        <v>1055</v>
      </c>
    </row>
    <row r="79" spans="1:8" x14ac:dyDescent="0.25">
      <c r="A79">
        <v>1523983</v>
      </c>
      <c r="B79" t="s">
        <v>1003</v>
      </c>
      <c r="C79" t="s">
        <v>33</v>
      </c>
      <c r="D79" t="s">
        <v>36</v>
      </c>
      <c r="E79" t="s">
        <v>337</v>
      </c>
      <c r="F79" t="s">
        <v>1056</v>
      </c>
      <c r="G79" t="s">
        <v>1057</v>
      </c>
      <c r="H79" t="s">
        <v>1058</v>
      </c>
    </row>
    <row r="80" spans="1:8" x14ac:dyDescent="0.25">
      <c r="A80">
        <v>1504697</v>
      </c>
      <c r="B80" t="s">
        <v>1059</v>
      </c>
      <c r="C80" t="s">
        <v>33</v>
      </c>
      <c r="D80" t="s">
        <v>34</v>
      </c>
      <c r="E80" t="s">
        <v>400</v>
      </c>
      <c r="F80" t="s">
        <v>1060</v>
      </c>
      <c r="G80" t="s">
        <v>1061</v>
      </c>
      <c r="H80" t="s">
        <v>1062</v>
      </c>
    </row>
    <row r="81" spans="1:8" x14ac:dyDescent="0.25">
      <c r="A81">
        <v>1520412</v>
      </c>
      <c r="B81" t="s">
        <v>1059</v>
      </c>
      <c r="C81" t="s">
        <v>33</v>
      </c>
      <c r="D81" t="s">
        <v>402</v>
      </c>
      <c r="E81" t="s">
        <v>675</v>
      </c>
      <c r="F81" t="s">
        <v>1063</v>
      </c>
      <c r="G81" t="s">
        <v>1064</v>
      </c>
      <c r="H81" t="s">
        <v>1065</v>
      </c>
    </row>
    <row r="82" spans="1:8" x14ac:dyDescent="0.25">
      <c r="A82">
        <v>1523695</v>
      </c>
      <c r="B82" t="s">
        <v>1059</v>
      </c>
      <c r="C82" t="s">
        <v>33</v>
      </c>
      <c r="D82" t="s">
        <v>36</v>
      </c>
      <c r="E82" t="s">
        <v>336</v>
      </c>
      <c r="F82" t="s">
        <v>1066</v>
      </c>
      <c r="G82" t="s">
        <v>1067</v>
      </c>
      <c r="H82" t="s">
        <v>1068</v>
      </c>
    </row>
    <row r="83" spans="1:8" x14ac:dyDescent="0.25">
      <c r="A83">
        <v>1530048</v>
      </c>
      <c r="B83" t="s">
        <v>1069</v>
      </c>
      <c r="C83" t="s">
        <v>33</v>
      </c>
      <c r="D83" t="s">
        <v>676</v>
      </c>
      <c r="E83" t="s">
        <v>94</v>
      </c>
      <c r="F83" t="s">
        <v>1070</v>
      </c>
      <c r="G83" t="s">
        <v>1071</v>
      </c>
      <c r="H83" t="s">
        <v>1072</v>
      </c>
    </row>
    <row r="84" spans="1:8" x14ac:dyDescent="0.25">
      <c r="A84">
        <v>1435676</v>
      </c>
      <c r="B84" t="s">
        <v>1073</v>
      </c>
      <c r="C84" t="s">
        <v>33</v>
      </c>
      <c r="D84" t="s">
        <v>1074</v>
      </c>
      <c r="E84" t="s">
        <v>1075</v>
      </c>
      <c r="F84" t="s">
        <v>1076</v>
      </c>
      <c r="G84" t="s">
        <v>1077</v>
      </c>
      <c r="H84" t="s">
        <v>1078</v>
      </c>
    </row>
    <row r="85" spans="1:8" x14ac:dyDescent="0.25">
      <c r="A85">
        <v>1435677</v>
      </c>
      <c r="B85" t="s">
        <v>1073</v>
      </c>
      <c r="C85" t="s">
        <v>33</v>
      </c>
      <c r="D85" t="s">
        <v>1074</v>
      </c>
      <c r="E85" t="s">
        <v>1075</v>
      </c>
      <c r="F85" t="s">
        <v>1079</v>
      </c>
      <c r="G85" t="s">
        <v>1080</v>
      </c>
      <c r="H85" t="s">
        <v>1081</v>
      </c>
    </row>
    <row r="86" spans="1:8" x14ac:dyDescent="0.25">
      <c r="A86">
        <v>1506907</v>
      </c>
      <c r="B86" t="s">
        <v>1073</v>
      </c>
      <c r="C86" t="s">
        <v>33</v>
      </c>
      <c r="D86" t="s">
        <v>402</v>
      </c>
      <c r="E86" t="s">
        <v>403</v>
      </c>
      <c r="F86" t="s">
        <v>489</v>
      </c>
      <c r="G86" t="s">
        <v>1082</v>
      </c>
      <c r="H86" t="s">
        <v>1083</v>
      </c>
    </row>
    <row r="87" spans="1:8" x14ac:dyDescent="0.25">
      <c r="A87">
        <v>1510257</v>
      </c>
      <c r="B87" t="s">
        <v>1073</v>
      </c>
      <c r="C87" t="s">
        <v>33</v>
      </c>
      <c r="D87" t="s">
        <v>402</v>
      </c>
      <c r="E87" t="s">
        <v>404</v>
      </c>
      <c r="F87" t="s">
        <v>1084</v>
      </c>
      <c r="G87" t="s">
        <v>1085</v>
      </c>
      <c r="H87" t="s">
        <v>1086</v>
      </c>
    </row>
    <row r="88" spans="1:8" x14ac:dyDescent="0.25">
      <c r="A88">
        <v>1510258</v>
      </c>
      <c r="B88" t="s">
        <v>1073</v>
      </c>
      <c r="C88" t="s">
        <v>33</v>
      </c>
      <c r="D88" t="s">
        <v>402</v>
      </c>
      <c r="E88" t="s">
        <v>404</v>
      </c>
      <c r="F88" t="s">
        <v>1087</v>
      </c>
      <c r="G88" t="s">
        <v>1088</v>
      </c>
      <c r="H88" t="s">
        <v>1089</v>
      </c>
    </row>
    <row r="89" spans="1:8" x14ac:dyDescent="0.25">
      <c r="A89">
        <v>1523065</v>
      </c>
      <c r="B89" t="s">
        <v>1073</v>
      </c>
      <c r="C89" t="s">
        <v>33</v>
      </c>
      <c r="D89" t="s">
        <v>451</v>
      </c>
      <c r="E89" t="s">
        <v>82</v>
      </c>
      <c r="F89" t="s">
        <v>1090</v>
      </c>
      <c r="G89" t="s">
        <v>1091</v>
      </c>
      <c r="H89" t="s">
        <v>1092</v>
      </c>
    </row>
    <row r="90" spans="1:8" x14ac:dyDescent="0.25">
      <c r="A90">
        <v>1453094</v>
      </c>
      <c r="B90" t="s">
        <v>1093</v>
      </c>
      <c r="C90" t="s">
        <v>33</v>
      </c>
      <c r="D90" t="s">
        <v>38</v>
      </c>
      <c r="E90" t="s">
        <v>677</v>
      </c>
      <c r="F90" t="s">
        <v>1094</v>
      </c>
      <c r="G90" t="s">
        <v>1095</v>
      </c>
      <c r="H90" t="s">
        <v>1096</v>
      </c>
    </row>
    <row r="91" spans="1:8" x14ac:dyDescent="0.25">
      <c r="A91">
        <v>1453317</v>
      </c>
      <c r="B91" t="s">
        <v>1093</v>
      </c>
      <c r="C91" t="s">
        <v>33</v>
      </c>
      <c r="D91" t="s">
        <v>38</v>
      </c>
      <c r="E91" t="s">
        <v>677</v>
      </c>
      <c r="F91" t="s">
        <v>1097</v>
      </c>
      <c r="G91" t="s">
        <v>1098</v>
      </c>
      <c r="H91" t="s">
        <v>1099</v>
      </c>
    </row>
    <row r="92" spans="1:8" x14ac:dyDescent="0.25">
      <c r="A92">
        <v>1453318</v>
      </c>
      <c r="B92" t="s">
        <v>1093</v>
      </c>
      <c r="C92" t="s">
        <v>33</v>
      </c>
      <c r="D92" t="s">
        <v>38</v>
      </c>
      <c r="E92" t="s">
        <v>677</v>
      </c>
      <c r="F92" t="s">
        <v>1100</v>
      </c>
      <c r="G92" t="s">
        <v>1101</v>
      </c>
      <c r="H92" t="s">
        <v>1102</v>
      </c>
    </row>
    <row r="93" spans="1:8" x14ac:dyDescent="0.25">
      <c r="A93">
        <v>1522565</v>
      </c>
      <c r="B93" t="s">
        <v>1093</v>
      </c>
      <c r="C93" t="s">
        <v>33</v>
      </c>
      <c r="D93" t="s">
        <v>405</v>
      </c>
      <c r="E93" t="s">
        <v>46</v>
      </c>
      <c r="F93" t="s">
        <v>1103</v>
      </c>
      <c r="G93" t="s">
        <v>1104</v>
      </c>
      <c r="H93" t="s">
        <v>1105</v>
      </c>
    </row>
    <row r="94" spans="1:8" x14ac:dyDescent="0.25">
      <c r="A94">
        <v>1525507</v>
      </c>
      <c r="B94" t="s">
        <v>1093</v>
      </c>
      <c r="C94" t="s">
        <v>33</v>
      </c>
      <c r="D94" t="s">
        <v>678</v>
      </c>
      <c r="E94" t="s">
        <v>679</v>
      </c>
      <c r="F94" t="s">
        <v>1106</v>
      </c>
      <c r="G94" t="s">
        <v>1107</v>
      </c>
      <c r="H94" t="s">
        <v>1108</v>
      </c>
    </row>
    <row r="95" spans="1:8" x14ac:dyDescent="0.25">
      <c r="A95">
        <v>1438544</v>
      </c>
      <c r="B95" t="s">
        <v>1109</v>
      </c>
      <c r="C95" t="s">
        <v>33</v>
      </c>
      <c r="D95" t="s">
        <v>680</v>
      </c>
      <c r="E95" t="s">
        <v>681</v>
      </c>
      <c r="F95" t="s">
        <v>1110</v>
      </c>
      <c r="G95" t="s">
        <v>1111</v>
      </c>
      <c r="H95" t="s">
        <v>1112</v>
      </c>
    </row>
    <row r="96" spans="1:8" x14ac:dyDescent="0.25">
      <c r="A96">
        <v>1438545</v>
      </c>
      <c r="B96" t="s">
        <v>1109</v>
      </c>
      <c r="C96" t="s">
        <v>33</v>
      </c>
      <c r="D96" t="s">
        <v>680</v>
      </c>
      <c r="E96" t="s">
        <v>681</v>
      </c>
      <c r="F96" t="s">
        <v>1113</v>
      </c>
      <c r="G96" t="s">
        <v>1114</v>
      </c>
      <c r="H96" t="s">
        <v>1115</v>
      </c>
    </row>
    <row r="97" spans="1:8" x14ac:dyDescent="0.25">
      <c r="A97">
        <v>1438546</v>
      </c>
      <c r="B97" t="s">
        <v>1109</v>
      </c>
      <c r="C97" t="s">
        <v>33</v>
      </c>
      <c r="D97" t="s">
        <v>680</v>
      </c>
      <c r="E97" t="s">
        <v>681</v>
      </c>
      <c r="F97" t="s">
        <v>1116</v>
      </c>
      <c r="G97" t="s">
        <v>1117</v>
      </c>
      <c r="H97" t="s">
        <v>1118</v>
      </c>
    </row>
    <row r="98" spans="1:8" x14ac:dyDescent="0.25">
      <c r="A98">
        <v>1438547</v>
      </c>
      <c r="B98" t="s">
        <v>1109</v>
      </c>
      <c r="C98" t="s">
        <v>33</v>
      </c>
      <c r="D98" t="s">
        <v>680</v>
      </c>
      <c r="E98" t="s">
        <v>681</v>
      </c>
      <c r="F98" t="s">
        <v>1119</v>
      </c>
      <c r="G98" t="s">
        <v>1120</v>
      </c>
      <c r="H98" t="s">
        <v>1121</v>
      </c>
    </row>
    <row r="99" spans="1:8" x14ac:dyDescent="0.25">
      <c r="A99">
        <v>1400190</v>
      </c>
      <c r="B99" t="s">
        <v>1122</v>
      </c>
      <c r="C99" t="s">
        <v>33</v>
      </c>
      <c r="D99" t="s">
        <v>405</v>
      </c>
      <c r="E99" t="s">
        <v>50</v>
      </c>
      <c r="F99" t="s">
        <v>1123</v>
      </c>
      <c r="G99" t="s">
        <v>601</v>
      </c>
      <c r="H99" t="s">
        <v>1124</v>
      </c>
    </row>
    <row r="100" spans="1:8" x14ac:dyDescent="0.25">
      <c r="A100">
        <v>1418365</v>
      </c>
      <c r="B100" t="s">
        <v>1122</v>
      </c>
      <c r="C100" t="s">
        <v>33</v>
      </c>
      <c r="D100" t="s">
        <v>97</v>
      </c>
      <c r="E100" t="s">
        <v>406</v>
      </c>
      <c r="F100" t="s">
        <v>1125</v>
      </c>
      <c r="G100" t="s">
        <v>1126</v>
      </c>
      <c r="H100" t="s">
        <v>1127</v>
      </c>
    </row>
    <row r="101" spans="1:8" x14ac:dyDescent="0.25">
      <c r="A101">
        <v>1461847</v>
      </c>
      <c r="B101" t="s">
        <v>1122</v>
      </c>
      <c r="C101" t="s">
        <v>33</v>
      </c>
      <c r="D101" t="s">
        <v>41</v>
      </c>
      <c r="E101" t="s">
        <v>766</v>
      </c>
      <c r="F101" t="s">
        <v>1128</v>
      </c>
      <c r="G101" t="s">
        <v>1129</v>
      </c>
      <c r="H101" t="s">
        <v>1130</v>
      </c>
    </row>
    <row r="102" spans="1:8" x14ac:dyDescent="0.25">
      <c r="A102">
        <v>1477832</v>
      </c>
      <c r="B102" t="s">
        <v>1122</v>
      </c>
      <c r="C102" t="s">
        <v>33</v>
      </c>
      <c r="D102" t="s">
        <v>407</v>
      </c>
      <c r="E102" t="s">
        <v>408</v>
      </c>
      <c r="F102" t="s">
        <v>1131</v>
      </c>
      <c r="G102" t="s">
        <v>1132</v>
      </c>
      <c r="H102" t="s">
        <v>1133</v>
      </c>
    </row>
    <row r="103" spans="1:8" x14ac:dyDescent="0.25">
      <c r="A103">
        <v>1489489</v>
      </c>
      <c r="B103" t="s">
        <v>1122</v>
      </c>
      <c r="C103" t="s">
        <v>33</v>
      </c>
      <c r="D103" t="s">
        <v>409</v>
      </c>
      <c r="E103" t="s">
        <v>687</v>
      </c>
      <c r="F103" t="s">
        <v>1134</v>
      </c>
      <c r="G103" t="s">
        <v>1135</v>
      </c>
      <c r="H103" t="s">
        <v>1136</v>
      </c>
    </row>
    <row r="104" spans="1:8" x14ac:dyDescent="0.25">
      <c r="A104">
        <v>1503472</v>
      </c>
      <c r="B104" t="s">
        <v>1122</v>
      </c>
      <c r="C104" t="s">
        <v>33</v>
      </c>
      <c r="D104" t="s">
        <v>333</v>
      </c>
      <c r="E104" t="s">
        <v>106</v>
      </c>
      <c r="F104" t="s">
        <v>334</v>
      </c>
      <c r="G104" t="s">
        <v>1137</v>
      </c>
      <c r="H104" t="s">
        <v>1138</v>
      </c>
    </row>
    <row r="105" spans="1:8" x14ac:dyDescent="0.25">
      <c r="A105">
        <v>1511762</v>
      </c>
      <c r="B105" t="s">
        <v>1122</v>
      </c>
      <c r="C105" t="s">
        <v>33</v>
      </c>
      <c r="D105" t="s">
        <v>405</v>
      </c>
      <c r="E105" t="s">
        <v>1139</v>
      </c>
      <c r="F105" t="s">
        <v>1140</v>
      </c>
      <c r="G105" t="s">
        <v>1141</v>
      </c>
      <c r="H105" t="s">
        <v>1142</v>
      </c>
    </row>
    <row r="106" spans="1:8" x14ac:dyDescent="0.25">
      <c r="A106">
        <v>1516372</v>
      </c>
      <c r="B106" t="s">
        <v>1122</v>
      </c>
      <c r="C106" t="s">
        <v>33</v>
      </c>
      <c r="D106" t="s">
        <v>22</v>
      </c>
      <c r="E106" t="s">
        <v>453</v>
      </c>
      <c r="F106" t="s">
        <v>1143</v>
      </c>
      <c r="G106" t="s">
        <v>492</v>
      </c>
      <c r="H106" t="s">
        <v>1144</v>
      </c>
    </row>
    <row r="107" spans="1:8" x14ac:dyDescent="0.25">
      <c r="A107">
        <v>1516373</v>
      </c>
      <c r="B107" t="s">
        <v>1122</v>
      </c>
      <c r="C107" t="s">
        <v>33</v>
      </c>
      <c r="D107" t="s">
        <v>22</v>
      </c>
      <c r="E107" t="s">
        <v>453</v>
      </c>
      <c r="F107" t="s">
        <v>493</v>
      </c>
      <c r="G107" t="s">
        <v>1145</v>
      </c>
      <c r="H107" t="s">
        <v>1146</v>
      </c>
    </row>
    <row r="108" spans="1:8" x14ac:dyDescent="0.25">
      <c r="A108">
        <v>1527532</v>
      </c>
      <c r="B108" t="s">
        <v>1122</v>
      </c>
      <c r="C108" t="s">
        <v>33</v>
      </c>
      <c r="D108" t="s">
        <v>454</v>
      </c>
      <c r="E108" t="s">
        <v>50</v>
      </c>
      <c r="F108" t="s">
        <v>328</v>
      </c>
      <c r="G108" t="s">
        <v>1147</v>
      </c>
      <c r="H108" t="s">
        <v>1148</v>
      </c>
    </row>
    <row r="109" spans="1:8" x14ac:dyDescent="0.25">
      <c r="A109">
        <v>1527896</v>
      </c>
      <c r="B109" t="s">
        <v>1122</v>
      </c>
      <c r="C109" t="s">
        <v>33</v>
      </c>
      <c r="D109" t="s">
        <v>683</v>
      </c>
      <c r="E109" t="s">
        <v>50</v>
      </c>
      <c r="F109" t="s">
        <v>1149</v>
      </c>
      <c r="G109" t="s">
        <v>1150</v>
      </c>
      <c r="H109" t="s">
        <v>1151</v>
      </c>
    </row>
    <row r="110" spans="1:8" x14ac:dyDescent="0.25">
      <c r="A110">
        <v>1487337</v>
      </c>
      <c r="B110" t="s">
        <v>1152</v>
      </c>
      <c r="C110" t="s">
        <v>33</v>
      </c>
      <c r="D110" t="s">
        <v>409</v>
      </c>
      <c r="E110" t="s">
        <v>659</v>
      </c>
      <c r="F110" t="s">
        <v>1153</v>
      </c>
      <c r="G110" t="s">
        <v>1154</v>
      </c>
      <c r="H110" t="s">
        <v>1155</v>
      </c>
    </row>
    <row r="111" spans="1:8" x14ac:dyDescent="0.25">
      <c r="A111">
        <v>1487340</v>
      </c>
      <c r="B111" t="s">
        <v>1152</v>
      </c>
      <c r="C111" t="s">
        <v>33</v>
      </c>
      <c r="D111" t="s">
        <v>409</v>
      </c>
      <c r="E111" t="s">
        <v>659</v>
      </c>
      <c r="F111" t="s">
        <v>1156</v>
      </c>
      <c r="G111" t="s">
        <v>1157</v>
      </c>
      <c r="H111" t="s">
        <v>1158</v>
      </c>
    </row>
    <row r="112" spans="1:8" x14ac:dyDescent="0.25">
      <c r="A112">
        <v>1487341</v>
      </c>
      <c r="B112" t="s">
        <v>1152</v>
      </c>
      <c r="C112" t="s">
        <v>33</v>
      </c>
      <c r="D112" t="s">
        <v>409</v>
      </c>
      <c r="E112" t="s">
        <v>659</v>
      </c>
      <c r="F112" t="s">
        <v>1159</v>
      </c>
      <c r="G112" t="s">
        <v>1160</v>
      </c>
      <c r="H112" t="s">
        <v>1161</v>
      </c>
    </row>
    <row r="113" spans="1:8" x14ac:dyDescent="0.25">
      <c r="A113">
        <v>1487343</v>
      </c>
      <c r="B113" t="s">
        <v>1152</v>
      </c>
      <c r="C113" t="s">
        <v>33</v>
      </c>
      <c r="D113" t="s">
        <v>409</v>
      </c>
      <c r="E113" t="s">
        <v>659</v>
      </c>
      <c r="F113" t="s">
        <v>1162</v>
      </c>
      <c r="G113" t="s">
        <v>1163</v>
      </c>
      <c r="H113" t="s">
        <v>1164</v>
      </c>
    </row>
    <row r="114" spans="1:8" x14ac:dyDescent="0.25">
      <c r="A114">
        <v>1487624</v>
      </c>
      <c r="B114" t="s">
        <v>1152</v>
      </c>
      <c r="C114" t="s">
        <v>33</v>
      </c>
      <c r="D114" t="s">
        <v>409</v>
      </c>
      <c r="E114" t="s">
        <v>741</v>
      </c>
      <c r="F114" t="s">
        <v>1165</v>
      </c>
      <c r="G114" t="s">
        <v>1166</v>
      </c>
      <c r="H114" t="s">
        <v>1167</v>
      </c>
    </row>
    <row r="115" spans="1:8" x14ac:dyDescent="0.25">
      <c r="A115">
        <v>1487726</v>
      </c>
      <c r="B115" t="s">
        <v>1152</v>
      </c>
      <c r="C115" t="s">
        <v>33</v>
      </c>
      <c r="D115" t="s">
        <v>409</v>
      </c>
      <c r="E115" t="s">
        <v>686</v>
      </c>
      <c r="F115" t="s">
        <v>1168</v>
      </c>
      <c r="G115" t="s">
        <v>1169</v>
      </c>
      <c r="H115" t="s">
        <v>1170</v>
      </c>
    </row>
    <row r="116" spans="1:8" x14ac:dyDescent="0.25">
      <c r="A116">
        <v>1489621</v>
      </c>
      <c r="B116" t="s">
        <v>1152</v>
      </c>
      <c r="C116" t="s">
        <v>33</v>
      </c>
      <c r="D116" t="s">
        <v>409</v>
      </c>
      <c r="E116" t="s">
        <v>682</v>
      </c>
      <c r="F116" t="s">
        <v>1171</v>
      </c>
      <c r="G116" t="s">
        <v>1172</v>
      </c>
      <c r="H116" t="s">
        <v>1173</v>
      </c>
    </row>
    <row r="117" spans="1:8" x14ac:dyDescent="0.25">
      <c r="A117">
        <v>1489623</v>
      </c>
      <c r="B117" t="s">
        <v>1152</v>
      </c>
      <c r="C117" t="s">
        <v>33</v>
      </c>
      <c r="D117" t="s">
        <v>409</v>
      </c>
      <c r="E117" t="s">
        <v>682</v>
      </c>
      <c r="F117" t="s">
        <v>1174</v>
      </c>
      <c r="G117" t="s">
        <v>1175</v>
      </c>
      <c r="H117" t="s">
        <v>1176</v>
      </c>
    </row>
    <row r="118" spans="1:8" x14ac:dyDescent="0.25">
      <c r="A118">
        <v>1489878</v>
      </c>
      <c r="B118" t="s">
        <v>1152</v>
      </c>
      <c r="C118" t="s">
        <v>33</v>
      </c>
      <c r="D118" t="s">
        <v>409</v>
      </c>
      <c r="E118" t="s">
        <v>688</v>
      </c>
      <c r="F118" t="s">
        <v>1177</v>
      </c>
      <c r="G118" t="s">
        <v>1178</v>
      </c>
      <c r="H118" t="s">
        <v>1179</v>
      </c>
    </row>
    <row r="119" spans="1:8" x14ac:dyDescent="0.25">
      <c r="A119">
        <v>1490000</v>
      </c>
      <c r="B119" t="s">
        <v>1152</v>
      </c>
      <c r="C119" t="s">
        <v>33</v>
      </c>
      <c r="D119" t="s">
        <v>409</v>
      </c>
      <c r="E119" t="s">
        <v>689</v>
      </c>
      <c r="F119" t="s">
        <v>1180</v>
      </c>
      <c r="G119" t="s">
        <v>1181</v>
      </c>
      <c r="H119" t="s">
        <v>1182</v>
      </c>
    </row>
    <row r="120" spans="1:8" x14ac:dyDescent="0.25">
      <c r="A120">
        <v>1391780</v>
      </c>
      <c r="B120" t="s">
        <v>1183</v>
      </c>
      <c r="C120" t="s">
        <v>33</v>
      </c>
      <c r="D120" t="s">
        <v>353</v>
      </c>
      <c r="E120" t="s">
        <v>354</v>
      </c>
      <c r="F120" t="s">
        <v>1184</v>
      </c>
      <c r="G120" t="s">
        <v>1185</v>
      </c>
      <c r="H120" t="s">
        <v>1186</v>
      </c>
    </row>
    <row r="121" spans="1:8" x14ac:dyDescent="0.25">
      <c r="A121">
        <v>1394889</v>
      </c>
      <c r="B121" t="s">
        <v>1183</v>
      </c>
      <c r="C121" t="s">
        <v>33</v>
      </c>
      <c r="D121" t="s">
        <v>270</v>
      </c>
      <c r="E121" t="s">
        <v>420</v>
      </c>
      <c r="F121" t="s">
        <v>1187</v>
      </c>
      <c r="G121" t="s">
        <v>1188</v>
      </c>
      <c r="H121" t="s">
        <v>1189</v>
      </c>
    </row>
    <row r="122" spans="1:8" x14ac:dyDescent="0.25">
      <c r="A122">
        <v>1422032</v>
      </c>
      <c r="B122" t="s">
        <v>1183</v>
      </c>
      <c r="C122" t="s">
        <v>33</v>
      </c>
      <c r="D122" t="s">
        <v>270</v>
      </c>
      <c r="E122" t="s">
        <v>717</v>
      </c>
      <c r="F122" t="s">
        <v>1190</v>
      </c>
      <c r="G122" t="s">
        <v>1191</v>
      </c>
      <c r="H122" t="s">
        <v>1192</v>
      </c>
    </row>
    <row r="123" spans="1:8" x14ac:dyDescent="0.25">
      <c r="A123">
        <v>1422033</v>
      </c>
      <c r="B123" t="s">
        <v>1183</v>
      </c>
      <c r="C123" t="s">
        <v>33</v>
      </c>
      <c r="D123" t="s">
        <v>270</v>
      </c>
      <c r="E123" t="s">
        <v>717</v>
      </c>
      <c r="F123" t="s">
        <v>1193</v>
      </c>
      <c r="G123" t="s">
        <v>1194</v>
      </c>
      <c r="H123" t="s">
        <v>1195</v>
      </c>
    </row>
    <row r="124" spans="1:8" x14ac:dyDescent="0.25">
      <c r="A124">
        <v>1477360</v>
      </c>
      <c r="B124" t="s">
        <v>1183</v>
      </c>
      <c r="C124" t="s">
        <v>33</v>
      </c>
      <c r="D124" t="s">
        <v>409</v>
      </c>
      <c r="E124" t="s">
        <v>425</v>
      </c>
      <c r="F124" t="s">
        <v>1196</v>
      </c>
      <c r="G124" t="s">
        <v>1197</v>
      </c>
      <c r="H124" t="s">
        <v>1198</v>
      </c>
    </row>
    <row r="125" spans="1:8" x14ac:dyDescent="0.25">
      <c r="A125">
        <v>1487345</v>
      </c>
      <c r="B125" t="s">
        <v>1183</v>
      </c>
      <c r="C125" t="s">
        <v>33</v>
      </c>
      <c r="D125" t="s">
        <v>409</v>
      </c>
      <c r="E125" t="s">
        <v>659</v>
      </c>
      <c r="F125" t="s">
        <v>1199</v>
      </c>
      <c r="G125" t="s">
        <v>1200</v>
      </c>
      <c r="H125" t="s">
        <v>1201</v>
      </c>
    </row>
    <row r="126" spans="1:8" x14ac:dyDescent="0.25">
      <c r="A126">
        <v>1487506</v>
      </c>
      <c r="B126" t="s">
        <v>1183</v>
      </c>
      <c r="C126" t="s">
        <v>33</v>
      </c>
      <c r="D126" t="s">
        <v>409</v>
      </c>
      <c r="E126" t="s">
        <v>685</v>
      </c>
      <c r="F126" t="s">
        <v>1202</v>
      </c>
      <c r="G126" t="s">
        <v>1203</v>
      </c>
      <c r="H126" t="s">
        <v>1204</v>
      </c>
    </row>
    <row r="127" spans="1:8" x14ac:dyDescent="0.25">
      <c r="A127">
        <v>1489625</v>
      </c>
      <c r="B127" t="s">
        <v>1183</v>
      </c>
      <c r="C127" t="s">
        <v>33</v>
      </c>
      <c r="D127" t="s">
        <v>409</v>
      </c>
      <c r="E127" t="s">
        <v>682</v>
      </c>
      <c r="F127" t="s">
        <v>1205</v>
      </c>
      <c r="G127" t="s">
        <v>1206</v>
      </c>
      <c r="H127" t="s">
        <v>1207</v>
      </c>
    </row>
    <row r="128" spans="1:8" x14ac:dyDescent="0.25">
      <c r="A128">
        <v>1489757</v>
      </c>
      <c r="B128" t="s">
        <v>1183</v>
      </c>
      <c r="C128" t="s">
        <v>33</v>
      </c>
      <c r="D128" t="s">
        <v>409</v>
      </c>
      <c r="E128" t="s">
        <v>661</v>
      </c>
      <c r="F128" t="s">
        <v>1208</v>
      </c>
      <c r="G128" t="s">
        <v>1209</v>
      </c>
      <c r="H128" t="s">
        <v>1210</v>
      </c>
    </row>
    <row r="129" spans="1:8" x14ac:dyDescent="0.25">
      <c r="A129">
        <v>1407988</v>
      </c>
      <c r="B129" t="s">
        <v>1211</v>
      </c>
      <c r="C129" t="s">
        <v>33</v>
      </c>
      <c r="D129" t="s">
        <v>44</v>
      </c>
      <c r="E129" t="s">
        <v>363</v>
      </c>
      <c r="F129" t="s">
        <v>1212</v>
      </c>
      <c r="G129" t="s">
        <v>1213</v>
      </c>
      <c r="H129" t="s">
        <v>1214</v>
      </c>
    </row>
    <row r="130" spans="1:8" x14ac:dyDescent="0.25">
      <c r="A130">
        <v>1394890</v>
      </c>
      <c r="B130" t="s">
        <v>1215</v>
      </c>
      <c r="C130" t="s">
        <v>33</v>
      </c>
      <c r="D130" t="s">
        <v>270</v>
      </c>
      <c r="E130" t="s">
        <v>420</v>
      </c>
      <c r="F130" t="s">
        <v>1216</v>
      </c>
      <c r="G130" t="s">
        <v>1217</v>
      </c>
      <c r="H130" t="s">
        <v>1218</v>
      </c>
    </row>
    <row r="131" spans="1:8" x14ac:dyDescent="0.25">
      <c r="A131">
        <v>1404569</v>
      </c>
      <c r="B131" t="s">
        <v>1215</v>
      </c>
      <c r="C131" t="s">
        <v>33</v>
      </c>
      <c r="D131" t="s">
        <v>42</v>
      </c>
      <c r="E131" t="s">
        <v>264</v>
      </c>
      <c r="F131" t="s">
        <v>580</v>
      </c>
      <c r="G131" t="s">
        <v>1219</v>
      </c>
      <c r="H131" t="s">
        <v>1220</v>
      </c>
    </row>
    <row r="132" spans="1:8" x14ac:dyDescent="0.25">
      <c r="A132">
        <v>1404573</v>
      </c>
      <c r="B132" t="s">
        <v>1215</v>
      </c>
      <c r="C132" t="s">
        <v>33</v>
      </c>
      <c r="D132" t="s">
        <v>42</v>
      </c>
      <c r="E132" t="s">
        <v>264</v>
      </c>
      <c r="F132" t="s">
        <v>1221</v>
      </c>
      <c r="G132" t="s">
        <v>1222</v>
      </c>
      <c r="H132" t="s">
        <v>1223</v>
      </c>
    </row>
    <row r="133" spans="1:8" x14ac:dyDescent="0.25">
      <c r="A133">
        <v>1413314</v>
      </c>
      <c r="B133" t="s">
        <v>1215</v>
      </c>
      <c r="C133" t="s">
        <v>33</v>
      </c>
      <c r="D133" t="s">
        <v>44</v>
      </c>
      <c r="E133" t="s">
        <v>707</v>
      </c>
      <c r="F133" t="s">
        <v>1224</v>
      </c>
      <c r="G133" t="s">
        <v>1225</v>
      </c>
      <c r="H133" t="s">
        <v>1226</v>
      </c>
    </row>
    <row r="134" spans="1:8" x14ac:dyDescent="0.25">
      <c r="A134">
        <v>1414442</v>
      </c>
      <c r="B134" t="s">
        <v>1215</v>
      </c>
      <c r="C134" t="s">
        <v>33</v>
      </c>
      <c r="D134" t="s">
        <v>418</v>
      </c>
      <c r="E134" t="s">
        <v>1227</v>
      </c>
      <c r="F134" t="s">
        <v>1228</v>
      </c>
      <c r="G134" t="s">
        <v>1229</v>
      </c>
      <c r="H134" t="s">
        <v>1230</v>
      </c>
    </row>
    <row r="135" spans="1:8" x14ac:dyDescent="0.25">
      <c r="A135">
        <v>1414659</v>
      </c>
      <c r="B135" t="s">
        <v>1215</v>
      </c>
      <c r="C135" t="s">
        <v>33</v>
      </c>
      <c r="D135" t="s">
        <v>418</v>
      </c>
      <c r="E135" t="s">
        <v>1231</v>
      </c>
      <c r="F135" t="s">
        <v>1232</v>
      </c>
      <c r="G135" t="s">
        <v>1233</v>
      </c>
      <c r="H135" t="s">
        <v>1234</v>
      </c>
    </row>
    <row r="136" spans="1:8" x14ac:dyDescent="0.25">
      <c r="A136">
        <v>1414663</v>
      </c>
      <c r="B136" t="s">
        <v>1215</v>
      </c>
      <c r="C136" t="s">
        <v>33</v>
      </c>
      <c r="D136" t="s">
        <v>418</v>
      </c>
      <c r="E136" t="s">
        <v>1231</v>
      </c>
      <c r="F136" t="s">
        <v>1235</v>
      </c>
      <c r="G136" t="s">
        <v>1236</v>
      </c>
      <c r="H136" t="s">
        <v>1237</v>
      </c>
    </row>
    <row r="137" spans="1:8" x14ac:dyDescent="0.25">
      <c r="A137">
        <v>1414880</v>
      </c>
      <c r="B137" t="s">
        <v>1215</v>
      </c>
      <c r="C137" t="s">
        <v>33</v>
      </c>
      <c r="D137" t="s">
        <v>418</v>
      </c>
      <c r="E137" t="s">
        <v>1238</v>
      </c>
      <c r="F137" t="s">
        <v>1239</v>
      </c>
      <c r="G137" t="s">
        <v>1240</v>
      </c>
      <c r="H137" t="s">
        <v>1241</v>
      </c>
    </row>
    <row r="138" spans="1:8" x14ac:dyDescent="0.25">
      <c r="A138">
        <v>1414881</v>
      </c>
      <c r="B138" t="s">
        <v>1215</v>
      </c>
      <c r="C138" t="s">
        <v>33</v>
      </c>
      <c r="D138" t="s">
        <v>418</v>
      </c>
      <c r="E138" t="s">
        <v>1238</v>
      </c>
      <c r="F138" t="s">
        <v>1242</v>
      </c>
      <c r="G138" t="s">
        <v>1243</v>
      </c>
      <c r="H138" t="s">
        <v>1244</v>
      </c>
    </row>
    <row r="139" spans="1:8" x14ac:dyDescent="0.25">
      <c r="A139">
        <v>1418361</v>
      </c>
      <c r="B139" t="s">
        <v>1215</v>
      </c>
      <c r="C139" t="s">
        <v>33</v>
      </c>
      <c r="D139" t="s">
        <v>97</v>
      </c>
      <c r="E139" t="s">
        <v>406</v>
      </c>
      <c r="F139" t="s">
        <v>1245</v>
      </c>
      <c r="G139" t="s">
        <v>1246</v>
      </c>
      <c r="H139" t="s">
        <v>1247</v>
      </c>
    </row>
    <row r="140" spans="1:8" x14ac:dyDescent="0.25">
      <c r="A140">
        <v>1422207</v>
      </c>
      <c r="B140" t="s">
        <v>1215</v>
      </c>
      <c r="C140" t="s">
        <v>33</v>
      </c>
      <c r="D140" t="s">
        <v>270</v>
      </c>
      <c r="E140" t="s">
        <v>736</v>
      </c>
      <c r="F140" t="s">
        <v>1248</v>
      </c>
      <c r="G140" t="s">
        <v>1249</v>
      </c>
      <c r="H140" t="s">
        <v>1250</v>
      </c>
    </row>
    <row r="141" spans="1:8" x14ac:dyDescent="0.25">
      <c r="A141">
        <v>1441923</v>
      </c>
      <c r="B141" t="s">
        <v>1215</v>
      </c>
      <c r="C141" t="s">
        <v>33</v>
      </c>
      <c r="D141" t="s">
        <v>43</v>
      </c>
      <c r="E141" t="s">
        <v>265</v>
      </c>
      <c r="F141" t="s">
        <v>1251</v>
      </c>
      <c r="G141" t="s">
        <v>1252</v>
      </c>
      <c r="H141" t="s">
        <v>1253</v>
      </c>
    </row>
    <row r="142" spans="1:8" x14ac:dyDescent="0.25">
      <c r="A142">
        <v>1441931</v>
      </c>
      <c r="B142" t="s">
        <v>1215</v>
      </c>
      <c r="C142" t="s">
        <v>33</v>
      </c>
      <c r="D142" t="s">
        <v>43</v>
      </c>
      <c r="E142" t="s">
        <v>265</v>
      </c>
      <c r="F142" t="s">
        <v>1254</v>
      </c>
      <c r="G142" t="s">
        <v>1255</v>
      </c>
      <c r="H142" t="s">
        <v>1256</v>
      </c>
    </row>
    <row r="143" spans="1:8" x14ac:dyDescent="0.25">
      <c r="A143">
        <v>1473928</v>
      </c>
      <c r="B143" t="s">
        <v>1215</v>
      </c>
      <c r="C143" t="s">
        <v>33</v>
      </c>
      <c r="D143" t="s">
        <v>97</v>
      </c>
      <c r="E143" t="s">
        <v>650</v>
      </c>
      <c r="F143" t="s">
        <v>1257</v>
      </c>
      <c r="G143" t="s">
        <v>1258</v>
      </c>
      <c r="H143" t="s">
        <v>1259</v>
      </c>
    </row>
    <row r="144" spans="1:8" x14ac:dyDescent="0.25">
      <c r="A144">
        <v>1477831</v>
      </c>
      <c r="B144" t="s">
        <v>1215</v>
      </c>
      <c r="C144" t="s">
        <v>33</v>
      </c>
      <c r="D144" t="s">
        <v>407</v>
      </c>
      <c r="E144" t="s">
        <v>408</v>
      </c>
      <c r="F144" t="s">
        <v>1260</v>
      </c>
      <c r="G144" t="s">
        <v>1261</v>
      </c>
      <c r="H144" t="s">
        <v>1262</v>
      </c>
    </row>
    <row r="145" spans="1:8" x14ac:dyDescent="0.25">
      <c r="A145">
        <v>1514566</v>
      </c>
      <c r="B145" t="s">
        <v>1215</v>
      </c>
      <c r="C145" t="s">
        <v>33</v>
      </c>
      <c r="D145" t="s">
        <v>68</v>
      </c>
      <c r="E145" t="s">
        <v>82</v>
      </c>
      <c r="F145" t="s">
        <v>1263</v>
      </c>
      <c r="G145" t="s">
        <v>1264</v>
      </c>
      <c r="H145" t="s">
        <v>1265</v>
      </c>
    </row>
    <row r="146" spans="1:8" x14ac:dyDescent="0.25">
      <c r="A146">
        <v>1514569</v>
      </c>
      <c r="B146" t="s">
        <v>1215</v>
      </c>
      <c r="C146" t="s">
        <v>33</v>
      </c>
      <c r="D146" t="s">
        <v>68</v>
      </c>
      <c r="E146" t="s">
        <v>82</v>
      </c>
      <c r="F146" t="s">
        <v>1266</v>
      </c>
      <c r="G146" t="s">
        <v>1267</v>
      </c>
      <c r="H146" t="s">
        <v>1268</v>
      </c>
    </row>
    <row r="147" spans="1:8" x14ac:dyDescent="0.25">
      <c r="A147">
        <v>1518293</v>
      </c>
      <c r="B147" t="s">
        <v>1215</v>
      </c>
      <c r="C147" t="s">
        <v>33</v>
      </c>
      <c r="D147" t="s">
        <v>44</v>
      </c>
      <c r="E147" t="s">
        <v>690</v>
      </c>
      <c r="F147" t="s">
        <v>1269</v>
      </c>
      <c r="G147" t="s">
        <v>1270</v>
      </c>
      <c r="H147" t="s">
        <v>1271</v>
      </c>
    </row>
    <row r="148" spans="1:8" x14ac:dyDescent="0.25">
      <c r="A148">
        <v>1518295</v>
      </c>
      <c r="B148" t="s">
        <v>1215</v>
      </c>
      <c r="C148" t="s">
        <v>33</v>
      </c>
      <c r="D148" t="s">
        <v>44</v>
      </c>
      <c r="E148" t="s">
        <v>690</v>
      </c>
      <c r="F148" t="s">
        <v>1272</v>
      </c>
      <c r="G148" t="s">
        <v>1273</v>
      </c>
      <c r="H148" t="s">
        <v>1274</v>
      </c>
    </row>
    <row r="149" spans="1:8" x14ac:dyDescent="0.25">
      <c r="A149">
        <v>1518297</v>
      </c>
      <c r="B149" t="s">
        <v>1215</v>
      </c>
      <c r="C149" t="s">
        <v>33</v>
      </c>
      <c r="D149" t="s">
        <v>44</v>
      </c>
      <c r="E149" t="s">
        <v>690</v>
      </c>
      <c r="F149" t="s">
        <v>1275</v>
      </c>
      <c r="G149" t="s">
        <v>1276</v>
      </c>
      <c r="H149" t="s">
        <v>1277</v>
      </c>
    </row>
    <row r="150" spans="1:8" x14ac:dyDescent="0.25">
      <c r="A150">
        <v>1518299</v>
      </c>
      <c r="B150" t="s">
        <v>1215</v>
      </c>
      <c r="C150" t="s">
        <v>33</v>
      </c>
      <c r="D150" t="s">
        <v>44</v>
      </c>
      <c r="E150" t="s">
        <v>690</v>
      </c>
      <c r="F150" t="s">
        <v>1278</v>
      </c>
      <c r="G150" t="s">
        <v>1279</v>
      </c>
      <c r="H150" t="s">
        <v>1280</v>
      </c>
    </row>
    <row r="151" spans="1:8" x14ac:dyDescent="0.25">
      <c r="A151">
        <v>1518302</v>
      </c>
      <c r="B151" t="s">
        <v>1215</v>
      </c>
      <c r="C151" t="s">
        <v>33</v>
      </c>
      <c r="D151" t="s">
        <v>44</v>
      </c>
      <c r="E151" t="s">
        <v>690</v>
      </c>
      <c r="F151" t="s">
        <v>1281</v>
      </c>
      <c r="G151" t="s">
        <v>1282</v>
      </c>
      <c r="H151" t="s">
        <v>1283</v>
      </c>
    </row>
    <row r="152" spans="1:8" x14ac:dyDescent="0.25">
      <c r="A152">
        <v>1518306</v>
      </c>
      <c r="B152" t="s">
        <v>1215</v>
      </c>
      <c r="C152" t="s">
        <v>33</v>
      </c>
      <c r="D152" t="s">
        <v>44</v>
      </c>
      <c r="E152" t="s">
        <v>690</v>
      </c>
      <c r="F152" t="s">
        <v>1284</v>
      </c>
      <c r="G152" t="s">
        <v>1285</v>
      </c>
      <c r="H152" t="s">
        <v>1286</v>
      </c>
    </row>
    <row r="153" spans="1:8" x14ac:dyDescent="0.25">
      <c r="A153">
        <v>1518310</v>
      </c>
      <c r="B153" t="s">
        <v>1215</v>
      </c>
      <c r="C153" t="s">
        <v>33</v>
      </c>
      <c r="D153" t="s">
        <v>44</v>
      </c>
      <c r="E153" t="s">
        <v>690</v>
      </c>
      <c r="F153" t="s">
        <v>1287</v>
      </c>
      <c r="G153" t="s">
        <v>1288</v>
      </c>
      <c r="H153" t="s">
        <v>1289</v>
      </c>
    </row>
    <row r="154" spans="1:8" x14ac:dyDescent="0.25">
      <c r="A154">
        <v>1518553</v>
      </c>
      <c r="B154" t="s">
        <v>1215</v>
      </c>
      <c r="C154" t="s">
        <v>96</v>
      </c>
      <c r="D154" t="s">
        <v>44</v>
      </c>
      <c r="E154" t="s">
        <v>690</v>
      </c>
      <c r="F154" t="s">
        <v>1290</v>
      </c>
      <c r="G154" t="s">
        <v>1291</v>
      </c>
      <c r="H154" t="s">
        <v>1292</v>
      </c>
    </row>
    <row r="155" spans="1:8" x14ac:dyDescent="0.25">
      <c r="A155">
        <v>1518554</v>
      </c>
      <c r="B155" t="s">
        <v>1215</v>
      </c>
      <c r="C155" t="s">
        <v>33</v>
      </c>
      <c r="D155" t="s">
        <v>44</v>
      </c>
      <c r="E155" t="s">
        <v>690</v>
      </c>
      <c r="F155" t="s">
        <v>1293</v>
      </c>
      <c r="G155" t="s">
        <v>1294</v>
      </c>
      <c r="H155" t="s">
        <v>1295</v>
      </c>
    </row>
    <row r="156" spans="1:8" x14ac:dyDescent="0.25">
      <c r="A156">
        <v>1518555</v>
      </c>
      <c r="B156" t="s">
        <v>1215</v>
      </c>
      <c r="C156" t="s">
        <v>33</v>
      </c>
      <c r="D156" t="s">
        <v>44</v>
      </c>
      <c r="E156" t="s">
        <v>690</v>
      </c>
      <c r="F156" t="s">
        <v>1296</v>
      </c>
      <c r="G156" t="s">
        <v>1297</v>
      </c>
      <c r="H156" t="s">
        <v>1298</v>
      </c>
    </row>
    <row r="157" spans="1:8" x14ac:dyDescent="0.25">
      <c r="A157">
        <v>1518557</v>
      </c>
      <c r="B157" t="s">
        <v>1215</v>
      </c>
      <c r="C157" t="s">
        <v>33</v>
      </c>
      <c r="D157" t="s">
        <v>44</v>
      </c>
      <c r="E157" t="s">
        <v>690</v>
      </c>
      <c r="F157" t="s">
        <v>1299</v>
      </c>
      <c r="G157" t="s">
        <v>1300</v>
      </c>
      <c r="H157" t="s">
        <v>1301</v>
      </c>
    </row>
    <row r="158" spans="1:8" x14ac:dyDescent="0.25">
      <c r="A158">
        <v>1527897</v>
      </c>
      <c r="B158" t="s">
        <v>1215</v>
      </c>
      <c r="C158" t="s">
        <v>33</v>
      </c>
      <c r="D158" t="s">
        <v>683</v>
      </c>
      <c r="E158" t="s">
        <v>50</v>
      </c>
      <c r="F158" t="s">
        <v>1302</v>
      </c>
      <c r="G158" t="s">
        <v>1303</v>
      </c>
      <c r="H158" t="s">
        <v>1304</v>
      </c>
    </row>
    <row r="159" spans="1:8" x14ac:dyDescent="0.25">
      <c r="A159">
        <v>1529767</v>
      </c>
      <c r="B159" t="s">
        <v>1215</v>
      </c>
      <c r="C159" t="s">
        <v>33</v>
      </c>
      <c r="D159" t="s">
        <v>64</v>
      </c>
      <c r="E159" t="s">
        <v>742</v>
      </c>
      <c r="F159" t="s">
        <v>1305</v>
      </c>
      <c r="G159" t="s">
        <v>1306</v>
      </c>
      <c r="H159" t="s">
        <v>1307</v>
      </c>
    </row>
    <row r="160" spans="1:8" x14ac:dyDescent="0.25">
      <c r="A160">
        <v>1394654</v>
      </c>
      <c r="B160" t="s">
        <v>1308</v>
      </c>
      <c r="C160" t="s">
        <v>33</v>
      </c>
      <c r="D160" t="s">
        <v>43</v>
      </c>
      <c r="E160" t="s">
        <v>62</v>
      </c>
      <c r="F160" t="s">
        <v>1309</v>
      </c>
      <c r="G160" t="s">
        <v>564</v>
      </c>
      <c r="H160" t="s">
        <v>1310</v>
      </c>
    </row>
    <row r="161" spans="1:8" x14ac:dyDescent="0.25">
      <c r="A161">
        <v>1394657</v>
      </c>
      <c r="B161" t="s">
        <v>1308</v>
      </c>
      <c r="C161" t="s">
        <v>33</v>
      </c>
      <c r="D161" t="s">
        <v>43</v>
      </c>
      <c r="E161" t="s">
        <v>62</v>
      </c>
      <c r="F161" t="s">
        <v>1311</v>
      </c>
      <c r="G161" t="s">
        <v>1312</v>
      </c>
      <c r="H161" t="s">
        <v>1313</v>
      </c>
    </row>
    <row r="162" spans="1:8" x14ac:dyDescent="0.25">
      <c r="A162">
        <v>1433340</v>
      </c>
      <c r="B162" t="s">
        <v>1308</v>
      </c>
      <c r="C162" t="s">
        <v>33</v>
      </c>
      <c r="D162" t="s">
        <v>41</v>
      </c>
      <c r="E162" t="s">
        <v>779</v>
      </c>
      <c r="F162" t="s">
        <v>1314</v>
      </c>
      <c r="G162" t="s">
        <v>1315</v>
      </c>
      <c r="H162" t="s">
        <v>1316</v>
      </c>
    </row>
    <row r="163" spans="1:8" x14ac:dyDescent="0.25">
      <c r="A163">
        <v>1435675</v>
      </c>
      <c r="B163" t="s">
        <v>1308</v>
      </c>
      <c r="C163" t="s">
        <v>33</v>
      </c>
      <c r="D163" t="s">
        <v>1074</v>
      </c>
      <c r="E163" t="s">
        <v>1075</v>
      </c>
      <c r="F163" t="s">
        <v>1317</v>
      </c>
      <c r="G163" t="s">
        <v>1318</v>
      </c>
      <c r="H163" t="s">
        <v>1319</v>
      </c>
    </row>
    <row r="164" spans="1:8" x14ac:dyDescent="0.25">
      <c r="A164">
        <v>1435712</v>
      </c>
      <c r="B164" t="s">
        <v>1308</v>
      </c>
      <c r="C164" t="s">
        <v>33</v>
      </c>
      <c r="D164" t="s">
        <v>1074</v>
      </c>
      <c r="E164" t="s">
        <v>1075</v>
      </c>
      <c r="F164" t="s">
        <v>1320</v>
      </c>
      <c r="G164" t="s">
        <v>1321</v>
      </c>
      <c r="H164" t="s">
        <v>1322</v>
      </c>
    </row>
    <row r="165" spans="1:8" x14ac:dyDescent="0.25">
      <c r="A165">
        <v>1441926</v>
      </c>
      <c r="B165" t="s">
        <v>1308</v>
      </c>
      <c r="C165" t="s">
        <v>33</v>
      </c>
      <c r="D165" t="s">
        <v>43</v>
      </c>
      <c r="E165" t="s">
        <v>265</v>
      </c>
      <c r="F165" t="s">
        <v>1323</v>
      </c>
      <c r="G165" t="s">
        <v>1324</v>
      </c>
      <c r="H165" t="s">
        <v>1325</v>
      </c>
    </row>
    <row r="166" spans="1:8" x14ac:dyDescent="0.25">
      <c r="A166">
        <v>1441930</v>
      </c>
      <c r="B166" t="s">
        <v>1308</v>
      </c>
      <c r="C166" t="s">
        <v>33</v>
      </c>
      <c r="D166" t="s">
        <v>43</v>
      </c>
      <c r="E166" t="s">
        <v>265</v>
      </c>
      <c r="F166" t="s">
        <v>1326</v>
      </c>
      <c r="G166" t="s">
        <v>1327</v>
      </c>
      <c r="H166" t="s">
        <v>1328</v>
      </c>
    </row>
    <row r="167" spans="1:8" x14ac:dyDescent="0.25">
      <c r="A167">
        <v>1448637</v>
      </c>
      <c r="B167" t="s">
        <v>1308</v>
      </c>
      <c r="C167" t="s">
        <v>33</v>
      </c>
      <c r="D167" t="s">
        <v>43</v>
      </c>
      <c r="E167" t="s">
        <v>692</v>
      </c>
      <c r="F167" t="s">
        <v>1329</v>
      </c>
      <c r="G167" t="s">
        <v>1330</v>
      </c>
      <c r="H167" t="s">
        <v>1331</v>
      </c>
    </row>
    <row r="168" spans="1:8" x14ac:dyDescent="0.25">
      <c r="A168">
        <v>1448641</v>
      </c>
      <c r="B168" t="s">
        <v>1308</v>
      </c>
      <c r="C168" t="s">
        <v>33</v>
      </c>
      <c r="D168" t="s">
        <v>43</v>
      </c>
      <c r="E168" t="s">
        <v>692</v>
      </c>
      <c r="F168" t="s">
        <v>1332</v>
      </c>
      <c r="G168" t="s">
        <v>1333</v>
      </c>
      <c r="H168" t="s">
        <v>1334</v>
      </c>
    </row>
    <row r="169" spans="1:8" x14ac:dyDescent="0.25">
      <c r="A169">
        <v>1448643</v>
      </c>
      <c r="B169" t="s">
        <v>1308</v>
      </c>
      <c r="C169" t="s">
        <v>33</v>
      </c>
      <c r="D169" t="s">
        <v>43</v>
      </c>
      <c r="E169" t="s">
        <v>692</v>
      </c>
      <c r="F169" t="s">
        <v>1335</v>
      </c>
      <c r="G169" t="s">
        <v>1336</v>
      </c>
      <c r="H169" t="s">
        <v>1337</v>
      </c>
    </row>
    <row r="170" spans="1:8" x14ac:dyDescent="0.25">
      <c r="A170">
        <v>1448871</v>
      </c>
      <c r="B170" t="s">
        <v>1308</v>
      </c>
      <c r="C170" t="s">
        <v>33</v>
      </c>
      <c r="D170" t="s">
        <v>43</v>
      </c>
      <c r="E170" t="s">
        <v>693</v>
      </c>
      <c r="F170" t="s">
        <v>1338</v>
      </c>
      <c r="G170" t="s">
        <v>1339</v>
      </c>
      <c r="H170" t="s">
        <v>1340</v>
      </c>
    </row>
    <row r="171" spans="1:8" x14ac:dyDescent="0.25">
      <c r="A171">
        <v>1448872</v>
      </c>
      <c r="B171" t="s">
        <v>1308</v>
      </c>
      <c r="C171" t="s">
        <v>33</v>
      </c>
      <c r="D171" t="s">
        <v>43</v>
      </c>
      <c r="E171" t="s">
        <v>693</v>
      </c>
      <c r="F171" t="s">
        <v>1341</v>
      </c>
      <c r="G171" t="s">
        <v>1342</v>
      </c>
      <c r="H171" t="s">
        <v>1343</v>
      </c>
    </row>
    <row r="172" spans="1:8" x14ac:dyDescent="0.25">
      <c r="A172">
        <v>1448873</v>
      </c>
      <c r="B172" t="s">
        <v>1308</v>
      </c>
      <c r="C172" t="s">
        <v>33</v>
      </c>
      <c r="D172" t="s">
        <v>43</v>
      </c>
      <c r="E172" t="s">
        <v>693</v>
      </c>
      <c r="F172" t="s">
        <v>1344</v>
      </c>
      <c r="G172" t="s">
        <v>1345</v>
      </c>
      <c r="H172" t="s">
        <v>1346</v>
      </c>
    </row>
    <row r="173" spans="1:8" x14ac:dyDescent="0.25">
      <c r="A173">
        <v>1448874</v>
      </c>
      <c r="B173" t="s">
        <v>1308</v>
      </c>
      <c r="C173" t="s">
        <v>33</v>
      </c>
      <c r="D173" t="s">
        <v>43</v>
      </c>
      <c r="E173" t="s">
        <v>693</v>
      </c>
      <c r="F173" t="s">
        <v>1347</v>
      </c>
      <c r="G173" t="s">
        <v>1348</v>
      </c>
      <c r="H173" t="s">
        <v>1349</v>
      </c>
    </row>
    <row r="174" spans="1:8" x14ac:dyDescent="0.25">
      <c r="A174">
        <v>1448875</v>
      </c>
      <c r="B174" t="s">
        <v>1308</v>
      </c>
      <c r="C174" t="s">
        <v>33</v>
      </c>
      <c r="D174" t="s">
        <v>43</v>
      </c>
      <c r="E174" t="s">
        <v>693</v>
      </c>
      <c r="F174" t="s">
        <v>1350</v>
      </c>
      <c r="G174" t="s">
        <v>1351</v>
      </c>
      <c r="H174" t="s">
        <v>1352</v>
      </c>
    </row>
    <row r="175" spans="1:8" x14ac:dyDescent="0.25">
      <c r="A175">
        <v>1448876</v>
      </c>
      <c r="B175" t="s">
        <v>1308</v>
      </c>
      <c r="C175" t="s">
        <v>33</v>
      </c>
      <c r="D175" t="s">
        <v>43</v>
      </c>
      <c r="E175" t="s">
        <v>693</v>
      </c>
      <c r="F175" t="s">
        <v>1353</v>
      </c>
      <c r="G175" t="s">
        <v>1354</v>
      </c>
      <c r="H175" t="s">
        <v>1355</v>
      </c>
    </row>
    <row r="176" spans="1:8" x14ac:dyDescent="0.25">
      <c r="A176">
        <v>1452735</v>
      </c>
      <c r="B176" t="s">
        <v>1308</v>
      </c>
      <c r="C176" t="s">
        <v>33</v>
      </c>
      <c r="D176" t="s">
        <v>41</v>
      </c>
      <c r="E176" t="s">
        <v>1356</v>
      </c>
      <c r="F176" t="s">
        <v>1357</v>
      </c>
      <c r="G176" t="s">
        <v>1358</v>
      </c>
      <c r="H176" t="s">
        <v>1359</v>
      </c>
    </row>
    <row r="177" spans="1:8" x14ac:dyDescent="0.25">
      <c r="A177">
        <v>1459715</v>
      </c>
      <c r="B177" t="s">
        <v>1308</v>
      </c>
      <c r="C177" t="s">
        <v>33</v>
      </c>
      <c r="D177" t="s">
        <v>41</v>
      </c>
      <c r="E177" t="s">
        <v>763</v>
      </c>
      <c r="F177" t="s">
        <v>1360</v>
      </c>
      <c r="G177" t="s">
        <v>1361</v>
      </c>
      <c r="H177" t="s">
        <v>1362</v>
      </c>
    </row>
    <row r="178" spans="1:8" x14ac:dyDescent="0.25">
      <c r="A178">
        <v>1459716</v>
      </c>
      <c r="B178" t="s">
        <v>1308</v>
      </c>
      <c r="C178" t="s">
        <v>33</v>
      </c>
      <c r="D178" t="s">
        <v>41</v>
      </c>
      <c r="E178" t="s">
        <v>763</v>
      </c>
      <c r="F178" t="s">
        <v>1363</v>
      </c>
      <c r="G178" t="s">
        <v>665</v>
      </c>
      <c r="H178" t="s">
        <v>1364</v>
      </c>
    </row>
    <row r="179" spans="1:8" x14ac:dyDescent="0.25">
      <c r="A179">
        <v>1459717</v>
      </c>
      <c r="B179" t="s">
        <v>1308</v>
      </c>
      <c r="C179" t="s">
        <v>33</v>
      </c>
      <c r="D179" t="s">
        <v>41</v>
      </c>
      <c r="E179" t="s">
        <v>763</v>
      </c>
      <c r="F179" t="s">
        <v>1365</v>
      </c>
      <c r="G179" t="s">
        <v>1366</v>
      </c>
      <c r="H179" t="s">
        <v>1367</v>
      </c>
    </row>
    <row r="180" spans="1:8" x14ac:dyDescent="0.25">
      <c r="A180">
        <v>1460019</v>
      </c>
      <c r="B180" t="s">
        <v>1308</v>
      </c>
      <c r="C180" t="s">
        <v>33</v>
      </c>
      <c r="D180" t="s">
        <v>41</v>
      </c>
      <c r="E180" t="s">
        <v>1368</v>
      </c>
      <c r="F180" t="s">
        <v>1369</v>
      </c>
      <c r="G180" t="s">
        <v>1370</v>
      </c>
      <c r="H180" t="s">
        <v>1371</v>
      </c>
    </row>
    <row r="181" spans="1:8" x14ac:dyDescent="0.25">
      <c r="A181">
        <v>1461855</v>
      </c>
      <c r="B181" t="s">
        <v>1308</v>
      </c>
      <c r="C181" t="s">
        <v>33</v>
      </c>
      <c r="D181" t="s">
        <v>41</v>
      </c>
      <c r="E181" t="s">
        <v>766</v>
      </c>
      <c r="F181" t="s">
        <v>1372</v>
      </c>
      <c r="G181" t="s">
        <v>1373</v>
      </c>
      <c r="H181" t="s">
        <v>1374</v>
      </c>
    </row>
    <row r="182" spans="1:8" x14ac:dyDescent="0.25">
      <c r="A182">
        <v>1513497</v>
      </c>
      <c r="B182" t="s">
        <v>1308</v>
      </c>
      <c r="C182" t="s">
        <v>33</v>
      </c>
      <c r="D182" t="s">
        <v>657</v>
      </c>
      <c r="E182" t="s">
        <v>694</v>
      </c>
      <c r="F182" t="s">
        <v>1375</v>
      </c>
      <c r="G182" t="s">
        <v>1376</v>
      </c>
      <c r="H182" t="s">
        <v>1377</v>
      </c>
    </row>
    <row r="183" spans="1:8" x14ac:dyDescent="0.25">
      <c r="A183">
        <v>1525649</v>
      </c>
      <c r="B183" t="s">
        <v>1308</v>
      </c>
      <c r="C183" t="s">
        <v>33</v>
      </c>
      <c r="D183" t="s">
        <v>495</v>
      </c>
      <c r="E183" t="s">
        <v>46</v>
      </c>
      <c r="F183" t="s">
        <v>1378</v>
      </c>
      <c r="G183" t="s">
        <v>567</v>
      </c>
      <c r="H183" t="s">
        <v>1379</v>
      </c>
    </row>
    <row r="184" spans="1:8" x14ac:dyDescent="0.25">
      <c r="A184">
        <v>1527454</v>
      </c>
      <c r="B184" t="s">
        <v>1308</v>
      </c>
      <c r="C184" t="s">
        <v>33</v>
      </c>
      <c r="D184" t="s">
        <v>262</v>
      </c>
      <c r="E184" t="s">
        <v>427</v>
      </c>
      <c r="F184" t="s">
        <v>1380</v>
      </c>
      <c r="G184" t="s">
        <v>1381</v>
      </c>
      <c r="H184" t="s">
        <v>1382</v>
      </c>
    </row>
    <row r="185" spans="1:8" x14ac:dyDescent="0.25">
      <c r="A185">
        <v>1530047</v>
      </c>
      <c r="B185" t="s">
        <v>1308</v>
      </c>
      <c r="C185" t="s">
        <v>33</v>
      </c>
      <c r="D185" t="s">
        <v>676</v>
      </c>
      <c r="E185" t="s">
        <v>94</v>
      </c>
      <c r="F185" t="s">
        <v>1383</v>
      </c>
      <c r="G185" t="s">
        <v>1384</v>
      </c>
      <c r="H185" t="s">
        <v>1385</v>
      </c>
    </row>
    <row r="186" spans="1:8" x14ac:dyDescent="0.25">
      <c r="A186">
        <v>1451581</v>
      </c>
      <c r="B186" t="s">
        <v>1386</v>
      </c>
      <c r="C186" t="s">
        <v>33</v>
      </c>
      <c r="D186" t="s">
        <v>45</v>
      </c>
      <c r="E186" t="s">
        <v>46</v>
      </c>
      <c r="F186" t="s">
        <v>1387</v>
      </c>
      <c r="G186" t="s">
        <v>586</v>
      </c>
      <c r="H186" t="s">
        <v>1388</v>
      </c>
    </row>
    <row r="187" spans="1:8" x14ac:dyDescent="0.25">
      <c r="A187">
        <v>1460021</v>
      </c>
      <c r="B187" t="s">
        <v>1386</v>
      </c>
      <c r="C187" t="s">
        <v>33</v>
      </c>
      <c r="D187" t="s">
        <v>41</v>
      </c>
      <c r="E187" t="s">
        <v>1368</v>
      </c>
      <c r="F187" t="s">
        <v>1389</v>
      </c>
      <c r="G187" t="s">
        <v>1390</v>
      </c>
      <c r="H187" t="s">
        <v>1391</v>
      </c>
    </row>
    <row r="188" spans="1:8" x14ac:dyDescent="0.25">
      <c r="A188">
        <v>1461246</v>
      </c>
      <c r="B188" t="s">
        <v>1386</v>
      </c>
      <c r="C188" t="s">
        <v>33</v>
      </c>
      <c r="D188" t="s">
        <v>41</v>
      </c>
      <c r="E188" t="s">
        <v>765</v>
      </c>
      <c r="F188" t="s">
        <v>1392</v>
      </c>
      <c r="G188" t="s">
        <v>1393</v>
      </c>
      <c r="H188" t="s">
        <v>1394</v>
      </c>
    </row>
    <row r="189" spans="1:8" x14ac:dyDescent="0.25">
      <c r="A189">
        <v>1381730</v>
      </c>
      <c r="B189" t="s">
        <v>1395</v>
      </c>
      <c r="C189" t="s">
        <v>33</v>
      </c>
      <c r="D189" t="s">
        <v>52</v>
      </c>
      <c r="E189" t="s">
        <v>53</v>
      </c>
      <c r="F189" t="s">
        <v>1396</v>
      </c>
      <c r="G189" t="s">
        <v>1397</v>
      </c>
      <c r="H189" t="s">
        <v>1398</v>
      </c>
    </row>
    <row r="190" spans="1:8" x14ac:dyDescent="0.25">
      <c r="A190">
        <v>1391561</v>
      </c>
      <c r="B190" t="s">
        <v>1395</v>
      </c>
      <c r="C190" t="s">
        <v>33</v>
      </c>
      <c r="D190" t="s">
        <v>338</v>
      </c>
      <c r="E190" t="s">
        <v>50</v>
      </c>
      <c r="F190" t="s">
        <v>1399</v>
      </c>
      <c r="G190" t="s">
        <v>346</v>
      </c>
      <c r="H190" t="s">
        <v>1400</v>
      </c>
    </row>
    <row r="191" spans="1:8" x14ac:dyDescent="0.25">
      <c r="A191">
        <v>1396002</v>
      </c>
      <c r="B191" t="s">
        <v>1395</v>
      </c>
      <c r="C191" t="s">
        <v>33</v>
      </c>
      <c r="D191" t="s">
        <v>52</v>
      </c>
      <c r="E191" t="s">
        <v>413</v>
      </c>
      <c r="F191" t="s">
        <v>1401</v>
      </c>
      <c r="G191" t="s">
        <v>1402</v>
      </c>
      <c r="H191" t="s">
        <v>1403</v>
      </c>
    </row>
    <row r="192" spans="1:8" x14ac:dyDescent="0.25">
      <c r="A192">
        <v>1398187</v>
      </c>
      <c r="B192" t="s">
        <v>1395</v>
      </c>
      <c r="C192" t="s">
        <v>33</v>
      </c>
      <c r="D192" t="s">
        <v>54</v>
      </c>
      <c r="E192" t="s">
        <v>266</v>
      </c>
      <c r="F192" t="s">
        <v>528</v>
      </c>
      <c r="G192" t="s">
        <v>1404</v>
      </c>
      <c r="H192" t="s">
        <v>1405</v>
      </c>
    </row>
    <row r="193" spans="1:8" x14ac:dyDescent="0.25">
      <c r="A193">
        <v>1406842</v>
      </c>
      <c r="B193" t="s">
        <v>1395</v>
      </c>
      <c r="C193" t="s">
        <v>33</v>
      </c>
      <c r="D193" t="s">
        <v>44</v>
      </c>
      <c r="E193" t="s">
        <v>369</v>
      </c>
      <c r="F193" t="s">
        <v>1406</v>
      </c>
      <c r="G193" t="s">
        <v>1407</v>
      </c>
      <c r="H193" t="s">
        <v>1408</v>
      </c>
    </row>
    <row r="194" spans="1:8" x14ac:dyDescent="0.25">
      <c r="A194">
        <v>1410949</v>
      </c>
      <c r="B194" t="s">
        <v>1395</v>
      </c>
      <c r="C194" t="s">
        <v>33</v>
      </c>
      <c r="D194" t="s">
        <v>52</v>
      </c>
      <c r="E194" t="s">
        <v>649</v>
      </c>
      <c r="F194" t="s">
        <v>1409</v>
      </c>
      <c r="G194" t="s">
        <v>1410</v>
      </c>
      <c r="H194" t="s">
        <v>1411</v>
      </c>
    </row>
    <row r="195" spans="1:8" x14ac:dyDescent="0.25">
      <c r="A195">
        <v>1413923</v>
      </c>
      <c r="B195" t="s">
        <v>1395</v>
      </c>
      <c r="C195" t="s">
        <v>33</v>
      </c>
      <c r="D195" t="s">
        <v>54</v>
      </c>
      <c r="E195" t="s">
        <v>760</v>
      </c>
      <c r="F195" t="s">
        <v>1412</v>
      </c>
      <c r="G195" t="s">
        <v>1413</v>
      </c>
      <c r="H195" t="s">
        <v>1414</v>
      </c>
    </row>
    <row r="196" spans="1:8" x14ac:dyDescent="0.25">
      <c r="A196">
        <v>1416369</v>
      </c>
      <c r="B196" t="s">
        <v>1395</v>
      </c>
      <c r="C196" t="s">
        <v>33</v>
      </c>
      <c r="D196" t="s">
        <v>338</v>
      </c>
      <c r="E196" t="s">
        <v>339</v>
      </c>
      <c r="F196" t="s">
        <v>1415</v>
      </c>
      <c r="G196" t="s">
        <v>1416</v>
      </c>
      <c r="H196" t="s">
        <v>1417</v>
      </c>
    </row>
    <row r="197" spans="1:8" x14ac:dyDescent="0.25">
      <c r="A197">
        <v>1431397</v>
      </c>
      <c r="B197" t="s">
        <v>1395</v>
      </c>
      <c r="C197" t="s">
        <v>33</v>
      </c>
      <c r="D197" t="s">
        <v>41</v>
      </c>
      <c r="E197" t="s">
        <v>375</v>
      </c>
      <c r="F197" t="s">
        <v>1418</v>
      </c>
      <c r="G197" t="s">
        <v>1419</v>
      </c>
      <c r="H197" t="s">
        <v>1420</v>
      </c>
    </row>
    <row r="198" spans="1:8" x14ac:dyDescent="0.25">
      <c r="A198">
        <v>1431398</v>
      </c>
      <c r="B198" t="s">
        <v>1395</v>
      </c>
      <c r="C198" t="s">
        <v>33</v>
      </c>
      <c r="D198" t="s">
        <v>41</v>
      </c>
      <c r="E198" t="s">
        <v>375</v>
      </c>
      <c r="F198" t="s">
        <v>1421</v>
      </c>
      <c r="G198" t="s">
        <v>1422</v>
      </c>
      <c r="H198" t="s">
        <v>1423</v>
      </c>
    </row>
    <row r="199" spans="1:8" x14ac:dyDescent="0.25">
      <c r="A199">
        <v>1431777</v>
      </c>
      <c r="B199" t="s">
        <v>1395</v>
      </c>
      <c r="C199" t="s">
        <v>33</v>
      </c>
      <c r="D199" t="s">
        <v>41</v>
      </c>
      <c r="E199" t="s">
        <v>361</v>
      </c>
      <c r="F199" t="s">
        <v>1424</v>
      </c>
      <c r="G199" t="s">
        <v>1425</v>
      </c>
      <c r="H199" t="s">
        <v>1426</v>
      </c>
    </row>
    <row r="200" spans="1:8" x14ac:dyDescent="0.25">
      <c r="A200">
        <v>1432420</v>
      </c>
      <c r="B200" t="s">
        <v>1395</v>
      </c>
      <c r="C200" t="s">
        <v>33</v>
      </c>
      <c r="D200" t="s">
        <v>41</v>
      </c>
      <c r="E200" t="s">
        <v>762</v>
      </c>
      <c r="F200" t="s">
        <v>1427</v>
      </c>
      <c r="G200" t="s">
        <v>1428</v>
      </c>
      <c r="H200" t="s">
        <v>1429</v>
      </c>
    </row>
    <row r="201" spans="1:8" x14ac:dyDescent="0.25">
      <c r="A201">
        <v>1432423</v>
      </c>
      <c r="B201" t="s">
        <v>1395</v>
      </c>
      <c r="C201" t="s">
        <v>33</v>
      </c>
      <c r="D201" t="s">
        <v>41</v>
      </c>
      <c r="E201" t="s">
        <v>762</v>
      </c>
      <c r="F201" t="s">
        <v>1430</v>
      </c>
      <c r="G201" t="s">
        <v>1431</v>
      </c>
      <c r="H201" t="s">
        <v>1432</v>
      </c>
    </row>
    <row r="202" spans="1:8" x14ac:dyDescent="0.25">
      <c r="A202">
        <v>1432424</v>
      </c>
      <c r="B202" t="s">
        <v>1395</v>
      </c>
      <c r="C202" t="s">
        <v>33</v>
      </c>
      <c r="D202" t="s">
        <v>41</v>
      </c>
      <c r="E202" t="s">
        <v>762</v>
      </c>
      <c r="F202" t="s">
        <v>1433</v>
      </c>
      <c r="G202" t="s">
        <v>1434</v>
      </c>
      <c r="H202" t="s">
        <v>1435</v>
      </c>
    </row>
    <row r="203" spans="1:8" x14ac:dyDescent="0.25">
      <c r="A203">
        <v>1432428</v>
      </c>
      <c r="B203" t="s">
        <v>1395</v>
      </c>
      <c r="C203" t="s">
        <v>33</v>
      </c>
      <c r="D203" t="s">
        <v>41</v>
      </c>
      <c r="E203" t="s">
        <v>762</v>
      </c>
      <c r="F203" t="s">
        <v>1436</v>
      </c>
      <c r="G203" t="s">
        <v>1437</v>
      </c>
      <c r="H203" t="s">
        <v>1438</v>
      </c>
    </row>
    <row r="204" spans="1:8" x14ac:dyDescent="0.25">
      <c r="A204">
        <v>1433033</v>
      </c>
      <c r="B204" t="s">
        <v>1395</v>
      </c>
      <c r="C204" t="s">
        <v>33</v>
      </c>
      <c r="D204" t="s">
        <v>41</v>
      </c>
      <c r="E204" t="s">
        <v>1439</v>
      </c>
      <c r="F204" t="s">
        <v>1440</v>
      </c>
      <c r="G204" t="s">
        <v>1441</v>
      </c>
      <c r="H204" t="s">
        <v>1442</v>
      </c>
    </row>
    <row r="205" spans="1:8" x14ac:dyDescent="0.25">
      <c r="A205">
        <v>1433034</v>
      </c>
      <c r="B205" t="s">
        <v>1395</v>
      </c>
      <c r="C205" t="s">
        <v>33</v>
      </c>
      <c r="D205" t="s">
        <v>41</v>
      </c>
      <c r="E205" t="s">
        <v>1439</v>
      </c>
      <c r="F205" t="s">
        <v>1443</v>
      </c>
      <c r="G205" t="s">
        <v>1444</v>
      </c>
      <c r="H205" t="s">
        <v>1445</v>
      </c>
    </row>
    <row r="206" spans="1:8" x14ac:dyDescent="0.25">
      <c r="A206">
        <v>1433035</v>
      </c>
      <c r="B206" t="s">
        <v>1395</v>
      </c>
      <c r="C206" t="s">
        <v>33</v>
      </c>
      <c r="D206" t="s">
        <v>41</v>
      </c>
      <c r="E206" t="s">
        <v>1439</v>
      </c>
      <c r="F206" t="s">
        <v>1446</v>
      </c>
      <c r="G206" t="s">
        <v>1447</v>
      </c>
      <c r="H206" t="s">
        <v>1448</v>
      </c>
    </row>
    <row r="207" spans="1:8" x14ac:dyDescent="0.25">
      <c r="A207">
        <v>1433036</v>
      </c>
      <c r="B207" t="s">
        <v>1395</v>
      </c>
      <c r="C207" t="s">
        <v>33</v>
      </c>
      <c r="D207" t="s">
        <v>41</v>
      </c>
      <c r="E207" t="s">
        <v>1439</v>
      </c>
      <c r="F207" t="s">
        <v>1449</v>
      </c>
      <c r="G207" t="s">
        <v>1450</v>
      </c>
      <c r="H207" t="s">
        <v>1451</v>
      </c>
    </row>
    <row r="208" spans="1:8" x14ac:dyDescent="0.25">
      <c r="A208">
        <v>1433038</v>
      </c>
      <c r="B208" t="s">
        <v>1395</v>
      </c>
      <c r="C208" t="s">
        <v>33</v>
      </c>
      <c r="D208" t="s">
        <v>41</v>
      </c>
      <c r="E208" t="s">
        <v>1439</v>
      </c>
      <c r="F208" t="s">
        <v>1452</v>
      </c>
      <c r="G208" t="s">
        <v>1453</v>
      </c>
      <c r="H208" t="s">
        <v>1454</v>
      </c>
    </row>
    <row r="209" spans="1:8" x14ac:dyDescent="0.25">
      <c r="A209">
        <v>1433338</v>
      </c>
      <c r="B209" t="s">
        <v>1395</v>
      </c>
      <c r="C209" t="s">
        <v>33</v>
      </c>
      <c r="D209" t="s">
        <v>41</v>
      </c>
      <c r="E209" t="s">
        <v>779</v>
      </c>
      <c r="F209" t="s">
        <v>1455</v>
      </c>
      <c r="G209" t="s">
        <v>1456</v>
      </c>
      <c r="H209" t="s">
        <v>1457</v>
      </c>
    </row>
    <row r="210" spans="1:8" x14ac:dyDescent="0.25">
      <c r="A210">
        <v>1433339</v>
      </c>
      <c r="B210" t="s">
        <v>1395</v>
      </c>
      <c r="C210" t="s">
        <v>33</v>
      </c>
      <c r="D210" t="s">
        <v>41</v>
      </c>
      <c r="E210" t="s">
        <v>779</v>
      </c>
      <c r="F210" t="s">
        <v>1458</v>
      </c>
      <c r="G210" t="s">
        <v>1459</v>
      </c>
      <c r="H210" t="s">
        <v>1460</v>
      </c>
    </row>
    <row r="211" spans="1:8" x14ac:dyDescent="0.25">
      <c r="A211">
        <v>1433341</v>
      </c>
      <c r="B211" t="s">
        <v>1395</v>
      </c>
      <c r="C211" t="s">
        <v>33</v>
      </c>
      <c r="D211" t="s">
        <v>41</v>
      </c>
      <c r="E211" t="s">
        <v>779</v>
      </c>
      <c r="F211" t="s">
        <v>1461</v>
      </c>
      <c r="G211" t="s">
        <v>1462</v>
      </c>
      <c r="H211" t="s">
        <v>1463</v>
      </c>
    </row>
    <row r="212" spans="1:8" x14ac:dyDescent="0.25">
      <c r="A212">
        <v>1433343</v>
      </c>
      <c r="B212" t="s">
        <v>1395</v>
      </c>
      <c r="C212" t="s">
        <v>33</v>
      </c>
      <c r="D212" t="s">
        <v>41</v>
      </c>
      <c r="E212" t="s">
        <v>779</v>
      </c>
      <c r="F212" t="s">
        <v>1464</v>
      </c>
      <c r="G212" t="s">
        <v>1465</v>
      </c>
      <c r="H212" t="s">
        <v>1466</v>
      </c>
    </row>
    <row r="213" spans="1:8" x14ac:dyDescent="0.25">
      <c r="A213">
        <v>1433346</v>
      </c>
      <c r="B213" t="s">
        <v>1395</v>
      </c>
      <c r="C213" t="s">
        <v>33</v>
      </c>
      <c r="D213" t="s">
        <v>41</v>
      </c>
      <c r="E213" t="s">
        <v>779</v>
      </c>
      <c r="F213" t="s">
        <v>1467</v>
      </c>
      <c r="G213" t="s">
        <v>1468</v>
      </c>
      <c r="H213" t="s">
        <v>1469</v>
      </c>
    </row>
    <row r="214" spans="1:8" x14ac:dyDescent="0.25">
      <c r="A214">
        <v>1441929</v>
      </c>
      <c r="B214" t="s">
        <v>1395</v>
      </c>
      <c r="C214" t="s">
        <v>33</v>
      </c>
      <c r="D214" t="s">
        <v>43</v>
      </c>
      <c r="E214" t="s">
        <v>265</v>
      </c>
      <c r="F214" t="s">
        <v>1470</v>
      </c>
      <c r="G214" t="s">
        <v>563</v>
      </c>
      <c r="H214" t="s">
        <v>1471</v>
      </c>
    </row>
    <row r="215" spans="1:8" x14ac:dyDescent="0.25">
      <c r="A215">
        <v>1445899</v>
      </c>
      <c r="B215" t="s">
        <v>1395</v>
      </c>
      <c r="C215" t="s">
        <v>33</v>
      </c>
      <c r="D215" t="s">
        <v>67</v>
      </c>
      <c r="E215" t="s">
        <v>696</v>
      </c>
      <c r="F215" t="s">
        <v>1472</v>
      </c>
      <c r="G215" t="s">
        <v>1473</v>
      </c>
      <c r="H215" t="s">
        <v>1474</v>
      </c>
    </row>
    <row r="216" spans="1:8" x14ac:dyDescent="0.25">
      <c r="A216">
        <v>1452731</v>
      </c>
      <c r="B216" t="s">
        <v>1395</v>
      </c>
      <c r="C216" t="s">
        <v>33</v>
      </c>
      <c r="D216" t="s">
        <v>41</v>
      </c>
      <c r="E216" t="s">
        <v>1356</v>
      </c>
      <c r="F216" t="s">
        <v>1475</v>
      </c>
      <c r="G216" t="s">
        <v>1476</v>
      </c>
      <c r="H216" t="s">
        <v>1477</v>
      </c>
    </row>
    <row r="217" spans="1:8" x14ac:dyDescent="0.25">
      <c r="A217">
        <v>1452732</v>
      </c>
      <c r="B217" t="s">
        <v>1395</v>
      </c>
      <c r="C217" t="s">
        <v>33</v>
      </c>
      <c r="D217" t="s">
        <v>41</v>
      </c>
      <c r="E217" t="s">
        <v>1356</v>
      </c>
      <c r="F217" t="s">
        <v>1478</v>
      </c>
      <c r="G217" t="s">
        <v>1479</v>
      </c>
      <c r="H217" t="s">
        <v>1480</v>
      </c>
    </row>
    <row r="218" spans="1:8" x14ac:dyDescent="0.25">
      <c r="A218">
        <v>1452737</v>
      </c>
      <c r="B218" t="s">
        <v>1395</v>
      </c>
      <c r="C218" t="s">
        <v>33</v>
      </c>
      <c r="D218" t="s">
        <v>41</v>
      </c>
      <c r="E218" t="s">
        <v>1356</v>
      </c>
      <c r="F218" t="s">
        <v>1481</v>
      </c>
      <c r="G218" t="s">
        <v>1482</v>
      </c>
      <c r="H218" t="s">
        <v>1483</v>
      </c>
    </row>
    <row r="219" spans="1:8" x14ac:dyDescent="0.25">
      <c r="A219">
        <v>1452739</v>
      </c>
      <c r="B219" t="s">
        <v>1395</v>
      </c>
      <c r="C219" t="s">
        <v>33</v>
      </c>
      <c r="D219" t="s">
        <v>41</v>
      </c>
      <c r="E219" t="s">
        <v>1356</v>
      </c>
      <c r="F219" t="s">
        <v>1484</v>
      </c>
      <c r="G219" t="s">
        <v>1485</v>
      </c>
      <c r="H219" t="s">
        <v>1486</v>
      </c>
    </row>
    <row r="220" spans="1:8" x14ac:dyDescent="0.25">
      <c r="A220">
        <v>1458137</v>
      </c>
      <c r="B220" t="s">
        <v>1395</v>
      </c>
      <c r="C220" t="s">
        <v>33</v>
      </c>
      <c r="D220" t="s">
        <v>41</v>
      </c>
      <c r="E220" t="s">
        <v>780</v>
      </c>
      <c r="F220" t="s">
        <v>1487</v>
      </c>
      <c r="G220" t="s">
        <v>1488</v>
      </c>
      <c r="H220" t="s">
        <v>1489</v>
      </c>
    </row>
    <row r="221" spans="1:8" x14ac:dyDescent="0.25">
      <c r="A221">
        <v>1458141</v>
      </c>
      <c r="B221" t="s">
        <v>1395</v>
      </c>
      <c r="C221" t="s">
        <v>33</v>
      </c>
      <c r="D221" t="s">
        <v>41</v>
      </c>
      <c r="E221" t="s">
        <v>780</v>
      </c>
      <c r="F221" t="s">
        <v>1490</v>
      </c>
      <c r="G221" t="s">
        <v>1491</v>
      </c>
      <c r="H221" t="s">
        <v>1492</v>
      </c>
    </row>
    <row r="222" spans="1:8" x14ac:dyDescent="0.25">
      <c r="A222">
        <v>1458447</v>
      </c>
      <c r="B222" t="s">
        <v>1395</v>
      </c>
      <c r="C222" t="s">
        <v>33</v>
      </c>
      <c r="D222" t="s">
        <v>41</v>
      </c>
      <c r="E222" t="s">
        <v>781</v>
      </c>
      <c r="F222" t="s">
        <v>1493</v>
      </c>
      <c r="G222" t="s">
        <v>1494</v>
      </c>
      <c r="H222" t="s">
        <v>1495</v>
      </c>
    </row>
    <row r="223" spans="1:8" x14ac:dyDescent="0.25">
      <c r="A223">
        <v>1458448</v>
      </c>
      <c r="B223" t="s">
        <v>1395</v>
      </c>
      <c r="C223" t="s">
        <v>33</v>
      </c>
      <c r="D223" t="s">
        <v>41</v>
      </c>
      <c r="E223" t="s">
        <v>781</v>
      </c>
      <c r="F223" t="s">
        <v>1496</v>
      </c>
      <c r="G223" t="s">
        <v>1497</v>
      </c>
      <c r="H223" t="s">
        <v>1498</v>
      </c>
    </row>
    <row r="224" spans="1:8" x14ac:dyDescent="0.25">
      <c r="A224">
        <v>1458449</v>
      </c>
      <c r="B224" t="s">
        <v>1395</v>
      </c>
      <c r="C224" t="s">
        <v>33</v>
      </c>
      <c r="D224" t="s">
        <v>41</v>
      </c>
      <c r="E224" t="s">
        <v>781</v>
      </c>
      <c r="F224" t="s">
        <v>1499</v>
      </c>
      <c r="G224" t="s">
        <v>1500</v>
      </c>
      <c r="H224" t="s">
        <v>1501</v>
      </c>
    </row>
    <row r="225" spans="1:8" x14ac:dyDescent="0.25">
      <c r="A225">
        <v>1458451</v>
      </c>
      <c r="B225" t="s">
        <v>1395</v>
      </c>
      <c r="C225" t="s">
        <v>33</v>
      </c>
      <c r="D225" t="s">
        <v>41</v>
      </c>
      <c r="E225" t="s">
        <v>781</v>
      </c>
      <c r="F225" t="s">
        <v>1502</v>
      </c>
      <c r="G225" t="s">
        <v>1503</v>
      </c>
      <c r="H225" t="s">
        <v>1504</v>
      </c>
    </row>
    <row r="226" spans="1:8" x14ac:dyDescent="0.25">
      <c r="A226">
        <v>1459404</v>
      </c>
      <c r="B226" t="s">
        <v>1395</v>
      </c>
      <c r="C226" t="s">
        <v>33</v>
      </c>
      <c r="D226" t="s">
        <v>41</v>
      </c>
      <c r="E226" t="s">
        <v>785</v>
      </c>
      <c r="F226" t="s">
        <v>1505</v>
      </c>
      <c r="G226" t="s">
        <v>1506</v>
      </c>
      <c r="H226" t="s">
        <v>1507</v>
      </c>
    </row>
    <row r="227" spans="1:8" x14ac:dyDescent="0.25">
      <c r="A227">
        <v>1459406</v>
      </c>
      <c r="B227" t="s">
        <v>1395</v>
      </c>
      <c r="C227" t="s">
        <v>33</v>
      </c>
      <c r="D227" t="s">
        <v>41</v>
      </c>
      <c r="E227" t="s">
        <v>785</v>
      </c>
      <c r="F227" t="s">
        <v>1508</v>
      </c>
      <c r="G227" t="s">
        <v>1509</v>
      </c>
      <c r="H227" t="s">
        <v>1510</v>
      </c>
    </row>
    <row r="228" spans="1:8" x14ac:dyDescent="0.25">
      <c r="A228">
        <v>1459407</v>
      </c>
      <c r="B228" t="s">
        <v>1395</v>
      </c>
      <c r="C228" t="s">
        <v>33</v>
      </c>
      <c r="D228" t="s">
        <v>41</v>
      </c>
      <c r="E228" t="s">
        <v>785</v>
      </c>
      <c r="F228" t="s">
        <v>1511</v>
      </c>
      <c r="G228" t="s">
        <v>1512</v>
      </c>
      <c r="H228" t="s">
        <v>1513</v>
      </c>
    </row>
    <row r="229" spans="1:8" x14ac:dyDescent="0.25">
      <c r="A229">
        <v>1459408</v>
      </c>
      <c r="B229" t="s">
        <v>1395</v>
      </c>
      <c r="C229" t="s">
        <v>33</v>
      </c>
      <c r="D229" t="s">
        <v>41</v>
      </c>
      <c r="E229" t="s">
        <v>785</v>
      </c>
      <c r="F229" t="s">
        <v>1514</v>
      </c>
      <c r="G229" t="s">
        <v>1515</v>
      </c>
      <c r="H229" t="s">
        <v>1516</v>
      </c>
    </row>
    <row r="230" spans="1:8" x14ac:dyDescent="0.25">
      <c r="A230">
        <v>1459409</v>
      </c>
      <c r="B230" t="s">
        <v>1395</v>
      </c>
      <c r="C230" t="s">
        <v>33</v>
      </c>
      <c r="D230" t="s">
        <v>41</v>
      </c>
      <c r="E230" t="s">
        <v>785</v>
      </c>
      <c r="F230" t="s">
        <v>1517</v>
      </c>
      <c r="G230" t="s">
        <v>1518</v>
      </c>
      <c r="H230" t="s">
        <v>1519</v>
      </c>
    </row>
    <row r="231" spans="1:8" x14ac:dyDescent="0.25">
      <c r="A231">
        <v>1460017</v>
      </c>
      <c r="B231" t="s">
        <v>1395</v>
      </c>
      <c r="C231" t="s">
        <v>33</v>
      </c>
      <c r="D231" t="s">
        <v>41</v>
      </c>
      <c r="E231" t="s">
        <v>1368</v>
      </c>
      <c r="F231" t="s">
        <v>1520</v>
      </c>
      <c r="G231" t="s">
        <v>1521</v>
      </c>
      <c r="H231" t="s">
        <v>1522</v>
      </c>
    </row>
    <row r="232" spans="1:8" x14ac:dyDescent="0.25">
      <c r="A232">
        <v>1460025</v>
      </c>
      <c r="B232" t="s">
        <v>1395</v>
      </c>
      <c r="C232" t="s">
        <v>33</v>
      </c>
      <c r="D232" t="s">
        <v>41</v>
      </c>
      <c r="E232" t="s">
        <v>1368</v>
      </c>
      <c r="F232" t="s">
        <v>1523</v>
      </c>
      <c r="G232" t="s">
        <v>1524</v>
      </c>
      <c r="H232" t="s">
        <v>1525</v>
      </c>
    </row>
    <row r="233" spans="1:8" x14ac:dyDescent="0.25">
      <c r="A233">
        <v>1460326</v>
      </c>
      <c r="B233" t="s">
        <v>1395</v>
      </c>
      <c r="C233" t="s">
        <v>33</v>
      </c>
      <c r="D233" t="s">
        <v>41</v>
      </c>
      <c r="E233" t="s">
        <v>764</v>
      </c>
      <c r="F233" t="s">
        <v>1526</v>
      </c>
      <c r="G233" t="s">
        <v>1527</v>
      </c>
      <c r="H233" t="s">
        <v>1528</v>
      </c>
    </row>
    <row r="234" spans="1:8" x14ac:dyDescent="0.25">
      <c r="A234">
        <v>1460627</v>
      </c>
      <c r="B234" t="s">
        <v>1395</v>
      </c>
      <c r="C234" t="s">
        <v>33</v>
      </c>
      <c r="D234" t="s">
        <v>41</v>
      </c>
      <c r="E234" t="s">
        <v>797</v>
      </c>
      <c r="F234" t="s">
        <v>1529</v>
      </c>
      <c r="G234" t="s">
        <v>1530</v>
      </c>
      <c r="H234" t="s">
        <v>1531</v>
      </c>
    </row>
    <row r="235" spans="1:8" x14ac:dyDescent="0.25">
      <c r="A235">
        <v>1460633</v>
      </c>
      <c r="B235" t="s">
        <v>1395</v>
      </c>
      <c r="C235" t="s">
        <v>33</v>
      </c>
      <c r="D235" t="s">
        <v>41</v>
      </c>
      <c r="E235" t="s">
        <v>797</v>
      </c>
      <c r="F235" t="s">
        <v>1532</v>
      </c>
      <c r="G235" t="s">
        <v>1533</v>
      </c>
      <c r="H235" t="s">
        <v>1534</v>
      </c>
    </row>
    <row r="236" spans="1:8" x14ac:dyDescent="0.25">
      <c r="A236">
        <v>1460932</v>
      </c>
      <c r="B236" t="s">
        <v>1395</v>
      </c>
      <c r="C236" t="s">
        <v>33</v>
      </c>
      <c r="D236" t="s">
        <v>41</v>
      </c>
      <c r="E236" t="s">
        <v>782</v>
      </c>
      <c r="F236" t="s">
        <v>1535</v>
      </c>
      <c r="G236" t="s">
        <v>1536</v>
      </c>
      <c r="H236" t="s">
        <v>1537</v>
      </c>
    </row>
    <row r="237" spans="1:8" x14ac:dyDescent="0.25">
      <c r="A237">
        <v>1460933</v>
      </c>
      <c r="B237" t="s">
        <v>1395</v>
      </c>
      <c r="C237" t="s">
        <v>33</v>
      </c>
      <c r="D237" t="s">
        <v>41</v>
      </c>
      <c r="E237" t="s">
        <v>782</v>
      </c>
      <c r="F237" t="s">
        <v>799</v>
      </c>
      <c r="G237" t="s">
        <v>1538</v>
      </c>
      <c r="H237" t="s">
        <v>1539</v>
      </c>
    </row>
    <row r="238" spans="1:8" x14ac:dyDescent="0.25">
      <c r="A238">
        <v>1460935</v>
      </c>
      <c r="B238" t="s">
        <v>1395</v>
      </c>
      <c r="C238" t="s">
        <v>33</v>
      </c>
      <c r="D238" t="s">
        <v>41</v>
      </c>
      <c r="E238" t="s">
        <v>782</v>
      </c>
      <c r="F238" t="s">
        <v>1540</v>
      </c>
      <c r="G238" t="s">
        <v>1541</v>
      </c>
      <c r="H238" t="s">
        <v>1542</v>
      </c>
    </row>
    <row r="239" spans="1:8" x14ac:dyDescent="0.25">
      <c r="A239">
        <v>1460936</v>
      </c>
      <c r="B239" t="s">
        <v>1395</v>
      </c>
      <c r="C239" t="s">
        <v>33</v>
      </c>
      <c r="D239" t="s">
        <v>41</v>
      </c>
      <c r="E239" t="s">
        <v>782</v>
      </c>
      <c r="F239" t="s">
        <v>1543</v>
      </c>
      <c r="G239" t="s">
        <v>1544</v>
      </c>
      <c r="H239" t="s">
        <v>1545</v>
      </c>
    </row>
    <row r="240" spans="1:8" x14ac:dyDescent="0.25">
      <c r="A240">
        <v>1460939</v>
      </c>
      <c r="B240" t="s">
        <v>1395</v>
      </c>
      <c r="C240" t="s">
        <v>33</v>
      </c>
      <c r="D240" t="s">
        <v>41</v>
      </c>
      <c r="E240" t="s">
        <v>782</v>
      </c>
      <c r="F240" t="s">
        <v>1546</v>
      </c>
      <c r="G240" t="s">
        <v>1547</v>
      </c>
      <c r="H240" t="s">
        <v>1548</v>
      </c>
    </row>
    <row r="241" spans="1:8" x14ac:dyDescent="0.25">
      <c r="A241">
        <v>1461239</v>
      </c>
      <c r="B241" t="s">
        <v>1395</v>
      </c>
      <c r="C241" t="s">
        <v>33</v>
      </c>
      <c r="D241" t="s">
        <v>41</v>
      </c>
      <c r="E241" t="s">
        <v>765</v>
      </c>
      <c r="F241" t="s">
        <v>1549</v>
      </c>
      <c r="G241" t="s">
        <v>1550</v>
      </c>
      <c r="H241" t="s">
        <v>1551</v>
      </c>
    </row>
    <row r="242" spans="1:8" x14ac:dyDescent="0.25">
      <c r="A242">
        <v>1461243</v>
      </c>
      <c r="B242" t="s">
        <v>1395</v>
      </c>
      <c r="C242" t="s">
        <v>33</v>
      </c>
      <c r="D242" t="s">
        <v>41</v>
      </c>
      <c r="E242" t="s">
        <v>765</v>
      </c>
      <c r="F242" t="s">
        <v>1552</v>
      </c>
      <c r="G242" t="s">
        <v>1553</v>
      </c>
      <c r="H242" t="s">
        <v>1554</v>
      </c>
    </row>
    <row r="243" spans="1:8" x14ac:dyDescent="0.25">
      <c r="A243">
        <v>1461547</v>
      </c>
      <c r="B243" t="s">
        <v>1395</v>
      </c>
      <c r="C243" t="s">
        <v>33</v>
      </c>
      <c r="D243" t="s">
        <v>41</v>
      </c>
      <c r="E243" t="s">
        <v>698</v>
      </c>
      <c r="F243" t="s">
        <v>1555</v>
      </c>
      <c r="G243" t="s">
        <v>1556</v>
      </c>
      <c r="H243" t="s">
        <v>1557</v>
      </c>
    </row>
    <row r="244" spans="1:8" x14ac:dyDescent="0.25">
      <c r="A244">
        <v>1461852</v>
      </c>
      <c r="B244" t="s">
        <v>1395</v>
      </c>
      <c r="C244" t="s">
        <v>33</v>
      </c>
      <c r="D244" t="s">
        <v>41</v>
      </c>
      <c r="E244" t="s">
        <v>766</v>
      </c>
      <c r="F244" t="s">
        <v>1558</v>
      </c>
      <c r="G244" t="s">
        <v>1559</v>
      </c>
      <c r="H244" t="s">
        <v>1560</v>
      </c>
    </row>
    <row r="245" spans="1:8" x14ac:dyDescent="0.25">
      <c r="A245">
        <v>1461853</v>
      </c>
      <c r="B245" t="s">
        <v>1395</v>
      </c>
      <c r="C245" t="s">
        <v>33</v>
      </c>
      <c r="D245" t="s">
        <v>41</v>
      </c>
      <c r="E245" t="s">
        <v>766</v>
      </c>
      <c r="F245" t="s">
        <v>1561</v>
      </c>
      <c r="G245" t="s">
        <v>1562</v>
      </c>
      <c r="H245" t="s">
        <v>1563</v>
      </c>
    </row>
    <row r="246" spans="1:8" x14ac:dyDescent="0.25">
      <c r="A246">
        <v>1462157</v>
      </c>
      <c r="B246" t="s">
        <v>1395</v>
      </c>
      <c r="C246" t="s">
        <v>33</v>
      </c>
      <c r="D246" t="s">
        <v>41</v>
      </c>
      <c r="E246" t="s">
        <v>1564</v>
      </c>
      <c r="F246" t="s">
        <v>1565</v>
      </c>
      <c r="G246" t="s">
        <v>1566</v>
      </c>
      <c r="H246" t="s">
        <v>1567</v>
      </c>
    </row>
    <row r="247" spans="1:8" x14ac:dyDescent="0.25">
      <c r="A247">
        <v>1462160</v>
      </c>
      <c r="B247" t="s">
        <v>1395</v>
      </c>
      <c r="C247" t="s">
        <v>33</v>
      </c>
      <c r="D247" t="s">
        <v>41</v>
      </c>
      <c r="E247" t="s">
        <v>1564</v>
      </c>
      <c r="F247" t="s">
        <v>1568</v>
      </c>
      <c r="G247" t="s">
        <v>1569</v>
      </c>
      <c r="H247" t="s">
        <v>1570</v>
      </c>
    </row>
    <row r="248" spans="1:8" x14ac:dyDescent="0.25">
      <c r="A248">
        <v>1462161</v>
      </c>
      <c r="B248" t="s">
        <v>1395</v>
      </c>
      <c r="C248" t="s">
        <v>33</v>
      </c>
      <c r="D248" t="s">
        <v>41</v>
      </c>
      <c r="E248" t="s">
        <v>1564</v>
      </c>
      <c r="F248" t="s">
        <v>1571</v>
      </c>
      <c r="G248" t="s">
        <v>1572</v>
      </c>
      <c r="H248" t="s">
        <v>1573</v>
      </c>
    </row>
    <row r="249" spans="1:8" x14ac:dyDescent="0.25">
      <c r="A249">
        <v>1462764</v>
      </c>
      <c r="B249" t="s">
        <v>1395</v>
      </c>
      <c r="C249" t="s">
        <v>33</v>
      </c>
      <c r="D249" t="s">
        <v>41</v>
      </c>
      <c r="E249" t="s">
        <v>786</v>
      </c>
      <c r="F249" t="s">
        <v>1574</v>
      </c>
      <c r="G249" t="s">
        <v>1575</v>
      </c>
      <c r="H249" t="s">
        <v>1576</v>
      </c>
    </row>
    <row r="250" spans="1:8" x14ac:dyDescent="0.25">
      <c r="A250">
        <v>1462766</v>
      </c>
      <c r="B250" t="s">
        <v>1395</v>
      </c>
      <c r="C250" t="s">
        <v>33</v>
      </c>
      <c r="D250" t="s">
        <v>41</v>
      </c>
      <c r="E250" t="s">
        <v>786</v>
      </c>
      <c r="F250" t="s">
        <v>1577</v>
      </c>
      <c r="G250" t="s">
        <v>1578</v>
      </c>
      <c r="H250" t="s">
        <v>1579</v>
      </c>
    </row>
    <row r="251" spans="1:8" x14ac:dyDescent="0.25">
      <c r="A251">
        <v>1462767</v>
      </c>
      <c r="B251" t="s">
        <v>1395</v>
      </c>
      <c r="C251" t="s">
        <v>33</v>
      </c>
      <c r="D251" t="s">
        <v>41</v>
      </c>
      <c r="E251" t="s">
        <v>786</v>
      </c>
      <c r="F251" t="s">
        <v>1580</v>
      </c>
      <c r="G251" t="s">
        <v>1581</v>
      </c>
      <c r="H251" t="s">
        <v>1582</v>
      </c>
    </row>
    <row r="252" spans="1:8" x14ac:dyDescent="0.25">
      <c r="A252">
        <v>1463371</v>
      </c>
      <c r="B252" t="s">
        <v>1395</v>
      </c>
      <c r="C252" t="s">
        <v>33</v>
      </c>
      <c r="D252" t="s">
        <v>41</v>
      </c>
      <c r="E252" t="s">
        <v>769</v>
      </c>
      <c r="F252" t="s">
        <v>1583</v>
      </c>
      <c r="G252" t="s">
        <v>1584</v>
      </c>
      <c r="H252" t="s">
        <v>1585</v>
      </c>
    </row>
    <row r="253" spans="1:8" x14ac:dyDescent="0.25">
      <c r="A253">
        <v>1463373</v>
      </c>
      <c r="B253" t="s">
        <v>1395</v>
      </c>
      <c r="C253" t="s">
        <v>33</v>
      </c>
      <c r="D253" t="s">
        <v>41</v>
      </c>
      <c r="E253" t="s">
        <v>769</v>
      </c>
      <c r="F253" t="s">
        <v>1586</v>
      </c>
      <c r="G253" t="s">
        <v>1587</v>
      </c>
      <c r="H253" t="s">
        <v>1588</v>
      </c>
    </row>
    <row r="254" spans="1:8" x14ac:dyDescent="0.25">
      <c r="A254">
        <v>1477833</v>
      </c>
      <c r="B254" t="s">
        <v>1395</v>
      </c>
      <c r="C254" t="s">
        <v>33</v>
      </c>
      <c r="D254" t="s">
        <v>407</v>
      </c>
      <c r="E254" t="s">
        <v>408</v>
      </c>
      <c r="F254" t="s">
        <v>1589</v>
      </c>
      <c r="G254" t="s">
        <v>1590</v>
      </c>
      <c r="H254" t="s">
        <v>1591</v>
      </c>
    </row>
    <row r="255" spans="1:8" x14ac:dyDescent="0.25">
      <c r="A255">
        <v>1479999</v>
      </c>
      <c r="B255" t="s">
        <v>1395</v>
      </c>
      <c r="C255" t="s">
        <v>33</v>
      </c>
      <c r="D255" t="s">
        <v>41</v>
      </c>
      <c r="E255" t="s">
        <v>1356</v>
      </c>
      <c r="F255" t="s">
        <v>1592</v>
      </c>
      <c r="G255" t="s">
        <v>1593</v>
      </c>
      <c r="H255" t="s">
        <v>1594</v>
      </c>
    </row>
    <row r="256" spans="1:8" x14ac:dyDescent="0.25">
      <c r="A256">
        <v>1481907</v>
      </c>
      <c r="B256" t="s">
        <v>1395</v>
      </c>
      <c r="C256" t="s">
        <v>33</v>
      </c>
      <c r="D256" t="s">
        <v>52</v>
      </c>
      <c r="E256" t="s">
        <v>411</v>
      </c>
      <c r="F256" t="s">
        <v>1595</v>
      </c>
      <c r="G256" t="s">
        <v>1596</v>
      </c>
      <c r="H256" t="s">
        <v>1597</v>
      </c>
    </row>
    <row r="257" spans="1:8" x14ac:dyDescent="0.25">
      <c r="A257">
        <v>1491084</v>
      </c>
      <c r="B257" t="s">
        <v>1395</v>
      </c>
      <c r="C257" t="s">
        <v>33</v>
      </c>
      <c r="D257" t="s">
        <v>107</v>
      </c>
      <c r="E257" t="s">
        <v>108</v>
      </c>
      <c r="F257" t="s">
        <v>1598</v>
      </c>
      <c r="G257" t="s">
        <v>288</v>
      </c>
      <c r="H257" t="s">
        <v>1599</v>
      </c>
    </row>
    <row r="258" spans="1:8" x14ac:dyDescent="0.25">
      <c r="A258">
        <v>1491085</v>
      </c>
      <c r="B258" t="s">
        <v>1395</v>
      </c>
      <c r="C258" t="s">
        <v>33</v>
      </c>
      <c r="D258" t="s">
        <v>107</v>
      </c>
      <c r="E258" t="s">
        <v>108</v>
      </c>
      <c r="F258" t="s">
        <v>1600</v>
      </c>
      <c r="G258" t="s">
        <v>1601</v>
      </c>
      <c r="H258" t="s">
        <v>1602</v>
      </c>
    </row>
    <row r="259" spans="1:8" x14ac:dyDescent="0.25">
      <c r="A259">
        <v>1509065</v>
      </c>
      <c r="B259" t="s">
        <v>1395</v>
      </c>
      <c r="C259" t="s">
        <v>33</v>
      </c>
      <c r="D259" t="s">
        <v>438</v>
      </c>
      <c r="E259" t="s">
        <v>439</v>
      </c>
      <c r="F259" t="s">
        <v>1603</v>
      </c>
      <c r="G259" t="s">
        <v>515</v>
      </c>
      <c r="H259" t="s">
        <v>1604</v>
      </c>
    </row>
    <row r="260" spans="1:8" x14ac:dyDescent="0.25">
      <c r="A260">
        <v>1511761</v>
      </c>
      <c r="B260" t="s">
        <v>1395</v>
      </c>
      <c r="C260" t="s">
        <v>33</v>
      </c>
      <c r="D260" t="s">
        <v>405</v>
      </c>
      <c r="E260" t="s">
        <v>1139</v>
      </c>
      <c r="F260" t="s">
        <v>1605</v>
      </c>
      <c r="G260" t="s">
        <v>1606</v>
      </c>
      <c r="H260" t="s">
        <v>1607</v>
      </c>
    </row>
    <row r="261" spans="1:8" x14ac:dyDescent="0.25">
      <c r="A261">
        <v>1511763</v>
      </c>
      <c r="B261" t="s">
        <v>1395</v>
      </c>
      <c r="C261" t="s">
        <v>33</v>
      </c>
      <c r="D261" t="s">
        <v>405</v>
      </c>
      <c r="E261" t="s">
        <v>1139</v>
      </c>
      <c r="F261" t="s">
        <v>1608</v>
      </c>
      <c r="G261" t="s">
        <v>1609</v>
      </c>
      <c r="H261" t="s">
        <v>1610</v>
      </c>
    </row>
    <row r="262" spans="1:8" x14ac:dyDescent="0.25">
      <c r="A262">
        <v>1511764</v>
      </c>
      <c r="B262" t="s">
        <v>1395</v>
      </c>
      <c r="C262" t="s">
        <v>33</v>
      </c>
      <c r="D262" t="s">
        <v>405</v>
      </c>
      <c r="E262" t="s">
        <v>1139</v>
      </c>
      <c r="F262" t="s">
        <v>1611</v>
      </c>
      <c r="G262" t="s">
        <v>1612</v>
      </c>
      <c r="H262" t="s">
        <v>1613</v>
      </c>
    </row>
    <row r="263" spans="1:8" x14ac:dyDescent="0.25">
      <c r="A263">
        <v>1515022</v>
      </c>
      <c r="B263" t="s">
        <v>1395</v>
      </c>
      <c r="C263" t="s">
        <v>33</v>
      </c>
      <c r="D263" t="s">
        <v>54</v>
      </c>
      <c r="E263" t="s">
        <v>771</v>
      </c>
      <c r="F263" t="s">
        <v>1614</v>
      </c>
      <c r="G263" t="s">
        <v>1615</v>
      </c>
      <c r="H263" t="s">
        <v>1616</v>
      </c>
    </row>
    <row r="264" spans="1:8" x14ac:dyDescent="0.25">
      <c r="A264">
        <v>1518030</v>
      </c>
      <c r="B264" t="s">
        <v>1395</v>
      </c>
      <c r="C264" t="s">
        <v>33</v>
      </c>
      <c r="D264" t="s">
        <v>407</v>
      </c>
      <c r="E264" t="s">
        <v>415</v>
      </c>
      <c r="F264" t="s">
        <v>1617</v>
      </c>
      <c r="G264" t="s">
        <v>1618</v>
      </c>
      <c r="H264" t="s">
        <v>1619</v>
      </c>
    </row>
    <row r="265" spans="1:8" x14ac:dyDescent="0.25">
      <c r="A265">
        <v>1518031</v>
      </c>
      <c r="B265" t="s">
        <v>1395</v>
      </c>
      <c r="C265" t="s">
        <v>33</v>
      </c>
      <c r="D265" t="s">
        <v>407</v>
      </c>
      <c r="E265" t="s">
        <v>415</v>
      </c>
      <c r="F265" t="s">
        <v>1620</v>
      </c>
      <c r="G265" t="s">
        <v>1621</v>
      </c>
      <c r="H265" t="s">
        <v>1622</v>
      </c>
    </row>
    <row r="266" spans="1:8" x14ac:dyDescent="0.25">
      <c r="A266">
        <v>1522290</v>
      </c>
      <c r="B266" t="s">
        <v>1395</v>
      </c>
      <c r="C266" t="s">
        <v>33</v>
      </c>
      <c r="D266" t="s">
        <v>417</v>
      </c>
      <c r="E266" t="s">
        <v>699</v>
      </c>
      <c r="F266" t="s">
        <v>1623</v>
      </c>
      <c r="G266" t="s">
        <v>1624</v>
      </c>
      <c r="H266" t="s">
        <v>1625</v>
      </c>
    </row>
    <row r="267" spans="1:8" x14ac:dyDescent="0.25">
      <c r="A267">
        <v>1523066</v>
      </c>
      <c r="B267" t="s">
        <v>1395</v>
      </c>
      <c r="C267" t="s">
        <v>33</v>
      </c>
      <c r="D267" t="s">
        <v>451</v>
      </c>
      <c r="E267" t="s">
        <v>82</v>
      </c>
      <c r="F267" t="s">
        <v>1626</v>
      </c>
      <c r="G267" t="s">
        <v>1627</v>
      </c>
      <c r="H267" t="s">
        <v>1628</v>
      </c>
    </row>
    <row r="268" spans="1:8" x14ac:dyDescent="0.25">
      <c r="A268">
        <v>1525508</v>
      </c>
      <c r="B268" t="s">
        <v>1395</v>
      </c>
      <c r="C268" t="s">
        <v>33</v>
      </c>
      <c r="D268" t="s">
        <v>678</v>
      </c>
      <c r="E268" t="s">
        <v>679</v>
      </c>
      <c r="F268" t="s">
        <v>1629</v>
      </c>
      <c r="G268" t="s">
        <v>1630</v>
      </c>
      <c r="H268" t="s">
        <v>1631</v>
      </c>
    </row>
    <row r="269" spans="1:8" x14ac:dyDescent="0.25">
      <c r="A269">
        <v>1526273</v>
      </c>
      <c r="B269" t="s">
        <v>1395</v>
      </c>
      <c r="C269" t="s">
        <v>33</v>
      </c>
      <c r="D269" t="s">
        <v>702</v>
      </c>
      <c r="E269" t="s">
        <v>703</v>
      </c>
      <c r="F269" t="s">
        <v>1632</v>
      </c>
      <c r="G269" t="s">
        <v>1633</v>
      </c>
      <c r="H269" t="s">
        <v>1634</v>
      </c>
    </row>
    <row r="270" spans="1:8" x14ac:dyDescent="0.25">
      <c r="A270">
        <v>1526274</v>
      </c>
      <c r="B270" t="s">
        <v>1395</v>
      </c>
      <c r="C270" t="s">
        <v>33</v>
      </c>
      <c r="D270" t="s">
        <v>702</v>
      </c>
      <c r="E270" t="s">
        <v>703</v>
      </c>
      <c r="F270" t="s">
        <v>1635</v>
      </c>
      <c r="G270" t="s">
        <v>1636</v>
      </c>
      <c r="H270" t="s">
        <v>1637</v>
      </c>
    </row>
    <row r="271" spans="1:8" x14ac:dyDescent="0.25">
      <c r="A271">
        <v>1526275</v>
      </c>
      <c r="B271" t="s">
        <v>1395</v>
      </c>
      <c r="C271" t="s">
        <v>33</v>
      </c>
      <c r="D271" t="s">
        <v>702</v>
      </c>
      <c r="E271" t="s">
        <v>703</v>
      </c>
      <c r="F271" t="s">
        <v>1638</v>
      </c>
      <c r="G271" t="s">
        <v>1639</v>
      </c>
      <c r="H271" t="s">
        <v>1640</v>
      </c>
    </row>
    <row r="272" spans="1:8" x14ac:dyDescent="0.25">
      <c r="A272">
        <v>1527644</v>
      </c>
      <c r="B272" t="s">
        <v>1395</v>
      </c>
      <c r="C272" t="s">
        <v>33</v>
      </c>
      <c r="D272" t="s">
        <v>647</v>
      </c>
      <c r="E272" t="s">
        <v>648</v>
      </c>
      <c r="F272" t="s">
        <v>1641</v>
      </c>
      <c r="G272" t="s">
        <v>1642</v>
      </c>
      <c r="H272" t="s">
        <v>1643</v>
      </c>
    </row>
    <row r="273" spans="1:8" x14ac:dyDescent="0.25">
      <c r="A273">
        <v>1527898</v>
      </c>
      <c r="B273" t="s">
        <v>1395</v>
      </c>
      <c r="C273" t="s">
        <v>33</v>
      </c>
      <c r="D273" t="s">
        <v>683</v>
      </c>
      <c r="E273" t="s">
        <v>50</v>
      </c>
      <c r="F273" t="s">
        <v>1644</v>
      </c>
      <c r="G273" t="s">
        <v>1645</v>
      </c>
      <c r="H273" t="s">
        <v>1646</v>
      </c>
    </row>
    <row r="274" spans="1:8" x14ac:dyDescent="0.25">
      <c r="A274">
        <v>1529048</v>
      </c>
      <c r="B274" t="s">
        <v>1395</v>
      </c>
      <c r="C274" t="s">
        <v>33</v>
      </c>
      <c r="D274" t="s">
        <v>684</v>
      </c>
      <c r="E274" t="s">
        <v>50</v>
      </c>
      <c r="F274" t="s">
        <v>1647</v>
      </c>
      <c r="G274" t="s">
        <v>1648</v>
      </c>
      <c r="H274" t="s">
        <v>1649</v>
      </c>
    </row>
    <row r="275" spans="1:8" x14ac:dyDescent="0.25">
      <c r="A275">
        <v>1529299</v>
      </c>
      <c r="B275" t="s">
        <v>1395</v>
      </c>
      <c r="C275" t="s">
        <v>33</v>
      </c>
      <c r="D275" t="s">
        <v>64</v>
      </c>
      <c r="E275" t="s">
        <v>412</v>
      </c>
      <c r="F275" t="s">
        <v>1650</v>
      </c>
      <c r="G275" t="s">
        <v>1651</v>
      </c>
      <c r="H275" t="s">
        <v>1652</v>
      </c>
    </row>
    <row r="276" spans="1:8" x14ac:dyDescent="0.25">
      <c r="A276">
        <v>1380594</v>
      </c>
      <c r="B276" t="s">
        <v>1653</v>
      </c>
      <c r="C276" t="s">
        <v>33</v>
      </c>
      <c r="D276" t="s">
        <v>52</v>
      </c>
      <c r="E276" t="s">
        <v>58</v>
      </c>
      <c r="F276" t="s">
        <v>1654</v>
      </c>
      <c r="G276" t="s">
        <v>1655</v>
      </c>
      <c r="H276" t="s">
        <v>1656</v>
      </c>
    </row>
    <row r="277" spans="1:8" x14ac:dyDescent="0.25">
      <c r="A277">
        <v>1381100</v>
      </c>
      <c r="B277" t="s">
        <v>1653</v>
      </c>
      <c r="C277" t="s">
        <v>33</v>
      </c>
      <c r="D277" t="s">
        <v>59</v>
      </c>
      <c r="E277" t="s">
        <v>60</v>
      </c>
      <c r="F277" t="s">
        <v>1657</v>
      </c>
      <c r="G277" t="s">
        <v>1658</v>
      </c>
      <c r="H277" t="s">
        <v>1659</v>
      </c>
    </row>
    <row r="278" spans="1:8" x14ac:dyDescent="0.25">
      <c r="A278">
        <v>1382210</v>
      </c>
      <c r="B278" t="s">
        <v>1653</v>
      </c>
      <c r="C278" t="s">
        <v>33</v>
      </c>
      <c r="D278" t="s">
        <v>59</v>
      </c>
      <c r="E278" t="s">
        <v>89</v>
      </c>
      <c r="F278" t="s">
        <v>1660</v>
      </c>
      <c r="G278" t="s">
        <v>1661</v>
      </c>
      <c r="H278" t="s">
        <v>1662</v>
      </c>
    </row>
    <row r="279" spans="1:8" x14ac:dyDescent="0.25">
      <c r="A279">
        <v>1393412</v>
      </c>
      <c r="B279" t="s">
        <v>1653</v>
      </c>
      <c r="C279" t="s">
        <v>33</v>
      </c>
      <c r="D279" t="s">
        <v>347</v>
      </c>
      <c r="E279" t="s">
        <v>348</v>
      </c>
      <c r="F279" t="s">
        <v>1663</v>
      </c>
      <c r="G279" t="s">
        <v>1664</v>
      </c>
      <c r="H279" t="s">
        <v>1665</v>
      </c>
    </row>
    <row r="280" spans="1:8" x14ac:dyDescent="0.25">
      <c r="A280">
        <v>1460629</v>
      </c>
      <c r="B280" t="s">
        <v>1653</v>
      </c>
      <c r="C280" t="s">
        <v>33</v>
      </c>
      <c r="D280" t="s">
        <v>41</v>
      </c>
      <c r="E280" t="s">
        <v>797</v>
      </c>
      <c r="F280" t="s">
        <v>1666</v>
      </c>
      <c r="G280" t="s">
        <v>1667</v>
      </c>
      <c r="H280" t="s">
        <v>1668</v>
      </c>
    </row>
    <row r="281" spans="1:8" x14ac:dyDescent="0.25">
      <c r="A281">
        <v>1461242</v>
      </c>
      <c r="B281" t="s">
        <v>1653</v>
      </c>
      <c r="C281" t="s">
        <v>33</v>
      </c>
      <c r="D281" t="s">
        <v>41</v>
      </c>
      <c r="E281" t="s">
        <v>765</v>
      </c>
      <c r="F281" t="s">
        <v>1669</v>
      </c>
      <c r="G281" t="s">
        <v>1670</v>
      </c>
      <c r="H281" t="s">
        <v>1671</v>
      </c>
    </row>
    <row r="282" spans="1:8" x14ac:dyDescent="0.25">
      <c r="A282">
        <v>1463070</v>
      </c>
      <c r="B282" t="s">
        <v>1653</v>
      </c>
      <c r="C282" t="s">
        <v>33</v>
      </c>
      <c r="D282" t="s">
        <v>41</v>
      </c>
      <c r="E282" t="s">
        <v>768</v>
      </c>
      <c r="F282" t="s">
        <v>1672</v>
      </c>
      <c r="G282" t="s">
        <v>1673</v>
      </c>
      <c r="H282" t="s">
        <v>1674</v>
      </c>
    </row>
    <row r="283" spans="1:8" x14ac:dyDescent="0.25">
      <c r="A283">
        <v>1378141</v>
      </c>
      <c r="B283" t="s">
        <v>1675</v>
      </c>
      <c r="C283" t="s">
        <v>33</v>
      </c>
      <c r="D283" t="s">
        <v>42</v>
      </c>
      <c r="E283" t="s">
        <v>61</v>
      </c>
      <c r="F283" t="s">
        <v>1676</v>
      </c>
      <c r="G283" t="s">
        <v>1677</v>
      </c>
      <c r="H283" t="s">
        <v>1678</v>
      </c>
    </row>
    <row r="284" spans="1:8" x14ac:dyDescent="0.25">
      <c r="A284">
        <v>1400185</v>
      </c>
      <c r="B284" t="s">
        <v>1675</v>
      </c>
      <c r="C284" t="s">
        <v>33</v>
      </c>
      <c r="D284" t="s">
        <v>405</v>
      </c>
      <c r="E284" t="s">
        <v>50</v>
      </c>
      <c r="F284" t="s">
        <v>1679</v>
      </c>
      <c r="G284" t="s">
        <v>1680</v>
      </c>
      <c r="H284" t="s">
        <v>1681</v>
      </c>
    </row>
    <row r="285" spans="1:8" x14ac:dyDescent="0.25">
      <c r="A285">
        <v>1407989</v>
      </c>
      <c r="B285" t="s">
        <v>1675</v>
      </c>
      <c r="C285" t="s">
        <v>33</v>
      </c>
      <c r="D285" t="s">
        <v>44</v>
      </c>
      <c r="E285" t="s">
        <v>363</v>
      </c>
      <c r="F285" t="s">
        <v>611</v>
      </c>
      <c r="G285" t="s">
        <v>1682</v>
      </c>
      <c r="H285" t="s">
        <v>1683</v>
      </c>
    </row>
    <row r="286" spans="1:8" x14ac:dyDescent="0.25">
      <c r="A286">
        <v>1439662</v>
      </c>
      <c r="B286" t="s">
        <v>1675</v>
      </c>
      <c r="C286" t="s">
        <v>33</v>
      </c>
      <c r="D286" t="s">
        <v>42</v>
      </c>
      <c r="E286" t="s">
        <v>1684</v>
      </c>
      <c r="F286" t="s">
        <v>1685</v>
      </c>
      <c r="G286" t="s">
        <v>1686</v>
      </c>
      <c r="H286" t="s">
        <v>1687</v>
      </c>
    </row>
    <row r="287" spans="1:8" x14ac:dyDescent="0.25">
      <c r="A287">
        <v>1439666</v>
      </c>
      <c r="B287" t="s">
        <v>1675</v>
      </c>
      <c r="C287" t="s">
        <v>33</v>
      </c>
      <c r="D287" t="s">
        <v>42</v>
      </c>
      <c r="E287" t="s">
        <v>1684</v>
      </c>
      <c r="F287" t="s">
        <v>1688</v>
      </c>
      <c r="G287" t="s">
        <v>1689</v>
      </c>
      <c r="H287" t="s">
        <v>1690</v>
      </c>
    </row>
    <row r="288" spans="1:8" x14ac:dyDescent="0.25">
      <c r="A288">
        <v>1452738</v>
      </c>
      <c r="B288" t="s">
        <v>1675</v>
      </c>
      <c r="C288" t="s">
        <v>33</v>
      </c>
      <c r="D288" t="s">
        <v>41</v>
      </c>
      <c r="E288" t="s">
        <v>1356</v>
      </c>
      <c r="F288" t="s">
        <v>1691</v>
      </c>
      <c r="G288" t="s">
        <v>1692</v>
      </c>
      <c r="H288" t="s">
        <v>1693</v>
      </c>
    </row>
    <row r="289" spans="1:8" x14ac:dyDescent="0.25">
      <c r="A289">
        <v>1458142</v>
      </c>
      <c r="B289" t="s">
        <v>1675</v>
      </c>
      <c r="C289" t="s">
        <v>33</v>
      </c>
      <c r="D289" t="s">
        <v>41</v>
      </c>
      <c r="E289" t="s">
        <v>780</v>
      </c>
      <c r="F289" t="s">
        <v>1694</v>
      </c>
      <c r="G289" t="s">
        <v>1695</v>
      </c>
      <c r="H289" t="s">
        <v>1696</v>
      </c>
    </row>
    <row r="290" spans="1:8" x14ac:dyDescent="0.25">
      <c r="A290">
        <v>1459411</v>
      </c>
      <c r="B290" t="s">
        <v>1675</v>
      </c>
      <c r="C290" t="s">
        <v>33</v>
      </c>
      <c r="D290" t="s">
        <v>41</v>
      </c>
      <c r="E290" t="s">
        <v>785</v>
      </c>
      <c r="F290" t="s">
        <v>1697</v>
      </c>
      <c r="G290" t="s">
        <v>1698</v>
      </c>
      <c r="H290" t="s">
        <v>1699</v>
      </c>
    </row>
    <row r="291" spans="1:8" x14ac:dyDescent="0.25">
      <c r="A291">
        <v>1460630</v>
      </c>
      <c r="B291" t="s">
        <v>1675</v>
      </c>
      <c r="C291" t="s">
        <v>33</v>
      </c>
      <c r="D291" t="s">
        <v>41</v>
      </c>
      <c r="E291" t="s">
        <v>797</v>
      </c>
      <c r="F291" t="s">
        <v>1700</v>
      </c>
      <c r="G291" t="s">
        <v>1701</v>
      </c>
      <c r="H291" t="s">
        <v>1702</v>
      </c>
    </row>
    <row r="292" spans="1:8" x14ac:dyDescent="0.25">
      <c r="A292">
        <v>1460631</v>
      </c>
      <c r="B292" t="s">
        <v>1675</v>
      </c>
      <c r="C292" t="s">
        <v>33</v>
      </c>
      <c r="D292" t="s">
        <v>41</v>
      </c>
      <c r="E292" t="s">
        <v>797</v>
      </c>
      <c r="F292" t="s">
        <v>1703</v>
      </c>
      <c r="G292" t="s">
        <v>1704</v>
      </c>
      <c r="H292" t="s">
        <v>1705</v>
      </c>
    </row>
    <row r="293" spans="1:8" x14ac:dyDescent="0.25">
      <c r="A293">
        <v>1460938</v>
      </c>
      <c r="B293" t="s">
        <v>1675</v>
      </c>
      <c r="C293" t="s">
        <v>33</v>
      </c>
      <c r="D293" t="s">
        <v>41</v>
      </c>
      <c r="E293" t="s">
        <v>782</v>
      </c>
      <c r="F293" t="s">
        <v>1706</v>
      </c>
      <c r="G293" t="s">
        <v>1707</v>
      </c>
      <c r="H293" t="s">
        <v>1708</v>
      </c>
    </row>
    <row r="294" spans="1:8" x14ac:dyDescent="0.25">
      <c r="A294">
        <v>1462155</v>
      </c>
      <c r="B294" t="s">
        <v>1675</v>
      </c>
      <c r="C294" t="s">
        <v>33</v>
      </c>
      <c r="D294" t="s">
        <v>41</v>
      </c>
      <c r="E294" t="s">
        <v>1564</v>
      </c>
      <c r="F294" t="s">
        <v>1709</v>
      </c>
      <c r="G294" t="s">
        <v>1710</v>
      </c>
      <c r="H294" t="s">
        <v>1711</v>
      </c>
    </row>
    <row r="295" spans="1:8" x14ac:dyDescent="0.25">
      <c r="A295">
        <v>1462158</v>
      </c>
      <c r="B295" t="s">
        <v>1675</v>
      </c>
      <c r="C295" t="s">
        <v>33</v>
      </c>
      <c r="D295" t="s">
        <v>41</v>
      </c>
      <c r="E295" t="s">
        <v>1564</v>
      </c>
      <c r="F295" t="s">
        <v>1712</v>
      </c>
      <c r="G295" t="s">
        <v>1713</v>
      </c>
      <c r="H295" t="s">
        <v>1714</v>
      </c>
    </row>
    <row r="296" spans="1:8" x14ac:dyDescent="0.25">
      <c r="A296">
        <v>1491081</v>
      </c>
      <c r="B296" t="s">
        <v>1675</v>
      </c>
      <c r="C296" t="s">
        <v>33</v>
      </c>
      <c r="D296" t="s">
        <v>107</v>
      </c>
      <c r="E296" t="s">
        <v>108</v>
      </c>
      <c r="F296" t="s">
        <v>289</v>
      </c>
      <c r="G296" t="s">
        <v>1715</v>
      </c>
      <c r="H296" t="s">
        <v>1716</v>
      </c>
    </row>
    <row r="297" spans="1:8" x14ac:dyDescent="0.25">
      <c r="A297">
        <v>1491087</v>
      </c>
      <c r="B297" t="s">
        <v>1675</v>
      </c>
      <c r="C297" t="s">
        <v>33</v>
      </c>
      <c r="D297" t="s">
        <v>107</v>
      </c>
      <c r="E297" t="s">
        <v>108</v>
      </c>
      <c r="F297" t="s">
        <v>1717</v>
      </c>
      <c r="G297" t="s">
        <v>1718</v>
      </c>
      <c r="H297" t="s">
        <v>1719</v>
      </c>
    </row>
    <row r="298" spans="1:8" x14ac:dyDescent="0.25">
      <c r="A298">
        <v>1518300</v>
      </c>
      <c r="B298" t="s">
        <v>1675</v>
      </c>
      <c r="C298" t="s">
        <v>33</v>
      </c>
      <c r="D298" t="s">
        <v>44</v>
      </c>
      <c r="E298" t="s">
        <v>690</v>
      </c>
      <c r="F298" t="s">
        <v>1720</v>
      </c>
      <c r="G298" t="s">
        <v>1721</v>
      </c>
      <c r="H298" t="s">
        <v>1722</v>
      </c>
    </row>
    <row r="299" spans="1:8" x14ac:dyDescent="0.25">
      <c r="A299">
        <v>1384847</v>
      </c>
      <c r="B299" t="s">
        <v>1723</v>
      </c>
      <c r="C299" t="s">
        <v>33</v>
      </c>
      <c r="D299" t="s">
        <v>409</v>
      </c>
      <c r="E299" t="s">
        <v>429</v>
      </c>
      <c r="F299" t="s">
        <v>1724</v>
      </c>
      <c r="G299" t="s">
        <v>1725</v>
      </c>
      <c r="H299" t="s">
        <v>1726</v>
      </c>
    </row>
    <row r="300" spans="1:8" x14ac:dyDescent="0.25">
      <c r="A300">
        <v>1387523</v>
      </c>
      <c r="B300" t="s">
        <v>1723</v>
      </c>
      <c r="C300" t="s">
        <v>33</v>
      </c>
      <c r="D300" t="s">
        <v>66</v>
      </c>
      <c r="E300" t="s">
        <v>268</v>
      </c>
      <c r="F300" t="s">
        <v>1727</v>
      </c>
      <c r="G300" t="s">
        <v>1728</v>
      </c>
      <c r="H300" t="s">
        <v>1729</v>
      </c>
    </row>
    <row r="301" spans="1:8" x14ac:dyDescent="0.25">
      <c r="A301">
        <v>1388211</v>
      </c>
      <c r="B301" t="s">
        <v>1723</v>
      </c>
      <c r="C301" t="s">
        <v>33</v>
      </c>
      <c r="D301" t="s">
        <v>269</v>
      </c>
      <c r="E301" t="s">
        <v>430</v>
      </c>
      <c r="F301" t="s">
        <v>1730</v>
      </c>
      <c r="G301" t="s">
        <v>1731</v>
      </c>
      <c r="H301" t="s">
        <v>1732</v>
      </c>
    </row>
    <row r="302" spans="1:8" x14ac:dyDescent="0.25">
      <c r="A302">
        <v>1395259</v>
      </c>
      <c r="B302" t="s">
        <v>1723</v>
      </c>
      <c r="C302" t="s">
        <v>33</v>
      </c>
      <c r="D302" t="s">
        <v>64</v>
      </c>
      <c r="E302" t="s">
        <v>720</v>
      </c>
      <c r="F302" t="s">
        <v>1733</v>
      </c>
      <c r="G302" t="s">
        <v>1734</v>
      </c>
      <c r="H302" t="s">
        <v>1735</v>
      </c>
    </row>
    <row r="303" spans="1:8" x14ac:dyDescent="0.25">
      <c r="A303">
        <v>1396007</v>
      </c>
      <c r="B303" t="s">
        <v>1723</v>
      </c>
      <c r="C303" t="s">
        <v>33</v>
      </c>
      <c r="D303" t="s">
        <v>52</v>
      </c>
      <c r="E303" t="s">
        <v>413</v>
      </c>
      <c r="F303" t="s">
        <v>1736</v>
      </c>
      <c r="G303" t="s">
        <v>1737</v>
      </c>
      <c r="H303" t="s">
        <v>1738</v>
      </c>
    </row>
    <row r="304" spans="1:8" x14ac:dyDescent="0.25">
      <c r="A304">
        <v>1404568</v>
      </c>
      <c r="B304" t="s">
        <v>1723</v>
      </c>
      <c r="C304" t="s">
        <v>33</v>
      </c>
      <c r="D304" t="s">
        <v>42</v>
      </c>
      <c r="E304" t="s">
        <v>264</v>
      </c>
      <c r="F304" t="s">
        <v>1739</v>
      </c>
      <c r="G304" t="s">
        <v>1740</v>
      </c>
      <c r="H304" t="s">
        <v>1741</v>
      </c>
    </row>
    <row r="305" spans="1:8" x14ac:dyDescent="0.25">
      <c r="A305">
        <v>1406266</v>
      </c>
      <c r="B305" t="s">
        <v>1723</v>
      </c>
      <c r="C305" t="s">
        <v>33</v>
      </c>
      <c r="D305" t="s">
        <v>44</v>
      </c>
      <c r="E305" t="s">
        <v>421</v>
      </c>
      <c r="F305" t="s">
        <v>1742</v>
      </c>
      <c r="G305" t="s">
        <v>1743</v>
      </c>
      <c r="H305" t="s">
        <v>1744</v>
      </c>
    </row>
    <row r="306" spans="1:8" x14ac:dyDescent="0.25">
      <c r="A306">
        <v>1406838</v>
      </c>
      <c r="B306" t="s">
        <v>1723</v>
      </c>
      <c r="C306" t="s">
        <v>33</v>
      </c>
      <c r="D306" t="s">
        <v>44</v>
      </c>
      <c r="E306" t="s">
        <v>369</v>
      </c>
      <c r="F306" t="s">
        <v>1745</v>
      </c>
      <c r="G306" t="s">
        <v>1746</v>
      </c>
      <c r="H306" t="s">
        <v>1747</v>
      </c>
    </row>
    <row r="307" spans="1:8" x14ac:dyDescent="0.25">
      <c r="A307">
        <v>1406840</v>
      </c>
      <c r="B307" t="s">
        <v>1723</v>
      </c>
      <c r="C307" t="s">
        <v>33</v>
      </c>
      <c r="D307" t="s">
        <v>44</v>
      </c>
      <c r="E307" t="s">
        <v>369</v>
      </c>
      <c r="F307" t="s">
        <v>1748</v>
      </c>
      <c r="G307" t="s">
        <v>1749</v>
      </c>
      <c r="H307" t="s">
        <v>1750</v>
      </c>
    </row>
    <row r="308" spans="1:8" x14ac:dyDescent="0.25">
      <c r="A308">
        <v>1413921</v>
      </c>
      <c r="B308" t="s">
        <v>1723</v>
      </c>
      <c r="C308" t="s">
        <v>33</v>
      </c>
      <c r="D308" t="s">
        <v>54</v>
      </c>
      <c r="E308" t="s">
        <v>760</v>
      </c>
      <c r="F308" t="s">
        <v>1751</v>
      </c>
      <c r="G308" t="s">
        <v>1752</v>
      </c>
      <c r="H308" t="s">
        <v>1753</v>
      </c>
    </row>
    <row r="309" spans="1:8" x14ac:dyDescent="0.25">
      <c r="A309">
        <v>1414661</v>
      </c>
      <c r="B309" t="s">
        <v>1723</v>
      </c>
      <c r="C309" t="s">
        <v>33</v>
      </c>
      <c r="D309" t="s">
        <v>418</v>
      </c>
      <c r="E309" t="s">
        <v>1231</v>
      </c>
      <c r="F309" t="s">
        <v>1754</v>
      </c>
      <c r="G309" t="s">
        <v>1755</v>
      </c>
      <c r="H309" t="s">
        <v>1756</v>
      </c>
    </row>
    <row r="310" spans="1:8" x14ac:dyDescent="0.25">
      <c r="A310">
        <v>1414664</v>
      </c>
      <c r="B310" t="s">
        <v>1723</v>
      </c>
      <c r="C310" t="s">
        <v>33</v>
      </c>
      <c r="D310" t="s">
        <v>418</v>
      </c>
      <c r="E310" t="s">
        <v>1231</v>
      </c>
      <c r="F310" t="s">
        <v>1757</v>
      </c>
      <c r="G310" t="s">
        <v>1758</v>
      </c>
      <c r="H310" t="s">
        <v>1759</v>
      </c>
    </row>
    <row r="311" spans="1:8" x14ac:dyDescent="0.25">
      <c r="A311">
        <v>1415087</v>
      </c>
      <c r="B311" t="s">
        <v>1723</v>
      </c>
      <c r="C311" t="s">
        <v>33</v>
      </c>
      <c r="D311" t="s">
        <v>418</v>
      </c>
      <c r="E311" t="s">
        <v>1760</v>
      </c>
      <c r="F311" t="s">
        <v>1761</v>
      </c>
      <c r="G311" t="s">
        <v>1762</v>
      </c>
      <c r="H311" t="s">
        <v>1763</v>
      </c>
    </row>
    <row r="312" spans="1:8" x14ac:dyDescent="0.25">
      <c r="A312">
        <v>1433768</v>
      </c>
      <c r="B312" t="s">
        <v>1723</v>
      </c>
      <c r="C312" t="s">
        <v>33</v>
      </c>
      <c r="D312" t="s">
        <v>79</v>
      </c>
      <c r="E312" t="s">
        <v>709</v>
      </c>
      <c r="F312" t="s">
        <v>1764</v>
      </c>
      <c r="G312" t="s">
        <v>1765</v>
      </c>
      <c r="H312" t="s">
        <v>1766</v>
      </c>
    </row>
    <row r="313" spans="1:8" x14ac:dyDescent="0.25">
      <c r="A313">
        <v>1441927</v>
      </c>
      <c r="B313" t="s">
        <v>1723</v>
      </c>
      <c r="C313" t="s">
        <v>33</v>
      </c>
      <c r="D313" t="s">
        <v>43</v>
      </c>
      <c r="E313" t="s">
        <v>265</v>
      </c>
      <c r="F313" t="s">
        <v>1767</v>
      </c>
      <c r="G313" t="s">
        <v>1768</v>
      </c>
      <c r="H313" t="s">
        <v>1769</v>
      </c>
    </row>
    <row r="314" spans="1:8" x14ac:dyDescent="0.25">
      <c r="A314">
        <v>1448406</v>
      </c>
      <c r="B314" t="s">
        <v>1723</v>
      </c>
      <c r="C314" t="s">
        <v>33</v>
      </c>
      <c r="D314" t="s">
        <v>43</v>
      </c>
      <c r="E314" t="s">
        <v>691</v>
      </c>
      <c r="F314" t="s">
        <v>1770</v>
      </c>
      <c r="G314" t="s">
        <v>1771</v>
      </c>
      <c r="H314" t="s">
        <v>1772</v>
      </c>
    </row>
    <row r="315" spans="1:8" x14ac:dyDescent="0.25">
      <c r="A315">
        <v>1460022</v>
      </c>
      <c r="B315" t="s">
        <v>1723</v>
      </c>
      <c r="C315" t="s">
        <v>33</v>
      </c>
      <c r="D315" t="s">
        <v>41</v>
      </c>
      <c r="E315" t="s">
        <v>1368</v>
      </c>
      <c r="F315" t="s">
        <v>1773</v>
      </c>
      <c r="G315" t="s">
        <v>1774</v>
      </c>
      <c r="H315" t="s">
        <v>1775</v>
      </c>
    </row>
    <row r="316" spans="1:8" x14ac:dyDescent="0.25">
      <c r="A316">
        <v>1460324</v>
      </c>
      <c r="B316" t="s">
        <v>1723</v>
      </c>
      <c r="C316" t="s">
        <v>33</v>
      </c>
      <c r="D316" t="s">
        <v>41</v>
      </c>
      <c r="E316" t="s">
        <v>764</v>
      </c>
      <c r="F316" t="s">
        <v>1776</v>
      </c>
      <c r="G316" t="s">
        <v>1777</v>
      </c>
      <c r="H316" t="s">
        <v>1778</v>
      </c>
    </row>
    <row r="317" spans="1:8" x14ac:dyDescent="0.25">
      <c r="A317">
        <v>1460632</v>
      </c>
      <c r="B317" t="s">
        <v>1723</v>
      </c>
      <c r="C317" t="s">
        <v>33</v>
      </c>
      <c r="D317" t="s">
        <v>41</v>
      </c>
      <c r="E317" t="s">
        <v>797</v>
      </c>
      <c r="F317" t="s">
        <v>1779</v>
      </c>
      <c r="G317" t="s">
        <v>1780</v>
      </c>
      <c r="H317" t="s">
        <v>1781</v>
      </c>
    </row>
    <row r="318" spans="1:8" x14ac:dyDescent="0.25">
      <c r="A318">
        <v>1461542</v>
      </c>
      <c r="B318" t="s">
        <v>1723</v>
      </c>
      <c r="C318" t="s">
        <v>33</v>
      </c>
      <c r="D318" t="s">
        <v>41</v>
      </c>
      <c r="E318" t="s">
        <v>698</v>
      </c>
      <c r="F318" t="s">
        <v>1782</v>
      </c>
      <c r="G318" t="s">
        <v>1783</v>
      </c>
      <c r="H318" t="s">
        <v>1784</v>
      </c>
    </row>
    <row r="319" spans="1:8" x14ac:dyDescent="0.25">
      <c r="A319">
        <v>1461548</v>
      </c>
      <c r="B319" t="s">
        <v>1723</v>
      </c>
      <c r="C319" t="s">
        <v>33</v>
      </c>
      <c r="D319" t="s">
        <v>41</v>
      </c>
      <c r="E319" t="s">
        <v>698</v>
      </c>
      <c r="F319" t="s">
        <v>1785</v>
      </c>
      <c r="G319" t="s">
        <v>1786</v>
      </c>
      <c r="H319" t="s">
        <v>1787</v>
      </c>
    </row>
    <row r="320" spans="1:8" x14ac:dyDescent="0.25">
      <c r="A320">
        <v>1461549</v>
      </c>
      <c r="B320" t="s">
        <v>1723</v>
      </c>
      <c r="C320" t="s">
        <v>33</v>
      </c>
      <c r="D320" t="s">
        <v>41</v>
      </c>
      <c r="E320" t="s">
        <v>698</v>
      </c>
      <c r="F320" t="s">
        <v>1788</v>
      </c>
      <c r="G320" t="s">
        <v>1789</v>
      </c>
      <c r="H320" t="s">
        <v>1790</v>
      </c>
    </row>
    <row r="321" spans="1:8" x14ac:dyDescent="0.25">
      <c r="A321">
        <v>1491263</v>
      </c>
      <c r="B321" t="s">
        <v>1723</v>
      </c>
      <c r="C321" t="s">
        <v>33</v>
      </c>
      <c r="D321" t="s">
        <v>107</v>
      </c>
      <c r="E321" t="s">
        <v>340</v>
      </c>
      <c r="F321" t="s">
        <v>1791</v>
      </c>
      <c r="G321" t="s">
        <v>1792</v>
      </c>
      <c r="H321" t="s">
        <v>1793</v>
      </c>
    </row>
    <row r="322" spans="1:8" x14ac:dyDescent="0.25">
      <c r="A322">
        <v>1501168</v>
      </c>
      <c r="B322" t="s">
        <v>1723</v>
      </c>
      <c r="C322" t="s">
        <v>33</v>
      </c>
      <c r="D322" t="s">
        <v>20</v>
      </c>
      <c r="E322" t="s">
        <v>222</v>
      </c>
      <c r="F322" t="s">
        <v>1794</v>
      </c>
      <c r="G322" t="s">
        <v>385</v>
      </c>
      <c r="H322" t="s">
        <v>1795</v>
      </c>
    </row>
    <row r="323" spans="1:8" x14ac:dyDescent="0.25">
      <c r="A323">
        <v>1509277</v>
      </c>
      <c r="B323" t="s">
        <v>1723</v>
      </c>
      <c r="C323" t="s">
        <v>33</v>
      </c>
      <c r="D323" t="s">
        <v>45</v>
      </c>
      <c r="E323" t="s">
        <v>416</v>
      </c>
      <c r="F323" t="s">
        <v>1796</v>
      </c>
      <c r="G323" t="s">
        <v>501</v>
      </c>
      <c r="H323" t="s">
        <v>1797</v>
      </c>
    </row>
    <row r="324" spans="1:8" x14ac:dyDescent="0.25">
      <c r="A324">
        <v>1512719</v>
      </c>
      <c r="B324" t="s">
        <v>1723</v>
      </c>
      <c r="C324" t="s">
        <v>33</v>
      </c>
      <c r="D324" t="s">
        <v>86</v>
      </c>
      <c r="E324" t="s">
        <v>751</v>
      </c>
      <c r="F324" t="s">
        <v>1798</v>
      </c>
      <c r="G324" t="s">
        <v>1799</v>
      </c>
      <c r="H324" t="s">
        <v>1800</v>
      </c>
    </row>
    <row r="325" spans="1:8" x14ac:dyDescent="0.25">
      <c r="A325">
        <v>1514563</v>
      </c>
      <c r="B325" t="s">
        <v>1723</v>
      </c>
      <c r="C325" t="s">
        <v>33</v>
      </c>
      <c r="D325" t="s">
        <v>68</v>
      </c>
      <c r="E325" t="s">
        <v>82</v>
      </c>
      <c r="F325" t="s">
        <v>1801</v>
      </c>
      <c r="G325" t="s">
        <v>1802</v>
      </c>
      <c r="H325" t="s">
        <v>1803</v>
      </c>
    </row>
    <row r="326" spans="1:8" x14ac:dyDescent="0.25">
      <c r="A326">
        <v>1514567</v>
      </c>
      <c r="B326" t="s">
        <v>1723</v>
      </c>
      <c r="C326" t="s">
        <v>33</v>
      </c>
      <c r="D326" t="s">
        <v>68</v>
      </c>
      <c r="E326" t="s">
        <v>82</v>
      </c>
      <c r="F326" t="s">
        <v>1804</v>
      </c>
      <c r="G326" t="s">
        <v>1805</v>
      </c>
      <c r="H326" t="s">
        <v>1806</v>
      </c>
    </row>
    <row r="327" spans="1:8" x14ac:dyDescent="0.25">
      <c r="A327">
        <v>1515592</v>
      </c>
      <c r="B327" t="s">
        <v>1723</v>
      </c>
      <c r="C327" t="s">
        <v>33</v>
      </c>
      <c r="D327" t="s">
        <v>87</v>
      </c>
      <c r="E327" t="s">
        <v>772</v>
      </c>
      <c r="F327" t="s">
        <v>1807</v>
      </c>
      <c r="G327" t="s">
        <v>1808</v>
      </c>
      <c r="H327" t="s">
        <v>1809</v>
      </c>
    </row>
    <row r="328" spans="1:8" x14ac:dyDescent="0.25">
      <c r="A328">
        <v>1515777</v>
      </c>
      <c r="B328" t="s">
        <v>1723</v>
      </c>
      <c r="C328" t="s">
        <v>33</v>
      </c>
      <c r="D328" t="s">
        <v>655</v>
      </c>
      <c r="E328" t="s">
        <v>656</v>
      </c>
      <c r="F328" t="s">
        <v>1810</v>
      </c>
      <c r="G328" t="s">
        <v>1811</v>
      </c>
      <c r="H328" t="s">
        <v>1812</v>
      </c>
    </row>
    <row r="329" spans="1:8" x14ac:dyDescent="0.25">
      <c r="A329">
        <v>1518289</v>
      </c>
      <c r="B329" t="s">
        <v>1723</v>
      </c>
      <c r="C329" t="s">
        <v>33</v>
      </c>
      <c r="D329" t="s">
        <v>44</v>
      </c>
      <c r="E329" t="s">
        <v>690</v>
      </c>
      <c r="F329" t="s">
        <v>1813</v>
      </c>
      <c r="G329" t="s">
        <v>1814</v>
      </c>
      <c r="H329" t="s">
        <v>1815</v>
      </c>
    </row>
    <row r="330" spans="1:8" x14ac:dyDescent="0.25">
      <c r="A330">
        <v>1518312</v>
      </c>
      <c r="B330" t="s">
        <v>1723</v>
      </c>
      <c r="C330" t="s">
        <v>33</v>
      </c>
      <c r="D330" t="s">
        <v>44</v>
      </c>
      <c r="E330" t="s">
        <v>690</v>
      </c>
      <c r="F330" t="s">
        <v>1816</v>
      </c>
      <c r="G330" t="s">
        <v>1817</v>
      </c>
      <c r="H330" t="s">
        <v>1818</v>
      </c>
    </row>
    <row r="331" spans="1:8" x14ac:dyDescent="0.25">
      <c r="A331">
        <v>1518550</v>
      </c>
      <c r="B331" t="s">
        <v>1723</v>
      </c>
      <c r="C331" t="s">
        <v>33</v>
      </c>
      <c r="D331" t="s">
        <v>44</v>
      </c>
      <c r="E331" t="s">
        <v>690</v>
      </c>
      <c r="F331" t="s">
        <v>1819</v>
      </c>
      <c r="G331" t="s">
        <v>1820</v>
      </c>
      <c r="H331" t="s">
        <v>1821</v>
      </c>
    </row>
    <row r="332" spans="1:8" x14ac:dyDescent="0.25">
      <c r="A332">
        <v>1522265</v>
      </c>
      <c r="B332" t="s">
        <v>1723</v>
      </c>
      <c r="C332" t="s">
        <v>33</v>
      </c>
      <c r="D332" t="s">
        <v>574</v>
      </c>
      <c r="E332" t="s">
        <v>50</v>
      </c>
      <c r="F332" t="s">
        <v>576</v>
      </c>
      <c r="G332" t="s">
        <v>596</v>
      </c>
      <c r="H332" t="s">
        <v>1822</v>
      </c>
    </row>
    <row r="333" spans="1:8" x14ac:dyDescent="0.25">
      <c r="A333">
        <v>1522266</v>
      </c>
      <c r="B333" t="s">
        <v>1723</v>
      </c>
      <c r="C333" t="s">
        <v>33</v>
      </c>
      <c r="D333" t="s">
        <v>574</v>
      </c>
      <c r="E333" t="s">
        <v>50</v>
      </c>
      <c r="F333" t="s">
        <v>594</v>
      </c>
      <c r="G333" t="s">
        <v>577</v>
      </c>
      <c r="H333" t="s">
        <v>1823</v>
      </c>
    </row>
    <row r="334" spans="1:8" x14ac:dyDescent="0.25">
      <c r="A334">
        <v>1522643</v>
      </c>
      <c r="B334" t="s">
        <v>1723</v>
      </c>
      <c r="C334" t="s">
        <v>33</v>
      </c>
      <c r="D334" t="s">
        <v>279</v>
      </c>
      <c r="E334" t="s">
        <v>362</v>
      </c>
      <c r="F334" t="s">
        <v>1824</v>
      </c>
      <c r="G334" t="s">
        <v>1825</v>
      </c>
      <c r="H334" t="s">
        <v>1826</v>
      </c>
    </row>
    <row r="335" spans="1:8" x14ac:dyDescent="0.25">
      <c r="A335">
        <v>1522644</v>
      </c>
      <c r="B335" t="s">
        <v>1723</v>
      </c>
      <c r="C335" t="s">
        <v>33</v>
      </c>
      <c r="D335" t="s">
        <v>279</v>
      </c>
      <c r="E335" t="s">
        <v>362</v>
      </c>
      <c r="F335" t="s">
        <v>456</v>
      </c>
      <c r="G335" t="s">
        <v>1827</v>
      </c>
      <c r="H335" t="s">
        <v>1828</v>
      </c>
    </row>
    <row r="336" spans="1:8" x14ac:dyDescent="0.25">
      <c r="A336">
        <v>1522649</v>
      </c>
      <c r="B336" t="s">
        <v>1723</v>
      </c>
      <c r="C336" t="s">
        <v>33</v>
      </c>
      <c r="D336" t="s">
        <v>279</v>
      </c>
      <c r="E336" t="s">
        <v>362</v>
      </c>
      <c r="F336" t="s">
        <v>1829</v>
      </c>
      <c r="G336" t="s">
        <v>1830</v>
      </c>
      <c r="H336" t="s">
        <v>1831</v>
      </c>
    </row>
    <row r="337" spans="1:8" x14ac:dyDescent="0.25">
      <c r="A337">
        <v>1522650</v>
      </c>
      <c r="B337" t="s">
        <v>1723</v>
      </c>
      <c r="C337" t="s">
        <v>33</v>
      </c>
      <c r="D337" t="s">
        <v>279</v>
      </c>
      <c r="E337" t="s">
        <v>362</v>
      </c>
      <c r="F337" t="s">
        <v>1832</v>
      </c>
      <c r="G337" t="s">
        <v>1833</v>
      </c>
      <c r="H337" t="s">
        <v>1834</v>
      </c>
    </row>
    <row r="338" spans="1:8" x14ac:dyDescent="0.25">
      <c r="A338">
        <v>1523410</v>
      </c>
      <c r="B338" t="s">
        <v>1723</v>
      </c>
      <c r="C338" t="s">
        <v>33</v>
      </c>
      <c r="D338" t="s">
        <v>66</v>
      </c>
      <c r="E338" t="s">
        <v>94</v>
      </c>
      <c r="F338" t="s">
        <v>1835</v>
      </c>
      <c r="G338" t="s">
        <v>1836</v>
      </c>
      <c r="H338" t="s">
        <v>1837</v>
      </c>
    </row>
    <row r="339" spans="1:8" x14ac:dyDescent="0.25">
      <c r="A339">
        <v>1525535</v>
      </c>
      <c r="B339" t="s">
        <v>1723</v>
      </c>
      <c r="C339" t="s">
        <v>33</v>
      </c>
      <c r="D339" t="s">
        <v>69</v>
      </c>
      <c r="E339" t="s">
        <v>48</v>
      </c>
      <c r="F339" t="s">
        <v>1838</v>
      </c>
      <c r="G339" t="s">
        <v>1839</v>
      </c>
      <c r="H339" t="s">
        <v>1840</v>
      </c>
    </row>
    <row r="340" spans="1:8" x14ac:dyDescent="0.25">
      <c r="A340">
        <v>1525537</v>
      </c>
      <c r="B340" t="s">
        <v>1723</v>
      </c>
      <c r="C340" t="s">
        <v>33</v>
      </c>
      <c r="D340" t="s">
        <v>69</v>
      </c>
      <c r="E340" t="s">
        <v>48</v>
      </c>
      <c r="F340" t="s">
        <v>1841</v>
      </c>
      <c r="G340" t="s">
        <v>1842</v>
      </c>
      <c r="H340" t="s">
        <v>1843</v>
      </c>
    </row>
    <row r="341" spans="1:8" x14ac:dyDescent="0.25">
      <c r="A341">
        <v>1525541</v>
      </c>
      <c r="B341" t="s">
        <v>1723</v>
      </c>
      <c r="C341" t="s">
        <v>33</v>
      </c>
      <c r="D341" t="s">
        <v>69</v>
      </c>
      <c r="E341" t="s">
        <v>48</v>
      </c>
      <c r="F341" t="s">
        <v>1844</v>
      </c>
      <c r="G341" t="s">
        <v>1845</v>
      </c>
      <c r="H341" t="s">
        <v>1846</v>
      </c>
    </row>
    <row r="342" spans="1:8" x14ac:dyDescent="0.25">
      <c r="A342">
        <v>1526636</v>
      </c>
      <c r="B342" t="s">
        <v>1723</v>
      </c>
      <c r="C342" t="s">
        <v>33</v>
      </c>
      <c r="D342" t="s">
        <v>711</v>
      </c>
      <c r="E342" t="s">
        <v>70</v>
      </c>
      <c r="F342" t="s">
        <v>1847</v>
      </c>
      <c r="G342" t="s">
        <v>1848</v>
      </c>
      <c r="H342" t="s">
        <v>1849</v>
      </c>
    </row>
    <row r="343" spans="1:8" x14ac:dyDescent="0.25">
      <c r="A343">
        <v>1528838</v>
      </c>
      <c r="B343" t="s">
        <v>1723</v>
      </c>
      <c r="C343" t="s">
        <v>33</v>
      </c>
      <c r="D343" t="s">
        <v>711</v>
      </c>
      <c r="E343" t="s">
        <v>1850</v>
      </c>
      <c r="F343" t="s">
        <v>1851</v>
      </c>
      <c r="G343" t="s">
        <v>1852</v>
      </c>
      <c r="H343" t="s">
        <v>1853</v>
      </c>
    </row>
    <row r="344" spans="1:8" x14ac:dyDescent="0.25">
      <c r="A344">
        <v>1528839</v>
      </c>
      <c r="B344" t="s">
        <v>1723</v>
      </c>
      <c r="C344" t="s">
        <v>33</v>
      </c>
      <c r="D344" t="s">
        <v>711</v>
      </c>
      <c r="E344" t="s">
        <v>1850</v>
      </c>
      <c r="F344" t="s">
        <v>1854</v>
      </c>
      <c r="G344" t="s">
        <v>1855</v>
      </c>
      <c r="H344" t="s">
        <v>1856</v>
      </c>
    </row>
    <row r="345" spans="1:8" x14ac:dyDescent="0.25">
      <c r="A345">
        <v>1528840</v>
      </c>
      <c r="B345" t="s">
        <v>1723</v>
      </c>
      <c r="C345" t="s">
        <v>33</v>
      </c>
      <c r="D345" t="s">
        <v>711</v>
      </c>
      <c r="E345" t="s">
        <v>1850</v>
      </c>
      <c r="F345" t="s">
        <v>1857</v>
      </c>
      <c r="G345" t="s">
        <v>1858</v>
      </c>
      <c r="H345" t="s">
        <v>1859</v>
      </c>
    </row>
    <row r="346" spans="1:8" x14ac:dyDescent="0.25">
      <c r="A346">
        <v>1528841</v>
      </c>
      <c r="B346" t="s">
        <v>1723</v>
      </c>
      <c r="C346" t="s">
        <v>33</v>
      </c>
      <c r="D346" t="s">
        <v>711</v>
      </c>
      <c r="E346" t="s">
        <v>1850</v>
      </c>
      <c r="F346" t="s">
        <v>1860</v>
      </c>
      <c r="G346" t="s">
        <v>1861</v>
      </c>
      <c r="H346" t="s">
        <v>1862</v>
      </c>
    </row>
    <row r="347" spans="1:8" x14ac:dyDescent="0.25">
      <c r="A347">
        <v>1528842</v>
      </c>
      <c r="B347" t="s">
        <v>1723</v>
      </c>
      <c r="C347" t="s">
        <v>33</v>
      </c>
      <c r="D347" t="s">
        <v>711</v>
      </c>
      <c r="E347" t="s">
        <v>1850</v>
      </c>
      <c r="F347" t="s">
        <v>1863</v>
      </c>
      <c r="G347" t="s">
        <v>1864</v>
      </c>
      <c r="H347" t="s">
        <v>1865</v>
      </c>
    </row>
    <row r="348" spans="1:8" x14ac:dyDescent="0.25">
      <c r="A348">
        <v>1528843</v>
      </c>
      <c r="B348" t="s">
        <v>1723</v>
      </c>
      <c r="C348" t="s">
        <v>33</v>
      </c>
      <c r="D348" t="s">
        <v>711</v>
      </c>
      <c r="E348" t="s">
        <v>1850</v>
      </c>
      <c r="F348" t="s">
        <v>1866</v>
      </c>
      <c r="G348" t="s">
        <v>1867</v>
      </c>
      <c r="H348" t="s">
        <v>1868</v>
      </c>
    </row>
    <row r="349" spans="1:8" x14ac:dyDescent="0.25">
      <c r="A349">
        <v>1528844</v>
      </c>
      <c r="B349" t="s">
        <v>1723</v>
      </c>
      <c r="C349" t="s">
        <v>33</v>
      </c>
      <c r="D349" t="s">
        <v>711</v>
      </c>
      <c r="E349" t="s">
        <v>1850</v>
      </c>
      <c r="F349" t="s">
        <v>1869</v>
      </c>
      <c r="G349" t="s">
        <v>1870</v>
      </c>
      <c r="H349" t="s">
        <v>1871</v>
      </c>
    </row>
    <row r="350" spans="1:8" x14ac:dyDescent="0.25">
      <c r="A350">
        <v>1528845</v>
      </c>
      <c r="B350" t="s">
        <v>1723</v>
      </c>
      <c r="C350" t="s">
        <v>33</v>
      </c>
      <c r="D350" t="s">
        <v>711</v>
      </c>
      <c r="E350" t="s">
        <v>1850</v>
      </c>
      <c r="F350" t="s">
        <v>1872</v>
      </c>
      <c r="G350" t="s">
        <v>1873</v>
      </c>
      <c r="H350" t="s">
        <v>1874</v>
      </c>
    </row>
    <row r="351" spans="1:8" x14ac:dyDescent="0.25">
      <c r="A351">
        <v>1528846</v>
      </c>
      <c r="B351" t="s">
        <v>1723</v>
      </c>
      <c r="C351" t="s">
        <v>33</v>
      </c>
      <c r="D351" t="s">
        <v>711</v>
      </c>
      <c r="E351" t="s">
        <v>1850</v>
      </c>
      <c r="F351" t="s">
        <v>1875</v>
      </c>
      <c r="G351" t="s">
        <v>1876</v>
      </c>
      <c r="H351" t="s">
        <v>1877</v>
      </c>
    </row>
    <row r="352" spans="1:8" x14ac:dyDescent="0.25">
      <c r="A352">
        <v>1396734</v>
      </c>
      <c r="B352" t="s">
        <v>1878</v>
      </c>
      <c r="C352" t="s">
        <v>33</v>
      </c>
      <c r="D352" t="s">
        <v>801</v>
      </c>
      <c r="E352" t="s">
        <v>802</v>
      </c>
      <c r="F352" t="s">
        <v>1879</v>
      </c>
      <c r="G352" t="s">
        <v>1880</v>
      </c>
      <c r="H352" t="s">
        <v>1881</v>
      </c>
    </row>
    <row r="353" spans="1:8" x14ac:dyDescent="0.25">
      <c r="A353">
        <v>1518032</v>
      </c>
      <c r="B353" t="s">
        <v>1878</v>
      </c>
      <c r="C353" t="s">
        <v>33</v>
      </c>
      <c r="D353" t="s">
        <v>407</v>
      </c>
      <c r="E353" t="s">
        <v>415</v>
      </c>
      <c r="F353" t="s">
        <v>1882</v>
      </c>
      <c r="G353" t="s">
        <v>1883</v>
      </c>
      <c r="H353" t="s">
        <v>1884</v>
      </c>
    </row>
    <row r="354" spans="1:8" x14ac:dyDescent="0.25">
      <c r="A354">
        <v>1522756</v>
      </c>
      <c r="B354" t="s">
        <v>1878</v>
      </c>
      <c r="C354" t="s">
        <v>33</v>
      </c>
      <c r="D354" t="s">
        <v>700</v>
      </c>
      <c r="E354" t="s">
        <v>701</v>
      </c>
      <c r="F354" t="s">
        <v>1885</v>
      </c>
      <c r="G354" t="s">
        <v>1886</v>
      </c>
      <c r="H354" t="s">
        <v>1887</v>
      </c>
    </row>
    <row r="355" spans="1:8" x14ac:dyDescent="0.25">
      <c r="A355">
        <v>1380320</v>
      </c>
      <c r="B355" t="s">
        <v>1888</v>
      </c>
      <c r="C355" t="s">
        <v>33</v>
      </c>
      <c r="D355" t="s">
        <v>418</v>
      </c>
      <c r="E355" t="s">
        <v>428</v>
      </c>
      <c r="F355" t="s">
        <v>1889</v>
      </c>
      <c r="G355" t="s">
        <v>1890</v>
      </c>
      <c r="H355" t="s">
        <v>1891</v>
      </c>
    </row>
    <row r="356" spans="1:8" x14ac:dyDescent="0.25">
      <c r="A356">
        <v>1382646</v>
      </c>
      <c r="B356" t="s">
        <v>1888</v>
      </c>
      <c r="C356" t="s">
        <v>33</v>
      </c>
      <c r="D356" t="s">
        <v>72</v>
      </c>
      <c r="E356" t="s">
        <v>376</v>
      </c>
      <c r="F356" t="s">
        <v>1892</v>
      </c>
      <c r="G356" t="s">
        <v>1893</v>
      </c>
      <c r="H356" t="s">
        <v>1894</v>
      </c>
    </row>
    <row r="357" spans="1:8" x14ac:dyDescent="0.25">
      <c r="A357">
        <v>1385990</v>
      </c>
      <c r="B357" t="s">
        <v>1888</v>
      </c>
      <c r="C357" t="s">
        <v>33</v>
      </c>
      <c r="D357" t="s">
        <v>97</v>
      </c>
      <c r="E357" t="s">
        <v>98</v>
      </c>
      <c r="F357" t="s">
        <v>1895</v>
      </c>
      <c r="G357" t="s">
        <v>603</v>
      </c>
      <c r="H357" t="s">
        <v>1896</v>
      </c>
    </row>
    <row r="358" spans="1:8" x14ac:dyDescent="0.25">
      <c r="A358">
        <v>1388833</v>
      </c>
      <c r="B358" t="s">
        <v>1888</v>
      </c>
      <c r="C358" t="s">
        <v>33</v>
      </c>
      <c r="D358" t="s">
        <v>44</v>
      </c>
      <c r="E358" t="s">
        <v>358</v>
      </c>
      <c r="F358" t="s">
        <v>1897</v>
      </c>
      <c r="G358" t="s">
        <v>1898</v>
      </c>
      <c r="H358" t="s">
        <v>1899</v>
      </c>
    </row>
    <row r="359" spans="1:8" x14ac:dyDescent="0.25">
      <c r="A359">
        <v>1388834</v>
      </c>
      <c r="B359" t="s">
        <v>1888</v>
      </c>
      <c r="C359" t="s">
        <v>33</v>
      </c>
      <c r="D359" t="s">
        <v>44</v>
      </c>
      <c r="E359" t="s">
        <v>358</v>
      </c>
      <c r="F359" t="s">
        <v>1900</v>
      </c>
      <c r="G359" t="s">
        <v>1901</v>
      </c>
      <c r="H359" t="s">
        <v>1902</v>
      </c>
    </row>
    <row r="360" spans="1:8" x14ac:dyDescent="0.25">
      <c r="A360">
        <v>1388837</v>
      </c>
      <c r="B360" t="s">
        <v>1888</v>
      </c>
      <c r="C360" t="s">
        <v>33</v>
      </c>
      <c r="D360" t="s">
        <v>44</v>
      </c>
      <c r="E360" t="s">
        <v>358</v>
      </c>
      <c r="F360" t="s">
        <v>1903</v>
      </c>
      <c r="G360" t="s">
        <v>1904</v>
      </c>
      <c r="H360" t="s">
        <v>1905</v>
      </c>
    </row>
    <row r="361" spans="1:8" x14ac:dyDescent="0.25">
      <c r="A361">
        <v>1392764</v>
      </c>
      <c r="B361" t="s">
        <v>1888</v>
      </c>
      <c r="C361" t="s">
        <v>33</v>
      </c>
      <c r="D361" t="s">
        <v>72</v>
      </c>
      <c r="E361" t="s">
        <v>368</v>
      </c>
      <c r="F361" t="s">
        <v>1906</v>
      </c>
      <c r="G361" t="s">
        <v>1907</v>
      </c>
      <c r="H361" t="s">
        <v>1908</v>
      </c>
    </row>
    <row r="362" spans="1:8" x14ac:dyDescent="0.25">
      <c r="A362">
        <v>1394328</v>
      </c>
      <c r="B362" t="s">
        <v>1888</v>
      </c>
      <c r="C362" t="s">
        <v>33</v>
      </c>
      <c r="D362" t="s">
        <v>44</v>
      </c>
      <c r="E362" t="s">
        <v>360</v>
      </c>
      <c r="F362" t="s">
        <v>1909</v>
      </c>
      <c r="G362" t="s">
        <v>1910</v>
      </c>
      <c r="H362" t="s">
        <v>1911</v>
      </c>
    </row>
    <row r="363" spans="1:8" x14ac:dyDescent="0.25">
      <c r="A363">
        <v>1408282</v>
      </c>
      <c r="B363" t="s">
        <v>1888</v>
      </c>
      <c r="C363" t="s">
        <v>33</v>
      </c>
      <c r="D363" t="s">
        <v>44</v>
      </c>
      <c r="E363" t="s">
        <v>706</v>
      </c>
      <c r="F363" t="s">
        <v>1912</v>
      </c>
      <c r="G363" t="s">
        <v>1913</v>
      </c>
      <c r="H363" t="s">
        <v>1914</v>
      </c>
    </row>
    <row r="364" spans="1:8" x14ac:dyDescent="0.25">
      <c r="A364">
        <v>1413315</v>
      </c>
      <c r="B364" t="s">
        <v>1888</v>
      </c>
      <c r="C364" t="s">
        <v>33</v>
      </c>
      <c r="D364" t="s">
        <v>44</v>
      </c>
      <c r="E364" t="s">
        <v>707</v>
      </c>
      <c r="F364" t="s">
        <v>1915</v>
      </c>
      <c r="G364" t="s">
        <v>1916</v>
      </c>
      <c r="H364" t="s">
        <v>1917</v>
      </c>
    </row>
    <row r="365" spans="1:8" x14ac:dyDescent="0.25">
      <c r="A365">
        <v>1421846</v>
      </c>
      <c r="B365" t="s">
        <v>1888</v>
      </c>
      <c r="C365" t="s">
        <v>33</v>
      </c>
      <c r="D365" t="s">
        <v>342</v>
      </c>
      <c r="E365" t="s">
        <v>50</v>
      </c>
      <c r="F365" t="s">
        <v>1918</v>
      </c>
      <c r="G365" t="s">
        <v>1919</v>
      </c>
      <c r="H365" t="s">
        <v>1920</v>
      </c>
    </row>
    <row r="366" spans="1:8" x14ac:dyDescent="0.25">
      <c r="A366">
        <v>1441932</v>
      </c>
      <c r="B366" t="s">
        <v>1888</v>
      </c>
      <c r="C366" t="s">
        <v>33</v>
      </c>
      <c r="D366" t="s">
        <v>43</v>
      </c>
      <c r="E366" t="s">
        <v>265</v>
      </c>
      <c r="F366" t="s">
        <v>1921</v>
      </c>
      <c r="G366" t="s">
        <v>1922</v>
      </c>
      <c r="H366" t="s">
        <v>1923</v>
      </c>
    </row>
    <row r="367" spans="1:8" x14ac:dyDescent="0.25">
      <c r="A367">
        <v>1441934</v>
      </c>
      <c r="B367" t="s">
        <v>1888</v>
      </c>
      <c r="C367" t="s">
        <v>33</v>
      </c>
      <c r="D367" t="s">
        <v>43</v>
      </c>
      <c r="E367" t="s">
        <v>265</v>
      </c>
      <c r="F367" t="s">
        <v>1924</v>
      </c>
      <c r="G367" t="s">
        <v>1925</v>
      </c>
      <c r="H367" t="s">
        <v>1926</v>
      </c>
    </row>
    <row r="368" spans="1:8" x14ac:dyDescent="0.25">
      <c r="A368">
        <v>1448403</v>
      </c>
      <c r="B368" t="s">
        <v>1888</v>
      </c>
      <c r="C368" t="s">
        <v>33</v>
      </c>
      <c r="D368" t="s">
        <v>43</v>
      </c>
      <c r="E368" t="s">
        <v>691</v>
      </c>
      <c r="F368" t="s">
        <v>1927</v>
      </c>
      <c r="G368" t="s">
        <v>1928</v>
      </c>
      <c r="H368" t="s">
        <v>1929</v>
      </c>
    </row>
    <row r="369" spans="1:8" x14ac:dyDescent="0.25">
      <c r="A369">
        <v>1448404</v>
      </c>
      <c r="B369" t="s">
        <v>1888</v>
      </c>
      <c r="C369" t="s">
        <v>33</v>
      </c>
      <c r="D369" t="s">
        <v>43</v>
      </c>
      <c r="E369" t="s">
        <v>691</v>
      </c>
      <c r="F369" t="s">
        <v>1930</v>
      </c>
      <c r="G369" t="s">
        <v>1931</v>
      </c>
      <c r="H369" t="s">
        <v>1932</v>
      </c>
    </row>
    <row r="370" spans="1:8" x14ac:dyDescent="0.25">
      <c r="A370">
        <v>1448409</v>
      </c>
      <c r="B370" t="s">
        <v>1888</v>
      </c>
      <c r="C370" t="s">
        <v>33</v>
      </c>
      <c r="D370" t="s">
        <v>43</v>
      </c>
      <c r="E370" t="s">
        <v>691</v>
      </c>
      <c r="F370" t="s">
        <v>1933</v>
      </c>
      <c r="G370" t="s">
        <v>1934</v>
      </c>
      <c r="H370" t="s">
        <v>1935</v>
      </c>
    </row>
    <row r="371" spans="1:8" x14ac:dyDescent="0.25">
      <c r="A371">
        <v>1449102</v>
      </c>
      <c r="B371" t="s">
        <v>1888</v>
      </c>
      <c r="C371" t="s">
        <v>33</v>
      </c>
      <c r="D371" t="s">
        <v>43</v>
      </c>
      <c r="E371" t="s">
        <v>697</v>
      </c>
      <c r="F371" t="s">
        <v>1936</v>
      </c>
      <c r="G371" t="s">
        <v>1937</v>
      </c>
      <c r="H371" t="s">
        <v>1938</v>
      </c>
    </row>
    <row r="372" spans="1:8" x14ac:dyDescent="0.25">
      <c r="A372">
        <v>1449103</v>
      </c>
      <c r="B372" t="s">
        <v>1888</v>
      </c>
      <c r="C372" t="s">
        <v>33</v>
      </c>
      <c r="D372" t="s">
        <v>43</v>
      </c>
      <c r="E372" t="s">
        <v>697</v>
      </c>
      <c r="F372" t="s">
        <v>1939</v>
      </c>
      <c r="G372" t="s">
        <v>1940</v>
      </c>
      <c r="H372" t="s">
        <v>1941</v>
      </c>
    </row>
    <row r="373" spans="1:8" x14ac:dyDescent="0.25">
      <c r="A373">
        <v>1449104</v>
      </c>
      <c r="B373" t="s">
        <v>1888</v>
      </c>
      <c r="C373" t="s">
        <v>33</v>
      </c>
      <c r="D373" t="s">
        <v>43</v>
      </c>
      <c r="E373" t="s">
        <v>697</v>
      </c>
      <c r="F373" t="s">
        <v>1942</v>
      </c>
      <c r="G373" t="s">
        <v>1943</v>
      </c>
      <c r="H373" t="s">
        <v>1944</v>
      </c>
    </row>
    <row r="374" spans="1:8" x14ac:dyDescent="0.25">
      <c r="A374">
        <v>1449105</v>
      </c>
      <c r="B374" t="s">
        <v>1888</v>
      </c>
      <c r="C374" t="s">
        <v>33</v>
      </c>
      <c r="D374" t="s">
        <v>43</v>
      </c>
      <c r="E374" t="s">
        <v>697</v>
      </c>
      <c r="F374" t="s">
        <v>1945</v>
      </c>
      <c r="G374" t="s">
        <v>1946</v>
      </c>
      <c r="H374" t="s">
        <v>1947</v>
      </c>
    </row>
    <row r="375" spans="1:8" x14ac:dyDescent="0.25">
      <c r="A375">
        <v>1449107</v>
      </c>
      <c r="B375" t="s">
        <v>1888</v>
      </c>
      <c r="C375" t="s">
        <v>33</v>
      </c>
      <c r="D375" t="s">
        <v>43</v>
      </c>
      <c r="E375" t="s">
        <v>697</v>
      </c>
      <c r="F375" t="s">
        <v>1948</v>
      </c>
      <c r="G375" t="s">
        <v>1949</v>
      </c>
      <c r="H375" t="s">
        <v>1950</v>
      </c>
    </row>
    <row r="376" spans="1:8" x14ac:dyDescent="0.25">
      <c r="A376">
        <v>1449109</v>
      </c>
      <c r="B376" t="s">
        <v>1888</v>
      </c>
      <c r="C376" t="s">
        <v>33</v>
      </c>
      <c r="D376" t="s">
        <v>43</v>
      </c>
      <c r="E376" t="s">
        <v>697</v>
      </c>
      <c r="F376" t="s">
        <v>705</v>
      </c>
      <c r="G376" t="s">
        <v>1951</v>
      </c>
      <c r="H376" t="s">
        <v>1952</v>
      </c>
    </row>
    <row r="377" spans="1:8" x14ac:dyDescent="0.25">
      <c r="A377">
        <v>1480377</v>
      </c>
      <c r="B377" t="s">
        <v>1888</v>
      </c>
      <c r="C377" t="s">
        <v>33</v>
      </c>
      <c r="D377" t="s">
        <v>52</v>
      </c>
      <c r="E377" t="s">
        <v>695</v>
      </c>
      <c r="F377" t="s">
        <v>1953</v>
      </c>
      <c r="G377" t="s">
        <v>1954</v>
      </c>
      <c r="H377" t="s">
        <v>1955</v>
      </c>
    </row>
    <row r="378" spans="1:8" x14ac:dyDescent="0.25">
      <c r="A378">
        <v>1491088</v>
      </c>
      <c r="B378" t="s">
        <v>1888</v>
      </c>
      <c r="C378" t="s">
        <v>33</v>
      </c>
      <c r="D378" t="s">
        <v>107</v>
      </c>
      <c r="E378" t="s">
        <v>108</v>
      </c>
      <c r="F378" t="s">
        <v>1956</v>
      </c>
      <c r="G378" t="s">
        <v>1957</v>
      </c>
      <c r="H378" t="s">
        <v>1958</v>
      </c>
    </row>
    <row r="379" spans="1:8" x14ac:dyDescent="0.25">
      <c r="A379">
        <v>1513498</v>
      </c>
      <c r="B379" t="s">
        <v>1888</v>
      </c>
      <c r="C379" t="s">
        <v>33</v>
      </c>
      <c r="D379" t="s">
        <v>657</v>
      </c>
      <c r="E379" t="s">
        <v>694</v>
      </c>
      <c r="F379" t="s">
        <v>1959</v>
      </c>
      <c r="G379" t="s">
        <v>1960</v>
      </c>
      <c r="H379" t="s">
        <v>1961</v>
      </c>
    </row>
    <row r="380" spans="1:8" x14ac:dyDescent="0.25">
      <c r="A380">
        <v>1530608</v>
      </c>
      <c r="B380" t="s">
        <v>1888</v>
      </c>
      <c r="C380" t="s">
        <v>33</v>
      </c>
      <c r="D380" t="s">
        <v>20</v>
      </c>
      <c r="E380" t="s">
        <v>718</v>
      </c>
      <c r="F380" t="s">
        <v>1962</v>
      </c>
      <c r="G380" t="s">
        <v>1963</v>
      </c>
      <c r="H380" t="s">
        <v>1964</v>
      </c>
    </row>
    <row r="381" spans="1:8" x14ac:dyDescent="0.25">
      <c r="A381">
        <v>1526469</v>
      </c>
      <c r="B381" t="s">
        <v>1965</v>
      </c>
      <c r="C381" t="s">
        <v>33</v>
      </c>
      <c r="D381" t="s">
        <v>73</v>
      </c>
      <c r="E381" t="s">
        <v>74</v>
      </c>
      <c r="F381" t="s">
        <v>1966</v>
      </c>
      <c r="G381" t="s">
        <v>1967</v>
      </c>
      <c r="H381" t="s">
        <v>1968</v>
      </c>
    </row>
    <row r="382" spans="1:8" x14ac:dyDescent="0.25">
      <c r="A382">
        <v>1385095</v>
      </c>
      <c r="B382" t="s">
        <v>1969</v>
      </c>
      <c r="C382" t="s">
        <v>33</v>
      </c>
      <c r="D382" t="s">
        <v>64</v>
      </c>
      <c r="E382" t="s">
        <v>267</v>
      </c>
      <c r="F382" t="s">
        <v>512</v>
      </c>
      <c r="G382" t="s">
        <v>1970</v>
      </c>
      <c r="H382" t="s">
        <v>1971</v>
      </c>
    </row>
    <row r="383" spans="1:8" x14ac:dyDescent="0.25">
      <c r="A383">
        <v>1391088</v>
      </c>
      <c r="B383" t="s">
        <v>1969</v>
      </c>
      <c r="C383" t="s">
        <v>33</v>
      </c>
      <c r="D383" t="s">
        <v>41</v>
      </c>
      <c r="E383" t="s">
        <v>75</v>
      </c>
      <c r="F383" t="s">
        <v>1972</v>
      </c>
      <c r="G383" t="s">
        <v>1973</v>
      </c>
      <c r="H383" t="s">
        <v>1974</v>
      </c>
    </row>
    <row r="384" spans="1:8" x14ac:dyDescent="0.25">
      <c r="A384">
        <v>1392076</v>
      </c>
      <c r="B384" t="s">
        <v>1969</v>
      </c>
      <c r="C384" t="s">
        <v>33</v>
      </c>
      <c r="D384" t="s">
        <v>41</v>
      </c>
      <c r="E384" t="s">
        <v>76</v>
      </c>
      <c r="F384" t="s">
        <v>1975</v>
      </c>
      <c r="G384" t="s">
        <v>1976</v>
      </c>
      <c r="H384" t="s">
        <v>1977</v>
      </c>
    </row>
    <row r="385" spans="1:8" x14ac:dyDescent="0.25">
      <c r="A385">
        <v>1393974</v>
      </c>
      <c r="B385" t="s">
        <v>1969</v>
      </c>
      <c r="C385" t="s">
        <v>33</v>
      </c>
      <c r="D385" t="s">
        <v>418</v>
      </c>
      <c r="E385" t="s">
        <v>419</v>
      </c>
      <c r="F385" t="s">
        <v>1978</v>
      </c>
      <c r="G385" t="s">
        <v>533</v>
      </c>
      <c r="H385" t="s">
        <v>1979</v>
      </c>
    </row>
    <row r="386" spans="1:8" x14ac:dyDescent="0.25">
      <c r="A386">
        <v>1393975</v>
      </c>
      <c r="B386" t="s">
        <v>1969</v>
      </c>
      <c r="C386" t="s">
        <v>33</v>
      </c>
      <c r="D386" t="s">
        <v>418</v>
      </c>
      <c r="E386" t="s">
        <v>419</v>
      </c>
      <c r="F386" t="s">
        <v>1980</v>
      </c>
      <c r="G386" t="s">
        <v>1981</v>
      </c>
      <c r="H386" t="s">
        <v>1982</v>
      </c>
    </row>
    <row r="387" spans="1:8" x14ac:dyDescent="0.25">
      <c r="A387">
        <v>1393979</v>
      </c>
      <c r="B387" t="s">
        <v>1969</v>
      </c>
      <c r="C387" t="s">
        <v>33</v>
      </c>
      <c r="D387" t="s">
        <v>418</v>
      </c>
      <c r="E387" t="s">
        <v>419</v>
      </c>
      <c r="F387" t="s">
        <v>1983</v>
      </c>
      <c r="G387" t="s">
        <v>1984</v>
      </c>
      <c r="H387" t="s">
        <v>1985</v>
      </c>
    </row>
    <row r="388" spans="1:8" x14ac:dyDescent="0.25">
      <c r="A388">
        <v>1394656</v>
      </c>
      <c r="B388" t="s">
        <v>1969</v>
      </c>
      <c r="C388" t="s">
        <v>33</v>
      </c>
      <c r="D388" t="s">
        <v>43</v>
      </c>
      <c r="E388" t="s">
        <v>62</v>
      </c>
      <c r="F388" t="s">
        <v>1986</v>
      </c>
      <c r="G388" t="s">
        <v>1987</v>
      </c>
      <c r="H388" t="s">
        <v>1988</v>
      </c>
    </row>
    <row r="389" spans="1:8" x14ac:dyDescent="0.25">
      <c r="A389">
        <v>1398598</v>
      </c>
      <c r="B389" t="s">
        <v>1969</v>
      </c>
      <c r="C389" t="s">
        <v>33</v>
      </c>
      <c r="D389" t="s">
        <v>43</v>
      </c>
      <c r="E389" t="s">
        <v>51</v>
      </c>
      <c r="F389" t="s">
        <v>579</v>
      </c>
      <c r="G389" t="s">
        <v>1989</v>
      </c>
      <c r="H389" t="s">
        <v>1990</v>
      </c>
    </row>
    <row r="390" spans="1:8" x14ac:dyDescent="0.25">
      <c r="A390">
        <v>1406837</v>
      </c>
      <c r="B390" t="s">
        <v>1969</v>
      </c>
      <c r="C390" t="s">
        <v>33</v>
      </c>
      <c r="D390" t="s">
        <v>44</v>
      </c>
      <c r="E390" t="s">
        <v>369</v>
      </c>
      <c r="F390" t="s">
        <v>1991</v>
      </c>
      <c r="G390" t="s">
        <v>1992</v>
      </c>
      <c r="H390" t="s">
        <v>1993</v>
      </c>
    </row>
    <row r="391" spans="1:8" x14ac:dyDescent="0.25">
      <c r="A391">
        <v>1407066</v>
      </c>
      <c r="B391" t="s">
        <v>1969</v>
      </c>
      <c r="C391" t="s">
        <v>33</v>
      </c>
      <c r="D391" t="s">
        <v>44</v>
      </c>
      <c r="E391" t="s">
        <v>721</v>
      </c>
      <c r="F391" t="s">
        <v>1994</v>
      </c>
      <c r="G391" t="s">
        <v>1995</v>
      </c>
      <c r="H391" t="s">
        <v>1996</v>
      </c>
    </row>
    <row r="392" spans="1:8" x14ac:dyDescent="0.25">
      <c r="A392">
        <v>1407068</v>
      </c>
      <c r="B392" t="s">
        <v>1969</v>
      </c>
      <c r="C392" t="s">
        <v>33</v>
      </c>
      <c r="D392" t="s">
        <v>44</v>
      </c>
      <c r="E392" t="s">
        <v>721</v>
      </c>
      <c r="F392" t="s">
        <v>1997</v>
      </c>
      <c r="G392" t="s">
        <v>1998</v>
      </c>
      <c r="H392" t="s">
        <v>1999</v>
      </c>
    </row>
    <row r="393" spans="1:8" x14ac:dyDescent="0.25">
      <c r="A393">
        <v>1407071</v>
      </c>
      <c r="B393" t="s">
        <v>1969</v>
      </c>
      <c r="C393" t="s">
        <v>33</v>
      </c>
      <c r="D393" t="s">
        <v>44</v>
      </c>
      <c r="E393" t="s">
        <v>721</v>
      </c>
      <c r="F393" t="s">
        <v>2000</v>
      </c>
      <c r="G393" t="s">
        <v>2001</v>
      </c>
      <c r="H393" t="s">
        <v>2002</v>
      </c>
    </row>
    <row r="394" spans="1:8" x14ac:dyDescent="0.25">
      <c r="A394">
        <v>1407672</v>
      </c>
      <c r="B394" t="s">
        <v>1969</v>
      </c>
      <c r="C394" t="s">
        <v>33</v>
      </c>
      <c r="D394" t="s">
        <v>44</v>
      </c>
      <c r="E394" t="s">
        <v>77</v>
      </c>
      <c r="F394" t="s">
        <v>2003</v>
      </c>
      <c r="G394" t="s">
        <v>610</v>
      </c>
      <c r="H394" t="s">
        <v>2004</v>
      </c>
    </row>
    <row r="395" spans="1:8" x14ac:dyDescent="0.25">
      <c r="A395">
        <v>1407673</v>
      </c>
      <c r="B395" t="s">
        <v>1969</v>
      </c>
      <c r="C395" t="s">
        <v>33</v>
      </c>
      <c r="D395" t="s">
        <v>44</v>
      </c>
      <c r="E395" t="s">
        <v>77</v>
      </c>
      <c r="F395" t="s">
        <v>2005</v>
      </c>
      <c r="G395" t="s">
        <v>2006</v>
      </c>
      <c r="H395" t="s">
        <v>2007</v>
      </c>
    </row>
    <row r="396" spans="1:8" x14ac:dyDescent="0.25">
      <c r="A396">
        <v>1407675</v>
      </c>
      <c r="B396" t="s">
        <v>1969</v>
      </c>
      <c r="C396" t="s">
        <v>33</v>
      </c>
      <c r="D396" t="s">
        <v>44</v>
      </c>
      <c r="E396" t="s">
        <v>77</v>
      </c>
      <c r="F396" t="s">
        <v>2008</v>
      </c>
      <c r="G396" t="s">
        <v>2009</v>
      </c>
      <c r="H396" t="s">
        <v>2010</v>
      </c>
    </row>
    <row r="397" spans="1:8" x14ac:dyDescent="0.25">
      <c r="A397">
        <v>1407677</v>
      </c>
      <c r="B397" t="s">
        <v>1969</v>
      </c>
      <c r="C397" t="s">
        <v>33</v>
      </c>
      <c r="D397" t="s">
        <v>44</v>
      </c>
      <c r="E397" t="s">
        <v>77</v>
      </c>
      <c r="F397" t="s">
        <v>2011</v>
      </c>
      <c r="G397" t="s">
        <v>609</v>
      </c>
      <c r="H397" t="s">
        <v>2012</v>
      </c>
    </row>
    <row r="398" spans="1:8" x14ac:dyDescent="0.25">
      <c r="A398">
        <v>1408122</v>
      </c>
      <c r="B398" t="s">
        <v>1969</v>
      </c>
      <c r="C398" t="s">
        <v>33</v>
      </c>
      <c r="D398" t="s">
        <v>44</v>
      </c>
      <c r="E398" t="s">
        <v>706</v>
      </c>
      <c r="F398" t="s">
        <v>2013</v>
      </c>
      <c r="G398" t="s">
        <v>2014</v>
      </c>
      <c r="H398" t="s">
        <v>2015</v>
      </c>
    </row>
    <row r="399" spans="1:8" x14ac:dyDescent="0.25">
      <c r="A399">
        <v>1408274</v>
      </c>
      <c r="B399" t="s">
        <v>1969</v>
      </c>
      <c r="C399" t="s">
        <v>33</v>
      </c>
      <c r="D399" t="s">
        <v>44</v>
      </c>
      <c r="E399" t="s">
        <v>706</v>
      </c>
      <c r="F399" t="s">
        <v>2016</v>
      </c>
      <c r="G399" t="s">
        <v>2017</v>
      </c>
      <c r="H399" t="s">
        <v>2018</v>
      </c>
    </row>
    <row r="400" spans="1:8" x14ac:dyDescent="0.25">
      <c r="A400">
        <v>1408875</v>
      </c>
      <c r="B400" t="s">
        <v>1969</v>
      </c>
      <c r="C400" t="s">
        <v>33</v>
      </c>
      <c r="D400" t="s">
        <v>44</v>
      </c>
      <c r="E400" t="s">
        <v>423</v>
      </c>
      <c r="F400" t="s">
        <v>2019</v>
      </c>
      <c r="G400" t="s">
        <v>2020</v>
      </c>
      <c r="H400" t="s">
        <v>2021</v>
      </c>
    </row>
    <row r="401" spans="1:8" x14ac:dyDescent="0.25">
      <c r="A401">
        <v>1409406</v>
      </c>
      <c r="B401" t="s">
        <v>1969</v>
      </c>
      <c r="C401" t="s">
        <v>33</v>
      </c>
      <c r="D401" t="s">
        <v>44</v>
      </c>
      <c r="E401" t="s">
        <v>716</v>
      </c>
      <c r="F401" t="s">
        <v>2022</v>
      </c>
      <c r="G401" t="s">
        <v>2023</v>
      </c>
      <c r="H401" t="s">
        <v>2024</v>
      </c>
    </row>
    <row r="402" spans="1:8" x14ac:dyDescent="0.25">
      <c r="A402">
        <v>1409408</v>
      </c>
      <c r="B402" t="s">
        <v>1969</v>
      </c>
      <c r="C402" t="s">
        <v>33</v>
      </c>
      <c r="D402" t="s">
        <v>44</v>
      </c>
      <c r="E402" t="s">
        <v>716</v>
      </c>
      <c r="F402" t="s">
        <v>2025</v>
      </c>
      <c r="G402" t="s">
        <v>2026</v>
      </c>
      <c r="H402" t="s">
        <v>2027</v>
      </c>
    </row>
    <row r="403" spans="1:8" x14ac:dyDescent="0.25">
      <c r="A403">
        <v>1409914</v>
      </c>
      <c r="B403" t="s">
        <v>1969</v>
      </c>
      <c r="C403" t="s">
        <v>33</v>
      </c>
      <c r="D403" t="s">
        <v>44</v>
      </c>
      <c r="E403" t="s">
        <v>424</v>
      </c>
      <c r="F403" t="s">
        <v>2028</v>
      </c>
      <c r="G403" t="s">
        <v>2029</v>
      </c>
      <c r="H403" t="s">
        <v>2030</v>
      </c>
    </row>
    <row r="404" spans="1:8" x14ac:dyDescent="0.25">
      <c r="A404">
        <v>1410646</v>
      </c>
      <c r="B404" t="s">
        <v>1969</v>
      </c>
      <c r="C404" t="s">
        <v>33</v>
      </c>
      <c r="D404" t="s">
        <v>52</v>
      </c>
      <c r="E404" t="s">
        <v>414</v>
      </c>
      <c r="F404" t="s">
        <v>2031</v>
      </c>
      <c r="G404" t="s">
        <v>2032</v>
      </c>
      <c r="H404" t="s">
        <v>2033</v>
      </c>
    </row>
    <row r="405" spans="1:8" x14ac:dyDescent="0.25">
      <c r="A405">
        <v>1412853</v>
      </c>
      <c r="B405" t="s">
        <v>1969</v>
      </c>
      <c r="C405" t="s">
        <v>33</v>
      </c>
      <c r="D405" t="s">
        <v>44</v>
      </c>
      <c r="E405" t="s">
        <v>722</v>
      </c>
      <c r="F405" t="s">
        <v>2034</v>
      </c>
      <c r="G405" t="s">
        <v>2035</v>
      </c>
      <c r="H405" t="s">
        <v>2036</v>
      </c>
    </row>
    <row r="406" spans="1:8" x14ac:dyDescent="0.25">
      <c r="A406">
        <v>1413310</v>
      </c>
      <c r="B406" t="s">
        <v>1969</v>
      </c>
      <c r="C406" t="s">
        <v>33</v>
      </c>
      <c r="D406" t="s">
        <v>44</v>
      </c>
      <c r="E406" t="s">
        <v>707</v>
      </c>
      <c r="F406" t="s">
        <v>2037</v>
      </c>
      <c r="G406" t="s">
        <v>2038</v>
      </c>
      <c r="H406" t="s">
        <v>2039</v>
      </c>
    </row>
    <row r="407" spans="1:8" x14ac:dyDescent="0.25">
      <c r="A407">
        <v>1414441</v>
      </c>
      <c r="B407" t="s">
        <v>1969</v>
      </c>
      <c r="C407" t="s">
        <v>33</v>
      </c>
      <c r="D407" t="s">
        <v>418</v>
      </c>
      <c r="E407" t="s">
        <v>1227</v>
      </c>
      <c r="F407" t="s">
        <v>2040</v>
      </c>
      <c r="G407" t="s">
        <v>2041</v>
      </c>
      <c r="H407" t="s">
        <v>2042</v>
      </c>
    </row>
    <row r="408" spans="1:8" x14ac:dyDescent="0.25">
      <c r="A408">
        <v>1414443</v>
      </c>
      <c r="B408" t="s">
        <v>1969</v>
      </c>
      <c r="C408" t="s">
        <v>33</v>
      </c>
      <c r="D408" t="s">
        <v>418</v>
      </c>
      <c r="E408" t="s">
        <v>1227</v>
      </c>
      <c r="F408" t="s">
        <v>2043</v>
      </c>
      <c r="G408" t="s">
        <v>2044</v>
      </c>
      <c r="H408" t="s">
        <v>2045</v>
      </c>
    </row>
    <row r="409" spans="1:8" x14ac:dyDescent="0.25">
      <c r="A409">
        <v>1414444</v>
      </c>
      <c r="B409" t="s">
        <v>1969</v>
      </c>
      <c r="C409" t="s">
        <v>33</v>
      </c>
      <c r="D409" t="s">
        <v>418</v>
      </c>
      <c r="E409" t="s">
        <v>1227</v>
      </c>
      <c r="F409" t="s">
        <v>2046</v>
      </c>
      <c r="G409" t="s">
        <v>2047</v>
      </c>
      <c r="H409" t="s">
        <v>2048</v>
      </c>
    </row>
    <row r="410" spans="1:8" x14ac:dyDescent="0.25">
      <c r="A410">
        <v>1414446</v>
      </c>
      <c r="B410" t="s">
        <v>1969</v>
      </c>
      <c r="C410" t="s">
        <v>33</v>
      </c>
      <c r="D410" t="s">
        <v>418</v>
      </c>
      <c r="E410" t="s">
        <v>1227</v>
      </c>
      <c r="F410" t="s">
        <v>2049</v>
      </c>
      <c r="G410" t="s">
        <v>2050</v>
      </c>
      <c r="H410" t="s">
        <v>2051</v>
      </c>
    </row>
    <row r="411" spans="1:8" x14ac:dyDescent="0.25">
      <c r="A411">
        <v>1414447</v>
      </c>
      <c r="B411" t="s">
        <v>1969</v>
      </c>
      <c r="C411" t="s">
        <v>33</v>
      </c>
      <c r="D411" t="s">
        <v>418</v>
      </c>
      <c r="E411" t="s">
        <v>1227</v>
      </c>
      <c r="F411" t="s">
        <v>2052</v>
      </c>
      <c r="G411" t="s">
        <v>2053</v>
      </c>
      <c r="H411" t="s">
        <v>2054</v>
      </c>
    </row>
    <row r="412" spans="1:8" x14ac:dyDescent="0.25">
      <c r="A412">
        <v>1414658</v>
      </c>
      <c r="B412" t="s">
        <v>1969</v>
      </c>
      <c r="C412" t="s">
        <v>33</v>
      </c>
      <c r="D412" t="s">
        <v>418</v>
      </c>
      <c r="E412" t="s">
        <v>1231</v>
      </c>
      <c r="F412" t="s">
        <v>2055</v>
      </c>
      <c r="G412" t="s">
        <v>2056</v>
      </c>
      <c r="H412" t="s">
        <v>2057</v>
      </c>
    </row>
    <row r="413" spans="1:8" x14ac:dyDescent="0.25">
      <c r="A413">
        <v>1414660</v>
      </c>
      <c r="B413" t="s">
        <v>1969</v>
      </c>
      <c r="C413" t="s">
        <v>33</v>
      </c>
      <c r="D413" t="s">
        <v>418</v>
      </c>
      <c r="E413" t="s">
        <v>1231</v>
      </c>
      <c r="F413" t="s">
        <v>2058</v>
      </c>
      <c r="G413" t="s">
        <v>2059</v>
      </c>
      <c r="H413" t="s">
        <v>2060</v>
      </c>
    </row>
    <row r="414" spans="1:8" x14ac:dyDescent="0.25">
      <c r="A414">
        <v>1414662</v>
      </c>
      <c r="B414" t="s">
        <v>1969</v>
      </c>
      <c r="C414" t="s">
        <v>33</v>
      </c>
      <c r="D414" t="s">
        <v>418</v>
      </c>
      <c r="E414" t="s">
        <v>1231</v>
      </c>
      <c r="F414" t="s">
        <v>2061</v>
      </c>
      <c r="G414" t="s">
        <v>2062</v>
      </c>
      <c r="H414" t="s">
        <v>2063</v>
      </c>
    </row>
    <row r="415" spans="1:8" x14ac:dyDescent="0.25">
      <c r="A415">
        <v>1414665</v>
      </c>
      <c r="B415" t="s">
        <v>1969</v>
      </c>
      <c r="C415" t="s">
        <v>33</v>
      </c>
      <c r="D415" t="s">
        <v>418</v>
      </c>
      <c r="E415" t="s">
        <v>1231</v>
      </c>
      <c r="F415" t="s">
        <v>2064</v>
      </c>
      <c r="G415" t="s">
        <v>2065</v>
      </c>
      <c r="H415" t="s">
        <v>2066</v>
      </c>
    </row>
    <row r="416" spans="1:8" x14ac:dyDescent="0.25">
      <c r="A416">
        <v>1414879</v>
      </c>
      <c r="B416" t="s">
        <v>1969</v>
      </c>
      <c r="C416" t="s">
        <v>33</v>
      </c>
      <c r="D416" t="s">
        <v>418</v>
      </c>
      <c r="E416" t="s">
        <v>1238</v>
      </c>
      <c r="F416" t="s">
        <v>2067</v>
      </c>
      <c r="G416" t="s">
        <v>2068</v>
      </c>
      <c r="H416" t="s">
        <v>2069</v>
      </c>
    </row>
    <row r="417" spans="1:8" x14ac:dyDescent="0.25">
      <c r="A417">
        <v>1414884</v>
      </c>
      <c r="B417" t="s">
        <v>1969</v>
      </c>
      <c r="C417" t="s">
        <v>33</v>
      </c>
      <c r="D417" t="s">
        <v>418</v>
      </c>
      <c r="E417" t="s">
        <v>1238</v>
      </c>
      <c r="F417" t="s">
        <v>2070</v>
      </c>
      <c r="G417" t="s">
        <v>2071</v>
      </c>
      <c r="H417" t="s">
        <v>2072</v>
      </c>
    </row>
    <row r="418" spans="1:8" x14ac:dyDescent="0.25">
      <c r="A418">
        <v>1414885</v>
      </c>
      <c r="B418" t="s">
        <v>1969</v>
      </c>
      <c r="C418" t="s">
        <v>33</v>
      </c>
      <c r="D418" t="s">
        <v>418</v>
      </c>
      <c r="E418" t="s">
        <v>1238</v>
      </c>
      <c r="F418" t="s">
        <v>2073</v>
      </c>
      <c r="G418" t="s">
        <v>2074</v>
      </c>
      <c r="H418" t="s">
        <v>2075</v>
      </c>
    </row>
    <row r="419" spans="1:8" x14ac:dyDescent="0.25">
      <c r="A419">
        <v>1415083</v>
      </c>
      <c r="B419" t="s">
        <v>1969</v>
      </c>
      <c r="C419" t="s">
        <v>33</v>
      </c>
      <c r="D419" t="s">
        <v>418</v>
      </c>
      <c r="E419" t="s">
        <v>1760</v>
      </c>
      <c r="F419" t="s">
        <v>2076</v>
      </c>
      <c r="G419" t="s">
        <v>2077</v>
      </c>
      <c r="H419" t="s">
        <v>2078</v>
      </c>
    </row>
    <row r="420" spans="1:8" x14ac:dyDescent="0.25">
      <c r="A420">
        <v>1415084</v>
      </c>
      <c r="B420" t="s">
        <v>1969</v>
      </c>
      <c r="C420" t="s">
        <v>33</v>
      </c>
      <c r="D420" t="s">
        <v>418</v>
      </c>
      <c r="E420" t="s">
        <v>1760</v>
      </c>
      <c r="F420" t="s">
        <v>2079</v>
      </c>
      <c r="G420" t="s">
        <v>2080</v>
      </c>
      <c r="H420" t="s">
        <v>2081</v>
      </c>
    </row>
    <row r="421" spans="1:8" x14ac:dyDescent="0.25">
      <c r="A421">
        <v>1415085</v>
      </c>
      <c r="B421" t="s">
        <v>1969</v>
      </c>
      <c r="C421" t="s">
        <v>33</v>
      </c>
      <c r="D421" t="s">
        <v>418</v>
      </c>
      <c r="E421" t="s">
        <v>1760</v>
      </c>
      <c r="F421" t="s">
        <v>2082</v>
      </c>
      <c r="G421" t="s">
        <v>2083</v>
      </c>
      <c r="H421" t="s">
        <v>2084</v>
      </c>
    </row>
    <row r="422" spans="1:8" x14ac:dyDescent="0.25">
      <c r="A422">
        <v>1415086</v>
      </c>
      <c r="B422" t="s">
        <v>1969</v>
      </c>
      <c r="C422" t="s">
        <v>33</v>
      </c>
      <c r="D422" t="s">
        <v>418</v>
      </c>
      <c r="E422" t="s">
        <v>1760</v>
      </c>
      <c r="F422" t="s">
        <v>2085</v>
      </c>
      <c r="G422" t="s">
        <v>2086</v>
      </c>
      <c r="H422" t="s">
        <v>2087</v>
      </c>
    </row>
    <row r="423" spans="1:8" x14ac:dyDescent="0.25">
      <c r="A423">
        <v>1415088</v>
      </c>
      <c r="B423" t="s">
        <v>1969</v>
      </c>
      <c r="C423" t="s">
        <v>33</v>
      </c>
      <c r="D423" t="s">
        <v>418</v>
      </c>
      <c r="E423" t="s">
        <v>1760</v>
      </c>
      <c r="F423" t="s">
        <v>2088</v>
      </c>
      <c r="G423" t="s">
        <v>2089</v>
      </c>
      <c r="H423" t="s">
        <v>2090</v>
      </c>
    </row>
    <row r="424" spans="1:8" x14ac:dyDescent="0.25">
      <c r="A424">
        <v>1415089</v>
      </c>
      <c r="B424" t="s">
        <v>1969</v>
      </c>
      <c r="C424" t="s">
        <v>33</v>
      </c>
      <c r="D424" t="s">
        <v>418</v>
      </c>
      <c r="E424" t="s">
        <v>1760</v>
      </c>
      <c r="F424" t="s">
        <v>2091</v>
      </c>
      <c r="G424" t="s">
        <v>2092</v>
      </c>
      <c r="H424" t="s">
        <v>2093</v>
      </c>
    </row>
    <row r="425" spans="1:8" x14ac:dyDescent="0.25">
      <c r="A425">
        <v>1415182</v>
      </c>
      <c r="B425" t="s">
        <v>1969</v>
      </c>
      <c r="C425" t="s">
        <v>33</v>
      </c>
      <c r="D425" t="s">
        <v>418</v>
      </c>
      <c r="E425" t="s">
        <v>1760</v>
      </c>
      <c r="F425" t="s">
        <v>2094</v>
      </c>
      <c r="G425" t="s">
        <v>2095</v>
      </c>
      <c r="H425" t="s">
        <v>2096</v>
      </c>
    </row>
    <row r="426" spans="1:8" x14ac:dyDescent="0.25">
      <c r="A426">
        <v>1416113</v>
      </c>
      <c r="B426" t="s">
        <v>1969</v>
      </c>
      <c r="C426" t="s">
        <v>33</v>
      </c>
      <c r="D426" t="s">
        <v>708</v>
      </c>
      <c r="E426" t="s">
        <v>82</v>
      </c>
      <c r="F426" t="s">
        <v>2097</v>
      </c>
      <c r="G426" t="s">
        <v>2098</v>
      </c>
      <c r="H426" t="s">
        <v>2099</v>
      </c>
    </row>
    <row r="427" spans="1:8" x14ac:dyDescent="0.25">
      <c r="A427">
        <v>1416114</v>
      </c>
      <c r="B427" t="s">
        <v>1969</v>
      </c>
      <c r="C427" t="s">
        <v>33</v>
      </c>
      <c r="D427" t="s">
        <v>708</v>
      </c>
      <c r="E427" t="s">
        <v>82</v>
      </c>
      <c r="F427" t="s">
        <v>2100</v>
      </c>
      <c r="G427" t="s">
        <v>2101</v>
      </c>
      <c r="H427" t="s">
        <v>2102</v>
      </c>
    </row>
    <row r="428" spans="1:8" x14ac:dyDescent="0.25">
      <c r="A428">
        <v>1416115</v>
      </c>
      <c r="B428" t="s">
        <v>1969</v>
      </c>
      <c r="C428" t="s">
        <v>33</v>
      </c>
      <c r="D428" t="s">
        <v>708</v>
      </c>
      <c r="E428" t="s">
        <v>82</v>
      </c>
      <c r="F428" t="s">
        <v>2103</v>
      </c>
      <c r="G428" t="s">
        <v>2104</v>
      </c>
      <c r="H428" t="s">
        <v>2105</v>
      </c>
    </row>
    <row r="429" spans="1:8" x14ac:dyDescent="0.25">
      <c r="A429">
        <v>1419563</v>
      </c>
      <c r="B429" t="s">
        <v>1969</v>
      </c>
      <c r="C429" t="s">
        <v>33</v>
      </c>
      <c r="D429" t="s">
        <v>64</v>
      </c>
      <c r="E429" t="s">
        <v>720</v>
      </c>
      <c r="F429" t="s">
        <v>2106</v>
      </c>
      <c r="G429" t="s">
        <v>2107</v>
      </c>
      <c r="H429" t="s">
        <v>2108</v>
      </c>
    </row>
    <row r="430" spans="1:8" x14ac:dyDescent="0.25">
      <c r="A430">
        <v>1423387</v>
      </c>
      <c r="B430" t="s">
        <v>1969</v>
      </c>
      <c r="C430" t="s">
        <v>33</v>
      </c>
      <c r="D430" t="s">
        <v>110</v>
      </c>
      <c r="E430" t="s">
        <v>46</v>
      </c>
      <c r="F430" t="s">
        <v>582</v>
      </c>
      <c r="G430" t="s">
        <v>2109</v>
      </c>
      <c r="H430" t="s">
        <v>2110</v>
      </c>
    </row>
    <row r="431" spans="1:8" x14ac:dyDescent="0.25">
      <c r="A431">
        <v>1423392</v>
      </c>
      <c r="B431" t="s">
        <v>1969</v>
      </c>
      <c r="C431" t="s">
        <v>33</v>
      </c>
      <c r="D431" t="s">
        <v>110</v>
      </c>
      <c r="E431" t="s">
        <v>46</v>
      </c>
      <c r="F431" t="s">
        <v>2111</v>
      </c>
      <c r="G431" t="s">
        <v>503</v>
      </c>
      <c r="H431" t="s">
        <v>2112</v>
      </c>
    </row>
    <row r="432" spans="1:8" x14ac:dyDescent="0.25">
      <c r="A432">
        <v>1425548</v>
      </c>
      <c r="B432" t="s">
        <v>1969</v>
      </c>
      <c r="C432" t="s">
        <v>33</v>
      </c>
      <c r="D432" t="s">
        <v>90</v>
      </c>
      <c r="E432" t="s">
        <v>663</v>
      </c>
      <c r="F432" t="s">
        <v>2113</v>
      </c>
      <c r="G432" t="s">
        <v>2114</v>
      </c>
      <c r="H432" t="s">
        <v>2115</v>
      </c>
    </row>
    <row r="433" spans="1:8" x14ac:dyDescent="0.25">
      <c r="A433">
        <v>1430324</v>
      </c>
      <c r="B433" t="s">
        <v>1969</v>
      </c>
      <c r="C433" t="s">
        <v>33</v>
      </c>
      <c r="D433" t="s">
        <v>81</v>
      </c>
      <c r="E433" t="s">
        <v>745</v>
      </c>
      <c r="F433" t="s">
        <v>2116</v>
      </c>
      <c r="G433" t="s">
        <v>2117</v>
      </c>
      <c r="H433" t="s">
        <v>2118</v>
      </c>
    </row>
    <row r="434" spans="1:8" x14ac:dyDescent="0.25">
      <c r="A434">
        <v>1430534</v>
      </c>
      <c r="B434" t="s">
        <v>1969</v>
      </c>
      <c r="C434" t="s">
        <v>33</v>
      </c>
      <c r="D434" t="s">
        <v>81</v>
      </c>
      <c r="E434" t="s">
        <v>746</v>
      </c>
      <c r="F434" t="s">
        <v>2119</v>
      </c>
      <c r="G434" t="s">
        <v>2120</v>
      </c>
      <c r="H434" t="s">
        <v>2121</v>
      </c>
    </row>
    <row r="435" spans="1:8" x14ac:dyDescent="0.25">
      <c r="A435">
        <v>1438069</v>
      </c>
      <c r="B435" t="s">
        <v>1969</v>
      </c>
      <c r="C435" t="s">
        <v>33</v>
      </c>
      <c r="D435" t="s">
        <v>59</v>
      </c>
      <c r="E435" t="s">
        <v>738</v>
      </c>
      <c r="F435" t="s">
        <v>2122</v>
      </c>
      <c r="G435" t="s">
        <v>2123</v>
      </c>
      <c r="H435" t="s">
        <v>2124</v>
      </c>
    </row>
    <row r="436" spans="1:8" x14ac:dyDescent="0.25">
      <c r="A436">
        <v>1442343</v>
      </c>
      <c r="B436" t="s">
        <v>1969</v>
      </c>
      <c r="C436" t="s">
        <v>33</v>
      </c>
      <c r="D436" t="s">
        <v>44</v>
      </c>
      <c r="E436" t="s">
        <v>2125</v>
      </c>
      <c r="F436" t="s">
        <v>2126</v>
      </c>
      <c r="G436" t="s">
        <v>2127</v>
      </c>
      <c r="H436" t="s">
        <v>2128</v>
      </c>
    </row>
    <row r="437" spans="1:8" x14ac:dyDescent="0.25">
      <c r="A437">
        <v>1446093</v>
      </c>
      <c r="B437" t="s">
        <v>1969</v>
      </c>
      <c r="C437" t="s">
        <v>33</v>
      </c>
      <c r="D437" t="s">
        <v>110</v>
      </c>
      <c r="E437" t="s">
        <v>234</v>
      </c>
      <c r="F437" t="s">
        <v>585</v>
      </c>
      <c r="G437" t="s">
        <v>584</v>
      </c>
      <c r="H437" t="s">
        <v>2129</v>
      </c>
    </row>
    <row r="438" spans="1:8" x14ac:dyDescent="0.25">
      <c r="A438">
        <v>1477044</v>
      </c>
      <c r="B438" t="s">
        <v>1969</v>
      </c>
      <c r="C438" t="s">
        <v>33</v>
      </c>
      <c r="D438" t="s">
        <v>86</v>
      </c>
      <c r="E438" t="s">
        <v>724</v>
      </c>
      <c r="F438" t="s">
        <v>2130</v>
      </c>
      <c r="G438" t="s">
        <v>2131</v>
      </c>
      <c r="H438" t="s">
        <v>2132</v>
      </c>
    </row>
    <row r="439" spans="1:8" x14ac:dyDescent="0.25">
      <c r="A439">
        <v>1481911</v>
      </c>
      <c r="B439" t="s">
        <v>1969</v>
      </c>
      <c r="C439" t="s">
        <v>33</v>
      </c>
      <c r="D439" t="s">
        <v>52</v>
      </c>
      <c r="E439" t="s">
        <v>411</v>
      </c>
      <c r="F439" t="s">
        <v>2133</v>
      </c>
      <c r="G439" t="s">
        <v>2134</v>
      </c>
      <c r="H439" t="s">
        <v>2135</v>
      </c>
    </row>
    <row r="440" spans="1:8" x14ac:dyDescent="0.25">
      <c r="A440">
        <v>1487621</v>
      </c>
      <c r="B440" t="s">
        <v>1969</v>
      </c>
      <c r="C440" t="s">
        <v>33</v>
      </c>
      <c r="D440" t="s">
        <v>409</v>
      </c>
      <c r="E440" t="s">
        <v>741</v>
      </c>
      <c r="F440" t="s">
        <v>2136</v>
      </c>
      <c r="G440" t="s">
        <v>2137</v>
      </c>
      <c r="H440" t="s">
        <v>2138</v>
      </c>
    </row>
    <row r="441" spans="1:8" x14ac:dyDescent="0.25">
      <c r="A441">
        <v>1491393</v>
      </c>
      <c r="B441" t="s">
        <v>1969</v>
      </c>
      <c r="C441" t="s">
        <v>33</v>
      </c>
      <c r="D441" t="s">
        <v>81</v>
      </c>
      <c r="E441" t="s">
        <v>364</v>
      </c>
      <c r="F441" t="s">
        <v>2139</v>
      </c>
      <c r="G441" t="s">
        <v>2140</v>
      </c>
      <c r="H441" t="s">
        <v>2141</v>
      </c>
    </row>
    <row r="442" spans="1:8" x14ac:dyDescent="0.25">
      <c r="A442">
        <v>1491524</v>
      </c>
      <c r="B442" t="s">
        <v>1969</v>
      </c>
      <c r="C442" t="s">
        <v>33</v>
      </c>
      <c r="D442" t="s">
        <v>566</v>
      </c>
      <c r="E442" t="s">
        <v>267</v>
      </c>
      <c r="F442" t="s">
        <v>2142</v>
      </c>
      <c r="G442" t="s">
        <v>2143</v>
      </c>
      <c r="H442" t="s">
        <v>2144</v>
      </c>
    </row>
    <row r="443" spans="1:8" x14ac:dyDescent="0.25">
      <c r="A443">
        <v>1494569</v>
      </c>
      <c r="B443" t="s">
        <v>1969</v>
      </c>
      <c r="C443" t="s">
        <v>33</v>
      </c>
      <c r="D443" t="s">
        <v>81</v>
      </c>
      <c r="E443" t="s">
        <v>82</v>
      </c>
      <c r="F443" t="s">
        <v>2145</v>
      </c>
      <c r="G443" t="s">
        <v>2146</v>
      </c>
      <c r="H443" t="s">
        <v>2147</v>
      </c>
    </row>
    <row r="444" spans="1:8" x14ac:dyDescent="0.25">
      <c r="A444">
        <v>1494978</v>
      </c>
      <c r="B444" t="s">
        <v>1969</v>
      </c>
      <c r="C444" t="s">
        <v>33</v>
      </c>
      <c r="D444" t="s">
        <v>45</v>
      </c>
      <c r="E444" t="s">
        <v>426</v>
      </c>
      <c r="F444" t="s">
        <v>2148</v>
      </c>
      <c r="G444" t="s">
        <v>2149</v>
      </c>
      <c r="H444" t="s">
        <v>2150</v>
      </c>
    </row>
    <row r="445" spans="1:8" x14ac:dyDescent="0.25">
      <c r="A445">
        <v>1495147</v>
      </c>
      <c r="B445" t="s">
        <v>1969</v>
      </c>
      <c r="C445" t="s">
        <v>33</v>
      </c>
      <c r="D445" t="s">
        <v>651</v>
      </c>
      <c r="E445" t="s">
        <v>240</v>
      </c>
      <c r="F445" t="s">
        <v>2151</v>
      </c>
      <c r="G445" t="s">
        <v>2152</v>
      </c>
      <c r="H445" t="s">
        <v>2153</v>
      </c>
    </row>
    <row r="446" spans="1:8" x14ac:dyDescent="0.25">
      <c r="A446">
        <v>1495148</v>
      </c>
      <c r="B446" t="s">
        <v>1969</v>
      </c>
      <c r="C446" t="s">
        <v>33</v>
      </c>
      <c r="D446" t="s">
        <v>651</v>
      </c>
      <c r="E446" t="s">
        <v>240</v>
      </c>
      <c r="F446" t="s">
        <v>2154</v>
      </c>
      <c r="G446" t="s">
        <v>2155</v>
      </c>
      <c r="H446" t="s">
        <v>2156</v>
      </c>
    </row>
    <row r="447" spans="1:8" x14ac:dyDescent="0.25">
      <c r="A447">
        <v>1495150</v>
      </c>
      <c r="B447" t="s">
        <v>1969</v>
      </c>
      <c r="C447" t="s">
        <v>33</v>
      </c>
      <c r="D447" t="s">
        <v>651</v>
      </c>
      <c r="E447" t="s">
        <v>240</v>
      </c>
      <c r="F447" t="s">
        <v>731</v>
      </c>
      <c r="G447" t="s">
        <v>2157</v>
      </c>
      <c r="H447" t="s">
        <v>2158</v>
      </c>
    </row>
    <row r="448" spans="1:8" x14ac:dyDescent="0.25">
      <c r="A448">
        <v>1495152</v>
      </c>
      <c r="B448" t="s">
        <v>1969</v>
      </c>
      <c r="C448" t="s">
        <v>33</v>
      </c>
      <c r="D448" t="s">
        <v>651</v>
      </c>
      <c r="E448" t="s">
        <v>240</v>
      </c>
      <c r="F448" t="s">
        <v>2159</v>
      </c>
      <c r="G448" t="s">
        <v>2160</v>
      </c>
      <c r="H448" t="s">
        <v>2161</v>
      </c>
    </row>
    <row r="449" spans="1:8" x14ac:dyDescent="0.25">
      <c r="A449">
        <v>1497781</v>
      </c>
      <c r="B449" t="s">
        <v>1969</v>
      </c>
      <c r="C449" t="s">
        <v>33</v>
      </c>
      <c r="D449" t="s">
        <v>725</v>
      </c>
      <c r="E449" t="s">
        <v>234</v>
      </c>
      <c r="F449" t="s">
        <v>2162</v>
      </c>
      <c r="G449" t="s">
        <v>2163</v>
      </c>
      <c r="H449" t="s">
        <v>2164</v>
      </c>
    </row>
    <row r="450" spans="1:8" x14ac:dyDescent="0.25">
      <c r="A450">
        <v>1500310</v>
      </c>
      <c r="B450" t="s">
        <v>1969</v>
      </c>
      <c r="C450" t="s">
        <v>33</v>
      </c>
      <c r="D450" t="s">
        <v>344</v>
      </c>
      <c r="E450" t="s">
        <v>345</v>
      </c>
      <c r="F450" t="s">
        <v>2165</v>
      </c>
      <c r="G450" t="s">
        <v>2166</v>
      </c>
      <c r="H450" t="s">
        <v>2167</v>
      </c>
    </row>
    <row r="451" spans="1:8" x14ac:dyDescent="0.25">
      <c r="A451">
        <v>1500311</v>
      </c>
      <c r="B451" t="s">
        <v>1969</v>
      </c>
      <c r="C451" t="s">
        <v>33</v>
      </c>
      <c r="D451" t="s">
        <v>344</v>
      </c>
      <c r="E451" t="s">
        <v>345</v>
      </c>
      <c r="F451" t="s">
        <v>2168</v>
      </c>
      <c r="G451" t="s">
        <v>2169</v>
      </c>
      <c r="H451" t="s">
        <v>2170</v>
      </c>
    </row>
    <row r="452" spans="1:8" x14ac:dyDescent="0.25">
      <c r="A452">
        <v>1500313</v>
      </c>
      <c r="B452" t="s">
        <v>1969</v>
      </c>
      <c r="C452" t="s">
        <v>33</v>
      </c>
      <c r="D452" t="s">
        <v>344</v>
      </c>
      <c r="E452" t="s">
        <v>345</v>
      </c>
      <c r="F452" t="s">
        <v>2171</v>
      </c>
      <c r="G452" t="s">
        <v>2172</v>
      </c>
      <c r="H452" t="s">
        <v>2173</v>
      </c>
    </row>
    <row r="453" spans="1:8" x14ac:dyDescent="0.25">
      <c r="A453">
        <v>1502708</v>
      </c>
      <c r="B453" t="s">
        <v>1969</v>
      </c>
      <c r="C453" t="s">
        <v>33</v>
      </c>
      <c r="D453" t="s">
        <v>20</v>
      </c>
      <c r="E453" t="s">
        <v>726</v>
      </c>
      <c r="F453" t="s">
        <v>2174</v>
      </c>
      <c r="G453" t="s">
        <v>2175</v>
      </c>
      <c r="H453" t="s">
        <v>2176</v>
      </c>
    </row>
    <row r="454" spans="1:8" x14ac:dyDescent="0.25">
      <c r="A454">
        <v>1502709</v>
      </c>
      <c r="B454" t="s">
        <v>1969</v>
      </c>
      <c r="C454" t="s">
        <v>33</v>
      </c>
      <c r="D454" t="s">
        <v>20</v>
      </c>
      <c r="E454" t="s">
        <v>726</v>
      </c>
      <c r="F454" t="s">
        <v>2177</v>
      </c>
      <c r="G454" t="s">
        <v>2178</v>
      </c>
      <c r="H454" t="s">
        <v>2179</v>
      </c>
    </row>
    <row r="455" spans="1:8" x14ac:dyDescent="0.25">
      <c r="A455">
        <v>1502710</v>
      </c>
      <c r="B455" t="s">
        <v>1969</v>
      </c>
      <c r="C455" t="s">
        <v>33</v>
      </c>
      <c r="D455" t="s">
        <v>20</v>
      </c>
      <c r="E455" t="s">
        <v>726</v>
      </c>
      <c r="F455" t="s">
        <v>2180</v>
      </c>
      <c r="G455" t="s">
        <v>2181</v>
      </c>
      <c r="H455" t="s">
        <v>2182</v>
      </c>
    </row>
    <row r="456" spans="1:8" x14ac:dyDescent="0.25">
      <c r="A456">
        <v>1507566</v>
      </c>
      <c r="B456" t="s">
        <v>1969</v>
      </c>
      <c r="C456" t="s">
        <v>33</v>
      </c>
      <c r="D456" t="s">
        <v>49</v>
      </c>
      <c r="E456" t="s">
        <v>50</v>
      </c>
      <c r="F456" t="s">
        <v>2183</v>
      </c>
      <c r="G456" t="s">
        <v>2184</v>
      </c>
      <c r="H456" t="s">
        <v>2185</v>
      </c>
    </row>
    <row r="457" spans="1:8" x14ac:dyDescent="0.25">
      <c r="A457">
        <v>1507854</v>
      </c>
      <c r="B457" t="s">
        <v>1969</v>
      </c>
      <c r="C457" t="s">
        <v>33</v>
      </c>
      <c r="D457" t="s">
        <v>729</v>
      </c>
      <c r="E457" t="s">
        <v>730</v>
      </c>
      <c r="F457" t="s">
        <v>2186</v>
      </c>
      <c r="G457" t="s">
        <v>2187</v>
      </c>
      <c r="H457" t="s">
        <v>2188</v>
      </c>
    </row>
    <row r="458" spans="1:8" x14ac:dyDescent="0.25">
      <c r="A458">
        <v>1507857</v>
      </c>
      <c r="B458" t="s">
        <v>1969</v>
      </c>
      <c r="C458" t="s">
        <v>33</v>
      </c>
      <c r="D458" t="s">
        <v>729</v>
      </c>
      <c r="E458" t="s">
        <v>730</v>
      </c>
      <c r="F458" t="s">
        <v>2189</v>
      </c>
      <c r="G458" t="s">
        <v>2190</v>
      </c>
      <c r="H458" t="s">
        <v>2191</v>
      </c>
    </row>
    <row r="459" spans="1:8" x14ac:dyDescent="0.25">
      <c r="A459">
        <v>1507858</v>
      </c>
      <c r="B459" t="s">
        <v>1969</v>
      </c>
      <c r="C459" t="s">
        <v>33</v>
      </c>
      <c r="D459" t="s">
        <v>729</v>
      </c>
      <c r="E459" t="s">
        <v>730</v>
      </c>
      <c r="F459" t="s">
        <v>2192</v>
      </c>
      <c r="G459" t="s">
        <v>2193</v>
      </c>
      <c r="H459" t="s">
        <v>2194</v>
      </c>
    </row>
    <row r="460" spans="1:8" x14ac:dyDescent="0.25">
      <c r="A460">
        <v>1509274</v>
      </c>
      <c r="B460" t="s">
        <v>1969</v>
      </c>
      <c r="C460" t="s">
        <v>33</v>
      </c>
      <c r="D460" t="s">
        <v>45</v>
      </c>
      <c r="E460" t="s">
        <v>416</v>
      </c>
      <c r="F460" t="s">
        <v>2195</v>
      </c>
      <c r="G460" t="s">
        <v>2196</v>
      </c>
      <c r="H460" t="s">
        <v>2197</v>
      </c>
    </row>
    <row r="461" spans="1:8" x14ac:dyDescent="0.25">
      <c r="A461">
        <v>1511765</v>
      </c>
      <c r="B461" t="s">
        <v>1969</v>
      </c>
      <c r="C461" t="s">
        <v>33</v>
      </c>
      <c r="D461" t="s">
        <v>405</v>
      </c>
      <c r="E461" t="s">
        <v>1139</v>
      </c>
      <c r="F461" t="s">
        <v>2198</v>
      </c>
      <c r="G461" t="s">
        <v>2199</v>
      </c>
      <c r="H461" t="s">
        <v>2200</v>
      </c>
    </row>
    <row r="462" spans="1:8" x14ac:dyDescent="0.25">
      <c r="A462">
        <v>1512027</v>
      </c>
      <c r="B462" t="s">
        <v>1969</v>
      </c>
      <c r="C462" t="s">
        <v>33</v>
      </c>
      <c r="D462" t="s">
        <v>710</v>
      </c>
      <c r="E462" t="s">
        <v>50</v>
      </c>
      <c r="F462" t="s">
        <v>2201</v>
      </c>
      <c r="G462" t="s">
        <v>2202</v>
      </c>
      <c r="H462" t="s">
        <v>2203</v>
      </c>
    </row>
    <row r="463" spans="1:8" x14ac:dyDescent="0.25">
      <c r="A463">
        <v>1512028</v>
      </c>
      <c r="B463" t="s">
        <v>1969</v>
      </c>
      <c r="C463" t="s">
        <v>33</v>
      </c>
      <c r="D463" t="s">
        <v>710</v>
      </c>
      <c r="E463" t="s">
        <v>50</v>
      </c>
      <c r="F463" t="s">
        <v>2204</v>
      </c>
      <c r="G463" t="s">
        <v>2205</v>
      </c>
      <c r="H463" t="s">
        <v>2206</v>
      </c>
    </row>
    <row r="464" spans="1:8" x14ac:dyDescent="0.25">
      <c r="A464">
        <v>1512751</v>
      </c>
      <c r="B464" t="s">
        <v>1969</v>
      </c>
      <c r="C464" t="s">
        <v>33</v>
      </c>
      <c r="D464" t="s">
        <v>86</v>
      </c>
      <c r="E464" t="s">
        <v>751</v>
      </c>
      <c r="F464" t="s">
        <v>2207</v>
      </c>
      <c r="G464" t="s">
        <v>2208</v>
      </c>
      <c r="H464" t="s">
        <v>2209</v>
      </c>
    </row>
    <row r="465" spans="1:8" x14ac:dyDescent="0.25">
      <c r="A465">
        <v>1515590</v>
      </c>
      <c r="B465" t="s">
        <v>1969</v>
      </c>
      <c r="C465" t="s">
        <v>33</v>
      </c>
      <c r="D465" t="s">
        <v>87</v>
      </c>
      <c r="E465" t="s">
        <v>772</v>
      </c>
      <c r="F465" t="s">
        <v>2210</v>
      </c>
      <c r="G465" t="s">
        <v>2211</v>
      </c>
      <c r="H465" t="s">
        <v>2212</v>
      </c>
    </row>
    <row r="466" spans="1:8" x14ac:dyDescent="0.25">
      <c r="A466">
        <v>1516964</v>
      </c>
      <c r="B466" t="s">
        <v>1969</v>
      </c>
      <c r="C466" t="s">
        <v>33</v>
      </c>
      <c r="D466" t="s">
        <v>63</v>
      </c>
      <c r="E466" t="s">
        <v>732</v>
      </c>
      <c r="F466" t="s">
        <v>2213</v>
      </c>
      <c r="G466" t="s">
        <v>2214</v>
      </c>
      <c r="H466" t="s">
        <v>2215</v>
      </c>
    </row>
    <row r="467" spans="1:8" x14ac:dyDescent="0.25">
      <c r="A467">
        <v>1516966</v>
      </c>
      <c r="B467" t="s">
        <v>1969</v>
      </c>
      <c r="C467" t="s">
        <v>33</v>
      </c>
      <c r="D467" t="s">
        <v>63</v>
      </c>
      <c r="E467" t="s">
        <v>732</v>
      </c>
      <c r="F467" t="s">
        <v>2216</v>
      </c>
      <c r="G467" t="s">
        <v>2217</v>
      </c>
      <c r="H467" t="s">
        <v>2218</v>
      </c>
    </row>
    <row r="468" spans="1:8" x14ac:dyDescent="0.25">
      <c r="A468">
        <v>1516968</v>
      </c>
      <c r="B468" t="s">
        <v>1969</v>
      </c>
      <c r="C468" t="s">
        <v>33</v>
      </c>
      <c r="D468" t="s">
        <v>63</v>
      </c>
      <c r="E468" t="s">
        <v>732</v>
      </c>
      <c r="F468" t="s">
        <v>2219</v>
      </c>
      <c r="G468" t="s">
        <v>2220</v>
      </c>
      <c r="H468" t="s">
        <v>2221</v>
      </c>
    </row>
    <row r="469" spans="1:8" x14ac:dyDescent="0.25">
      <c r="A469">
        <v>1517017</v>
      </c>
      <c r="B469" t="s">
        <v>1969</v>
      </c>
      <c r="C469" t="s">
        <v>33</v>
      </c>
      <c r="D469" t="s">
        <v>63</v>
      </c>
      <c r="E469" t="s">
        <v>732</v>
      </c>
      <c r="F469" t="s">
        <v>2222</v>
      </c>
      <c r="G469" t="s">
        <v>2223</v>
      </c>
      <c r="H469" t="s">
        <v>2224</v>
      </c>
    </row>
    <row r="470" spans="1:8" x14ac:dyDescent="0.25">
      <c r="A470">
        <v>1517018</v>
      </c>
      <c r="B470" t="s">
        <v>1969</v>
      </c>
      <c r="C470" t="s">
        <v>33</v>
      </c>
      <c r="D470" t="s">
        <v>63</v>
      </c>
      <c r="E470" t="s">
        <v>732</v>
      </c>
      <c r="F470" t="s">
        <v>2225</v>
      </c>
      <c r="G470" t="s">
        <v>2226</v>
      </c>
      <c r="H470" t="s">
        <v>2227</v>
      </c>
    </row>
    <row r="471" spans="1:8" x14ac:dyDescent="0.25">
      <c r="A471">
        <v>1518311</v>
      </c>
      <c r="B471" t="s">
        <v>1969</v>
      </c>
      <c r="C471" t="s">
        <v>33</v>
      </c>
      <c r="D471" t="s">
        <v>44</v>
      </c>
      <c r="E471" t="s">
        <v>690</v>
      </c>
      <c r="F471" t="s">
        <v>2228</v>
      </c>
      <c r="G471" t="s">
        <v>2229</v>
      </c>
      <c r="H471" t="s">
        <v>2230</v>
      </c>
    </row>
    <row r="472" spans="1:8" x14ac:dyDescent="0.25">
      <c r="A472">
        <v>1518556</v>
      </c>
      <c r="B472" t="s">
        <v>1969</v>
      </c>
      <c r="C472" t="s">
        <v>33</v>
      </c>
      <c r="D472" t="s">
        <v>44</v>
      </c>
      <c r="E472" t="s">
        <v>690</v>
      </c>
      <c r="F472" t="s">
        <v>2231</v>
      </c>
      <c r="G472" t="s">
        <v>2232</v>
      </c>
      <c r="H472" t="s">
        <v>2233</v>
      </c>
    </row>
    <row r="473" spans="1:8" x14ac:dyDescent="0.25">
      <c r="A473">
        <v>1521002</v>
      </c>
      <c r="B473" t="s">
        <v>1969</v>
      </c>
      <c r="C473" t="s">
        <v>33</v>
      </c>
      <c r="D473" t="s">
        <v>495</v>
      </c>
      <c r="E473" t="s">
        <v>50</v>
      </c>
      <c r="F473" t="s">
        <v>2234</v>
      </c>
      <c r="G473" t="s">
        <v>496</v>
      </c>
      <c r="H473" t="s">
        <v>2235</v>
      </c>
    </row>
    <row r="474" spans="1:8" x14ac:dyDescent="0.25">
      <c r="A474">
        <v>1521024</v>
      </c>
      <c r="B474" t="s">
        <v>1969</v>
      </c>
      <c r="C474" t="s">
        <v>33</v>
      </c>
      <c r="D474" t="s">
        <v>93</v>
      </c>
      <c r="E474" t="s">
        <v>94</v>
      </c>
      <c r="F474" t="s">
        <v>2236</v>
      </c>
      <c r="G474" t="s">
        <v>2237</v>
      </c>
      <c r="H474" t="s">
        <v>2238</v>
      </c>
    </row>
    <row r="475" spans="1:8" x14ac:dyDescent="0.25">
      <c r="A475">
        <v>1522291</v>
      </c>
      <c r="B475" t="s">
        <v>1969</v>
      </c>
      <c r="C475" t="s">
        <v>33</v>
      </c>
      <c r="D475" t="s">
        <v>417</v>
      </c>
      <c r="E475" t="s">
        <v>699</v>
      </c>
      <c r="F475" t="s">
        <v>2239</v>
      </c>
      <c r="G475" t="s">
        <v>713</v>
      </c>
      <c r="H475" t="s">
        <v>2240</v>
      </c>
    </row>
    <row r="476" spans="1:8" x14ac:dyDescent="0.25">
      <c r="A476">
        <v>1522564</v>
      </c>
      <c r="B476" t="s">
        <v>1969</v>
      </c>
      <c r="C476" t="s">
        <v>33</v>
      </c>
      <c r="D476" t="s">
        <v>405</v>
      </c>
      <c r="E476" t="s">
        <v>46</v>
      </c>
      <c r="F476" t="s">
        <v>2241</v>
      </c>
      <c r="G476" t="s">
        <v>329</v>
      </c>
      <c r="H476" t="s">
        <v>2242</v>
      </c>
    </row>
    <row r="477" spans="1:8" x14ac:dyDescent="0.25">
      <c r="A477">
        <v>1524284</v>
      </c>
      <c r="B477" t="s">
        <v>1969</v>
      </c>
      <c r="C477" t="s">
        <v>33</v>
      </c>
      <c r="D477" t="s">
        <v>49</v>
      </c>
      <c r="E477" t="s">
        <v>364</v>
      </c>
      <c r="F477" t="s">
        <v>2243</v>
      </c>
      <c r="G477" t="s">
        <v>2244</v>
      </c>
      <c r="H477" t="s">
        <v>2245</v>
      </c>
    </row>
    <row r="478" spans="1:8" x14ac:dyDescent="0.25">
      <c r="A478">
        <v>1527453</v>
      </c>
      <c r="B478" t="s">
        <v>1969</v>
      </c>
      <c r="C478" t="s">
        <v>33</v>
      </c>
      <c r="D478" t="s">
        <v>262</v>
      </c>
      <c r="E478" t="s">
        <v>427</v>
      </c>
      <c r="F478" t="s">
        <v>2246</v>
      </c>
      <c r="G478" t="s">
        <v>2247</v>
      </c>
      <c r="H478" t="s">
        <v>2248</v>
      </c>
    </row>
    <row r="479" spans="1:8" x14ac:dyDescent="0.25">
      <c r="A479">
        <v>1527533</v>
      </c>
      <c r="B479" t="s">
        <v>1969</v>
      </c>
      <c r="C479" t="s">
        <v>33</v>
      </c>
      <c r="D479" t="s">
        <v>454</v>
      </c>
      <c r="E479" t="s">
        <v>50</v>
      </c>
      <c r="F479" t="s">
        <v>587</v>
      </c>
      <c r="G479" t="s">
        <v>506</v>
      </c>
      <c r="H479" t="s">
        <v>2249</v>
      </c>
    </row>
    <row r="480" spans="1:8" x14ac:dyDescent="0.25">
      <c r="A480">
        <v>1527645</v>
      </c>
      <c r="B480" t="s">
        <v>1969</v>
      </c>
      <c r="C480" t="s">
        <v>33</v>
      </c>
      <c r="D480" t="s">
        <v>647</v>
      </c>
      <c r="E480" t="s">
        <v>648</v>
      </c>
      <c r="F480" t="s">
        <v>2250</v>
      </c>
      <c r="G480" t="s">
        <v>2251</v>
      </c>
      <c r="H480" t="s">
        <v>2252</v>
      </c>
    </row>
    <row r="481" spans="1:8" x14ac:dyDescent="0.25">
      <c r="A481">
        <v>1527899</v>
      </c>
      <c r="B481" t="s">
        <v>1969</v>
      </c>
      <c r="C481" t="s">
        <v>33</v>
      </c>
      <c r="D481" t="s">
        <v>683</v>
      </c>
      <c r="E481" t="s">
        <v>50</v>
      </c>
      <c r="F481" t="s">
        <v>2253</v>
      </c>
      <c r="G481" t="s">
        <v>2254</v>
      </c>
      <c r="H481" t="s">
        <v>2255</v>
      </c>
    </row>
    <row r="482" spans="1:8" x14ac:dyDescent="0.25">
      <c r="A482">
        <v>1528134</v>
      </c>
      <c r="B482" t="s">
        <v>1969</v>
      </c>
      <c r="C482" t="s">
        <v>33</v>
      </c>
      <c r="D482" t="s">
        <v>38</v>
      </c>
      <c r="E482" t="s">
        <v>56</v>
      </c>
      <c r="F482" t="s">
        <v>605</v>
      </c>
      <c r="G482" t="s">
        <v>2256</v>
      </c>
      <c r="H482" t="s">
        <v>2257</v>
      </c>
    </row>
    <row r="483" spans="1:8" x14ac:dyDescent="0.25">
      <c r="A483">
        <v>1529049</v>
      </c>
      <c r="B483" t="s">
        <v>1969</v>
      </c>
      <c r="C483" t="s">
        <v>33</v>
      </c>
      <c r="D483" t="s">
        <v>684</v>
      </c>
      <c r="E483" t="s">
        <v>50</v>
      </c>
      <c r="F483" t="s">
        <v>2258</v>
      </c>
      <c r="G483" t="s">
        <v>2259</v>
      </c>
      <c r="H483" t="s">
        <v>2260</v>
      </c>
    </row>
    <row r="484" spans="1:8" x14ac:dyDescent="0.25">
      <c r="A484">
        <v>1529050</v>
      </c>
      <c r="B484" t="s">
        <v>1969</v>
      </c>
      <c r="C484" t="s">
        <v>33</v>
      </c>
      <c r="D484" t="s">
        <v>684</v>
      </c>
      <c r="E484" t="s">
        <v>50</v>
      </c>
      <c r="F484" t="s">
        <v>2261</v>
      </c>
      <c r="G484" t="s">
        <v>2262</v>
      </c>
      <c r="H484" t="s">
        <v>2263</v>
      </c>
    </row>
    <row r="485" spans="1:8" x14ac:dyDescent="0.25">
      <c r="A485">
        <v>1451580</v>
      </c>
      <c r="B485" t="s">
        <v>2264</v>
      </c>
      <c r="C485" t="s">
        <v>33</v>
      </c>
      <c r="D485" t="s">
        <v>45</v>
      </c>
      <c r="E485" t="s">
        <v>46</v>
      </c>
      <c r="F485" t="s">
        <v>2265</v>
      </c>
      <c r="G485" t="s">
        <v>600</v>
      </c>
      <c r="H485" t="s">
        <v>2266</v>
      </c>
    </row>
    <row r="486" spans="1:8" x14ac:dyDescent="0.25">
      <c r="A486">
        <v>1381093</v>
      </c>
      <c r="B486" t="s">
        <v>2267</v>
      </c>
      <c r="C486" t="s">
        <v>33</v>
      </c>
      <c r="D486" t="s">
        <v>59</v>
      </c>
      <c r="E486" t="s">
        <v>60</v>
      </c>
      <c r="F486" t="s">
        <v>2268</v>
      </c>
      <c r="G486" t="s">
        <v>2269</v>
      </c>
      <c r="H486" t="s">
        <v>2270</v>
      </c>
    </row>
    <row r="487" spans="1:8" x14ac:dyDescent="0.25">
      <c r="A487">
        <v>1381099</v>
      </c>
      <c r="B487" t="s">
        <v>2267</v>
      </c>
      <c r="C487" t="s">
        <v>33</v>
      </c>
      <c r="D487" t="s">
        <v>59</v>
      </c>
      <c r="E487" t="s">
        <v>60</v>
      </c>
      <c r="F487" t="s">
        <v>2271</v>
      </c>
      <c r="G487" t="s">
        <v>2272</v>
      </c>
      <c r="H487" t="s">
        <v>2273</v>
      </c>
    </row>
    <row r="488" spans="1:8" x14ac:dyDescent="0.25">
      <c r="A488">
        <v>1381728</v>
      </c>
      <c r="B488" t="s">
        <v>2267</v>
      </c>
      <c r="C488" t="s">
        <v>33</v>
      </c>
      <c r="D488" t="s">
        <v>52</v>
      </c>
      <c r="E488" t="s">
        <v>53</v>
      </c>
      <c r="F488" t="s">
        <v>2274</v>
      </c>
      <c r="G488" t="s">
        <v>2275</v>
      </c>
      <c r="H488" t="s">
        <v>2276</v>
      </c>
    </row>
    <row r="489" spans="1:8" x14ac:dyDescent="0.25">
      <c r="A489">
        <v>1382211</v>
      </c>
      <c r="B489" t="s">
        <v>2267</v>
      </c>
      <c r="C489" t="s">
        <v>33</v>
      </c>
      <c r="D489" t="s">
        <v>59</v>
      </c>
      <c r="E489" t="s">
        <v>89</v>
      </c>
      <c r="F489" t="s">
        <v>2277</v>
      </c>
      <c r="G489" t="s">
        <v>2278</v>
      </c>
      <c r="H489" t="s">
        <v>2279</v>
      </c>
    </row>
    <row r="490" spans="1:8" x14ac:dyDescent="0.25">
      <c r="A490">
        <v>1391559</v>
      </c>
      <c r="B490" t="s">
        <v>2267</v>
      </c>
      <c r="C490" t="s">
        <v>33</v>
      </c>
      <c r="D490" t="s">
        <v>338</v>
      </c>
      <c r="E490" t="s">
        <v>50</v>
      </c>
      <c r="F490" t="s">
        <v>2280</v>
      </c>
      <c r="G490" t="s">
        <v>494</v>
      </c>
      <c r="H490" t="s">
        <v>2281</v>
      </c>
    </row>
    <row r="491" spans="1:8" x14ac:dyDescent="0.25">
      <c r="A491">
        <v>1407346</v>
      </c>
      <c r="B491" t="s">
        <v>2267</v>
      </c>
      <c r="C491" t="s">
        <v>33</v>
      </c>
      <c r="D491" t="s">
        <v>44</v>
      </c>
      <c r="E491" t="s">
        <v>422</v>
      </c>
      <c r="F491" t="s">
        <v>2282</v>
      </c>
      <c r="G491" t="s">
        <v>2283</v>
      </c>
      <c r="H491" t="s">
        <v>2284</v>
      </c>
    </row>
    <row r="492" spans="1:8" x14ac:dyDescent="0.25">
      <c r="A492">
        <v>1407990</v>
      </c>
      <c r="B492" t="s">
        <v>2267</v>
      </c>
      <c r="C492" t="s">
        <v>33</v>
      </c>
      <c r="D492" t="s">
        <v>44</v>
      </c>
      <c r="E492" t="s">
        <v>363</v>
      </c>
      <c r="F492" t="s">
        <v>2285</v>
      </c>
      <c r="G492" t="s">
        <v>2286</v>
      </c>
      <c r="H492" t="s">
        <v>2287</v>
      </c>
    </row>
    <row r="493" spans="1:8" x14ac:dyDescent="0.25">
      <c r="A493">
        <v>1412134</v>
      </c>
      <c r="B493" t="s">
        <v>2267</v>
      </c>
      <c r="C493" t="s">
        <v>33</v>
      </c>
      <c r="D493" t="s">
        <v>44</v>
      </c>
      <c r="E493" t="s">
        <v>2288</v>
      </c>
      <c r="F493" t="s">
        <v>2289</v>
      </c>
      <c r="G493" t="s">
        <v>2290</v>
      </c>
      <c r="H493" t="s">
        <v>2291</v>
      </c>
    </row>
    <row r="494" spans="1:8" x14ac:dyDescent="0.25">
      <c r="A494">
        <v>1422208</v>
      </c>
      <c r="B494" t="s">
        <v>2267</v>
      </c>
      <c r="C494" t="s">
        <v>33</v>
      </c>
      <c r="D494" t="s">
        <v>270</v>
      </c>
      <c r="E494" t="s">
        <v>736</v>
      </c>
      <c r="F494" t="s">
        <v>2292</v>
      </c>
      <c r="G494" t="s">
        <v>2293</v>
      </c>
      <c r="H494" t="s">
        <v>2294</v>
      </c>
    </row>
    <row r="495" spans="1:8" x14ac:dyDescent="0.25">
      <c r="A495">
        <v>1422415</v>
      </c>
      <c r="B495" t="s">
        <v>2267</v>
      </c>
      <c r="C495" t="s">
        <v>33</v>
      </c>
      <c r="D495" t="s">
        <v>270</v>
      </c>
      <c r="E495" t="s">
        <v>737</v>
      </c>
      <c r="F495" t="s">
        <v>2295</v>
      </c>
      <c r="G495" t="s">
        <v>2296</v>
      </c>
      <c r="H495" t="s">
        <v>2297</v>
      </c>
    </row>
    <row r="496" spans="1:8" x14ac:dyDescent="0.25">
      <c r="A496">
        <v>1422416</v>
      </c>
      <c r="B496" t="s">
        <v>2267</v>
      </c>
      <c r="C496" t="s">
        <v>33</v>
      </c>
      <c r="D496" t="s">
        <v>270</v>
      </c>
      <c r="E496" t="s">
        <v>737</v>
      </c>
      <c r="F496" t="s">
        <v>2298</v>
      </c>
      <c r="G496" t="s">
        <v>2299</v>
      </c>
      <c r="H496" t="s">
        <v>2300</v>
      </c>
    </row>
    <row r="497" spans="1:8" x14ac:dyDescent="0.25">
      <c r="A497">
        <v>1430326</v>
      </c>
      <c r="B497" t="s">
        <v>2267</v>
      </c>
      <c r="C497" t="s">
        <v>33</v>
      </c>
      <c r="D497" t="s">
        <v>81</v>
      </c>
      <c r="E497" t="s">
        <v>745</v>
      </c>
      <c r="F497" t="s">
        <v>2301</v>
      </c>
      <c r="G497" t="s">
        <v>2302</v>
      </c>
      <c r="H497" t="s">
        <v>2303</v>
      </c>
    </row>
    <row r="498" spans="1:8" x14ac:dyDescent="0.25">
      <c r="A498">
        <v>1430327</v>
      </c>
      <c r="B498" t="s">
        <v>2267</v>
      </c>
      <c r="C498" t="s">
        <v>33</v>
      </c>
      <c r="D498" t="s">
        <v>81</v>
      </c>
      <c r="E498" t="s">
        <v>745</v>
      </c>
      <c r="F498" t="s">
        <v>2304</v>
      </c>
      <c r="G498" t="s">
        <v>2305</v>
      </c>
      <c r="H498" t="s">
        <v>2306</v>
      </c>
    </row>
    <row r="499" spans="1:8" x14ac:dyDescent="0.25">
      <c r="A499">
        <v>1433769</v>
      </c>
      <c r="B499" t="s">
        <v>2267</v>
      </c>
      <c r="C499" t="s">
        <v>33</v>
      </c>
      <c r="D499" t="s">
        <v>79</v>
      </c>
      <c r="E499" t="s">
        <v>709</v>
      </c>
      <c r="F499" t="s">
        <v>2307</v>
      </c>
      <c r="G499" t="s">
        <v>2308</v>
      </c>
      <c r="H499" t="s">
        <v>2309</v>
      </c>
    </row>
    <row r="500" spans="1:8" x14ac:dyDescent="0.25">
      <c r="A500">
        <v>1438374</v>
      </c>
      <c r="B500" t="s">
        <v>2267</v>
      </c>
      <c r="C500" t="s">
        <v>33</v>
      </c>
      <c r="D500" t="s">
        <v>59</v>
      </c>
      <c r="E500" t="s">
        <v>739</v>
      </c>
      <c r="F500" t="s">
        <v>2310</v>
      </c>
      <c r="G500" t="s">
        <v>2311</v>
      </c>
      <c r="H500" t="s">
        <v>2312</v>
      </c>
    </row>
    <row r="501" spans="1:8" x14ac:dyDescent="0.25">
      <c r="A501">
        <v>1439660</v>
      </c>
      <c r="B501" t="s">
        <v>2267</v>
      </c>
      <c r="C501" t="s">
        <v>33</v>
      </c>
      <c r="D501" t="s">
        <v>42</v>
      </c>
      <c r="E501" t="s">
        <v>1684</v>
      </c>
      <c r="F501" t="s">
        <v>2313</v>
      </c>
      <c r="G501" t="s">
        <v>2314</v>
      </c>
      <c r="H501" t="s">
        <v>2315</v>
      </c>
    </row>
    <row r="502" spans="1:8" x14ac:dyDescent="0.25">
      <c r="A502">
        <v>1439663</v>
      </c>
      <c r="B502" t="s">
        <v>2267</v>
      </c>
      <c r="C502" t="s">
        <v>33</v>
      </c>
      <c r="D502" t="s">
        <v>42</v>
      </c>
      <c r="E502" t="s">
        <v>1684</v>
      </c>
      <c r="F502" t="s">
        <v>2316</v>
      </c>
      <c r="G502" t="s">
        <v>2317</v>
      </c>
      <c r="H502" t="s">
        <v>2318</v>
      </c>
    </row>
    <row r="503" spans="1:8" x14ac:dyDescent="0.25">
      <c r="A503">
        <v>1440041</v>
      </c>
      <c r="B503" t="s">
        <v>2267</v>
      </c>
      <c r="C503" t="s">
        <v>33</v>
      </c>
      <c r="D503" t="s">
        <v>42</v>
      </c>
      <c r="E503" t="s">
        <v>2319</v>
      </c>
      <c r="F503" t="s">
        <v>2320</v>
      </c>
      <c r="G503" t="s">
        <v>2321</v>
      </c>
      <c r="H503" t="s">
        <v>2322</v>
      </c>
    </row>
    <row r="504" spans="1:8" x14ac:dyDescent="0.25">
      <c r="A504">
        <v>1440042</v>
      </c>
      <c r="B504" t="s">
        <v>2267</v>
      </c>
      <c r="C504" t="s">
        <v>33</v>
      </c>
      <c r="D504" t="s">
        <v>42</v>
      </c>
      <c r="E504" t="s">
        <v>2319</v>
      </c>
      <c r="F504" t="s">
        <v>2323</v>
      </c>
      <c r="G504" t="s">
        <v>2324</v>
      </c>
      <c r="H504" t="s">
        <v>2325</v>
      </c>
    </row>
    <row r="505" spans="1:8" x14ac:dyDescent="0.25">
      <c r="A505">
        <v>1440046</v>
      </c>
      <c r="B505" t="s">
        <v>2267</v>
      </c>
      <c r="C505" t="s">
        <v>33</v>
      </c>
      <c r="D505" t="s">
        <v>42</v>
      </c>
      <c r="E505" t="s">
        <v>2319</v>
      </c>
      <c r="F505" t="s">
        <v>2326</v>
      </c>
      <c r="G505" t="s">
        <v>2327</v>
      </c>
      <c r="H505" t="s">
        <v>2328</v>
      </c>
    </row>
    <row r="506" spans="1:8" x14ac:dyDescent="0.25">
      <c r="A506">
        <v>1440047</v>
      </c>
      <c r="B506" t="s">
        <v>2267</v>
      </c>
      <c r="C506" t="s">
        <v>33</v>
      </c>
      <c r="D506" t="s">
        <v>42</v>
      </c>
      <c r="E506" t="s">
        <v>2319</v>
      </c>
      <c r="F506" t="s">
        <v>2329</v>
      </c>
      <c r="G506" t="s">
        <v>2330</v>
      </c>
      <c r="H506" t="s">
        <v>2331</v>
      </c>
    </row>
    <row r="507" spans="1:8" x14ac:dyDescent="0.25">
      <c r="A507">
        <v>1445204</v>
      </c>
      <c r="B507" t="s">
        <v>2267</v>
      </c>
      <c r="C507" t="s">
        <v>33</v>
      </c>
      <c r="D507" t="s">
        <v>64</v>
      </c>
      <c r="E507" t="s">
        <v>740</v>
      </c>
      <c r="F507" t="s">
        <v>2332</v>
      </c>
      <c r="G507" t="s">
        <v>2333</v>
      </c>
      <c r="H507" t="s">
        <v>2334</v>
      </c>
    </row>
    <row r="508" spans="1:8" x14ac:dyDescent="0.25">
      <c r="A508">
        <v>1446365</v>
      </c>
      <c r="B508" t="s">
        <v>2267</v>
      </c>
      <c r="C508" t="s">
        <v>33</v>
      </c>
      <c r="D508" t="s">
        <v>38</v>
      </c>
      <c r="E508" t="s">
        <v>734</v>
      </c>
      <c r="F508" t="s">
        <v>2335</v>
      </c>
      <c r="G508" t="s">
        <v>2336</v>
      </c>
      <c r="H508" t="s">
        <v>2337</v>
      </c>
    </row>
    <row r="509" spans="1:8" x14ac:dyDescent="0.25">
      <c r="A509">
        <v>1446366</v>
      </c>
      <c r="B509" t="s">
        <v>2267</v>
      </c>
      <c r="C509" t="s">
        <v>33</v>
      </c>
      <c r="D509" t="s">
        <v>38</v>
      </c>
      <c r="E509" t="s">
        <v>734</v>
      </c>
      <c r="F509" t="s">
        <v>2338</v>
      </c>
      <c r="G509" t="s">
        <v>2339</v>
      </c>
      <c r="H509" t="s">
        <v>2340</v>
      </c>
    </row>
    <row r="510" spans="1:8" x14ac:dyDescent="0.25">
      <c r="A510">
        <v>1450762</v>
      </c>
      <c r="B510" t="s">
        <v>2267</v>
      </c>
      <c r="C510" t="s">
        <v>33</v>
      </c>
      <c r="D510" t="s">
        <v>72</v>
      </c>
      <c r="E510" t="s">
        <v>795</v>
      </c>
      <c r="F510" t="s">
        <v>2341</v>
      </c>
      <c r="G510" t="s">
        <v>2342</v>
      </c>
      <c r="H510" t="s">
        <v>2343</v>
      </c>
    </row>
    <row r="511" spans="1:8" x14ac:dyDescent="0.25">
      <c r="A511">
        <v>1451853</v>
      </c>
      <c r="B511" t="s">
        <v>2267</v>
      </c>
      <c r="C511" t="s">
        <v>33</v>
      </c>
      <c r="D511" t="s">
        <v>45</v>
      </c>
      <c r="E511" t="s">
        <v>234</v>
      </c>
      <c r="F511" t="s">
        <v>2344</v>
      </c>
      <c r="G511" t="s">
        <v>2345</v>
      </c>
      <c r="H511" t="s">
        <v>2346</v>
      </c>
    </row>
    <row r="512" spans="1:8" x14ac:dyDescent="0.25">
      <c r="A512">
        <v>1468894</v>
      </c>
      <c r="B512" t="s">
        <v>2267</v>
      </c>
      <c r="C512" t="s">
        <v>33</v>
      </c>
      <c r="D512" t="s">
        <v>42</v>
      </c>
      <c r="E512" t="s">
        <v>410</v>
      </c>
      <c r="F512" t="s">
        <v>2347</v>
      </c>
      <c r="G512" t="s">
        <v>2348</v>
      </c>
      <c r="H512" t="s">
        <v>2349</v>
      </c>
    </row>
    <row r="513" spans="1:8" x14ac:dyDescent="0.25">
      <c r="A513">
        <v>1487344</v>
      </c>
      <c r="B513" t="s">
        <v>2267</v>
      </c>
      <c r="C513" t="s">
        <v>33</v>
      </c>
      <c r="D513" t="s">
        <v>409</v>
      </c>
      <c r="E513" t="s">
        <v>659</v>
      </c>
      <c r="F513" t="s">
        <v>2350</v>
      </c>
      <c r="G513" t="s">
        <v>2351</v>
      </c>
      <c r="H513" t="s">
        <v>2352</v>
      </c>
    </row>
    <row r="514" spans="1:8" x14ac:dyDescent="0.25">
      <c r="A514">
        <v>1487503</v>
      </c>
      <c r="B514" t="s">
        <v>2267</v>
      </c>
      <c r="C514" t="s">
        <v>33</v>
      </c>
      <c r="D514" t="s">
        <v>409</v>
      </c>
      <c r="E514" t="s">
        <v>685</v>
      </c>
      <c r="F514" t="s">
        <v>2353</v>
      </c>
      <c r="G514" t="s">
        <v>2354</v>
      </c>
      <c r="H514" t="s">
        <v>2355</v>
      </c>
    </row>
    <row r="515" spans="1:8" x14ac:dyDescent="0.25">
      <c r="A515">
        <v>1487504</v>
      </c>
      <c r="B515" t="s">
        <v>2267</v>
      </c>
      <c r="C515" t="s">
        <v>33</v>
      </c>
      <c r="D515" t="s">
        <v>409</v>
      </c>
      <c r="E515" t="s">
        <v>685</v>
      </c>
      <c r="F515" t="s">
        <v>2356</v>
      </c>
      <c r="G515" t="s">
        <v>2357</v>
      </c>
      <c r="H515" t="s">
        <v>2358</v>
      </c>
    </row>
    <row r="516" spans="1:8" x14ac:dyDescent="0.25">
      <c r="A516">
        <v>1487619</v>
      </c>
      <c r="B516" t="s">
        <v>2267</v>
      </c>
      <c r="C516" t="s">
        <v>33</v>
      </c>
      <c r="D516" t="s">
        <v>409</v>
      </c>
      <c r="E516" t="s">
        <v>741</v>
      </c>
      <c r="F516" t="s">
        <v>2359</v>
      </c>
      <c r="G516" t="s">
        <v>2360</v>
      </c>
      <c r="H516" t="s">
        <v>2361</v>
      </c>
    </row>
    <row r="517" spans="1:8" x14ac:dyDescent="0.25">
      <c r="A517">
        <v>1487622</v>
      </c>
      <c r="B517" t="s">
        <v>2267</v>
      </c>
      <c r="C517" t="s">
        <v>33</v>
      </c>
      <c r="D517" t="s">
        <v>409</v>
      </c>
      <c r="E517" t="s">
        <v>741</v>
      </c>
      <c r="F517" t="s">
        <v>2362</v>
      </c>
      <c r="G517" t="s">
        <v>2363</v>
      </c>
      <c r="H517" t="s">
        <v>2364</v>
      </c>
    </row>
    <row r="518" spans="1:8" x14ac:dyDescent="0.25">
      <c r="A518">
        <v>1487729</v>
      </c>
      <c r="B518" t="s">
        <v>2267</v>
      </c>
      <c r="C518" t="s">
        <v>33</v>
      </c>
      <c r="D518" t="s">
        <v>409</v>
      </c>
      <c r="E518" t="s">
        <v>686</v>
      </c>
      <c r="F518" t="s">
        <v>2365</v>
      </c>
      <c r="G518" t="s">
        <v>2366</v>
      </c>
      <c r="H518" t="s">
        <v>2367</v>
      </c>
    </row>
    <row r="519" spans="1:8" x14ac:dyDescent="0.25">
      <c r="A519">
        <v>1487730</v>
      </c>
      <c r="B519" t="s">
        <v>2267</v>
      </c>
      <c r="C519" t="s">
        <v>33</v>
      </c>
      <c r="D519" t="s">
        <v>409</v>
      </c>
      <c r="E519" t="s">
        <v>686</v>
      </c>
      <c r="F519" t="s">
        <v>2368</v>
      </c>
      <c r="G519" t="s">
        <v>2369</v>
      </c>
      <c r="H519" t="s">
        <v>2370</v>
      </c>
    </row>
    <row r="520" spans="1:8" x14ac:dyDescent="0.25">
      <c r="A520">
        <v>1489485</v>
      </c>
      <c r="B520" t="s">
        <v>2267</v>
      </c>
      <c r="C520" t="s">
        <v>33</v>
      </c>
      <c r="D520" t="s">
        <v>409</v>
      </c>
      <c r="E520" t="s">
        <v>687</v>
      </c>
      <c r="F520" t="s">
        <v>2371</v>
      </c>
      <c r="G520" t="s">
        <v>2372</v>
      </c>
      <c r="H520" t="s">
        <v>2373</v>
      </c>
    </row>
    <row r="521" spans="1:8" x14ac:dyDescent="0.25">
      <c r="A521">
        <v>1489486</v>
      </c>
      <c r="B521" t="s">
        <v>2267</v>
      </c>
      <c r="C521" t="s">
        <v>33</v>
      </c>
      <c r="D521" t="s">
        <v>409</v>
      </c>
      <c r="E521" t="s">
        <v>687</v>
      </c>
      <c r="F521" t="s">
        <v>2374</v>
      </c>
      <c r="G521" t="s">
        <v>2375</v>
      </c>
      <c r="H521" t="s">
        <v>2376</v>
      </c>
    </row>
    <row r="522" spans="1:8" x14ac:dyDescent="0.25">
      <c r="A522">
        <v>1489491</v>
      </c>
      <c r="B522" t="s">
        <v>2267</v>
      </c>
      <c r="C522" t="s">
        <v>33</v>
      </c>
      <c r="D522" t="s">
        <v>409</v>
      </c>
      <c r="E522" t="s">
        <v>687</v>
      </c>
      <c r="F522" t="s">
        <v>2377</v>
      </c>
      <c r="G522" t="s">
        <v>2378</v>
      </c>
      <c r="H522" t="s">
        <v>2379</v>
      </c>
    </row>
    <row r="523" spans="1:8" x14ac:dyDescent="0.25">
      <c r="A523">
        <v>1489761</v>
      </c>
      <c r="B523" t="s">
        <v>2267</v>
      </c>
      <c r="C523" t="s">
        <v>33</v>
      </c>
      <c r="D523" t="s">
        <v>409</v>
      </c>
      <c r="E523" t="s">
        <v>661</v>
      </c>
      <c r="F523" t="s">
        <v>2380</v>
      </c>
      <c r="G523" t="s">
        <v>2381</v>
      </c>
      <c r="H523" t="s">
        <v>2382</v>
      </c>
    </row>
    <row r="524" spans="1:8" x14ac:dyDescent="0.25">
      <c r="A524">
        <v>1489877</v>
      </c>
      <c r="B524" t="s">
        <v>2267</v>
      </c>
      <c r="C524" t="s">
        <v>33</v>
      </c>
      <c r="D524" t="s">
        <v>409</v>
      </c>
      <c r="E524" t="s">
        <v>688</v>
      </c>
      <c r="F524" t="s">
        <v>2383</v>
      </c>
      <c r="G524" t="s">
        <v>2384</v>
      </c>
      <c r="H524" t="s">
        <v>2385</v>
      </c>
    </row>
    <row r="525" spans="1:8" x14ac:dyDescent="0.25">
      <c r="A525">
        <v>1489881</v>
      </c>
      <c r="B525" t="s">
        <v>2267</v>
      </c>
      <c r="C525" t="s">
        <v>33</v>
      </c>
      <c r="D525" t="s">
        <v>409</v>
      </c>
      <c r="E525" t="s">
        <v>688</v>
      </c>
      <c r="F525" t="s">
        <v>2386</v>
      </c>
      <c r="G525" t="s">
        <v>2387</v>
      </c>
      <c r="H525" t="s">
        <v>2388</v>
      </c>
    </row>
    <row r="526" spans="1:8" x14ac:dyDescent="0.25">
      <c r="A526">
        <v>1489883</v>
      </c>
      <c r="B526" t="s">
        <v>2267</v>
      </c>
      <c r="C526" t="s">
        <v>33</v>
      </c>
      <c r="D526" t="s">
        <v>409</v>
      </c>
      <c r="E526" t="s">
        <v>688</v>
      </c>
      <c r="F526" t="s">
        <v>2389</v>
      </c>
      <c r="G526" t="s">
        <v>2390</v>
      </c>
      <c r="H526" t="s">
        <v>2391</v>
      </c>
    </row>
    <row r="527" spans="1:8" x14ac:dyDescent="0.25">
      <c r="A527">
        <v>1497784</v>
      </c>
      <c r="B527" t="s">
        <v>2267</v>
      </c>
      <c r="C527" t="s">
        <v>33</v>
      </c>
      <c r="D527" t="s">
        <v>725</v>
      </c>
      <c r="E527" t="s">
        <v>234</v>
      </c>
      <c r="F527" t="s">
        <v>2392</v>
      </c>
      <c r="G527" t="s">
        <v>788</v>
      </c>
      <c r="H527" t="s">
        <v>2393</v>
      </c>
    </row>
    <row r="528" spans="1:8" x14ac:dyDescent="0.25">
      <c r="A528">
        <v>1508633</v>
      </c>
      <c r="B528" t="s">
        <v>2267</v>
      </c>
      <c r="C528" t="s">
        <v>33</v>
      </c>
      <c r="D528" t="s">
        <v>355</v>
      </c>
      <c r="E528" t="s">
        <v>660</v>
      </c>
      <c r="F528" t="s">
        <v>2394</v>
      </c>
      <c r="G528" t="s">
        <v>2395</v>
      </c>
      <c r="H528" t="s">
        <v>2396</v>
      </c>
    </row>
    <row r="529" spans="1:8" x14ac:dyDescent="0.25">
      <c r="A529">
        <v>1521092</v>
      </c>
      <c r="B529" t="s">
        <v>2267</v>
      </c>
      <c r="C529" t="s">
        <v>33</v>
      </c>
      <c r="D529" t="s">
        <v>242</v>
      </c>
      <c r="E529" t="s">
        <v>719</v>
      </c>
      <c r="F529" t="s">
        <v>2397</v>
      </c>
      <c r="G529" t="s">
        <v>2398</v>
      </c>
      <c r="H529" t="s">
        <v>2399</v>
      </c>
    </row>
    <row r="530" spans="1:8" x14ac:dyDescent="0.25">
      <c r="A530">
        <v>1529051</v>
      </c>
      <c r="B530" t="s">
        <v>2267</v>
      </c>
      <c r="C530" t="s">
        <v>33</v>
      </c>
      <c r="D530" t="s">
        <v>684</v>
      </c>
      <c r="E530" t="s">
        <v>50</v>
      </c>
      <c r="F530" t="s">
        <v>2400</v>
      </c>
      <c r="G530" t="s">
        <v>2401</v>
      </c>
      <c r="H530" t="s">
        <v>2402</v>
      </c>
    </row>
    <row r="531" spans="1:8" x14ac:dyDescent="0.25">
      <c r="A531">
        <v>1529058</v>
      </c>
      <c r="B531" t="s">
        <v>2267</v>
      </c>
      <c r="C531" t="s">
        <v>33</v>
      </c>
      <c r="D531" t="s">
        <v>66</v>
      </c>
      <c r="E531" t="s">
        <v>94</v>
      </c>
      <c r="F531" t="s">
        <v>632</v>
      </c>
      <c r="G531" t="s">
        <v>624</v>
      </c>
      <c r="H531" t="s">
        <v>2403</v>
      </c>
    </row>
    <row r="532" spans="1:8" x14ac:dyDescent="0.25">
      <c r="A532">
        <v>1529768</v>
      </c>
      <c r="B532" t="s">
        <v>2267</v>
      </c>
      <c r="C532" t="s">
        <v>33</v>
      </c>
      <c r="D532" t="s">
        <v>64</v>
      </c>
      <c r="E532" t="s">
        <v>742</v>
      </c>
      <c r="F532" t="s">
        <v>2404</v>
      </c>
      <c r="G532" t="s">
        <v>2405</v>
      </c>
      <c r="H532" t="s">
        <v>2406</v>
      </c>
    </row>
    <row r="533" spans="1:8" x14ac:dyDescent="0.25">
      <c r="A533">
        <v>1380596</v>
      </c>
      <c r="B533" t="s">
        <v>2407</v>
      </c>
      <c r="C533" t="s">
        <v>33</v>
      </c>
      <c r="D533" t="s">
        <v>52</v>
      </c>
      <c r="E533" t="s">
        <v>58</v>
      </c>
      <c r="F533" t="s">
        <v>2408</v>
      </c>
      <c r="G533" t="s">
        <v>631</v>
      </c>
      <c r="H533" t="s">
        <v>2409</v>
      </c>
    </row>
    <row r="534" spans="1:8" x14ac:dyDescent="0.25">
      <c r="A534">
        <v>1477361</v>
      </c>
      <c r="B534" t="s">
        <v>2407</v>
      </c>
      <c r="C534" t="s">
        <v>33</v>
      </c>
      <c r="D534" t="s">
        <v>409</v>
      </c>
      <c r="E534" t="s">
        <v>425</v>
      </c>
      <c r="F534" t="s">
        <v>2410</v>
      </c>
      <c r="G534" t="s">
        <v>2411</v>
      </c>
      <c r="H534" t="s">
        <v>2412</v>
      </c>
    </row>
    <row r="535" spans="1:8" x14ac:dyDescent="0.25">
      <c r="A535">
        <v>1378135</v>
      </c>
      <c r="B535" t="s">
        <v>2413</v>
      </c>
      <c r="C535" t="s">
        <v>33</v>
      </c>
      <c r="D535" t="s">
        <v>42</v>
      </c>
      <c r="E535" t="s">
        <v>61</v>
      </c>
      <c r="F535" t="s">
        <v>522</v>
      </c>
      <c r="G535" t="s">
        <v>2414</v>
      </c>
      <c r="H535" t="s">
        <v>2415</v>
      </c>
    </row>
    <row r="536" spans="1:8" x14ac:dyDescent="0.25">
      <c r="A536">
        <v>1378137</v>
      </c>
      <c r="B536" t="s">
        <v>2413</v>
      </c>
      <c r="C536" t="s">
        <v>33</v>
      </c>
      <c r="D536" t="s">
        <v>42</v>
      </c>
      <c r="E536" t="s">
        <v>61</v>
      </c>
      <c r="F536" t="s">
        <v>538</v>
      </c>
      <c r="G536" t="s">
        <v>2416</v>
      </c>
      <c r="H536" t="s">
        <v>2417</v>
      </c>
    </row>
    <row r="537" spans="1:8" x14ac:dyDescent="0.25">
      <c r="A537">
        <v>1384040</v>
      </c>
      <c r="B537" t="s">
        <v>2413</v>
      </c>
      <c r="C537" t="s">
        <v>33</v>
      </c>
      <c r="D537" t="s">
        <v>347</v>
      </c>
      <c r="E537" t="s">
        <v>352</v>
      </c>
      <c r="F537" t="s">
        <v>2418</v>
      </c>
      <c r="G537" t="s">
        <v>2419</v>
      </c>
      <c r="H537" t="s">
        <v>2420</v>
      </c>
    </row>
    <row r="538" spans="1:8" x14ac:dyDescent="0.25">
      <c r="A538">
        <v>1384354</v>
      </c>
      <c r="B538" t="s">
        <v>2413</v>
      </c>
      <c r="C538" t="s">
        <v>33</v>
      </c>
      <c r="D538" t="s">
        <v>269</v>
      </c>
      <c r="E538" t="s">
        <v>777</v>
      </c>
      <c r="F538" t="s">
        <v>2421</v>
      </c>
      <c r="G538" t="s">
        <v>2422</v>
      </c>
      <c r="H538" t="s">
        <v>2423</v>
      </c>
    </row>
    <row r="539" spans="1:8" x14ac:dyDescent="0.25">
      <c r="A539">
        <v>1387916</v>
      </c>
      <c r="B539" t="s">
        <v>2413</v>
      </c>
      <c r="C539" t="s">
        <v>33</v>
      </c>
      <c r="D539" t="s">
        <v>90</v>
      </c>
      <c r="E539" t="s">
        <v>48</v>
      </c>
      <c r="F539" t="s">
        <v>2424</v>
      </c>
      <c r="G539" t="s">
        <v>2425</v>
      </c>
      <c r="H539" t="s">
        <v>2426</v>
      </c>
    </row>
    <row r="540" spans="1:8" x14ac:dyDescent="0.25">
      <c r="A540">
        <v>1388206</v>
      </c>
      <c r="B540" t="s">
        <v>2413</v>
      </c>
      <c r="C540" t="s">
        <v>33</v>
      </c>
      <c r="D540" t="s">
        <v>269</v>
      </c>
      <c r="E540" t="s">
        <v>430</v>
      </c>
      <c r="F540" t="s">
        <v>2427</v>
      </c>
      <c r="G540" t="s">
        <v>2428</v>
      </c>
      <c r="H540" t="s">
        <v>2429</v>
      </c>
    </row>
    <row r="541" spans="1:8" x14ac:dyDescent="0.25">
      <c r="A541">
        <v>1393973</v>
      </c>
      <c r="B541" t="s">
        <v>2413</v>
      </c>
      <c r="C541" t="s">
        <v>33</v>
      </c>
      <c r="D541" t="s">
        <v>418</v>
      </c>
      <c r="E541" t="s">
        <v>419</v>
      </c>
      <c r="F541" t="s">
        <v>2430</v>
      </c>
      <c r="G541" t="s">
        <v>2431</v>
      </c>
      <c r="H541" t="s">
        <v>2432</v>
      </c>
    </row>
    <row r="542" spans="1:8" x14ac:dyDescent="0.25">
      <c r="A542">
        <v>1393976</v>
      </c>
      <c r="B542" t="s">
        <v>2413</v>
      </c>
      <c r="C542" t="s">
        <v>33</v>
      </c>
      <c r="D542" t="s">
        <v>418</v>
      </c>
      <c r="E542" t="s">
        <v>419</v>
      </c>
      <c r="F542" t="s">
        <v>534</v>
      </c>
      <c r="G542" t="s">
        <v>2433</v>
      </c>
      <c r="H542" t="s">
        <v>2434</v>
      </c>
    </row>
    <row r="543" spans="1:8" x14ac:dyDescent="0.25">
      <c r="A543">
        <v>1393978</v>
      </c>
      <c r="B543" t="s">
        <v>2413</v>
      </c>
      <c r="C543" t="s">
        <v>33</v>
      </c>
      <c r="D543" t="s">
        <v>418</v>
      </c>
      <c r="E543" t="s">
        <v>419</v>
      </c>
      <c r="F543" t="s">
        <v>2435</v>
      </c>
      <c r="G543" t="s">
        <v>2436</v>
      </c>
      <c r="H543" t="s">
        <v>2437</v>
      </c>
    </row>
    <row r="544" spans="1:8" x14ac:dyDescent="0.25">
      <c r="A544">
        <v>1393980</v>
      </c>
      <c r="B544" t="s">
        <v>2413</v>
      </c>
      <c r="C544" t="s">
        <v>33</v>
      </c>
      <c r="D544" t="s">
        <v>418</v>
      </c>
      <c r="E544" t="s">
        <v>419</v>
      </c>
      <c r="F544" t="s">
        <v>2438</v>
      </c>
      <c r="G544" t="s">
        <v>2439</v>
      </c>
      <c r="H544" t="s">
        <v>2440</v>
      </c>
    </row>
    <row r="545" spans="1:8" x14ac:dyDescent="0.25">
      <c r="A545">
        <v>1398188</v>
      </c>
      <c r="B545" t="s">
        <v>2413</v>
      </c>
      <c r="C545" t="s">
        <v>33</v>
      </c>
      <c r="D545" t="s">
        <v>54</v>
      </c>
      <c r="E545" t="s">
        <v>266</v>
      </c>
      <c r="F545" t="s">
        <v>2441</v>
      </c>
      <c r="G545" t="s">
        <v>2442</v>
      </c>
      <c r="H545" t="s">
        <v>2443</v>
      </c>
    </row>
    <row r="546" spans="1:8" x14ac:dyDescent="0.25">
      <c r="A546">
        <v>1400188</v>
      </c>
      <c r="B546" t="s">
        <v>2413</v>
      </c>
      <c r="C546" t="s">
        <v>33</v>
      </c>
      <c r="D546" t="s">
        <v>405</v>
      </c>
      <c r="E546" t="s">
        <v>50</v>
      </c>
      <c r="F546" t="s">
        <v>2444</v>
      </c>
      <c r="G546" t="s">
        <v>2445</v>
      </c>
      <c r="H546" t="s">
        <v>2446</v>
      </c>
    </row>
    <row r="547" spans="1:8" x14ac:dyDescent="0.25">
      <c r="A547">
        <v>1400904</v>
      </c>
      <c r="B547" t="s">
        <v>2413</v>
      </c>
      <c r="C547" t="s">
        <v>33</v>
      </c>
      <c r="D547" t="s">
        <v>63</v>
      </c>
      <c r="E547" t="s">
        <v>272</v>
      </c>
      <c r="F547" t="s">
        <v>2447</v>
      </c>
      <c r="G547" t="s">
        <v>2448</v>
      </c>
      <c r="H547" t="s">
        <v>2449</v>
      </c>
    </row>
    <row r="548" spans="1:8" x14ac:dyDescent="0.25">
      <c r="A548">
        <v>1404230</v>
      </c>
      <c r="B548" t="s">
        <v>2413</v>
      </c>
      <c r="C548" t="s">
        <v>33</v>
      </c>
      <c r="D548" t="s">
        <v>57</v>
      </c>
      <c r="E548" t="s">
        <v>82</v>
      </c>
      <c r="F548" t="s">
        <v>2450</v>
      </c>
      <c r="G548" t="s">
        <v>2451</v>
      </c>
      <c r="H548" t="s">
        <v>2452</v>
      </c>
    </row>
    <row r="549" spans="1:8" x14ac:dyDescent="0.25">
      <c r="A549">
        <v>1404564</v>
      </c>
      <c r="B549" t="s">
        <v>2413</v>
      </c>
      <c r="C549" t="s">
        <v>33</v>
      </c>
      <c r="D549" t="s">
        <v>42</v>
      </c>
      <c r="E549" t="s">
        <v>264</v>
      </c>
      <c r="F549" t="s">
        <v>2453</v>
      </c>
      <c r="G549" t="s">
        <v>565</v>
      </c>
      <c r="H549" t="s">
        <v>2454</v>
      </c>
    </row>
    <row r="550" spans="1:8" x14ac:dyDescent="0.25">
      <c r="A550">
        <v>1405966</v>
      </c>
      <c r="B550" t="s">
        <v>2413</v>
      </c>
      <c r="C550" t="s">
        <v>33</v>
      </c>
      <c r="D550" t="s">
        <v>44</v>
      </c>
      <c r="E550" t="s">
        <v>458</v>
      </c>
      <c r="F550" t="s">
        <v>2455</v>
      </c>
      <c r="G550" t="s">
        <v>2456</v>
      </c>
      <c r="H550" t="s">
        <v>2457</v>
      </c>
    </row>
    <row r="551" spans="1:8" x14ac:dyDescent="0.25">
      <c r="A551">
        <v>1405968</v>
      </c>
      <c r="B551" t="s">
        <v>2413</v>
      </c>
      <c r="C551" t="s">
        <v>33</v>
      </c>
      <c r="D551" t="s">
        <v>44</v>
      </c>
      <c r="E551" t="s">
        <v>458</v>
      </c>
      <c r="F551" t="s">
        <v>2458</v>
      </c>
      <c r="G551" t="s">
        <v>2459</v>
      </c>
      <c r="H551" t="s">
        <v>2460</v>
      </c>
    </row>
    <row r="552" spans="1:8" x14ac:dyDescent="0.25">
      <c r="A552">
        <v>1405969</v>
      </c>
      <c r="B552" t="s">
        <v>2413</v>
      </c>
      <c r="C552" t="s">
        <v>33</v>
      </c>
      <c r="D552" t="s">
        <v>44</v>
      </c>
      <c r="E552" t="s">
        <v>458</v>
      </c>
      <c r="F552" t="s">
        <v>2461</v>
      </c>
      <c r="G552" t="s">
        <v>2462</v>
      </c>
      <c r="H552" t="s">
        <v>2463</v>
      </c>
    </row>
    <row r="553" spans="1:8" x14ac:dyDescent="0.25">
      <c r="A553">
        <v>1405970</v>
      </c>
      <c r="B553" t="s">
        <v>2413</v>
      </c>
      <c r="C553" t="s">
        <v>33</v>
      </c>
      <c r="D553" t="s">
        <v>44</v>
      </c>
      <c r="E553" t="s">
        <v>458</v>
      </c>
      <c r="F553" t="s">
        <v>2464</v>
      </c>
      <c r="G553" t="s">
        <v>2465</v>
      </c>
      <c r="H553" t="s">
        <v>2466</v>
      </c>
    </row>
    <row r="554" spans="1:8" x14ac:dyDescent="0.25">
      <c r="A554">
        <v>1405971</v>
      </c>
      <c r="B554" t="s">
        <v>2413</v>
      </c>
      <c r="C554" t="s">
        <v>33</v>
      </c>
      <c r="D554" t="s">
        <v>44</v>
      </c>
      <c r="E554" t="s">
        <v>458</v>
      </c>
      <c r="F554" t="s">
        <v>2467</v>
      </c>
      <c r="G554" t="s">
        <v>2468</v>
      </c>
      <c r="H554" t="s">
        <v>2469</v>
      </c>
    </row>
    <row r="555" spans="1:8" x14ac:dyDescent="0.25">
      <c r="A555">
        <v>1405972</v>
      </c>
      <c r="B555" t="s">
        <v>2413</v>
      </c>
      <c r="C555" t="s">
        <v>33</v>
      </c>
      <c r="D555" t="s">
        <v>44</v>
      </c>
      <c r="E555" t="s">
        <v>458</v>
      </c>
      <c r="F555" t="s">
        <v>2470</v>
      </c>
      <c r="G555" t="s">
        <v>2471</v>
      </c>
      <c r="H555" t="s">
        <v>2472</v>
      </c>
    </row>
    <row r="556" spans="1:8" x14ac:dyDescent="0.25">
      <c r="A556">
        <v>1406547</v>
      </c>
      <c r="B556" t="s">
        <v>2413</v>
      </c>
      <c r="C556" t="s">
        <v>33</v>
      </c>
      <c r="D556" t="s">
        <v>44</v>
      </c>
      <c r="E556" t="s">
        <v>662</v>
      </c>
      <c r="F556" t="s">
        <v>2473</v>
      </c>
      <c r="G556" t="s">
        <v>2474</v>
      </c>
      <c r="H556" t="s">
        <v>2475</v>
      </c>
    </row>
    <row r="557" spans="1:8" x14ac:dyDescent="0.25">
      <c r="A557">
        <v>1406672</v>
      </c>
      <c r="B557" t="s">
        <v>2413</v>
      </c>
      <c r="C557" t="s">
        <v>33</v>
      </c>
      <c r="D557" t="s">
        <v>44</v>
      </c>
      <c r="E557" t="s">
        <v>662</v>
      </c>
      <c r="F557" t="s">
        <v>2476</v>
      </c>
      <c r="G557" t="s">
        <v>2477</v>
      </c>
      <c r="H557" t="s">
        <v>2478</v>
      </c>
    </row>
    <row r="558" spans="1:8" x14ac:dyDescent="0.25">
      <c r="A558">
        <v>1407345</v>
      </c>
      <c r="B558" t="s">
        <v>2413</v>
      </c>
      <c r="C558" t="s">
        <v>33</v>
      </c>
      <c r="D558" t="s">
        <v>44</v>
      </c>
      <c r="E558" t="s">
        <v>422</v>
      </c>
      <c r="F558" t="s">
        <v>2479</v>
      </c>
      <c r="G558" t="s">
        <v>2480</v>
      </c>
      <c r="H558" t="s">
        <v>2481</v>
      </c>
    </row>
    <row r="559" spans="1:8" x14ac:dyDescent="0.25">
      <c r="A559">
        <v>1407347</v>
      </c>
      <c r="B559" t="s">
        <v>2413</v>
      </c>
      <c r="C559" t="s">
        <v>33</v>
      </c>
      <c r="D559" t="s">
        <v>44</v>
      </c>
      <c r="E559" t="s">
        <v>422</v>
      </c>
      <c r="F559" t="s">
        <v>2482</v>
      </c>
      <c r="G559" t="s">
        <v>2483</v>
      </c>
      <c r="H559" t="s">
        <v>2484</v>
      </c>
    </row>
    <row r="560" spans="1:8" x14ac:dyDescent="0.25">
      <c r="A560">
        <v>1407348</v>
      </c>
      <c r="B560" t="s">
        <v>2413</v>
      </c>
      <c r="C560" t="s">
        <v>33</v>
      </c>
      <c r="D560" t="s">
        <v>44</v>
      </c>
      <c r="E560" t="s">
        <v>422</v>
      </c>
      <c r="F560" t="s">
        <v>2485</v>
      </c>
      <c r="G560" t="s">
        <v>2486</v>
      </c>
      <c r="H560" t="s">
        <v>2487</v>
      </c>
    </row>
    <row r="561" spans="1:8" x14ac:dyDescent="0.25">
      <c r="A561">
        <v>1408278</v>
      </c>
      <c r="B561" t="s">
        <v>2413</v>
      </c>
      <c r="C561" t="s">
        <v>33</v>
      </c>
      <c r="D561" t="s">
        <v>44</v>
      </c>
      <c r="E561" t="s">
        <v>706</v>
      </c>
      <c r="F561" t="s">
        <v>2488</v>
      </c>
      <c r="G561" t="s">
        <v>2489</v>
      </c>
      <c r="H561" t="s">
        <v>2490</v>
      </c>
    </row>
    <row r="562" spans="1:8" x14ac:dyDescent="0.25">
      <c r="A562">
        <v>1408279</v>
      </c>
      <c r="B562" t="s">
        <v>2413</v>
      </c>
      <c r="C562" t="s">
        <v>35</v>
      </c>
      <c r="D562" t="s">
        <v>44</v>
      </c>
      <c r="E562" t="s">
        <v>706</v>
      </c>
      <c r="F562" t="s">
        <v>2491</v>
      </c>
      <c r="G562" t="s">
        <v>2492</v>
      </c>
      <c r="H562" t="s">
        <v>2493</v>
      </c>
    </row>
    <row r="563" spans="1:8" x14ac:dyDescent="0.25">
      <c r="A563">
        <v>1412135</v>
      </c>
      <c r="B563" t="s">
        <v>2413</v>
      </c>
      <c r="C563" t="s">
        <v>33</v>
      </c>
      <c r="D563" t="s">
        <v>44</v>
      </c>
      <c r="E563" t="s">
        <v>2288</v>
      </c>
      <c r="F563" t="s">
        <v>2494</v>
      </c>
      <c r="G563" t="s">
        <v>2495</v>
      </c>
      <c r="H563" t="s">
        <v>2496</v>
      </c>
    </row>
    <row r="564" spans="1:8" x14ac:dyDescent="0.25">
      <c r="A564">
        <v>1412136</v>
      </c>
      <c r="B564" t="s">
        <v>2413</v>
      </c>
      <c r="C564" t="s">
        <v>33</v>
      </c>
      <c r="D564" t="s">
        <v>44</v>
      </c>
      <c r="E564" t="s">
        <v>2288</v>
      </c>
      <c r="F564" t="s">
        <v>2497</v>
      </c>
      <c r="G564" t="s">
        <v>2498</v>
      </c>
      <c r="H564" t="s">
        <v>2499</v>
      </c>
    </row>
    <row r="565" spans="1:8" x14ac:dyDescent="0.25">
      <c r="A565">
        <v>1412137</v>
      </c>
      <c r="B565" t="s">
        <v>2413</v>
      </c>
      <c r="C565" t="s">
        <v>33</v>
      </c>
      <c r="D565" t="s">
        <v>44</v>
      </c>
      <c r="E565" t="s">
        <v>2288</v>
      </c>
      <c r="F565" t="s">
        <v>2500</v>
      </c>
      <c r="G565" t="s">
        <v>2501</v>
      </c>
      <c r="H565" t="s">
        <v>2502</v>
      </c>
    </row>
    <row r="566" spans="1:8" x14ac:dyDescent="0.25">
      <c r="A566">
        <v>1412138</v>
      </c>
      <c r="B566" t="s">
        <v>2413</v>
      </c>
      <c r="C566" t="s">
        <v>33</v>
      </c>
      <c r="D566" t="s">
        <v>44</v>
      </c>
      <c r="E566" t="s">
        <v>2288</v>
      </c>
      <c r="F566" t="s">
        <v>2503</v>
      </c>
      <c r="G566" t="s">
        <v>2504</v>
      </c>
      <c r="H566" t="s">
        <v>2505</v>
      </c>
    </row>
    <row r="567" spans="1:8" x14ac:dyDescent="0.25">
      <c r="A567">
        <v>1412139</v>
      </c>
      <c r="B567" t="s">
        <v>2413</v>
      </c>
      <c r="C567" t="s">
        <v>33</v>
      </c>
      <c r="D567" t="s">
        <v>44</v>
      </c>
      <c r="E567" t="s">
        <v>2288</v>
      </c>
      <c r="F567" t="s">
        <v>2506</v>
      </c>
      <c r="G567" t="s">
        <v>2507</v>
      </c>
      <c r="H567" t="s">
        <v>2508</v>
      </c>
    </row>
    <row r="568" spans="1:8" x14ac:dyDescent="0.25">
      <c r="A568">
        <v>1412852</v>
      </c>
      <c r="B568" t="s">
        <v>2413</v>
      </c>
      <c r="C568" t="s">
        <v>33</v>
      </c>
      <c r="D568" t="s">
        <v>44</v>
      </c>
      <c r="E568" t="s">
        <v>722</v>
      </c>
      <c r="F568" t="s">
        <v>2509</v>
      </c>
      <c r="G568" t="s">
        <v>2510</v>
      </c>
      <c r="H568" t="s">
        <v>2511</v>
      </c>
    </row>
    <row r="569" spans="1:8" x14ac:dyDescent="0.25">
      <c r="A569">
        <v>1412854</v>
      </c>
      <c r="B569" t="s">
        <v>2413</v>
      </c>
      <c r="C569" t="s">
        <v>33</v>
      </c>
      <c r="D569" t="s">
        <v>44</v>
      </c>
      <c r="E569" t="s">
        <v>722</v>
      </c>
      <c r="F569" t="s">
        <v>2512</v>
      </c>
      <c r="G569" t="s">
        <v>2513</v>
      </c>
      <c r="H569" t="s">
        <v>2514</v>
      </c>
    </row>
    <row r="570" spans="1:8" x14ac:dyDescent="0.25">
      <c r="A570">
        <v>1412855</v>
      </c>
      <c r="B570" t="s">
        <v>2413</v>
      </c>
      <c r="C570" t="s">
        <v>33</v>
      </c>
      <c r="D570" t="s">
        <v>44</v>
      </c>
      <c r="E570" t="s">
        <v>722</v>
      </c>
      <c r="F570" t="s">
        <v>2515</v>
      </c>
      <c r="G570" t="s">
        <v>2516</v>
      </c>
      <c r="H570" t="s">
        <v>2517</v>
      </c>
    </row>
    <row r="571" spans="1:8" x14ac:dyDescent="0.25">
      <c r="A571">
        <v>1412856</v>
      </c>
      <c r="B571" t="s">
        <v>2413</v>
      </c>
      <c r="C571" t="s">
        <v>33</v>
      </c>
      <c r="D571" t="s">
        <v>44</v>
      </c>
      <c r="E571" t="s">
        <v>722</v>
      </c>
      <c r="F571" t="s">
        <v>2518</v>
      </c>
      <c r="G571" t="s">
        <v>2519</v>
      </c>
      <c r="H571" t="s">
        <v>2520</v>
      </c>
    </row>
    <row r="572" spans="1:8" x14ac:dyDescent="0.25">
      <c r="A572">
        <v>1415531</v>
      </c>
      <c r="B572" t="s">
        <v>2413</v>
      </c>
      <c r="C572" t="s">
        <v>33</v>
      </c>
      <c r="D572" t="s">
        <v>733</v>
      </c>
      <c r="E572" t="s">
        <v>70</v>
      </c>
      <c r="F572" t="s">
        <v>2521</v>
      </c>
      <c r="G572" t="s">
        <v>2522</v>
      </c>
      <c r="H572" t="s">
        <v>2523</v>
      </c>
    </row>
    <row r="573" spans="1:8" x14ac:dyDescent="0.25">
      <c r="A573">
        <v>1415535</v>
      </c>
      <c r="B573" t="s">
        <v>2413</v>
      </c>
      <c r="C573" t="s">
        <v>33</v>
      </c>
      <c r="D573" t="s">
        <v>733</v>
      </c>
      <c r="E573" t="s">
        <v>70</v>
      </c>
      <c r="F573" t="s">
        <v>2524</v>
      </c>
      <c r="G573" t="s">
        <v>2525</v>
      </c>
      <c r="H573" t="s">
        <v>2526</v>
      </c>
    </row>
    <row r="574" spans="1:8" x14ac:dyDescent="0.25">
      <c r="A574">
        <v>1415756</v>
      </c>
      <c r="B574" t="s">
        <v>2413</v>
      </c>
      <c r="C574" t="s">
        <v>33</v>
      </c>
      <c r="D574" t="s">
        <v>355</v>
      </c>
      <c r="E574" t="s">
        <v>356</v>
      </c>
      <c r="F574" t="s">
        <v>520</v>
      </c>
      <c r="G574" t="s">
        <v>2527</v>
      </c>
      <c r="H574" t="s">
        <v>2528</v>
      </c>
    </row>
    <row r="575" spans="1:8" x14ac:dyDescent="0.25">
      <c r="A575">
        <v>1415761</v>
      </c>
      <c r="B575" t="s">
        <v>2413</v>
      </c>
      <c r="C575" t="s">
        <v>33</v>
      </c>
      <c r="D575" t="s">
        <v>355</v>
      </c>
      <c r="E575" t="s">
        <v>356</v>
      </c>
      <c r="F575" t="s">
        <v>2529</v>
      </c>
      <c r="G575" t="s">
        <v>2530</v>
      </c>
      <c r="H575" t="s">
        <v>2531</v>
      </c>
    </row>
    <row r="576" spans="1:8" x14ac:dyDescent="0.25">
      <c r="A576">
        <v>1416915</v>
      </c>
      <c r="B576" t="s">
        <v>2413</v>
      </c>
      <c r="C576" t="s">
        <v>33</v>
      </c>
      <c r="D576" t="s">
        <v>72</v>
      </c>
      <c r="E576" t="s">
        <v>370</v>
      </c>
      <c r="F576" t="s">
        <v>2532</v>
      </c>
      <c r="G576" t="s">
        <v>2533</v>
      </c>
      <c r="H576" t="s">
        <v>2534</v>
      </c>
    </row>
    <row r="577" spans="1:8" x14ac:dyDescent="0.25">
      <c r="A577">
        <v>1416916</v>
      </c>
      <c r="B577" t="s">
        <v>2413</v>
      </c>
      <c r="C577" t="s">
        <v>33</v>
      </c>
      <c r="D577" t="s">
        <v>72</v>
      </c>
      <c r="E577" t="s">
        <v>370</v>
      </c>
      <c r="F577" t="s">
        <v>2535</v>
      </c>
      <c r="G577" t="s">
        <v>2536</v>
      </c>
      <c r="H577" t="s">
        <v>2537</v>
      </c>
    </row>
    <row r="578" spans="1:8" x14ac:dyDescent="0.25">
      <c r="A578">
        <v>1416917</v>
      </c>
      <c r="B578" t="s">
        <v>2413</v>
      </c>
      <c r="C578" t="s">
        <v>33</v>
      </c>
      <c r="D578" t="s">
        <v>72</v>
      </c>
      <c r="E578" t="s">
        <v>370</v>
      </c>
      <c r="F578" t="s">
        <v>2538</v>
      </c>
      <c r="G578" t="s">
        <v>2539</v>
      </c>
      <c r="H578" t="s">
        <v>2540</v>
      </c>
    </row>
    <row r="579" spans="1:8" x14ac:dyDescent="0.25">
      <c r="A579">
        <v>1416918</v>
      </c>
      <c r="B579" t="s">
        <v>2413</v>
      </c>
      <c r="C579" t="s">
        <v>33</v>
      </c>
      <c r="D579" t="s">
        <v>72</v>
      </c>
      <c r="E579" t="s">
        <v>370</v>
      </c>
      <c r="F579" t="s">
        <v>2541</v>
      </c>
      <c r="G579" t="s">
        <v>2542</v>
      </c>
      <c r="H579" t="s">
        <v>2543</v>
      </c>
    </row>
    <row r="580" spans="1:8" x14ac:dyDescent="0.25">
      <c r="A580">
        <v>1416919</v>
      </c>
      <c r="B580" t="s">
        <v>2413</v>
      </c>
      <c r="C580" t="s">
        <v>33</v>
      </c>
      <c r="D580" t="s">
        <v>72</v>
      </c>
      <c r="E580" t="s">
        <v>370</v>
      </c>
      <c r="F580" t="s">
        <v>2544</v>
      </c>
      <c r="G580" t="s">
        <v>2545</v>
      </c>
      <c r="H580" t="s">
        <v>2546</v>
      </c>
    </row>
    <row r="581" spans="1:8" x14ac:dyDescent="0.25">
      <c r="A581">
        <v>1417555</v>
      </c>
      <c r="B581" t="s">
        <v>2413</v>
      </c>
      <c r="C581" t="s">
        <v>33</v>
      </c>
      <c r="D581" t="s">
        <v>431</v>
      </c>
      <c r="E581" t="s">
        <v>432</v>
      </c>
      <c r="F581" t="s">
        <v>2547</v>
      </c>
      <c r="G581" t="s">
        <v>2548</v>
      </c>
      <c r="H581" t="s">
        <v>2549</v>
      </c>
    </row>
    <row r="582" spans="1:8" x14ac:dyDescent="0.25">
      <c r="A582">
        <v>1417557</v>
      </c>
      <c r="B582" t="s">
        <v>2413</v>
      </c>
      <c r="C582" t="s">
        <v>33</v>
      </c>
      <c r="D582" t="s">
        <v>431</v>
      </c>
      <c r="E582" t="s">
        <v>432</v>
      </c>
      <c r="F582" t="s">
        <v>2550</v>
      </c>
      <c r="G582" t="s">
        <v>2551</v>
      </c>
      <c r="H582" t="s">
        <v>2552</v>
      </c>
    </row>
    <row r="583" spans="1:8" x14ac:dyDescent="0.25">
      <c r="A583">
        <v>1417560</v>
      </c>
      <c r="B583" t="s">
        <v>2413</v>
      </c>
      <c r="C583" t="s">
        <v>33</v>
      </c>
      <c r="D583" t="s">
        <v>431</v>
      </c>
      <c r="E583" t="s">
        <v>432</v>
      </c>
      <c r="F583" t="s">
        <v>2553</v>
      </c>
      <c r="G583" t="s">
        <v>2554</v>
      </c>
      <c r="H583" t="s">
        <v>2555</v>
      </c>
    </row>
    <row r="584" spans="1:8" x14ac:dyDescent="0.25">
      <c r="A584">
        <v>1417561</v>
      </c>
      <c r="B584" t="s">
        <v>2413</v>
      </c>
      <c r="C584" t="s">
        <v>33</v>
      </c>
      <c r="D584" t="s">
        <v>431</v>
      </c>
      <c r="E584" t="s">
        <v>432</v>
      </c>
      <c r="F584" t="s">
        <v>2556</v>
      </c>
      <c r="G584" t="s">
        <v>2557</v>
      </c>
      <c r="H584" t="s">
        <v>2558</v>
      </c>
    </row>
    <row r="585" spans="1:8" x14ac:dyDescent="0.25">
      <c r="A585">
        <v>1418629</v>
      </c>
      <c r="B585" t="s">
        <v>2413</v>
      </c>
      <c r="C585" t="s">
        <v>33</v>
      </c>
      <c r="D585" t="s">
        <v>81</v>
      </c>
      <c r="E585" t="s">
        <v>743</v>
      </c>
      <c r="F585" t="s">
        <v>2559</v>
      </c>
      <c r="G585" t="s">
        <v>2560</v>
      </c>
      <c r="H585" t="s">
        <v>2561</v>
      </c>
    </row>
    <row r="586" spans="1:8" x14ac:dyDescent="0.25">
      <c r="A586">
        <v>1419871</v>
      </c>
      <c r="B586" t="s">
        <v>2413</v>
      </c>
      <c r="C586" t="s">
        <v>33</v>
      </c>
      <c r="D586" t="s">
        <v>42</v>
      </c>
      <c r="E586" t="s">
        <v>374</v>
      </c>
      <c r="F586" t="s">
        <v>2562</v>
      </c>
      <c r="G586" t="s">
        <v>2563</v>
      </c>
      <c r="H586" t="s">
        <v>2564</v>
      </c>
    </row>
    <row r="587" spans="1:8" x14ac:dyDescent="0.25">
      <c r="A587">
        <v>1419876</v>
      </c>
      <c r="B587" t="s">
        <v>2413</v>
      </c>
      <c r="C587" t="s">
        <v>33</v>
      </c>
      <c r="D587" t="s">
        <v>42</v>
      </c>
      <c r="E587" t="s">
        <v>374</v>
      </c>
      <c r="F587" t="s">
        <v>2565</v>
      </c>
      <c r="G587" t="s">
        <v>2566</v>
      </c>
      <c r="H587" t="s">
        <v>2567</v>
      </c>
    </row>
    <row r="588" spans="1:8" x14ac:dyDescent="0.25">
      <c r="A588">
        <v>1419880</v>
      </c>
      <c r="B588" t="s">
        <v>2413</v>
      </c>
      <c r="C588" t="s">
        <v>33</v>
      </c>
      <c r="D588" t="s">
        <v>42</v>
      </c>
      <c r="E588" t="s">
        <v>374</v>
      </c>
      <c r="F588" t="s">
        <v>2568</v>
      </c>
      <c r="G588" t="s">
        <v>2569</v>
      </c>
      <c r="H588" t="s">
        <v>2570</v>
      </c>
    </row>
    <row r="589" spans="1:8" x14ac:dyDescent="0.25">
      <c r="A589">
        <v>1422034</v>
      </c>
      <c r="B589" t="s">
        <v>2413</v>
      </c>
      <c r="C589" t="s">
        <v>33</v>
      </c>
      <c r="D589" t="s">
        <v>270</v>
      </c>
      <c r="E589" t="s">
        <v>717</v>
      </c>
      <c r="F589" t="s">
        <v>2571</v>
      </c>
      <c r="G589" t="s">
        <v>2572</v>
      </c>
      <c r="H589" t="s">
        <v>2573</v>
      </c>
    </row>
    <row r="590" spans="1:8" x14ac:dyDescent="0.25">
      <c r="A590">
        <v>1425051</v>
      </c>
      <c r="B590" t="s">
        <v>2413</v>
      </c>
      <c r="C590" t="s">
        <v>33</v>
      </c>
      <c r="D590" t="s">
        <v>44</v>
      </c>
      <c r="E590" t="s">
        <v>744</v>
      </c>
      <c r="F590" t="s">
        <v>2574</v>
      </c>
      <c r="G590" t="s">
        <v>2575</v>
      </c>
      <c r="H590" t="s">
        <v>2576</v>
      </c>
    </row>
    <row r="591" spans="1:8" x14ac:dyDescent="0.25">
      <c r="A591">
        <v>1425988</v>
      </c>
      <c r="B591" t="s">
        <v>2413</v>
      </c>
      <c r="C591" t="s">
        <v>33</v>
      </c>
      <c r="D591" t="s">
        <v>90</v>
      </c>
      <c r="E591" t="s">
        <v>789</v>
      </c>
      <c r="F591" t="s">
        <v>2577</v>
      </c>
      <c r="G591" t="s">
        <v>2578</v>
      </c>
      <c r="H591" t="s">
        <v>2579</v>
      </c>
    </row>
    <row r="592" spans="1:8" x14ac:dyDescent="0.25">
      <c r="A592">
        <v>1426150</v>
      </c>
      <c r="B592" t="s">
        <v>2413</v>
      </c>
      <c r="C592" t="s">
        <v>33</v>
      </c>
      <c r="D592" t="s">
        <v>90</v>
      </c>
      <c r="E592" t="s">
        <v>790</v>
      </c>
      <c r="F592" t="s">
        <v>2580</v>
      </c>
      <c r="G592" t="s">
        <v>2581</v>
      </c>
      <c r="H592" t="s">
        <v>2582</v>
      </c>
    </row>
    <row r="593" spans="1:8" x14ac:dyDescent="0.25">
      <c r="A593">
        <v>1426308</v>
      </c>
      <c r="B593" t="s">
        <v>2413</v>
      </c>
      <c r="C593" t="s">
        <v>33</v>
      </c>
      <c r="D593" t="s">
        <v>90</v>
      </c>
      <c r="E593" t="s">
        <v>791</v>
      </c>
      <c r="F593" t="s">
        <v>2583</v>
      </c>
      <c r="G593" t="s">
        <v>2584</v>
      </c>
      <c r="H593" t="s">
        <v>2585</v>
      </c>
    </row>
    <row r="594" spans="1:8" x14ac:dyDescent="0.25">
      <c r="A594">
        <v>1426674</v>
      </c>
      <c r="B594" t="s">
        <v>2413</v>
      </c>
      <c r="C594" t="s">
        <v>33</v>
      </c>
      <c r="D594" t="s">
        <v>90</v>
      </c>
      <c r="E594" t="s">
        <v>761</v>
      </c>
      <c r="F594" t="s">
        <v>2586</v>
      </c>
      <c r="G594" t="s">
        <v>2587</v>
      </c>
      <c r="H594" t="s">
        <v>2588</v>
      </c>
    </row>
    <row r="595" spans="1:8" x14ac:dyDescent="0.25">
      <c r="A595">
        <v>1426675</v>
      </c>
      <c r="B595" t="s">
        <v>2413</v>
      </c>
      <c r="C595" t="s">
        <v>33</v>
      </c>
      <c r="D595" t="s">
        <v>90</v>
      </c>
      <c r="E595" t="s">
        <v>761</v>
      </c>
      <c r="F595" t="s">
        <v>2589</v>
      </c>
      <c r="G595" t="s">
        <v>2590</v>
      </c>
      <c r="H595" t="s">
        <v>2591</v>
      </c>
    </row>
    <row r="596" spans="1:8" x14ac:dyDescent="0.25">
      <c r="A596">
        <v>1426850</v>
      </c>
      <c r="B596" t="s">
        <v>2413</v>
      </c>
      <c r="C596" t="s">
        <v>33</v>
      </c>
      <c r="D596" t="s">
        <v>90</v>
      </c>
      <c r="E596" t="s">
        <v>792</v>
      </c>
      <c r="F596" t="s">
        <v>2592</v>
      </c>
      <c r="G596" t="s">
        <v>2593</v>
      </c>
      <c r="H596" t="s">
        <v>2594</v>
      </c>
    </row>
    <row r="597" spans="1:8" x14ac:dyDescent="0.25">
      <c r="A597">
        <v>1427024</v>
      </c>
      <c r="B597" t="s">
        <v>2413</v>
      </c>
      <c r="C597" t="s">
        <v>33</v>
      </c>
      <c r="D597" t="s">
        <v>90</v>
      </c>
      <c r="E597" t="s">
        <v>793</v>
      </c>
      <c r="F597" t="s">
        <v>2595</v>
      </c>
      <c r="G597" t="s">
        <v>2596</v>
      </c>
      <c r="H597" t="s">
        <v>2597</v>
      </c>
    </row>
    <row r="598" spans="1:8" x14ac:dyDescent="0.25">
      <c r="A598">
        <v>1427025</v>
      </c>
      <c r="B598" t="s">
        <v>2413</v>
      </c>
      <c r="C598" t="s">
        <v>33</v>
      </c>
      <c r="D598" t="s">
        <v>90</v>
      </c>
      <c r="E598" t="s">
        <v>793</v>
      </c>
      <c r="F598" t="s">
        <v>2598</v>
      </c>
      <c r="G598" t="s">
        <v>2599</v>
      </c>
      <c r="H598" t="s">
        <v>2600</v>
      </c>
    </row>
    <row r="599" spans="1:8" x14ac:dyDescent="0.25">
      <c r="A599">
        <v>1427192</v>
      </c>
      <c r="B599" t="s">
        <v>2413</v>
      </c>
      <c r="C599" t="s">
        <v>33</v>
      </c>
      <c r="D599" t="s">
        <v>90</v>
      </c>
      <c r="E599" t="s">
        <v>794</v>
      </c>
      <c r="F599" t="s">
        <v>2601</v>
      </c>
      <c r="G599" t="s">
        <v>2602</v>
      </c>
      <c r="H599" t="s">
        <v>2603</v>
      </c>
    </row>
    <row r="600" spans="1:8" x14ac:dyDescent="0.25">
      <c r="A600">
        <v>1427193</v>
      </c>
      <c r="B600" t="s">
        <v>2413</v>
      </c>
      <c r="C600" t="s">
        <v>33</v>
      </c>
      <c r="D600" t="s">
        <v>90</v>
      </c>
      <c r="E600" t="s">
        <v>794</v>
      </c>
      <c r="F600" t="s">
        <v>2604</v>
      </c>
      <c r="G600" t="s">
        <v>2605</v>
      </c>
      <c r="H600" t="s">
        <v>2606</v>
      </c>
    </row>
    <row r="601" spans="1:8" x14ac:dyDescent="0.25">
      <c r="A601">
        <v>1430109</v>
      </c>
      <c r="B601" t="s">
        <v>2413</v>
      </c>
      <c r="C601" t="s">
        <v>33</v>
      </c>
      <c r="D601" t="s">
        <v>81</v>
      </c>
      <c r="E601" t="s">
        <v>723</v>
      </c>
      <c r="F601" t="s">
        <v>2607</v>
      </c>
      <c r="G601" t="s">
        <v>2608</v>
      </c>
      <c r="H601" t="s">
        <v>2609</v>
      </c>
    </row>
    <row r="602" spans="1:8" x14ac:dyDescent="0.25">
      <c r="A602">
        <v>1434549</v>
      </c>
      <c r="B602" t="s">
        <v>2413</v>
      </c>
      <c r="C602" t="s">
        <v>33</v>
      </c>
      <c r="D602" t="s">
        <v>66</v>
      </c>
      <c r="E602" t="s">
        <v>78</v>
      </c>
      <c r="F602" t="s">
        <v>2610</v>
      </c>
      <c r="G602" t="s">
        <v>309</v>
      </c>
      <c r="H602" t="s">
        <v>2611</v>
      </c>
    </row>
    <row r="603" spans="1:8" x14ac:dyDescent="0.25">
      <c r="A603">
        <v>1450275</v>
      </c>
      <c r="B603" t="s">
        <v>2413</v>
      </c>
      <c r="C603" t="s">
        <v>33</v>
      </c>
      <c r="D603" t="s">
        <v>72</v>
      </c>
      <c r="E603" t="s">
        <v>803</v>
      </c>
      <c r="F603" t="s">
        <v>2612</v>
      </c>
      <c r="G603" t="s">
        <v>2613</v>
      </c>
      <c r="H603" t="s">
        <v>2614</v>
      </c>
    </row>
    <row r="604" spans="1:8" x14ac:dyDescent="0.25">
      <c r="A604">
        <v>1450276</v>
      </c>
      <c r="B604" t="s">
        <v>2413</v>
      </c>
      <c r="C604" t="s">
        <v>33</v>
      </c>
      <c r="D604" t="s">
        <v>72</v>
      </c>
      <c r="E604" t="s">
        <v>803</v>
      </c>
      <c r="F604" t="s">
        <v>2615</v>
      </c>
      <c r="G604" t="s">
        <v>2616</v>
      </c>
      <c r="H604" t="s">
        <v>2617</v>
      </c>
    </row>
    <row r="605" spans="1:8" x14ac:dyDescent="0.25">
      <c r="A605">
        <v>1450277</v>
      </c>
      <c r="B605" t="s">
        <v>2413</v>
      </c>
      <c r="C605" t="s">
        <v>33</v>
      </c>
      <c r="D605" t="s">
        <v>72</v>
      </c>
      <c r="E605" t="s">
        <v>803</v>
      </c>
      <c r="F605" t="s">
        <v>2618</v>
      </c>
      <c r="G605" t="s">
        <v>2619</v>
      </c>
      <c r="H605" t="s">
        <v>2620</v>
      </c>
    </row>
    <row r="606" spans="1:8" x14ac:dyDescent="0.25">
      <c r="A606">
        <v>1450278</v>
      </c>
      <c r="B606" t="s">
        <v>2413</v>
      </c>
      <c r="C606" t="s">
        <v>33</v>
      </c>
      <c r="D606" t="s">
        <v>72</v>
      </c>
      <c r="E606" t="s">
        <v>803</v>
      </c>
      <c r="F606" t="s">
        <v>2621</v>
      </c>
      <c r="G606" t="s">
        <v>2622</v>
      </c>
      <c r="H606" t="s">
        <v>2623</v>
      </c>
    </row>
    <row r="607" spans="1:8" x14ac:dyDescent="0.25">
      <c r="A607">
        <v>1450523</v>
      </c>
      <c r="B607" t="s">
        <v>2413</v>
      </c>
      <c r="C607" t="s">
        <v>33</v>
      </c>
      <c r="D607" t="s">
        <v>72</v>
      </c>
      <c r="E607" t="s">
        <v>440</v>
      </c>
      <c r="F607" t="s">
        <v>2624</v>
      </c>
      <c r="G607" t="s">
        <v>2625</v>
      </c>
      <c r="H607" t="s">
        <v>2626</v>
      </c>
    </row>
    <row r="608" spans="1:8" x14ac:dyDescent="0.25">
      <c r="A608">
        <v>1450526</v>
      </c>
      <c r="B608" t="s">
        <v>2413</v>
      </c>
      <c r="C608" t="s">
        <v>33</v>
      </c>
      <c r="D608" t="s">
        <v>72</v>
      </c>
      <c r="E608" t="s">
        <v>440</v>
      </c>
      <c r="F608" t="s">
        <v>2627</v>
      </c>
      <c r="G608" t="s">
        <v>2628</v>
      </c>
      <c r="H608" t="s">
        <v>2629</v>
      </c>
    </row>
    <row r="609" spans="1:8" x14ac:dyDescent="0.25">
      <c r="A609">
        <v>1464311</v>
      </c>
      <c r="B609" t="s">
        <v>2413</v>
      </c>
      <c r="C609" t="s">
        <v>33</v>
      </c>
      <c r="D609" t="s">
        <v>353</v>
      </c>
      <c r="E609" t="s">
        <v>2630</v>
      </c>
      <c r="F609" t="s">
        <v>2631</v>
      </c>
      <c r="G609" t="s">
        <v>2632</v>
      </c>
      <c r="H609" t="s">
        <v>2633</v>
      </c>
    </row>
    <row r="610" spans="1:8" x14ac:dyDescent="0.25">
      <c r="A610">
        <v>1464312</v>
      </c>
      <c r="B610" t="s">
        <v>2413</v>
      </c>
      <c r="C610" t="s">
        <v>33</v>
      </c>
      <c r="D610" t="s">
        <v>353</v>
      </c>
      <c r="E610" t="s">
        <v>2630</v>
      </c>
      <c r="F610" t="s">
        <v>2634</v>
      </c>
      <c r="G610" t="s">
        <v>2635</v>
      </c>
      <c r="H610" t="s">
        <v>2636</v>
      </c>
    </row>
    <row r="611" spans="1:8" x14ac:dyDescent="0.25">
      <c r="A611">
        <v>1464313</v>
      </c>
      <c r="B611" t="s">
        <v>2413</v>
      </c>
      <c r="C611" t="s">
        <v>33</v>
      </c>
      <c r="D611" t="s">
        <v>353</v>
      </c>
      <c r="E611" t="s">
        <v>2630</v>
      </c>
      <c r="F611" t="s">
        <v>2637</v>
      </c>
      <c r="G611" t="s">
        <v>2638</v>
      </c>
      <c r="H611" t="s">
        <v>2639</v>
      </c>
    </row>
    <row r="612" spans="1:8" x14ac:dyDescent="0.25">
      <c r="A612">
        <v>1464314</v>
      </c>
      <c r="B612" t="s">
        <v>2413</v>
      </c>
      <c r="C612" t="s">
        <v>33</v>
      </c>
      <c r="D612" t="s">
        <v>353</v>
      </c>
      <c r="E612" t="s">
        <v>2630</v>
      </c>
      <c r="F612" t="s">
        <v>2640</v>
      </c>
      <c r="G612" t="s">
        <v>2641</v>
      </c>
      <c r="H612" t="s">
        <v>2642</v>
      </c>
    </row>
    <row r="613" spans="1:8" x14ac:dyDescent="0.25">
      <c r="A613">
        <v>1464315</v>
      </c>
      <c r="B613" t="s">
        <v>2413</v>
      </c>
      <c r="C613" t="s">
        <v>33</v>
      </c>
      <c r="D613" t="s">
        <v>353</v>
      </c>
      <c r="E613" t="s">
        <v>2630</v>
      </c>
      <c r="F613" t="s">
        <v>2643</v>
      </c>
      <c r="G613" t="s">
        <v>2644</v>
      </c>
      <c r="H613" t="s">
        <v>2645</v>
      </c>
    </row>
    <row r="614" spans="1:8" x14ac:dyDescent="0.25">
      <c r="A614">
        <v>1464316</v>
      </c>
      <c r="B614" t="s">
        <v>2413</v>
      </c>
      <c r="C614" t="s">
        <v>33</v>
      </c>
      <c r="D614" t="s">
        <v>353</v>
      </c>
      <c r="E614" t="s">
        <v>2630</v>
      </c>
      <c r="F614" t="s">
        <v>2646</v>
      </c>
      <c r="G614" t="s">
        <v>2647</v>
      </c>
      <c r="H614" t="s">
        <v>2648</v>
      </c>
    </row>
    <row r="615" spans="1:8" x14ac:dyDescent="0.25">
      <c r="A615">
        <v>1464317</v>
      </c>
      <c r="B615" t="s">
        <v>2413</v>
      </c>
      <c r="C615" t="s">
        <v>33</v>
      </c>
      <c r="D615" t="s">
        <v>353</v>
      </c>
      <c r="E615" t="s">
        <v>2630</v>
      </c>
      <c r="F615" t="s">
        <v>2649</v>
      </c>
      <c r="G615" t="s">
        <v>2650</v>
      </c>
      <c r="H615" t="s">
        <v>2651</v>
      </c>
    </row>
    <row r="616" spans="1:8" x14ac:dyDescent="0.25">
      <c r="A616">
        <v>1464318</v>
      </c>
      <c r="B616" t="s">
        <v>2413</v>
      </c>
      <c r="C616" t="s">
        <v>33</v>
      </c>
      <c r="D616" t="s">
        <v>353</v>
      </c>
      <c r="E616" t="s">
        <v>2630</v>
      </c>
      <c r="F616" t="s">
        <v>2652</v>
      </c>
      <c r="G616" t="s">
        <v>2653</v>
      </c>
      <c r="H616" t="s">
        <v>2654</v>
      </c>
    </row>
    <row r="617" spans="1:8" x14ac:dyDescent="0.25">
      <c r="A617">
        <v>1471699</v>
      </c>
      <c r="B617" t="s">
        <v>2413</v>
      </c>
      <c r="C617" t="s">
        <v>33</v>
      </c>
      <c r="D617" t="s">
        <v>350</v>
      </c>
      <c r="E617" t="s">
        <v>351</v>
      </c>
      <c r="F617" t="s">
        <v>770</v>
      </c>
      <c r="G617" t="s">
        <v>2655</v>
      </c>
      <c r="H617" t="s">
        <v>2656</v>
      </c>
    </row>
    <row r="618" spans="1:8" x14ac:dyDescent="0.25">
      <c r="A618">
        <v>1471716</v>
      </c>
      <c r="B618" t="s">
        <v>2413</v>
      </c>
      <c r="C618" t="s">
        <v>35</v>
      </c>
      <c r="D618" t="s">
        <v>350</v>
      </c>
      <c r="E618" t="s">
        <v>351</v>
      </c>
      <c r="F618" t="s">
        <v>2655</v>
      </c>
      <c r="G618" t="s">
        <v>753</v>
      </c>
      <c r="H618" t="s">
        <v>2657</v>
      </c>
    </row>
    <row r="619" spans="1:8" x14ac:dyDescent="0.25">
      <c r="A619">
        <v>1474826</v>
      </c>
      <c r="B619" t="s">
        <v>2413</v>
      </c>
      <c r="C619" t="s">
        <v>33</v>
      </c>
      <c r="D619" t="s">
        <v>269</v>
      </c>
      <c r="E619" t="s">
        <v>749</v>
      </c>
      <c r="F619" t="s">
        <v>2658</v>
      </c>
      <c r="G619" t="s">
        <v>2659</v>
      </c>
      <c r="H619" t="s">
        <v>2660</v>
      </c>
    </row>
    <row r="620" spans="1:8" x14ac:dyDescent="0.25">
      <c r="A620">
        <v>1475140</v>
      </c>
      <c r="B620" t="s">
        <v>2413</v>
      </c>
      <c r="C620" t="s">
        <v>33</v>
      </c>
      <c r="D620" t="s">
        <v>357</v>
      </c>
      <c r="E620" t="s">
        <v>50</v>
      </c>
      <c r="F620" t="s">
        <v>2661</v>
      </c>
      <c r="G620" t="s">
        <v>2662</v>
      </c>
      <c r="H620" t="s">
        <v>2663</v>
      </c>
    </row>
    <row r="621" spans="1:8" x14ac:dyDescent="0.25">
      <c r="A621">
        <v>1475494</v>
      </c>
      <c r="B621" t="s">
        <v>2413</v>
      </c>
      <c r="C621" t="s">
        <v>33</v>
      </c>
      <c r="D621" t="s">
        <v>347</v>
      </c>
      <c r="E621" t="s">
        <v>750</v>
      </c>
      <c r="F621" t="s">
        <v>2664</v>
      </c>
      <c r="G621" t="s">
        <v>2665</v>
      </c>
      <c r="H621" t="s">
        <v>2666</v>
      </c>
    </row>
    <row r="622" spans="1:8" x14ac:dyDescent="0.25">
      <c r="A622">
        <v>1487728</v>
      </c>
      <c r="B622" t="s">
        <v>2413</v>
      </c>
      <c r="C622" t="s">
        <v>33</v>
      </c>
      <c r="D622" t="s">
        <v>409</v>
      </c>
      <c r="E622" t="s">
        <v>686</v>
      </c>
      <c r="F622" t="s">
        <v>2667</v>
      </c>
      <c r="G622" t="s">
        <v>2668</v>
      </c>
      <c r="H622" t="s">
        <v>2669</v>
      </c>
    </row>
    <row r="623" spans="1:8" x14ac:dyDescent="0.25">
      <c r="A623">
        <v>1489762</v>
      </c>
      <c r="B623" t="s">
        <v>2413</v>
      </c>
      <c r="C623" t="s">
        <v>33</v>
      </c>
      <c r="D623" t="s">
        <v>409</v>
      </c>
      <c r="E623" t="s">
        <v>661</v>
      </c>
      <c r="F623" t="s">
        <v>2670</v>
      </c>
      <c r="G623" t="s">
        <v>2671</v>
      </c>
      <c r="H623" t="s">
        <v>2672</v>
      </c>
    </row>
    <row r="624" spans="1:8" x14ac:dyDescent="0.25">
      <c r="A624">
        <v>1497783</v>
      </c>
      <c r="B624" t="s">
        <v>2413</v>
      </c>
      <c r="C624" t="s">
        <v>33</v>
      </c>
      <c r="D624" t="s">
        <v>725</v>
      </c>
      <c r="E624" t="s">
        <v>234</v>
      </c>
      <c r="F624" t="s">
        <v>2673</v>
      </c>
      <c r="G624" t="s">
        <v>2674</v>
      </c>
      <c r="H624" t="s">
        <v>2675</v>
      </c>
    </row>
    <row r="625" spans="1:8" x14ac:dyDescent="0.25">
      <c r="A625">
        <v>1503356</v>
      </c>
      <c r="B625" t="s">
        <v>2413</v>
      </c>
      <c r="C625" t="s">
        <v>33</v>
      </c>
      <c r="D625" t="s">
        <v>47</v>
      </c>
      <c r="E625" t="s">
        <v>48</v>
      </c>
      <c r="F625" t="s">
        <v>2676</v>
      </c>
      <c r="G625" t="s">
        <v>2677</v>
      </c>
      <c r="H625" t="s">
        <v>2678</v>
      </c>
    </row>
    <row r="626" spans="1:8" x14ac:dyDescent="0.25">
      <c r="A626">
        <v>1503392</v>
      </c>
      <c r="B626" t="s">
        <v>2413</v>
      </c>
      <c r="C626" t="s">
        <v>33</v>
      </c>
      <c r="D626" t="s">
        <v>47</v>
      </c>
      <c r="E626" t="s">
        <v>48</v>
      </c>
      <c r="F626" t="s">
        <v>2679</v>
      </c>
      <c r="G626" t="s">
        <v>2680</v>
      </c>
      <c r="H626" t="s">
        <v>2681</v>
      </c>
    </row>
    <row r="627" spans="1:8" x14ac:dyDescent="0.25">
      <c r="A627">
        <v>1512752</v>
      </c>
      <c r="B627" t="s">
        <v>2413</v>
      </c>
      <c r="C627" t="s">
        <v>33</v>
      </c>
      <c r="D627" t="s">
        <v>86</v>
      </c>
      <c r="E627" t="s">
        <v>751</v>
      </c>
      <c r="F627" t="s">
        <v>2682</v>
      </c>
      <c r="G627" t="s">
        <v>2683</v>
      </c>
      <c r="H627" t="s">
        <v>2684</v>
      </c>
    </row>
    <row r="628" spans="1:8" x14ac:dyDescent="0.25">
      <c r="A628">
        <v>1513424</v>
      </c>
      <c r="B628" t="s">
        <v>2413</v>
      </c>
      <c r="C628" t="s">
        <v>33</v>
      </c>
      <c r="D628" t="s">
        <v>636</v>
      </c>
      <c r="E628" t="s">
        <v>48</v>
      </c>
      <c r="F628" t="s">
        <v>2685</v>
      </c>
      <c r="G628" t="s">
        <v>2686</v>
      </c>
      <c r="H628" t="s">
        <v>2687</v>
      </c>
    </row>
    <row r="629" spans="1:8" x14ac:dyDescent="0.25">
      <c r="A629">
        <v>1515587</v>
      </c>
      <c r="B629" t="s">
        <v>2413</v>
      </c>
      <c r="C629" t="s">
        <v>33</v>
      </c>
      <c r="D629" t="s">
        <v>87</v>
      </c>
      <c r="E629" t="s">
        <v>772</v>
      </c>
      <c r="F629" t="s">
        <v>2688</v>
      </c>
      <c r="G629" t="s">
        <v>2689</v>
      </c>
      <c r="H629" t="s">
        <v>2690</v>
      </c>
    </row>
    <row r="630" spans="1:8" x14ac:dyDescent="0.25">
      <c r="A630">
        <v>1515588</v>
      </c>
      <c r="B630" t="s">
        <v>2413</v>
      </c>
      <c r="C630" t="s">
        <v>33</v>
      </c>
      <c r="D630" t="s">
        <v>87</v>
      </c>
      <c r="E630" t="s">
        <v>772</v>
      </c>
      <c r="F630" t="s">
        <v>2691</v>
      </c>
      <c r="G630" t="s">
        <v>2692</v>
      </c>
      <c r="H630" t="s">
        <v>2693</v>
      </c>
    </row>
    <row r="631" spans="1:8" x14ac:dyDescent="0.25">
      <c r="A631">
        <v>1515591</v>
      </c>
      <c r="B631" t="s">
        <v>2413</v>
      </c>
      <c r="C631" t="s">
        <v>33</v>
      </c>
      <c r="D631" t="s">
        <v>87</v>
      </c>
      <c r="E631" t="s">
        <v>772</v>
      </c>
      <c r="F631" t="s">
        <v>2694</v>
      </c>
      <c r="G631" t="s">
        <v>2695</v>
      </c>
      <c r="H631" t="s">
        <v>2696</v>
      </c>
    </row>
    <row r="632" spans="1:8" x14ac:dyDescent="0.25">
      <c r="A632">
        <v>1515778</v>
      </c>
      <c r="B632" t="s">
        <v>2413</v>
      </c>
      <c r="C632" t="s">
        <v>33</v>
      </c>
      <c r="D632" t="s">
        <v>655</v>
      </c>
      <c r="E632" t="s">
        <v>656</v>
      </c>
      <c r="F632" t="s">
        <v>2697</v>
      </c>
      <c r="G632" t="s">
        <v>2698</v>
      </c>
      <c r="H632" t="s">
        <v>2699</v>
      </c>
    </row>
    <row r="633" spans="1:8" x14ac:dyDescent="0.25">
      <c r="A633">
        <v>1521300</v>
      </c>
      <c r="B633" t="s">
        <v>2413</v>
      </c>
      <c r="C633" t="s">
        <v>33</v>
      </c>
      <c r="D633" t="s">
        <v>262</v>
      </c>
      <c r="E633" t="s">
        <v>263</v>
      </c>
      <c r="F633" t="s">
        <v>2700</v>
      </c>
      <c r="G633" t="s">
        <v>2701</v>
      </c>
      <c r="H633" t="s">
        <v>2702</v>
      </c>
    </row>
    <row r="634" spans="1:8" x14ac:dyDescent="0.25">
      <c r="A634">
        <v>1522641</v>
      </c>
      <c r="B634" t="s">
        <v>2413</v>
      </c>
      <c r="C634" t="s">
        <v>33</v>
      </c>
      <c r="D634" t="s">
        <v>279</v>
      </c>
      <c r="E634" t="s">
        <v>362</v>
      </c>
      <c r="F634" t="s">
        <v>2703</v>
      </c>
      <c r="G634" t="s">
        <v>2704</v>
      </c>
      <c r="H634" t="s">
        <v>2705</v>
      </c>
    </row>
    <row r="635" spans="1:8" x14ac:dyDescent="0.25">
      <c r="A635">
        <v>1522642</v>
      </c>
      <c r="B635" t="s">
        <v>2413</v>
      </c>
      <c r="C635" t="s">
        <v>33</v>
      </c>
      <c r="D635" t="s">
        <v>279</v>
      </c>
      <c r="E635" t="s">
        <v>362</v>
      </c>
      <c r="F635" t="s">
        <v>2706</v>
      </c>
      <c r="G635" t="s">
        <v>2707</v>
      </c>
      <c r="H635" t="s">
        <v>2708</v>
      </c>
    </row>
    <row r="636" spans="1:8" x14ac:dyDescent="0.25">
      <c r="A636">
        <v>1525554</v>
      </c>
      <c r="B636" t="s">
        <v>2413</v>
      </c>
      <c r="C636" t="s">
        <v>33</v>
      </c>
      <c r="D636" t="s">
        <v>72</v>
      </c>
      <c r="E636" t="s">
        <v>370</v>
      </c>
      <c r="F636" t="s">
        <v>2709</v>
      </c>
      <c r="G636" t="s">
        <v>666</v>
      </c>
      <c r="H636" t="s">
        <v>2710</v>
      </c>
    </row>
    <row r="637" spans="1:8" x14ac:dyDescent="0.25">
      <c r="A637">
        <v>1525555</v>
      </c>
      <c r="B637" t="s">
        <v>2413</v>
      </c>
      <c r="C637" t="s">
        <v>33</v>
      </c>
      <c r="D637" t="s">
        <v>72</v>
      </c>
      <c r="E637" t="s">
        <v>370</v>
      </c>
      <c r="F637" t="s">
        <v>2711</v>
      </c>
      <c r="G637" t="s">
        <v>2712</v>
      </c>
      <c r="H637" t="s">
        <v>2713</v>
      </c>
    </row>
    <row r="638" spans="1:8" x14ac:dyDescent="0.25">
      <c r="A638">
        <v>1527534</v>
      </c>
      <c r="B638" t="s">
        <v>2413</v>
      </c>
      <c r="C638" t="s">
        <v>33</v>
      </c>
      <c r="D638" t="s">
        <v>454</v>
      </c>
      <c r="E638" t="s">
        <v>50</v>
      </c>
      <c r="F638" t="s">
        <v>2714</v>
      </c>
      <c r="G638" t="s">
        <v>2715</v>
      </c>
      <c r="H638" t="s">
        <v>2716</v>
      </c>
    </row>
    <row r="639" spans="1:8" x14ac:dyDescent="0.25">
      <c r="A639">
        <v>1528307</v>
      </c>
      <c r="B639" t="s">
        <v>2413</v>
      </c>
      <c r="C639" t="s">
        <v>33</v>
      </c>
      <c r="D639" t="s">
        <v>636</v>
      </c>
      <c r="E639" t="s">
        <v>238</v>
      </c>
      <c r="F639" t="s">
        <v>2717</v>
      </c>
      <c r="G639" t="s">
        <v>2718</v>
      </c>
      <c r="H639" t="s">
        <v>2719</v>
      </c>
    </row>
    <row r="640" spans="1:8" x14ac:dyDescent="0.25">
      <c r="A640">
        <v>1529882</v>
      </c>
      <c r="B640" t="s">
        <v>2413</v>
      </c>
      <c r="C640" t="s">
        <v>33</v>
      </c>
      <c r="D640" t="s">
        <v>64</v>
      </c>
      <c r="E640" t="s">
        <v>752</v>
      </c>
      <c r="F640" t="s">
        <v>2720</v>
      </c>
      <c r="G640" t="s">
        <v>2721</v>
      </c>
      <c r="H640" t="s">
        <v>2722</v>
      </c>
    </row>
    <row r="641" spans="1:8" x14ac:dyDescent="0.25">
      <c r="A641">
        <v>1529883</v>
      </c>
      <c r="B641" t="s">
        <v>2413</v>
      </c>
      <c r="C641" t="s">
        <v>33</v>
      </c>
      <c r="D641" t="s">
        <v>64</v>
      </c>
      <c r="E641" t="s">
        <v>752</v>
      </c>
      <c r="F641" t="s">
        <v>2723</v>
      </c>
      <c r="G641" t="s">
        <v>2724</v>
      </c>
      <c r="H641" t="s">
        <v>2725</v>
      </c>
    </row>
    <row r="642" spans="1:8" x14ac:dyDescent="0.25">
      <c r="A642">
        <v>1529884</v>
      </c>
      <c r="B642" t="s">
        <v>2413</v>
      </c>
      <c r="C642" t="s">
        <v>33</v>
      </c>
      <c r="D642" t="s">
        <v>64</v>
      </c>
      <c r="E642" t="s">
        <v>752</v>
      </c>
      <c r="F642" t="s">
        <v>2726</v>
      </c>
      <c r="G642" t="s">
        <v>2727</v>
      </c>
      <c r="H642" t="s">
        <v>2728</v>
      </c>
    </row>
    <row r="643" spans="1:8" x14ac:dyDescent="0.25">
      <c r="A643">
        <v>1529885</v>
      </c>
      <c r="B643" t="s">
        <v>2413</v>
      </c>
      <c r="C643" t="s">
        <v>33</v>
      </c>
      <c r="D643" t="s">
        <v>64</v>
      </c>
      <c r="E643" t="s">
        <v>752</v>
      </c>
      <c r="F643" t="s">
        <v>2729</v>
      </c>
      <c r="G643" t="s">
        <v>2730</v>
      </c>
      <c r="H643" t="s">
        <v>2731</v>
      </c>
    </row>
    <row r="644" spans="1:8" x14ac:dyDescent="0.25">
      <c r="A644">
        <v>1530046</v>
      </c>
      <c r="B644" t="s">
        <v>2413</v>
      </c>
      <c r="C644" t="s">
        <v>33</v>
      </c>
      <c r="D644" t="s">
        <v>377</v>
      </c>
      <c r="E644" t="s">
        <v>2732</v>
      </c>
      <c r="F644" t="s">
        <v>2733</v>
      </c>
      <c r="G644" t="s">
        <v>2734</v>
      </c>
      <c r="H644" t="s">
        <v>2735</v>
      </c>
    </row>
    <row r="645" spans="1:8" x14ac:dyDescent="0.25">
      <c r="A645">
        <v>1405973</v>
      </c>
      <c r="B645" t="s">
        <v>2736</v>
      </c>
      <c r="C645" t="s">
        <v>33</v>
      </c>
      <c r="D645" t="s">
        <v>44</v>
      </c>
      <c r="E645" t="s">
        <v>458</v>
      </c>
      <c r="F645" t="s">
        <v>2737</v>
      </c>
      <c r="G645" t="s">
        <v>2738</v>
      </c>
      <c r="H645" t="s">
        <v>2739</v>
      </c>
    </row>
    <row r="646" spans="1:8" x14ac:dyDescent="0.25">
      <c r="A646">
        <v>1384844</v>
      </c>
      <c r="B646" t="s">
        <v>2740</v>
      </c>
      <c r="C646" t="s">
        <v>33</v>
      </c>
      <c r="D646" t="s">
        <v>409</v>
      </c>
      <c r="E646" t="s">
        <v>429</v>
      </c>
      <c r="F646" t="s">
        <v>2741</v>
      </c>
      <c r="G646" t="s">
        <v>2742</v>
      </c>
      <c r="H646" t="s">
        <v>2743</v>
      </c>
    </row>
    <row r="647" spans="1:8" x14ac:dyDescent="0.25">
      <c r="A647">
        <v>1384846</v>
      </c>
      <c r="B647" t="s">
        <v>2740</v>
      </c>
      <c r="C647" t="s">
        <v>33</v>
      </c>
      <c r="D647" t="s">
        <v>409</v>
      </c>
      <c r="E647" t="s">
        <v>429</v>
      </c>
      <c r="F647" t="s">
        <v>2744</v>
      </c>
      <c r="G647" t="s">
        <v>2745</v>
      </c>
      <c r="H647" t="s">
        <v>2746</v>
      </c>
    </row>
    <row r="648" spans="1:8" x14ac:dyDescent="0.25">
      <c r="A648">
        <v>1388208</v>
      </c>
      <c r="B648" t="s">
        <v>2740</v>
      </c>
      <c r="C648" t="s">
        <v>33</v>
      </c>
      <c r="D648" t="s">
        <v>269</v>
      </c>
      <c r="E648" t="s">
        <v>430</v>
      </c>
      <c r="F648" t="s">
        <v>2747</v>
      </c>
      <c r="G648" t="s">
        <v>2748</v>
      </c>
      <c r="H648" t="s">
        <v>2749</v>
      </c>
    </row>
    <row r="649" spans="1:8" x14ac:dyDescent="0.25">
      <c r="A649">
        <v>1388530</v>
      </c>
      <c r="B649" t="s">
        <v>2740</v>
      </c>
      <c r="C649" t="s">
        <v>33</v>
      </c>
      <c r="D649" t="s">
        <v>44</v>
      </c>
      <c r="E649" t="s">
        <v>371</v>
      </c>
      <c r="F649" t="s">
        <v>2750</v>
      </c>
      <c r="G649" t="s">
        <v>2751</v>
      </c>
      <c r="H649" t="s">
        <v>2752</v>
      </c>
    </row>
    <row r="650" spans="1:8" x14ac:dyDescent="0.25">
      <c r="A650">
        <v>1405974</v>
      </c>
      <c r="B650" t="s">
        <v>2740</v>
      </c>
      <c r="C650" t="s">
        <v>33</v>
      </c>
      <c r="D650" t="s">
        <v>44</v>
      </c>
      <c r="E650" t="s">
        <v>458</v>
      </c>
      <c r="F650" t="s">
        <v>2753</v>
      </c>
      <c r="G650" t="s">
        <v>2754</v>
      </c>
      <c r="H650" t="s">
        <v>2755</v>
      </c>
    </row>
    <row r="651" spans="1:8" x14ac:dyDescent="0.25">
      <c r="A651">
        <v>1412140</v>
      </c>
      <c r="B651" t="s">
        <v>2740</v>
      </c>
      <c r="C651" t="s">
        <v>33</v>
      </c>
      <c r="D651" t="s">
        <v>44</v>
      </c>
      <c r="E651" t="s">
        <v>2288</v>
      </c>
      <c r="F651" t="s">
        <v>2756</v>
      </c>
      <c r="G651" t="s">
        <v>2757</v>
      </c>
      <c r="H651" t="s">
        <v>2758</v>
      </c>
    </row>
    <row r="652" spans="1:8" x14ac:dyDescent="0.25">
      <c r="A652">
        <v>1412141</v>
      </c>
      <c r="B652" t="s">
        <v>2740</v>
      </c>
      <c r="C652" t="s">
        <v>33</v>
      </c>
      <c r="D652" t="s">
        <v>44</v>
      </c>
      <c r="E652" t="s">
        <v>2288</v>
      </c>
      <c r="F652" t="s">
        <v>2759</v>
      </c>
      <c r="G652" t="s">
        <v>2760</v>
      </c>
      <c r="H652" t="s">
        <v>2761</v>
      </c>
    </row>
    <row r="653" spans="1:8" x14ac:dyDescent="0.25">
      <c r="A653">
        <v>1413316</v>
      </c>
      <c r="B653" t="s">
        <v>2740</v>
      </c>
      <c r="C653" t="s">
        <v>33</v>
      </c>
      <c r="D653" t="s">
        <v>44</v>
      </c>
      <c r="E653" t="s">
        <v>707</v>
      </c>
      <c r="F653" t="s">
        <v>2762</v>
      </c>
      <c r="G653" t="s">
        <v>2763</v>
      </c>
      <c r="H653" t="s">
        <v>2764</v>
      </c>
    </row>
    <row r="654" spans="1:8" x14ac:dyDescent="0.25">
      <c r="A654">
        <v>1425052</v>
      </c>
      <c r="B654" t="s">
        <v>2740</v>
      </c>
      <c r="C654" t="s">
        <v>33</v>
      </c>
      <c r="D654" t="s">
        <v>44</v>
      </c>
      <c r="E654" t="s">
        <v>744</v>
      </c>
      <c r="F654" t="s">
        <v>2765</v>
      </c>
      <c r="G654" t="s">
        <v>2766</v>
      </c>
      <c r="H654" t="s">
        <v>2767</v>
      </c>
    </row>
    <row r="655" spans="1:8" x14ac:dyDescent="0.25">
      <c r="A655">
        <v>1425053</v>
      </c>
      <c r="B655" t="s">
        <v>2740</v>
      </c>
      <c r="C655" t="s">
        <v>33</v>
      </c>
      <c r="D655" t="s">
        <v>44</v>
      </c>
      <c r="E655" t="s">
        <v>744</v>
      </c>
      <c r="F655" t="s">
        <v>2768</v>
      </c>
      <c r="G655" t="s">
        <v>2769</v>
      </c>
      <c r="H655" t="s">
        <v>2770</v>
      </c>
    </row>
    <row r="656" spans="1:8" x14ac:dyDescent="0.25">
      <c r="A656">
        <v>1425054</v>
      </c>
      <c r="B656" t="s">
        <v>2740</v>
      </c>
      <c r="C656" t="s">
        <v>33</v>
      </c>
      <c r="D656" t="s">
        <v>44</v>
      </c>
      <c r="E656" t="s">
        <v>744</v>
      </c>
      <c r="F656" t="s">
        <v>2771</v>
      </c>
      <c r="G656" t="s">
        <v>2772</v>
      </c>
      <c r="H656" t="s">
        <v>2773</v>
      </c>
    </row>
    <row r="657" spans="1:8" x14ac:dyDescent="0.25">
      <c r="A657">
        <v>1425056</v>
      </c>
      <c r="B657" t="s">
        <v>2740</v>
      </c>
      <c r="C657" t="s">
        <v>33</v>
      </c>
      <c r="D657" t="s">
        <v>44</v>
      </c>
      <c r="E657" t="s">
        <v>744</v>
      </c>
      <c r="F657" t="s">
        <v>2774</v>
      </c>
      <c r="G657" t="s">
        <v>2775</v>
      </c>
      <c r="H657" t="s">
        <v>2776</v>
      </c>
    </row>
    <row r="658" spans="1:8" x14ac:dyDescent="0.25">
      <c r="A658">
        <v>1446795</v>
      </c>
      <c r="B658" t="s">
        <v>2740</v>
      </c>
      <c r="C658" t="s">
        <v>33</v>
      </c>
      <c r="D658" t="s">
        <v>280</v>
      </c>
      <c r="E658" t="s">
        <v>281</v>
      </c>
      <c r="F658" t="s">
        <v>2777</v>
      </c>
      <c r="G658" t="s">
        <v>2778</v>
      </c>
      <c r="H658" t="s">
        <v>2779</v>
      </c>
    </row>
    <row r="659" spans="1:8" x14ac:dyDescent="0.25">
      <c r="A659">
        <v>1446798</v>
      </c>
      <c r="B659" t="s">
        <v>2740</v>
      </c>
      <c r="C659" t="s">
        <v>33</v>
      </c>
      <c r="D659" t="s">
        <v>280</v>
      </c>
      <c r="E659" t="s">
        <v>281</v>
      </c>
      <c r="F659" t="s">
        <v>2780</v>
      </c>
      <c r="G659" t="s">
        <v>507</v>
      </c>
      <c r="H659" t="s">
        <v>2781</v>
      </c>
    </row>
    <row r="660" spans="1:8" x14ac:dyDescent="0.25">
      <c r="A660">
        <v>1471813</v>
      </c>
      <c r="B660" t="s">
        <v>2740</v>
      </c>
      <c r="C660" t="s">
        <v>33</v>
      </c>
      <c r="D660" t="s">
        <v>350</v>
      </c>
      <c r="E660" t="s">
        <v>351</v>
      </c>
      <c r="F660" t="s">
        <v>754</v>
      </c>
      <c r="G660" t="s">
        <v>653</v>
      </c>
      <c r="H660" t="s">
        <v>2782</v>
      </c>
    </row>
    <row r="661" spans="1:8" x14ac:dyDescent="0.25">
      <c r="A661">
        <v>1497785</v>
      </c>
      <c r="B661" t="s">
        <v>2740</v>
      </c>
      <c r="C661" t="s">
        <v>33</v>
      </c>
      <c r="D661" t="s">
        <v>725</v>
      </c>
      <c r="E661" t="s">
        <v>234</v>
      </c>
      <c r="F661" t="s">
        <v>2783</v>
      </c>
      <c r="G661" t="s">
        <v>2784</v>
      </c>
      <c r="H661" t="s">
        <v>2785</v>
      </c>
    </row>
    <row r="662" spans="1:8" x14ac:dyDescent="0.25">
      <c r="A662">
        <v>1515589</v>
      </c>
      <c r="B662" t="s">
        <v>2740</v>
      </c>
      <c r="C662" t="s">
        <v>33</v>
      </c>
      <c r="D662" t="s">
        <v>87</v>
      </c>
      <c r="E662" t="s">
        <v>772</v>
      </c>
      <c r="F662" t="s">
        <v>341</v>
      </c>
      <c r="G662" t="s">
        <v>2786</v>
      </c>
      <c r="H662" t="s">
        <v>2787</v>
      </c>
    </row>
    <row r="663" spans="1:8" x14ac:dyDescent="0.25">
      <c r="A663">
        <v>1522563</v>
      </c>
      <c r="B663" t="s">
        <v>2740</v>
      </c>
      <c r="C663" t="s">
        <v>33</v>
      </c>
      <c r="D663" t="s">
        <v>405</v>
      </c>
      <c r="E663" t="s">
        <v>46</v>
      </c>
      <c r="F663" t="s">
        <v>2788</v>
      </c>
      <c r="G663" t="s">
        <v>2789</v>
      </c>
      <c r="H663" t="s">
        <v>2790</v>
      </c>
    </row>
    <row r="664" spans="1:8" x14ac:dyDescent="0.25">
      <c r="A664">
        <v>1524309</v>
      </c>
      <c r="B664" t="s">
        <v>2740</v>
      </c>
      <c r="C664" t="s">
        <v>33</v>
      </c>
      <c r="D664" t="s">
        <v>49</v>
      </c>
      <c r="E664" t="s">
        <v>364</v>
      </c>
      <c r="F664" t="s">
        <v>2791</v>
      </c>
      <c r="G664" t="s">
        <v>2792</v>
      </c>
      <c r="H664" t="s">
        <v>2793</v>
      </c>
    </row>
    <row r="665" spans="1:8" x14ac:dyDescent="0.25">
      <c r="A665">
        <v>1528476</v>
      </c>
      <c r="B665" t="s">
        <v>2740</v>
      </c>
      <c r="C665" t="s">
        <v>33</v>
      </c>
      <c r="D665" t="s">
        <v>270</v>
      </c>
      <c r="E665" t="s">
        <v>267</v>
      </c>
      <c r="F665" t="s">
        <v>2794</v>
      </c>
      <c r="G665" t="s">
        <v>2795</v>
      </c>
      <c r="H665" t="s">
        <v>2796</v>
      </c>
    </row>
    <row r="666" spans="1:8" x14ac:dyDescent="0.25">
      <c r="A666">
        <v>1425058</v>
      </c>
      <c r="B666" t="s">
        <v>2797</v>
      </c>
      <c r="C666" t="s">
        <v>33</v>
      </c>
      <c r="D666" t="s">
        <v>44</v>
      </c>
      <c r="E666" t="s">
        <v>744</v>
      </c>
      <c r="F666" t="s">
        <v>2798</v>
      </c>
      <c r="G666" t="s">
        <v>2799</v>
      </c>
      <c r="H666" t="s">
        <v>2800</v>
      </c>
    </row>
    <row r="667" spans="1:8" x14ac:dyDescent="0.25">
      <c r="A667">
        <v>1382649</v>
      </c>
      <c r="B667" t="s">
        <v>2801</v>
      </c>
      <c r="C667" t="s">
        <v>33</v>
      </c>
      <c r="D667" t="s">
        <v>72</v>
      </c>
      <c r="E667" t="s">
        <v>376</v>
      </c>
      <c r="F667" t="s">
        <v>2802</v>
      </c>
      <c r="G667" t="s">
        <v>2803</v>
      </c>
      <c r="H667" t="s">
        <v>2804</v>
      </c>
    </row>
    <row r="668" spans="1:8" x14ac:dyDescent="0.25">
      <c r="A668">
        <v>1385091</v>
      </c>
      <c r="B668" t="s">
        <v>2801</v>
      </c>
      <c r="C668" t="s">
        <v>33</v>
      </c>
      <c r="D668" t="s">
        <v>64</v>
      </c>
      <c r="E668" t="s">
        <v>267</v>
      </c>
      <c r="F668" t="s">
        <v>2805</v>
      </c>
      <c r="G668" t="s">
        <v>2806</v>
      </c>
      <c r="H668" t="s">
        <v>2807</v>
      </c>
    </row>
    <row r="669" spans="1:8" x14ac:dyDescent="0.25">
      <c r="A669">
        <v>1385096</v>
      </c>
      <c r="B669" t="s">
        <v>2801</v>
      </c>
      <c r="C669" t="s">
        <v>33</v>
      </c>
      <c r="D669" t="s">
        <v>64</v>
      </c>
      <c r="E669" t="s">
        <v>267</v>
      </c>
      <c r="F669" t="s">
        <v>2808</v>
      </c>
      <c r="G669" t="s">
        <v>511</v>
      </c>
      <c r="H669" t="s">
        <v>2809</v>
      </c>
    </row>
    <row r="670" spans="1:8" x14ac:dyDescent="0.25">
      <c r="A670">
        <v>1385994</v>
      </c>
      <c r="B670" t="s">
        <v>2801</v>
      </c>
      <c r="C670" t="s">
        <v>33</v>
      </c>
      <c r="D670" t="s">
        <v>97</v>
      </c>
      <c r="E670" t="s">
        <v>98</v>
      </c>
      <c r="F670" t="s">
        <v>2810</v>
      </c>
      <c r="G670" t="s">
        <v>523</v>
      </c>
      <c r="H670" t="s">
        <v>2811</v>
      </c>
    </row>
    <row r="671" spans="1:8" x14ac:dyDescent="0.25">
      <c r="A671">
        <v>1392767</v>
      </c>
      <c r="B671" t="s">
        <v>2801</v>
      </c>
      <c r="C671" t="s">
        <v>33</v>
      </c>
      <c r="D671" t="s">
        <v>72</v>
      </c>
      <c r="E671" t="s">
        <v>368</v>
      </c>
      <c r="F671" t="s">
        <v>2812</v>
      </c>
      <c r="G671" t="s">
        <v>2813</v>
      </c>
      <c r="H671" t="s">
        <v>2814</v>
      </c>
    </row>
    <row r="672" spans="1:8" x14ac:dyDescent="0.25">
      <c r="A672">
        <v>1393536</v>
      </c>
      <c r="B672" t="s">
        <v>2801</v>
      </c>
      <c r="C672" t="s">
        <v>33</v>
      </c>
      <c r="D672" t="s">
        <v>433</v>
      </c>
      <c r="E672" t="s">
        <v>434</v>
      </c>
      <c r="F672" t="s">
        <v>2815</v>
      </c>
      <c r="G672" t="s">
        <v>2816</v>
      </c>
      <c r="H672" t="s">
        <v>2817</v>
      </c>
    </row>
    <row r="673" spans="1:8" x14ac:dyDescent="0.25">
      <c r="A673">
        <v>1393641</v>
      </c>
      <c r="B673" t="s">
        <v>2801</v>
      </c>
      <c r="C673" t="s">
        <v>33</v>
      </c>
      <c r="D673" t="s">
        <v>433</v>
      </c>
      <c r="E673" t="s">
        <v>434</v>
      </c>
      <c r="F673" t="s">
        <v>2818</v>
      </c>
      <c r="G673" t="s">
        <v>2819</v>
      </c>
      <c r="H673" t="s">
        <v>2820</v>
      </c>
    </row>
    <row r="674" spans="1:8" x14ac:dyDescent="0.25">
      <c r="A674">
        <v>1393643</v>
      </c>
      <c r="B674" t="s">
        <v>2801</v>
      </c>
      <c r="C674" t="s">
        <v>33</v>
      </c>
      <c r="D674" t="s">
        <v>433</v>
      </c>
      <c r="E674" t="s">
        <v>434</v>
      </c>
      <c r="F674" t="s">
        <v>2821</v>
      </c>
      <c r="G674" t="s">
        <v>2822</v>
      </c>
      <c r="H674" t="s">
        <v>2823</v>
      </c>
    </row>
    <row r="675" spans="1:8" x14ac:dyDescent="0.25">
      <c r="A675">
        <v>1393644</v>
      </c>
      <c r="B675" t="s">
        <v>2801</v>
      </c>
      <c r="C675" t="s">
        <v>33</v>
      </c>
      <c r="D675" t="s">
        <v>433</v>
      </c>
      <c r="E675" t="s">
        <v>434</v>
      </c>
      <c r="F675" t="s">
        <v>2824</v>
      </c>
      <c r="G675" t="s">
        <v>2825</v>
      </c>
      <c r="H675" t="s">
        <v>2826</v>
      </c>
    </row>
    <row r="676" spans="1:8" x14ac:dyDescent="0.25">
      <c r="A676">
        <v>1393645</v>
      </c>
      <c r="B676" t="s">
        <v>2801</v>
      </c>
      <c r="C676" t="s">
        <v>33</v>
      </c>
      <c r="D676" t="s">
        <v>433</v>
      </c>
      <c r="E676" t="s">
        <v>434</v>
      </c>
      <c r="F676" t="s">
        <v>2827</v>
      </c>
      <c r="G676" t="s">
        <v>2828</v>
      </c>
      <c r="H676" t="s">
        <v>2829</v>
      </c>
    </row>
    <row r="677" spans="1:8" x14ac:dyDescent="0.25">
      <c r="A677">
        <v>1393646</v>
      </c>
      <c r="B677" t="s">
        <v>2801</v>
      </c>
      <c r="C677" t="s">
        <v>33</v>
      </c>
      <c r="D677" t="s">
        <v>433</v>
      </c>
      <c r="E677" t="s">
        <v>434</v>
      </c>
      <c r="F677" t="s">
        <v>2830</v>
      </c>
      <c r="G677" t="s">
        <v>2831</v>
      </c>
      <c r="H677" t="s">
        <v>2832</v>
      </c>
    </row>
    <row r="678" spans="1:8" x14ac:dyDescent="0.25">
      <c r="A678">
        <v>1393647</v>
      </c>
      <c r="B678" t="s">
        <v>2801</v>
      </c>
      <c r="C678" t="s">
        <v>33</v>
      </c>
      <c r="D678" t="s">
        <v>433</v>
      </c>
      <c r="E678" t="s">
        <v>434</v>
      </c>
      <c r="F678" t="s">
        <v>2833</v>
      </c>
      <c r="G678" t="s">
        <v>2834</v>
      </c>
      <c r="H678" t="s">
        <v>2835</v>
      </c>
    </row>
    <row r="679" spans="1:8" x14ac:dyDescent="0.25">
      <c r="A679">
        <v>1393648</v>
      </c>
      <c r="B679" t="s">
        <v>2801</v>
      </c>
      <c r="C679" t="s">
        <v>33</v>
      </c>
      <c r="D679" t="s">
        <v>433</v>
      </c>
      <c r="E679" t="s">
        <v>434</v>
      </c>
      <c r="F679" t="s">
        <v>2836</v>
      </c>
      <c r="G679" t="s">
        <v>2837</v>
      </c>
      <c r="H679" t="s">
        <v>2838</v>
      </c>
    </row>
    <row r="680" spans="1:8" x14ac:dyDescent="0.25">
      <c r="A680">
        <v>1396733</v>
      </c>
      <c r="B680" t="s">
        <v>2801</v>
      </c>
      <c r="C680" t="s">
        <v>33</v>
      </c>
      <c r="D680" t="s">
        <v>801</v>
      </c>
      <c r="E680" t="s">
        <v>802</v>
      </c>
      <c r="F680" t="s">
        <v>2839</v>
      </c>
      <c r="G680" t="s">
        <v>2840</v>
      </c>
      <c r="H680" t="s">
        <v>2841</v>
      </c>
    </row>
    <row r="681" spans="1:8" x14ac:dyDescent="0.25">
      <c r="A681">
        <v>1400902</v>
      </c>
      <c r="B681" t="s">
        <v>2801</v>
      </c>
      <c r="C681" t="s">
        <v>33</v>
      </c>
      <c r="D681" t="s">
        <v>63</v>
      </c>
      <c r="E681" t="s">
        <v>272</v>
      </c>
      <c r="F681" t="s">
        <v>2842</v>
      </c>
      <c r="G681" t="s">
        <v>2843</v>
      </c>
      <c r="H681" t="s">
        <v>2844</v>
      </c>
    </row>
    <row r="682" spans="1:8" x14ac:dyDescent="0.25">
      <c r="A682">
        <v>1409289</v>
      </c>
      <c r="B682" t="s">
        <v>2801</v>
      </c>
      <c r="C682" t="s">
        <v>33</v>
      </c>
      <c r="D682" t="s">
        <v>44</v>
      </c>
      <c r="E682" t="s">
        <v>716</v>
      </c>
      <c r="F682" t="s">
        <v>2845</v>
      </c>
      <c r="G682" t="s">
        <v>2846</v>
      </c>
      <c r="H682" t="s">
        <v>2847</v>
      </c>
    </row>
    <row r="683" spans="1:8" x14ac:dyDescent="0.25">
      <c r="A683">
        <v>1412142</v>
      </c>
      <c r="B683" t="s">
        <v>2801</v>
      </c>
      <c r="C683" t="s">
        <v>33</v>
      </c>
      <c r="D683" t="s">
        <v>44</v>
      </c>
      <c r="E683" t="s">
        <v>2288</v>
      </c>
      <c r="F683" t="s">
        <v>2848</v>
      </c>
      <c r="G683" t="s">
        <v>2849</v>
      </c>
      <c r="H683" t="s">
        <v>2850</v>
      </c>
    </row>
    <row r="684" spans="1:8" x14ac:dyDescent="0.25">
      <c r="A684">
        <v>1413573</v>
      </c>
      <c r="B684" t="s">
        <v>2801</v>
      </c>
      <c r="C684" t="s">
        <v>33</v>
      </c>
      <c r="D684" t="s">
        <v>54</v>
      </c>
      <c r="E684" t="s">
        <v>2851</v>
      </c>
      <c r="F684" t="s">
        <v>2852</v>
      </c>
      <c r="G684" t="s">
        <v>2853</v>
      </c>
      <c r="H684" t="s">
        <v>2854</v>
      </c>
    </row>
    <row r="685" spans="1:8" x14ac:dyDescent="0.25">
      <c r="A685">
        <v>1413574</v>
      </c>
      <c r="B685" t="s">
        <v>2801</v>
      </c>
      <c r="C685" t="s">
        <v>33</v>
      </c>
      <c r="D685" t="s">
        <v>54</v>
      </c>
      <c r="E685" t="s">
        <v>2851</v>
      </c>
      <c r="F685" t="s">
        <v>2855</v>
      </c>
      <c r="G685" t="s">
        <v>2856</v>
      </c>
      <c r="H685" t="s">
        <v>2857</v>
      </c>
    </row>
    <row r="686" spans="1:8" x14ac:dyDescent="0.25">
      <c r="A686">
        <v>1413575</v>
      </c>
      <c r="B686" t="s">
        <v>2801</v>
      </c>
      <c r="C686" t="s">
        <v>33</v>
      </c>
      <c r="D686" t="s">
        <v>54</v>
      </c>
      <c r="E686" t="s">
        <v>2851</v>
      </c>
      <c r="F686" t="s">
        <v>2858</v>
      </c>
      <c r="G686" t="s">
        <v>2859</v>
      </c>
      <c r="H686" t="s">
        <v>2860</v>
      </c>
    </row>
    <row r="687" spans="1:8" x14ac:dyDescent="0.25">
      <c r="A687">
        <v>1413576</v>
      </c>
      <c r="B687" t="s">
        <v>2801</v>
      </c>
      <c r="C687" t="s">
        <v>33</v>
      </c>
      <c r="D687" t="s">
        <v>54</v>
      </c>
      <c r="E687" t="s">
        <v>2851</v>
      </c>
      <c r="F687" t="s">
        <v>2861</v>
      </c>
      <c r="G687" t="s">
        <v>2862</v>
      </c>
      <c r="H687" t="s">
        <v>2863</v>
      </c>
    </row>
    <row r="688" spans="1:8" x14ac:dyDescent="0.25">
      <c r="A688">
        <v>1413577</v>
      </c>
      <c r="B688" t="s">
        <v>2801</v>
      </c>
      <c r="C688" t="s">
        <v>33</v>
      </c>
      <c r="D688" t="s">
        <v>54</v>
      </c>
      <c r="E688" t="s">
        <v>2851</v>
      </c>
      <c r="F688" t="s">
        <v>2864</v>
      </c>
      <c r="G688" t="s">
        <v>2865</v>
      </c>
      <c r="H688" t="s">
        <v>2866</v>
      </c>
    </row>
    <row r="689" spans="1:8" x14ac:dyDescent="0.25">
      <c r="A689">
        <v>1413578</v>
      </c>
      <c r="B689" t="s">
        <v>2801</v>
      </c>
      <c r="C689" t="s">
        <v>33</v>
      </c>
      <c r="D689" t="s">
        <v>54</v>
      </c>
      <c r="E689" t="s">
        <v>2851</v>
      </c>
      <c r="F689" t="s">
        <v>2867</v>
      </c>
      <c r="G689" t="s">
        <v>2868</v>
      </c>
      <c r="H689" t="s">
        <v>2869</v>
      </c>
    </row>
    <row r="690" spans="1:8" x14ac:dyDescent="0.25">
      <c r="A690">
        <v>1413579</v>
      </c>
      <c r="B690" t="s">
        <v>2801</v>
      </c>
      <c r="C690" t="s">
        <v>33</v>
      </c>
      <c r="D690" t="s">
        <v>54</v>
      </c>
      <c r="E690" t="s">
        <v>2851</v>
      </c>
      <c r="F690" t="s">
        <v>2870</v>
      </c>
      <c r="G690" t="s">
        <v>2871</v>
      </c>
      <c r="H690" t="s">
        <v>2872</v>
      </c>
    </row>
    <row r="691" spans="1:8" x14ac:dyDescent="0.25">
      <c r="A691">
        <v>1413724</v>
      </c>
      <c r="B691" t="s">
        <v>2801</v>
      </c>
      <c r="C691" t="s">
        <v>33</v>
      </c>
      <c r="D691" t="s">
        <v>54</v>
      </c>
      <c r="E691" t="s">
        <v>2873</v>
      </c>
      <c r="F691" t="s">
        <v>2874</v>
      </c>
      <c r="G691" t="s">
        <v>2875</v>
      </c>
      <c r="H691" t="s">
        <v>2876</v>
      </c>
    </row>
    <row r="692" spans="1:8" x14ac:dyDescent="0.25">
      <c r="A692">
        <v>1413725</v>
      </c>
      <c r="B692" t="s">
        <v>2801</v>
      </c>
      <c r="C692" t="s">
        <v>33</v>
      </c>
      <c r="D692" t="s">
        <v>54</v>
      </c>
      <c r="E692" t="s">
        <v>2873</v>
      </c>
      <c r="F692" t="s">
        <v>2877</v>
      </c>
      <c r="G692" t="s">
        <v>2878</v>
      </c>
      <c r="H692" t="s">
        <v>2879</v>
      </c>
    </row>
    <row r="693" spans="1:8" x14ac:dyDescent="0.25">
      <c r="A693">
        <v>1413726</v>
      </c>
      <c r="B693" t="s">
        <v>2801</v>
      </c>
      <c r="C693" t="s">
        <v>33</v>
      </c>
      <c r="D693" t="s">
        <v>54</v>
      </c>
      <c r="E693" t="s">
        <v>2873</v>
      </c>
      <c r="F693" t="s">
        <v>2880</v>
      </c>
      <c r="G693" t="s">
        <v>2881</v>
      </c>
      <c r="H693" t="s">
        <v>2882</v>
      </c>
    </row>
    <row r="694" spans="1:8" x14ac:dyDescent="0.25">
      <c r="A694">
        <v>1413727</v>
      </c>
      <c r="B694" t="s">
        <v>2801</v>
      </c>
      <c r="C694" t="s">
        <v>33</v>
      </c>
      <c r="D694" t="s">
        <v>54</v>
      </c>
      <c r="E694" t="s">
        <v>2873</v>
      </c>
      <c r="F694" t="s">
        <v>2883</v>
      </c>
      <c r="G694" t="s">
        <v>2884</v>
      </c>
      <c r="H694" t="s">
        <v>2885</v>
      </c>
    </row>
    <row r="695" spans="1:8" x14ac:dyDescent="0.25">
      <c r="A695">
        <v>1413728</v>
      </c>
      <c r="B695" t="s">
        <v>2801</v>
      </c>
      <c r="C695" t="s">
        <v>33</v>
      </c>
      <c r="D695" t="s">
        <v>54</v>
      </c>
      <c r="E695" t="s">
        <v>2873</v>
      </c>
      <c r="F695" t="s">
        <v>2886</v>
      </c>
      <c r="G695" t="s">
        <v>2887</v>
      </c>
      <c r="H695" t="s">
        <v>2888</v>
      </c>
    </row>
    <row r="696" spans="1:8" x14ac:dyDescent="0.25">
      <c r="A696">
        <v>1413729</v>
      </c>
      <c r="B696" t="s">
        <v>2801</v>
      </c>
      <c r="C696" t="s">
        <v>33</v>
      </c>
      <c r="D696" t="s">
        <v>54</v>
      </c>
      <c r="E696" t="s">
        <v>2873</v>
      </c>
      <c r="F696" t="s">
        <v>2889</v>
      </c>
      <c r="G696" t="s">
        <v>2890</v>
      </c>
      <c r="H696" t="s">
        <v>2891</v>
      </c>
    </row>
    <row r="697" spans="1:8" x14ac:dyDescent="0.25">
      <c r="A697">
        <v>1413777</v>
      </c>
      <c r="B697" t="s">
        <v>2801</v>
      </c>
      <c r="C697" t="s">
        <v>33</v>
      </c>
      <c r="D697" t="s">
        <v>54</v>
      </c>
      <c r="E697" t="s">
        <v>2873</v>
      </c>
      <c r="F697" t="s">
        <v>2892</v>
      </c>
      <c r="G697" t="s">
        <v>2893</v>
      </c>
      <c r="H697" t="s">
        <v>2894</v>
      </c>
    </row>
    <row r="698" spans="1:8" x14ac:dyDescent="0.25">
      <c r="A698">
        <v>1413919</v>
      </c>
      <c r="B698" t="s">
        <v>2801</v>
      </c>
      <c r="C698" t="s">
        <v>33</v>
      </c>
      <c r="D698" t="s">
        <v>54</v>
      </c>
      <c r="E698" t="s">
        <v>760</v>
      </c>
      <c r="F698" t="s">
        <v>2895</v>
      </c>
      <c r="G698" t="s">
        <v>2896</v>
      </c>
      <c r="H698" t="s">
        <v>2897</v>
      </c>
    </row>
    <row r="699" spans="1:8" x14ac:dyDescent="0.25">
      <c r="A699">
        <v>1413920</v>
      </c>
      <c r="B699" t="s">
        <v>2801</v>
      </c>
      <c r="C699" t="s">
        <v>33</v>
      </c>
      <c r="D699" t="s">
        <v>54</v>
      </c>
      <c r="E699" t="s">
        <v>760</v>
      </c>
      <c r="F699" t="s">
        <v>2898</v>
      </c>
      <c r="G699" t="s">
        <v>2899</v>
      </c>
      <c r="H699" t="s">
        <v>2900</v>
      </c>
    </row>
    <row r="700" spans="1:8" x14ac:dyDescent="0.25">
      <c r="A700">
        <v>1413922</v>
      </c>
      <c r="B700" t="s">
        <v>2801</v>
      </c>
      <c r="C700" t="s">
        <v>33</v>
      </c>
      <c r="D700" t="s">
        <v>54</v>
      </c>
      <c r="E700" t="s">
        <v>760</v>
      </c>
      <c r="F700" t="s">
        <v>2901</v>
      </c>
      <c r="G700" t="s">
        <v>2902</v>
      </c>
      <c r="H700" t="s">
        <v>2903</v>
      </c>
    </row>
    <row r="701" spans="1:8" x14ac:dyDescent="0.25">
      <c r="A701">
        <v>1413924</v>
      </c>
      <c r="B701" t="s">
        <v>2801</v>
      </c>
      <c r="C701" t="s">
        <v>33</v>
      </c>
      <c r="D701" t="s">
        <v>54</v>
      </c>
      <c r="E701" t="s">
        <v>760</v>
      </c>
      <c r="F701" t="s">
        <v>2904</v>
      </c>
      <c r="G701" t="s">
        <v>2905</v>
      </c>
      <c r="H701" t="s">
        <v>2906</v>
      </c>
    </row>
    <row r="702" spans="1:8" x14ac:dyDescent="0.25">
      <c r="A702">
        <v>1414098</v>
      </c>
      <c r="B702" t="s">
        <v>2801</v>
      </c>
      <c r="C702" t="s">
        <v>33</v>
      </c>
      <c r="D702" t="s">
        <v>54</v>
      </c>
      <c r="E702" t="s">
        <v>2907</v>
      </c>
      <c r="F702" t="s">
        <v>2908</v>
      </c>
      <c r="G702" t="s">
        <v>2909</v>
      </c>
      <c r="H702" t="s">
        <v>2910</v>
      </c>
    </row>
    <row r="703" spans="1:8" x14ac:dyDescent="0.25">
      <c r="A703">
        <v>1414099</v>
      </c>
      <c r="B703" t="s">
        <v>2801</v>
      </c>
      <c r="C703" t="s">
        <v>33</v>
      </c>
      <c r="D703" t="s">
        <v>54</v>
      </c>
      <c r="E703" t="s">
        <v>2907</v>
      </c>
      <c r="F703" t="s">
        <v>2911</v>
      </c>
      <c r="G703" t="s">
        <v>2912</v>
      </c>
      <c r="H703" t="s">
        <v>2913</v>
      </c>
    </row>
    <row r="704" spans="1:8" x14ac:dyDescent="0.25">
      <c r="A704">
        <v>1414100</v>
      </c>
      <c r="B704" t="s">
        <v>2801</v>
      </c>
      <c r="C704" t="s">
        <v>33</v>
      </c>
      <c r="D704" t="s">
        <v>54</v>
      </c>
      <c r="E704" t="s">
        <v>2907</v>
      </c>
      <c r="F704" t="s">
        <v>2914</v>
      </c>
      <c r="G704" t="s">
        <v>2915</v>
      </c>
      <c r="H704" t="s">
        <v>2916</v>
      </c>
    </row>
    <row r="705" spans="1:8" x14ac:dyDescent="0.25">
      <c r="A705">
        <v>1414101</v>
      </c>
      <c r="B705" t="s">
        <v>2801</v>
      </c>
      <c r="C705" t="s">
        <v>33</v>
      </c>
      <c r="D705" t="s">
        <v>54</v>
      </c>
      <c r="E705" t="s">
        <v>2907</v>
      </c>
      <c r="F705" t="s">
        <v>2917</v>
      </c>
      <c r="G705" t="s">
        <v>2918</v>
      </c>
      <c r="H705" t="s">
        <v>2919</v>
      </c>
    </row>
    <row r="706" spans="1:8" x14ac:dyDescent="0.25">
      <c r="A706">
        <v>1414102</v>
      </c>
      <c r="B706" t="s">
        <v>2801</v>
      </c>
      <c r="C706" t="s">
        <v>33</v>
      </c>
      <c r="D706" t="s">
        <v>54</v>
      </c>
      <c r="E706" t="s">
        <v>2907</v>
      </c>
      <c r="F706" t="s">
        <v>2920</v>
      </c>
      <c r="G706" t="s">
        <v>2921</v>
      </c>
      <c r="H706" t="s">
        <v>2922</v>
      </c>
    </row>
    <row r="707" spans="1:8" x14ac:dyDescent="0.25">
      <c r="A707">
        <v>1414103</v>
      </c>
      <c r="B707" t="s">
        <v>2801</v>
      </c>
      <c r="C707" t="s">
        <v>33</v>
      </c>
      <c r="D707" t="s">
        <v>54</v>
      </c>
      <c r="E707" t="s">
        <v>2907</v>
      </c>
      <c r="F707" t="s">
        <v>2923</v>
      </c>
      <c r="G707" t="s">
        <v>2924</v>
      </c>
      <c r="H707" t="s">
        <v>2925</v>
      </c>
    </row>
    <row r="708" spans="1:8" x14ac:dyDescent="0.25">
      <c r="A708">
        <v>1414104</v>
      </c>
      <c r="B708" t="s">
        <v>2801</v>
      </c>
      <c r="C708" t="s">
        <v>33</v>
      </c>
      <c r="D708" t="s">
        <v>54</v>
      </c>
      <c r="E708" t="s">
        <v>2907</v>
      </c>
      <c r="F708" t="s">
        <v>2926</v>
      </c>
      <c r="G708" t="s">
        <v>2927</v>
      </c>
      <c r="H708" t="s">
        <v>2928</v>
      </c>
    </row>
    <row r="709" spans="1:8" x14ac:dyDescent="0.25">
      <c r="A709">
        <v>1414445</v>
      </c>
      <c r="B709" t="s">
        <v>2801</v>
      </c>
      <c r="C709" t="s">
        <v>33</v>
      </c>
      <c r="D709" t="s">
        <v>418</v>
      </c>
      <c r="E709" t="s">
        <v>1227</v>
      </c>
      <c r="F709" t="s">
        <v>2929</v>
      </c>
      <c r="G709" t="s">
        <v>2930</v>
      </c>
      <c r="H709" t="s">
        <v>2931</v>
      </c>
    </row>
    <row r="710" spans="1:8" x14ac:dyDescent="0.25">
      <c r="A710">
        <v>1414886</v>
      </c>
      <c r="B710" t="s">
        <v>2801</v>
      </c>
      <c r="C710" t="s">
        <v>33</v>
      </c>
      <c r="D710" t="s">
        <v>418</v>
      </c>
      <c r="E710" t="s">
        <v>1238</v>
      </c>
      <c r="F710" t="s">
        <v>2932</v>
      </c>
      <c r="G710" t="s">
        <v>2933</v>
      </c>
      <c r="H710" t="s">
        <v>2934</v>
      </c>
    </row>
    <row r="711" spans="1:8" x14ac:dyDescent="0.25">
      <c r="A711">
        <v>1415758</v>
      </c>
      <c r="B711" t="s">
        <v>2801</v>
      </c>
      <c r="C711" t="s">
        <v>33</v>
      </c>
      <c r="D711" t="s">
        <v>355</v>
      </c>
      <c r="E711" t="s">
        <v>356</v>
      </c>
      <c r="F711" t="s">
        <v>2935</v>
      </c>
      <c r="G711" t="s">
        <v>2936</v>
      </c>
      <c r="H711" t="s">
        <v>2937</v>
      </c>
    </row>
    <row r="712" spans="1:8" x14ac:dyDescent="0.25">
      <c r="A712">
        <v>1425057</v>
      </c>
      <c r="B712" t="s">
        <v>2801</v>
      </c>
      <c r="C712" t="s">
        <v>33</v>
      </c>
      <c r="D712" t="s">
        <v>44</v>
      </c>
      <c r="E712" t="s">
        <v>744</v>
      </c>
      <c r="F712" t="s">
        <v>2938</v>
      </c>
      <c r="G712" t="s">
        <v>2939</v>
      </c>
      <c r="H712" t="s">
        <v>2940</v>
      </c>
    </row>
    <row r="713" spans="1:8" x14ac:dyDescent="0.25">
      <c r="A713">
        <v>1431396</v>
      </c>
      <c r="B713" t="s">
        <v>2801</v>
      </c>
      <c r="C713" t="s">
        <v>33</v>
      </c>
      <c r="D713" t="s">
        <v>41</v>
      </c>
      <c r="E713" t="s">
        <v>375</v>
      </c>
      <c r="F713" t="s">
        <v>2941</v>
      </c>
      <c r="G713" t="s">
        <v>2942</v>
      </c>
      <c r="H713" t="s">
        <v>2943</v>
      </c>
    </row>
    <row r="714" spans="1:8" x14ac:dyDescent="0.25">
      <c r="A714">
        <v>1431770</v>
      </c>
      <c r="B714" t="s">
        <v>2801</v>
      </c>
      <c r="C714" t="s">
        <v>33</v>
      </c>
      <c r="D714" t="s">
        <v>41</v>
      </c>
      <c r="E714" t="s">
        <v>361</v>
      </c>
      <c r="F714" t="s">
        <v>2944</v>
      </c>
      <c r="G714" t="s">
        <v>2945</v>
      </c>
      <c r="H714" t="s">
        <v>2946</v>
      </c>
    </row>
    <row r="715" spans="1:8" x14ac:dyDescent="0.25">
      <c r="A715">
        <v>1431772</v>
      </c>
      <c r="B715" t="s">
        <v>2801</v>
      </c>
      <c r="C715" t="s">
        <v>33</v>
      </c>
      <c r="D715" t="s">
        <v>41</v>
      </c>
      <c r="E715" t="s">
        <v>361</v>
      </c>
      <c r="F715" t="s">
        <v>2947</v>
      </c>
      <c r="G715" t="s">
        <v>2948</v>
      </c>
      <c r="H715" t="s">
        <v>2949</v>
      </c>
    </row>
    <row r="716" spans="1:8" x14ac:dyDescent="0.25">
      <c r="A716">
        <v>1431775</v>
      </c>
      <c r="B716" t="s">
        <v>2801</v>
      </c>
      <c r="C716" t="s">
        <v>33</v>
      </c>
      <c r="D716" t="s">
        <v>41</v>
      </c>
      <c r="E716" t="s">
        <v>361</v>
      </c>
      <c r="F716" t="s">
        <v>2950</v>
      </c>
      <c r="G716" t="s">
        <v>2951</v>
      </c>
      <c r="H716" t="s">
        <v>2952</v>
      </c>
    </row>
    <row r="717" spans="1:8" x14ac:dyDescent="0.25">
      <c r="A717">
        <v>1432117</v>
      </c>
      <c r="B717" t="s">
        <v>2801</v>
      </c>
      <c r="C717" t="s">
        <v>33</v>
      </c>
      <c r="D717" t="s">
        <v>41</v>
      </c>
      <c r="E717" t="s">
        <v>778</v>
      </c>
      <c r="F717" t="s">
        <v>2953</v>
      </c>
      <c r="G717" t="s">
        <v>2954</v>
      </c>
      <c r="H717" t="s">
        <v>2955</v>
      </c>
    </row>
    <row r="718" spans="1:8" x14ac:dyDescent="0.25">
      <c r="A718">
        <v>1441928</v>
      </c>
      <c r="B718" t="s">
        <v>2801</v>
      </c>
      <c r="C718" t="s">
        <v>33</v>
      </c>
      <c r="D718" t="s">
        <v>43</v>
      </c>
      <c r="E718" t="s">
        <v>265</v>
      </c>
      <c r="F718" t="s">
        <v>2956</v>
      </c>
      <c r="G718" t="s">
        <v>2957</v>
      </c>
      <c r="H718" t="s">
        <v>2958</v>
      </c>
    </row>
    <row r="719" spans="1:8" x14ac:dyDescent="0.25">
      <c r="A719">
        <v>1441933</v>
      </c>
      <c r="B719" t="s">
        <v>2801</v>
      </c>
      <c r="C719" t="s">
        <v>33</v>
      </c>
      <c r="D719" t="s">
        <v>43</v>
      </c>
      <c r="E719" t="s">
        <v>265</v>
      </c>
      <c r="F719" t="s">
        <v>2959</v>
      </c>
      <c r="G719" t="s">
        <v>2960</v>
      </c>
      <c r="H719" t="s">
        <v>2961</v>
      </c>
    </row>
    <row r="720" spans="1:8" x14ac:dyDescent="0.25">
      <c r="A720">
        <v>1446791</v>
      </c>
      <c r="B720" t="s">
        <v>2801</v>
      </c>
      <c r="C720" t="s">
        <v>33</v>
      </c>
      <c r="D720" t="s">
        <v>280</v>
      </c>
      <c r="E720" t="s">
        <v>281</v>
      </c>
      <c r="F720" t="s">
        <v>2962</v>
      </c>
      <c r="G720" t="s">
        <v>2963</v>
      </c>
      <c r="H720" t="s">
        <v>2964</v>
      </c>
    </row>
    <row r="721" spans="1:8" x14ac:dyDescent="0.25">
      <c r="A721">
        <v>1446792</v>
      </c>
      <c r="B721" t="s">
        <v>2801</v>
      </c>
      <c r="C721" t="s">
        <v>33</v>
      </c>
      <c r="D721" t="s">
        <v>280</v>
      </c>
      <c r="E721" t="s">
        <v>281</v>
      </c>
      <c r="F721" t="s">
        <v>508</v>
      </c>
      <c r="G721" t="s">
        <v>2965</v>
      </c>
      <c r="H721" t="s">
        <v>2966</v>
      </c>
    </row>
    <row r="722" spans="1:8" x14ac:dyDescent="0.25">
      <c r="A722">
        <v>1446793</v>
      </c>
      <c r="B722" t="s">
        <v>2801</v>
      </c>
      <c r="C722" t="s">
        <v>33</v>
      </c>
      <c r="D722" t="s">
        <v>280</v>
      </c>
      <c r="E722" t="s">
        <v>281</v>
      </c>
      <c r="F722" t="s">
        <v>2967</v>
      </c>
      <c r="G722" t="s">
        <v>2968</v>
      </c>
      <c r="H722" t="s">
        <v>2969</v>
      </c>
    </row>
    <row r="723" spans="1:8" x14ac:dyDescent="0.25">
      <c r="A723">
        <v>1446794</v>
      </c>
      <c r="B723" t="s">
        <v>2801</v>
      </c>
      <c r="C723" t="s">
        <v>33</v>
      </c>
      <c r="D723" t="s">
        <v>280</v>
      </c>
      <c r="E723" t="s">
        <v>281</v>
      </c>
      <c r="F723" t="s">
        <v>2970</v>
      </c>
      <c r="G723" t="s">
        <v>2971</v>
      </c>
      <c r="H723" t="s">
        <v>2972</v>
      </c>
    </row>
    <row r="724" spans="1:8" x14ac:dyDescent="0.25">
      <c r="A724">
        <v>1446796</v>
      </c>
      <c r="B724" t="s">
        <v>2801</v>
      </c>
      <c r="C724" t="s">
        <v>33</v>
      </c>
      <c r="D724" t="s">
        <v>280</v>
      </c>
      <c r="E724" t="s">
        <v>281</v>
      </c>
      <c r="F724" t="s">
        <v>2973</v>
      </c>
      <c r="G724" t="s">
        <v>2974</v>
      </c>
      <c r="H724" t="s">
        <v>2975</v>
      </c>
    </row>
    <row r="725" spans="1:8" x14ac:dyDescent="0.25">
      <c r="A725">
        <v>1446797</v>
      </c>
      <c r="B725" t="s">
        <v>2801</v>
      </c>
      <c r="C725" t="s">
        <v>33</v>
      </c>
      <c r="D725" t="s">
        <v>280</v>
      </c>
      <c r="E725" t="s">
        <v>281</v>
      </c>
      <c r="F725" t="s">
        <v>2976</v>
      </c>
      <c r="G725" t="s">
        <v>2977</v>
      </c>
      <c r="H725" t="s">
        <v>2978</v>
      </c>
    </row>
    <row r="726" spans="1:8" x14ac:dyDescent="0.25">
      <c r="A726">
        <v>1446800</v>
      </c>
      <c r="B726" t="s">
        <v>2801</v>
      </c>
      <c r="C726" t="s">
        <v>33</v>
      </c>
      <c r="D726" t="s">
        <v>280</v>
      </c>
      <c r="E726" t="s">
        <v>281</v>
      </c>
      <c r="F726" t="s">
        <v>2979</v>
      </c>
      <c r="G726" t="s">
        <v>2980</v>
      </c>
      <c r="H726" t="s">
        <v>2981</v>
      </c>
    </row>
    <row r="727" spans="1:8" x14ac:dyDescent="0.25">
      <c r="A727">
        <v>1461244</v>
      </c>
      <c r="B727" t="s">
        <v>2801</v>
      </c>
      <c r="C727" t="s">
        <v>33</v>
      </c>
      <c r="D727" t="s">
        <v>41</v>
      </c>
      <c r="E727" t="s">
        <v>765</v>
      </c>
      <c r="F727" t="s">
        <v>2982</v>
      </c>
      <c r="G727" t="s">
        <v>2983</v>
      </c>
      <c r="H727" t="s">
        <v>2984</v>
      </c>
    </row>
    <row r="728" spans="1:8" x14ac:dyDescent="0.25">
      <c r="A728">
        <v>1462770</v>
      </c>
      <c r="B728" t="s">
        <v>2801</v>
      </c>
      <c r="C728" t="s">
        <v>33</v>
      </c>
      <c r="D728" t="s">
        <v>41</v>
      </c>
      <c r="E728" t="s">
        <v>786</v>
      </c>
      <c r="F728" t="s">
        <v>2985</v>
      </c>
      <c r="G728" t="s">
        <v>2986</v>
      </c>
      <c r="H728" t="s">
        <v>2987</v>
      </c>
    </row>
    <row r="729" spans="1:8" x14ac:dyDescent="0.25">
      <c r="A729">
        <v>1465643</v>
      </c>
      <c r="B729" t="s">
        <v>2801</v>
      </c>
      <c r="C729" t="s">
        <v>33</v>
      </c>
      <c r="D729" t="s">
        <v>353</v>
      </c>
      <c r="E729" t="s">
        <v>2988</v>
      </c>
      <c r="F729" t="s">
        <v>2989</v>
      </c>
      <c r="G729" t="s">
        <v>2990</v>
      </c>
      <c r="H729" t="s">
        <v>2991</v>
      </c>
    </row>
    <row r="730" spans="1:8" x14ac:dyDescent="0.25">
      <c r="A730">
        <v>1465644</v>
      </c>
      <c r="B730" t="s">
        <v>2801</v>
      </c>
      <c r="C730" t="s">
        <v>33</v>
      </c>
      <c r="D730" t="s">
        <v>353</v>
      </c>
      <c r="E730" t="s">
        <v>2988</v>
      </c>
      <c r="F730" t="s">
        <v>2992</v>
      </c>
      <c r="G730" t="s">
        <v>2993</v>
      </c>
      <c r="H730" t="s">
        <v>2994</v>
      </c>
    </row>
    <row r="731" spans="1:8" x14ac:dyDescent="0.25">
      <c r="A731">
        <v>1465645</v>
      </c>
      <c r="B731" t="s">
        <v>2801</v>
      </c>
      <c r="C731" t="s">
        <v>33</v>
      </c>
      <c r="D731" t="s">
        <v>353</v>
      </c>
      <c r="E731" t="s">
        <v>2988</v>
      </c>
      <c r="F731" t="s">
        <v>2995</v>
      </c>
      <c r="G731" t="s">
        <v>2996</v>
      </c>
      <c r="H731" t="s">
        <v>2997</v>
      </c>
    </row>
    <row r="732" spans="1:8" x14ac:dyDescent="0.25">
      <c r="A732">
        <v>1465646</v>
      </c>
      <c r="B732" t="s">
        <v>2801</v>
      </c>
      <c r="C732" t="s">
        <v>33</v>
      </c>
      <c r="D732" t="s">
        <v>353</v>
      </c>
      <c r="E732" t="s">
        <v>2988</v>
      </c>
      <c r="F732" t="s">
        <v>2998</v>
      </c>
      <c r="G732" t="s">
        <v>2999</v>
      </c>
      <c r="H732" t="s">
        <v>3000</v>
      </c>
    </row>
    <row r="733" spans="1:8" x14ac:dyDescent="0.25">
      <c r="A733">
        <v>1465647</v>
      </c>
      <c r="B733" t="s">
        <v>2801</v>
      </c>
      <c r="C733" t="s">
        <v>33</v>
      </c>
      <c r="D733" t="s">
        <v>353</v>
      </c>
      <c r="E733" t="s">
        <v>2988</v>
      </c>
      <c r="F733" t="s">
        <v>3001</v>
      </c>
      <c r="G733" t="s">
        <v>3002</v>
      </c>
      <c r="H733" t="s">
        <v>3003</v>
      </c>
    </row>
    <row r="734" spans="1:8" x14ac:dyDescent="0.25">
      <c r="A734">
        <v>1465648</v>
      </c>
      <c r="B734" t="s">
        <v>2801</v>
      </c>
      <c r="C734" t="s">
        <v>33</v>
      </c>
      <c r="D734" t="s">
        <v>353</v>
      </c>
      <c r="E734" t="s">
        <v>2988</v>
      </c>
      <c r="F734" t="s">
        <v>3004</v>
      </c>
      <c r="G734" t="s">
        <v>3005</v>
      </c>
      <c r="H734" t="s">
        <v>3006</v>
      </c>
    </row>
    <row r="735" spans="1:8" x14ac:dyDescent="0.25">
      <c r="A735">
        <v>1465649</v>
      </c>
      <c r="B735" t="s">
        <v>2801</v>
      </c>
      <c r="C735" t="s">
        <v>33</v>
      </c>
      <c r="D735" t="s">
        <v>353</v>
      </c>
      <c r="E735" t="s">
        <v>2988</v>
      </c>
      <c r="F735" t="s">
        <v>3007</v>
      </c>
      <c r="G735" t="s">
        <v>3008</v>
      </c>
      <c r="H735" t="s">
        <v>3009</v>
      </c>
    </row>
    <row r="736" spans="1:8" x14ac:dyDescent="0.25">
      <c r="A736">
        <v>1465650</v>
      </c>
      <c r="B736" t="s">
        <v>2801</v>
      </c>
      <c r="C736" t="s">
        <v>33</v>
      </c>
      <c r="D736" t="s">
        <v>353</v>
      </c>
      <c r="E736" t="s">
        <v>2988</v>
      </c>
      <c r="F736" t="s">
        <v>3010</v>
      </c>
      <c r="G736" t="s">
        <v>3011</v>
      </c>
      <c r="H736" t="s">
        <v>3012</v>
      </c>
    </row>
    <row r="737" spans="1:8" x14ac:dyDescent="0.25">
      <c r="A737">
        <v>1468691</v>
      </c>
      <c r="B737" t="s">
        <v>2801</v>
      </c>
      <c r="C737" t="s">
        <v>33</v>
      </c>
      <c r="D737" t="s">
        <v>100</v>
      </c>
      <c r="E737" t="s">
        <v>50</v>
      </c>
      <c r="F737" t="s">
        <v>3013</v>
      </c>
      <c r="G737" t="s">
        <v>3014</v>
      </c>
      <c r="H737" t="s">
        <v>3015</v>
      </c>
    </row>
    <row r="738" spans="1:8" x14ac:dyDescent="0.25">
      <c r="A738">
        <v>1468694</v>
      </c>
      <c r="B738" t="s">
        <v>2801</v>
      </c>
      <c r="C738" t="s">
        <v>33</v>
      </c>
      <c r="D738" t="s">
        <v>100</v>
      </c>
      <c r="E738" t="s">
        <v>50</v>
      </c>
      <c r="F738" t="s">
        <v>3016</v>
      </c>
      <c r="G738" t="s">
        <v>3017</v>
      </c>
      <c r="H738" t="s">
        <v>3018</v>
      </c>
    </row>
    <row r="739" spans="1:8" x14ac:dyDescent="0.25">
      <c r="A739">
        <v>1468695</v>
      </c>
      <c r="B739" t="s">
        <v>2801</v>
      </c>
      <c r="C739" t="s">
        <v>33</v>
      </c>
      <c r="D739" t="s">
        <v>100</v>
      </c>
      <c r="E739" t="s">
        <v>50</v>
      </c>
      <c r="F739" t="s">
        <v>3019</v>
      </c>
      <c r="G739" t="s">
        <v>3020</v>
      </c>
      <c r="H739" t="s">
        <v>3021</v>
      </c>
    </row>
    <row r="740" spans="1:8" x14ac:dyDescent="0.25">
      <c r="A740">
        <v>1468696</v>
      </c>
      <c r="B740" t="s">
        <v>2801</v>
      </c>
      <c r="C740" t="s">
        <v>33</v>
      </c>
      <c r="D740" t="s">
        <v>100</v>
      </c>
      <c r="E740" t="s">
        <v>50</v>
      </c>
      <c r="F740" t="s">
        <v>3022</v>
      </c>
      <c r="G740" t="s">
        <v>3023</v>
      </c>
      <c r="H740" t="s">
        <v>3024</v>
      </c>
    </row>
    <row r="741" spans="1:8" x14ac:dyDescent="0.25">
      <c r="A741">
        <v>1468697</v>
      </c>
      <c r="B741" t="s">
        <v>2801</v>
      </c>
      <c r="C741" t="s">
        <v>33</v>
      </c>
      <c r="D741" t="s">
        <v>100</v>
      </c>
      <c r="E741" t="s">
        <v>50</v>
      </c>
      <c r="F741" t="s">
        <v>3025</v>
      </c>
      <c r="G741" t="s">
        <v>3026</v>
      </c>
      <c r="H741" t="s">
        <v>3027</v>
      </c>
    </row>
    <row r="742" spans="1:8" x14ac:dyDescent="0.25">
      <c r="A742">
        <v>1468698</v>
      </c>
      <c r="B742" t="s">
        <v>2801</v>
      </c>
      <c r="C742" t="s">
        <v>33</v>
      </c>
      <c r="D742" t="s">
        <v>100</v>
      </c>
      <c r="E742" t="s">
        <v>50</v>
      </c>
      <c r="F742" t="s">
        <v>3028</v>
      </c>
      <c r="G742" t="s">
        <v>3029</v>
      </c>
      <c r="H742" t="s">
        <v>3030</v>
      </c>
    </row>
    <row r="743" spans="1:8" x14ac:dyDescent="0.25">
      <c r="A743">
        <v>1471701</v>
      </c>
      <c r="B743" t="s">
        <v>2801</v>
      </c>
      <c r="C743" t="s">
        <v>33</v>
      </c>
      <c r="D743" t="s">
        <v>350</v>
      </c>
      <c r="E743" t="s">
        <v>351</v>
      </c>
      <c r="F743" t="s">
        <v>747</v>
      </c>
      <c r="G743" t="s">
        <v>3031</v>
      </c>
      <c r="H743" t="s">
        <v>3032</v>
      </c>
    </row>
    <row r="744" spans="1:8" x14ac:dyDescent="0.25">
      <c r="A744">
        <v>1471719</v>
      </c>
      <c r="B744" t="s">
        <v>2801</v>
      </c>
      <c r="C744" t="s">
        <v>35</v>
      </c>
      <c r="D744" t="s">
        <v>350</v>
      </c>
      <c r="E744" t="s">
        <v>351</v>
      </c>
      <c r="F744" t="s">
        <v>3031</v>
      </c>
      <c r="G744" t="s">
        <v>748</v>
      </c>
      <c r="H744" t="s">
        <v>3033</v>
      </c>
    </row>
    <row r="745" spans="1:8" x14ac:dyDescent="0.25">
      <c r="A745">
        <v>1477040</v>
      </c>
      <c r="B745" t="s">
        <v>2801</v>
      </c>
      <c r="C745" t="s">
        <v>33</v>
      </c>
      <c r="D745" t="s">
        <v>86</v>
      </c>
      <c r="E745" t="s">
        <v>724</v>
      </c>
      <c r="F745" t="s">
        <v>3034</v>
      </c>
      <c r="G745" t="s">
        <v>3035</v>
      </c>
      <c r="H745" t="s">
        <v>3036</v>
      </c>
    </row>
    <row r="746" spans="1:8" x14ac:dyDescent="0.25">
      <c r="A746">
        <v>1479026</v>
      </c>
      <c r="B746" t="s">
        <v>2801</v>
      </c>
      <c r="C746" t="s">
        <v>33</v>
      </c>
      <c r="D746" t="s">
        <v>100</v>
      </c>
      <c r="E746" t="s">
        <v>239</v>
      </c>
      <c r="F746" t="s">
        <v>3037</v>
      </c>
      <c r="G746" t="s">
        <v>3038</v>
      </c>
      <c r="H746" t="s">
        <v>3039</v>
      </c>
    </row>
    <row r="747" spans="1:8" x14ac:dyDescent="0.25">
      <c r="A747">
        <v>1479027</v>
      </c>
      <c r="B747" t="s">
        <v>2801</v>
      </c>
      <c r="C747" t="s">
        <v>33</v>
      </c>
      <c r="D747" t="s">
        <v>100</v>
      </c>
      <c r="E747" t="s">
        <v>239</v>
      </c>
      <c r="F747" t="s">
        <v>3040</v>
      </c>
      <c r="G747" t="s">
        <v>3041</v>
      </c>
      <c r="H747" t="s">
        <v>3042</v>
      </c>
    </row>
    <row r="748" spans="1:8" x14ac:dyDescent="0.25">
      <c r="A748">
        <v>1479028</v>
      </c>
      <c r="B748" t="s">
        <v>2801</v>
      </c>
      <c r="C748" t="s">
        <v>33</v>
      </c>
      <c r="D748" t="s">
        <v>100</v>
      </c>
      <c r="E748" t="s">
        <v>239</v>
      </c>
      <c r="F748" t="s">
        <v>3043</v>
      </c>
      <c r="G748" t="s">
        <v>3044</v>
      </c>
      <c r="H748" t="s">
        <v>3045</v>
      </c>
    </row>
    <row r="749" spans="1:8" x14ac:dyDescent="0.25">
      <c r="A749">
        <v>1479032</v>
      </c>
      <c r="B749" t="s">
        <v>2801</v>
      </c>
      <c r="C749" t="s">
        <v>33</v>
      </c>
      <c r="D749" t="s">
        <v>100</v>
      </c>
      <c r="E749" t="s">
        <v>239</v>
      </c>
      <c r="F749" t="s">
        <v>3046</v>
      </c>
      <c r="G749" t="s">
        <v>3047</v>
      </c>
      <c r="H749" t="s">
        <v>3048</v>
      </c>
    </row>
    <row r="750" spans="1:8" x14ac:dyDescent="0.25">
      <c r="A750">
        <v>1479033</v>
      </c>
      <c r="B750" t="s">
        <v>2801</v>
      </c>
      <c r="C750" t="s">
        <v>33</v>
      </c>
      <c r="D750" t="s">
        <v>100</v>
      </c>
      <c r="E750" t="s">
        <v>239</v>
      </c>
      <c r="F750" t="s">
        <v>3049</v>
      </c>
      <c r="G750" t="s">
        <v>3050</v>
      </c>
      <c r="H750" t="s">
        <v>3051</v>
      </c>
    </row>
    <row r="751" spans="1:8" x14ac:dyDescent="0.25">
      <c r="A751">
        <v>1479034</v>
      </c>
      <c r="B751" t="s">
        <v>2801</v>
      </c>
      <c r="C751" t="s">
        <v>33</v>
      </c>
      <c r="D751" t="s">
        <v>100</v>
      </c>
      <c r="E751" t="s">
        <v>239</v>
      </c>
      <c r="F751" t="s">
        <v>3052</v>
      </c>
      <c r="G751" t="s">
        <v>3053</v>
      </c>
      <c r="H751" t="s">
        <v>3054</v>
      </c>
    </row>
    <row r="752" spans="1:8" x14ac:dyDescent="0.25">
      <c r="A752">
        <v>1479036</v>
      </c>
      <c r="B752" t="s">
        <v>2801</v>
      </c>
      <c r="C752" t="s">
        <v>33</v>
      </c>
      <c r="D752" t="s">
        <v>100</v>
      </c>
      <c r="E752" t="s">
        <v>239</v>
      </c>
      <c r="F752" t="s">
        <v>3055</v>
      </c>
      <c r="G752" t="s">
        <v>3056</v>
      </c>
      <c r="H752" t="s">
        <v>3057</v>
      </c>
    </row>
    <row r="753" spans="1:8" x14ac:dyDescent="0.25">
      <c r="A753">
        <v>1479040</v>
      </c>
      <c r="B753" t="s">
        <v>2801</v>
      </c>
      <c r="C753" t="s">
        <v>33</v>
      </c>
      <c r="D753" t="s">
        <v>100</v>
      </c>
      <c r="E753" t="s">
        <v>239</v>
      </c>
      <c r="F753" t="s">
        <v>3058</v>
      </c>
      <c r="G753" t="s">
        <v>509</v>
      </c>
      <c r="H753" t="s">
        <v>3059</v>
      </c>
    </row>
    <row r="754" spans="1:8" x14ac:dyDescent="0.25">
      <c r="A754">
        <v>1479041</v>
      </c>
      <c r="B754" t="s">
        <v>2801</v>
      </c>
      <c r="C754" t="s">
        <v>33</v>
      </c>
      <c r="D754" t="s">
        <v>100</v>
      </c>
      <c r="E754" t="s">
        <v>239</v>
      </c>
      <c r="F754" t="s">
        <v>3060</v>
      </c>
      <c r="G754" t="s">
        <v>3061</v>
      </c>
      <c r="H754" t="s">
        <v>3062</v>
      </c>
    </row>
    <row r="755" spans="1:8" x14ac:dyDescent="0.25">
      <c r="A755">
        <v>1479042</v>
      </c>
      <c r="B755" t="s">
        <v>2801</v>
      </c>
      <c r="C755" t="s">
        <v>33</v>
      </c>
      <c r="D755" t="s">
        <v>100</v>
      </c>
      <c r="E755" t="s">
        <v>239</v>
      </c>
      <c r="F755" t="s">
        <v>3063</v>
      </c>
      <c r="G755" t="s">
        <v>3064</v>
      </c>
      <c r="H755" t="s">
        <v>3065</v>
      </c>
    </row>
    <row r="756" spans="1:8" x14ac:dyDescent="0.25">
      <c r="A756">
        <v>1479045</v>
      </c>
      <c r="B756" t="s">
        <v>2801</v>
      </c>
      <c r="C756" t="s">
        <v>33</v>
      </c>
      <c r="D756" t="s">
        <v>100</v>
      </c>
      <c r="E756" t="s">
        <v>239</v>
      </c>
      <c r="F756" t="s">
        <v>510</v>
      </c>
      <c r="G756" t="s">
        <v>3066</v>
      </c>
      <c r="H756" t="s">
        <v>3067</v>
      </c>
    </row>
    <row r="757" spans="1:8" x14ac:dyDescent="0.25">
      <c r="A757">
        <v>1479046</v>
      </c>
      <c r="B757" t="s">
        <v>2801</v>
      </c>
      <c r="C757" t="s">
        <v>33</v>
      </c>
      <c r="D757" t="s">
        <v>100</v>
      </c>
      <c r="E757" t="s">
        <v>239</v>
      </c>
      <c r="F757" t="s">
        <v>3068</v>
      </c>
      <c r="G757" t="s">
        <v>3069</v>
      </c>
      <c r="H757" t="s">
        <v>3070</v>
      </c>
    </row>
    <row r="758" spans="1:8" x14ac:dyDescent="0.25">
      <c r="A758">
        <v>1479047</v>
      </c>
      <c r="B758" t="s">
        <v>2801</v>
      </c>
      <c r="C758" t="s">
        <v>33</v>
      </c>
      <c r="D758" t="s">
        <v>100</v>
      </c>
      <c r="E758" t="s">
        <v>239</v>
      </c>
      <c r="F758" t="s">
        <v>3071</v>
      </c>
      <c r="G758" t="s">
        <v>3072</v>
      </c>
      <c r="H758" t="s">
        <v>3073</v>
      </c>
    </row>
    <row r="759" spans="1:8" x14ac:dyDescent="0.25">
      <c r="A759">
        <v>1479048</v>
      </c>
      <c r="B759" t="s">
        <v>2801</v>
      </c>
      <c r="C759" t="s">
        <v>33</v>
      </c>
      <c r="D759" t="s">
        <v>100</v>
      </c>
      <c r="E759" t="s">
        <v>239</v>
      </c>
      <c r="F759" t="s">
        <v>3074</v>
      </c>
      <c r="G759" t="s">
        <v>3075</v>
      </c>
      <c r="H759" t="s">
        <v>3076</v>
      </c>
    </row>
    <row r="760" spans="1:8" x14ac:dyDescent="0.25">
      <c r="A760">
        <v>1487500</v>
      </c>
      <c r="B760" t="s">
        <v>2801</v>
      </c>
      <c r="C760" t="s">
        <v>33</v>
      </c>
      <c r="D760" t="s">
        <v>409</v>
      </c>
      <c r="E760" t="s">
        <v>685</v>
      </c>
      <c r="F760" t="s">
        <v>3077</v>
      </c>
      <c r="G760" t="s">
        <v>3078</v>
      </c>
      <c r="H760" t="s">
        <v>3079</v>
      </c>
    </row>
    <row r="761" spans="1:8" x14ac:dyDescent="0.25">
      <c r="A761">
        <v>1498193</v>
      </c>
      <c r="B761" t="s">
        <v>2801</v>
      </c>
      <c r="C761" t="s">
        <v>33</v>
      </c>
      <c r="D761" t="s">
        <v>18</v>
      </c>
      <c r="E761" t="s">
        <v>592</v>
      </c>
      <c r="F761" t="s">
        <v>3080</v>
      </c>
      <c r="G761" t="s">
        <v>3081</v>
      </c>
      <c r="H761" t="s">
        <v>3082</v>
      </c>
    </row>
    <row r="762" spans="1:8" x14ac:dyDescent="0.25">
      <c r="A762">
        <v>1498194</v>
      </c>
      <c r="B762" t="s">
        <v>2801</v>
      </c>
      <c r="C762" t="s">
        <v>33</v>
      </c>
      <c r="D762" t="s">
        <v>18</v>
      </c>
      <c r="E762" t="s">
        <v>592</v>
      </c>
      <c r="F762" t="s">
        <v>593</v>
      </c>
      <c r="G762" t="s">
        <v>3083</v>
      </c>
      <c r="H762" t="s">
        <v>3084</v>
      </c>
    </row>
    <row r="763" spans="1:8" x14ac:dyDescent="0.25">
      <c r="A763">
        <v>1504155</v>
      </c>
      <c r="B763" t="s">
        <v>2801</v>
      </c>
      <c r="C763" t="s">
        <v>33</v>
      </c>
      <c r="D763" t="s">
        <v>22</v>
      </c>
      <c r="E763" t="s">
        <v>23</v>
      </c>
      <c r="F763" t="s">
        <v>349</v>
      </c>
      <c r="G763" t="s">
        <v>3085</v>
      </c>
      <c r="H763" t="s">
        <v>3086</v>
      </c>
    </row>
    <row r="764" spans="1:8" x14ac:dyDescent="0.25">
      <c r="A764">
        <v>1506424</v>
      </c>
      <c r="B764" t="s">
        <v>2801</v>
      </c>
      <c r="C764" t="s">
        <v>33</v>
      </c>
      <c r="D764" t="s">
        <v>727</v>
      </c>
      <c r="E764" t="s">
        <v>787</v>
      </c>
      <c r="F764" t="s">
        <v>3087</v>
      </c>
      <c r="G764" t="s">
        <v>3088</v>
      </c>
      <c r="H764" t="s">
        <v>3089</v>
      </c>
    </row>
    <row r="765" spans="1:8" x14ac:dyDescent="0.25">
      <c r="A765">
        <v>1506425</v>
      </c>
      <c r="B765" t="s">
        <v>2801</v>
      </c>
      <c r="C765" t="s">
        <v>33</v>
      </c>
      <c r="D765" t="s">
        <v>727</v>
      </c>
      <c r="E765" t="s">
        <v>787</v>
      </c>
      <c r="F765" t="s">
        <v>3090</v>
      </c>
      <c r="G765" t="s">
        <v>3091</v>
      </c>
      <c r="H765" t="s">
        <v>3092</v>
      </c>
    </row>
    <row r="766" spans="1:8" x14ac:dyDescent="0.25">
      <c r="A766">
        <v>1506426</v>
      </c>
      <c r="B766" t="s">
        <v>2801</v>
      </c>
      <c r="C766" t="s">
        <v>33</v>
      </c>
      <c r="D766" t="s">
        <v>727</v>
      </c>
      <c r="E766" t="s">
        <v>787</v>
      </c>
      <c r="F766" t="s">
        <v>3093</v>
      </c>
      <c r="G766" t="s">
        <v>3094</v>
      </c>
      <c r="H766" t="s">
        <v>3095</v>
      </c>
    </row>
    <row r="767" spans="1:8" x14ac:dyDescent="0.25">
      <c r="A767">
        <v>1507568</v>
      </c>
      <c r="B767" t="s">
        <v>2801</v>
      </c>
      <c r="C767" t="s">
        <v>33</v>
      </c>
      <c r="D767" t="s">
        <v>49</v>
      </c>
      <c r="E767" t="s">
        <v>50</v>
      </c>
      <c r="F767" t="s">
        <v>3096</v>
      </c>
      <c r="G767" t="s">
        <v>3097</v>
      </c>
      <c r="H767" t="s">
        <v>3098</v>
      </c>
    </row>
    <row r="768" spans="1:8" x14ac:dyDescent="0.25">
      <c r="A768">
        <v>1514697</v>
      </c>
      <c r="B768" t="s">
        <v>2801</v>
      </c>
      <c r="C768" t="s">
        <v>33</v>
      </c>
      <c r="D768" t="s">
        <v>91</v>
      </c>
      <c r="E768" t="s">
        <v>92</v>
      </c>
      <c r="F768" t="s">
        <v>3099</v>
      </c>
      <c r="G768" t="s">
        <v>3100</v>
      </c>
      <c r="H768" t="s">
        <v>3101</v>
      </c>
    </row>
    <row r="769" spans="1:8" x14ac:dyDescent="0.25">
      <c r="A769">
        <v>1515021</v>
      </c>
      <c r="B769" t="s">
        <v>2801</v>
      </c>
      <c r="C769" t="s">
        <v>33</v>
      </c>
      <c r="D769" t="s">
        <v>54</v>
      </c>
      <c r="E769" t="s">
        <v>771</v>
      </c>
      <c r="F769" t="s">
        <v>3102</v>
      </c>
      <c r="G769" t="s">
        <v>3103</v>
      </c>
      <c r="H769" t="s">
        <v>3104</v>
      </c>
    </row>
    <row r="770" spans="1:8" x14ac:dyDescent="0.25">
      <c r="A770">
        <v>1515082</v>
      </c>
      <c r="B770" t="s">
        <v>2801</v>
      </c>
      <c r="C770" t="s">
        <v>33</v>
      </c>
      <c r="D770" t="s">
        <v>54</v>
      </c>
      <c r="E770" t="s">
        <v>771</v>
      </c>
      <c r="F770" t="s">
        <v>3105</v>
      </c>
      <c r="G770" t="s">
        <v>459</v>
      </c>
      <c r="H770" t="s">
        <v>3106</v>
      </c>
    </row>
    <row r="771" spans="1:8" x14ac:dyDescent="0.25">
      <c r="A771">
        <v>1515083</v>
      </c>
      <c r="B771" t="s">
        <v>2801</v>
      </c>
      <c r="C771" t="s">
        <v>33</v>
      </c>
      <c r="D771" t="s">
        <v>54</v>
      </c>
      <c r="E771" t="s">
        <v>771</v>
      </c>
      <c r="F771" t="s">
        <v>3107</v>
      </c>
      <c r="G771" t="s">
        <v>3108</v>
      </c>
      <c r="H771" t="s">
        <v>3109</v>
      </c>
    </row>
    <row r="772" spans="1:8" x14ac:dyDescent="0.25">
      <c r="A772">
        <v>1515084</v>
      </c>
      <c r="B772" t="s">
        <v>2801</v>
      </c>
      <c r="C772" t="s">
        <v>33</v>
      </c>
      <c r="D772" t="s">
        <v>54</v>
      </c>
      <c r="E772" t="s">
        <v>771</v>
      </c>
      <c r="F772" t="s">
        <v>3110</v>
      </c>
      <c r="G772" t="s">
        <v>3111</v>
      </c>
      <c r="H772" t="s">
        <v>3112</v>
      </c>
    </row>
    <row r="773" spans="1:8" x14ac:dyDescent="0.25">
      <c r="A773">
        <v>1515586</v>
      </c>
      <c r="B773" t="s">
        <v>2801</v>
      </c>
      <c r="C773" t="s">
        <v>33</v>
      </c>
      <c r="D773" t="s">
        <v>87</v>
      </c>
      <c r="E773" t="s">
        <v>772</v>
      </c>
      <c r="F773" t="s">
        <v>3113</v>
      </c>
      <c r="G773" t="s">
        <v>3114</v>
      </c>
      <c r="H773" t="s">
        <v>3115</v>
      </c>
    </row>
    <row r="774" spans="1:8" x14ac:dyDescent="0.25">
      <c r="A774">
        <v>1519505</v>
      </c>
      <c r="B774" t="s">
        <v>2801</v>
      </c>
      <c r="C774" t="s">
        <v>33</v>
      </c>
      <c r="D774" t="s">
        <v>657</v>
      </c>
      <c r="E774" t="s">
        <v>658</v>
      </c>
      <c r="F774" t="s">
        <v>3116</v>
      </c>
      <c r="G774" t="s">
        <v>3117</v>
      </c>
      <c r="H774" t="s">
        <v>3118</v>
      </c>
    </row>
    <row r="775" spans="1:8" x14ac:dyDescent="0.25">
      <c r="A775">
        <v>1521551</v>
      </c>
      <c r="B775" t="s">
        <v>2801</v>
      </c>
      <c r="C775" t="s">
        <v>33</v>
      </c>
      <c r="D775" t="s">
        <v>657</v>
      </c>
      <c r="E775" t="s">
        <v>755</v>
      </c>
      <c r="F775" t="s">
        <v>3119</v>
      </c>
      <c r="G775" t="s">
        <v>3120</v>
      </c>
      <c r="H775" t="s">
        <v>3121</v>
      </c>
    </row>
    <row r="776" spans="1:8" x14ac:dyDescent="0.25">
      <c r="A776">
        <v>1522267</v>
      </c>
      <c r="B776" t="s">
        <v>2801</v>
      </c>
      <c r="C776" t="s">
        <v>33</v>
      </c>
      <c r="D776" t="s">
        <v>574</v>
      </c>
      <c r="E776" t="s">
        <v>50</v>
      </c>
      <c r="F776" t="s">
        <v>3122</v>
      </c>
      <c r="G776" t="s">
        <v>3123</v>
      </c>
      <c r="H776" t="s">
        <v>3124</v>
      </c>
    </row>
    <row r="777" spans="1:8" x14ac:dyDescent="0.25">
      <c r="A777">
        <v>1522268</v>
      </c>
      <c r="B777" t="s">
        <v>2801</v>
      </c>
      <c r="C777" t="s">
        <v>33</v>
      </c>
      <c r="D777" t="s">
        <v>574</v>
      </c>
      <c r="E777" t="s">
        <v>50</v>
      </c>
      <c r="F777" t="s">
        <v>3125</v>
      </c>
      <c r="G777" t="s">
        <v>3126</v>
      </c>
      <c r="H777" t="s">
        <v>3127</v>
      </c>
    </row>
    <row r="778" spans="1:8" x14ac:dyDescent="0.25">
      <c r="A778">
        <v>1522867</v>
      </c>
      <c r="B778" t="s">
        <v>2801</v>
      </c>
      <c r="C778" t="s">
        <v>33</v>
      </c>
      <c r="D778" t="s">
        <v>773</v>
      </c>
      <c r="E778" t="s">
        <v>774</v>
      </c>
      <c r="F778" t="s">
        <v>3128</v>
      </c>
      <c r="G778" t="s">
        <v>3129</v>
      </c>
      <c r="H778" t="s">
        <v>3130</v>
      </c>
    </row>
    <row r="779" spans="1:8" x14ac:dyDescent="0.25">
      <c r="A779">
        <v>1522868</v>
      </c>
      <c r="B779" t="s">
        <v>2801</v>
      </c>
      <c r="C779" t="s">
        <v>33</v>
      </c>
      <c r="D779" t="s">
        <v>773</v>
      </c>
      <c r="E779" t="s">
        <v>774</v>
      </c>
      <c r="F779" t="s">
        <v>3131</v>
      </c>
      <c r="G779" t="s">
        <v>3132</v>
      </c>
      <c r="H779" t="s">
        <v>3133</v>
      </c>
    </row>
    <row r="780" spans="1:8" x14ac:dyDescent="0.25">
      <c r="A780">
        <v>1522869</v>
      </c>
      <c r="B780" t="s">
        <v>2801</v>
      </c>
      <c r="C780" t="s">
        <v>33</v>
      </c>
      <c r="D780" t="s">
        <v>773</v>
      </c>
      <c r="E780" t="s">
        <v>774</v>
      </c>
      <c r="F780" t="s">
        <v>3134</v>
      </c>
      <c r="G780" t="s">
        <v>3135</v>
      </c>
      <c r="H780" t="s">
        <v>3136</v>
      </c>
    </row>
    <row r="781" spans="1:8" x14ac:dyDescent="0.25">
      <c r="A781">
        <v>1522870</v>
      </c>
      <c r="B781" t="s">
        <v>2801</v>
      </c>
      <c r="C781" t="s">
        <v>33</v>
      </c>
      <c r="D781" t="s">
        <v>773</v>
      </c>
      <c r="E781" t="s">
        <v>774</v>
      </c>
      <c r="F781" t="s">
        <v>3137</v>
      </c>
      <c r="G781" t="s">
        <v>3138</v>
      </c>
      <c r="H781" t="s">
        <v>3139</v>
      </c>
    </row>
    <row r="782" spans="1:8" x14ac:dyDescent="0.25">
      <c r="A782">
        <v>1530058</v>
      </c>
      <c r="B782" t="s">
        <v>2801</v>
      </c>
      <c r="C782" t="s">
        <v>33</v>
      </c>
      <c r="D782" t="s">
        <v>95</v>
      </c>
      <c r="E782" t="s">
        <v>775</v>
      </c>
      <c r="F782" t="s">
        <v>3140</v>
      </c>
      <c r="G782" t="s">
        <v>3141</v>
      </c>
      <c r="H782" t="s">
        <v>3142</v>
      </c>
    </row>
    <row r="783" spans="1:8" x14ac:dyDescent="0.25">
      <c r="A783">
        <v>1530059</v>
      </c>
      <c r="B783" t="s">
        <v>2801</v>
      </c>
      <c r="C783" t="s">
        <v>33</v>
      </c>
      <c r="D783" t="s">
        <v>95</v>
      </c>
      <c r="E783" t="s">
        <v>775</v>
      </c>
      <c r="F783" t="s">
        <v>3143</v>
      </c>
      <c r="G783" t="s">
        <v>3144</v>
      </c>
      <c r="H783" t="s">
        <v>3145</v>
      </c>
    </row>
    <row r="784" spans="1:8" x14ac:dyDescent="0.25">
      <c r="A784">
        <v>1391083</v>
      </c>
      <c r="B784" t="s">
        <v>3146</v>
      </c>
      <c r="C784" t="s">
        <v>33</v>
      </c>
      <c r="D784" t="s">
        <v>41</v>
      </c>
      <c r="E784" t="s">
        <v>75</v>
      </c>
      <c r="F784" t="s">
        <v>541</v>
      </c>
      <c r="G784" t="s">
        <v>3147</v>
      </c>
      <c r="H784" t="s">
        <v>3148</v>
      </c>
    </row>
    <row r="785" spans="1:8" x14ac:dyDescent="0.25">
      <c r="A785">
        <v>1396977</v>
      </c>
      <c r="B785" t="s">
        <v>3146</v>
      </c>
      <c r="C785" t="s">
        <v>33</v>
      </c>
      <c r="D785" t="s">
        <v>41</v>
      </c>
      <c r="E785" t="s">
        <v>76</v>
      </c>
      <c r="F785" t="s">
        <v>537</v>
      </c>
      <c r="G785" t="s">
        <v>460</v>
      </c>
      <c r="H785" t="s">
        <v>3149</v>
      </c>
    </row>
    <row r="786" spans="1:8" x14ac:dyDescent="0.25">
      <c r="A786">
        <v>1445898</v>
      </c>
      <c r="B786" t="s">
        <v>3146</v>
      </c>
      <c r="C786" t="s">
        <v>33</v>
      </c>
      <c r="D786" t="s">
        <v>67</v>
      </c>
      <c r="E786" t="s">
        <v>696</v>
      </c>
      <c r="F786" t="s">
        <v>3150</v>
      </c>
      <c r="G786" t="s">
        <v>3151</v>
      </c>
      <c r="H786" t="s">
        <v>3152</v>
      </c>
    </row>
    <row r="787" spans="1:8" x14ac:dyDescent="0.25">
      <c r="A787">
        <v>1458730</v>
      </c>
      <c r="B787" t="s">
        <v>3146</v>
      </c>
      <c r="C787" t="s">
        <v>33</v>
      </c>
      <c r="D787" t="s">
        <v>41</v>
      </c>
      <c r="E787" t="s">
        <v>776</v>
      </c>
      <c r="F787" t="s">
        <v>3153</v>
      </c>
      <c r="G787" t="s">
        <v>3154</v>
      </c>
      <c r="H787" t="s">
        <v>3155</v>
      </c>
    </row>
    <row r="788" spans="1:8" x14ac:dyDescent="0.25">
      <c r="A788">
        <v>1394325</v>
      </c>
      <c r="B788" t="s">
        <v>3156</v>
      </c>
      <c r="C788" t="s">
        <v>33</v>
      </c>
      <c r="D788" t="s">
        <v>44</v>
      </c>
      <c r="E788" t="s">
        <v>360</v>
      </c>
      <c r="F788" t="s">
        <v>3157</v>
      </c>
      <c r="G788" t="s">
        <v>3158</v>
      </c>
      <c r="H788" t="s">
        <v>3159</v>
      </c>
    </row>
    <row r="789" spans="1:8" x14ac:dyDescent="0.25">
      <c r="A789">
        <v>1396457</v>
      </c>
      <c r="B789" t="s">
        <v>3156</v>
      </c>
      <c r="C789" t="s">
        <v>33</v>
      </c>
      <c r="D789" t="s">
        <v>54</v>
      </c>
      <c r="E789" t="s">
        <v>101</v>
      </c>
      <c r="F789" t="s">
        <v>671</v>
      </c>
      <c r="G789" t="s">
        <v>448</v>
      </c>
      <c r="H789" t="s">
        <v>3160</v>
      </c>
    </row>
    <row r="790" spans="1:8" x14ac:dyDescent="0.25">
      <c r="A790">
        <v>1398190</v>
      </c>
      <c r="B790" t="s">
        <v>3156</v>
      </c>
      <c r="C790" t="s">
        <v>33</v>
      </c>
      <c r="D790" t="s">
        <v>54</v>
      </c>
      <c r="E790" t="s">
        <v>266</v>
      </c>
      <c r="F790" t="s">
        <v>3161</v>
      </c>
      <c r="G790" t="s">
        <v>3162</v>
      </c>
      <c r="H790" t="s">
        <v>3163</v>
      </c>
    </row>
    <row r="791" spans="1:8" x14ac:dyDescent="0.25">
      <c r="A791">
        <v>1413317</v>
      </c>
      <c r="B791" t="s">
        <v>3156</v>
      </c>
      <c r="C791" t="s">
        <v>33</v>
      </c>
      <c r="D791" t="s">
        <v>44</v>
      </c>
      <c r="E791" t="s">
        <v>707</v>
      </c>
      <c r="F791" t="s">
        <v>3164</v>
      </c>
      <c r="G791" t="s">
        <v>3165</v>
      </c>
      <c r="H791" t="s">
        <v>3166</v>
      </c>
    </row>
    <row r="792" spans="1:8" x14ac:dyDescent="0.25">
      <c r="A792">
        <v>1434722</v>
      </c>
      <c r="B792" t="s">
        <v>3156</v>
      </c>
      <c r="C792" t="s">
        <v>33</v>
      </c>
      <c r="D792" t="s">
        <v>378</v>
      </c>
      <c r="E792" t="s">
        <v>26</v>
      </c>
      <c r="F792" t="s">
        <v>3167</v>
      </c>
      <c r="G792" t="s">
        <v>3168</v>
      </c>
      <c r="H792" t="s">
        <v>3169</v>
      </c>
    </row>
    <row r="793" spans="1:8" x14ac:dyDescent="0.25">
      <c r="A793">
        <v>1458136</v>
      </c>
      <c r="B793" t="s">
        <v>3156</v>
      </c>
      <c r="C793" t="s">
        <v>33</v>
      </c>
      <c r="D793" t="s">
        <v>41</v>
      </c>
      <c r="E793" t="s">
        <v>780</v>
      </c>
      <c r="F793" t="s">
        <v>3170</v>
      </c>
      <c r="G793" t="s">
        <v>3171</v>
      </c>
      <c r="H793" t="s">
        <v>3172</v>
      </c>
    </row>
    <row r="794" spans="1:8" x14ac:dyDescent="0.25">
      <c r="A794">
        <v>1458139</v>
      </c>
      <c r="B794" t="s">
        <v>3156</v>
      </c>
      <c r="C794" t="s">
        <v>33</v>
      </c>
      <c r="D794" t="s">
        <v>41</v>
      </c>
      <c r="E794" t="s">
        <v>780</v>
      </c>
      <c r="F794" t="s">
        <v>3173</v>
      </c>
      <c r="G794" t="s">
        <v>3174</v>
      </c>
      <c r="H794" t="s">
        <v>3175</v>
      </c>
    </row>
    <row r="795" spans="1:8" x14ac:dyDescent="0.25">
      <c r="A795">
        <v>1459412</v>
      </c>
      <c r="B795" t="s">
        <v>3156</v>
      </c>
      <c r="C795" t="s">
        <v>33</v>
      </c>
      <c r="D795" t="s">
        <v>41</v>
      </c>
      <c r="E795" t="s">
        <v>785</v>
      </c>
      <c r="F795" t="s">
        <v>3176</v>
      </c>
      <c r="G795" t="s">
        <v>3177</v>
      </c>
      <c r="H795" t="s">
        <v>3178</v>
      </c>
    </row>
    <row r="796" spans="1:8" x14ac:dyDescent="0.25">
      <c r="A796">
        <v>1460023</v>
      </c>
      <c r="B796" t="s">
        <v>3156</v>
      </c>
      <c r="C796" t="s">
        <v>33</v>
      </c>
      <c r="D796" t="s">
        <v>41</v>
      </c>
      <c r="E796" t="s">
        <v>1368</v>
      </c>
      <c r="F796" t="s">
        <v>3179</v>
      </c>
      <c r="G796" t="s">
        <v>3180</v>
      </c>
      <c r="H796" t="s">
        <v>3181</v>
      </c>
    </row>
    <row r="797" spans="1:8" x14ac:dyDescent="0.25">
      <c r="A797">
        <v>1462466</v>
      </c>
      <c r="B797" t="s">
        <v>3156</v>
      </c>
      <c r="C797" t="s">
        <v>33</v>
      </c>
      <c r="D797" t="s">
        <v>41</v>
      </c>
      <c r="E797" t="s">
        <v>767</v>
      </c>
      <c r="F797" t="s">
        <v>3182</v>
      </c>
      <c r="G797" t="s">
        <v>3183</v>
      </c>
      <c r="H797" t="s">
        <v>3184</v>
      </c>
    </row>
    <row r="798" spans="1:8" x14ac:dyDescent="0.25">
      <c r="A798">
        <v>1463066</v>
      </c>
      <c r="B798" t="s">
        <v>3156</v>
      </c>
      <c r="C798" t="s">
        <v>33</v>
      </c>
      <c r="D798" t="s">
        <v>41</v>
      </c>
      <c r="E798" t="s">
        <v>768</v>
      </c>
      <c r="F798" t="s">
        <v>3185</v>
      </c>
      <c r="G798" t="s">
        <v>3186</v>
      </c>
      <c r="H798" t="s">
        <v>3187</v>
      </c>
    </row>
    <row r="799" spans="1:8" x14ac:dyDescent="0.25">
      <c r="A799">
        <v>1463067</v>
      </c>
      <c r="B799" t="s">
        <v>3156</v>
      </c>
      <c r="C799" t="s">
        <v>33</v>
      </c>
      <c r="D799" t="s">
        <v>41</v>
      </c>
      <c r="E799" t="s">
        <v>768</v>
      </c>
      <c r="F799" t="s">
        <v>3188</v>
      </c>
      <c r="G799" t="s">
        <v>3189</v>
      </c>
      <c r="H799" t="s">
        <v>3190</v>
      </c>
    </row>
    <row r="800" spans="1:8" x14ac:dyDescent="0.25">
      <c r="A800">
        <v>1463072</v>
      </c>
      <c r="B800" t="s">
        <v>3156</v>
      </c>
      <c r="C800" t="s">
        <v>33</v>
      </c>
      <c r="D800" t="s">
        <v>41</v>
      </c>
      <c r="E800" t="s">
        <v>768</v>
      </c>
      <c r="F800" t="s">
        <v>3191</v>
      </c>
      <c r="G800" t="s">
        <v>3192</v>
      </c>
      <c r="H800" t="s">
        <v>3193</v>
      </c>
    </row>
    <row r="801" spans="1:8" x14ac:dyDescent="0.25">
      <c r="A801">
        <v>1494570</v>
      </c>
      <c r="B801" t="s">
        <v>3156</v>
      </c>
      <c r="C801" t="s">
        <v>33</v>
      </c>
      <c r="D801" t="s">
        <v>81</v>
      </c>
      <c r="E801" t="s">
        <v>82</v>
      </c>
      <c r="F801" t="s">
        <v>3194</v>
      </c>
      <c r="G801" t="s">
        <v>3195</v>
      </c>
      <c r="H801" t="s">
        <v>3196</v>
      </c>
    </row>
    <row r="802" spans="1:8" x14ac:dyDescent="0.25">
      <c r="A802">
        <v>1494571</v>
      </c>
      <c r="B802" t="s">
        <v>3156</v>
      </c>
      <c r="C802" t="s">
        <v>33</v>
      </c>
      <c r="D802" t="s">
        <v>81</v>
      </c>
      <c r="E802" t="s">
        <v>82</v>
      </c>
      <c r="F802" t="s">
        <v>3197</v>
      </c>
      <c r="G802" t="s">
        <v>3198</v>
      </c>
      <c r="H802" t="s">
        <v>3199</v>
      </c>
    </row>
    <row r="803" spans="1:8" x14ac:dyDescent="0.25">
      <c r="A803">
        <v>1507567</v>
      </c>
      <c r="B803" t="s">
        <v>3156</v>
      </c>
      <c r="C803" t="s">
        <v>33</v>
      </c>
      <c r="D803" t="s">
        <v>49</v>
      </c>
      <c r="E803" t="s">
        <v>50</v>
      </c>
      <c r="F803" t="s">
        <v>3200</v>
      </c>
      <c r="G803" t="s">
        <v>3201</v>
      </c>
      <c r="H803" t="s">
        <v>3202</v>
      </c>
    </row>
    <row r="804" spans="1:8" x14ac:dyDescent="0.25">
      <c r="A804">
        <v>1524285</v>
      </c>
      <c r="B804" t="s">
        <v>3156</v>
      </c>
      <c r="C804" t="s">
        <v>33</v>
      </c>
      <c r="D804" t="s">
        <v>49</v>
      </c>
      <c r="E804" t="s">
        <v>364</v>
      </c>
      <c r="F804" t="s">
        <v>3203</v>
      </c>
      <c r="G804" t="s">
        <v>3204</v>
      </c>
      <c r="H804" t="s">
        <v>3205</v>
      </c>
    </row>
    <row r="805" spans="1:8" x14ac:dyDescent="0.25">
      <c r="A805">
        <v>1381096</v>
      </c>
      <c r="B805" t="s">
        <v>3206</v>
      </c>
      <c r="C805" t="s">
        <v>33</v>
      </c>
      <c r="D805" t="s">
        <v>59</v>
      </c>
      <c r="E805" t="s">
        <v>60</v>
      </c>
      <c r="F805" t="s">
        <v>3207</v>
      </c>
      <c r="G805" t="s">
        <v>3208</v>
      </c>
      <c r="H805" t="s">
        <v>3209</v>
      </c>
    </row>
    <row r="806" spans="1:8" x14ac:dyDescent="0.25">
      <c r="A806">
        <v>1382212</v>
      </c>
      <c r="B806" t="s">
        <v>3206</v>
      </c>
      <c r="C806" t="s">
        <v>33</v>
      </c>
      <c r="D806" t="s">
        <v>59</v>
      </c>
      <c r="E806" t="s">
        <v>89</v>
      </c>
      <c r="F806" t="s">
        <v>618</v>
      </c>
      <c r="G806" t="s">
        <v>617</v>
      </c>
      <c r="H806" t="s">
        <v>3210</v>
      </c>
    </row>
    <row r="807" spans="1:8" x14ac:dyDescent="0.25">
      <c r="A807">
        <v>1451582</v>
      </c>
      <c r="B807" t="s">
        <v>3206</v>
      </c>
      <c r="C807" t="s">
        <v>33</v>
      </c>
      <c r="D807" t="s">
        <v>45</v>
      </c>
      <c r="E807" t="s">
        <v>46</v>
      </c>
      <c r="F807" t="s">
        <v>3211</v>
      </c>
      <c r="G807" t="s">
        <v>3212</v>
      </c>
      <c r="H807" t="s">
        <v>3213</v>
      </c>
    </row>
    <row r="808" spans="1:8" x14ac:dyDescent="0.25">
      <c r="A808">
        <v>1390150</v>
      </c>
      <c r="B808" t="s">
        <v>3214</v>
      </c>
      <c r="C808" t="s">
        <v>33</v>
      </c>
      <c r="D808" t="s">
        <v>353</v>
      </c>
      <c r="E808" t="s">
        <v>371</v>
      </c>
      <c r="F808" t="s">
        <v>3215</v>
      </c>
      <c r="G808" t="s">
        <v>3216</v>
      </c>
      <c r="H808" t="s">
        <v>3217</v>
      </c>
    </row>
    <row r="809" spans="1:8" x14ac:dyDescent="0.25">
      <c r="A809">
        <v>1390151</v>
      </c>
      <c r="B809" t="s">
        <v>3214</v>
      </c>
      <c r="C809" t="s">
        <v>33</v>
      </c>
      <c r="D809" t="s">
        <v>353</v>
      </c>
      <c r="E809" t="s">
        <v>371</v>
      </c>
      <c r="F809" t="s">
        <v>3218</v>
      </c>
      <c r="G809" t="s">
        <v>3219</v>
      </c>
      <c r="H809" t="s">
        <v>3220</v>
      </c>
    </row>
    <row r="810" spans="1:8" x14ac:dyDescent="0.25">
      <c r="A810">
        <v>1390152</v>
      </c>
      <c r="B810" t="s">
        <v>3214</v>
      </c>
      <c r="C810" t="s">
        <v>33</v>
      </c>
      <c r="D810" t="s">
        <v>353</v>
      </c>
      <c r="E810" t="s">
        <v>371</v>
      </c>
      <c r="F810" t="s">
        <v>3221</v>
      </c>
      <c r="G810" t="s">
        <v>3222</v>
      </c>
      <c r="H810" t="s">
        <v>3223</v>
      </c>
    </row>
    <row r="811" spans="1:8" x14ac:dyDescent="0.25">
      <c r="A811">
        <v>1390153</v>
      </c>
      <c r="B811" t="s">
        <v>3214</v>
      </c>
      <c r="C811" t="s">
        <v>33</v>
      </c>
      <c r="D811" t="s">
        <v>353</v>
      </c>
      <c r="E811" t="s">
        <v>371</v>
      </c>
      <c r="F811" t="s">
        <v>3224</v>
      </c>
      <c r="G811" t="s">
        <v>3225</v>
      </c>
      <c r="H811" t="s">
        <v>3226</v>
      </c>
    </row>
    <row r="812" spans="1:8" x14ac:dyDescent="0.25">
      <c r="A812">
        <v>1390154</v>
      </c>
      <c r="B812" t="s">
        <v>3214</v>
      </c>
      <c r="C812" t="s">
        <v>33</v>
      </c>
      <c r="D812" t="s">
        <v>353</v>
      </c>
      <c r="E812" t="s">
        <v>371</v>
      </c>
      <c r="F812" t="s">
        <v>3227</v>
      </c>
      <c r="G812" t="s">
        <v>3228</v>
      </c>
      <c r="H812" t="s">
        <v>3229</v>
      </c>
    </row>
    <row r="813" spans="1:8" x14ac:dyDescent="0.25">
      <c r="A813">
        <v>1390155</v>
      </c>
      <c r="B813" t="s">
        <v>3214</v>
      </c>
      <c r="C813" t="s">
        <v>33</v>
      </c>
      <c r="D813" t="s">
        <v>353</v>
      </c>
      <c r="E813" t="s">
        <v>371</v>
      </c>
      <c r="F813" t="s">
        <v>3230</v>
      </c>
      <c r="G813" t="s">
        <v>3231</v>
      </c>
      <c r="H813" t="s">
        <v>3232</v>
      </c>
    </row>
    <row r="814" spans="1:8" x14ac:dyDescent="0.25">
      <c r="A814">
        <v>1391560</v>
      </c>
      <c r="B814" t="s">
        <v>3214</v>
      </c>
      <c r="C814" t="s">
        <v>33</v>
      </c>
      <c r="D814" t="s">
        <v>338</v>
      </c>
      <c r="E814" t="s">
        <v>50</v>
      </c>
      <c r="F814" t="s">
        <v>3233</v>
      </c>
      <c r="G814" t="s">
        <v>598</v>
      </c>
      <c r="H814" t="s">
        <v>3234</v>
      </c>
    </row>
    <row r="815" spans="1:8" x14ac:dyDescent="0.25">
      <c r="A815">
        <v>1414440</v>
      </c>
      <c r="B815" t="s">
        <v>3214</v>
      </c>
      <c r="C815" t="s">
        <v>33</v>
      </c>
      <c r="D815" t="s">
        <v>418</v>
      </c>
      <c r="E815" t="s">
        <v>1227</v>
      </c>
      <c r="F815" t="s">
        <v>3235</v>
      </c>
      <c r="G815" t="s">
        <v>3236</v>
      </c>
      <c r="H815" t="s">
        <v>3237</v>
      </c>
    </row>
    <row r="816" spans="1:8" x14ac:dyDescent="0.25">
      <c r="A816">
        <v>1414882</v>
      </c>
      <c r="B816" t="s">
        <v>3214</v>
      </c>
      <c r="C816" t="s">
        <v>33</v>
      </c>
      <c r="D816" t="s">
        <v>418</v>
      </c>
      <c r="E816" t="s">
        <v>1238</v>
      </c>
      <c r="F816" t="s">
        <v>3238</v>
      </c>
      <c r="G816" t="s">
        <v>3239</v>
      </c>
      <c r="H816" t="s">
        <v>3240</v>
      </c>
    </row>
    <row r="817" spans="1:8" x14ac:dyDescent="0.25">
      <c r="A817">
        <v>1414883</v>
      </c>
      <c r="B817" t="s">
        <v>3214</v>
      </c>
      <c r="C817" t="s">
        <v>33</v>
      </c>
      <c r="D817" t="s">
        <v>418</v>
      </c>
      <c r="E817" t="s">
        <v>1238</v>
      </c>
      <c r="F817" t="s">
        <v>3241</v>
      </c>
      <c r="G817" t="s">
        <v>3242</v>
      </c>
      <c r="H817" t="s">
        <v>3243</v>
      </c>
    </row>
    <row r="818" spans="1:8" x14ac:dyDescent="0.25">
      <c r="A818">
        <v>1432115</v>
      </c>
      <c r="B818" t="s">
        <v>3214</v>
      </c>
      <c r="C818" t="s">
        <v>33</v>
      </c>
      <c r="D818" t="s">
        <v>41</v>
      </c>
      <c r="E818" t="s">
        <v>778</v>
      </c>
      <c r="F818" t="s">
        <v>3244</v>
      </c>
      <c r="G818" t="s">
        <v>3245</v>
      </c>
      <c r="H818" t="s">
        <v>3246</v>
      </c>
    </row>
    <row r="819" spans="1:8" x14ac:dyDescent="0.25">
      <c r="A819">
        <v>1432119</v>
      </c>
      <c r="B819" t="s">
        <v>3214</v>
      </c>
      <c r="C819" t="s">
        <v>33</v>
      </c>
      <c r="D819" t="s">
        <v>41</v>
      </c>
      <c r="E819" t="s">
        <v>778</v>
      </c>
      <c r="F819" t="s">
        <v>3247</v>
      </c>
      <c r="G819" t="s">
        <v>3248</v>
      </c>
      <c r="H819" t="s">
        <v>3249</v>
      </c>
    </row>
    <row r="820" spans="1:8" x14ac:dyDescent="0.25">
      <c r="A820">
        <v>1432120</v>
      </c>
      <c r="B820" t="s">
        <v>3214</v>
      </c>
      <c r="C820" t="s">
        <v>33</v>
      </c>
      <c r="D820" t="s">
        <v>41</v>
      </c>
      <c r="E820" t="s">
        <v>778</v>
      </c>
      <c r="F820" t="s">
        <v>3250</v>
      </c>
      <c r="G820" t="s">
        <v>3251</v>
      </c>
      <c r="H820" t="s">
        <v>3252</v>
      </c>
    </row>
    <row r="821" spans="1:8" x14ac:dyDescent="0.25">
      <c r="A821">
        <v>1432122</v>
      </c>
      <c r="B821" t="s">
        <v>3214</v>
      </c>
      <c r="C821" t="s">
        <v>33</v>
      </c>
      <c r="D821" t="s">
        <v>41</v>
      </c>
      <c r="E821" t="s">
        <v>778</v>
      </c>
      <c r="F821" t="s">
        <v>3253</v>
      </c>
      <c r="G821" t="s">
        <v>3254</v>
      </c>
      <c r="H821" t="s">
        <v>3255</v>
      </c>
    </row>
    <row r="822" spans="1:8" x14ac:dyDescent="0.25">
      <c r="A822">
        <v>1432421</v>
      </c>
      <c r="B822" t="s">
        <v>3214</v>
      </c>
      <c r="C822" t="s">
        <v>33</v>
      </c>
      <c r="D822" t="s">
        <v>41</v>
      </c>
      <c r="E822" t="s">
        <v>762</v>
      </c>
      <c r="F822" t="s">
        <v>3256</v>
      </c>
      <c r="G822" t="s">
        <v>3257</v>
      </c>
      <c r="H822" t="s">
        <v>3258</v>
      </c>
    </row>
    <row r="823" spans="1:8" x14ac:dyDescent="0.25">
      <c r="A823">
        <v>1432425</v>
      </c>
      <c r="B823" t="s">
        <v>3214</v>
      </c>
      <c r="C823" t="s">
        <v>33</v>
      </c>
      <c r="D823" t="s">
        <v>41</v>
      </c>
      <c r="E823" t="s">
        <v>762</v>
      </c>
      <c r="F823" t="s">
        <v>3259</v>
      </c>
      <c r="G823" t="s">
        <v>3260</v>
      </c>
      <c r="H823" t="s">
        <v>3261</v>
      </c>
    </row>
    <row r="824" spans="1:8" x14ac:dyDescent="0.25">
      <c r="A824">
        <v>1432426</v>
      </c>
      <c r="B824" t="s">
        <v>3214</v>
      </c>
      <c r="C824" t="s">
        <v>33</v>
      </c>
      <c r="D824" t="s">
        <v>41</v>
      </c>
      <c r="E824" t="s">
        <v>762</v>
      </c>
      <c r="F824" t="s">
        <v>3262</v>
      </c>
      <c r="G824" t="s">
        <v>3263</v>
      </c>
      <c r="H824" t="s">
        <v>3264</v>
      </c>
    </row>
    <row r="825" spans="1:8" x14ac:dyDescent="0.25">
      <c r="A825">
        <v>1432427</v>
      </c>
      <c r="B825" t="s">
        <v>3214</v>
      </c>
      <c r="C825" t="s">
        <v>33</v>
      </c>
      <c r="D825" t="s">
        <v>41</v>
      </c>
      <c r="E825" t="s">
        <v>762</v>
      </c>
      <c r="F825" t="s">
        <v>3265</v>
      </c>
      <c r="G825" t="s">
        <v>3266</v>
      </c>
      <c r="H825" t="s">
        <v>3267</v>
      </c>
    </row>
    <row r="826" spans="1:8" x14ac:dyDescent="0.25">
      <c r="A826">
        <v>1452736</v>
      </c>
      <c r="B826" t="s">
        <v>3214</v>
      </c>
      <c r="C826" t="s">
        <v>33</v>
      </c>
      <c r="D826" t="s">
        <v>41</v>
      </c>
      <c r="E826" t="s">
        <v>1356</v>
      </c>
      <c r="F826" t="s">
        <v>3268</v>
      </c>
      <c r="G826" t="s">
        <v>3269</v>
      </c>
      <c r="H826" t="s">
        <v>3270</v>
      </c>
    </row>
    <row r="827" spans="1:8" x14ac:dyDescent="0.25">
      <c r="A827">
        <v>1458138</v>
      </c>
      <c r="B827" t="s">
        <v>3214</v>
      </c>
      <c r="C827" t="s">
        <v>33</v>
      </c>
      <c r="D827" t="s">
        <v>41</v>
      </c>
      <c r="E827" t="s">
        <v>780</v>
      </c>
      <c r="F827" t="s">
        <v>3271</v>
      </c>
      <c r="G827" t="s">
        <v>3272</v>
      </c>
      <c r="H827" t="s">
        <v>3273</v>
      </c>
    </row>
    <row r="828" spans="1:8" x14ac:dyDescent="0.25">
      <c r="A828">
        <v>1458450</v>
      </c>
      <c r="B828" t="s">
        <v>3214</v>
      </c>
      <c r="C828" t="s">
        <v>33</v>
      </c>
      <c r="D828" t="s">
        <v>41</v>
      </c>
      <c r="E828" t="s">
        <v>781</v>
      </c>
      <c r="F828" t="s">
        <v>3274</v>
      </c>
      <c r="G828" t="s">
        <v>3275</v>
      </c>
      <c r="H828" t="s">
        <v>3276</v>
      </c>
    </row>
    <row r="829" spans="1:8" x14ac:dyDescent="0.25">
      <c r="A829">
        <v>1458736</v>
      </c>
      <c r="B829" t="s">
        <v>3214</v>
      </c>
      <c r="C829" t="s">
        <v>33</v>
      </c>
      <c r="D829" t="s">
        <v>41</v>
      </c>
      <c r="E829" t="s">
        <v>776</v>
      </c>
      <c r="F829" t="s">
        <v>3277</v>
      </c>
      <c r="G829" t="s">
        <v>3278</v>
      </c>
      <c r="H829" t="s">
        <v>3279</v>
      </c>
    </row>
    <row r="830" spans="1:8" x14ac:dyDescent="0.25">
      <c r="A830">
        <v>1459405</v>
      </c>
      <c r="B830" t="s">
        <v>3214</v>
      </c>
      <c r="C830" t="s">
        <v>33</v>
      </c>
      <c r="D830" t="s">
        <v>41</v>
      </c>
      <c r="E830" t="s">
        <v>785</v>
      </c>
      <c r="F830" t="s">
        <v>3280</v>
      </c>
      <c r="G830" t="s">
        <v>3281</v>
      </c>
      <c r="H830" t="s">
        <v>3282</v>
      </c>
    </row>
    <row r="831" spans="1:8" x14ac:dyDescent="0.25">
      <c r="A831">
        <v>1459712</v>
      </c>
      <c r="B831" t="s">
        <v>3214</v>
      </c>
      <c r="C831" t="s">
        <v>33</v>
      </c>
      <c r="D831" t="s">
        <v>41</v>
      </c>
      <c r="E831" t="s">
        <v>763</v>
      </c>
      <c r="F831" t="s">
        <v>3283</v>
      </c>
      <c r="G831" t="s">
        <v>3284</v>
      </c>
      <c r="H831" t="s">
        <v>3285</v>
      </c>
    </row>
    <row r="832" spans="1:8" x14ac:dyDescent="0.25">
      <c r="A832">
        <v>1459718</v>
      </c>
      <c r="B832" t="s">
        <v>3214</v>
      </c>
      <c r="C832" t="s">
        <v>33</v>
      </c>
      <c r="D832" t="s">
        <v>41</v>
      </c>
      <c r="E832" t="s">
        <v>763</v>
      </c>
      <c r="F832" t="s">
        <v>3286</v>
      </c>
      <c r="G832" t="s">
        <v>3287</v>
      </c>
      <c r="H832" t="s">
        <v>3288</v>
      </c>
    </row>
    <row r="833" spans="1:8" x14ac:dyDescent="0.25">
      <c r="A833">
        <v>1460020</v>
      </c>
      <c r="B833" t="s">
        <v>3214</v>
      </c>
      <c r="C833" t="s">
        <v>33</v>
      </c>
      <c r="D833" t="s">
        <v>41</v>
      </c>
      <c r="E833" t="s">
        <v>1368</v>
      </c>
      <c r="F833" t="s">
        <v>3289</v>
      </c>
      <c r="G833" t="s">
        <v>3290</v>
      </c>
      <c r="H833" t="s">
        <v>3291</v>
      </c>
    </row>
    <row r="834" spans="1:8" x14ac:dyDescent="0.25">
      <c r="A834">
        <v>1460328</v>
      </c>
      <c r="B834" t="s">
        <v>3214</v>
      </c>
      <c r="C834" t="s">
        <v>33</v>
      </c>
      <c r="D834" t="s">
        <v>41</v>
      </c>
      <c r="E834" t="s">
        <v>764</v>
      </c>
      <c r="F834" t="s">
        <v>3292</v>
      </c>
      <c r="G834" t="s">
        <v>3293</v>
      </c>
      <c r="H834" t="s">
        <v>3294</v>
      </c>
    </row>
    <row r="835" spans="1:8" x14ac:dyDescent="0.25">
      <c r="A835">
        <v>1460934</v>
      </c>
      <c r="B835" t="s">
        <v>3214</v>
      </c>
      <c r="C835" t="s">
        <v>33</v>
      </c>
      <c r="D835" t="s">
        <v>41</v>
      </c>
      <c r="E835" t="s">
        <v>782</v>
      </c>
      <c r="F835" t="s">
        <v>3295</v>
      </c>
      <c r="G835" t="s">
        <v>3296</v>
      </c>
      <c r="H835" t="s">
        <v>3297</v>
      </c>
    </row>
    <row r="836" spans="1:8" x14ac:dyDescent="0.25">
      <c r="A836">
        <v>1461851</v>
      </c>
      <c r="B836" t="s">
        <v>3214</v>
      </c>
      <c r="C836" t="s">
        <v>33</v>
      </c>
      <c r="D836" t="s">
        <v>41</v>
      </c>
      <c r="E836" t="s">
        <v>766</v>
      </c>
      <c r="F836" t="s">
        <v>3298</v>
      </c>
      <c r="G836" t="s">
        <v>3299</v>
      </c>
      <c r="H836" t="s">
        <v>3300</v>
      </c>
    </row>
    <row r="837" spans="1:8" x14ac:dyDescent="0.25">
      <c r="A837">
        <v>1461854</v>
      </c>
      <c r="B837" t="s">
        <v>3214</v>
      </c>
      <c r="C837" t="s">
        <v>33</v>
      </c>
      <c r="D837" t="s">
        <v>41</v>
      </c>
      <c r="E837" t="s">
        <v>766</v>
      </c>
      <c r="F837" t="s">
        <v>3301</v>
      </c>
      <c r="G837" t="s">
        <v>3302</v>
      </c>
      <c r="H837" t="s">
        <v>3303</v>
      </c>
    </row>
    <row r="838" spans="1:8" x14ac:dyDescent="0.25">
      <c r="A838">
        <v>1462153</v>
      </c>
      <c r="B838" t="s">
        <v>3214</v>
      </c>
      <c r="C838" t="s">
        <v>33</v>
      </c>
      <c r="D838" t="s">
        <v>41</v>
      </c>
      <c r="E838" t="s">
        <v>1564</v>
      </c>
      <c r="F838" t="s">
        <v>3304</v>
      </c>
      <c r="G838" t="s">
        <v>3305</v>
      </c>
      <c r="H838" t="s">
        <v>3306</v>
      </c>
    </row>
    <row r="839" spans="1:8" x14ac:dyDescent="0.25">
      <c r="A839">
        <v>1462159</v>
      </c>
      <c r="B839" t="s">
        <v>3214</v>
      </c>
      <c r="C839" t="s">
        <v>33</v>
      </c>
      <c r="D839" t="s">
        <v>41</v>
      </c>
      <c r="E839" t="s">
        <v>1564</v>
      </c>
      <c r="F839" t="s">
        <v>3307</v>
      </c>
      <c r="G839" t="s">
        <v>3308</v>
      </c>
      <c r="H839" t="s">
        <v>3309</v>
      </c>
    </row>
    <row r="840" spans="1:8" x14ac:dyDescent="0.25">
      <c r="A840">
        <v>1462765</v>
      </c>
      <c r="B840" t="s">
        <v>3214</v>
      </c>
      <c r="C840" t="s">
        <v>33</v>
      </c>
      <c r="D840" t="s">
        <v>41</v>
      </c>
      <c r="E840" t="s">
        <v>786</v>
      </c>
      <c r="F840" t="s">
        <v>3310</v>
      </c>
      <c r="G840" t="s">
        <v>3311</v>
      </c>
      <c r="H840" t="s">
        <v>3312</v>
      </c>
    </row>
    <row r="841" spans="1:8" x14ac:dyDescent="0.25">
      <c r="A841">
        <v>1462768</v>
      </c>
      <c r="B841" t="s">
        <v>3214</v>
      </c>
      <c r="C841" t="s">
        <v>33</v>
      </c>
      <c r="D841" t="s">
        <v>41</v>
      </c>
      <c r="E841" t="s">
        <v>786</v>
      </c>
      <c r="F841" t="s">
        <v>3313</v>
      </c>
      <c r="G841" t="s">
        <v>3314</v>
      </c>
      <c r="H841" t="s">
        <v>3315</v>
      </c>
    </row>
    <row r="842" spans="1:8" x14ac:dyDescent="0.25">
      <c r="A842">
        <v>1462769</v>
      </c>
      <c r="B842" t="s">
        <v>3214</v>
      </c>
      <c r="C842" t="s">
        <v>33</v>
      </c>
      <c r="D842" t="s">
        <v>41</v>
      </c>
      <c r="E842" t="s">
        <v>786</v>
      </c>
      <c r="F842" t="s">
        <v>3316</v>
      </c>
      <c r="G842" t="s">
        <v>3317</v>
      </c>
      <c r="H842" t="s">
        <v>3318</v>
      </c>
    </row>
    <row r="843" spans="1:8" x14ac:dyDescent="0.25">
      <c r="A843">
        <v>1463069</v>
      </c>
      <c r="B843" t="s">
        <v>3214</v>
      </c>
      <c r="C843" t="s">
        <v>33</v>
      </c>
      <c r="D843" t="s">
        <v>41</v>
      </c>
      <c r="E843" t="s">
        <v>768</v>
      </c>
      <c r="F843" t="s">
        <v>3319</v>
      </c>
      <c r="G843" t="s">
        <v>3320</v>
      </c>
      <c r="H843" t="s">
        <v>3321</v>
      </c>
    </row>
    <row r="844" spans="1:8" x14ac:dyDescent="0.25">
      <c r="A844">
        <v>1463073</v>
      </c>
      <c r="B844" t="s">
        <v>3214</v>
      </c>
      <c r="C844" t="s">
        <v>33</v>
      </c>
      <c r="D844" t="s">
        <v>41</v>
      </c>
      <c r="E844" t="s">
        <v>768</v>
      </c>
      <c r="F844" t="s">
        <v>3322</v>
      </c>
      <c r="G844" t="s">
        <v>3323</v>
      </c>
      <c r="H844" t="s">
        <v>3324</v>
      </c>
    </row>
    <row r="845" spans="1:8" x14ac:dyDescent="0.25">
      <c r="A845">
        <v>1463074</v>
      </c>
      <c r="B845" t="s">
        <v>3214</v>
      </c>
      <c r="C845" t="s">
        <v>33</v>
      </c>
      <c r="D845" t="s">
        <v>41</v>
      </c>
      <c r="E845" t="s">
        <v>768</v>
      </c>
      <c r="F845" t="s">
        <v>3325</v>
      </c>
      <c r="G845" t="s">
        <v>3326</v>
      </c>
      <c r="H845" t="s">
        <v>3327</v>
      </c>
    </row>
    <row r="846" spans="1:8" x14ac:dyDescent="0.25">
      <c r="A846">
        <v>1463378</v>
      </c>
      <c r="B846" t="s">
        <v>3214</v>
      </c>
      <c r="C846" t="s">
        <v>33</v>
      </c>
      <c r="D846" t="s">
        <v>41</v>
      </c>
      <c r="E846" t="s">
        <v>769</v>
      </c>
      <c r="F846" t="s">
        <v>3328</v>
      </c>
      <c r="G846" t="s">
        <v>805</v>
      </c>
      <c r="H846" t="s">
        <v>3329</v>
      </c>
    </row>
    <row r="847" spans="1:8" x14ac:dyDescent="0.25">
      <c r="A847">
        <v>1469469</v>
      </c>
      <c r="B847" t="s">
        <v>3214</v>
      </c>
      <c r="C847" t="s">
        <v>33</v>
      </c>
      <c r="D847" t="s">
        <v>3330</v>
      </c>
      <c r="E847" t="s">
        <v>48</v>
      </c>
      <c r="F847" t="s">
        <v>3331</v>
      </c>
      <c r="G847" t="s">
        <v>3332</v>
      </c>
      <c r="H847" t="s">
        <v>3333</v>
      </c>
    </row>
    <row r="848" spans="1:8" x14ac:dyDescent="0.25">
      <c r="A848">
        <v>1487499</v>
      </c>
      <c r="B848" t="s">
        <v>3214</v>
      </c>
      <c r="C848" t="s">
        <v>33</v>
      </c>
      <c r="D848" t="s">
        <v>409</v>
      </c>
      <c r="E848" t="s">
        <v>685</v>
      </c>
      <c r="F848" t="s">
        <v>3334</v>
      </c>
      <c r="G848" t="s">
        <v>3335</v>
      </c>
      <c r="H848" t="s">
        <v>3336</v>
      </c>
    </row>
    <row r="849" spans="1:8" x14ac:dyDescent="0.25">
      <c r="A849">
        <v>1491522</v>
      </c>
      <c r="B849" t="s">
        <v>3214</v>
      </c>
      <c r="C849" t="s">
        <v>33</v>
      </c>
      <c r="D849" t="s">
        <v>566</v>
      </c>
      <c r="E849" t="s">
        <v>267</v>
      </c>
      <c r="F849" t="s">
        <v>3337</v>
      </c>
      <c r="G849" t="s">
        <v>3338</v>
      </c>
      <c r="H849" t="s">
        <v>3339</v>
      </c>
    </row>
    <row r="850" spans="1:8" x14ac:dyDescent="0.25">
      <c r="A850">
        <v>1519272</v>
      </c>
      <c r="B850" t="s">
        <v>3214</v>
      </c>
      <c r="C850" t="s">
        <v>33</v>
      </c>
      <c r="D850" t="s">
        <v>393</v>
      </c>
      <c r="E850" t="s">
        <v>394</v>
      </c>
      <c r="F850" t="s">
        <v>3340</v>
      </c>
      <c r="G850" t="s">
        <v>3341</v>
      </c>
      <c r="H850" t="s">
        <v>3342</v>
      </c>
    </row>
    <row r="851" spans="1:8" x14ac:dyDescent="0.25">
      <c r="A851">
        <v>1522645</v>
      </c>
      <c r="B851" t="s">
        <v>3214</v>
      </c>
      <c r="C851" t="s">
        <v>33</v>
      </c>
      <c r="D851" t="s">
        <v>279</v>
      </c>
      <c r="E851" t="s">
        <v>362</v>
      </c>
      <c r="F851" t="s">
        <v>3343</v>
      </c>
      <c r="G851" t="s">
        <v>3344</v>
      </c>
      <c r="H851" t="s">
        <v>3345</v>
      </c>
    </row>
    <row r="852" spans="1:8" x14ac:dyDescent="0.25">
      <c r="A852">
        <v>1522646</v>
      </c>
      <c r="B852" t="s">
        <v>3214</v>
      </c>
      <c r="C852" t="s">
        <v>33</v>
      </c>
      <c r="D852" t="s">
        <v>279</v>
      </c>
      <c r="E852" t="s">
        <v>362</v>
      </c>
      <c r="F852" t="s">
        <v>3346</v>
      </c>
      <c r="G852" t="s">
        <v>3347</v>
      </c>
      <c r="H852" t="s">
        <v>3348</v>
      </c>
    </row>
    <row r="853" spans="1:8" x14ac:dyDescent="0.25">
      <c r="A853">
        <v>1526424</v>
      </c>
      <c r="B853" t="s">
        <v>3214</v>
      </c>
      <c r="C853" t="s">
        <v>33</v>
      </c>
      <c r="D853" t="s">
        <v>436</v>
      </c>
      <c r="E853" t="s">
        <v>437</v>
      </c>
      <c r="F853" t="s">
        <v>517</v>
      </c>
      <c r="G853" t="s">
        <v>3349</v>
      </c>
      <c r="H853" t="s">
        <v>3350</v>
      </c>
    </row>
    <row r="854" spans="1:8" x14ac:dyDescent="0.25">
      <c r="A854">
        <v>1526425</v>
      </c>
      <c r="B854" t="s">
        <v>3214</v>
      </c>
      <c r="C854" t="s">
        <v>33</v>
      </c>
      <c r="D854" t="s">
        <v>436</v>
      </c>
      <c r="E854" t="s">
        <v>437</v>
      </c>
      <c r="F854" t="s">
        <v>3351</v>
      </c>
      <c r="G854" t="s">
        <v>3352</v>
      </c>
      <c r="H854" t="s">
        <v>3353</v>
      </c>
    </row>
    <row r="855" spans="1:8" x14ac:dyDescent="0.25">
      <c r="A855">
        <v>1528135</v>
      </c>
      <c r="B855" t="s">
        <v>3214</v>
      </c>
      <c r="C855" t="s">
        <v>33</v>
      </c>
      <c r="D855" t="s">
        <v>38</v>
      </c>
      <c r="E855" t="s">
        <v>56</v>
      </c>
      <c r="F855" t="s">
        <v>3354</v>
      </c>
      <c r="G855" t="s">
        <v>3355</v>
      </c>
      <c r="H855" t="s">
        <v>3356</v>
      </c>
    </row>
    <row r="856" spans="1:8" x14ac:dyDescent="0.25">
      <c r="A856">
        <v>1528470</v>
      </c>
      <c r="B856" t="s">
        <v>3214</v>
      </c>
      <c r="C856" t="s">
        <v>33</v>
      </c>
      <c r="D856" t="s">
        <v>518</v>
      </c>
      <c r="E856" t="s">
        <v>48</v>
      </c>
      <c r="F856" t="s">
        <v>3357</v>
      </c>
      <c r="G856" t="s">
        <v>3358</v>
      </c>
      <c r="H856" t="s">
        <v>3359</v>
      </c>
    </row>
    <row r="857" spans="1:8" x14ac:dyDescent="0.25">
      <c r="A857">
        <v>1529463</v>
      </c>
      <c r="B857" t="s">
        <v>3214</v>
      </c>
      <c r="C857" t="s">
        <v>33</v>
      </c>
      <c r="D857" t="s">
        <v>435</v>
      </c>
      <c r="E857" t="s">
        <v>48</v>
      </c>
      <c r="F857" t="s">
        <v>3360</v>
      </c>
      <c r="G857" t="s">
        <v>3361</v>
      </c>
      <c r="H857" t="s">
        <v>3362</v>
      </c>
    </row>
    <row r="858" spans="1:8" x14ac:dyDescent="0.25">
      <c r="A858">
        <v>1529464</v>
      </c>
      <c r="B858" t="s">
        <v>3214</v>
      </c>
      <c r="C858" t="s">
        <v>33</v>
      </c>
      <c r="D858" t="s">
        <v>435</v>
      </c>
      <c r="E858" t="s">
        <v>48</v>
      </c>
      <c r="F858" t="s">
        <v>3363</v>
      </c>
      <c r="G858" t="s">
        <v>3364</v>
      </c>
      <c r="H858" t="s">
        <v>3365</v>
      </c>
    </row>
    <row r="859" spans="1:8" x14ac:dyDescent="0.25">
      <c r="A859">
        <v>1387915</v>
      </c>
      <c r="B859" t="s">
        <v>3366</v>
      </c>
      <c r="C859" t="s">
        <v>33</v>
      </c>
      <c r="D859" t="s">
        <v>90</v>
      </c>
      <c r="E859" t="s">
        <v>48</v>
      </c>
      <c r="F859" t="s">
        <v>3367</v>
      </c>
      <c r="G859" t="s">
        <v>3368</v>
      </c>
      <c r="H859" t="s">
        <v>3369</v>
      </c>
    </row>
    <row r="860" spans="1:8" x14ac:dyDescent="0.25">
      <c r="A860">
        <v>1387917</v>
      </c>
      <c r="B860" t="s">
        <v>3366</v>
      </c>
      <c r="C860" t="s">
        <v>33</v>
      </c>
      <c r="D860" t="s">
        <v>90</v>
      </c>
      <c r="E860" t="s">
        <v>48</v>
      </c>
      <c r="F860" t="s">
        <v>3370</v>
      </c>
      <c r="G860" t="s">
        <v>3371</v>
      </c>
      <c r="H860" t="s">
        <v>3372</v>
      </c>
    </row>
    <row r="861" spans="1:8" x14ac:dyDescent="0.25">
      <c r="A861">
        <v>1387920</v>
      </c>
      <c r="B861" t="s">
        <v>3366</v>
      </c>
      <c r="C861" t="s">
        <v>33</v>
      </c>
      <c r="D861" t="s">
        <v>90</v>
      </c>
      <c r="E861" t="s">
        <v>48</v>
      </c>
      <c r="F861" t="s">
        <v>3373</v>
      </c>
      <c r="G861" t="s">
        <v>3374</v>
      </c>
      <c r="H861" t="s">
        <v>3375</v>
      </c>
    </row>
    <row r="862" spans="1:8" x14ac:dyDescent="0.25">
      <c r="A862">
        <v>1419874</v>
      </c>
      <c r="B862" t="s">
        <v>3366</v>
      </c>
      <c r="C862" t="s">
        <v>33</v>
      </c>
      <c r="D862" t="s">
        <v>42</v>
      </c>
      <c r="E862" t="s">
        <v>374</v>
      </c>
      <c r="F862" t="s">
        <v>3376</v>
      </c>
      <c r="G862" t="s">
        <v>3377</v>
      </c>
      <c r="H862" t="s">
        <v>3378</v>
      </c>
    </row>
    <row r="863" spans="1:8" x14ac:dyDescent="0.25">
      <c r="A863">
        <v>1463374</v>
      </c>
      <c r="B863" t="s">
        <v>3366</v>
      </c>
      <c r="C863" t="s">
        <v>33</v>
      </c>
      <c r="D863" t="s">
        <v>41</v>
      </c>
      <c r="E863" t="s">
        <v>769</v>
      </c>
      <c r="F863" t="s">
        <v>3379</v>
      </c>
      <c r="G863" t="s">
        <v>3380</v>
      </c>
      <c r="H863" t="s">
        <v>3381</v>
      </c>
    </row>
    <row r="864" spans="1:8" x14ac:dyDescent="0.25">
      <c r="A864">
        <v>1380597</v>
      </c>
      <c r="B864" t="s">
        <v>3382</v>
      </c>
      <c r="C864" t="s">
        <v>33</v>
      </c>
      <c r="D864" t="s">
        <v>52</v>
      </c>
      <c r="E864" t="s">
        <v>58</v>
      </c>
      <c r="F864" t="s">
        <v>3383</v>
      </c>
      <c r="G864" t="s">
        <v>3384</v>
      </c>
      <c r="H864" t="s">
        <v>3385</v>
      </c>
    </row>
    <row r="865" spans="1:8" x14ac:dyDescent="0.25">
      <c r="A865">
        <v>1384351</v>
      </c>
      <c r="B865" t="s">
        <v>3382</v>
      </c>
      <c r="C865" t="s">
        <v>33</v>
      </c>
      <c r="D865" t="s">
        <v>269</v>
      </c>
      <c r="E865" t="s">
        <v>777</v>
      </c>
      <c r="F865" t="s">
        <v>3386</v>
      </c>
      <c r="G865" t="s">
        <v>3387</v>
      </c>
      <c r="H865" t="s">
        <v>3388</v>
      </c>
    </row>
    <row r="866" spans="1:8" x14ac:dyDescent="0.25">
      <c r="A866">
        <v>1386978</v>
      </c>
      <c r="B866" t="s">
        <v>3382</v>
      </c>
      <c r="C866" t="s">
        <v>33</v>
      </c>
      <c r="D866" t="s">
        <v>66</v>
      </c>
      <c r="E866" t="s">
        <v>71</v>
      </c>
      <c r="F866" t="s">
        <v>3389</v>
      </c>
      <c r="G866" t="s">
        <v>539</v>
      </c>
      <c r="H866" t="s">
        <v>3390</v>
      </c>
    </row>
    <row r="867" spans="1:8" x14ac:dyDescent="0.25">
      <c r="A867">
        <v>1388531</v>
      </c>
      <c r="B867" t="s">
        <v>3382</v>
      </c>
      <c r="C867" t="s">
        <v>33</v>
      </c>
      <c r="D867" t="s">
        <v>44</v>
      </c>
      <c r="E867" t="s">
        <v>371</v>
      </c>
      <c r="F867" t="s">
        <v>3391</v>
      </c>
      <c r="G867" t="s">
        <v>3392</v>
      </c>
      <c r="H867" t="s">
        <v>3393</v>
      </c>
    </row>
    <row r="868" spans="1:8" x14ac:dyDescent="0.25">
      <c r="A868">
        <v>1400183</v>
      </c>
      <c r="B868" t="s">
        <v>3382</v>
      </c>
      <c r="C868" t="s">
        <v>33</v>
      </c>
      <c r="D868" t="s">
        <v>405</v>
      </c>
      <c r="E868" t="s">
        <v>50</v>
      </c>
      <c r="F868" t="s">
        <v>3394</v>
      </c>
      <c r="G868" t="s">
        <v>3395</v>
      </c>
      <c r="H868" t="s">
        <v>3396</v>
      </c>
    </row>
    <row r="869" spans="1:8" x14ac:dyDescent="0.25">
      <c r="A869">
        <v>1433040</v>
      </c>
      <c r="B869" t="s">
        <v>3382</v>
      </c>
      <c r="C869" t="s">
        <v>33</v>
      </c>
      <c r="D869" t="s">
        <v>41</v>
      </c>
      <c r="E869" t="s">
        <v>1439</v>
      </c>
      <c r="F869" t="s">
        <v>3397</v>
      </c>
      <c r="G869" t="s">
        <v>3398</v>
      </c>
      <c r="H869" t="s">
        <v>3399</v>
      </c>
    </row>
    <row r="870" spans="1:8" x14ac:dyDescent="0.25">
      <c r="A870">
        <v>1439664</v>
      </c>
      <c r="B870" t="s">
        <v>3382</v>
      </c>
      <c r="C870" t="s">
        <v>33</v>
      </c>
      <c r="D870" t="s">
        <v>42</v>
      </c>
      <c r="E870" t="s">
        <v>1684</v>
      </c>
      <c r="F870" t="s">
        <v>3400</v>
      </c>
      <c r="G870" t="s">
        <v>3401</v>
      </c>
      <c r="H870" t="s">
        <v>3402</v>
      </c>
    </row>
    <row r="871" spans="1:8" x14ac:dyDescent="0.25">
      <c r="A871">
        <v>1440040</v>
      </c>
      <c r="B871" t="s">
        <v>3382</v>
      </c>
      <c r="C871" t="s">
        <v>33</v>
      </c>
      <c r="D871" t="s">
        <v>42</v>
      </c>
      <c r="E871" t="s">
        <v>2319</v>
      </c>
      <c r="F871" t="s">
        <v>704</v>
      </c>
      <c r="G871" t="s">
        <v>3403</v>
      </c>
      <c r="H871" t="s">
        <v>3404</v>
      </c>
    </row>
    <row r="872" spans="1:8" x14ac:dyDescent="0.25">
      <c r="A872">
        <v>1440044</v>
      </c>
      <c r="B872" t="s">
        <v>3382</v>
      </c>
      <c r="C872" t="s">
        <v>33</v>
      </c>
      <c r="D872" t="s">
        <v>42</v>
      </c>
      <c r="E872" t="s">
        <v>2319</v>
      </c>
      <c r="F872" t="s">
        <v>3405</v>
      </c>
      <c r="G872" t="s">
        <v>3406</v>
      </c>
      <c r="H872" t="s">
        <v>3407</v>
      </c>
    </row>
    <row r="873" spans="1:8" x14ac:dyDescent="0.25">
      <c r="A873">
        <v>1458134</v>
      </c>
      <c r="B873" t="s">
        <v>3382</v>
      </c>
      <c r="C873" t="s">
        <v>33</v>
      </c>
      <c r="D873" t="s">
        <v>41</v>
      </c>
      <c r="E873" t="s">
        <v>780</v>
      </c>
      <c r="F873" t="s">
        <v>3408</v>
      </c>
      <c r="G873" t="s">
        <v>3409</v>
      </c>
      <c r="H873" t="s">
        <v>3410</v>
      </c>
    </row>
    <row r="874" spans="1:8" x14ac:dyDescent="0.25">
      <c r="A874">
        <v>1458452</v>
      </c>
      <c r="B874" t="s">
        <v>3382</v>
      </c>
      <c r="C874" t="s">
        <v>33</v>
      </c>
      <c r="D874" t="s">
        <v>41</v>
      </c>
      <c r="E874" t="s">
        <v>781</v>
      </c>
      <c r="F874" t="s">
        <v>3411</v>
      </c>
      <c r="G874" t="s">
        <v>3412</v>
      </c>
      <c r="H874" t="s">
        <v>3413</v>
      </c>
    </row>
    <row r="875" spans="1:8" x14ac:dyDescent="0.25">
      <c r="A875">
        <v>1458453</v>
      </c>
      <c r="B875" t="s">
        <v>3382</v>
      </c>
      <c r="C875" t="s">
        <v>33</v>
      </c>
      <c r="D875" t="s">
        <v>41</v>
      </c>
      <c r="E875" t="s">
        <v>781</v>
      </c>
      <c r="F875" t="s">
        <v>3414</v>
      </c>
      <c r="G875" t="s">
        <v>3415</v>
      </c>
      <c r="H875" t="s">
        <v>3416</v>
      </c>
    </row>
    <row r="876" spans="1:8" x14ac:dyDescent="0.25">
      <c r="A876">
        <v>1458455</v>
      </c>
      <c r="B876" t="s">
        <v>3382</v>
      </c>
      <c r="C876" t="s">
        <v>33</v>
      </c>
      <c r="D876" t="s">
        <v>41</v>
      </c>
      <c r="E876" t="s">
        <v>781</v>
      </c>
      <c r="F876" t="s">
        <v>3417</v>
      </c>
      <c r="G876" t="s">
        <v>3418</v>
      </c>
      <c r="H876" t="s">
        <v>3419</v>
      </c>
    </row>
    <row r="877" spans="1:8" x14ac:dyDescent="0.25">
      <c r="A877">
        <v>1459041</v>
      </c>
      <c r="B877" t="s">
        <v>3382</v>
      </c>
      <c r="C877" t="s">
        <v>33</v>
      </c>
      <c r="D877" t="s">
        <v>41</v>
      </c>
      <c r="E877" t="s">
        <v>756</v>
      </c>
      <c r="F877" t="s">
        <v>3420</v>
      </c>
      <c r="G877" t="s">
        <v>3421</v>
      </c>
      <c r="H877" t="s">
        <v>3422</v>
      </c>
    </row>
    <row r="878" spans="1:8" x14ac:dyDescent="0.25">
      <c r="A878">
        <v>1462154</v>
      </c>
      <c r="B878" t="s">
        <v>3382</v>
      </c>
      <c r="C878" t="s">
        <v>33</v>
      </c>
      <c r="D878" t="s">
        <v>41</v>
      </c>
      <c r="E878" t="s">
        <v>1564</v>
      </c>
      <c r="F878" t="s">
        <v>3423</v>
      </c>
      <c r="G878" t="s">
        <v>3424</v>
      </c>
      <c r="H878" t="s">
        <v>3425</v>
      </c>
    </row>
    <row r="879" spans="1:8" x14ac:dyDescent="0.25">
      <c r="A879">
        <v>1523411</v>
      </c>
      <c r="B879" t="s">
        <v>3382</v>
      </c>
      <c r="C879" t="s">
        <v>33</v>
      </c>
      <c r="D879" t="s">
        <v>66</v>
      </c>
      <c r="E879" t="s">
        <v>94</v>
      </c>
      <c r="F879" t="s">
        <v>623</v>
      </c>
      <c r="G879" t="s">
        <v>3426</v>
      </c>
      <c r="H879" t="s">
        <v>3427</v>
      </c>
    </row>
    <row r="880" spans="1:8" x14ac:dyDescent="0.25">
      <c r="A880">
        <v>1530073</v>
      </c>
      <c r="B880" t="s">
        <v>3382</v>
      </c>
      <c r="C880" t="s">
        <v>33</v>
      </c>
      <c r="D880" t="s">
        <v>784</v>
      </c>
      <c r="E880" t="s">
        <v>48</v>
      </c>
      <c r="F880" t="s">
        <v>3428</v>
      </c>
      <c r="G880" t="s">
        <v>3429</v>
      </c>
      <c r="H880" t="s">
        <v>3430</v>
      </c>
    </row>
    <row r="881" spans="1:8" x14ac:dyDescent="0.25">
      <c r="A881">
        <v>1530074</v>
      </c>
      <c r="B881" t="s">
        <v>3382</v>
      </c>
      <c r="C881" t="s">
        <v>33</v>
      </c>
      <c r="D881" t="s">
        <v>784</v>
      </c>
      <c r="E881" t="s">
        <v>48</v>
      </c>
      <c r="F881" t="s">
        <v>3431</v>
      </c>
      <c r="G881" t="s">
        <v>3432</v>
      </c>
      <c r="H881" t="s">
        <v>3433</v>
      </c>
    </row>
    <row r="882" spans="1:8" x14ac:dyDescent="0.25">
      <c r="A882">
        <v>1530075</v>
      </c>
      <c r="B882" t="s">
        <v>3382</v>
      </c>
      <c r="C882" t="s">
        <v>33</v>
      </c>
      <c r="D882" t="s">
        <v>784</v>
      </c>
      <c r="E882" t="s">
        <v>48</v>
      </c>
      <c r="F882" t="s">
        <v>3434</v>
      </c>
      <c r="G882" t="s">
        <v>3435</v>
      </c>
      <c r="H882" t="s">
        <v>3436</v>
      </c>
    </row>
    <row r="883" spans="1:8" x14ac:dyDescent="0.25">
      <c r="A883">
        <v>1530076</v>
      </c>
      <c r="B883" t="s">
        <v>3382</v>
      </c>
      <c r="C883" t="s">
        <v>33</v>
      </c>
      <c r="D883" t="s">
        <v>784</v>
      </c>
      <c r="E883" t="s">
        <v>48</v>
      </c>
      <c r="F883" t="s">
        <v>3437</v>
      </c>
      <c r="G883" t="s">
        <v>3438</v>
      </c>
      <c r="H883" t="s">
        <v>3439</v>
      </c>
    </row>
    <row r="884" spans="1:8" x14ac:dyDescent="0.25">
      <c r="A884">
        <v>1530077</v>
      </c>
      <c r="B884" t="s">
        <v>3382</v>
      </c>
      <c r="C884" t="s">
        <v>33</v>
      </c>
      <c r="D884" t="s">
        <v>784</v>
      </c>
      <c r="E884" t="s">
        <v>48</v>
      </c>
      <c r="F884" t="s">
        <v>3440</v>
      </c>
      <c r="G884" t="s">
        <v>3441</v>
      </c>
      <c r="H884" t="s">
        <v>3442</v>
      </c>
    </row>
    <row r="885" spans="1:8" x14ac:dyDescent="0.25">
      <c r="A885">
        <v>1380318</v>
      </c>
      <c r="B885" t="s">
        <v>3443</v>
      </c>
      <c r="C885" t="s">
        <v>33</v>
      </c>
      <c r="D885" t="s">
        <v>418</v>
      </c>
      <c r="E885" t="s">
        <v>428</v>
      </c>
      <c r="F885" t="s">
        <v>3444</v>
      </c>
      <c r="G885" t="s">
        <v>3445</v>
      </c>
      <c r="H885" t="s">
        <v>3446</v>
      </c>
    </row>
    <row r="886" spans="1:8" x14ac:dyDescent="0.25">
      <c r="A886">
        <v>1384043</v>
      </c>
      <c r="B886" t="s">
        <v>3443</v>
      </c>
      <c r="C886" t="s">
        <v>33</v>
      </c>
      <c r="D886" t="s">
        <v>347</v>
      </c>
      <c r="E886" t="s">
        <v>352</v>
      </c>
      <c r="F886" t="s">
        <v>3447</v>
      </c>
      <c r="G886" t="s">
        <v>3448</v>
      </c>
      <c r="H886" t="s">
        <v>3449</v>
      </c>
    </row>
    <row r="887" spans="1:8" x14ac:dyDescent="0.25">
      <c r="A887">
        <v>1378138</v>
      </c>
      <c r="B887" t="s">
        <v>3450</v>
      </c>
      <c r="C887" t="s">
        <v>33</v>
      </c>
      <c r="D887" t="s">
        <v>42</v>
      </c>
      <c r="E887" t="s">
        <v>61</v>
      </c>
      <c r="F887" t="s">
        <v>3451</v>
      </c>
      <c r="G887" t="s">
        <v>3452</v>
      </c>
      <c r="H887" t="s">
        <v>3453</v>
      </c>
    </row>
    <row r="888" spans="1:8" x14ac:dyDescent="0.25">
      <c r="A888">
        <v>1385098</v>
      </c>
      <c r="B888" t="s">
        <v>3450</v>
      </c>
      <c r="C888" t="s">
        <v>33</v>
      </c>
      <c r="D888" t="s">
        <v>64</v>
      </c>
      <c r="E888" t="s">
        <v>267</v>
      </c>
      <c r="F888" t="s">
        <v>3454</v>
      </c>
      <c r="G888" t="s">
        <v>3455</v>
      </c>
      <c r="H888" t="s">
        <v>3456</v>
      </c>
    </row>
    <row r="889" spans="1:8" x14ac:dyDescent="0.25">
      <c r="A889">
        <v>1394653</v>
      </c>
      <c r="B889" t="s">
        <v>3450</v>
      </c>
      <c r="C889" t="s">
        <v>33</v>
      </c>
      <c r="D889" t="s">
        <v>43</v>
      </c>
      <c r="E889" t="s">
        <v>62</v>
      </c>
      <c r="F889" t="s">
        <v>3457</v>
      </c>
      <c r="G889" t="s">
        <v>3458</v>
      </c>
      <c r="H889" t="s">
        <v>3459</v>
      </c>
    </row>
    <row r="890" spans="1:8" x14ac:dyDescent="0.25">
      <c r="A890">
        <v>1398597</v>
      </c>
      <c r="B890" t="s">
        <v>3450</v>
      </c>
      <c r="C890" t="s">
        <v>33</v>
      </c>
      <c r="D890" t="s">
        <v>43</v>
      </c>
      <c r="E890" t="s">
        <v>51</v>
      </c>
      <c r="F890" t="s">
        <v>3460</v>
      </c>
      <c r="G890" t="s">
        <v>3461</v>
      </c>
      <c r="H890" t="s">
        <v>3462</v>
      </c>
    </row>
    <row r="891" spans="1:8" x14ac:dyDescent="0.25">
      <c r="A891">
        <v>1400907</v>
      </c>
      <c r="B891" t="s">
        <v>3450</v>
      </c>
      <c r="C891" t="s">
        <v>33</v>
      </c>
      <c r="D891" t="s">
        <v>63</v>
      </c>
      <c r="E891" t="s">
        <v>272</v>
      </c>
      <c r="F891" t="s">
        <v>3463</v>
      </c>
      <c r="G891" t="s">
        <v>3464</v>
      </c>
      <c r="H891" t="s">
        <v>3465</v>
      </c>
    </row>
    <row r="892" spans="1:8" x14ac:dyDescent="0.25">
      <c r="A892">
        <v>1415534</v>
      </c>
      <c r="B892" t="s">
        <v>3450</v>
      </c>
      <c r="C892" t="s">
        <v>33</v>
      </c>
      <c r="D892" t="s">
        <v>733</v>
      </c>
      <c r="E892" t="s">
        <v>70</v>
      </c>
      <c r="F892" t="s">
        <v>3466</v>
      </c>
      <c r="G892" t="s">
        <v>3467</v>
      </c>
      <c r="H892" t="s">
        <v>3468</v>
      </c>
    </row>
    <row r="893" spans="1:8" x14ac:dyDescent="0.25">
      <c r="A893">
        <v>1433037</v>
      </c>
      <c r="B893" t="s">
        <v>3450</v>
      </c>
      <c r="C893" t="s">
        <v>33</v>
      </c>
      <c r="D893" t="s">
        <v>41</v>
      </c>
      <c r="E893" t="s">
        <v>1439</v>
      </c>
      <c r="F893" t="s">
        <v>3469</v>
      </c>
      <c r="G893" t="s">
        <v>3470</v>
      </c>
      <c r="H893" t="s">
        <v>3471</v>
      </c>
    </row>
    <row r="894" spans="1:8" x14ac:dyDescent="0.25">
      <c r="A894">
        <v>1433039</v>
      </c>
      <c r="B894" t="s">
        <v>3450</v>
      </c>
      <c r="C894" t="s">
        <v>33</v>
      </c>
      <c r="D894" t="s">
        <v>41</v>
      </c>
      <c r="E894" t="s">
        <v>1439</v>
      </c>
      <c r="F894" t="s">
        <v>3472</v>
      </c>
      <c r="G894" t="s">
        <v>1538</v>
      </c>
      <c r="H894" t="s">
        <v>3473</v>
      </c>
    </row>
    <row r="895" spans="1:8" x14ac:dyDescent="0.25">
      <c r="A895">
        <v>1446186</v>
      </c>
      <c r="B895" t="s">
        <v>3450</v>
      </c>
      <c r="C895" t="s">
        <v>33</v>
      </c>
      <c r="D895" t="s">
        <v>389</v>
      </c>
      <c r="E895" t="s">
        <v>806</v>
      </c>
      <c r="F895" t="s">
        <v>3474</v>
      </c>
      <c r="G895" t="s">
        <v>3475</v>
      </c>
      <c r="H895" t="s">
        <v>3476</v>
      </c>
    </row>
    <row r="896" spans="1:8" x14ac:dyDescent="0.25">
      <c r="A896">
        <v>1452109</v>
      </c>
      <c r="B896" t="s">
        <v>3450</v>
      </c>
      <c r="C896" t="s">
        <v>33</v>
      </c>
      <c r="D896" t="s">
        <v>18</v>
      </c>
      <c r="E896" t="s">
        <v>654</v>
      </c>
      <c r="F896" t="s">
        <v>3477</v>
      </c>
      <c r="G896" t="s">
        <v>3478</v>
      </c>
      <c r="H896" t="s">
        <v>3479</v>
      </c>
    </row>
    <row r="897" spans="1:8" x14ac:dyDescent="0.25">
      <c r="A897">
        <v>1452733</v>
      </c>
      <c r="B897" t="s">
        <v>3450</v>
      </c>
      <c r="C897" t="s">
        <v>33</v>
      </c>
      <c r="D897" t="s">
        <v>41</v>
      </c>
      <c r="E897" t="s">
        <v>1356</v>
      </c>
      <c r="F897" t="s">
        <v>3480</v>
      </c>
      <c r="G897" t="s">
        <v>3481</v>
      </c>
      <c r="H897" t="s">
        <v>3482</v>
      </c>
    </row>
    <row r="898" spans="1:8" x14ac:dyDescent="0.25">
      <c r="A898">
        <v>1459037</v>
      </c>
      <c r="B898" t="s">
        <v>3450</v>
      </c>
      <c r="C898" t="s">
        <v>33</v>
      </c>
      <c r="D898" t="s">
        <v>41</v>
      </c>
      <c r="E898" t="s">
        <v>756</v>
      </c>
      <c r="F898" t="s">
        <v>3483</v>
      </c>
      <c r="G898" t="s">
        <v>673</v>
      </c>
      <c r="H898" t="s">
        <v>3484</v>
      </c>
    </row>
    <row r="899" spans="1:8" x14ac:dyDescent="0.25">
      <c r="A899">
        <v>1460626</v>
      </c>
      <c r="B899" t="s">
        <v>3450</v>
      </c>
      <c r="C899" t="s">
        <v>33</v>
      </c>
      <c r="D899" t="s">
        <v>41</v>
      </c>
      <c r="E899" t="s">
        <v>797</v>
      </c>
      <c r="F899" t="s">
        <v>3485</v>
      </c>
      <c r="G899" t="s">
        <v>3486</v>
      </c>
      <c r="H899" t="s">
        <v>3487</v>
      </c>
    </row>
    <row r="900" spans="1:8" x14ac:dyDescent="0.25">
      <c r="A900">
        <v>1460628</v>
      </c>
      <c r="B900" t="s">
        <v>3450</v>
      </c>
      <c r="C900" t="s">
        <v>33</v>
      </c>
      <c r="D900" t="s">
        <v>41</v>
      </c>
      <c r="E900" t="s">
        <v>797</v>
      </c>
      <c r="F900" t="s">
        <v>3488</v>
      </c>
      <c r="G900" t="s">
        <v>3489</v>
      </c>
      <c r="H900" t="s">
        <v>3490</v>
      </c>
    </row>
    <row r="901" spans="1:8" x14ac:dyDescent="0.25">
      <c r="A901">
        <v>1460937</v>
      </c>
      <c r="B901" t="s">
        <v>3450</v>
      </c>
      <c r="C901" t="s">
        <v>33</v>
      </c>
      <c r="D901" t="s">
        <v>41</v>
      </c>
      <c r="E901" t="s">
        <v>782</v>
      </c>
      <c r="F901" t="s">
        <v>3491</v>
      </c>
      <c r="G901" t="s">
        <v>3492</v>
      </c>
      <c r="H901" t="s">
        <v>3493</v>
      </c>
    </row>
    <row r="902" spans="1:8" x14ac:dyDescent="0.25">
      <c r="A902">
        <v>1462771</v>
      </c>
      <c r="B902" t="s">
        <v>3450</v>
      </c>
      <c r="C902" t="s">
        <v>33</v>
      </c>
      <c r="D902" t="s">
        <v>41</v>
      </c>
      <c r="E902" t="s">
        <v>786</v>
      </c>
      <c r="F902" t="s">
        <v>3494</v>
      </c>
      <c r="G902" t="s">
        <v>3495</v>
      </c>
      <c r="H902" t="s">
        <v>3496</v>
      </c>
    </row>
    <row r="903" spans="1:8" x14ac:dyDescent="0.25">
      <c r="A903">
        <v>1477041</v>
      </c>
      <c r="B903" t="s">
        <v>3450</v>
      </c>
      <c r="C903" t="s">
        <v>33</v>
      </c>
      <c r="D903" t="s">
        <v>86</v>
      </c>
      <c r="E903" t="s">
        <v>724</v>
      </c>
      <c r="F903" t="s">
        <v>3497</v>
      </c>
      <c r="G903" t="s">
        <v>3498</v>
      </c>
      <c r="H903" t="s">
        <v>3499</v>
      </c>
    </row>
    <row r="904" spans="1:8" x14ac:dyDescent="0.25">
      <c r="A904">
        <v>1489144</v>
      </c>
      <c r="B904" t="s">
        <v>3450</v>
      </c>
      <c r="C904" t="s">
        <v>33</v>
      </c>
      <c r="D904" t="s">
        <v>32</v>
      </c>
      <c r="E904" t="s">
        <v>28</v>
      </c>
      <c r="F904" t="s">
        <v>475</v>
      </c>
      <c r="G904" t="s">
        <v>3500</v>
      </c>
      <c r="H904" t="s">
        <v>3501</v>
      </c>
    </row>
    <row r="905" spans="1:8" x14ac:dyDescent="0.25">
      <c r="A905">
        <v>1491738</v>
      </c>
      <c r="B905" t="s">
        <v>3450</v>
      </c>
      <c r="C905" t="s">
        <v>33</v>
      </c>
      <c r="D905" t="s">
        <v>79</v>
      </c>
      <c r="E905" t="s">
        <v>783</v>
      </c>
      <c r="F905" t="s">
        <v>3502</v>
      </c>
      <c r="G905" t="s">
        <v>3503</v>
      </c>
      <c r="H905" t="s">
        <v>3504</v>
      </c>
    </row>
    <row r="906" spans="1:8" x14ac:dyDescent="0.25">
      <c r="A906">
        <v>1499187</v>
      </c>
      <c r="B906" t="s">
        <v>3450</v>
      </c>
      <c r="C906" t="s">
        <v>33</v>
      </c>
      <c r="D906" t="s">
        <v>276</v>
      </c>
      <c r="E906" t="s">
        <v>27</v>
      </c>
      <c r="F906" t="s">
        <v>241</v>
      </c>
      <c r="G906" t="s">
        <v>468</v>
      </c>
      <c r="H906" t="s">
        <v>3505</v>
      </c>
    </row>
    <row r="907" spans="1:8" x14ac:dyDescent="0.25">
      <c r="A907">
        <v>1524310</v>
      </c>
      <c r="B907" t="s">
        <v>3450</v>
      </c>
      <c r="C907" t="s">
        <v>33</v>
      </c>
      <c r="D907" t="s">
        <v>49</v>
      </c>
      <c r="E907" t="s">
        <v>364</v>
      </c>
      <c r="F907" t="s">
        <v>3506</v>
      </c>
      <c r="G907" t="s">
        <v>3507</v>
      </c>
      <c r="H907" t="s">
        <v>3508</v>
      </c>
    </row>
    <row r="908" spans="1:8" x14ac:dyDescent="0.25">
      <c r="A908">
        <v>1528506</v>
      </c>
      <c r="B908" t="s">
        <v>3450</v>
      </c>
      <c r="C908" t="s">
        <v>33</v>
      </c>
      <c r="D908" t="s">
        <v>270</v>
      </c>
      <c r="E908" t="s">
        <v>267</v>
      </c>
      <c r="F908" t="s">
        <v>3509</v>
      </c>
      <c r="G908" t="s">
        <v>604</v>
      </c>
      <c r="H908" t="s">
        <v>3510</v>
      </c>
    </row>
    <row r="909" spans="1:8" x14ac:dyDescent="0.25">
      <c r="A909">
        <v>1431390</v>
      </c>
      <c r="B909" t="s">
        <v>3511</v>
      </c>
      <c r="C909" t="s">
        <v>33</v>
      </c>
      <c r="D909" t="s">
        <v>41</v>
      </c>
      <c r="E909" t="s">
        <v>375</v>
      </c>
      <c r="F909" t="s">
        <v>3512</v>
      </c>
      <c r="G909" t="s">
        <v>901</v>
      </c>
      <c r="H909" t="s">
        <v>3513</v>
      </c>
    </row>
    <row r="910" spans="1:8" x14ac:dyDescent="0.25">
      <c r="A910">
        <v>1506427</v>
      </c>
      <c r="B910" t="s">
        <v>3511</v>
      </c>
      <c r="C910" t="s">
        <v>33</v>
      </c>
      <c r="D910" t="s">
        <v>727</v>
      </c>
      <c r="E910" t="s">
        <v>787</v>
      </c>
      <c r="F910" t="s">
        <v>3514</v>
      </c>
      <c r="G910" t="s">
        <v>3515</v>
      </c>
      <c r="H910" t="s">
        <v>3516</v>
      </c>
    </row>
    <row r="911" spans="1:8" x14ac:dyDescent="0.25">
      <c r="A911">
        <v>1380321</v>
      </c>
      <c r="B911" t="s">
        <v>3517</v>
      </c>
      <c r="C911" t="s">
        <v>33</v>
      </c>
      <c r="D911" t="s">
        <v>418</v>
      </c>
      <c r="E911" t="s">
        <v>428</v>
      </c>
      <c r="F911" t="s">
        <v>3518</v>
      </c>
      <c r="G911" t="s">
        <v>3519</v>
      </c>
      <c r="H911" t="s">
        <v>3520</v>
      </c>
    </row>
    <row r="912" spans="1:8" x14ac:dyDescent="0.25">
      <c r="A912">
        <v>1382643</v>
      </c>
      <c r="B912" t="s">
        <v>3517</v>
      </c>
      <c r="C912" t="s">
        <v>33</v>
      </c>
      <c r="D912" t="s">
        <v>72</v>
      </c>
      <c r="E912" t="s">
        <v>376</v>
      </c>
      <c r="F912" t="s">
        <v>3521</v>
      </c>
      <c r="G912" t="s">
        <v>3522</v>
      </c>
      <c r="H912" t="s">
        <v>3523</v>
      </c>
    </row>
    <row r="913" spans="1:8" x14ac:dyDescent="0.25">
      <c r="A913">
        <v>1384848</v>
      </c>
      <c r="B913" t="s">
        <v>3517</v>
      </c>
      <c r="C913" t="s">
        <v>33</v>
      </c>
      <c r="D913" t="s">
        <v>409</v>
      </c>
      <c r="E913" t="s">
        <v>429</v>
      </c>
      <c r="F913" t="s">
        <v>599</v>
      </c>
      <c r="G913" t="s">
        <v>619</v>
      </c>
      <c r="H913" t="s">
        <v>3524</v>
      </c>
    </row>
    <row r="914" spans="1:8" x14ac:dyDescent="0.25">
      <c r="A914">
        <v>1391086</v>
      </c>
      <c r="B914" t="s">
        <v>3517</v>
      </c>
      <c r="C914" t="s">
        <v>33</v>
      </c>
      <c r="D914" t="s">
        <v>41</v>
      </c>
      <c r="E914" t="s">
        <v>75</v>
      </c>
      <c r="F914" t="s">
        <v>3525</v>
      </c>
      <c r="G914" t="s">
        <v>3526</v>
      </c>
      <c r="H914" t="s">
        <v>3527</v>
      </c>
    </row>
    <row r="915" spans="1:8" x14ac:dyDescent="0.25">
      <c r="A915">
        <v>1392075</v>
      </c>
      <c r="B915" t="s">
        <v>3517</v>
      </c>
      <c r="C915" t="s">
        <v>33</v>
      </c>
      <c r="D915" t="s">
        <v>41</v>
      </c>
      <c r="E915" t="s">
        <v>76</v>
      </c>
      <c r="F915" t="s">
        <v>3528</v>
      </c>
      <c r="G915" t="s">
        <v>536</v>
      </c>
      <c r="H915" t="s">
        <v>3529</v>
      </c>
    </row>
    <row r="916" spans="1:8" x14ac:dyDescent="0.25">
      <c r="A916">
        <v>1392078</v>
      </c>
      <c r="B916" t="s">
        <v>3517</v>
      </c>
      <c r="C916" t="s">
        <v>33</v>
      </c>
      <c r="D916" t="s">
        <v>41</v>
      </c>
      <c r="E916" t="s">
        <v>76</v>
      </c>
      <c r="F916" t="s">
        <v>461</v>
      </c>
      <c r="G916" t="s">
        <v>3530</v>
      </c>
      <c r="H916" t="s">
        <v>3531</v>
      </c>
    </row>
    <row r="917" spans="1:8" x14ac:dyDescent="0.25">
      <c r="A917">
        <v>1431771</v>
      </c>
      <c r="B917" t="s">
        <v>3517</v>
      </c>
      <c r="C917" t="s">
        <v>33</v>
      </c>
      <c r="D917" t="s">
        <v>41</v>
      </c>
      <c r="E917" t="s">
        <v>361</v>
      </c>
      <c r="F917" t="s">
        <v>3532</v>
      </c>
      <c r="G917" t="s">
        <v>3533</v>
      </c>
      <c r="H917" t="s">
        <v>3534</v>
      </c>
    </row>
    <row r="918" spans="1:8" x14ac:dyDescent="0.25">
      <c r="A918">
        <v>1433032</v>
      </c>
      <c r="B918" t="s">
        <v>3517</v>
      </c>
      <c r="C918" t="s">
        <v>33</v>
      </c>
      <c r="D918" t="s">
        <v>41</v>
      </c>
      <c r="E918" t="s">
        <v>1439</v>
      </c>
      <c r="F918" t="s">
        <v>3535</v>
      </c>
      <c r="G918" t="s">
        <v>3536</v>
      </c>
      <c r="H918" t="s">
        <v>3537</v>
      </c>
    </row>
    <row r="919" spans="1:8" x14ac:dyDescent="0.25">
      <c r="A919">
        <v>1433342</v>
      </c>
      <c r="B919" t="s">
        <v>3517</v>
      </c>
      <c r="C919" t="s">
        <v>33</v>
      </c>
      <c r="D919" t="s">
        <v>41</v>
      </c>
      <c r="E919" t="s">
        <v>779</v>
      </c>
      <c r="F919" t="s">
        <v>3538</v>
      </c>
      <c r="G919" t="s">
        <v>3539</v>
      </c>
      <c r="H919" t="s">
        <v>3540</v>
      </c>
    </row>
    <row r="920" spans="1:8" x14ac:dyDescent="0.25">
      <c r="A920">
        <v>1462156</v>
      </c>
      <c r="B920" t="s">
        <v>3517</v>
      </c>
      <c r="C920" t="s">
        <v>33</v>
      </c>
      <c r="D920" t="s">
        <v>41</v>
      </c>
      <c r="E920" t="s">
        <v>1564</v>
      </c>
      <c r="F920" t="s">
        <v>3541</v>
      </c>
      <c r="G920" t="s">
        <v>3542</v>
      </c>
      <c r="H920" t="s">
        <v>3543</v>
      </c>
    </row>
    <row r="921" spans="1:8" x14ac:dyDescent="0.25">
      <c r="A921">
        <v>1462462</v>
      </c>
      <c r="B921" t="s">
        <v>3517</v>
      </c>
      <c r="C921" t="s">
        <v>33</v>
      </c>
      <c r="D921" t="s">
        <v>41</v>
      </c>
      <c r="E921" t="s">
        <v>767</v>
      </c>
      <c r="F921" t="s">
        <v>3544</v>
      </c>
      <c r="G921" t="s">
        <v>3545</v>
      </c>
      <c r="H921" t="s">
        <v>3546</v>
      </c>
    </row>
    <row r="922" spans="1:8" x14ac:dyDescent="0.25">
      <c r="A922">
        <v>1506562</v>
      </c>
      <c r="B922" t="s">
        <v>3517</v>
      </c>
      <c r="C922" t="s">
        <v>33</v>
      </c>
      <c r="D922" t="s">
        <v>727</v>
      </c>
      <c r="E922" t="s">
        <v>728</v>
      </c>
      <c r="F922" t="s">
        <v>3547</v>
      </c>
      <c r="G922" t="s">
        <v>3548</v>
      </c>
      <c r="H922" t="s">
        <v>3549</v>
      </c>
    </row>
    <row r="923" spans="1:8" x14ac:dyDescent="0.25">
      <c r="A923">
        <v>1385995</v>
      </c>
      <c r="B923" t="s">
        <v>3550</v>
      </c>
      <c r="C923" t="s">
        <v>33</v>
      </c>
      <c r="D923" t="s">
        <v>97</v>
      </c>
      <c r="E923" t="s">
        <v>98</v>
      </c>
      <c r="F923" t="s">
        <v>524</v>
      </c>
      <c r="G923" t="s">
        <v>3551</v>
      </c>
      <c r="H923" t="s">
        <v>3552</v>
      </c>
    </row>
    <row r="924" spans="1:8" x14ac:dyDescent="0.25">
      <c r="A924">
        <v>1389054</v>
      </c>
      <c r="B924" t="s">
        <v>3550</v>
      </c>
      <c r="C924" t="s">
        <v>33</v>
      </c>
      <c r="D924" t="s">
        <v>65</v>
      </c>
      <c r="E924" t="s">
        <v>271</v>
      </c>
      <c r="F924" t="s">
        <v>540</v>
      </c>
      <c r="G924" t="s">
        <v>3553</v>
      </c>
      <c r="H924" t="s">
        <v>3554</v>
      </c>
    </row>
    <row r="925" spans="1:8" x14ac:dyDescent="0.25">
      <c r="A925">
        <v>1396454</v>
      </c>
      <c r="B925" t="s">
        <v>3550</v>
      </c>
      <c r="C925" t="s">
        <v>33</v>
      </c>
      <c r="D925" t="s">
        <v>54</v>
      </c>
      <c r="E925" t="s">
        <v>101</v>
      </c>
      <c r="F925" t="s">
        <v>447</v>
      </c>
      <c r="G925" t="s">
        <v>635</v>
      </c>
      <c r="H925" t="s">
        <v>3555</v>
      </c>
    </row>
    <row r="926" spans="1:8" x14ac:dyDescent="0.25">
      <c r="A926">
        <v>1396737</v>
      </c>
      <c r="B926" t="s">
        <v>3550</v>
      </c>
      <c r="C926" t="s">
        <v>33</v>
      </c>
      <c r="D926" t="s">
        <v>801</v>
      </c>
      <c r="E926" t="s">
        <v>802</v>
      </c>
      <c r="F926" t="s">
        <v>3556</v>
      </c>
      <c r="G926" t="s">
        <v>3557</v>
      </c>
      <c r="H926" t="s">
        <v>3558</v>
      </c>
    </row>
    <row r="927" spans="1:8" x14ac:dyDescent="0.25">
      <c r="A927">
        <v>1398189</v>
      </c>
      <c r="B927" t="s">
        <v>3550</v>
      </c>
      <c r="C927" t="s">
        <v>33</v>
      </c>
      <c r="D927" t="s">
        <v>54</v>
      </c>
      <c r="E927" t="s">
        <v>266</v>
      </c>
      <c r="F927" t="s">
        <v>3559</v>
      </c>
      <c r="G927" t="s">
        <v>3560</v>
      </c>
      <c r="H927" t="s">
        <v>3561</v>
      </c>
    </row>
    <row r="928" spans="1:8" x14ac:dyDescent="0.25">
      <c r="A928">
        <v>1459719</v>
      </c>
      <c r="B928" t="s">
        <v>3550</v>
      </c>
      <c r="C928" t="s">
        <v>33</v>
      </c>
      <c r="D928" t="s">
        <v>41</v>
      </c>
      <c r="E928" t="s">
        <v>763</v>
      </c>
      <c r="F928" t="s">
        <v>3562</v>
      </c>
      <c r="G928" t="s">
        <v>3563</v>
      </c>
      <c r="H928" t="s">
        <v>3564</v>
      </c>
    </row>
    <row r="929" spans="1:8" x14ac:dyDescent="0.25">
      <c r="A929">
        <v>1460024</v>
      </c>
      <c r="B929" t="s">
        <v>3550</v>
      </c>
      <c r="C929" t="s">
        <v>33</v>
      </c>
      <c r="D929" t="s">
        <v>41</v>
      </c>
      <c r="E929" t="s">
        <v>1368</v>
      </c>
      <c r="F929" t="s">
        <v>3565</v>
      </c>
      <c r="G929" t="s">
        <v>3566</v>
      </c>
      <c r="H929" t="s">
        <v>3567</v>
      </c>
    </row>
    <row r="930" spans="1:8" x14ac:dyDescent="0.25">
      <c r="A930">
        <v>1471961</v>
      </c>
      <c r="B930" t="s">
        <v>3550</v>
      </c>
      <c r="C930" t="s">
        <v>33</v>
      </c>
      <c r="D930" t="s">
        <v>88</v>
      </c>
      <c r="E930" t="s">
        <v>84</v>
      </c>
      <c r="F930" t="s">
        <v>3568</v>
      </c>
      <c r="G930" t="s">
        <v>3569</v>
      </c>
      <c r="H930" t="s">
        <v>3570</v>
      </c>
    </row>
    <row r="931" spans="1:8" x14ac:dyDescent="0.25">
      <c r="A931">
        <v>1502801</v>
      </c>
      <c r="B931" t="s">
        <v>3550</v>
      </c>
      <c r="C931" t="s">
        <v>33</v>
      </c>
      <c r="D931" t="s">
        <v>20</v>
      </c>
      <c r="E931" t="s">
        <v>800</v>
      </c>
      <c r="F931" t="s">
        <v>3571</v>
      </c>
      <c r="G931" t="s">
        <v>3572</v>
      </c>
      <c r="H931" t="s">
        <v>3573</v>
      </c>
    </row>
    <row r="932" spans="1:8" x14ac:dyDescent="0.25">
      <c r="A932">
        <v>1514295</v>
      </c>
      <c r="B932" t="s">
        <v>3550</v>
      </c>
      <c r="C932" t="s">
        <v>33</v>
      </c>
      <c r="D932" t="s">
        <v>20</v>
      </c>
      <c r="E932" t="s">
        <v>463</v>
      </c>
      <c r="F932" t="s">
        <v>3574</v>
      </c>
      <c r="G932" t="s">
        <v>3575</v>
      </c>
      <c r="H932" t="s">
        <v>3576</v>
      </c>
    </row>
    <row r="933" spans="1:8" x14ac:dyDescent="0.25">
      <c r="A933">
        <v>1526420</v>
      </c>
      <c r="B933" t="s">
        <v>3550</v>
      </c>
      <c r="C933" t="s">
        <v>33</v>
      </c>
      <c r="D933" t="s">
        <v>436</v>
      </c>
      <c r="E933" t="s">
        <v>437</v>
      </c>
      <c r="F933" t="s">
        <v>3577</v>
      </c>
      <c r="G933" t="s">
        <v>3578</v>
      </c>
      <c r="H933" t="s">
        <v>3579</v>
      </c>
    </row>
    <row r="934" spans="1:8" x14ac:dyDescent="0.25">
      <c r="A934">
        <v>1529465</v>
      </c>
      <c r="B934" t="s">
        <v>3550</v>
      </c>
      <c r="C934" t="s">
        <v>33</v>
      </c>
      <c r="D934" t="s">
        <v>435</v>
      </c>
      <c r="E934" t="s">
        <v>48</v>
      </c>
      <c r="F934" t="s">
        <v>3580</v>
      </c>
      <c r="G934" t="s">
        <v>3581</v>
      </c>
      <c r="H934" t="s">
        <v>3582</v>
      </c>
    </row>
    <row r="935" spans="1:8" x14ac:dyDescent="0.25">
      <c r="A935">
        <v>1382645</v>
      </c>
      <c r="B935" t="s">
        <v>3583</v>
      </c>
      <c r="C935" t="s">
        <v>33</v>
      </c>
      <c r="D935" t="s">
        <v>72</v>
      </c>
      <c r="E935" t="s">
        <v>376</v>
      </c>
      <c r="F935" t="s">
        <v>3584</v>
      </c>
      <c r="G935" t="s">
        <v>3585</v>
      </c>
      <c r="H935" t="s">
        <v>3586</v>
      </c>
    </row>
    <row r="936" spans="1:8" x14ac:dyDescent="0.25">
      <c r="A936">
        <v>1389769</v>
      </c>
      <c r="B936" t="s">
        <v>3583</v>
      </c>
      <c r="C936" t="s">
        <v>35</v>
      </c>
      <c r="D936" t="s">
        <v>109</v>
      </c>
      <c r="E936" t="s">
        <v>237</v>
      </c>
      <c r="F936" t="s">
        <v>3587</v>
      </c>
      <c r="G936" t="s">
        <v>3588</v>
      </c>
      <c r="H936" t="s">
        <v>3589</v>
      </c>
    </row>
    <row r="937" spans="1:8" x14ac:dyDescent="0.25">
      <c r="A937">
        <v>1512525</v>
      </c>
      <c r="B937" t="s">
        <v>3583</v>
      </c>
      <c r="C937" t="s">
        <v>33</v>
      </c>
      <c r="D937" t="s">
        <v>397</v>
      </c>
      <c r="E937" t="s">
        <v>28</v>
      </c>
      <c r="F937" t="s">
        <v>3590</v>
      </c>
      <c r="G937" t="s">
        <v>3591</v>
      </c>
      <c r="H937" t="s">
        <v>3592</v>
      </c>
    </row>
    <row r="938" spans="1:8" x14ac:dyDescent="0.25">
      <c r="A938">
        <v>1530602</v>
      </c>
      <c r="B938" t="s">
        <v>3583</v>
      </c>
      <c r="C938" t="s">
        <v>33</v>
      </c>
      <c r="D938" t="s">
        <v>283</v>
      </c>
      <c r="E938" t="s">
        <v>26</v>
      </c>
      <c r="F938" t="s">
        <v>3593</v>
      </c>
      <c r="G938" t="s">
        <v>3594</v>
      </c>
      <c r="H938" t="s">
        <v>3595</v>
      </c>
    </row>
    <row r="939" spans="1:8" x14ac:dyDescent="0.25">
      <c r="A939">
        <v>1394327</v>
      </c>
      <c r="B939" t="s">
        <v>3596</v>
      </c>
      <c r="C939" t="s">
        <v>33</v>
      </c>
      <c r="D939" t="s">
        <v>44</v>
      </c>
      <c r="E939" t="s">
        <v>360</v>
      </c>
      <c r="F939" t="s">
        <v>3597</v>
      </c>
      <c r="G939" t="s">
        <v>608</v>
      </c>
      <c r="H939" t="s">
        <v>3598</v>
      </c>
    </row>
    <row r="940" spans="1:8" x14ac:dyDescent="0.25">
      <c r="A940">
        <v>1396006</v>
      </c>
      <c r="B940" t="s">
        <v>3596</v>
      </c>
      <c r="C940" t="s">
        <v>33</v>
      </c>
      <c r="D940" t="s">
        <v>52</v>
      </c>
      <c r="E940" t="s">
        <v>413</v>
      </c>
      <c r="F940" t="s">
        <v>3599</v>
      </c>
      <c r="G940" t="s">
        <v>3600</v>
      </c>
      <c r="H940" t="s">
        <v>3601</v>
      </c>
    </row>
    <row r="941" spans="1:8" x14ac:dyDescent="0.25">
      <c r="A941">
        <v>1419879</v>
      </c>
      <c r="B941" t="s">
        <v>3596</v>
      </c>
      <c r="C941" t="s">
        <v>33</v>
      </c>
      <c r="D941" t="s">
        <v>42</v>
      </c>
      <c r="E941" t="s">
        <v>374</v>
      </c>
      <c r="F941" t="s">
        <v>3602</v>
      </c>
      <c r="G941" t="s">
        <v>3603</v>
      </c>
      <c r="H941" t="s">
        <v>3604</v>
      </c>
    </row>
    <row r="942" spans="1:8" x14ac:dyDescent="0.25">
      <c r="A942">
        <v>1434723</v>
      </c>
      <c r="B942" t="s">
        <v>3596</v>
      </c>
      <c r="C942" t="s">
        <v>33</v>
      </c>
      <c r="D942" t="s">
        <v>378</v>
      </c>
      <c r="E942" t="s">
        <v>26</v>
      </c>
      <c r="F942" t="s">
        <v>3605</v>
      </c>
      <c r="G942" t="s">
        <v>3606</v>
      </c>
      <c r="H942" t="s">
        <v>3607</v>
      </c>
    </row>
    <row r="943" spans="1:8" x14ac:dyDescent="0.25">
      <c r="A943">
        <v>1459714</v>
      </c>
      <c r="B943" t="s">
        <v>3596</v>
      </c>
      <c r="C943" t="s">
        <v>33</v>
      </c>
      <c r="D943" t="s">
        <v>41</v>
      </c>
      <c r="E943" t="s">
        <v>763</v>
      </c>
      <c r="F943" t="s">
        <v>3608</v>
      </c>
      <c r="G943" t="s">
        <v>3609</v>
      </c>
      <c r="H943" t="s">
        <v>3610</v>
      </c>
    </row>
    <row r="944" spans="1:8" x14ac:dyDescent="0.25">
      <c r="A944">
        <v>1519277</v>
      </c>
      <c r="B944" t="s">
        <v>3596</v>
      </c>
      <c r="C944" t="s">
        <v>33</v>
      </c>
      <c r="D944" t="s">
        <v>393</v>
      </c>
      <c r="E944" t="s">
        <v>394</v>
      </c>
      <c r="F944" t="s">
        <v>462</v>
      </c>
      <c r="G944" t="s">
        <v>3611</v>
      </c>
      <c r="H944" t="s">
        <v>3612</v>
      </c>
    </row>
    <row r="945" spans="1:8" x14ac:dyDescent="0.25">
      <c r="A945">
        <v>1526454</v>
      </c>
      <c r="B945" t="s">
        <v>3596</v>
      </c>
      <c r="C945" t="s">
        <v>33</v>
      </c>
      <c r="D945" t="s">
        <v>664</v>
      </c>
      <c r="E945" t="s">
        <v>50</v>
      </c>
      <c r="F945" t="s">
        <v>798</v>
      </c>
      <c r="G945" t="s">
        <v>3613</v>
      </c>
      <c r="H945" t="s">
        <v>3614</v>
      </c>
    </row>
    <row r="946" spans="1:8" x14ac:dyDescent="0.25">
      <c r="A946">
        <v>1526455</v>
      </c>
      <c r="B946" t="s">
        <v>3596</v>
      </c>
      <c r="C946" t="s">
        <v>33</v>
      </c>
      <c r="D946" t="s">
        <v>664</v>
      </c>
      <c r="E946" t="s">
        <v>50</v>
      </c>
      <c r="F946" t="s">
        <v>315</v>
      </c>
      <c r="G946" t="s">
        <v>3615</v>
      </c>
      <c r="H946" t="s">
        <v>3616</v>
      </c>
    </row>
    <row r="947" spans="1:8" x14ac:dyDescent="0.25">
      <c r="A947">
        <v>1527406</v>
      </c>
      <c r="B947" t="s">
        <v>3596</v>
      </c>
      <c r="C947" t="s">
        <v>33</v>
      </c>
      <c r="D947" t="s">
        <v>20</v>
      </c>
      <c r="E947" t="s">
        <v>804</v>
      </c>
      <c r="F947" t="s">
        <v>3617</v>
      </c>
      <c r="G947" t="s">
        <v>3618</v>
      </c>
      <c r="H947" t="s">
        <v>3619</v>
      </c>
    </row>
    <row r="948" spans="1:8" x14ac:dyDescent="0.25">
      <c r="A948">
        <v>1527408</v>
      </c>
      <c r="B948" t="s">
        <v>3596</v>
      </c>
      <c r="C948" t="s">
        <v>33</v>
      </c>
      <c r="D948" t="s">
        <v>20</v>
      </c>
      <c r="E948" t="s">
        <v>804</v>
      </c>
      <c r="F948" t="s">
        <v>3620</v>
      </c>
      <c r="G948" t="s">
        <v>3621</v>
      </c>
      <c r="H948" t="s">
        <v>3622</v>
      </c>
    </row>
    <row r="949" spans="1:8" x14ac:dyDescent="0.25">
      <c r="A949">
        <v>1530609</v>
      </c>
      <c r="B949" t="s">
        <v>3596</v>
      </c>
      <c r="C949" t="s">
        <v>33</v>
      </c>
      <c r="D949" t="s">
        <v>20</v>
      </c>
      <c r="E949" t="s">
        <v>718</v>
      </c>
      <c r="F949" t="s">
        <v>3623</v>
      </c>
      <c r="G949" t="s">
        <v>3624</v>
      </c>
      <c r="H949" t="s">
        <v>3625</v>
      </c>
    </row>
    <row r="950" spans="1:8" x14ac:dyDescent="0.25">
      <c r="A950">
        <v>1499043</v>
      </c>
      <c r="B950" t="s">
        <v>3626</v>
      </c>
      <c r="C950" t="s">
        <v>33</v>
      </c>
      <c r="D950" t="s">
        <v>83</v>
      </c>
      <c r="E950" t="s">
        <v>84</v>
      </c>
      <c r="F950" t="s">
        <v>3627</v>
      </c>
      <c r="G950" t="s">
        <v>3628</v>
      </c>
      <c r="H950" t="s">
        <v>3629</v>
      </c>
    </row>
    <row r="951" spans="1:8" x14ac:dyDescent="0.25">
      <c r="A951">
        <v>1499044</v>
      </c>
      <c r="B951" t="s">
        <v>3626</v>
      </c>
      <c r="C951" t="s">
        <v>33</v>
      </c>
      <c r="D951" t="s">
        <v>83</v>
      </c>
      <c r="E951" t="s">
        <v>84</v>
      </c>
      <c r="F951" t="s">
        <v>613</v>
      </c>
      <c r="G951" t="s">
        <v>365</v>
      </c>
      <c r="H951" t="s">
        <v>3630</v>
      </c>
    </row>
    <row r="952" spans="1:8" x14ac:dyDescent="0.25">
      <c r="A952">
        <v>1499045</v>
      </c>
      <c r="B952" t="s">
        <v>3626</v>
      </c>
      <c r="C952" t="s">
        <v>33</v>
      </c>
      <c r="D952" t="s">
        <v>83</v>
      </c>
      <c r="E952" t="s">
        <v>84</v>
      </c>
      <c r="F952" t="s">
        <v>626</v>
      </c>
      <c r="G952" t="s">
        <v>3631</v>
      </c>
      <c r="H952" t="s">
        <v>3632</v>
      </c>
    </row>
    <row r="953" spans="1:8" x14ac:dyDescent="0.25">
      <c r="A953">
        <v>1499046</v>
      </c>
      <c r="B953" t="s">
        <v>3626</v>
      </c>
      <c r="C953" t="s">
        <v>33</v>
      </c>
      <c r="D953" t="s">
        <v>83</v>
      </c>
      <c r="E953" t="s">
        <v>84</v>
      </c>
      <c r="F953" t="s">
        <v>366</v>
      </c>
      <c r="G953" t="s">
        <v>625</v>
      </c>
      <c r="H953" t="s">
        <v>3633</v>
      </c>
    </row>
    <row r="954" spans="1:8" x14ac:dyDescent="0.25">
      <c r="A954">
        <v>1499047</v>
      </c>
      <c r="B954" t="s">
        <v>3626</v>
      </c>
      <c r="C954" t="s">
        <v>33</v>
      </c>
      <c r="D954" t="s">
        <v>83</v>
      </c>
      <c r="E954" t="s">
        <v>84</v>
      </c>
      <c r="F954" t="s">
        <v>532</v>
      </c>
      <c r="G954" t="s">
        <v>612</v>
      </c>
      <c r="H954" t="s">
        <v>3634</v>
      </c>
    </row>
    <row r="955" spans="1:8" x14ac:dyDescent="0.25">
      <c r="A955">
        <v>1381097</v>
      </c>
      <c r="B955" t="s">
        <v>3635</v>
      </c>
      <c r="C955" t="s">
        <v>33</v>
      </c>
      <c r="D955" t="s">
        <v>59</v>
      </c>
      <c r="E955" t="s">
        <v>60</v>
      </c>
      <c r="F955" t="s">
        <v>620</v>
      </c>
      <c r="G955" t="s">
        <v>3636</v>
      </c>
      <c r="H955" t="s">
        <v>3637</v>
      </c>
    </row>
    <row r="956" spans="1:8" x14ac:dyDescent="0.25">
      <c r="A956">
        <v>1400903</v>
      </c>
      <c r="B956" t="s">
        <v>3635</v>
      </c>
      <c r="C956" t="s">
        <v>33</v>
      </c>
      <c r="D956" t="s">
        <v>63</v>
      </c>
      <c r="E956" t="s">
        <v>272</v>
      </c>
      <c r="F956" t="s">
        <v>3638</v>
      </c>
      <c r="G956" t="s">
        <v>3639</v>
      </c>
      <c r="H956" t="s">
        <v>3640</v>
      </c>
    </row>
    <row r="957" spans="1:8" x14ac:dyDescent="0.25">
      <c r="A957">
        <v>1460018</v>
      </c>
      <c r="B957" t="s">
        <v>3635</v>
      </c>
      <c r="C957" t="s">
        <v>33</v>
      </c>
      <c r="D957" t="s">
        <v>41</v>
      </c>
      <c r="E957" t="s">
        <v>1368</v>
      </c>
      <c r="F957" t="s">
        <v>3641</v>
      </c>
      <c r="G957" t="s">
        <v>3642</v>
      </c>
      <c r="H957" t="s">
        <v>3643</v>
      </c>
    </row>
    <row r="958" spans="1:8" x14ac:dyDescent="0.25">
      <c r="A958">
        <v>1491508</v>
      </c>
      <c r="B958" t="s">
        <v>3635</v>
      </c>
      <c r="C958" t="s">
        <v>33</v>
      </c>
      <c r="D958" t="s">
        <v>389</v>
      </c>
      <c r="E958" t="s">
        <v>834</v>
      </c>
      <c r="F958" t="s">
        <v>3644</v>
      </c>
      <c r="G958" t="s">
        <v>3645</v>
      </c>
      <c r="H958" t="s">
        <v>3646</v>
      </c>
    </row>
    <row r="959" spans="1:8" x14ac:dyDescent="0.25">
      <c r="A959">
        <v>1491557</v>
      </c>
      <c r="B959" t="s">
        <v>3635</v>
      </c>
      <c r="C959" t="s">
        <v>33</v>
      </c>
      <c r="D959" t="s">
        <v>389</v>
      </c>
      <c r="E959" t="s">
        <v>672</v>
      </c>
      <c r="F959" t="s">
        <v>3647</v>
      </c>
      <c r="G959" t="s">
        <v>3648</v>
      </c>
      <c r="H959" t="s">
        <v>3649</v>
      </c>
    </row>
    <row r="960" spans="1:8" x14ac:dyDescent="0.25">
      <c r="A960">
        <v>1512976</v>
      </c>
      <c r="B960" t="s">
        <v>3635</v>
      </c>
      <c r="C960" t="s">
        <v>33</v>
      </c>
      <c r="D960" t="s">
        <v>389</v>
      </c>
      <c r="E960" t="s">
        <v>390</v>
      </c>
      <c r="F960" t="s">
        <v>3650</v>
      </c>
      <c r="G960" t="s">
        <v>3651</v>
      </c>
      <c r="H960" t="s">
        <v>3652</v>
      </c>
    </row>
    <row r="961" spans="1:8" x14ac:dyDescent="0.25">
      <c r="A961">
        <v>1512977</v>
      </c>
      <c r="B961" t="s">
        <v>3635</v>
      </c>
      <c r="C961" t="s">
        <v>33</v>
      </c>
      <c r="D961" t="s">
        <v>389</v>
      </c>
      <c r="E961" t="s">
        <v>390</v>
      </c>
      <c r="F961" t="s">
        <v>3653</v>
      </c>
      <c r="G961" t="s">
        <v>3654</v>
      </c>
      <c r="H961" t="s">
        <v>3655</v>
      </c>
    </row>
    <row r="962" spans="1:8" x14ac:dyDescent="0.25">
      <c r="A962">
        <v>1512978</v>
      </c>
      <c r="B962" t="s">
        <v>3635</v>
      </c>
      <c r="C962" t="s">
        <v>33</v>
      </c>
      <c r="D962" t="s">
        <v>389</v>
      </c>
      <c r="E962" t="s">
        <v>390</v>
      </c>
      <c r="F962" t="s">
        <v>3656</v>
      </c>
      <c r="G962" t="s">
        <v>3657</v>
      </c>
      <c r="H962" t="s">
        <v>3658</v>
      </c>
    </row>
    <row r="963" spans="1:8" x14ac:dyDescent="0.25">
      <c r="A963">
        <v>1521166</v>
      </c>
      <c r="B963" t="s">
        <v>3635</v>
      </c>
      <c r="C963" t="s">
        <v>33</v>
      </c>
      <c r="D963" t="s">
        <v>20</v>
      </c>
      <c r="E963" t="s">
        <v>21</v>
      </c>
      <c r="F963" t="s">
        <v>3659</v>
      </c>
      <c r="G963" t="s">
        <v>320</v>
      </c>
      <c r="H963" t="s">
        <v>3660</v>
      </c>
    </row>
    <row r="964" spans="1:8" x14ac:dyDescent="0.25">
      <c r="A964">
        <v>1521167</v>
      </c>
      <c r="B964" t="s">
        <v>3635</v>
      </c>
      <c r="C964" t="s">
        <v>33</v>
      </c>
      <c r="D964" t="s">
        <v>20</v>
      </c>
      <c r="E964" t="s">
        <v>21</v>
      </c>
      <c r="F964" t="s">
        <v>387</v>
      </c>
      <c r="G964" t="s">
        <v>3661</v>
      </c>
      <c r="H964" t="s">
        <v>3662</v>
      </c>
    </row>
    <row r="965" spans="1:8" x14ac:dyDescent="0.25">
      <c r="A965">
        <v>1527407</v>
      </c>
      <c r="B965" t="s">
        <v>3635</v>
      </c>
      <c r="C965" t="s">
        <v>33</v>
      </c>
      <c r="D965" t="s">
        <v>20</v>
      </c>
      <c r="E965" t="s">
        <v>804</v>
      </c>
      <c r="F965" t="s">
        <v>669</v>
      </c>
      <c r="G965" t="s">
        <v>3663</v>
      </c>
      <c r="H965" t="s">
        <v>3664</v>
      </c>
    </row>
    <row r="966" spans="1:8" x14ac:dyDescent="0.25">
      <c r="A966">
        <v>1528809</v>
      </c>
      <c r="B966" t="s">
        <v>3635</v>
      </c>
      <c r="C966" t="s">
        <v>33</v>
      </c>
      <c r="D966" t="s">
        <v>20</v>
      </c>
      <c r="E966" t="s">
        <v>810</v>
      </c>
      <c r="F966" t="s">
        <v>3665</v>
      </c>
      <c r="G966" t="s">
        <v>3666</v>
      </c>
      <c r="H966" t="s">
        <v>3667</v>
      </c>
    </row>
    <row r="967" spans="1:8" x14ac:dyDescent="0.25">
      <c r="A967">
        <v>1528813</v>
      </c>
      <c r="B967" t="s">
        <v>3635</v>
      </c>
      <c r="C967" t="s">
        <v>33</v>
      </c>
      <c r="D967" t="s">
        <v>20</v>
      </c>
      <c r="E967" t="s">
        <v>807</v>
      </c>
      <c r="F967" t="s">
        <v>3668</v>
      </c>
      <c r="G967" t="s">
        <v>3669</v>
      </c>
      <c r="H967" t="s">
        <v>3670</v>
      </c>
    </row>
    <row r="968" spans="1:8" x14ac:dyDescent="0.25">
      <c r="A968">
        <v>1528817</v>
      </c>
      <c r="B968" t="s">
        <v>3635</v>
      </c>
      <c r="C968" t="s">
        <v>33</v>
      </c>
      <c r="D968" t="s">
        <v>20</v>
      </c>
      <c r="E968" t="s">
        <v>808</v>
      </c>
      <c r="F968" t="s">
        <v>3671</v>
      </c>
      <c r="G968" t="s">
        <v>3672</v>
      </c>
      <c r="H968" t="s">
        <v>3673</v>
      </c>
    </row>
    <row r="969" spans="1:8" x14ac:dyDescent="0.25">
      <c r="A969">
        <v>1528834</v>
      </c>
      <c r="B969" t="s">
        <v>3635</v>
      </c>
      <c r="C969" t="s">
        <v>33</v>
      </c>
      <c r="D969" t="s">
        <v>20</v>
      </c>
      <c r="E969" t="s">
        <v>3674</v>
      </c>
      <c r="F969" t="s">
        <v>3675</v>
      </c>
      <c r="G969" t="s">
        <v>3676</v>
      </c>
      <c r="H969" t="s">
        <v>3677</v>
      </c>
    </row>
    <row r="970" spans="1:8" x14ac:dyDescent="0.25">
      <c r="A970">
        <v>1529033</v>
      </c>
      <c r="B970" t="s">
        <v>3635</v>
      </c>
      <c r="C970" t="s">
        <v>33</v>
      </c>
      <c r="D970" t="s">
        <v>367</v>
      </c>
      <c r="E970" t="s">
        <v>85</v>
      </c>
      <c r="F970" t="s">
        <v>615</v>
      </c>
      <c r="G970" t="s">
        <v>614</v>
      </c>
      <c r="H970" t="s">
        <v>3678</v>
      </c>
    </row>
    <row r="971" spans="1:8" x14ac:dyDescent="0.25">
      <c r="A971">
        <v>1530079</v>
      </c>
      <c r="B971" t="s">
        <v>3635</v>
      </c>
      <c r="C971" t="s">
        <v>33</v>
      </c>
      <c r="D971" t="s">
        <v>20</v>
      </c>
      <c r="E971" t="s">
        <v>811</v>
      </c>
      <c r="F971" t="s">
        <v>3679</v>
      </c>
      <c r="G971" t="s">
        <v>3680</v>
      </c>
      <c r="H971" t="s">
        <v>3681</v>
      </c>
    </row>
    <row r="972" spans="1:8" x14ac:dyDescent="0.25">
      <c r="A972">
        <v>1380593</v>
      </c>
      <c r="B972" t="s">
        <v>3682</v>
      </c>
      <c r="C972" t="s">
        <v>33</v>
      </c>
      <c r="D972" t="s">
        <v>52</v>
      </c>
      <c r="E972" t="s">
        <v>58</v>
      </c>
      <c r="F972" t="s">
        <v>3683</v>
      </c>
      <c r="G972" t="s">
        <v>3684</v>
      </c>
      <c r="H972" t="s">
        <v>3685</v>
      </c>
    </row>
    <row r="973" spans="1:8" x14ac:dyDescent="0.25">
      <c r="A973">
        <v>1476887</v>
      </c>
      <c r="B973" t="s">
        <v>3682</v>
      </c>
      <c r="C973" t="s">
        <v>33</v>
      </c>
      <c r="D973" t="s">
        <v>32</v>
      </c>
      <c r="E973" t="s">
        <v>442</v>
      </c>
      <c r="F973" t="s">
        <v>3686</v>
      </c>
      <c r="G973" t="s">
        <v>3687</v>
      </c>
      <c r="H973" t="s">
        <v>3688</v>
      </c>
    </row>
    <row r="974" spans="1:8" x14ac:dyDescent="0.25">
      <c r="A974">
        <v>1431776</v>
      </c>
      <c r="B974" t="s">
        <v>3689</v>
      </c>
      <c r="C974" t="s">
        <v>33</v>
      </c>
      <c r="D974" t="s">
        <v>41</v>
      </c>
      <c r="E974" t="s">
        <v>361</v>
      </c>
      <c r="F974" t="s">
        <v>3690</v>
      </c>
      <c r="G974" t="s">
        <v>3691</v>
      </c>
      <c r="H974" t="s">
        <v>3692</v>
      </c>
    </row>
    <row r="975" spans="1:8" x14ac:dyDescent="0.25">
      <c r="A975">
        <v>1439659</v>
      </c>
      <c r="B975" t="s">
        <v>3689</v>
      </c>
      <c r="C975" t="s">
        <v>33</v>
      </c>
      <c r="D975" t="s">
        <v>42</v>
      </c>
      <c r="E975" t="s">
        <v>1684</v>
      </c>
      <c r="F975" t="s">
        <v>3693</v>
      </c>
      <c r="G975" t="s">
        <v>3694</v>
      </c>
      <c r="H975" t="s">
        <v>3695</v>
      </c>
    </row>
    <row r="976" spans="1:8" x14ac:dyDescent="0.25">
      <c r="A976">
        <v>1440045</v>
      </c>
      <c r="B976" t="s">
        <v>3689</v>
      </c>
      <c r="C976" t="s">
        <v>33</v>
      </c>
      <c r="D976" t="s">
        <v>42</v>
      </c>
      <c r="E976" t="s">
        <v>2319</v>
      </c>
      <c r="F976" t="s">
        <v>3696</v>
      </c>
      <c r="G976" t="s">
        <v>3697</v>
      </c>
      <c r="H976" t="s">
        <v>3698</v>
      </c>
    </row>
    <row r="977" spans="1:8" x14ac:dyDescent="0.25">
      <c r="A977">
        <v>1506136</v>
      </c>
      <c r="B977" t="s">
        <v>3689</v>
      </c>
      <c r="C977" t="s">
        <v>33</v>
      </c>
      <c r="D977" t="s">
        <v>445</v>
      </c>
      <c r="E977" t="s">
        <v>28</v>
      </c>
      <c r="F977" t="s">
        <v>3699</v>
      </c>
      <c r="G977" t="s">
        <v>3700</v>
      </c>
      <c r="H977" t="s">
        <v>3701</v>
      </c>
    </row>
    <row r="978" spans="1:8" x14ac:dyDescent="0.25">
      <c r="A978">
        <v>1521025</v>
      </c>
      <c r="B978" t="s">
        <v>3689</v>
      </c>
      <c r="C978" t="s">
        <v>33</v>
      </c>
      <c r="D978" t="s">
        <v>93</v>
      </c>
      <c r="E978" t="s">
        <v>94</v>
      </c>
      <c r="F978" t="s">
        <v>627</v>
      </c>
      <c r="G978" t="s">
        <v>3702</v>
      </c>
      <c r="H978" t="s">
        <v>3703</v>
      </c>
    </row>
    <row r="979" spans="1:8" x14ac:dyDescent="0.25">
      <c r="A979">
        <v>1524286</v>
      </c>
      <c r="B979" t="s">
        <v>3689</v>
      </c>
      <c r="C979" t="s">
        <v>33</v>
      </c>
      <c r="D979" t="s">
        <v>49</v>
      </c>
      <c r="E979" t="s">
        <v>364</v>
      </c>
      <c r="F979" t="s">
        <v>3704</v>
      </c>
      <c r="G979" t="s">
        <v>3705</v>
      </c>
      <c r="H979" t="s">
        <v>3706</v>
      </c>
    </row>
    <row r="980" spans="1:8" x14ac:dyDescent="0.25">
      <c r="A980">
        <v>1528835</v>
      </c>
      <c r="B980" t="s">
        <v>3689</v>
      </c>
      <c r="C980" t="s">
        <v>33</v>
      </c>
      <c r="D980" t="s">
        <v>20</v>
      </c>
      <c r="E980" t="s">
        <v>3674</v>
      </c>
      <c r="F980" t="s">
        <v>3707</v>
      </c>
      <c r="G980" t="s">
        <v>3708</v>
      </c>
      <c r="H980" t="s">
        <v>3709</v>
      </c>
    </row>
    <row r="981" spans="1:8" x14ac:dyDescent="0.25">
      <c r="A981">
        <v>1529056</v>
      </c>
      <c r="B981" t="s">
        <v>3689</v>
      </c>
      <c r="C981" t="s">
        <v>33</v>
      </c>
      <c r="D981" t="s">
        <v>445</v>
      </c>
      <c r="E981" t="s">
        <v>76</v>
      </c>
      <c r="F981" t="s">
        <v>3710</v>
      </c>
      <c r="G981" t="s">
        <v>3711</v>
      </c>
      <c r="H981" t="s">
        <v>3712</v>
      </c>
    </row>
    <row r="982" spans="1:8" x14ac:dyDescent="0.25">
      <c r="A982">
        <v>1529057</v>
      </c>
      <c r="B982" t="s">
        <v>3689</v>
      </c>
      <c r="C982" t="s">
        <v>33</v>
      </c>
      <c r="D982" t="s">
        <v>445</v>
      </c>
      <c r="E982" t="s">
        <v>76</v>
      </c>
      <c r="F982" t="s">
        <v>3713</v>
      </c>
      <c r="G982" t="s">
        <v>3714</v>
      </c>
      <c r="H982" t="s">
        <v>3715</v>
      </c>
    </row>
    <row r="983" spans="1:8" x14ac:dyDescent="0.25">
      <c r="A983">
        <v>1378142</v>
      </c>
      <c r="B983" t="s">
        <v>3716</v>
      </c>
      <c r="C983" t="s">
        <v>33</v>
      </c>
      <c r="D983" t="s">
        <v>42</v>
      </c>
      <c r="E983" t="s">
        <v>61</v>
      </c>
      <c r="F983" t="s">
        <v>3717</v>
      </c>
      <c r="G983" t="s">
        <v>275</v>
      </c>
      <c r="H983" t="s">
        <v>3718</v>
      </c>
    </row>
    <row r="984" spans="1:8" x14ac:dyDescent="0.25">
      <c r="A984">
        <v>1387918</v>
      </c>
      <c r="B984" t="s">
        <v>3716</v>
      </c>
      <c r="C984" t="s">
        <v>33</v>
      </c>
      <c r="D984" t="s">
        <v>90</v>
      </c>
      <c r="E984" t="s">
        <v>48</v>
      </c>
      <c r="F984" t="s">
        <v>3719</v>
      </c>
      <c r="G984" t="s">
        <v>3720</v>
      </c>
      <c r="H984" t="s">
        <v>3721</v>
      </c>
    </row>
    <row r="985" spans="1:8" x14ac:dyDescent="0.25">
      <c r="A985">
        <v>1391087</v>
      </c>
      <c r="B985" t="s">
        <v>3722</v>
      </c>
      <c r="C985" t="s">
        <v>33</v>
      </c>
      <c r="D985" t="s">
        <v>41</v>
      </c>
      <c r="E985" t="s">
        <v>75</v>
      </c>
      <c r="F985" t="s">
        <v>3723</v>
      </c>
      <c r="G985" t="s">
        <v>3724</v>
      </c>
      <c r="H985" t="s">
        <v>3725</v>
      </c>
    </row>
    <row r="986" spans="1:8" x14ac:dyDescent="0.25">
      <c r="A986">
        <v>1392074</v>
      </c>
      <c r="B986" t="s">
        <v>3722</v>
      </c>
      <c r="C986" t="s">
        <v>33</v>
      </c>
      <c r="D986" t="s">
        <v>41</v>
      </c>
      <c r="E986" t="s">
        <v>76</v>
      </c>
      <c r="F986" t="s">
        <v>3726</v>
      </c>
      <c r="G986" t="s">
        <v>3727</v>
      </c>
      <c r="H986" t="s">
        <v>3728</v>
      </c>
    </row>
    <row r="987" spans="1:8" x14ac:dyDescent="0.25">
      <c r="A987">
        <v>1498345</v>
      </c>
      <c r="B987" t="s">
        <v>3722</v>
      </c>
      <c r="C987" t="s">
        <v>35</v>
      </c>
      <c r="D987" t="s">
        <v>29</v>
      </c>
      <c r="E987" t="s">
        <v>244</v>
      </c>
      <c r="F987" t="s">
        <v>3729</v>
      </c>
      <c r="G987" t="s">
        <v>3730</v>
      </c>
      <c r="H987" t="s">
        <v>3731</v>
      </c>
    </row>
    <row r="988" spans="1:8" x14ac:dyDescent="0.25">
      <c r="A988">
        <v>1498347</v>
      </c>
      <c r="B988" t="s">
        <v>3722</v>
      </c>
      <c r="C988" t="s">
        <v>35</v>
      </c>
      <c r="D988" t="s">
        <v>29</v>
      </c>
      <c r="E988" t="s">
        <v>244</v>
      </c>
      <c r="F988" t="s">
        <v>3732</v>
      </c>
      <c r="G988" t="s">
        <v>3733</v>
      </c>
      <c r="H988" t="s">
        <v>3734</v>
      </c>
    </row>
    <row r="989" spans="1:8" x14ac:dyDescent="0.25">
      <c r="A989">
        <v>1498349</v>
      </c>
      <c r="B989" t="s">
        <v>3722</v>
      </c>
      <c r="C989" t="s">
        <v>35</v>
      </c>
      <c r="D989" t="s">
        <v>29</v>
      </c>
      <c r="E989" t="s">
        <v>244</v>
      </c>
      <c r="F989" t="s">
        <v>3735</v>
      </c>
      <c r="G989" t="s">
        <v>3736</v>
      </c>
      <c r="H989" t="s">
        <v>3737</v>
      </c>
    </row>
    <row r="990" spans="1:8" x14ac:dyDescent="0.25">
      <c r="A990">
        <v>1498350</v>
      </c>
      <c r="B990" t="s">
        <v>3722</v>
      </c>
      <c r="C990" t="s">
        <v>35</v>
      </c>
      <c r="D990" t="s">
        <v>29</v>
      </c>
      <c r="E990" t="s">
        <v>244</v>
      </c>
      <c r="F990" t="s">
        <v>3738</v>
      </c>
      <c r="G990" t="s">
        <v>3739</v>
      </c>
      <c r="H990" t="s">
        <v>3740</v>
      </c>
    </row>
    <row r="991" spans="1:8" x14ac:dyDescent="0.25">
      <c r="A991">
        <v>1498353</v>
      </c>
      <c r="B991" t="s">
        <v>3722</v>
      </c>
      <c r="C991" t="s">
        <v>35</v>
      </c>
      <c r="D991" t="s">
        <v>29</v>
      </c>
      <c r="E991" t="s">
        <v>244</v>
      </c>
      <c r="F991" t="s">
        <v>3741</v>
      </c>
      <c r="G991" t="s">
        <v>3742</v>
      </c>
      <c r="H991" t="s">
        <v>3743</v>
      </c>
    </row>
    <row r="992" spans="1:8" x14ac:dyDescent="0.25">
      <c r="A992">
        <v>1498359</v>
      </c>
      <c r="B992" t="s">
        <v>3722</v>
      </c>
      <c r="C992" t="s">
        <v>35</v>
      </c>
      <c r="D992" t="s">
        <v>29</v>
      </c>
      <c r="E992" t="s">
        <v>244</v>
      </c>
      <c r="F992" t="s">
        <v>3744</v>
      </c>
      <c r="G992" t="s">
        <v>3745</v>
      </c>
      <c r="H992" t="s">
        <v>3746</v>
      </c>
    </row>
    <row r="993" spans="1:8" x14ac:dyDescent="0.25">
      <c r="A993">
        <v>1512979</v>
      </c>
      <c r="B993" t="s">
        <v>3722</v>
      </c>
      <c r="C993" t="s">
        <v>33</v>
      </c>
      <c r="D993" t="s">
        <v>389</v>
      </c>
      <c r="E993" t="s">
        <v>390</v>
      </c>
      <c r="F993" t="s">
        <v>3747</v>
      </c>
      <c r="G993" t="s">
        <v>477</v>
      </c>
      <c r="H993" t="s">
        <v>3748</v>
      </c>
    </row>
    <row r="994" spans="1:8" x14ac:dyDescent="0.25">
      <c r="A994">
        <v>1514406</v>
      </c>
      <c r="B994" t="s">
        <v>3722</v>
      </c>
      <c r="C994" t="s">
        <v>33</v>
      </c>
      <c r="D994" t="s">
        <v>284</v>
      </c>
      <c r="E994" t="s">
        <v>50</v>
      </c>
      <c r="F994" t="s">
        <v>3749</v>
      </c>
      <c r="G994" t="s">
        <v>640</v>
      </c>
      <c r="H994" t="s">
        <v>3750</v>
      </c>
    </row>
    <row r="995" spans="1:8" x14ac:dyDescent="0.25">
      <c r="A995">
        <v>1515023</v>
      </c>
      <c r="B995" t="s">
        <v>3722</v>
      </c>
      <c r="C995" t="s">
        <v>33</v>
      </c>
      <c r="D995" t="s">
        <v>54</v>
      </c>
      <c r="E995" t="s">
        <v>771</v>
      </c>
      <c r="F995" t="s">
        <v>3751</v>
      </c>
      <c r="G995" t="s">
        <v>3752</v>
      </c>
      <c r="H995" t="s">
        <v>3753</v>
      </c>
    </row>
    <row r="996" spans="1:8" x14ac:dyDescent="0.25">
      <c r="A996">
        <v>1526333</v>
      </c>
      <c r="B996" t="s">
        <v>3722</v>
      </c>
      <c r="C996" t="s">
        <v>33</v>
      </c>
      <c r="D996" t="s">
        <v>20</v>
      </c>
      <c r="E996" t="s">
        <v>3754</v>
      </c>
      <c r="F996" t="s">
        <v>820</v>
      </c>
      <c r="G996" t="s">
        <v>3755</v>
      </c>
      <c r="H996" t="s">
        <v>3756</v>
      </c>
    </row>
    <row r="997" spans="1:8" x14ac:dyDescent="0.25">
      <c r="A997">
        <v>1526466</v>
      </c>
      <c r="B997" t="s">
        <v>3722</v>
      </c>
      <c r="C997" t="s">
        <v>33</v>
      </c>
      <c r="D997" t="s">
        <v>73</v>
      </c>
      <c r="E997" t="s">
        <v>74</v>
      </c>
      <c r="F997" t="s">
        <v>547</v>
      </c>
      <c r="G997" t="s">
        <v>3757</v>
      </c>
      <c r="H997" t="s">
        <v>3758</v>
      </c>
    </row>
    <row r="998" spans="1:8" x14ac:dyDescent="0.25">
      <c r="A998">
        <v>1528158</v>
      </c>
      <c r="B998" t="s">
        <v>3722</v>
      </c>
      <c r="C998" t="s">
        <v>33</v>
      </c>
      <c r="D998" t="s">
        <v>445</v>
      </c>
      <c r="E998" t="s">
        <v>76</v>
      </c>
      <c r="F998" t="s">
        <v>3759</v>
      </c>
      <c r="G998" t="s">
        <v>3760</v>
      </c>
      <c r="H998" t="s">
        <v>3761</v>
      </c>
    </row>
    <row r="999" spans="1:8" x14ac:dyDescent="0.25">
      <c r="A999">
        <v>1528827</v>
      </c>
      <c r="B999" t="s">
        <v>3722</v>
      </c>
      <c r="C999" t="s">
        <v>33</v>
      </c>
      <c r="D999" t="s">
        <v>317</v>
      </c>
      <c r="E999" t="s">
        <v>3762</v>
      </c>
      <c r="F999" t="s">
        <v>814</v>
      </c>
      <c r="G999" t="s">
        <v>3763</v>
      </c>
      <c r="H999" t="s">
        <v>3764</v>
      </c>
    </row>
    <row r="1000" spans="1:8" x14ac:dyDescent="0.25">
      <c r="A1000">
        <v>1528847</v>
      </c>
      <c r="B1000" t="s">
        <v>3722</v>
      </c>
      <c r="C1000" t="s">
        <v>33</v>
      </c>
      <c r="D1000" t="s">
        <v>20</v>
      </c>
      <c r="E1000" t="s">
        <v>809</v>
      </c>
      <c r="F1000" t="s">
        <v>3765</v>
      </c>
      <c r="G1000" t="s">
        <v>3766</v>
      </c>
      <c r="H1000" t="s">
        <v>3767</v>
      </c>
    </row>
    <row r="1001" spans="1:8" x14ac:dyDescent="0.25">
      <c r="A1001">
        <v>1529292</v>
      </c>
      <c r="B1001" t="s">
        <v>3722</v>
      </c>
      <c r="C1001" t="s">
        <v>33</v>
      </c>
      <c r="D1001" t="s">
        <v>815</v>
      </c>
      <c r="E1001" t="s">
        <v>816</v>
      </c>
      <c r="F1001" t="s">
        <v>3768</v>
      </c>
      <c r="G1001" t="s">
        <v>3769</v>
      </c>
      <c r="H1001" t="s">
        <v>3770</v>
      </c>
    </row>
    <row r="1002" spans="1:8" x14ac:dyDescent="0.25">
      <c r="A1002">
        <v>1530491</v>
      </c>
      <c r="B1002" t="s">
        <v>3722</v>
      </c>
      <c r="C1002" t="s">
        <v>33</v>
      </c>
      <c r="D1002" t="s">
        <v>391</v>
      </c>
      <c r="E1002" t="s">
        <v>392</v>
      </c>
      <c r="F1002" t="s">
        <v>467</v>
      </c>
      <c r="G1002" t="s">
        <v>3771</v>
      </c>
      <c r="H1002" t="s">
        <v>3772</v>
      </c>
    </row>
    <row r="1003" spans="1:8" x14ac:dyDescent="0.25">
      <c r="A1003">
        <v>1530603</v>
      </c>
      <c r="B1003" t="s">
        <v>3773</v>
      </c>
      <c r="C1003" t="s">
        <v>33</v>
      </c>
      <c r="D1003" t="s">
        <v>283</v>
      </c>
      <c r="E1003" t="s">
        <v>26</v>
      </c>
      <c r="F1003" t="s">
        <v>3774</v>
      </c>
      <c r="G1003" t="s">
        <v>3775</v>
      </c>
      <c r="H1003" t="s">
        <v>3776</v>
      </c>
    </row>
    <row r="1004" spans="1:8" x14ac:dyDescent="0.25">
      <c r="A1004">
        <v>1396460</v>
      </c>
      <c r="B1004" t="s">
        <v>3777</v>
      </c>
      <c r="C1004" t="s">
        <v>33</v>
      </c>
      <c r="D1004" t="s">
        <v>54</v>
      </c>
      <c r="E1004" t="s">
        <v>101</v>
      </c>
      <c r="F1004" t="s">
        <v>449</v>
      </c>
      <c r="G1004" t="s">
        <v>670</v>
      </c>
      <c r="H1004" t="s">
        <v>3778</v>
      </c>
    </row>
    <row r="1005" spans="1:8" x14ac:dyDescent="0.25">
      <c r="A1005">
        <v>1490148</v>
      </c>
      <c r="B1005" t="s">
        <v>3777</v>
      </c>
      <c r="C1005" t="s">
        <v>33</v>
      </c>
      <c r="D1005" t="s">
        <v>389</v>
      </c>
      <c r="E1005" t="s">
        <v>443</v>
      </c>
      <c r="F1005" t="s">
        <v>3779</v>
      </c>
      <c r="G1005" t="s">
        <v>3780</v>
      </c>
      <c r="H1005" t="s">
        <v>3781</v>
      </c>
    </row>
    <row r="1006" spans="1:8" x14ac:dyDescent="0.25">
      <c r="A1006">
        <v>1501585</v>
      </c>
      <c r="B1006" t="s">
        <v>3777</v>
      </c>
      <c r="C1006" t="s">
        <v>33</v>
      </c>
      <c r="D1006" t="s">
        <v>290</v>
      </c>
      <c r="E1006" t="s">
        <v>50</v>
      </c>
      <c r="F1006" t="s">
        <v>469</v>
      </c>
      <c r="G1006" t="s">
        <v>3782</v>
      </c>
      <c r="H1006" t="s">
        <v>3783</v>
      </c>
    </row>
    <row r="1007" spans="1:8" x14ac:dyDescent="0.25">
      <c r="A1007">
        <v>1501586</v>
      </c>
      <c r="B1007" t="s">
        <v>3777</v>
      </c>
      <c r="C1007" t="s">
        <v>33</v>
      </c>
      <c r="D1007" t="s">
        <v>290</v>
      </c>
      <c r="E1007" t="s">
        <v>50</v>
      </c>
      <c r="F1007" t="s">
        <v>3784</v>
      </c>
      <c r="G1007" t="s">
        <v>3785</v>
      </c>
      <c r="H1007" t="s">
        <v>3786</v>
      </c>
    </row>
    <row r="1008" spans="1:8" x14ac:dyDescent="0.25">
      <c r="A1008">
        <v>1501588</v>
      </c>
      <c r="B1008" t="s">
        <v>3777</v>
      </c>
      <c r="C1008" t="s">
        <v>33</v>
      </c>
      <c r="D1008" t="s">
        <v>290</v>
      </c>
      <c r="E1008" t="s">
        <v>50</v>
      </c>
      <c r="F1008" t="s">
        <v>555</v>
      </c>
      <c r="G1008" t="s">
        <v>291</v>
      </c>
      <c r="H1008" t="s">
        <v>3787</v>
      </c>
    </row>
    <row r="1009" spans="1:8" x14ac:dyDescent="0.25">
      <c r="A1009">
        <v>1512531</v>
      </c>
      <c r="B1009" t="s">
        <v>3777</v>
      </c>
      <c r="C1009" t="s">
        <v>33</v>
      </c>
      <c r="D1009" t="s">
        <v>397</v>
      </c>
      <c r="E1009" t="s">
        <v>28</v>
      </c>
      <c r="F1009" t="s">
        <v>3788</v>
      </c>
      <c r="G1009" t="s">
        <v>3789</v>
      </c>
      <c r="H1009" t="s">
        <v>3790</v>
      </c>
    </row>
    <row r="1010" spans="1:8" x14ac:dyDescent="0.25">
      <c r="A1010">
        <v>1528831</v>
      </c>
      <c r="B1010" t="s">
        <v>3777</v>
      </c>
      <c r="C1010" t="s">
        <v>33</v>
      </c>
      <c r="D1010" t="s">
        <v>817</v>
      </c>
      <c r="E1010" t="s">
        <v>89</v>
      </c>
      <c r="F1010" t="s">
        <v>3791</v>
      </c>
      <c r="G1010" t="s">
        <v>3792</v>
      </c>
      <c r="H1010" t="s">
        <v>3793</v>
      </c>
    </row>
    <row r="1011" spans="1:8" x14ac:dyDescent="0.25">
      <c r="A1011">
        <v>1476888</v>
      </c>
      <c r="B1011" t="s">
        <v>3794</v>
      </c>
      <c r="C1011" t="s">
        <v>35</v>
      </c>
      <c r="D1011" t="s">
        <v>32</v>
      </c>
      <c r="E1011" t="s">
        <v>442</v>
      </c>
      <c r="F1011" t="s">
        <v>3795</v>
      </c>
      <c r="G1011" t="s">
        <v>557</v>
      </c>
      <c r="H1011" t="s">
        <v>3796</v>
      </c>
    </row>
    <row r="1012" spans="1:8" x14ac:dyDescent="0.25">
      <c r="A1012">
        <v>1476889</v>
      </c>
      <c r="B1012" t="s">
        <v>3794</v>
      </c>
      <c r="C1012" t="s">
        <v>35</v>
      </c>
      <c r="D1012" t="s">
        <v>32</v>
      </c>
      <c r="E1012" t="s">
        <v>442</v>
      </c>
      <c r="F1012" t="s">
        <v>3797</v>
      </c>
      <c r="G1012" t="s">
        <v>3798</v>
      </c>
      <c r="H1012" t="s">
        <v>3799</v>
      </c>
    </row>
    <row r="1013" spans="1:8" x14ac:dyDescent="0.25">
      <c r="A1013">
        <v>1498346</v>
      </c>
      <c r="B1013" t="s">
        <v>3794</v>
      </c>
      <c r="C1013" t="s">
        <v>35</v>
      </c>
      <c r="D1013" t="s">
        <v>29</v>
      </c>
      <c r="E1013" t="s">
        <v>244</v>
      </c>
      <c r="F1013" t="s">
        <v>3800</v>
      </c>
      <c r="G1013" t="s">
        <v>3801</v>
      </c>
      <c r="H1013" t="s">
        <v>3802</v>
      </c>
    </row>
    <row r="1014" spans="1:8" x14ac:dyDescent="0.25">
      <c r="A1014">
        <v>1498357</v>
      </c>
      <c r="B1014" t="s">
        <v>3794</v>
      </c>
      <c r="C1014" t="s">
        <v>35</v>
      </c>
      <c r="D1014" t="s">
        <v>29</v>
      </c>
      <c r="E1014" t="s">
        <v>244</v>
      </c>
      <c r="F1014" t="s">
        <v>551</v>
      </c>
      <c r="G1014" t="s">
        <v>3803</v>
      </c>
      <c r="H1014" t="s">
        <v>3804</v>
      </c>
    </row>
    <row r="1015" spans="1:8" x14ac:dyDescent="0.25">
      <c r="A1015">
        <v>1499191</v>
      </c>
      <c r="B1015" t="s">
        <v>3794</v>
      </c>
      <c r="C1015" t="s">
        <v>33</v>
      </c>
      <c r="D1015" t="s">
        <v>276</v>
      </c>
      <c r="E1015" t="s">
        <v>27</v>
      </c>
      <c r="F1015" t="s">
        <v>325</v>
      </c>
      <c r="G1015" t="s">
        <v>3805</v>
      </c>
      <c r="H1015" t="s">
        <v>3806</v>
      </c>
    </row>
    <row r="1016" spans="1:8" x14ac:dyDescent="0.25">
      <c r="A1016">
        <v>1501587</v>
      </c>
      <c r="B1016" t="s">
        <v>3794</v>
      </c>
      <c r="C1016" t="s">
        <v>33</v>
      </c>
      <c r="D1016" t="s">
        <v>290</v>
      </c>
      <c r="E1016" t="s">
        <v>50</v>
      </c>
      <c r="F1016" t="s">
        <v>3807</v>
      </c>
      <c r="G1016" t="s">
        <v>3808</v>
      </c>
      <c r="H1016" t="s">
        <v>3809</v>
      </c>
    </row>
    <row r="1017" spans="1:8" x14ac:dyDescent="0.25">
      <c r="A1017">
        <v>1504890</v>
      </c>
      <c r="B1017" t="s">
        <v>3794</v>
      </c>
      <c r="C1017" t="s">
        <v>33</v>
      </c>
      <c r="D1017" t="s">
        <v>841</v>
      </c>
      <c r="E1017" t="s">
        <v>25</v>
      </c>
      <c r="F1017" t="s">
        <v>3810</v>
      </c>
      <c r="G1017" t="s">
        <v>3811</v>
      </c>
      <c r="H1017" t="s">
        <v>3812</v>
      </c>
    </row>
    <row r="1018" spans="1:8" x14ac:dyDescent="0.25">
      <c r="A1018">
        <v>1510089</v>
      </c>
      <c r="B1018" t="s">
        <v>3794</v>
      </c>
      <c r="C1018" t="s">
        <v>33</v>
      </c>
      <c r="D1018" t="s">
        <v>398</v>
      </c>
      <c r="E1018" t="s">
        <v>399</v>
      </c>
      <c r="F1018" t="s">
        <v>3813</v>
      </c>
      <c r="G1018" t="s">
        <v>3814</v>
      </c>
      <c r="H1018" t="s">
        <v>3815</v>
      </c>
    </row>
    <row r="1019" spans="1:8" x14ac:dyDescent="0.25">
      <c r="A1019">
        <v>1511508</v>
      </c>
      <c r="B1019" t="s">
        <v>3794</v>
      </c>
      <c r="C1019" t="s">
        <v>33</v>
      </c>
      <c r="D1019" t="s">
        <v>380</v>
      </c>
      <c r="E1019" t="s">
        <v>104</v>
      </c>
      <c r="F1019" t="s">
        <v>3816</v>
      </c>
      <c r="G1019" t="s">
        <v>3817</v>
      </c>
      <c r="H1019" t="s">
        <v>3818</v>
      </c>
    </row>
    <row r="1020" spans="1:8" x14ac:dyDescent="0.25">
      <c r="A1020">
        <v>1512980</v>
      </c>
      <c r="B1020" t="s">
        <v>3794</v>
      </c>
      <c r="C1020" t="s">
        <v>33</v>
      </c>
      <c r="D1020" t="s">
        <v>389</v>
      </c>
      <c r="E1020" t="s">
        <v>390</v>
      </c>
      <c r="F1020" t="s">
        <v>478</v>
      </c>
      <c r="G1020" t="s">
        <v>3819</v>
      </c>
      <c r="H1020" t="s">
        <v>3820</v>
      </c>
    </row>
    <row r="1021" spans="1:8" x14ac:dyDescent="0.25">
      <c r="A1021">
        <v>1512982</v>
      </c>
      <c r="B1021" t="s">
        <v>3794</v>
      </c>
      <c r="C1021" t="s">
        <v>33</v>
      </c>
      <c r="D1021" t="s">
        <v>389</v>
      </c>
      <c r="E1021" t="s">
        <v>390</v>
      </c>
      <c r="F1021" t="s">
        <v>3821</v>
      </c>
      <c r="G1021" t="s">
        <v>481</v>
      </c>
      <c r="H1021" t="s">
        <v>3822</v>
      </c>
    </row>
    <row r="1022" spans="1:8" x14ac:dyDescent="0.25">
      <c r="A1022">
        <v>1513425</v>
      </c>
      <c r="B1022" t="s">
        <v>3794</v>
      </c>
      <c r="C1022" t="s">
        <v>33</v>
      </c>
      <c r="D1022" t="s">
        <v>636</v>
      </c>
      <c r="E1022" t="s">
        <v>48</v>
      </c>
      <c r="F1022" t="s">
        <v>3823</v>
      </c>
      <c r="G1022" t="s">
        <v>637</v>
      </c>
      <c r="H1022" t="s">
        <v>3824</v>
      </c>
    </row>
    <row r="1023" spans="1:8" x14ac:dyDescent="0.25">
      <c r="A1023">
        <v>1519279</v>
      </c>
      <c r="B1023" t="s">
        <v>3794</v>
      </c>
      <c r="C1023" t="s">
        <v>33</v>
      </c>
      <c r="D1023" t="s">
        <v>393</v>
      </c>
      <c r="E1023" t="s">
        <v>394</v>
      </c>
      <c r="F1023" t="s">
        <v>3825</v>
      </c>
      <c r="G1023" t="s">
        <v>3826</v>
      </c>
      <c r="H1023" t="s">
        <v>3827</v>
      </c>
    </row>
    <row r="1024" spans="1:8" x14ac:dyDescent="0.25">
      <c r="A1024">
        <v>1522574</v>
      </c>
      <c r="B1024" t="s">
        <v>3794</v>
      </c>
      <c r="C1024" t="s">
        <v>33</v>
      </c>
      <c r="D1024" t="s">
        <v>452</v>
      </c>
      <c r="E1024" t="s">
        <v>27</v>
      </c>
      <c r="F1024" t="s">
        <v>3828</v>
      </c>
      <c r="G1024" t="s">
        <v>543</v>
      </c>
      <c r="H1024" t="s">
        <v>3829</v>
      </c>
    </row>
    <row r="1025" spans="1:8" x14ac:dyDescent="0.25">
      <c r="A1025">
        <v>1525804</v>
      </c>
      <c r="B1025" t="s">
        <v>3794</v>
      </c>
      <c r="C1025" t="s">
        <v>33</v>
      </c>
      <c r="D1025" t="s">
        <v>24</v>
      </c>
      <c r="E1025" t="s">
        <v>25</v>
      </c>
      <c r="F1025" t="s">
        <v>105</v>
      </c>
      <c r="G1025" t="s">
        <v>3830</v>
      </c>
      <c r="H1025" t="s">
        <v>3831</v>
      </c>
    </row>
    <row r="1026" spans="1:8" x14ac:dyDescent="0.25">
      <c r="A1026">
        <v>1526265</v>
      </c>
      <c r="B1026" t="s">
        <v>3794</v>
      </c>
      <c r="C1026" t="s">
        <v>33</v>
      </c>
      <c r="D1026" t="s">
        <v>20</v>
      </c>
      <c r="E1026" t="s">
        <v>3832</v>
      </c>
      <c r="F1026" t="s">
        <v>3833</v>
      </c>
      <c r="G1026" t="s">
        <v>3834</v>
      </c>
      <c r="H1026" t="s">
        <v>3835</v>
      </c>
    </row>
    <row r="1027" spans="1:8" x14ac:dyDescent="0.25">
      <c r="A1027">
        <v>1526327</v>
      </c>
      <c r="B1027" t="s">
        <v>3794</v>
      </c>
      <c r="C1027" t="s">
        <v>33</v>
      </c>
      <c r="D1027" t="s">
        <v>20</v>
      </c>
      <c r="E1027" t="s">
        <v>450</v>
      </c>
      <c r="F1027" t="s">
        <v>3836</v>
      </c>
      <c r="G1027" t="s">
        <v>3837</v>
      </c>
      <c r="H1027" t="s">
        <v>3838</v>
      </c>
    </row>
    <row r="1028" spans="1:8" x14ac:dyDescent="0.25">
      <c r="A1028">
        <v>1526331</v>
      </c>
      <c r="B1028" t="s">
        <v>3794</v>
      </c>
      <c r="C1028" t="s">
        <v>33</v>
      </c>
      <c r="D1028" t="s">
        <v>20</v>
      </c>
      <c r="E1028" t="s">
        <v>813</v>
      </c>
      <c r="F1028" t="s">
        <v>3839</v>
      </c>
      <c r="G1028" t="s">
        <v>645</v>
      </c>
      <c r="H1028" t="s">
        <v>3840</v>
      </c>
    </row>
    <row r="1029" spans="1:8" x14ac:dyDescent="0.25">
      <c r="A1029">
        <v>1526430</v>
      </c>
      <c r="B1029" t="s">
        <v>3794</v>
      </c>
      <c r="C1029" t="s">
        <v>33</v>
      </c>
      <c r="D1029" t="s">
        <v>20</v>
      </c>
      <c r="E1029" t="s">
        <v>386</v>
      </c>
      <c r="F1029" t="s">
        <v>3841</v>
      </c>
      <c r="G1029" t="s">
        <v>3842</v>
      </c>
      <c r="H1029" t="s">
        <v>3843</v>
      </c>
    </row>
    <row r="1030" spans="1:8" x14ac:dyDescent="0.25">
      <c r="A1030">
        <v>1526434</v>
      </c>
      <c r="B1030" t="s">
        <v>3794</v>
      </c>
      <c r="C1030" t="s">
        <v>33</v>
      </c>
      <c r="D1030" t="s">
        <v>20</v>
      </c>
      <c r="E1030" t="s">
        <v>274</v>
      </c>
      <c r="F1030" t="s">
        <v>3844</v>
      </c>
      <c r="G1030" t="s">
        <v>3845</v>
      </c>
      <c r="H1030" t="s">
        <v>3846</v>
      </c>
    </row>
    <row r="1031" spans="1:8" x14ac:dyDescent="0.25">
      <c r="A1031">
        <v>1526436</v>
      </c>
      <c r="B1031" t="s">
        <v>3794</v>
      </c>
      <c r="C1031" t="s">
        <v>33</v>
      </c>
      <c r="D1031" t="s">
        <v>20</v>
      </c>
      <c r="E1031" t="s">
        <v>3847</v>
      </c>
      <c r="F1031" t="s">
        <v>3848</v>
      </c>
      <c r="G1031" t="s">
        <v>3849</v>
      </c>
      <c r="H1031" t="s">
        <v>3850</v>
      </c>
    </row>
    <row r="1032" spans="1:8" x14ac:dyDescent="0.25">
      <c r="A1032">
        <v>1528848</v>
      </c>
      <c r="B1032" t="s">
        <v>3794</v>
      </c>
      <c r="C1032" t="s">
        <v>33</v>
      </c>
      <c r="D1032" t="s">
        <v>20</v>
      </c>
      <c r="E1032" t="s">
        <v>821</v>
      </c>
      <c r="F1032" t="s">
        <v>3851</v>
      </c>
      <c r="G1032" t="s">
        <v>3852</v>
      </c>
      <c r="H1032" t="s">
        <v>3853</v>
      </c>
    </row>
    <row r="1033" spans="1:8" x14ac:dyDescent="0.25">
      <c r="A1033">
        <v>1528849</v>
      </c>
      <c r="B1033" t="s">
        <v>3794</v>
      </c>
      <c r="C1033" t="s">
        <v>33</v>
      </c>
      <c r="D1033" t="s">
        <v>20</v>
      </c>
      <c r="E1033" t="s">
        <v>21</v>
      </c>
      <c r="F1033" t="s">
        <v>3854</v>
      </c>
      <c r="G1033" t="s">
        <v>553</v>
      </c>
      <c r="H1033" t="s">
        <v>3855</v>
      </c>
    </row>
    <row r="1034" spans="1:8" x14ac:dyDescent="0.25">
      <c r="A1034">
        <v>1505009</v>
      </c>
      <c r="B1034" t="s">
        <v>3856</v>
      </c>
      <c r="C1034" t="s">
        <v>33</v>
      </c>
      <c r="D1034" t="s">
        <v>381</v>
      </c>
      <c r="E1034" t="s">
        <v>382</v>
      </c>
      <c r="F1034" t="s">
        <v>3857</v>
      </c>
      <c r="G1034" t="s">
        <v>548</v>
      </c>
      <c r="H1034" t="s">
        <v>3858</v>
      </c>
    </row>
    <row r="1035" spans="1:8" x14ac:dyDescent="0.25">
      <c r="A1035">
        <v>1506134</v>
      </c>
      <c r="B1035" t="s">
        <v>3856</v>
      </c>
      <c r="C1035" t="s">
        <v>33</v>
      </c>
      <c r="D1035" t="s">
        <v>445</v>
      </c>
      <c r="E1035" t="s">
        <v>28</v>
      </c>
      <c r="F1035" t="s">
        <v>3859</v>
      </c>
      <c r="G1035" t="s">
        <v>3860</v>
      </c>
      <c r="H1035" t="s">
        <v>3861</v>
      </c>
    </row>
    <row r="1036" spans="1:8" x14ac:dyDescent="0.25">
      <c r="A1036">
        <v>1457181</v>
      </c>
      <c r="B1036" t="s">
        <v>3862</v>
      </c>
      <c r="C1036" t="s">
        <v>33</v>
      </c>
      <c r="D1036" t="s">
        <v>18</v>
      </c>
      <c r="E1036" t="s">
        <v>19</v>
      </c>
      <c r="F1036" t="s">
        <v>3863</v>
      </c>
      <c r="G1036" t="s">
        <v>3864</v>
      </c>
      <c r="H1036" t="s">
        <v>3865</v>
      </c>
    </row>
    <row r="1037" spans="1:8" x14ac:dyDescent="0.25">
      <c r="A1037">
        <v>1498355</v>
      </c>
      <c r="B1037" t="s">
        <v>3862</v>
      </c>
      <c r="C1037" t="s">
        <v>35</v>
      </c>
      <c r="D1037" t="s">
        <v>29</v>
      </c>
      <c r="E1037" t="s">
        <v>244</v>
      </c>
      <c r="F1037" t="s">
        <v>3866</v>
      </c>
      <c r="G1037" t="s">
        <v>3867</v>
      </c>
      <c r="H1037" t="s">
        <v>3868</v>
      </c>
    </row>
    <row r="1038" spans="1:8" x14ac:dyDescent="0.25">
      <c r="A1038">
        <v>1514407</v>
      </c>
      <c r="B1038" t="s">
        <v>3862</v>
      </c>
      <c r="C1038" t="s">
        <v>33</v>
      </c>
      <c r="D1038" t="s">
        <v>284</v>
      </c>
      <c r="E1038" t="s">
        <v>50</v>
      </c>
      <c r="F1038" t="s">
        <v>285</v>
      </c>
      <c r="G1038" t="s">
        <v>472</v>
      </c>
      <c r="H1038" t="s">
        <v>3869</v>
      </c>
    </row>
    <row r="1039" spans="1:8" x14ac:dyDescent="0.25">
      <c r="A1039">
        <v>1522540</v>
      </c>
      <c r="B1039" t="s">
        <v>3862</v>
      </c>
      <c r="C1039" t="s">
        <v>33</v>
      </c>
      <c r="D1039" t="s">
        <v>95</v>
      </c>
      <c r="E1039" t="s">
        <v>99</v>
      </c>
      <c r="F1039" t="s">
        <v>3870</v>
      </c>
      <c r="G1039" t="s">
        <v>3871</v>
      </c>
      <c r="H1039" t="s">
        <v>3872</v>
      </c>
    </row>
    <row r="1040" spans="1:8" x14ac:dyDescent="0.25">
      <c r="A1040">
        <v>1522542</v>
      </c>
      <c r="B1040" t="s">
        <v>3862</v>
      </c>
      <c r="C1040" t="s">
        <v>33</v>
      </c>
      <c r="D1040" t="s">
        <v>95</v>
      </c>
      <c r="E1040" t="s">
        <v>99</v>
      </c>
      <c r="F1040" t="s">
        <v>3873</v>
      </c>
      <c r="G1040" t="s">
        <v>3874</v>
      </c>
      <c r="H1040" t="s">
        <v>3875</v>
      </c>
    </row>
    <row r="1041" spans="1:8" x14ac:dyDescent="0.25">
      <c r="A1041">
        <v>1529471</v>
      </c>
      <c r="B1041" t="s">
        <v>3862</v>
      </c>
      <c r="C1041" t="s">
        <v>33</v>
      </c>
      <c r="D1041" t="s">
        <v>282</v>
      </c>
      <c r="E1041" t="s">
        <v>50</v>
      </c>
      <c r="F1041" t="s">
        <v>546</v>
      </c>
      <c r="G1041" t="s">
        <v>3876</v>
      </c>
      <c r="H1041" t="s">
        <v>3877</v>
      </c>
    </row>
    <row r="1042" spans="1:8" x14ac:dyDescent="0.25">
      <c r="A1042">
        <v>1530060</v>
      </c>
      <c r="B1042" t="s">
        <v>3862</v>
      </c>
      <c r="C1042" t="s">
        <v>33</v>
      </c>
      <c r="D1042" t="s">
        <v>95</v>
      </c>
      <c r="E1042" t="s">
        <v>775</v>
      </c>
      <c r="F1042" t="s">
        <v>3878</v>
      </c>
      <c r="G1042" t="s">
        <v>3879</v>
      </c>
      <c r="H1042" t="s">
        <v>3880</v>
      </c>
    </row>
    <row r="1043" spans="1:8" x14ac:dyDescent="0.25">
      <c r="A1043">
        <v>1530061</v>
      </c>
      <c r="B1043" t="s">
        <v>3862</v>
      </c>
      <c r="C1043" t="s">
        <v>33</v>
      </c>
      <c r="D1043" t="s">
        <v>95</v>
      </c>
      <c r="E1043" t="s">
        <v>775</v>
      </c>
      <c r="F1043" t="s">
        <v>3881</v>
      </c>
      <c r="G1043" t="s">
        <v>3882</v>
      </c>
      <c r="H1043" t="s">
        <v>3883</v>
      </c>
    </row>
    <row r="1044" spans="1:8" x14ac:dyDescent="0.25">
      <c r="A1044">
        <v>1530160</v>
      </c>
      <c r="B1044" t="s">
        <v>3862</v>
      </c>
      <c r="C1044" t="s">
        <v>33</v>
      </c>
      <c r="D1044" t="s">
        <v>22</v>
      </c>
      <c r="E1044" t="s">
        <v>822</v>
      </c>
      <c r="F1044" t="s">
        <v>3884</v>
      </c>
      <c r="G1044" t="s">
        <v>3885</v>
      </c>
      <c r="H1044" t="s">
        <v>3886</v>
      </c>
    </row>
    <row r="1045" spans="1:8" x14ac:dyDescent="0.25">
      <c r="A1045">
        <v>1530492</v>
      </c>
      <c r="B1045" t="s">
        <v>3862</v>
      </c>
      <c r="C1045" t="s">
        <v>33</v>
      </c>
      <c r="D1045" t="s">
        <v>391</v>
      </c>
      <c r="E1045" t="s">
        <v>392</v>
      </c>
      <c r="F1045" t="s">
        <v>3887</v>
      </c>
      <c r="G1045" t="s">
        <v>466</v>
      </c>
      <c r="H1045" t="s">
        <v>3888</v>
      </c>
    </row>
    <row r="1046" spans="1:8" x14ac:dyDescent="0.25">
      <c r="A1046">
        <v>1498195</v>
      </c>
      <c r="B1046" t="s">
        <v>3889</v>
      </c>
      <c r="C1046" t="s">
        <v>33</v>
      </c>
      <c r="D1046" t="s">
        <v>18</v>
      </c>
      <c r="E1046" t="s">
        <v>592</v>
      </c>
      <c r="F1046" t="s">
        <v>3890</v>
      </c>
      <c r="G1046" t="s">
        <v>602</v>
      </c>
      <c r="H1046" t="s">
        <v>3891</v>
      </c>
    </row>
    <row r="1047" spans="1:8" x14ac:dyDescent="0.25">
      <c r="A1047">
        <v>1489147</v>
      </c>
      <c r="B1047" t="s">
        <v>3892</v>
      </c>
      <c r="C1047" t="s">
        <v>33</v>
      </c>
      <c r="D1047" t="s">
        <v>32</v>
      </c>
      <c r="E1047" t="s">
        <v>28</v>
      </c>
      <c r="F1047" t="s">
        <v>464</v>
      </c>
      <c r="G1047" t="s">
        <v>3893</v>
      </c>
      <c r="H1047" t="s">
        <v>3894</v>
      </c>
    </row>
    <row r="1048" spans="1:8" x14ac:dyDescent="0.25">
      <c r="A1048">
        <v>1490149</v>
      </c>
      <c r="B1048" t="s">
        <v>3892</v>
      </c>
      <c r="C1048" t="s">
        <v>33</v>
      </c>
      <c r="D1048" t="s">
        <v>389</v>
      </c>
      <c r="E1048" t="s">
        <v>443</v>
      </c>
      <c r="F1048" t="s">
        <v>3895</v>
      </c>
      <c r="G1048" t="s">
        <v>3896</v>
      </c>
      <c r="H1048" t="s">
        <v>3897</v>
      </c>
    </row>
    <row r="1049" spans="1:8" x14ac:dyDescent="0.25">
      <c r="A1049">
        <v>1492551</v>
      </c>
      <c r="B1049" t="s">
        <v>3892</v>
      </c>
      <c r="C1049" t="s">
        <v>33</v>
      </c>
      <c r="D1049" t="s">
        <v>18</v>
      </c>
      <c r="E1049" t="s">
        <v>395</v>
      </c>
      <c r="F1049" t="s">
        <v>3898</v>
      </c>
      <c r="G1049" t="s">
        <v>3899</v>
      </c>
      <c r="H1049" t="s">
        <v>3900</v>
      </c>
    </row>
    <row r="1050" spans="1:8" x14ac:dyDescent="0.25">
      <c r="A1050">
        <v>1494459</v>
      </c>
      <c r="B1050" t="s">
        <v>3892</v>
      </c>
      <c r="C1050" t="s">
        <v>33</v>
      </c>
      <c r="D1050" t="s">
        <v>18</v>
      </c>
      <c r="E1050" t="s">
        <v>396</v>
      </c>
      <c r="F1050" t="s">
        <v>3901</v>
      </c>
      <c r="G1050" t="s">
        <v>3902</v>
      </c>
      <c r="H1050" t="s">
        <v>3903</v>
      </c>
    </row>
    <row r="1051" spans="1:8" x14ac:dyDescent="0.25">
      <c r="A1051">
        <v>1494460</v>
      </c>
      <c r="B1051" t="s">
        <v>3892</v>
      </c>
      <c r="C1051" t="s">
        <v>33</v>
      </c>
      <c r="D1051" t="s">
        <v>18</v>
      </c>
      <c r="E1051" t="s">
        <v>396</v>
      </c>
      <c r="F1051" t="s">
        <v>3904</v>
      </c>
      <c r="G1051" t="s">
        <v>3905</v>
      </c>
      <c r="H1051" t="s">
        <v>3906</v>
      </c>
    </row>
    <row r="1052" spans="1:8" x14ac:dyDescent="0.25">
      <c r="A1052">
        <v>1498354</v>
      </c>
      <c r="B1052" t="s">
        <v>3892</v>
      </c>
      <c r="C1052" t="s">
        <v>35</v>
      </c>
      <c r="D1052" t="s">
        <v>29</v>
      </c>
      <c r="E1052" t="s">
        <v>244</v>
      </c>
      <c r="F1052" t="s">
        <v>3907</v>
      </c>
      <c r="G1052" t="s">
        <v>3908</v>
      </c>
      <c r="H1052" t="s">
        <v>3909</v>
      </c>
    </row>
    <row r="1053" spans="1:8" x14ac:dyDescent="0.25">
      <c r="A1053">
        <v>1498358</v>
      </c>
      <c r="B1053" t="s">
        <v>3892</v>
      </c>
      <c r="C1053" t="s">
        <v>35</v>
      </c>
      <c r="D1053" t="s">
        <v>29</v>
      </c>
      <c r="E1053" t="s">
        <v>244</v>
      </c>
      <c r="F1053" t="s">
        <v>3910</v>
      </c>
      <c r="G1053" t="s">
        <v>3911</v>
      </c>
      <c r="H1053" t="s">
        <v>3912</v>
      </c>
    </row>
    <row r="1054" spans="1:8" x14ac:dyDescent="0.25">
      <c r="A1054">
        <v>1504894</v>
      </c>
      <c r="B1054" t="s">
        <v>3892</v>
      </c>
      <c r="C1054" t="s">
        <v>33</v>
      </c>
      <c r="D1054" t="s">
        <v>841</v>
      </c>
      <c r="E1054" t="s">
        <v>25</v>
      </c>
      <c r="F1054" t="s">
        <v>286</v>
      </c>
      <c r="G1054" t="s">
        <v>3913</v>
      </c>
      <c r="H1054" t="s">
        <v>3914</v>
      </c>
    </row>
    <row r="1055" spans="1:8" x14ac:dyDescent="0.25">
      <c r="A1055">
        <v>1512983</v>
      </c>
      <c r="B1055" t="s">
        <v>3892</v>
      </c>
      <c r="C1055" t="s">
        <v>33</v>
      </c>
      <c r="D1055" t="s">
        <v>389</v>
      </c>
      <c r="E1055" t="s">
        <v>390</v>
      </c>
      <c r="F1055" t="s">
        <v>479</v>
      </c>
      <c r="G1055" t="s">
        <v>3915</v>
      </c>
      <c r="H1055" t="s">
        <v>3916</v>
      </c>
    </row>
    <row r="1056" spans="1:8" x14ac:dyDescent="0.25">
      <c r="A1056">
        <v>1512984</v>
      </c>
      <c r="B1056" t="s">
        <v>3892</v>
      </c>
      <c r="C1056" t="s">
        <v>33</v>
      </c>
      <c r="D1056" t="s">
        <v>389</v>
      </c>
      <c r="E1056" t="s">
        <v>390</v>
      </c>
      <c r="F1056" t="s">
        <v>470</v>
      </c>
      <c r="G1056" t="s">
        <v>485</v>
      </c>
      <c r="H1056" t="s">
        <v>3917</v>
      </c>
    </row>
    <row r="1057" spans="1:8" x14ac:dyDescent="0.25">
      <c r="A1057">
        <v>1512985</v>
      </c>
      <c r="B1057" t="s">
        <v>3892</v>
      </c>
      <c r="C1057" t="s">
        <v>33</v>
      </c>
      <c r="D1057" t="s">
        <v>389</v>
      </c>
      <c r="E1057" t="s">
        <v>390</v>
      </c>
      <c r="F1057" t="s">
        <v>552</v>
      </c>
      <c r="G1057" t="s">
        <v>858</v>
      </c>
      <c r="H1057" t="s">
        <v>3918</v>
      </c>
    </row>
    <row r="1058" spans="1:8" x14ac:dyDescent="0.25">
      <c r="A1058">
        <v>1514510</v>
      </c>
      <c r="B1058" t="s">
        <v>3892</v>
      </c>
      <c r="C1058" t="s">
        <v>33</v>
      </c>
      <c r="D1058" t="s">
        <v>20</v>
      </c>
      <c r="E1058" t="s">
        <v>812</v>
      </c>
      <c r="F1058" t="s">
        <v>103</v>
      </c>
      <c r="G1058" t="s">
        <v>3919</v>
      </c>
      <c r="H1058" t="s">
        <v>3920</v>
      </c>
    </row>
    <row r="1059" spans="1:8" x14ac:dyDescent="0.25">
      <c r="A1059">
        <v>1525805</v>
      </c>
      <c r="B1059" t="s">
        <v>3892</v>
      </c>
      <c r="C1059" t="s">
        <v>33</v>
      </c>
      <c r="D1059" t="s">
        <v>24</v>
      </c>
      <c r="E1059" t="s">
        <v>25</v>
      </c>
      <c r="F1059" t="s">
        <v>3921</v>
      </c>
      <c r="G1059" t="s">
        <v>3922</v>
      </c>
      <c r="H1059" t="s">
        <v>3923</v>
      </c>
    </row>
    <row r="1060" spans="1:8" x14ac:dyDescent="0.25">
      <c r="A1060">
        <v>1526465</v>
      </c>
      <c r="B1060" t="s">
        <v>3892</v>
      </c>
      <c r="C1060" t="s">
        <v>33</v>
      </c>
      <c r="D1060" t="s">
        <v>73</v>
      </c>
      <c r="E1060" t="s">
        <v>74</v>
      </c>
      <c r="F1060" t="s">
        <v>639</v>
      </c>
      <c r="G1060" t="s">
        <v>3924</v>
      </c>
      <c r="H1060" t="s">
        <v>3925</v>
      </c>
    </row>
    <row r="1061" spans="1:8" x14ac:dyDescent="0.25">
      <c r="A1061">
        <v>1528832</v>
      </c>
      <c r="B1061" t="s">
        <v>3892</v>
      </c>
      <c r="C1061" t="s">
        <v>33</v>
      </c>
      <c r="D1061" t="s">
        <v>817</v>
      </c>
      <c r="E1061" t="s">
        <v>89</v>
      </c>
      <c r="F1061" t="s">
        <v>3926</v>
      </c>
      <c r="G1061" t="s">
        <v>3927</v>
      </c>
      <c r="H1061" t="s">
        <v>3928</v>
      </c>
    </row>
    <row r="1062" spans="1:8" x14ac:dyDescent="0.25">
      <c r="A1062">
        <v>1530490</v>
      </c>
      <c r="B1062" t="s">
        <v>3892</v>
      </c>
      <c r="C1062" t="s">
        <v>33</v>
      </c>
      <c r="D1062" t="s">
        <v>20</v>
      </c>
      <c r="E1062" t="s">
        <v>326</v>
      </c>
      <c r="F1062" t="s">
        <v>3929</v>
      </c>
      <c r="G1062" t="s">
        <v>327</v>
      </c>
      <c r="H1062" t="s">
        <v>3930</v>
      </c>
    </row>
    <row r="1063" spans="1:8" x14ac:dyDescent="0.25">
      <c r="A1063">
        <v>1510090</v>
      </c>
      <c r="B1063" t="s">
        <v>3931</v>
      </c>
      <c r="C1063" t="s">
        <v>33</v>
      </c>
      <c r="D1063" t="s">
        <v>398</v>
      </c>
      <c r="E1063" t="s">
        <v>399</v>
      </c>
      <c r="F1063" t="s">
        <v>3932</v>
      </c>
      <c r="G1063" t="s">
        <v>3933</v>
      </c>
      <c r="H1063" t="s">
        <v>3934</v>
      </c>
    </row>
    <row r="1064" spans="1:8" x14ac:dyDescent="0.25">
      <c r="A1064">
        <v>1522572</v>
      </c>
      <c r="B1064" t="s">
        <v>3931</v>
      </c>
      <c r="C1064" t="s">
        <v>33</v>
      </c>
      <c r="D1064" t="s">
        <v>452</v>
      </c>
      <c r="E1064" t="s">
        <v>27</v>
      </c>
      <c r="F1064" t="s">
        <v>3935</v>
      </c>
      <c r="G1064" t="s">
        <v>287</v>
      </c>
      <c r="H1064" t="s">
        <v>3936</v>
      </c>
    </row>
    <row r="1065" spans="1:8" x14ac:dyDescent="0.25">
      <c r="A1065">
        <v>1505011</v>
      </c>
      <c r="B1065" t="s">
        <v>3937</v>
      </c>
      <c r="C1065" t="s">
        <v>33</v>
      </c>
      <c r="D1065" t="s">
        <v>381</v>
      </c>
      <c r="E1065" t="s">
        <v>382</v>
      </c>
      <c r="F1065" t="s">
        <v>383</v>
      </c>
      <c r="G1065" t="s">
        <v>3938</v>
      </c>
      <c r="H1065" t="s">
        <v>3939</v>
      </c>
    </row>
    <row r="1066" spans="1:8" x14ac:dyDescent="0.25">
      <c r="A1066">
        <v>1505393</v>
      </c>
      <c r="B1066" t="s">
        <v>3937</v>
      </c>
      <c r="C1066" t="s">
        <v>33</v>
      </c>
      <c r="D1066" t="s">
        <v>380</v>
      </c>
      <c r="E1066" t="s">
        <v>28</v>
      </c>
      <c r="F1066" t="s">
        <v>3940</v>
      </c>
      <c r="G1066" t="s">
        <v>3941</v>
      </c>
      <c r="H1066" t="s">
        <v>3942</v>
      </c>
    </row>
    <row r="1067" spans="1:8" x14ac:dyDescent="0.25">
      <c r="A1067">
        <v>1506135</v>
      </c>
      <c r="B1067" t="s">
        <v>3937</v>
      </c>
      <c r="C1067" t="s">
        <v>33</v>
      </c>
      <c r="D1067" t="s">
        <v>445</v>
      </c>
      <c r="E1067" t="s">
        <v>28</v>
      </c>
      <c r="F1067" t="s">
        <v>3943</v>
      </c>
      <c r="G1067" t="s">
        <v>3944</v>
      </c>
      <c r="H1067" t="s">
        <v>3945</v>
      </c>
    </row>
    <row r="1068" spans="1:8" x14ac:dyDescent="0.25">
      <c r="A1068">
        <v>1511509</v>
      </c>
      <c r="B1068" t="s">
        <v>3937</v>
      </c>
      <c r="C1068" t="s">
        <v>33</v>
      </c>
      <c r="D1068" t="s">
        <v>380</v>
      </c>
      <c r="E1068" t="s">
        <v>104</v>
      </c>
      <c r="F1068" t="s">
        <v>3946</v>
      </c>
      <c r="G1068" t="s">
        <v>549</v>
      </c>
      <c r="H1068" t="s">
        <v>3947</v>
      </c>
    </row>
    <row r="1069" spans="1:8" x14ac:dyDescent="0.25">
      <c r="A1069">
        <v>1528825</v>
      </c>
      <c r="B1069" t="s">
        <v>3937</v>
      </c>
      <c r="C1069" t="s">
        <v>33</v>
      </c>
      <c r="D1069" t="s">
        <v>20</v>
      </c>
      <c r="E1069" t="s">
        <v>446</v>
      </c>
      <c r="F1069" t="s">
        <v>3948</v>
      </c>
      <c r="G1069" t="s">
        <v>3949</v>
      </c>
      <c r="H1069" t="s">
        <v>3950</v>
      </c>
    </row>
    <row r="1070" spans="1:8" x14ac:dyDescent="0.25">
      <c r="A1070">
        <v>1529472</v>
      </c>
      <c r="B1070" t="s">
        <v>3951</v>
      </c>
      <c r="C1070" t="s">
        <v>33</v>
      </c>
      <c r="D1070" t="s">
        <v>282</v>
      </c>
      <c r="E1070" t="s">
        <v>50</v>
      </c>
      <c r="F1070" t="s">
        <v>80</v>
      </c>
      <c r="G1070" t="s">
        <v>3952</v>
      </c>
      <c r="H1070" t="s">
        <v>3953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3D584-FB18-4656-9D67-F63B1125730D}">
  <sheetPr codeName="Sheet5"/>
  <dimension ref="A1:H135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17.140625" bestFit="1" customWidth="1"/>
    <col min="5" max="5" width="32" bestFit="1" customWidth="1"/>
    <col min="6" max="6" width="21.140625" bestFit="1" customWidth="1"/>
    <col min="7" max="7" width="34.2851562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1499186</v>
      </c>
      <c r="B2" t="s">
        <v>3954</v>
      </c>
      <c r="C2" t="s">
        <v>33</v>
      </c>
      <c r="D2" t="s">
        <v>276</v>
      </c>
      <c r="E2" t="s">
        <v>27</v>
      </c>
      <c r="F2" t="s">
        <v>3955</v>
      </c>
      <c r="G2" t="s">
        <v>3956</v>
      </c>
      <c r="H2" t="s">
        <v>3957</v>
      </c>
    </row>
    <row r="3" spans="1:8" x14ac:dyDescent="0.25">
      <c r="A3">
        <v>1501583</v>
      </c>
      <c r="B3" t="s">
        <v>3954</v>
      </c>
      <c r="C3" t="s">
        <v>33</v>
      </c>
      <c r="D3" t="s">
        <v>290</v>
      </c>
      <c r="E3" t="s">
        <v>50</v>
      </c>
      <c r="F3" t="s">
        <v>3958</v>
      </c>
      <c r="G3" t="s">
        <v>545</v>
      </c>
      <c r="H3" t="s">
        <v>3959</v>
      </c>
    </row>
    <row r="4" spans="1:8" x14ac:dyDescent="0.25">
      <c r="A4">
        <v>1512974</v>
      </c>
      <c r="B4" t="s">
        <v>3954</v>
      </c>
      <c r="C4" t="s">
        <v>33</v>
      </c>
      <c r="D4" t="s">
        <v>389</v>
      </c>
      <c r="E4" t="s">
        <v>390</v>
      </c>
      <c r="F4" t="s">
        <v>3960</v>
      </c>
      <c r="G4" t="s">
        <v>3961</v>
      </c>
      <c r="H4" t="s">
        <v>3962</v>
      </c>
    </row>
    <row r="5" spans="1:8" x14ac:dyDescent="0.25">
      <c r="A5">
        <v>1512986</v>
      </c>
      <c r="B5" t="s">
        <v>3954</v>
      </c>
      <c r="C5" t="s">
        <v>33</v>
      </c>
      <c r="D5" t="s">
        <v>389</v>
      </c>
      <c r="E5" t="s">
        <v>390</v>
      </c>
      <c r="F5" t="s">
        <v>3963</v>
      </c>
      <c r="G5" t="s">
        <v>3964</v>
      </c>
      <c r="H5" t="s">
        <v>3965</v>
      </c>
    </row>
    <row r="6" spans="1:8" x14ac:dyDescent="0.25">
      <c r="A6">
        <v>1514408</v>
      </c>
      <c r="B6" t="s">
        <v>3954</v>
      </c>
      <c r="C6" t="s">
        <v>33</v>
      </c>
      <c r="D6" t="s">
        <v>284</v>
      </c>
      <c r="E6" t="s">
        <v>50</v>
      </c>
      <c r="F6" t="s">
        <v>3966</v>
      </c>
      <c r="G6" t="s">
        <v>3967</v>
      </c>
      <c r="H6" t="s">
        <v>3968</v>
      </c>
    </row>
    <row r="7" spans="1:8" x14ac:dyDescent="0.25">
      <c r="A7">
        <v>1530165</v>
      </c>
      <c r="B7" t="s">
        <v>3954</v>
      </c>
      <c r="C7" t="s">
        <v>33</v>
      </c>
      <c r="D7" t="s">
        <v>22</v>
      </c>
      <c r="E7" t="s">
        <v>822</v>
      </c>
      <c r="F7" t="s">
        <v>3969</v>
      </c>
      <c r="G7" t="s">
        <v>3970</v>
      </c>
      <c r="H7" t="s">
        <v>3971</v>
      </c>
    </row>
    <row r="8" spans="1:8" x14ac:dyDescent="0.25">
      <c r="A8">
        <v>1530493</v>
      </c>
      <c r="B8" t="s">
        <v>3954</v>
      </c>
      <c r="C8" t="s">
        <v>33</v>
      </c>
      <c r="D8" t="s">
        <v>391</v>
      </c>
      <c r="E8" t="s">
        <v>392</v>
      </c>
      <c r="F8" t="s">
        <v>3972</v>
      </c>
      <c r="G8" t="s">
        <v>3973</v>
      </c>
      <c r="H8" t="s">
        <v>3974</v>
      </c>
    </row>
    <row r="9" spans="1:8" x14ac:dyDescent="0.25">
      <c r="A9">
        <v>1501589</v>
      </c>
      <c r="B9" t="s">
        <v>3975</v>
      </c>
      <c r="C9" t="s">
        <v>33</v>
      </c>
      <c r="D9" t="s">
        <v>290</v>
      </c>
      <c r="E9" t="s">
        <v>50</v>
      </c>
      <c r="F9" t="s">
        <v>554</v>
      </c>
      <c r="G9" t="s">
        <v>3976</v>
      </c>
      <c r="H9" t="s">
        <v>3977</v>
      </c>
    </row>
    <row r="10" spans="1:8" x14ac:dyDescent="0.25">
      <c r="A10">
        <v>1512987</v>
      </c>
      <c r="B10" t="s">
        <v>3975</v>
      </c>
      <c r="C10" t="s">
        <v>33</v>
      </c>
      <c r="D10" t="s">
        <v>389</v>
      </c>
      <c r="E10" t="s">
        <v>390</v>
      </c>
      <c r="F10" t="s">
        <v>480</v>
      </c>
      <c r="G10" t="s">
        <v>476</v>
      </c>
      <c r="H10" t="s">
        <v>3978</v>
      </c>
    </row>
    <row r="11" spans="1:8" x14ac:dyDescent="0.25">
      <c r="A11">
        <v>1525806</v>
      </c>
      <c r="B11" t="s">
        <v>3979</v>
      </c>
      <c r="C11" t="s">
        <v>33</v>
      </c>
      <c r="D11" t="s">
        <v>24</v>
      </c>
      <c r="E11" t="s">
        <v>25</v>
      </c>
      <c r="F11" t="s">
        <v>3980</v>
      </c>
      <c r="G11" t="s">
        <v>482</v>
      </c>
      <c r="H11" t="s">
        <v>3981</v>
      </c>
    </row>
    <row r="12" spans="1:8" x14ac:dyDescent="0.25">
      <c r="A12">
        <v>1522573</v>
      </c>
      <c r="B12" t="s">
        <v>3982</v>
      </c>
      <c r="C12" t="s">
        <v>33</v>
      </c>
      <c r="D12" t="s">
        <v>452</v>
      </c>
      <c r="E12" t="s">
        <v>27</v>
      </c>
      <c r="F12" t="s">
        <v>544</v>
      </c>
      <c r="G12" t="s">
        <v>3983</v>
      </c>
      <c r="H12" t="s">
        <v>3984</v>
      </c>
    </row>
    <row r="13" spans="1:8" x14ac:dyDescent="0.25">
      <c r="A13">
        <v>1499188</v>
      </c>
      <c r="B13" t="s">
        <v>3985</v>
      </c>
      <c r="C13" t="s">
        <v>33</v>
      </c>
      <c r="D13" t="s">
        <v>276</v>
      </c>
      <c r="E13" t="s">
        <v>27</v>
      </c>
      <c r="F13" t="s">
        <v>818</v>
      </c>
      <c r="G13" t="s">
        <v>3986</v>
      </c>
      <c r="H13" t="s">
        <v>3987</v>
      </c>
    </row>
    <row r="14" spans="1:8" x14ac:dyDescent="0.25">
      <c r="A14">
        <v>1512981</v>
      </c>
      <c r="B14" t="s">
        <v>3985</v>
      </c>
      <c r="C14" t="s">
        <v>33</v>
      </c>
      <c r="D14" t="s">
        <v>389</v>
      </c>
      <c r="E14" t="s">
        <v>390</v>
      </c>
      <c r="F14" t="s">
        <v>3988</v>
      </c>
      <c r="G14" t="s">
        <v>486</v>
      </c>
      <c r="H14" t="s">
        <v>3989</v>
      </c>
    </row>
    <row r="15" spans="1:8" x14ac:dyDescent="0.25">
      <c r="A15">
        <v>1492552</v>
      </c>
      <c r="B15" t="s">
        <v>3990</v>
      </c>
      <c r="C15" t="s">
        <v>33</v>
      </c>
      <c r="D15" t="s">
        <v>18</v>
      </c>
      <c r="E15" t="s">
        <v>395</v>
      </c>
      <c r="F15" t="s">
        <v>3991</v>
      </c>
      <c r="G15" t="s">
        <v>3992</v>
      </c>
      <c r="H15" t="s">
        <v>3993</v>
      </c>
    </row>
    <row r="16" spans="1:8" x14ac:dyDescent="0.25">
      <c r="A16">
        <v>1516374</v>
      </c>
      <c r="B16" t="s">
        <v>3994</v>
      </c>
      <c r="C16" t="s">
        <v>33</v>
      </c>
      <c r="D16" t="s">
        <v>22</v>
      </c>
      <c r="E16" t="s">
        <v>453</v>
      </c>
      <c r="F16" t="s">
        <v>561</v>
      </c>
      <c r="G16" t="s">
        <v>559</v>
      </c>
      <c r="H16" t="s">
        <v>3995</v>
      </c>
    </row>
    <row r="17" spans="1:8" x14ac:dyDescent="0.25">
      <c r="A17">
        <v>1516375</v>
      </c>
      <c r="B17" t="s">
        <v>3994</v>
      </c>
      <c r="C17" t="s">
        <v>33</v>
      </c>
      <c r="D17" t="s">
        <v>22</v>
      </c>
      <c r="E17" t="s">
        <v>453</v>
      </c>
      <c r="F17" t="s">
        <v>558</v>
      </c>
      <c r="G17" t="s">
        <v>560</v>
      </c>
      <c r="H17" t="s">
        <v>3996</v>
      </c>
    </row>
    <row r="18" spans="1:8" x14ac:dyDescent="0.25">
      <c r="A18">
        <v>1522062</v>
      </c>
      <c r="B18" t="s">
        <v>3994</v>
      </c>
      <c r="C18" t="s">
        <v>33</v>
      </c>
      <c r="D18" t="s">
        <v>36</v>
      </c>
      <c r="E18" t="s">
        <v>236</v>
      </c>
      <c r="F18" t="s">
        <v>3997</v>
      </c>
      <c r="G18" t="s">
        <v>332</v>
      </c>
      <c r="H18" t="s">
        <v>3998</v>
      </c>
    </row>
    <row r="19" spans="1:8" x14ac:dyDescent="0.25">
      <c r="A19">
        <v>1503473</v>
      </c>
      <c r="B19" t="s">
        <v>3999</v>
      </c>
      <c r="C19" t="s">
        <v>33</v>
      </c>
      <c r="D19" t="s">
        <v>333</v>
      </c>
      <c r="E19" t="s">
        <v>106</v>
      </c>
      <c r="F19" t="s">
        <v>4000</v>
      </c>
      <c r="G19" t="s">
        <v>562</v>
      </c>
      <c r="H19" t="s">
        <v>4001</v>
      </c>
    </row>
    <row r="20" spans="1:8" x14ac:dyDescent="0.25">
      <c r="A20">
        <v>1404565</v>
      </c>
      <c r="B20" t="s">
        <v>4002</v>
      </c>
      <c r="C20" t="s">
        <v>33</v>
      </c>
      <c r="D20" t="s">
        <v>42</v>
      </c>
      <c r="E20" t="s">
        <v>264</v>
      </c>
      <c r="F20" t="s">
        <v>4003</v>
      </c>
      <c r="G20" t="s">
        <v>4004</v>
      </c>
      <c r="H20" t="s">
        <v>4005</v>
      </c>
    </row>
    <row r="21" spans="1:8" x14ac:dyDescent="0.25">
      <c r="A21">
        <v>1521003</v>
      </c>
      <c r="B21" t="s">
        <v>4006</v>
      </c>
      <c r="C21" t="s">
        <v>33</v>
      </c>
      <c r="D21" t="s">
        <v>495</v>
      </c>
      <c r="E21" t="s">
        <v>50</v>
      </c>
      <c r="F21" t="s">
        <v>4007</v>
      </c>
      <c r="G21" t="s">
        <v>4008</v>
      </c>
      <c r="H21" t="s">
        <v>4009</v>
      </c>
    </row>
    <row r="22" spans="1:8" x14ac:dyDescent="0.25">
      <c r="A22">
        <v>1522566</v>
      </c>
      <c r="B22" t="s">
        <v>4006</v>
      </c>
      <c r="C22" t="s">
        <v>33</v>
      </c>
      <c r="D22" t="s">
        <v>405</v>
      </c>
      <c r="E22" t="s">
        <v>46</v>
      </c>
      <c r="F22" t="s">
        <v>4010</v>
      </c>
      <c r="G22" t="s">
        <v>4011</v>
      </c>
      <c r="H22" t="s">
        <v>4012</v>
      </c>
    </row>
    <row r="23" spans="1:8" x14ac:dyDescent="0.25">
      <c r="A23">
        <v>1525652</v>
      </c>
      <c r="B23" t="s">
        <v>4006</v>
      </c>
      <c r="C23" t="s">
        <v>33</v>
      </c>
      <c r="D23" t="s">
        <v>495</v>
      </c>
      <c r="E23" t="s">
        <v>46</v>
      </c>
      <c r="F23" t="s">
        <v>569</v>
      </c>
      <c r="G23" t="s">
        <v>498</v>
      </c>
      <c r="H23" t="s">
        <v>4013</v>
      </c>
    </row>
    <row r="24" spans="1:8" x14ac:dyDescent="0.25">
      <c r="A24">
        <v>1404567</v>
      </c>
      <c r="B24" t="s">
        <v>4014</v>
      </c>
      <c r="C24" t="s">
        <v>33</v>
      </c>
      <c r="D24" t="s">
        <v>42</v>
      </c>
      <c r="E24" t="s">
        <v>264</v>
      </c>
      <c r="F24" t="s">
        <v>4015</v>
      </c>
      <c r="G24" t="s">
        <v>4016</v>
      </c>
      <c r="H24" t="s">
        <v>4017</v>
      </c>
    </row>
    <row r="25" spans="1:8" x14ac:dyDescent="0.25">
      <c r="A25">
        <v>1522269</v>
      </c>
      <c r="B25" t="s">
        <v>4014</v>
      </c>
      <c r="C25" t="s">
        <v>33</v>
      </c>
      <c r="D25" t="s">
        <v>574</v>
      </c>
      <c r="E25" t="s">
        <v>50</v>
      </c>
      <c r="F25" t="s">
        <v>4018</v>
      </c>
      <c r="G25" t="s">
        <v>578</v>
      </c>
      <c r="H25" t="s">
        <v>4019</v>
      </c>
    </row>
    <row r="26" spans="1:8" x14ac:dyDescent="0.25">
      <c r="A26">
        <v>1522270</v>
      </c>
      <c r="B26" t="s">
        <v>4014</v>
      </c>
      <c r="C26" t="s">
        <v>33</v>
      </c>
      <c r="D26" t="s">
        <v>574</v>
      </c>
      <c r="E26" t="s">
        <v>50</v>
      </c>
      <c r="F26" t="s">
        <v>597</v>
      </c>
      <c r="G26" t="s">
        <v>4020</v>
      </c>
      <c r="H26" t="s">
        <v>4021</v>
      </c>
    </row>
    <row r="27" spans="1:8" x14ac:dyDescent="0.25">
      <c r="A27">
        <v>1522568</v>
      </c>
      <c r="B27" t="s">
        <v>4014</v>
      </c>
      <c r="C27" t="s">
        <v>33</v>
      </c>
      <c r="D27" t="s">
        <v>405</v>
      </c>
      <c r="E27" t="s">
        <v>46</v>
      </c>
      <c r="F27" t="s">
        <v>519</v>
      </c>
      <c r="G27" t="s">
        <v>4022</v>
      </c>
      <c r="H27" t="s">
        <v>4023</v>
      </c>
    </row>
    <row r="28" spans="1:8" x14ac:dyDescent="0.25">
      <c r="A28">
        <v>1526637</v>
      </c>
      <c r="B28" t="s">
        <v>4014</v>
      </c>
      <c r="C28" t="s">
        <v>33</v>
      </c>
      <c r="D28" t="s">
        <v>711</v>
      </c>
      <c r="E28" t="s">
        <v>70</v>
      </c>
      <c r="F28" t="s">
        <v>4024</v>
      </c>
      <c r="G28" t="s">
        <v>4025</v>
      </c>
      <c r="H28" t="s">
        <v>4026</v>
      </c>
    </row>
    <row r="29" spans="1:8" x14ac:dyDescent="0.25">
      <c r="A29">
        <v>1526638</v>
      </c>
      <c r="B29" t="s">
        <v>4014</v>
      </c>
      <c r="C29" t="s">
        <v>33</v>
      </c>
      <c r="D29" t="s">
        <v>711</v>
      </c>
      <c r="E29" t="s">
        <v>70</v>
      </c>
      <c r="F29" t="s">
        <v>4027</v>
      </c>
      <c r="G29" t="s">
        <v>4028</v>
      </c>
      <c r="H29" t="s">
        <v>4029</v>
      </c>
    </row>
    <row r="30" spans="1:8" x14ac:dyDescent="0.25">
      <c r="A30">
        <v>1526639</v>
      </c>
      <c r="B30" t="s">
        <v>4014</v>
      </c>
      <c r="C30" t="s">
        <v>33</v>
      </c>
      <c r="D30" t="s">
        <v>711</v>
      </c>
      <c r="E30" t="s">
        <v>70</v>
      </c>
      <c r="F30" t="s">
        <v>4030</v>
      </c>
      <c r="G30" t="s">
        <v>4031</v>
      </c>
      <c r="H30" t="s">
        <v>4032</v>
      </c>
    </row>
    <row r="31" spans="1:8" x14ac:dyDescent="0.25">
      <c r="A31">
        <v>1421848</v>
      </c>
      <c r="B31" t="s">
        <v>4033</v>
      </c>
      <c r="C31" t="s">
        <v>33</v>
      </c>
      <c r="D31" t="s">
        <v>342</v>
      </c>
      <c r="E31" t="s">
        <v>50</v>
      </c>
      <c r="F31" t="s">
        <v>4034</v>
      </c>
      <c r="G31" t="s">
        <v>4035</v>
      </c>
      <c r="H31" t="s">
        <v>4036</v>
      </c>
    </row>
    <row r="32" spans="1:8" x14ac:dyDescent="0.25">
      <c r="A32">
        <v>1394652</v>
      </c>
      <c r="B32" t="s">
        <v>4037</v>
      </c>
      <c r="C32" t="s">
        <v>33</v>
      </c>
      <c r="D32" t="s">
        <v>43</v>
      </c>
      <c r="E32" t="s">
        <v>62</v>
      </c>
      <c r="F32" t="s">
        <v>4038</v>
      </c>
      <c r="G32" t="s">
        <v>4039</v>
      </c>
      <c r="H32" t="s">
        <v>4040</v>
      </c>
    </row>
    <row r="33" spans="1:8" x14ac:dyDescent="0.25">
      <c r="A33">
        <v>1395253</v>
      </c>
      <c r="B33" t="s">
        <v>4037</v>
      </c>
      <c r="C33" t="s">
        <v>33</v>
      </c>
      <c r="D33" t="s">
        <v>64</v>
      </c>
      <c r="E33" t="s">
        <v>720</v>
      </c>
      <c r="F33" t="s">
        <v>4041</v>
      </c>
      <c r="G33" t="s">
        <v>4042</v>
      </c>
      <c r="H33" t="s">
        <v>4043</v>
      </c>
    </row>
    <row r="34" spans="1:8" x14ac:dyDescent="0.25">
      <c r="A34">
        <v>1395258</v>
      </c>
      <c r="B34" t="s">
        <v>4037</v>
      </c>
      <c r="C34" t="s">
        <v>33</v>
      </c>
      <c r="D34" t="s">
        <v>64</v>
      </c>
      <c r="E34" t="s">
        <v>720</v>
      </c>
      <c r="F34" t="s">
        <v>4044</v>
      </c>
      <c r="G34" t="s">
        <v>4045</v>
      </c>
      <c r="H34" t="s">
        <v>4046</v>
      </c>
    </row>
    <row r="35" spans="1:8" x14ac:dyDescent="0.25">
      <c r="A35">
        <v>1423389</v>
      </c>
      <c r="B35" t="s">
        <v>4037</v>
      </c>
      <c r="C35" t="s">
        <v>33</v>
      </c>
      <c r="D35" t="s">
        <v>110</v>
      </c>
      <c r="E35" t="s">
        <v>46</v>
      </c>
      <c r="F35" t="s">
        <v>502</v>
      </c>
      <c r="G35" t="s">
        <v>581</v>
      </c>
      <c r="H35" t="s">
        <v>4047</v>
      </c>
    </row>
    <row r="36" spans="1:8" x14ac:dyDescent="0.25">
      <c r="A36">
        <v>1423390</v>
      </c>
      <c r="B36" t="s">
        <v>4037</v>
      </c>
      <c r="C36" t="s">
        <v>33</v>
      </c>
      <c r="D36" t="s">
        <v>110</v>
      </c>
      <c r="E36" t="s">
        <v>46</v>
      </c>
      <c r="F36" t="s">
        <v>4048</v>
      </c>
      <c r="G36" t="s">
        <v>4049</v>
      </c>
      <c r="H36" t="s">
        <v>4050</v>
      </c>
    </row>
    <row r="37" spans="1:8" x14ac:dyDescent="0.25">
      <c r="A37">
        <v>1434111</v>
      </c>
      <c r="B37" t="s">
        <v>4037</v>
      </c>
      <c r="C37" t="s">
        <v>33</v>
      </c>
      <c r="D37" t="s">
        <v>66</v>
      </c>
      <c r="E37" t="s">
        <v>312</v>
      </c>
      <c r="F37" t="s">
        <v>583</v>
      </c>
      <c r="G37" t="s">
        <v>652</v>
      </c>
      <c r="H37" t="s">
        <v>4051</v>
      </c>
    </row>
    <row r="38" spans="1:8" x14ac:dyDescent="0.25">
      <c r="A38">
        <v>1497782</v>
      </c>
      <c r="B38" t="s">
        <v>4037</v>
      </c>
      <c r="C38" t="s">
        <v>33</v>
      </c>
      <c r="D38" t="s">
        <v>725</v>
      </c>
      <c r="E38" t="s">
        <v>234</v>
      </c>
      <c r="F38" t="s">
        <v>4052</v>
      </c>
      <c r="G38" t="s">
        <v>646</v>
      </c>
      <c r="H38" t="s">
        <v>4053</v>
      </c>
    </row>
    <row r="39" spans="1:8" x14ac:dyDescent="0.25">
      <c r="A39">
        <v>1525650</v>
      </c>
      <c r="B39" t="s">
        <v>4037</v>
      </c>
      <c r="C39" t="s">
        <v>33</v>
      </c>
      <c r="D39" t="s">
        <v>495</v>
      </c>
      <c r="E39" t="s">
        <v>46</v>
      </c>
      <c r="F39" t="s">
        <v>570</v>
      </c>
      <c r="G39" t="s">
        <v>571</v>
      </c>
      <c r="H39" t="s">
        <v>4054</v>
      </c>
    </row>
    <row r="40" spans="1:8" x14ac:dyDescent="0.25">
      <c r="A40">
        <v>1528174</v>
      </c>
      <c r="B40" t="s">
        <v>4037</v>
      </c>
      <c r="C40" t="s">
        <v>33</v>
      </c>
      <c r="D40" t="s">
        <v>20</v>
      </c>
      <c r="E40" t="s">
        <v>441</v>
      </c>
      <c r="F40" t="s">
        <v>4055</v>
      </c>
      <c r="G40" t="s">
        <v>4056</v>
      </c>
      <c r="H40" t="s">
        <v>4057</v>
      </c>
    </row>
    <row r="41" spans="1:8" x14ac:dyDescent="0.25">
      <c r="A41">
        <v>1391566</v>
      </c>
      <c r="B41" t="s">
        <v>4058</v>
      </c>
      <c r="C41" t="s">
        <v>33</v>
      </c>
      <c r="D41" t="s">
        <v>338</v>
      </c>
      <c r="E41" t="s">
        <v>50</v>
      </c>
      <c r="F41" t="s">
        <v>4059</v>
      </c>
      <c r="G41" t="s">
        <v>4060</v>
      </c>
      <c r="H41" t="s">
        <v>4061</v>
      </c>
    </row>
    <row r="42" spans="1:8" x14ac:dyDescent="0.25">
      <c r="A42">
        <v>1400186</v>
      </c>
      <c r="B42" t="s">
        <v>4058</v>
      </c>
      <c r="C42" t="s">
        <v>33</v>
      </c>
      <c r="D42" t="s">
        <v>405</v>
      </c>
      <c r="E42" t="s">
        <v>50</v>
      </c>
      <c r="F42" t="s">
        <v>4062</v>
      </c>
      <c r="G42" t="s">
        <v>4063</v>
      </c>
      <c r="H42" t="s">
        <v>4064</v>
      </c>
    </row>
    <row r="43" spans="1:8" x14ac:dyDescent="0.25">
      <c r="A43">
        <v>1403782</v>
      </c>
      <c r="B43" t="s">
        <v>4058</v>
      </c>
      <c r="C43" t="s">
        <v>33</v>
      </c>
      <c r="D43" t="s">
        <v>39</v>
      </c>
      <c r="E43" t="s">
        <v>40</v>
      </c>
      <c r="F43" t="s">
        <v>314</v>
      </c>
      <c r="G43" t="s">
        <v>4065</v>
      </c>
      <c r="H43" t="s">
        <v>4066</v>
      </c>
    </row>
    <row r="44" spans="1:8" x14ac:dyDescent="0.25">
      <c r="A44">
        <v>1403783</v>
      </c>
      <c r="B44" t="s">
        <v>4058</v>
      </c>
      <c r="C44" t="s">
        <v>33</v>
      </c>
      <c r="D44" t="s">
        <v>39</v>
      </c>
      <c r="E44" t="s">
        <v>40</v>
      </c>
      <c r="F44" t="s">
        <v>4067</v>
      </c>
      <c r="G44" t="s">
        <v>4068</v>
      </c>
      <c r="H44" t="s">
        <v>4069</v>
      </c>
    </row>
    <row r="45" spans="1:8" x14ac:dyDescent="0.25">
      <c r="A45">
        <v>1451583</v>
      </c>
      <c r="B45" t="s">
        <v>4058</v>
      </c>
      <c r="C45" t="s">
        <v>33</v>
      </c>
      <c r="D45" t="s">
        <v>45</v>
      </c>
      <c r="E45" t="s">
        <v>46</v>
      </c>
      <c r="F45" t="s">
        <v>573</v>
      </c>
      <c r="G45" t="s">
        <v>513</v>
      </c>
      <c r="H45" t="s">
        <v>4070</v>
      </c>
    </row>
    <row r="46" spans="1:8" x14ac:dyDescent="0.25">
      <c r="A46">
        <v>1451854</v>
      </c>
      <c r="B46" t="s">
        <v>4058</v>
      </c>
      <c r="C46" t="s">
        <v>33</v>
      </c>
      <c r="D46" t="s">
        <v>45</v>
      </c>
      <c r="E46" t="s">
        <v>234</v>
      </c>
      <c r="F46" t="s">
        <v>504</v>
      </c>
      <c r="G46" t="s">
        <v>4071</v>
      </c>
      <c r="H46" t="s">
        <v>4072</v>
      </c>
    </row>
    <row r="47" spans="1:8" x14ac:dyDescent="0.25">
      <c r="A47">
        <v>1395254</v>
      </c>
      <c r="B47" t="s">
        <v>4073</v>
      </c>
      <c r="C47" t="s">
        <v>33</v>
      </c>
      <c r="D47" t="s">
        <v>64</v>
      </c>
      <c r="E47" t="s">
        <v>720</v>
      </c>
      <c r="F47" t="s">
        <v>4074</v>
      </c>
      <c r="G47" t="s">
        <v>4075</v>
      </c>
      <c r="H47" t="s">
        <v>4076</v>
      </c>
    </row>
    <row r="48" spans="1:8" x14ac:dyDescent="0.25">
      <c r="A48">
        <v>1404572</v>
      </c>
      <c r="B48" t="s">
        <v>4073</v>
      </c>
      <c r="C48" t="s">
        <v>33</v>
      </c>
      <c r="D48" t="s">
        <v>42</v>
      </c>
      <c r="E48" t="s">
        <v>264</v>
      </c>
      <c r="F48" t="s">
        <v>4077</v>
      </c>
      <c r="G48" t="s">
        <v>4078</v>
      </c>
      <c r="H48" t="s">
        <v>4079</v>
      </c>
    </row>
    <row r="49" spans="1:8" x14ac:dyDescent="0.25">
      <c r="A49">
        <v>1434498</v>
      </c>
      <c r="B49" t="s">
        <v>4073</v>
      </c>
      <c r="C49" t="s">
        <v>33</v>
      </c>
      <c r="D49" t="s">
        <v>66</v>
      </c>
      <c r="E49" t="s">
        <v>78</v>
      </c>
      <c r="F49" t="s">
        <v>529</v>
      </c>
      <c r="G49" t="s">
        <v>343</v>
      </c>
      <c r="H49" t="s">
        <v>4080</v>
      </c>
    </row>
    <row r="50" spans="1:8" x14ac:dyDescent="0.25">
      <c r="A50">
        <v>1521301</v>
      </c>
      <c r="B50" t="s">
        <v>4073</v>
      </c>
      <c r="C50" t="s">
        <v>33</v>
      </c>
      <c r="D50" t="s">
        <v>262</v>
      </c>
      <c r="E50" t="s">
        <v>263</v>
      </c>
      <c r="F50" t="s">
        <v>4081</v>
      </c>
      <c r="G50" t="s">
        <v>4082</v>
      </c>
      <c r="H50" t="s">
        <v>4083</v>
      </c>
    </row>
    <row r="51" spans="1:8" x14ac:dyDescent="0.25">
      <c r="A51">
        <v>1522567</v>
      </c>
      <c r="B51" t="s">
        <v>4073</v>
      </c>
      <c r="C51" t="s">
        <v>33</v>
      </c>
      <c r="D51" t="s">
        <v>405</v>
      </c>
      <c r="E51" t="s">
        <v>46</v>
      </c>
      <c r="F51" t="s">
        <v>4084</v>
      </c>
      <c r="G51" t="s">
        <v>4085</v>
      </c>
      <c r="H51" t="s">
        <v>4086</v>
      </c>
    </row>
    <row r="52" spans="1:8" x14ac:dyDescent="0.25">
      <c r="A52">
        <v>1525653</v>
      </c>
      <c r="B52" t="s">
        <v>4073</v>
      </c>
      <c r="C52" t="s">
        <v>33</v>
      </c>
      <c r="D52" t="s">
        <v>495</v>
      </c>
      <c r="E52" t="s">
        <v>46</v>
      </c>
      <c r="F52" t="s">
        <v>572</v>
      </c>
      <c r="G52" t="s">
        <v>499</v>
      </c>
      <c r="H52" t="s">
        <v>4087</v>
      </c>
    </row>
    <row r="53" spans="1:8" x14ac:dyDescent="0.25">
      <c r="A53">
        <v>1525654</v>
      </c>
      <c r="B53" t="s">
        <v>4073</v>
      </c>
      <c r="C53" t="s">
        <v>33</v>
      </c>
      <c r="D53" t="s">
        <v>495</v>
      </c>
      <c r="E53" t="s">
        <v>46</v>
      </c>
      <c r="F53" t="s">
        <v>497</v>
      </c>
      <c r="G53" t="s">
        <v>568</v>
      </c>
      <c r="H53" t="s">
        <v>4088</v>
      </c>
    </row>
    <row r="54" spans="1:8" x14ac:dyDescent="0.25">
      <c r="A54">
        <v>1528308</v>
      </c>
      <c r="B54" t="s">
        <v>4073</v>
      </c>
      <c r="C54" t="s">
        <v>33</v>
      </c>
      <c r="D54" t="s">
        <v>636</v>
      </c>
      <c r="E54" t="s">
        <v>238</v>
      </c>
      <c r="F54" t="s">
        <v>4089</v>
      </c>
      <c r="G54" t="s">
        <v>4090</v>
      </c>
      <c r="H54" t="s">
        <v>4091</v>
      </c>
    </row>
    <row r="55" spans="1:8" x14ac:dyDescent="0.25">
      <c r="A55">
        <v>1445903</v>
      </c>
      <c r="B55" t="s">
        <v>4092</v>
      </c>
      <c r="C55" t="s">
        <v>33</v>
      </c>
      <c r="D55" t="s">
        <v>67</v>
      </c>
      <c r="E55" t="s">
        <v>696</v>
      </c>
      <c r="F55" t="s">
        <v>588</v>
      </c>
      <c r="G55" t="s">
        <v>4093</v>
      </c>
      <c r="H55" t="s">
        <v>4094</v>
      </c>
    </row>
    <row r="56" spans="1:8" x14ac:dyDescent="0.25">
      <c r="A56">
        <v>1418398</v>
      </c>
      <c r="B56" t="s">
        <v>4095</v>
      </c>
      <c r="C56" t="s">
        <v>33</v>
      </c>
      <c r="D56" t="s">
        <v>97</v>
      </c>
      <c r="E56" t="s">
        <v>406</v>
      </c>
      <c r="F56" t="s">
        <v>4096</v>
      </c>
      <c r="G56" t="s">
        <v>4097</v>
      </c>
      <c r="H56" t="s">
        <v>4098</v>
      </c>
    </row>
    <row r="57" spans="1:8" x14ac:dyDescent="0.25">
      <c r="A57">
        <v>1498078</v>
      </c>
      <c r="B57" t="s">
        <v>4095</v>
      </c>
      <c r="C57" t="s">
        <v>33</v>
      </c>
      <c r="D57" t="s">
        <v>54</v>
      </c>
      <c r="E57" t="s">
        <v>55</v>
      </c>
      <c r="F57" t="s">
        <v>591</v>
      </c>
      <c r="G57" t="s">
        <v>589</v>
      </c>
      <c r="H57" t="s">
        <v>4099</v>
      </c>
    </row>
    <row r="58" spans="1:8" x14ac:dyDescent="0.25">
      <c r="A58">
        <v>1498079</v>
      </c>
      <c r="B58" t="s">
        <v>4095</v>
      </c>
      <c r="C58" t="s">
        <v>33</v>
      </c>
      <c r="D58" t="s">
        <v>54</v>
      </c>
      <c r="E58" t="s">
        <v>55</v>
      </c>
      <c r="F58" t="s">
        <v>590</v>
      </c>
      <c r="G58" t="s">
        <v>500</v>
      </c>
      <c r="H58" t="s">
        <v>4100</v>
      </c>
    </row>
    <row r="59" spans="1:8" x14ac:dyDescent="0.25">
      <c r="A59">
        <v>1522271</v>
      </c>
      <c r="B59" t="s">
        <v>4095</v>
      </c>
      <c r="C59" t="s">
        <v>33</v>
      </c>
      <c r="D59" t="s">
        <v>574</v>
      </c>
      <c r="E59" t="s">
        <v>50</v>
      </c>
      <c r="F59" t="s">
        <v>4101</v>
      </c>
      <c r="G59" t="s">
        <v>575</v>
      </c>
      <c r="H59" t="s">
        <v>4102</v>
      </c>
    </row>
    <row r="60" spans="1:8" x14ac:dyDescent="0.25">
      <c r="A60">
        <v>1522272</v>
      </c>
      <c r="B60" t="s">
        <v>4095</v>
      </c>
      <c r="C60" t="s">
        <v>33</v>
      </c>
      <c r="D60" t="s">
        <v>574</v>
      </c>
      <c r="E60" t="s">
        <v>50</v>
      </c>
      <c r="F60" t="s">
        <v>595</v>
      </c>
      <c r="G60" t="s">
        <v>4103</v>
      </c>
      <c r="H60" t="s">
        <v>4104</v>
      </c>
    </row>
    <row r="61" spans="1:8" x14ac:dyDescent="0.25">
      <c r="A61">
        <v>1391562</v>
      </c>
      <c r="B61" t="s">
        <v>4105</v>
      </c>
      <c r="C61" t="s">
        <v>33</v>
      </c>
      <c r="D61" t="s">
        <v>338</v>
      </c>
      <c r="E61" t="s">
        <v>50</v>
      </c>
      <c r="F61" t="s">
        <v>4106</v>
      </c>
      <c r="G61" t="s">
        <v>4107</v>
      </c>
      <c r="H61" t="s">
        <v>4108</v>
      </c>
    </row>
    <row r="62" spans="1:8" x14ac:dyDescent="0.25">
      <c r="A62">
        <v>1395256</v>
      </c>
      <c r="B62" t="s">
        <v>4105</v>
      </c>
      <c r="C62" t="s">
        <v>33</v>
      </c>
      <c r="D62" t="s">
        <v>64</v>
      </c>
      <c r="E62" t="s">
        <v>720</v>
      </c>
      <c r="F62" t="s">
        <v>4109</v>
      </c>
      <c r="G62" t="s">
        <v>3113</v>
      </c>
      <c r="H62" t="s">
        <v>4110</v>
      </c>
    </row>
    <row r="63" spans="1:8" x14ac:dyDescent="0.25">
      <c r="A63">
        <v>1400189</v>
      </c>
      <c r="B63" t="s">
        <v>4105</v>
      </c>
      <c r="C63" t="s">
        <v>33</v>
      </c>
      <c r="D63" t="s">
        <v>405</v>
      </c>
      <c r="E63" t="s">
        <v>50</v>
      </c>
      <c r="F63" t="s">
        <v>457</v>
      </c>
      <c r="G63" t="s">
        <v>4111</v>
      </c>
      <c r="H63" t="s">
        <v>4112</v>
      </c>
    </row>
    <row r="64" spans="1:8" x14ac:dyDescent="0.25">
      <c r="A64">
        <v>1400905</v>
      </c>
      <c r="B64" t="s">
        <v>4105</v>
      </c>
      <c r="C64" t="s">
        <v>33</v>
      </c>
      <c r="D64" t="s">
        <v>63</v>
      </c>
      <c r="E64" t="s">
        <v>272</v>
      </c>
      <c r="F64" t="s">
        <v>4113</v>
      </c>
      <c r="G64" t="s">
        <v>4114</v>
      </c>
      <c r="H64" t="s">
        <v>4115</v>
      </c>
    </row>
    <row r="65" spans="1:8" x14ac:dyDescent="0.25">
      <c r="A65">
        <v>1451578</v>
      </c>
      <c r="B65" t="s">
        <v>4105</v>
      </c>
      <c r="C65" t="s">
        <v>33</v>
      </c>
      <c r="D65" t="s">
        <v>45</v>
      </c>
      <c r="E65" t="s">
        <v>46</v>
      </c>
      <c r="F65" t="s">
        <v>4116</v>
      </c>
      <c r="G65" t="s">
        <v>514</v>
      </c>
      <c r="H65" t="s">
        <v>4117</v>
      </c>
    </row>
    <row r="66" spans="1:8" x14ac:dyDescent="0.25">
      <c r="A66">
        <v>1469464</v>
      </c>
      <c r="B66" t="s">
        <v>4105</v>
      </c>
      <c r="C66" t="s">
        <v>33</v>
      </c>
      <c r="D66" t="s">
        <v>3330</v>
      </c>
      <c r="E66" t="s">
        <v>48</v>
      </c>
      <c r="F66" t="s">
        <v>4118</v>
      </c>
      <c r="G66" t="s">
        <v>4119</v>
      </c>
      <c r="H66" t="s">
        <v>4120</v>
      </c>
    </row>
    <row r="67" spans="1:8" x14ac:dyDescent="0.25">
      <c r="A67">
        <v>1469465</v>
      </c>
      <c r="B67" t="s">
        <v>4105</v>
      </c>
      <c r="C67" t="s">
        <v>33</v>
      </c>
      <c r="D67" t="s">
        <v>3330</v>
      </c>
      <c r="E67" t="s">
        <v>48</v>
      </c>
      <c r="F67" t="s">
        <v>4121</v>
      </c>
      <c r="G67" t="s">
        <v>4122</v>
      </c>
      <c r="H67" t="s">
        <v>4123</v>
      </c>
    </row>
    <row r="68" spans="1:8" x14ac:dyDescent="0.25">
      <c r="A68">
        <v>1469466</v>
      </c>
      <c r="B68" t="s">
        <v>4105</v>
      </c>
      <c r="C68" t="s">
        <v>33</v>
      </c>
      <c r="D68" t="s">
        <v>3330</v>
      </c>
      <c r="E68" t="s">
        <v>48</v>
      </c>
      <c r="F68" t="s">
        <v>4124</v>
      </c>
      <c r="G68" t="s">
        <v>4125</v>
      </c>
      <c r="H68" t="s">
        <v>4126</v>
      </c>
    </row>
    <row r="69" spans="1:8" x14ac:dyDescent="0.25">
      <c r="A69">
        <v>1469467</v>
      </c>
      <c r="B69" t="s">
        <v>4105</v>
      </c>
      <c r="C69" t="s">
        <v>33</v>
      </c>
      <c r="D69" t="s">
        <v>3330</v>
      </c>
      <c r="E69" t="s">
        <v>48</v>
      </c>
      <c r="F69" t="s">
        <v>4127</v>
      </c>
      <c r="G69" t="s">
        <v>4128</v>
      </c>
      <c r="H69" t="s">
        <v>4129</v>
      </c>
    </row>
    <row r="70" spans="1:8" x14ac:dyDescent="0.25">
      <c r="A70">
        <v>1469470</v>
      </c>
      <c r="B70" t="s">
        <v>4105</v>
      </c>
      <c r="C70" t="s">
        <v>33</v>
      </c>
      <c r="D70" t="s">
        <v>3330</v>
      </c>
      <c r="E70" t="s">
        <v>48</v>
      </c>
      <c r="F70" t="s">
        <v>4130</v>
      </c>
      <c r="G70" t="s">
        <v>1661</v>
      </c>
      <c r="H70" t="s">
        <v>4131</v>
      </c>
    </row>
    <row r="71" spans="1:8" x14ac:dyDescent="0.25">
      <c r="A71">
        <v>1529466</v>
      </c>
      <c r="B71" t="s">
        <v>4105</v>
      </c>
      <c r="C71" t="s">
        <v>33</v>
      </c>
      <c r="D71" t="s">
        <v>435</v>
      </c>
      <c r="E71" t="s">
        <v>48</v>
      </c>
      <c r="F71" t="s">
        <v>4132</v>
      </c>
      <c r="G71" t="s">
        <v>4133</v>
      </c>
      <c r="H71" t="s">
        <v>4134</v>
      </c>
    </row>
    <row r="72" spans="1:8" x14ac:dyDescent="0.25">
      <c r="A72">
        <v>1384355</v>
      </c>
      <c r="B72" t="s">
        <v>4135</v>
      </c>
      <c r="C72" t="s">
        <v>33</v>
      </c>
      <c r="D72" t="s">
        <v>269</v>
      </c>
      <c r="E72" t="s">
        <v>777</v>
      </c>
      <c r="F72" t="s">
        <v>4136</v>
      </c>
      <c r="G72" t="s">
        <v>4137</v>
      </c>
      <c r="H72" t="s">
        <v>4138</v>
      </c>
    </row>
    <row r="73" spans="1:8" x14ac:dyDescent="0.25">
      <c r="A73">
        <v>1445902</v>
      </c>
      <c r="B73" t="s">
        <v>4135</v>
      </c>
      <c r="C73" t="s">
        <v>33</v>
      </c>
      <c r="D73" t="s">
        <v>67</v>
      </c>
      <c r="E73" t="s">
        <v>696</v>
      </c>
      <c r="F73" t="s">
        <v>4139</v>
      </c>
      <c r="G73" t="s">
        <v>4140</v>
      </c>
      <c r="H73" t="s">
        <v>4141</v>
      </c>
    </row>
    <row r="74" spans="1:8" x14ac:dyDescent="0.25">
      <c r="A74">
        <v>1381729</v>
      </c>
      <c r="B74" t="s">
        <v>4142</v>
      </c>
      <c r="C74" t="s">
        <v>33</v>
      </c>
      <c r="D74" t="s">
        <v>52</v>
      </c>
      <c r="E74" t="s">
        <v>53</v>
      </c>
      <c r="F74" t="s">
        <v>521</v>
      </c>
      <c r="G74" t="s">
        <v>4143</v>
      </c>
      <c r="H74" t="s">
        <v>4144</v>
      </c>
    </row>
    <row r="75" spans="1:8" x14ac:dyDescent="0.25">
      <c r="A75">
        <v>1385093</v>
      </c>
      <c r="B75" t="s">
        <v>4142</v>
      </c>
      <c r="C75" t="s">
        <v>33</v>
      </c>
      <c r="D75" t="s">
        <v>64</v>
      </c>
      <c r="E75" t="s">
        <v>267</v>
      </c>
      <c r="F75" t="s">
        <v>4145</v>
      </c>
      <c r="G75" t="s">
        <v>4146</v>
      </c>
      <c r="H75" t="s">
        <v>4147</v>
      </c>
    </row>
    <row r="76" spans="1:8" x14ac:dyDescent="0.25">
      <c r="A76">
        <v>1385094</v>
      </c>
      <c r="B76" t="s">
        <v>4142</v>
      </c>
      <c r="C76" t="s">
        <v>33</v>
      </c>
      <c r="D76" t="s">
        <v>64</v>
      </c>
      <c r="E76" t="s">
        <v>267</v>
      </c>
      <c r="F76" t="s">
        <v>4148</v>
      </c>
      <c r="G76" t="s">
        <v>4149</v>
      </c>
      <c r="H76" t="s">
        <v>4150</v>
      </c>
    </row>
    <row r="77" spans="1:8" x14ac:dyDescent="0.25">
      <c r="A77">
        <v>1389970</v>
      </c>
      <c r="B77" t="s">
        <v>4142</v>
      </c>
      <c r="C77" t="s">
        <v>35</v>
      </c>
      <c r="D77" t="s">
        <v>109</v>
      </c>
      <c r="E77" t="s">
        <v>307</v>
      </c>
      <c r="F77" t="s">
        <v>4151</v>
      </c>
      <c r="G77" t="s">
        <v>4152</v>
      </c>
      <c r="H77" t="s">
        <v>4153</v>
      </c>
    </row>
    <row r="78" spans="1:8" x14ac:dyDescent="0.25">
      <c r="A78">
        <v>1389972</v>
      </c>
      <c r="B78" t="s">
        <v>4142</v>
      </c>
      <c r="C78" t="s">
        <v>35</v>
      </c>
      <c r="D78" t="s">
        <v>109</v>
      </c>
      <c r="E78" t="s">
        <v>307</v>
      </c>
      <c r="F78" t="s">
        <v>4154</v>
      </c>
      <c r="G78" t="s">
        <v>308</v>
      </c>
      <c r="H78" t="s">
        <v>4155</v>
      </c>
    </row>
    <row r="79" spans="1:8" x14ac:dyDescent="0.25">
      <c r="A79">
        <v>1394649</v>
      </c>
      <c r="B79" t="s">
        <v>4142</v>
      </c>
      <c r="C79" t="s">
        <v>33</v>
      </c>
      <c r="D79" t="s">
        <v>43</v>
      </c>
      <c r="E79" t="s">
        <v>62</v>
      </c>
      <c r="F79" t="s">
        <v>606</v>
      </c>
      <c r="G79" t="s">
        <v>4156</v>
      </c>
      <c r="H79" t="s">
        <v>4157</v>
      </c>
    </row>
    <row r="80" spans="1:8" x14ac:dyDescent="0.25">
      <c r="A80">
        <v>1394655</v>
      </c>
      <c r="B80" t="s">
        <v>4142</v>
      </c>
      <c r="C80" t="s">
        <v>33</v>
      </c>
      <c r="D80" t="s">
        <v>43</v>
      </c>
      <c r="E80" t="s">
        <v>62</v>
      </c>
      <c r="F80" t="s">
        <v>4158</v>
      </c>
      <c r="G80" t="s">
        <v>607</v>
      </c>
      <c r="H80" t="s">
        <v>4159</v>
      </c>
    </row>
    <row r="81" spans="1:8" x14ac:dyDescent="0.25">
      <c r="A81">
        <v>1380056</v>
      </c>
      <c r="B81" t="s">
        <v>4160</v>
      </c>
      <c r="C81" t="s">
        <v>33</v>
      </c>
      <c r="D81" t="s">
        <v>79</v>
      </c>
      <c r="E81" t="s">
        <v>356</v>
      </c>
      <c r="F81" t="s">
        <v>4161</v>
      </c>
      <c r="G81" t="s">
        <v>4162</v>
      </c>
      <c r="H81" t="s">
        <v>4163</v>
      </c>
    </row>
    <row r="82" spans="1:8" x14ac:dyDescent="0.25">
      <c r="A82">
        <v>1380599</v>
      </c>
      <c r="B82" t="s">
        <v>4160</v>
      </c>
      <c r="C82" t="s">
        <v>33</v>
      </c>
      <c r="D82" t="s">
        <v>52</v>
      </c>
      <c r="E82" t="s">
        <v>58</v>
      </c>
      <c r="F82" t="s">
        <v>525</v>
      </c>
      <c r="G82" t="s">
        <v>4164</v>
      </c>
      <c r="H82" t="s">
        <v>4165</v>
      </c>
    </row>
    <row r="83" spans="1:8" x14ac:dyDescent="0.25">
      <c r="A83">
        <v>1385993</v>
      </c>
      <c r="B83" t="s">
        <v>4160</v>
      </c>
      <c r="C83" t="s">
        <v>33</v>
      </c>
      <c r="D83" t="s">
        <v>97</v>
      </c>
      <c r="E83" t="s">
        <v>98</v>
      </c>
      <c r="F83" t="s">
        <v>4166</v>
      </c>
      <c r="G83" t="s">
        <v>4167</v>
      </c>
      <c r="H83" t="s">
        <v>4168</v>
      </c>
    </row>
    <row r="84" spans="1:8" x14ac:dyDescent="0.25">
      <c r="A84">
        <v>1389976</v>
      </c>
      <c r="B84" t="s">
        <v>4160</v>
      </c>
      <c r="C84" t="s">
        <v>35</v>
      </c>
      <c r="D84" t="s">
        <v>109</v>
      </c>
      <c r="E84" t="s">
        <v>307</v>
      </c>
      <c r="F84" t="s">
        <v>4169</v>
      </c>
      <c r="G84" t="s">
        <v>526</v>
      </c>
      <c r="H84" t="s">
        <v>4170</v>
      </c>
    </row>
    <row r="85" spans="1:8" x14ac:dyDescent="0.25">
      <c r="A85">
        <v>1398185</v>
      </c>
      <c r="B85" t="s">
        <v>4160</v>
      </c>
      <c r="C85" t="s">
        <v>33</v>
      </c>
      <c r="D85" t="s">
        <v>54</v>
      </c>
      <c r="E85" t="s">
        <v>266</v>
      </c>
      <c r="F85" t="s">
        <v>4171</v>
      </c>
      <c r="G85" t="s">
        <v>527</v>
      </c>
      <c r="H85" t="s">
        <v>4172</v>
      </c>
    </row>
    <row r="86" spans="1:8" x14ac:dyDescent="0.25">
      <c r="A86">
        <v>1415532</v>
      </c>
      <c r="B86" t="s">
        <v>4160</v>
      </c>
      <c r="C86" t="s">
        <v>33</v>
      </c>
      <c r="D86" t="s">
        <v>733</v>
      </c>
      <c r="E86" t="s">
        <v>70</v>
      </c>
      <c r="F86" t="s">
        <v>4173</v>
      </c>
      <c r="G86" t="s">
        <v>4174</v>
      </c>
      <c r="H86" t="s">
        <v>4175</v>
      </c>
    </row>
    <row r="87" spans="1:8" x14ac:dyDescent="0.25">
      <c r="A87">
        <v>1415533</v>
      </c>
      <c r="B87" t="s">
        <v>4160</v>
      </c>
      <c r="C87" t="s">
        <v>33</v>
      </c>
      <c r="D87" t="s">
        <v>733</v>
      </c>
      <c r="E87" t="s">
        <v>70</v>
      </c>
      <c r="F87" t="s">
        <v>4176</v>
      </c>
      <c r="G87" t="s">
        <v>4177</v>
      </c>
      <c r="H87" t="s">
        <v>4178</v>
      </c>
    </row>
    <row r="88" spans="1:8" x14ac:dyDescent="0.25">
      <c r="A88">
        <v>1486358</v>
      </c>
      <c r="B88" t="s">
        <v>4160</v>
      </c>
      <c r="C88" t="s">
        <v>33</v>
      </c>
      <c r="D88" t="s">
        <v>86</v>
      </c>
      <c r="E88" t="s">
        <v>724</v>
      </c>
      <c r="F88" t="s">
        <v>4179</v>
      </c>
      <c r="G88" t="s">
        <v>4180</v>
      </c>
      <c r="H88" t="s">
        <v>4181</v>
      </c>
    </row>
    <row r="89" spans="1:8" x14ac:dyDescent="0.25">
      <c r="A89">
        <v>1522647</v>
      </c>
      <c r="B89" t="s">
        <v>4160</v>
      </c>
      <c r="C89" t="s">
        <v>33</v>
      </c>
      <c r="D89" t="s">
        <v>279</v>
      </c>
      <c r="E89" t="s">
        <v>362</v>
      </c>
      <c r="F89" t="s">
        <v>4182</v>
      </c>
      <c r="G89" t="s">
        <v>4183</v>
      </c>
      <c r="H89" t="s">
        <v>4184</v>
      </c>
    </row>
    <row r="90" spans="1:8" x14ac:dyDescent="0.25">
      <c r="A90">
        <v>1522648</v>
      </c>
      <c r="B90" t="s">
        <v>4160</v>
      </c>
      <c r="C90" t="s">
        <v>33</v>
      </c>
      <c r="D90" t="s">
        <v>279</v>
      </c>
      <c r="E90" t="s">
        <v>362</v>
      </c>
      <c r="F90" t="s">
        <v>4185</v>
      </c>
      <c r="G90" t="s">
        <v>4186</v>
      </c>
      <c r="H90" t="s">
        <v>4187</v>
      </c>
    </row>
    <row r="91" spans="1:8" x14ac:dyDescent="0.25">
      <c r="A91">
        <v>1530674</v>
      </c>
      <c r="B91" t="s">
        <v>4160</v>
      </c>
      <c r="C91" t="s">
        <v>33</v>
      </c>
      <c r="D91" t="s">
        <v>20</v>
      </c>
      <c r="E91" t="s">
        <v>735</v>
      </c>
      <c r="F91" t="s">
        <v>4188</v>
      </c>
      <c r="G91" t="s">
        <v>4189</v>
      </c>
      <c r="H91" t="s">
        <v>4190</v>
      </c>
    </row>
    <row r="92" spans="1:8" x14ac:dyDescent="0.25">
      <c r="A92">
        <v>1524404</v>
      </c>
      <c r="B92" t="s">
        <v>4191</v>
      </c>
      <c r="C92" t="s">
        <v>35</v>
      </c>
      <c r="D92" t="s">
        <v>22</v>
      </c>
      <c r="E92" t="s">
        <v>306</v>
      </c>
      <c r="F92" t="s">
        <v>516</v>
      </c>
      <c r="G92" t="s">
        <v>273</v>
      </c>
      <c r="H92" t="s">
        <v>4192</v>
      </c>
    </row>
    <row r="93" spans="1:8" x14ac:dyDescent="0.25">
      <c r="A93">
        <v>1477328</v>
      </c>
      <c r="B93" t="s">
        <v>4193</v>
      </c>
      <c r="C93" t="s">
        <v>35</v>
      </c>
      <c r="D93" t="s">
        <v>109</v>
      </c>
      <c r="E93" t="s">
        <v>237</v>
      </c>
      <c r="F93" t="s">
        <v>4194</v>
      </c>
      <c r="G93" t="s">
        <v>4195</v>
      </c>
      <c r="H93" t="s">
        <v>4196</v>
      </c>
    </row>
    <row r="94" spans="1:8" x14ac:dyDescent="0.25">
      <c r="A94">
        <v>1507860</v>
      </c>
      <c r="B94" t="s">
        <v>4193</v>
      </c>
      <c r="C94" t="s">
        <v>33</v>
      </c>
      <c r="D94" t="s">
        <v>729</v>
      </c>
      <c r="E94" t="s">
        <v>730</v>
      </c>
      <c r="F94" t="s">
        <v>80</v>
      </c>
      <c r="G94" t="s">
        <v>4197</v>
      </c>
      <c r="H94" t="s">
        <v>4198</v>
      </c>
    </row>
    <row r="95" spans="1:8" x14ac:dyDescent="0.25">
      <c r="A95">
        <v>1382213</v>
      </c>
      <c r="B95" t="s">
        <v>4199</v>
      </c>
      <c r="C95" t="s">
        <v>33</v>
      </c>
      <c r="D95" t="s">
        <v>59</v>
      </c>
      <c r="E95" t="s">
        <v>89</v>
      </c>
      <c r="F95" t="s">
        <v>4200</v>
      </c>
      <c r="G95" t="s">
        <v>616</v>
      </c>
      <c r="H95" t="s">
        <v>4201</v>
      </c>
    </row>
    <row r="96" spans="1:8" x14ac:dyDescent="0.25">
      <c r="A96">
        <v>1393977</v>
      </c>
      <c r="B96" t="s">
        <v>4199</v>
      </c>
      <c r="C96" t="s">
        <v>33</v>
      </c>
      <c r="D96" t="s">
        <v>418</v>
      </c>
      <c r="E96" t="s">
        <v>419</v>
      </c>
      <c r="F96" t="s">
        <v>4202</v>
      </c>
      <c r="G96" t="s">
        <v>621</v>
      </c>
      <c r="H96" t="s">
        <v>4203</v>
      </c>
    </row>
    <row r="97" spans="1:8" x14ac:dyDescent="0.25">
      <c r="A97">
        <v>1434109</v>
      </c>
      <c r="B97" t="s">
        <v>4199</v>
      </c>
      <c r="C97" t="s">
        <v>33</v>
      </c>
      <c r="D97" t="s">
        <v>66</v>
      </c>
      <c r="E97" t="s">
        <v>312</v>
      </c>
      <c r="F97" t="s">
        <v>4204</v>
      </c>
      <c r="G97" t="s">
        <v>535</v>
      </c>
      <c r="H97" t="s">
        <v>4205</v>
      </c>
    </row>
    <row r="98" spans="1:8" x14ac:dyDescent="0.25">
      <c r="A98">
        <v>1434550</v>
      </c>
      <c r="B98" t="s">
        <v>4199</v>
      </c>
      <c r="C98" t="s">
        <v>33</v>
      </c>
      <c r="D98" t="s">
        <v>66</v>
      </c>
      <c r="E98" t="s">
        <v>78</v>
      </c>
      <c r="F98" t="s">
        <v>4206</v>
      </c>
      <c r="G98" t="s">
        <v>4207</v>
      </c>
      <c r="H98" t="s">
        <v>4208</v>
      </c>
    </row>
    <row r="99" spans="1:8" x14ac:dyDescent="0.25">
      <c r="A99">
        <v>1434551</v>
      </c>
      <c r="B99" t="s">
        <v>4199</v>
      </c>
      <c r="C99" t="s">
        <v>33</v>
      </c>
      <c r="D99" t="s">
        <v>66</v>
      </c>
      <c r="E99" t="s">
        <v>78</v>
      </c>
      <c r="F99" t="s">
        <v>310</v>
      </c>
      <c r="G99" t="s">
        <v>4209</v>
      </c>
      <c r="H99" t="s">
        <v>4210</v>
      </c>
    </row>
    <row r="100" spans="1:8" x14ac:dyDescent="0.25">
      <c r="A100">
        <v>1434552</v>
      </c>
      <c r="B100" t="s">
        <v>4199</v>
      </c>
      <c r="C100" t="s">
        <v>33</v>
      </c>
      <c r="D100" t="s">
        <v>66</v>
      </c>
      <c r="E100" t="s">
        <v>78</v>
      </c>
      <c r="F100" t="s">
        <v>4211</v>
      </c>
      <c r="G100" t="s">
        <v>4212</v>
      </c>
      <c r="H100" t="s">
        <v>4213</v>
      </c>
    </row>
    <row r="101" spans="1:8" x14ac:dyDescent="0.25">
      <c r="A101">
        <v>1434553</v>
      </c>
      <c r="B101" t="s">
        <v>4199</v>
      </c>
      <c r="C101" t="s">
        <v>33</v>
      </c>
      <c r="D101" t="s">
        <v>66</v>
      </c>
      <c r="E101" t="s">
        <v>78</v>
      </c>
      <c r="F101" t="s">
        <v>505</v>
      </c>
      <c r="G101" t="s">
        <v>4214</v>
      </c>
      <c r="H101" t="s">
        <v>4215</v>
      </c>
    </row>
    <row r="102" spans="1:8" x14ac:dyDescent="0.25">
      <c r="A102">
        <v>1392073</v>
      </c>
      <c r="B102" t="s">
        <v>4216</v>
      </c>
      <c r="C102" t="s">
        <v>33</v>
      </c>
      <c r="D102" t="s">
        <v>41</v>
      </c>
      <c r="E102" t="s">
        <v>76</v>
      </c>
      <c r="F102" t="s">
        <v>4217</v>
      </c>
      <c r="G102" t="s">
        <v>4218</v>
      </c>
      <c r="H102" t="s">
        <v>4219</v>
      </c>
    </row>
    <row r="103" spans="1:8" x14ac:dyDescent="0.25">
      <c r="A103">
        <v>1418893</v>
      </c>
      <c r="B103" t="s">
        <v>4216</v>
      </c>
      <c r="C103" t="s">
        <v>33</v>
      </c>
      <c r="D103" t="s">
        <v>221</v>
      </c>
      <c r="E103" t="s">
        <v>50</v>
      </c>
      <c r="F103" t="s">
        <v>4220</v>
      </c>
      <c r="G103" t="s">
        <v>4221</v>
      </c>
      <c r="H103" t="s">
        <v>4222</v>
      </c>
    </row>
    <row r="104" spans="1:8" x14ac:dyDescent="0.25">
      <c r="A104">
        <v>1418894</v>
      </c>
      <c r="B104" t="s">
        <v>4216</v>
      </c>
      <c r="C104" t="s">
        <v>33</v>
      </c>
      <c r="D104" t="s">
        <v>221</v>
      </c>
      <c r="E104" t="s">
        <v>50</v>
      </c>
      <c r="F104" t="s">
        <v>4223</v>
      </c>
      <c r="G104" t="s">
        <v>4224</v>
      </c>
      <c r="H104" t="s">
        <v>4225</v>
      </c>
    </row>
    <row r="105" spans="1:8" x14ac:dyDescent="0.25">
      <c r="A105">
        <v>1439658</v>
      </c>
      <c r="B105" t="s">
        <v>4216</v>
      </c>
      <c r="C105" t="s">
        <v>33</v>
      </c>
      <c r="D105" t="s">
        <v>42</v>
      </c>
      <c r="E105" t="s">
        <v>1684</v>
      </c>
      <c r="F105" t="s">
        <v>4226</v>
      </c>
      <c r="G105" t="s">
        <v>4227</v>
      </c>
      <c r="H105" t="s">
        <v>4228</v>
      </c>
    </row>
    <row r="106" spans="1:8" x14ac:dyDescent="0.25">
      <c r="A106">
        <v>1439661</v>
      </c>
      <c r="B106" t="s">
        <v>4216</v>
      </c>
      <c r="C106" t="s">
        <v>33</v>
      </c>
      <c r="D106" t="s">
        <v>42</v>
      </c>
      <c r="E106" t="s">
        <v>1684</v>
      </c>
      <c r="F106" t="s">
        <v>4229</v>
      </c>
      <c r="G106" t="s">
        <v>4230</v>
      </c>
      <c r="H106" t="s">
        <v>4231</v>
      </c>
    </row>
    <row r="107" spans="1:8" x14ac:dyDescent="0.25">
      <c r="A107">
        <v>1439665</v>
      </c>
      <c r="B107" t="s">
        <v>4216</v>
      </c>
      <c r="C107" t="s">
        <v>33</v>
      </c>
      <c r="D107" t="s">
        <v>42</v>
      </c>
      <c r="E107" t="s">
        <v>1684</v>
      </c>
      <c r="F107" t="s">
        <v>4232</v>
      </c>
      <c r="G107" t="s">
        <v>4233</v>
      </c>
      <c r="H107" t="s">
        <v>4234</v>
      </c>
    </row>
    <row r="108" spans="1:8" x14ac:dyDescent="0.25">
      <c r="A108">
        <v>1440038</v>
      </c>
      <c r="B108" t="s">
        <v>4216</v>
      </c>
      <c r="C108" t="s">
        <v>33</v>
      </c>
      <c r="D108" t="s">
        <v>42</v>
      </c>
      <c r="E108" t="s">
        <v>2319</v>
      </c>
      <c r="F108" t="s">
        <v>4235</v>
      </c>
      <c r="G108" t="s">
        <v>4236</v>
      </c>
      <c r="H108" t="s">
        <v>4237</v>
      </c>
    </row>
    <row r="109" spans="1:8" x14ac:dyDescent="0.25">
      <c r="A109">
        <v>1440039</v>
      </c>
      <c r="B109" t="s">
        <v>4216</v>
      </c>
      <c r="C109" t="s">
        <v>33</v>
      </c>
      <c r="D109" t="s">
        <v>42</v>
      </c>
      <c r="E109" t="s">
        <v>2319</v>
      </c>
      <c r="F109" t="s">
        <v>4238</v>
      </c>
      <c r="G109" t="s">
        <v>4239</v>
      </c>
      <c r="H109" t="s">
        <v>4240</v>
      </c>
    </row>
    <row r="110" spans="1:8" x14ac:dyDescent="0.25">
      <c r="A110">
        <v>1440043</v>
      </c>
      <c r="B110" t="s">
        <v>4216</v>
      </c>
      <c r="C110" t="s">
        <v>33</v>
      </c>
      <c r="D110" t="s">
        <v>42</v>
      </c>
      <c r="E110" t="s">
        <v>2319</v>
      </c>
      <c r="F110" t="s">
        <v>4241</v>
      </c>
      <c r="G110" t="s">
        <v>4242</v>
      </c>
      <c r="H110" t="s">
        <v>4243</v>
      </c>
    </row>
    <row r="111" spans="1:8" x14ac:dyDescent="0.25">
      <c r="A111">
        <v>1523414</v>
      </c>
      <c r="B111" t="s">
        <v>4216</v>
      </c>
      <c r="C111" t="s">
        <v>33</v>
      </c>
      <c r="D111" t="s">
        <v>66</v>
      </c>
      <c r="E111" t="s">
        <v>94</v>
      </c>
      <c r="F111" t="s">
        <v>4244</v>
      </c>
      <c r="G111" t="s">
        <v>622</v>
      </c>
      <c r="H111" t="s">
        <v>4245</v>
      </c>
    </row>
    <row r="112" spans="1:8" x14ac:dyDescent="0.25">
      <c r="A112">
        <v>1378140</v>
      </c>
      <c r="B112" t="s">
        <v>4246</v>
      </c>
      <c r="C112" t="s">
        <v>33</v>
      </c>
      <c r="D112" t="s">
        <v>42</v>
      </c>
      <c r="E112" t="s">
        <v>61</v>
      </c>
      <c r="F112" t="s">
        <v>4247</v>
      </c>
      <c r="G112" t="s">
        <v>4248</v>
      </c>
      <c r="H112" t="s">
        <v>4249</v>
      </c>
    </row>
    <row r="113" spans="1:8" x14ac:dyDescent="0.25">
      <c r="A113">
        <v>1389336</v>
      </c>
      <c r="B113" t="s">
        <v>4246</v>
      </c>
      <c r="C113" t="s">
        <v>33</v>
      </c>
      <c r="D113" t="s">
        <v>90</v>
      </c>
      <c r="E113" t="s">
        <v>238</v>
      </c>
      <c r="F113" t="s">
        <v>4250</v>
      </c>
      <c r="G113" t="s">
        <v>633</v>
      </c>
      <c r="H113" t="s">
        <v>4251</v>
      </c>
    </row>
    <row r="114" spans="1:8" x14ac:dyDescent="0.25">
      <c r="A114">
        <v>1395612</v>
      </c>
      <c r="B114" t="s">
        <v>4246</v>
      </c>
      <c r="C114" t="s">
        <v>33</v>
      </c>
      <c r="D114" t="s">
        <v>242</v>
      </c>
      <c r="E114" t="s">
        <v>243</v>
      </c>
      <c r="F114" t="s">
        <v>372</v>
      </c>
      <c r="G114" t="s">
        <v>373</v>
      </c>
      <c r="H114" t="s">
        <v>4252</v>
      </c>
    </row>
    <row r="115" spans="1:8" x14ac:dyDescent="0.25">
      <c r="A115">
        <v>1492623</v>
      </c>
      <c r="B115" t="s">
        <v>4246</v>
      </c>
      <c r="C115" t="s">
        <v>33</v>
      </c>
      <c r="D115" t="s">
        <v>377</v>
      </c>
      <c r="E115" t="s">
        <v>26</v>
      </c>
      <c r="F115" t="s">
        <v>667</v>
      </c>
      <c r="G115" t="s">
        <v>668</v>
      </c>
      <c r="H115" t="s">
        <v>4253</v>
      </c>
    </row>
    <row r="116" spans="1:8" x14ac:dyDescent="0.25">
      <c r="A116">
        <v>1391082</v>
      </c>
      <c r="B116" t="s">
        <v>4254</v>
      </c>
      <c r="C116" t="s">
        <v>33</v>
      </c>
      <c r="D116" t="s">
        <v>41</v>
      </c>
      <c r="E116" t="s">
        <v>75</v>
      </c>
      <c r="F116" t="s">
        <v>4255</v>
      </c>
      <c r="G116" t="s">
        <v>4256</v>
      </c>
      <c r="H116" t="s">
        <v>4257</v>
      </c>
    </row>
    <row r="117" spans="1:8" x14ac:dyDescent="0.25">
      <c r="A117">
        <v>1524351</v>
      </c>
      <c r="B117" t="s">
        <v>4254</v>
      </c>
      <c r="C117" t="s">
        <v>33</v>
      </c>
      <c r="D117" t="s">
        <v>30</v>
      </c>
      <c r="E117" t="s">
        <v>4258</v>
      </c>
      <c r="F117" t="s">
        <v>4259</v>
      </c>
      <c r="G117" t="s">
        <v>4260</v>
      </c>
      <c r="H117" t="s">
        <v>4261</v>
      </c>
    </row>
    <row r="118" spans="1:8" x14ac:dyDescent="0.25">
      <c r="A118">
        <v>1524352</v>
      </c>
      <c r="B118" t="s">
        <v>4254</v>
      </c>
      <c r="C118" t="s">
        <v>33</v>
      </c>
      <c r="D118" t="s">
        <v>30</v>
      </c>
      <c r="E118" t="s">
        <v>4258</v>
      </c>
      <c r="F118" t="s">
        <v>4262</v>
      </c>
      <c r="G118" t="s">
        <v>4263</v>
      </c>
      <c r="H118" t="s">
        <v>4264</v>
      </c>
    </row>
    <row r="119" spans="1:8" x14ac:dyDescent="0.25">
      <c r="A119">
        <v>1524353</v>
      </c>
      <c r="B119" t="s">
        <v>4254</v>
      </c>
      <c r="C119" t="s">
        <v>33</v>
      </c>
      <c r="D119" t="s">
        <v>30</v>
      </c>
      <c r="E119" t="s">
        <v>4258</v>
      </c>
      <c r="F119" t="s">
        <v>4265</v>
      </c>
      <c r="G119" t="s">
        <v>4266</v>
      </c>
      <c r="H119" t="s">
        <v>4267</v>
      </c>
    </row>
    <row r="120" spans="1:8" x14ac:dyDescent="0.25">
      <c r="A120">
        <v>1396461</v>
      </c>
      <c r="B120" t="s">
        <v>4268</v>
      </c>
      <c r="C120" t="s">
        <v>33</v>
      </c>
      <c r="D120" t="s">
        <v>54</v>
      </c>
      <c r="E120" t="s">
        <v>101</v>
      </c>
      <c r="F120" t="s">
        <v>379</v>
      </c>
      <c r="G120" t="s">
        <v>311</v>
      </c>
      <c r="H120" t="s">
        <v>4269</v>
      </c>
    </row>
    <row r="121" spans="1:8" x14ac:dyDescent="0.25">
      <c r="A121">
        <v>1501584</v>
      </c>
      <c r="B121" t="s">
        <v>4270</v>
      </c>
      <c r="C121" t="s">
        <v>33</v>
      </c>
      <c r="D121" t="s">
        <v>290</v>
      </c>
      <c r="E121" t="s">
        <v>50</v>
      </c>
      <c r="F121" t="s">
        <v>292</v>
      </c>
      <c r="G121" t="s">
        <v>4271</v>
      </c>
      <c r="H121" t="s">
        <v>4272</v>
      </c>
    </row>
    <row r="122" spans="1:8" x14ac:dyDescent="0.25">
      <c r="A122">
        <v>1524401</v>
      </c>
      <c r="B122" t="s">
        <v>4270</v>
      </c>
      <c r="C122" t="s">
        <v>35</v>
      </c>
      <c r="D122" t="s">
        <v>22</v>
      </c>
      <c r="E122" t="s">
        <v>306</v>
      </c>
      <c r="F122" t="s">
        <v>531</v>
      </c>
      <c r="G122" t="s">
        <v>530</v>
      </c>
      <c r="H122" t="s">
        <v>4273</v>
      </c>
    </row>
    <row r="123" spans="1:8" x14ac:dyDescent="0.25">
      <c r="A123">
        <v>1511511</v>
      </c>
      <c r="B123" t="s">
        <v>4274</v>
      </c>
      <c r="C123" t="s">
        <v>33</v>
      </c>
      <c r="D123" t="s">
        <v>380</v>
      </c>
      <c r="E123" t="s">
        <v>104</v>
      </c>
      <c r="F123" t="s">
        <v>4275</v>
      </c>
      <c r="G123" t="s">
        <v>4276</v>
      </c>
      <c r="H123" t="s">
        <v>4277</v>
      </c>
    </row>
    <row r="124" spans="1:8" x14ac:dyDescent="0.25">
      <c r="A124">
        <v>1505012</v>
      </c>
      <c r="B124" t="s">
        <v>4278</v>
      </c>
      <c r="C124" t="s">
        <v>33</v>
      </c>
      <c r="D124" t="s">
        <v>381</v>
      </c>
      <c r="E124" t="s">
        <v>382</v>
      </c>
      <c r="F124" t="s">
        <v>4279</v>
      </c>
      <c r="G124" t="s">
        <v>4280</v>
      </c>
      <c r="H124" t="s">
        <v>4281</v>
      </c>
    </row>
    <row r="125" spans="1:8" x14ac:dyDescent="0.25">
      <c r="A125">
        <v>1526464</v>
      </c>
      <c r="B125" t="s">
        <v>4278</v>
      </c>
      <c r="C125" t="s">
        <v>33</v>
      </c>
      <c r="D125" t="s">
        <v>73</v>
      </c>
      <c r="E125" t="s">
        <v>74</v>
      </c>
      <c r="F125" t="s">
        <v>4282</v>
      </c>
      <c r="G125" t="s">
        <v>638</v>
      </c>
      <c r="H125" t="s">
        <v>4283</v>
      </c>
    </row>
    <row r="126" spans="1:8" x14ac:dyDescent="0.25">
      <c r="A126">
        <v>1526323</v>
      </c>
      <c r="B126" t="s">
        <v>4284</v>
      </c>
      <c r="C126" t="s">
        <v>33</v>
      </c>
      <c r="D126" t="s">
        <v>20</v>
      </c>
      <c r="E126" t="s">
        <v>316</v>
      </c>
      <c r="F126" t="s">
        <v>4285</v>
      </c>
      <c r="G126" t="s">
        <v>4286</v>
      </c>
      <c r="H126" t="s">
        <v>4287</v>
      </c>
    </row>
    <row r="127" spans="1:8" x14ac:dyDescent="0.25">
      <c r="A127">
        <v>1530166</v>
      </c>
      <c r="B127" t="s">
        <v>4284</v>
      </c>
      <c r="C127" t="s">
        <v>33</v>
      </c>
      <c r="D127" t="s">
        <v>22</v>
      </c>
      <c r="E127" t="s">
        <v>822</v>
      </c>
      <c r="F127" t="s">
        <v>4288</v>
      </c>
      <c r="G127" t="s">
        <v>4289</v>
      </c>
      <c r="H127" t="s">
        <v>4290</v>
      </c>
    </row>
    <row r="128" spans="1:8" x14ac:dyDescent="0.25">
      <c r="A128">
        <v>1512527</v>
      </c>
      <c r="B128" t="s">
        <v>4291</v>
      </c>
      <c r="C128" t="s">
        <v>33</v>
      </c>
      <c r="D128" t="s">
        <v>397</v>
      </c>
      <c r="E128" t="s">
        <v>28</v>
      </c>
      <c r="F128" t="s">
        <v>644</v>
      </c>
      <c r="G128" t="s">
        <v>4292</v>
      </c>
      <c r="H128" t="s">
        <v>4293</v>
      </c>
    </row>
    <row r="129" spans="1:8" x14ac:dyDescent="0.25">
      <c r="A129">
        <v>1529473</v>
      </c>
      <c r="B129" t="s">
        <v>4291</v>
      </c>
      <c r="C129" t="s">
        <v>33</v>
      </c>
      <c r="D129" t="s">
        <v>282</v>
      </c>
      <c r="E129" t="s">
        <v>50</v>
      </c>
      <c r="F129" t="s">
        <v>4294</v>
      </c>
      <c r="G129" t="s">
        <v>550</v>
      </c>
      <c r="H129" t="s">
        <v>4295</v>
      </c>
    </row>
    <row r="130" spans="1:8" x14ac:dyDescent="0.25">
      <c r="A130">
        <v>1501169</v>
      </c>
      <c r="B130" t="s">
        <v>4296</v>
      </c>
      <c r="C130" t="s">
        <v>33</v>
      </c>
      <c r="D130" t="s">
        <v>20</v>
      </c>
      <c r="E130" t="s">
        <v>222</v>
      </c>
      <c r="F130" t="s">
        <v>455</v>
      </c>
      <c r="G130" t="s">
        <v>4297</v>
      </c>
      <c r="H130" t="s">
        <v>4298</v>
      </c>
    </row>
    <row r="131" spans="1:8" x14ac:dyDescent="0.25">
      <c r="A131">
        <v>1505394</v>
      </c>
      <c r="B131" t="s">
        <v>4296</v>
      </c>
      <c r="C131" t="s">
        <v>33</v>
      </c>
      <c r="D131" t="s">
        <v>380</v>
      </c>
      <c r="E131" t="s">
        <v>28</v>
      </c>
      <c r="F131" t="s">
        <v>4299</v>
      </c>
      <c r="G131" t="s">
        <v>4300</v>
      </c>
      <c r="H131" t="s">
        <v>4301</v>
      </c>
    </row>
    <row r="132" spans="1:8" x14ac:dyDescent="0.25">
      <c r="A132">
        <v>1506078</v>
      </c>
      <c r="B132" t="s">
        <v>4296</v>
      </c>
      <c r="C132" t="s">
        <v>33</v>
      </c>
      <c r="D132" t="s">
        <v>30</v>
      </c>
      <c r="E132" t="s">
        <v>31</v>
      </c>
      <c r="F132" t="s">
        <v>4302</v>
      </c>
      <c r="G132" t="s">
        <v>4303</v>
      </c>
      <c r="H132" t="s">
        <v>4304</v>
      </c>
    </row>
    <row r="133" spans="1:8" x14ac:dyDescent="0.25">
      <c r="A133">
        <v>1506026</v>
      </c>
      <c r="B133" t="s">
        <v>4305</v>
      </c>
      <c r="C133" t="s">
        <v>33</v>
      </c>
      <c r="D133" t="s">
        <v>30</v>
      </c>
      <c r="E133" t="s">
        <v>31</v>
      </c>
      <c r="F133" t="s">
        <v>4306</v>
      </c>
      <c r="G133" t="s">
        <v>4307</v>
      </c>
      <c r="H133" t="s">
        <v>4308</v>
      </c>
    </row>
    <row r="134" spans="1:8" x14ac:dyDescent="0.25">
      <c r="A134">
        <v>1505010</v>
      </c>
      <c r="B134" t="s">
        <v>4309</v>
      </c>
      <c r="C134" t="s">
        <v>33</v>
      </c>
      <c r="D134" t="s">
        <v>381</v>
      </c>
      <c r="E134" t="s">
        <v>382</v>
      </c>
      <c r="F134" t="s">
        <v>4310</v>
      </c>
      <c r="G134" t="s">
        <v>4311</v>
      </c>
      <c r="H134" t="s">
        <v>4312</v>
      </c>
    </row>
    <row r="135" spans="1:8" x14ac:dyDescent="0.25">
      <c r="A135">
        <v>1511506</v>
      </c>
      <c r="B135" t="s">
        <v>4309</v>
      </c>
      <c r="C135" t="s">
        <v>33</v>
      </c>
      <c r="D135" t="s">
        <v>380</v>
      </c>
      <c r="E135" t="s">
        <v>104</v>
      </c>
      <c r="F135" t="s">
        <v>4313</v>
      </c>
      <c r="G135" t="s">
        <v>4314</v>
      </c>
      <c r="H135" t="s">
        <v>4315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AEDC2-E3AC-46BE-93E6-29B7634FB038}">
  <sheetPr codeName="Sheet6"/>
  <dimension ref="A1:K1"/>
  <sheetViews>
    <sheetView workbookViewId="0">
      <selection activeCell="C21" sqref="C21"/>
    </sheetView>
  </sheetViews>
  <sheetFormatPr defaultRowHeight="15" x14ac:dyDescent="0.25"/>
  <cols>
    <col min="1" max="1" width="7.140625" bestFit="1" customWidth="1"/>
    <col min="2" max="2" width="13.85546875" bestFit="1" customWidth="1"/>
    <col min="3" max="3" width="12.42578125" bestFit="1" customWidth="1"/>
    <col min="4" max="4" width="9.7109375" bestFit="1" customWidth="1"/>
    <col min="5" max="5" width="10.85546875" bestFit="1" customWidth="1"/>
    <col min="6" max="6" width="10.140625" bestFit="1" customWidth="1"/>
    <col min="7" max="7" width="8.140625" bestFit="1" customWidth="1"/>
    <col min="8" max="8" width="8.42578125" bestFit="1" customWidth="1"/>
    <col min="9" max="9" width="11.140625" bestFit="1" customWidth="1"/>
    <col min="10" max="10" width="8.85546875" bestFit="1" customWidth="1"/>
    <col min="11" max="11" width="7.5703125" bestFit="1" customWidth="1"/>
    <col min="12" max="12" width="11.140625" bestFit="1" customWidth="1"/>
  </cols>
  <sheetData>
    <row r="1" spans="1:11" x14ac:dyDescent="0.25">
      <c r="A1" t="s">
        <v>112</v>
      </c>
      <c r="B1" t="s">
        <v>113</v>
      </c>
      <c r="C1" t="s">
        <v>116</v>
      </c>
      <c r="D1" t="s">
        <v>117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115</v>
      </c>
      <c r="K1" t="s">
        <v>114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8D1F1-45F2-4843-9199-C6D6D6120762}">
  <sheetPr codeName="Sheet7"/>
  <dimension ref="A1:AZ11"/>
  <sheetViews>
    <sheetView workbookViewId="0">
      <selection activeCell="G47" sqref="G47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15.42578125" bestFit="1" customWidth="1"/>
    <col min="5" max="5" width="49.28515625" bestFit="1" customWidth="1"/>
    <col min="6" max="6" width="15.28515625" bestFit="1" customWidth="1"/>
    <col min="7" max="7" width="49.28515625" bestFit="1" customWidth="1"/>
    <col min="8" max="8" width="16.28515625" bestFit="1" customWidth="1"/>
    <col min="9" max="9" width="48.7109375" bestFit="1" customWidth="1"/>
    <col min="10" max="10" width="41.57031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123</v>
      </c>
      <c r="C1" t="s">
        <v>12</v>
      </c>
      <c r="D1" t="s">
        <v>13</v>
      </c>
      <c r="E1" t="s">
        <v>124</v>
      </c>
      <c r="F1" t="s">
        <v>14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164</v>
      </c>
      <c r="AU1" t="s">
        <v>165</v>
      </c>
      <c r="AV1" t="s">
        <v>166</v>
      </c>
      <c r="AW1" t="s">
        <v>167</v>
      </c>
      <c r="AX1" t="s">
        <v>168</v>
      </c>
      <c r="AY1" t="s">
        <v>169</v>
      </c>
      <c r="AZ1" t="s">
        <v>170</v>
      </c>
    </row>
    <row r="2" spans="1:52" x14ac:dyDescent="0.25">
      <c r="A2">
        <v>1523412</v>
      </c>
      <c r="B2" t="s">
        <v>712</v>
      </c>
      <c r="C2" t="s">
        <v>66</v>
      </c>
      <c r="D2" t="s">
        <v>94</v>
      </c>
      <c r="E2" t="s">
        <v>4326</v>
      </c>
      <c r="F2" t="s">
        <v>629</v>
      </c>
      <c r="G2" t="s">
        <v>4327</v>
      </c>
      <c r="H2" t="s">
        <v>713</v>
      </c>
      <c r="I2" t="s">
        <v>4328</v>
      </c>
      <c r="J2" t="s">
        <v>4329</v>
      </c>
      <c r="K2">
        <v>1</v>
      </c>
      <c r="L2">
        <v>2</v>
      </c>
      <c r="M2">
        <v>0</v>
      </c>
      <c r="N2">
        <v>1</v>
      </c>
      <c r="O2">
        <v>1</v>
      </c>
      <c r="P2">
        <v>2</v>
      </c>
      <c r="Q2">
        <v>5</v>
      </c>
      <c r="R2">
        <v>8</v>
      </c>
      <c r="S2">
        <v>9</v>
      </c>
      <c r="T2">
        <v>6</v>
      </c>
      <c r="U2">
        <v>18</v>
      </c>
      <c r="V2">
        <v>19</v>
      </c>
      <c r="W2">
        <v>4</v>
      </c>
      <c r="X2">
        <v>5</v>
      </c>
      <c r="Y2">
        <v>11</v>
      </c>
      <c r="Z2">
        <v>17</v>
      </c>
      <c r="AA2">
        <v>7</v>
      </c>
      <c r="AB2">
        <v>2</v>
      </c>
      <c r="AC2">
        <v>16</v>
      </c>
      <c r="AD2">
        <v>6</v>
      </c>
      <c r="AE2">
        <v>4</v>
      </c>
      <c r="AF2">
        <v>8</v>
      </c>
      <c r="AG2">
        <v>1</v>
      </c>
      <c r="AH2">
        <v>1</v>
      </c>
      <c r="AI2">
        <v>33</v>
      </c>
      <c r="AJ2">
        <v>67</v>
      </c>
      <c r="AK2">
        <v>4</v>
      </c>
      <c r="AL2">
        <v>2</v>
      </c>
      <c r="AM2">
        <v>0</v>
      </c>
      <c r="AN2">
        <v>0</v>
      </c>
      <c r="AO2">
        <v>5</v>
      </c>
      <c r="AP2">
        <v>4</v>
      </c>
      <c r="AQ2">
        <v>260</v>
      </c>
      <c r="AR2">
        <v>544</v>
      </c>
      <c r="AS2">
        <v>191</v>
      </c>
      <c r="AT2">
        <v>459</v>
      </c>
      <c r="AU2">
        <v>73</v>
      </c>
      <c r="AV2">
        <v>84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1387514</v>
      </c>
      <c r="B3" t="s">
        <v>4330</v>
      </c>
      <c r="C3" t="s">
        <v>66</v>
      </c>
      <c r="D3" t="s">
        <v>268</v>
      </c>
      <c r="E3" t="s">
        <v>4326</v>
      </c>
      <c r="F3" t="s">
        <v>629</v>
      </c>
      <c r="G3" t="s">
        <v>4331</v>
      </c>
      <c r="H3" t="s">
        <v>1727</v>
      </c>
      <c r="I3" t="s">
        <v>4332</v>
      </c>
      <c r="J3" t="s">
        <v>4329</v>
      </c>
      <c r="K3">
        <v>2</v>
      </c>
      <c r="L3">
        <v>2</v>
      </c>
      <c r="M3">
        <v>2</v>
      </c>
      <c r="N3">
        <v>1</v>
      </c>
      <c r="O3">
        <v>2</v>
      </c>
      <c r="P3">
        <v>2</v>
      </c>
      <c r="Q3">
        <v>6</v>
      </c>
      <c r="R3">
        <v>4</v>
      </c>
      <c r="S3">
        <v>4</v>
      </c>
      <c r="T3">
        <v>6</v>
      </c>
      <c r="U3">
        <v>14</v>
      </c>
      <c r="V3">
        <v>16</v>
      </c>
      <c r="W3">
        <v>4</v>
      </c>
      <c r="X3">
        <v>6</v>
      </c>
      <c r="Y3">
        <v>13</v>
      </c>
      <c r="Z3">
        <v>13</v>
      </c>
      <c r="AA3">
        <v>1</v>
      </c>
      <c r="AB3">
        <v>3</v>
      </c>
      <c r="AC3">
        <v>11</v>
      </c>
      <c r="AD3">
        <v>17</v>
      </c>
      <c r="AE3">
        <v>7</v>
      </c>
      <c r="AF3">
        <v>6</v>
      </c>
      <c r="AG3">
        <v>3</v>
      </c>
      <c r="AH3">
        <v>1</v>
      </c>
      <c r="AI3">
        <v>51</v>
      </c>
      <c r="AJ3">
        <v>49</v>
      </c>
      <c r="AK3">
        <v>2</v>
      </c>
      <c r="AL3">
        <v>1</v>
      </c>
      <c r="AM3">
        <v>0</v>
      </c>
      <c r="AN3">
        <v>0</v>
      </c>
      <c r="AO3">
        <v>2</v>
      </c>
      <c r="AP3">
        <v>4</v>
      </c>
      <c r="AQ3">
        <v>406</v>
      </c>
      <c r="AR3">
        <v>383</v>
      </c>
      <c r="AS3">
        <v>296</v>
      </c>
      <c r="AT3">
        <v>260</v>
      </c>
      <c r="AU3">
        <v>73</v>
      </c>
      <c r="AV3">
        <v>68</v>
      </c>
      <c r="AW3">
        <v>2.69</v>
      </c>
      <c r="AX3">
        <v>2.29</v>
      </c>
      <c r="AY3">
        <v>0</v>
      </c>
      <c r="AZ3">
        <v>0</v>
      </c>
    </row>
    <row r="4" spans="1:52" x14ac:dyDescent="0.25">
      <c r="A4">
        <v>1387503</v>
      </c>
      <c r="B4" t="s">
        <v>4333</v>
      </c>
      <c r="C4" t="s">
        <v>66</v>
      </c>
      <c r="D4" t="s">
        <v>268</v>
      </c>
      <c r="E4" t="s">
        <v>4326</v>
      </c>
      <c r="F4" t="s">
        <v>629</v>
      </c>
      <c r="G4" t="s">
        <v>4334</v>
      </c>
      <c r="H4" t="s">
        <v>715</v>
      </c>
      <c r="I4" t="s">
        <v>4332</v>
      </c>
      <c r="J4" t="s">
        <v>4329</v>
      </c>
      <c r="K4">
        <v>0</v>
      </c>
      <c r="L4">
        <v>2</v>
      </c>
      <c r="M4">
        <v>0</v>
      </c>
      <c r="N4">
        <v>1</v>
      </c>
      <c r="O4">
        <v>0</v>
      </c>
      <c r="P4">
        <v>2</v>
      </c>
      <c r="Q4">
        <v>1</v>
      </c>
      <c r="R4">
        <v>4</v>
      </c>
      <c r="S4">
        <v>5</v>
      </c>
      <c r="T4">
        <v>3</v>
      </c>
      <c r="U4">
        <v>11</v>
      </c>
      <c r="V4">
        <v>13</v>
      </c>
      <c r="W4">
        <v>5</v>
      </c>
      <c r="X4">
        <v>6</v>
      </c>
      <c r="Y4">
        <v>5</v>
      </c>
      <c r="Z4">
        <v>9</v>
      </c>
      <c r="AA4">
        <v>6</v>
      </c>
      <c r="AB4">
        <v>4</v>
      </c>
      <c r="AC4">
        <v>13</v>
      </c>
      <c r="AD4">
        <v>13</v>
      </c>
      <c r="AE4">
        <v>2</v>
      </c>
      <c r="AF4">
        <v>4</v>
      </c>
      <c r="AG4">
        <v>2</v>
      </c>
      <c r="AH4">
        <v>2</v>
      </c>
      <c r="AI4">
        <v>55</v>
      </c>
      <c r="AJ4">
        <v>45</v>
      </c>
      <c r="AK4">
        <v>2</v>
      </c>
      <c r="AL4">
        <v>3</v>
      </c>
      <c r="AM4">
        <v>0</v>
      </c>
      <c r="AN4">
        <v>0</v>
      </c>
      <c r="AO4">
        <v>2</v>
      </c>
      <c r="AP4">
        <v>1</v>
      </c>
      <c r="AQ4">
        <v>419</v>
      </c>
      <c r="AR4">
        <v>354</v>
      </c>
      <c r="AS4">
        <v>303</v>
      </c>
      <c r="AT4">
        <v>242</v>
      </c>
      <c r="AU4">
        <v>72</v>
      </c>
      <c r="AV4">
        <v>68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1387289</v>
      </c>
      <c r="B5" t="s">
        <v>4335</v>
      </c>
      <c r="C5" t="s">
        <v>66</v>
      </c>
      <c r="D5" t="s">
        <v>268</v>
      </c>
      <c r="E5" t="s">
        <v>4326</v>
      </c>
      <c r="F5" t="s">
        <v>629</v>
      </c>
      <c r="G5" t="s">
        <v>4336</v>
      </c>
      <c r="H5" t="s">
        <v>759</v>
      </c>
      <c r="I5" t="s">
        <v>4332</v>
      </c>
      <c r="J5" t="s">
        <v>4329</v>
      </c>
      <c r="K5">
        <v>1</v>
      </c>
      <c r="L5">
        <v>2</v>
      </c>
      <c r="M5">
        <v>0</v>
      </c>
      <c r="N5">
        <v>0</v>
      </c>
      <c r="O5">
        <v>1</v>
      </c>
      <c r="P5">
        <v>2</v>
      </c>
      <c r="Q5">
        <v>10</v>
      </c>
      <c r="R5">
        <v>3</v>
      </c>
      <c r="S5">
        <v>8</v>
      </c>
      <c r="T5">
        <v>4</v>
      </c>
      <c r="U5">
        <v>26</v>
      </c>
      <c r="V5">
        <v>7</v>
      </c>
      <c r="W5">
        <v>8</v>
      </c>
      <c r="X5">
        <v>0</v>
      </c>
      <c r="Y5">
        <v>20</v>
      </c>
      <c r="Z5">
        <v>5</v>
      </c>
      <c r="AA5">
        <v>6</v>
      </c>
      <c r="AB5">
        <v>2</v>
      </c>
      <c r="AC5">
        <v>9</v>
      </c>
      <c r="AD5">
        <v>8</v>
      </c>
      <c r="AE5">
        <v>19</v>
      </c>
      <c r="AF5">
        <v>0</v>
      </c>
      <c r="AG5">
        <v>4</v>
      </c>
      <c r="AH5">
        <v>1</v>
      </c>
      <c r="AI5">
        <v>60</v>
      </c>
      <c r="AJ5">
        <v>40</v>
      </c>
      <c r="AK5">
        <v>2</v>
      </c>
      <c r="AL5">
        <v>2</v>
      </c>
      <c r="AM5">
        <v>0</v>
      </c>
      <c r="AN5">
        <v>0</v>
      </c>
      <c r="AO5">
        <v>1</v>
      </c>
      <c r="AP5">
        <v>9</v>
      </c>
      <c r="AQ5">
        <v>435</v>
      </c>
      <c r="AR5">
        <v>321</v>
      </c>
      <c r="AS5">
        <v>341</v>
      </c>
      <c r="AT5">
        <v>231</v>
      </c>
      <c r="AU5">
        <v>78</v>
      </c>
      <c r="AV5">
        <v>72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1387467</v>
      </c>
      <c r="B6" t="s">
        <v>4337</v>
      </c>
      <c r="C6" t="s">
        <v>66</v>
      </c>
      <c r="D6" t="s">
        <v>268</v>
      </c>
      <c r="E6" t="s">
        <v>4326</v>
      </c>
      <c r="F6" t="s">
        <v>629</v>
      </c>
      <c r="G6" t="s">
        <v>4338</v>
      </c>
      <c r="H6" t="s">
        <v>628</v>
      </c>
      <c r="I6" t="s">
        <v>4332</v>
      </c>
      <c r="J6" t="s">
        <v>4329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5</v>
      </c>
      <c r="R6">
        <v>2</v>
      </c>
      <c r="S6">
        <v>5</v>
      </c>
      <c r="T6">
        <v>3</v>
      </c>
      <c r="U6">
        <v>13</v>
      </c>
      <c r="V6">
        <v>8</v>
      </c>
      <c r="W6">
        <v>3</v>
      </c>
      <c r="X6">
        <v>3</v>
      </c>
      <c r="Y6">
        <v>7</v>
      </c>
      <c r="Z6">
        <v>5</v>
      </c>
      <c r="AA6">
        <v>6</v>
      </c>
      <c r="AB6">
        <v>3</v>
      </c>
      <c r="AC6">
        <v>9</v>
      </c>
      <c r="AD6">
        <v>9</v>
      </c>
      <c r="AE6">
        <v>4</v>
      </c>
      <c r="AF6">
        <v>4</v>
      </c>
      <c r="AG6">
        <v>1</v>
      </c>
      <c r="AH6">
        <v>2</v>
      </c>
      <c r="AI6">
        <v>48</v>
      </c>
      <c r="AJ6">
        <v>52</v>
      </c>
      <c r="AK6">
        <v>1</v>
      </c>
      <c r="AL6">
        <v>4</v>
      </c>
      <c r="AM6">
        <v>0</v>
      </c>
      <c r="AN6">
        <v>0</v>
      </c>
      <c r="AO6">
        <v>2</v>
      </c>
      <c r="AP6">
        <v>5</v>
      </c>
      <c r="AQ6">
        <v>448</v>
      </c>
      <c r="AR6">
        <v>499</v>
      </c>
      <c r="AS6">
        <v>344</v>
      </c>
      <c r="AT6">
        <v>405</v>
      </c>
      <c r="AU6">
        <v>77</v>
      </c>
      <c r="AV6">
        <v>81</v>
      </c>
      <c r="AW6">
        <v>1.57</v>
      </c>
      <c r="AX6">
        <v>0.28000000000000003</v>
      </c>
      <c r="AY6">
        <v>0</v>
      </c>
      <c r="AZ6">
        <v>0</v>
      </c>
    </row>
    <row r="7" spans="1:52" x14ac:dyDescent="0.25">
      <c r="A7">
        <v>1387457</v>
      </c>
      <c r="B7" t="s">
        <v>4339</v>
      </c>
      <c r="C7" t="s">
        <v>66</v>
      </c>
      <c r="D7" t="s">
        <v>268</v>
      </c>
      <c r="E7" t="s">
        <v>4326</v>
      </c>
      <c r="F7" t="s">
        <v>629</v>
      </c>
      <c r="G7" t="s">
        <v>4340</v>
      </c>
      <c r="H7" t="s">
        <v>630</v>
      </c>
      <c r="I7" t="s">
        <v>4332</v>
      </c>
      <c r="J7" t="s">
        <v>4329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2</v>
      </c>
      <c r="S7">
        <v>4</v>
      </c>
      <c r="T7">
        <v>8</v>
      </c>
      <c r="U7">
        <v>8</v>
      </c>
      <c r="V7">
        <v>18</v>
      </c>
      <c r="W7">
        <v>3</v>
      </c>
      <c r="X7">
        <v>8</v>
      </c>
      <c r="Y7">
        <v>2</v>
      </c>
      <c r="Z7">
        <v>11</v>
      </c>
      <c r="AA7">
        <v>6</v>
      </c>
      <c r="AB7">
        <v>7</v>
      </c>
      <c r="AC7">
        <v>11</v>
      </c>
      <c r="AD7">
        <v>7</v>
      </c>
      <c r="AE7">
        <v>5</v>
      </c>
      <c r="AF7">
        <v>6</v>
      </c>
      <c r="AG7">
        <v>1</v>
      </c>
      <c r="AH7">
        <v>1</v>
      </c>
      <c r="AI7">
        <v>40</v>
      </c>
      <c r="AJ7">
        <v>60</v>
      </c>
      <c r="AK7">
        <v>0</v>
      </c>
      <c r="AL7">
        <v>1</v>
      </c>
      <c r="AM7">
        <v>0</v>
      </c>
      <c r="AN7">
        <v>0</v>
      </c>
      <c r="AO7">
        <v>2</v>
      </c>
      <c r="AP7">
        <v>1</v>
      </c>
      <c r="AQ7">
        <v>302</v>
      </c>
      <c r="AR7">
        <v>457</v>
      </c>
      <c r="AS7">
        <v>191</v>
      </c>
      <c r="AT7">
        <v>333</v>
      </c>
      <c r="AU7">
        <v>63</v>
      </c>
      <c r="AV7">
        <v>73</v>
      </c>
      <c r="AW7">
        <v>0.51</v>
      </c>
      <c r="AX7">
        <v>1.79</v>
      </c>
      <c r="AY7">
        <v>0</v>
      </c>
      <c r="AZ7">
        <v>0</v>
      </c>
    </row>
    <row r="8" spans="1:52" x14ac:dyDescent="0.25">
      <c r="A8">
        <v>1387421</v>
      </c>
      <c r="B8" t="s">
        <v>4341</v>
      </c>
      <c r="C8" t="s">
        <v>66</v>
      </c>
      <c r="D8" t="s">
        <v>268</v>
      </c>
      <c r="E8" t="s">
        <v>4326</v>
      </c>
      <c r="F8" t="s">
        <v>629</v>
      </c>
      <c r="G8" t="s">
        <v>4342</v>
      </c>
      <c r="H8" t="s">
        <v>632</v>
      </c>
      <c r="I8" t="s">
        <v>4332</v>
      </c>
      <c r="J8" t="s">
        <v>4329</v>
      </c>
      <c r="K8">
        <v>3</v>
      </c>
      <c r="L8">
        <v>0</v>
      </c>
      <c r="M8">
        <v>0</v>
      </c>
      <c r="N8">
        <v>0</v>
      </c>
      <c r="O8">
        <v>3</v>
      </c>
      <c r="P8">
        <v>0</v>
      </c>
      <c r="Q8">
        <v>4</v>
      </c>
      <c r="R8">
        <v>1</v>
      </c>
      <c r="S8">
        <v>4</v>
      </c>
      <c r="T8">
        <v>2</v>
      </c>
      <c r="U8">
        <v>10</v>
      </c>
      <c r="V8">
        <v>3</v>
      </c>
      <c r="W8">
        <v>2</v>
      </c>
      <c r="X8">
        <v>0</v>
      </c>
      <c r="Y8">
        <v>8</v>
      </c>
      <c r="Z8">
        <v>3</v>
      </c>
      <c r="AA8">
        <v>2</v>
      </c>
      <c r="AB8">
        <v>0</v>
      </c>
      <c r="AC8">
        <v>13</v>
      </c>
      <c r="AD8">
        <v>9</v>
      </c>
      <c r="AE8">
        <v>3</v>
      </c>
      <c r="AF8">
        <v>2</v>
      </c>
      <c r="AG8">
        <v>0</v>
      </c>
      <c r="AH8">
        <v>1</v>
      </c>
      <c r="AI8">
        <v>44</v>
      </c>
      <c r="AJ8">
        <v>56</v>
      </c>
      <c r="AK8">
        <v>2</v>
      </c>
      <c r="AL8">
        <v>0</v>
      </c>
      <c r="AM8">
        <v>0</v>
      </c>
      <c r="AN8">
        <v>0</v>
      </c>
      <c r="AO8">
        <v>1</v>
      </c>
      <c r="AP8">
        <v>1</v>
      </c>
      <c r="AQ8">
        <v>347</v>
      </c>
      <c r="AR8">
        <v>468</v>
      </c>
      <c r="AS8">
        <v>243</v>
      </c>
      <c r="AT8">
        <v>362</v>
      </c>
      <c r="AU8">
        <v>70</v>
      </c>
      <c r="AV8">
        <v>77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1387383</v>
      </c>
      <c r="B9" t="s">
        <v>4343</v>
      </c>
      <c r="C9" t="s">
        <v>66</v>
      </c>
      <c r="D9" t="s">
        <v>268</v>
      </c>
      <c r="E9" t="s">
        <v>4326</v>
      </c>
      <c r="F9" t="s">
        <v>629</v>
      </c>
      <c r="G9" t="s">
        <v>4344</v>
      </c>
      <c r="H9" t="s">
        <v>758</v>
      </c>
      <c r="I9" t="s">
        <v>4332</v>
      </c>
      <c r="J9" t="s">
        <v>4329</v>
      </c>
      <c r="K9">
        <v>3</v>
      </c>
      <c r="L9">
        <v>0</v>
      </c>
      <c r="M9">
        <v>2</v>
      </c>
      <c r="N9">
        <v>0</v>
      </c>
      <c r="O9">
        <v>3</v>
      </c>
      <c r="P9">
        <v>0</v>
      </c>
      <c r="Q9">
        <v>8</v>
      </c>
      <c r="R9">
        <v>2</v>
      </c>
      <c r="S9">
        <v>2</v>
      </c>
      <c r="T9">
        <v>4</v>
      </c>
      <c r="U9">
        <v>14</v>
      </c>
      <c r="V9">
        <v>11</v>
      </c>
      <c r="W9">
        <v>4</v>
      </c>
      <c r="X9">
        <v>5</v>
      </c>
      <c r="Y9">
        <v>10</v>
      </c>
      <c r="Z9">
        <v>8</v>
      </c>
      <c r="AA9">
        <v>4</v>
      </c>
      <c r="AB9">
        <v>3</v>
      </c>
      <c r="AC9">
        <v>9</v>
      </c>
      <c r="AD9">
        <v>4</v>
      </c>
      <c r="AE9">
        <v>2</v>
      </c>
      <c r="AF9">
        <v>4</v>
      </c>
      <c r="AG9">
        <v>0</v>
      </c>
      <c r="AH9">
        <v>1</v>
      </c>
      <c r="AI9">
        <v>47</v>
      </c>
      <c r="AJ9">
        <v>53</v>
      </c>
      <c r="AK9">
        <v>2</v>
      </c>
      <c r="AL9">
        <v>0</v>
      </c>
      <c r="AM9">
        <v>0</v>
      </c>
      <c r="AN9">
        <v>0</v>
      </c>
      <c r="AO9">
        <v>2</v>
      </c>
      <c r="AP9">
        <v>5</v>
      </c>
      <c r="AQ9">
        <v>359</v>
      </c>
      <c r="AR9">
        <v>411</v>
      </c>
      <c r="AS9">
        <v>243</v>
      </c>
      <c r="AT9">
        <v>275</v>
      </c>
      <c r="AU9">
        <v>68</v>
      </c>
      <c r="AV9">
        <v>67</v>
      </c>
      <c r="AW9">
        <v>2.52</v>
      </c>
      <c r="AX9">
        <v>1.52</v>
      </c>
      <c r="AY9">
        <v>0</v>
      </c>
      <c r="AZ9">
        <v>0</v>
      </c>
    </row>
    <row r="10" spans="1:52" x14ac:dyDescent="0.25">
      <c r="A10">
        <v>1387346</v>
      </c>
      <c r="B10" t="s">
        <v>4345</v>
      </c>
      <c r="C10" t="s">
        <v>66</v>
      </c>
      <c r="D10" t="s">
        <v>268</v>
      </c>
      <c r="E10" t="s">
        <v>4326</v>
      </c>
      <c r="F10" t="s">
        <v>629</v>
      </c>
      <c r="G10" t="s">
        <v>4346</v>
      </c>
      <c r="H10" t="s">
        <v>634</v>
      </c>
      <c r="I10" t="s">
        <v>4332</v>
      </c>
      <c r="J10" t="s">
        <v>4329</v>
      </c>
      <c r="K10">
        <v>1</v>
      </c>
      <c r="L10">
        <v>2</v>
      </c>
      <c r="M10">
        <v>1</v>
      </c>
      <c r="N10">
        <v>1</v>
      </c>
      <c r="O10">
        <v>1</v>
      </c>
      <c r="P10">
        <v>2</v>
      </c>
      <c r="Q10">
        <v>3</v>
      </c>
      <c r="R10">
        <v>6</v>
      </c>
      <c r="S10">
        <v>7</v>
      </c>
      <c r="T10">
        <v>2</v>
      </c>
      <c r="U10">
        <v>17</v>
      </c>
      <c r="V10">
        <v>9</v>
      </c>
      <c r="W10">
        <v>7</v>
      </c>
      <c r="X10">
        <v>1</v>
      </c>
      <c r="Y10">
        <v>13</v>
      </c>
      <c r="Z10">
        <v>6</v>
      </c>
      <c r="AA10">
        <v>4</v>
      </c>
      <c r="AB10">
        <v>3</v>
      </c>
      <c r="AC10">
        <v>7</v>
      </c>
      <c r="AD10">
        <v>16</v>
      </c>
      <c r="AE10">
        <v>5</v>
      </c>
      <c r="AF10">
        <v>0</v>
      </c>
      <c r="AG10">
        <v>2</v>
      </c>
      <c r="AH10">
        <v>5</v>
      </c>
      <c r="AI10">
        <v>47</v>
      </c>
      <c r="AJ10">
        <v>53</v>
      </c>
      <c r="AK10">
        <v>2</v>
      </c>
      <c r="AL10">
        <v>2</v>
      </c>
      <c r="AM10">
        <v>0</v>
      </c>
      <c r="AN10">
        <v>0</v>
      </c>
      <c r="AO10">
        <v>5</v>
      </c>
      <c r="AP10">
        <v>3</v>
      </c>
      <c r="AQ10">
        <v>378</v>
      </c>
      <c r="AR10">
        <v>445</v>
      </c>
      <c r="AS10">
        <v>269</v>
      </c>
      <c r="AT10">
        <v>338</v>
      </c>
      <c r="AU10">
        <v>71</v>
      </c>
      <c r="AV10">
        <v>76</v>
      </c>
      <c r="AW10">
        <v>2.16</v>
      </c>
      <c r="AX10">
        <v>0.65</v>
      </c>
      <c r="AY10">
        <v>0</v>
      </c>
      <c r="AZ10">
        <v>0</v>
      </c>
    </row>
    <row r="11" spans="1:52" x14ac:dyDescent="0.25">
      <c r="A11">
        <v>1387323</v>
      </c>
      <c r="B11" t="s">
        <v>4347</v>
      </c>
      <c r="C11" t="s">
        <v>66</v>
      </c>
      <c r="D11" t="s">
        <v>268</v>
      </c>
      <c r="E11" t="s">
        <v>4326</v>
      </c>
      <c r="F11" t="s">
        <v>629</v>
      </c>
      <c r="G11" t="s">
        <v>4348</v>
      </c>
      <c r="H11" t="s">
        <v>757</v>
      </c>
      <c r="I11" t="s">
        <v>4332</v>
      </c>
      <c r="J11" t="s">
        <v>4329</v>
      </c>
      <c r="K11">
        <v>0</v>
      </c>
      <c r="L11">
        <v>1</v>
      </c>
      <c r="M11">
        <v>0</v>
      </c>
      <c r="N11">
        <v>1</v>
      </c>
      <c r="O11">
        <v>0</v>
      </c>
      <c r="P11">
        <v>1</v>
      </c>
      <c r="Q11">
        <v>1</v>
      </c>
      <c r="R11">
        <v>5</v>
      </c>
      <c r="S11">
        <v>2</v>
      </c>
      <c r="T11">
        <v>7</v>
      </c>
      <c r="U11">
        <v>6</v>
      </c>
      <c r="V11">
        <v>20</v>
      </c>
      <c r="W11">
        <v>3</v>
      </c>
      <c r="X11">
        <v>8</v>
      </c>
      <c r="Y11">
        <v>2</v>
      </c>
      <c r="Z11">
        <v>12</v>
      </c>
      <c r="AA11">
        <v>4</v>
      </c>
      <c r="AB11">
        <v>8</v>
      </c>
      <c r="AC11">
        <v>10</v>
      </c>
      <c r="AD11">
        <v>10</v>
      </c>
      <c r="AE11">
        <v>3</v>
      </c>
      <c r="AF11">
        <v>5</v>
      </c>
      <c r="AG11">
        <v>0</v>
      </c>
      <c r="AH11">
        <v>0</v>
      </c>
      <c r="AI11">
        <v>25</v>
      </c>
      <c r="AJ11">
        <v>75</v>
      </c>
      <c r="AK11">
        <v>0</v>
      </c>
      <c r="AL11">
        <v>1</v>
      </c>
      <c r="AM11">
        <v>1</v>
      </c>
      <c r="AN11">
        <v>0</v>
      </c>
      <c r="AO11">
        <v>4</v>
      </c>
      <c r="AP11">
        <v>1</v>
      </c>
      <c r="AQ11">
        <v>222</v>
      </c>
      <c r="AR11">
        <v>699</v>
      </c>
      <c r="AS11">
        <v>140</v>
      </c>
      <c r="AT11">
        <v>642</v>
      </c>
      <c r="AU11">
        <v>63</v>
      </c>
      <c r="AV11">
        <v>92</v>
      </c>
      <c r="AW11">
        <v>0</v>
      </c>
      <c r="AX11">
        <v>0</v>
      </c>
      <c r="AY11">
        <v>0</v>
      </c>
      <c r="AZ1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54982-76DD-4B70-BD7D-71AC5F5953DE}">
  <sheetPr codeName="Sheet8"/>
  <dimension ref="A1:AZ11"/>
  <sheetViews>
    <sheetView workbookViewId="0">
      <selection activeCell="E23" sqref="E23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23" bestFit="1" customWidth="1"/>
    <col min="5" max="5" width="49.28515625" bestFit="1" customWidth="1"/>
    <col min="6" max="6" width="17.85546875" bestFit="1" customWidth="1"/>
    <col min="7" max="7" width="47.28515625" bestFit="1" customWidth="1"/>
    <col min="8" max="8" width="12" bestFit="1" customWidth="1"/>
    <col min="9" max="9" width="48.7109375" bestFit="1" customWidth="1"/>
    <col min="10" max="10" width="41.57031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123</v>
      </c>
      <c r="C1" t="s">
        <v>12</v>
      </c>
      <c r="D1" t="s">
        <v>13</v>
      </c>
      <c r="E1" t="s">
        <v>124</v>
      </c>
      <c r="F1" t="s">
        <v>14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164</v>
      </c>
      <c r="AU1" t="s">
        <v>165</v>
      </c>
      <c r="AV1" t="s">
        <v>166</v>
      </c>
      <c r="AW1" t="s">
        <v>167</v>
      </c>
      <c r="AX1" t="s">
        <v>168</v>
      </c>
      <c r="AY1" t="s">
        <v>169</v>
      </c>
      <c r="AZ1" t="s">
        <v>170</v>
      </c>
    </row>
    <row r="2" spans="1:52" x14ac:dyDescent="0.25">
      <c r="A2">
        <v>1523412</v>
      </c>
      <c r="B2" t="s">
        <v>712</v>
      </c>
      <c r="C2" t="s">
        <v>66</v>
      </c>
      <c r="D2" t="s">
        <v>94</v>
      </c>
      <c r="E2" t="s">
        <v>4326</v>
      </c>
      <c r="F2" t="s">
        <v>629</v>
      </c>
      <c r="G2" t="s">
        <v>4327</v>
      </c>
      <c r="H2" t="s">
        <v>713</v>
      </c>
      <c r="I2" t="s">
        <v>4328</v>
      </c>
      <c r="J2" t="s">
        <v>4329</v>
      </c>
      <c r="K2">
        <v>1</v>
      </c>
      <c r="L2">
        <v>2</v>
      </c>
      <c r="M2">
        <v>0</v>
      </c>
      <c r="N2">
        <v>1</v>
      </c>
      <c r="O2">
        <v>1</v>
      </c>
      <c r="P2">
        <v>2</v>
      </c>
      <c r="Q2">
        <v>5</v>
      </c>
      <c r="R2">
        <v>8</v>
      </c>
      <c r="S2">
        <v>9</v>
      </c>
      <c r="T2">
        <v>6</v>
      </c>
      <c r="U2">
        <v>18</v>
      </c>
      <c r="V2">
        <v>19</v>
      </c>
      <c r="W2">
        <v>4</v>
      </c>
      <c r="X2">
        <v>5</v>
      </c>
      <c r="Y2">
        <v>11</v>
      </c>
      <c r="Z2">
        <v>17</v>
      </c>
      <c r="AA2">
        <v>7</v>
      </c>
      <c r="AB2">
        <v>2</v>
      </c>
      <c r="AC2">
        <v>16</v>
      </c>
      <c r="AD2">
        <v>6</v>
      </c>
      <c r="AE2">
        <v>4</v>
      </c>
      <c r="AF2">
        <v>8</v>
      </c>
      <c r="AG2">
        <v>1</v>
      </c>
      <c r="AH2">
        <v>1</v>
      </c>
      <c r="AI2">
        <v>33</v>
      </c>
      <c r="AJ2">
        <v>67</v>
      </c>
      <c r="AK2">
        <v>4</v>
      </c>
      <c r="AL2">
        <v>2</v>
      </c>
      <c r="AM2">
        <v>0</v>
      </c>
      <c r="AN2">
        <v>0</v>
      </c>
      <c r="AO2">
        <v>5</v>
      </c>
      <c r="AP2">
        <v>4</v>
      </c>
      <c r="AQ2">
        <v>260</v>
      </c>
      <c r="AR2">
        <v>544</v>
      </c>
      <c r="AS2">
        <v>191</v>
      </c>
      <c r="AT2">
        <v>459</v>
      </c>
      <c r="AU2">
        <v>73</v>
      </c>
      <c r="AV2">
        <v>84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1379251</v>
      </c>
      <c r="B3" t="s">
        <v>4349</v>
      </c>
      <c r="C3" t="s">
        <v>66</v>
      </c>
      <c r="D3" t="s">
        <v>50</v>
      </c>
      <c r="E3" t="s">
        <v>4350</v>
      </c>
      <c r="F3" t="s">
        <v>4351</v>
      </c>
      <c r="G3" t="s">
        <v>4327</v>
      </c>
      <c r="H3" t="s">
        <v>713</v>
      </c>
      <c r="I3" t="s">
        <v>4352</v>
      </c>
      <c r="J3" t="s">
        <v>4329</v>
      </c>
      <c r="K3">
        <v>0</v>
      </c>
      <c r="L3">
        <v>1</v>
      </c>
      <c r="M3">
        <v>0</v>
      </c>
      <c r="N3">
        <v>1</v>
      </c>
      <c r="O3">
        <v>0</v>
      </c>
      <c r="P3">
        <v>1</v>
      </c>
      <c r="Q3">
        <v>3</v>
      </c>
      <c r="R3">
        <v>2</v>
      </c>
      <c r="S3">
        <v>3</v>
      </c>
      <c r="T3">
        <v>4</v>
      </c>
      <c r="U3">
        <v>11</v>
      </c>
      <c r="V3">
        <v>7</v>
      </c>
      <c r="W3">
        <v>5</v>
      </c>
      <c r="X3">
        <v>1</v>
      </c>
      <c r="Y3">
        <v>6</v>
      </c>
      <c r="Z3">
        <v>6</v>
      </c>
      <c r="AA3">
        <v>5</v>
      </c>
      <c r="AB3">
        <v>1</v>
      </c>
      <c r="AC3">
        <v>14</v>
      </c>
      <c r="AD3">
        <v>12</v>
      </c>
      <c r="AE3">
        <v>4</v>
      </c>
      <c r="AF3">
        <v>3</v>
      </c>
      <c r="AG3">
        <v>3</v>
      </c>
      <c r="AH3">
        <v>0</v>
      </c>
      <c r="AI3">
        <v>60</v>
      </c>
      <c r="AJ3">
        <v>40</v>
      </c>
      <c r="AK3">
        <v>4</v>
      </c>
      <c r="AL3">
        <v>1</v>
      </c>
      <c r="AM3">
        <v>0</v>
      </c>
      <c r="AN3">
        <v>0</v>
      </c>
      <c r="AO3">
        <v>1</v>
      </c>
      <c r="AP3">
        <v>2</v>
      </c>
      <c r="AQ3">
        <v>470</v>
      </c>
      <c r="AR3">
        <v>322</v>
      </c>
      <c r="AS3">
        <v>385</v>
      </c>
      <c r="AT3">
        <v>226</v>
      </c>
      <c r="AU3">
        <v>82</v>
      </c>
      <c r="AV3">
        <v>70</v>
      </c>
      <c r="AW3">
        <v>0.82</v>
      </c>
      <c r="AX3">
        <v>0.47</v>
      </c>
      <c r="AY3">
        <v>0</v>
      </c>
      <c r="AZ3">
        <v>0</v>
      </c>
    </row>
    <row r="4" spans="1:52" x14ac:dyDescent="0.25">
      <c r="A4">
        <v>1379237</v>
      </c>
      <c r="B4" t="s">
        <v>4353</v>
      </c>
      <c r="C4" t="s">
        <v>66</v>
      </c>
      <c r="D4" t="s">
        <v>50</v>
      </c>
      <c r="E4" t="s">
        <v>4354</v>
      </c>
      <c r="F4" t="s">
        <v>4355</v>
      </c>
      <c r="G4" t="s">
        <v>4327</v>
      </c>
      <c r="H4" t="s">
        <v>713</v>
      </c>
      <c r="I4" t="s">
        <v>4352</v>
      </c>
      <c r="J4" t="s">
        <v>4329</v>
      </c>
      <c r="K4">
        <v>1</v>
      </c>
      <c r="L4">
        <v>4</v>
      </c>
      <c r="M4">
        <v>1</v>
      </c>
      <c r="N4">
        <v>1</v>
      </c>
      <c r="O4">
        <v>1</v>
      </c>
      <c r="P4">
        <v>4</v>
      </c>
      <c r="Q4">
        <v>5</v>
      </c>
      <c r="R4">
        <v>7</v>
      </c>
      <c r="S4">
        <v>0</v>
      </c>
      <c r="T4">
        <v>6</v>
      </c>
      <c r="U4">
        <v>6</v>
      </c>
      <c r="V4">
        <v>20</v>
      </c>
      <c r="W4">
        <v>1</v>
      </c>
      <c r="X4">
        <v>7</v>
      </c>
      <c r="Y4">
        <v>3</v>
      </c>
      <c r="Z4">
        <v>13</v>
      </c>
      <c r="AA4">
        <v>3</v>
      </c>
      <c r="AB4">
        <v>7</v>
      </c>
      <c r="AC4">
        <v>17</v>
      </c>
      <c r="AD4">
        <v>11</v>
      </c>
      <c r="AE4">
        <v>2</v>
      </c>
      <c r="AF4">
        <v>5</v>
      </c>
      <c r="AG4">
        <v>0</v>
      </c>
      <c r="AH4">
        <v>0</v>
      </c>
      <c r="AI4">
        <v>40</v>
      </c>
      <c r="AJ4">
        <v>60</v>
      </c>
      <c r="AK4">
        <v>2</v>
      </c>
      <c r="AL4">
        <v>1</v>
      </c>
      <c r="AM4">
        <v>0</v>
      </c>
      <c r="AN4">
        <v>0</v>
      </c>
      <c r="AO4">
        <v>2</v>
      </c>
      <c r="AP4">
        <v>4</v>
      </c>
      <c r="AQ4">
        <v>320</v>
      </c>
      <c r="AR4">
        <v>480</v>
      </c>
      <c r="AS4">
        <v>232</v>
      </c>
      <c r="AT4">
        <v>378</v>
      </c>
      <c r="AU4">
        <v>73</v>
      </c>
      <c r="AV4">
        <v>79</v>
      </c>
      <c r="AW4">
        <v>0.76</v>
      </c>
      <c r="AX4">
        <v>2.0699999999999998</v>
      </c>
      <c r="AY4">
        <v>0</v>
      </c>
      <c r="AZ4">
        <v>0</v>
      </c>
    </row>
    <row r="5" spans="1:52" x14ac:dyDescent="0.25">
      <c r="A5">
        <v>1379278</v>
      </c>
      <c r="B5" t="s">
        <v>4356</v>
      </c>
      <c r="C5" t="s">
        <v>66</v>
      </c>
      <c r="D5" t="s">
        <v>50</v>
      </c>
      <c r="E5" t="s">
        <v>4357</v>
      </c>
      <c r="F5" t="s">
        <v>4358</v>
      </c>
      <c r="G5" t="s">
        <v>4327</v>
      </c>
      <c r="H5" t="s">
        <v>713</v>
      </c>
      <c r="I5" t="s">
        <v>4352</v>
      </c>
      <c r="J5" t="s">
        <v>4329</v>
      </c>
      <c r="K5">
        <v>2</v>
      </c>
      <c r="L5">
        <v>2</v>
      </c>
      <c r="M5">
        <v>0</v>
      </c>
      <c r="N5">
        <v>1</v>
      </c>
      <c r="O5">
        <v>2</v>
      </c>
      <c r="P5">
        <v>2</v>
      </c>
      <c r="Q5">
        <v>2</v>
      </c>
      <c r="R5">
        <v>4</v>
      </c>
      <c r="S5">
        <v>3</v>
      </c>
      <c r="T5">
        <v>4</v>
      </c>
      <c r="U5">
        <v>5</v>
      </c>
      <c r="V5">
        <v>10</v>
      </c>
      <c r="W5">
        <v>0</v>
      </c>
      <c r="X5">
        <v>2</v>
      </c>
      <c r="Y5">
        <v>2</v>
      </c>
      <c r="Z5">
        <v>9</v>
      </c>
      <c r="AA5">
        <v>3</v>
      </c>
      <c r="AB5">
        <v>1</v>
      </c>
      <c r="AC5">
        <v>6</v>
      </c>
      <c r="AD5">
        <v>8</v>
      </c>
      <c r="AE5">
        <v>1</v>
      </c>
      <c r="AF5">
        <v>3</v>
      </c>
      <c r="AG5">
        <v>1</v>
      </c>
      <c r="AH5">
        <v>3</v>
      </c>
      <c r="AI5">
        <v>42</v>
      </c>
      <c r="AJ5">
        <v>58</v>
      </c>
      <c r="AK5">
        <v>2</v>
      </c>
      <c r="AL5">
        <v>1</v>
      </c>
      <c r="AM5">
        <v>0</v>
      </c>
      <c r="AN5">
        <v>0</v>
      </c>
      <c r="AO5">
        <v>2</v>
      </c>
      <c r="AP5">
        <v>0</v>
      </c>
      <c r="AQ5">
        <v>354</v>
      </c>
      <c r="AR5">
        <v>484</v>
      </c>
      <c r="AS5">
        <v>263</v>
      </c>
      <c r="AT5">
        <v>396</v>
      </c>
      <c r="AU5">
        <v>74</v>
      </c>
      <c r="AV5">
        <v>82</v>
      </c>
      <c r="AW5">
        <v>0.28999999999999998</v>
      </c>
      <c r="AX5">
        <v>1.6</v>
      </c>
      <c r="AY5">
        <v>0</v>
      </c>
      <c r="AZ5">
        <v>0</v>
      </c>
    </row>
    <row r="6" spans="1:52" x14ac:dyDescent="0.25">
      <c r="A6">
        <v>1379220</v>
      </c>
      <c r="B6" t="s">
        <v>4359</v>
      </c>
      <c r="C6" t="s">
        <v>66</v>
      </c>
      <c r="D6" t="s">
        <v>50</v>
      </c>
      <c r="E6" t="s">
        <v>4360</v>
      </c>
      <c r="F6" t="s">
        <v>622</v>
      </c>
      <c r="G6" t="s">
        <v>4327</v>
      </c>
      <c r="H6" t="s">
        <v>713</v>
      </c>
      <c r="I6" t="s">
        <v>4352</v>
      </c>
      <c r="J6" t="s">
        <v>4329</v>
      </c>
      <c r="K6">
        <v>1</v>
      </c>
      <c r="L6">
        <v>1</v>
      </c>
      <c r="M6">
        <v>0</v>
      </c>
      <c r="N6">
        <v>0</v>
      </c>
      <c r="O6">
        <v>1</v>
      </c>
      <c r="P6">
        <v>1</v>
      </c>
      <c r="Q6">
        <v>3</v>
      </c>
      <c r="R6">
        <v>2</v>
      </c>
      <c r="S6">
        <v>4</v>
      </c>
      <c r="T6">
        <v>2</v>
      </c>
      <c r="U6">
        <v>12</v>
      </c>
      <c r="V6">
        <v>7</v>
      </c>
      <c r="W6">
        <v>5</v>
      </c>
      <c r="X6">
        <v>3</v>
      </c>
      <c r="Y6">
        <v>9</v>
      </c>
      <c r="Z6">
        <v>6</v>
      </c>
      <c r="AA6">
        <v>3</v>
      </c>
      <c r="AB6">
        <v>1</v>
      </c>
      <c r="AC6">
        <v>12</v>
      </c>
      <c r="AD6">
        <v>11</v>
      </c>
      <c r="AE6">
        <v>6</v>
      </c>
      <c r="AF6">
        <v>4</v>
      </c>
      <c r="AG6">
        <v>0</v>
      </c>
      <c r="AH6">
        <v>0</v>
      </c>
      <c r="AI6">
        <v>41</v>
      </c>
      <c r="AJ6">
        <v>59</v>
      </c>
      <c r="AK6">
        <v>3</v>
      </c>
      <c r="AL6">
        <v>2</v>
      </c>
      <c r="AM6">
        <v>0</v>
      </c>
      <c r="AN6">
        <v>0</v>
      </c>
      <c r="AO6">
        <v>1</v>
      </c>
      <c r="AP6">
        <v>2</v>
      </c>
      <c r="AQ6">
        <v>314</v>
      </c>
      <c r="AR6">
        <v>452</v>
      </c>
      <c r="AS6">
        <v>235</v>
      </c>
      <c r="AT6">
        <v>384</v>
      </c>
      <c r="AU6">
        <v>75</v>
      </c>
      <c r="AV6">
        <v>85</v>
      </c>
      <c r="AW6">
        <v>1.51</v>
      </c>
      <c r="AX6">
        <v>0.6</v>
      </c>
      <c r="AY6">
        <v>0</v>
      </c>
      <c r="AZ6">
        <v>0</v>
      </c>
    </row>
    <row r="7" spans="1:52" x14ac:dyDescent="0.25">
      <c r="A7">
        <v>1379202</v>
      </c>
      <c r="B7" t="s">
        <v>4339</v>
      </c>
      <c r="C7" t="s">
        <v>66</v>
      </c>
      <c r="D7" t="s">
        <v>50</v>
      </c>
      <c r="E7" t="s">
        <v>4361</v>
      </c>
      <c r="F7" t="s">
        <v>623</v>
      </c>
      <c r="G7" t="s">
        <v>4327</v>
      </c>
      <c r="H7" t="s">
        <v>713</v>
      </c>
      <c r="I7" t="s">
        <v>4352</v>
      </c>
      <c r="J7" t="s">
        <v>4329</v>
      </c>
      <c r="K7">
        <v>0</v>
      </c>
      <c r="L7">
        <v>4</v>
      </c>
      <c r="M7">
        <v>0</v>
      </c>
      <c r="N7">
        <v>2</v>
      </c>
      <c r="O7">
        <v>0</v>
      </c>
      <c r="P7">
        <v>4</v>
      </c>
      <c r="Q7">
        <v>1</v>
      </c>
      <c r="R7">
        <v>8</v>
      </c>
      <c r="S7">
        <v>1</v>
      </c>
      <c r="T7">
        <v>4</v>
      </c>
      <c r="U7">
        <v>3</v>
      </c>
      <c r="V7">
        <v>14</v>
      </c>
      <c r="W7">
        <v>1</v>
      </c>
      <c r="X7">
        <v>2</v>
      </c>
      <c r="Y7">
        <v>2</v>
      </c>
      <c r="Z7">
        <v>12</v>
      </c>
      <c r="AA7">
        <v>1</v>
      </c>
      <c r="AB7">
        <v>2</v>
      </c>
      <c r="AC7">
        <v>10</v>
      </c>
      <c r="AD7">
        <v>7</v>
      </c>
      <c r="AE7">
        <v>4</v>
      </c>
      <c r="AF7">
        <v>12</v>
      </c>
      <c r="AG7">
        <v>0</v>
      </c>
      <c r="AH7">
        <v>1</v>
      </c>
      <c r="AI7">
        <v>50</v>
      </c>
      <c r="AJ7">
        <v>50</v>
      </c>
      <c r="AK7">
        <v>1</v>
      </c>
      <c r="AL7">
        <v>1</v>
      </c>
      <c r="AM7">
        <v>0</v>
      </c>
      <c r="AN7">
        <v>0</v>
      </c>
      <c r="AO7">
        <v>4</v>
      </c>
      <c r="AP7">
        <v>1</v>
      </c>
      <c r="AQ7">
        <v>395</v>
      </c>
      <c r="AR7">
        <v>395</v>
      </c>
      <c r="AS7">
        <v>316</v>
      </c>
      <c r="AT7">
        <v>313</v>
      </c>
      <c r="AU7">
        <v>80</v>
      </c>
      <c r="AV7">
        <v>79</v>
      </c>
      <c r="AW7">
        <v>0.15</v>
      </c>
      <c r="AX7">
        <v>2.19</v>
      </c>
      <c r="AY7">
        <v>0</v>
      </c>
      <c r="AZ7">
        <v>0</v>
      </c>
    </row>
    <row r="8" spans="1:52" x14ac:dyDescent="0.25">
      <c r="A8">
        <v>1451136</v>
      </c>
      <c r="B8" t="s">
        <v>4362</v>
      </c>
      <c r="C8" t="s">
        <v>22</v>
      </c>
      <c r="D8" t="s">
        <v>4363</v>
      </c>
      <c r="E8" t="s">
        <v>4364</v>
      </c>
      <c r="F8" t="s">
        <v>275</v>
      </c>
      <c r="G8" t="s">
        <v>4327</v>
      </c>
      <c r="H8" t="s">
        <v>713</v>
      </c>
      <c r="I8" t="s">
        <v>4365</v>
      </c>
      <c r="K8">
        <v>1</v>
      </c>
      <c r="L8">
        <v>3</v>
      </c>
      <c r="M8">
        <v>1</v>
      </c>
      <c r="N8">
        <v>2</v>
      </c>
      <c r="O8">
        <v>1</v>
      </c>
      <c r="P8">
        <v>3</v>
      </c>
      <c r="Q8">
        <v>4</v>
      </c>
      <c r="R8">
        <v>6</v>
      </c>
      <c r="S8">
        <v>6</v>
      </c>
      <c r="T8">
        <v>6</v>
      </c>
      <c r="U8">
        <v>18</v>
      </c>
      <c r="V8">
        <v>17</v>
      </c>
      <c r="W8">
        <v>8</v>
      </c>
      <c r="X8">
        <v>5</v>
      </c>
      <c r="Y8">
        <v>14</v>
      </c>
      <c r="Z8">
        <v>12</v>
      </c>
      <c r="AA8">
        <v>4</v>
      </c>
      <c r="AB8">
        <v>5</v>
      </c>
      <c r="AC8">
        <v>9</v>
      </c>
      <c r="AD8">
        <v>17</v>
      </c>
      <c r="AE8">
        <v>4</v>
      </c>
      <c r="AF8">
        <v>7</v>
      </c>
      <c r="AG8">
        <v>3</v>
      </c>
      <c r="AH8">
        <v>3</v>
      </c>
      <c r="AI8">
        <v>51</v>
      </c>
      <c r="AJ8">
        <v>49</v>
      </c>
      <c r="AK8">
        <v>2</v>
      </c>
      <c r="AL8">
        <v>2</v>
      </c>
      <c r="AM8">
        <v>0</v>
      </c>
      <c r="AN8">
        <v>0</v>
      </c>
      <c r="AO8">
        <v>3</v>
      </c>
      <c r="AP8">
        <v>3</v>
      </c>
      <c r="AQ8">
        <v>446</v>
      </c>
      <c r="AR8">
        <v>420</v>
      </c>
      <c r="AS8">
        <v>386</v>
      </c>
      <c r="AT8">
        <v>348</v>
      </c>
      <c r="AU8">
        <v>87</v>
      </c>
      <c r="AV8">
        <v>83</v>
      </c>
      <c r="AW8">
        <v>1.36</v>
      </c>
      <c r="AX8">
        <v>2.14</v>
      </c>
      <c r="AY8">
        <v>0</v>
      </c>
      <c r="AZ8">
        <v>0</v>
      </c>
    </row>
    <row r="9" spans="1:52" x14ac:dyDescent="0.25">
      <c r="A9">
        <v>1379185</v>
      </c>
      <c r="B9" t="s">
        <v>4366</v>
      </c>
      <c r="C9" t="s">
        <v>66</v>
      </c>
      <c r="D9" t="s">
        <v>50</v>
      </c>
      <c r="E9" t="s">
        <v>4367</v>
      </c>
      <c r="F9" t="s">
        <v>4368</v>
      </c>
      <c r="G9" t="s">
        <v>4327</v>
      </c>
      <c r="H9" t="s">
        <v>713</v>
      </c>
      <c r="I9" t="s">
        <v>4352</v>
      </c>
      <c r="J9" t="s">
        <v>4329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3</v>
      </c>
      <c r="S9">
        <v>3</v>
      </c>
      <c r="T9">
        <v>4</v>
      </c>
      <c r="U9">
        <v>6</v>
      </c>
      <c r="V9">
        <v>15</v>
      </c>
      <c r="W9">
        <v>3</v>
      </c>
      <c r="X9">
        <v>8</v>
      </c>
      <c r="Y9">
        <v>1</v>
      </c>
      <c r="Z9">
        <v>14</v>
      </c>
      <c r="AA9">
        <v>5</v>
      </c>
      <c r="AB9">
        <v>1</v>
      </c>
      <c r="AC9">
        <v>8</v>
      </c>
      <c r="AD9">
        <v>14</v>
      </c>
      <c r="AE9">
        <v>4</v>
      </c>
      <c r="AF9">
        <v>9</v>
      </c>
      <c r="AG9">
        <v>1</v>
      </c>
      <c r="AH9">
        <v>0</v>
      </c>
      <c r="AI9">
        <v>40</v>
      </c>
      <c r="AJ9">
        <v>60</v>
      </c>
      <c r="AK9">
        <v>1</v>
      </c>
      <c r="AL9">
        <v>1</v>
      </c>
      <c r="AM9">
        <v>0</v>
      </c>
      <c r="AN9">
        <v>0</v>
      </c>
      <c r="AO9">
        <v>3</v>
      </c>
      <c r="AP9">
        <v>0</v>
      </c>
      <c r="AQ9">
        <v>321</v>
      </c>
      <c r="AR9">
        <v>494</v>
      </c>
      <c r="AS9">
        <v>259</v>
      </c>
      <c r="AT9">
        <v>416</v>
      </c>
      <c r="AU9">
        <v>81</v>
      </c>
      <c r="AV9">
        <v>84</v>
      </c>
      <c r="AW9">
        <v>0.34</v>
      </c>
      <c r="AX9">
        <v>2.1</v>
      </c>
      <c r="AY9">
        <v>0</v>
      </c>
      <c r="AZ9">
        <v>0</v>
      </c>
    </row>
    <row r="10" spans="1:52" x14ac:dyDescent="0.25">
      <c r="A10">
        <v>1498259</v>
      </c>
      <c r="B10" t="s">
        <v>4369</v>
      </c>
      <c r="C10" t="s">
        <v>66</v>
      </c>
      <c r="D10" t="s">
        <v>92</v>
      </c>
      <c r="E10" t="s">
        <v>4370</v>
      </c>
      <c r="F10" t="s">
        <v>796</v>
      </c>
      <c r="G10" t="s">
        <v>4327</v>
      </c>
      <c r="H10" t="s">
        <v>713</v>
      </c>
      <c r="I10" t="s">
        <v>4371</v>
      </c>
      <c r="J10" t="s">
        <v>4329</v>
      </c>
      <c r="K10">
        <v>2</v>
      </c>
      <c r="L10">
        <v>3</v>
      </c>
      <c r="M10">
        <v>0</v>
      </c>
      <c r="N10">
        <v>1</v>
      </c>
      <c r="O10">
        <v>2</v>
      </c>
      <c r="P10">
        <v>3</v>
      </c>
      <c r="Q10">
        <v>5</v>
      </c>
      <c r="R10">
        <v>6</v>
      </c>
      <c r="S10">
        <v>1</v>
      </c>
      <c r="T10">
        <v>6</v>
      </c>
      <c r="U10">
        <v>10</v>
      </c>
      <c r="V10">
        <v>17</v>
      </c>
      <c r="W10">
        <v>4</v>
      </c>
      <c r="X10">
        <v>5</v>
      </c>
      <c r="Y10">
        <v>7</v>
      </c>
      <c r="Z10">
        <v>12</v>
      </c>
      <c r="AA10">
        <v>3</v>
      </c>
      <c r="AB10">
        <v>5</v>
      </c>
      <c r="AC10">
        <v>12</v>
      </c>
      <c r="AD10">
        <v>14</v>
      </c>
      <c r="AE10">
        <v>6</v>
      </c>
      <c r="AF10">
        <v>9</v>
      </c>
      <c r="AG10">
        <v>4</v>
      </c>
      <c r="AH10">
        <v>2</v>
      </c>
      <c r="AI10">
        <v>58</v>
      </c>
      <c r="AJ10">
        <v>42</v>
      </c>
      <c r="AK10">
        <v>4</v>
      </c>
      <c r="AL10">
        <v>4</v>
      </c>
      <c r="AM10">
        <v>0</v>
      </c>
      <c r="AN10">
        <v>0</v>
      </c>
      <c r="AO10">
        <v>3</v>
      </c>
      <c r="AP10">
        <v>3</v>
      </c>
      <c r="AQ10">
        <v>495</v>
      </c>
      <c r="AR10">
        <v>356</v>
      </c>
      <c r="AS10">
        <v>421</v>
      </c>
      <c r="AT10">
        <v>295</v>
      </c>
      <c r="AU10">
        <v>85</v>
      </c>
      <c r="AV10">
        <v>83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1490810</v>
      </c>
      <c r="B11" t="s">
        <v>4372</v>
      </c>
      <c r="C11" t="s">
        <v>66</v>
      </c>
      <c r="D11" t="s">
        <v>94</v>
      </c>
      <c r="E11" t="s">
        <v>4373</v>
      </c>
      <c r="F11" t="s">
        <v>714</v>
      </c>
      <c r="G11" t="s">
        <v>4327</v>
      </c>
      <c r="H11" t="s">
        <v>713</v>
      </c>
      <c r="I11" t="s">
        <v>4328</v>
      </c>
      <c r="J11" t="s">
        <v>4329</v>
      </c>
      <c r="K11">
        <v>1</v>
      </c>
      <c r="L11">
        <v>4</v>
      </c>
      <c r="M11">
        <v>1</v>
      </c>
      <c r="N11">
        <v>2</v>
      </c>
      <c r="O11">
        <v>1</v>
      </c>
      <c r="P11">
        <v>4</v>
      </c>
      <c r="Q11">
        <v>5</v>
      </c>
      <c r="R11">
        <v>4</v>
      </c>
      <c r="S11">
        <v>3</v>
      </c>
      <c r="T11">
        <v>5</v>
      </c>
      <c r="U11">
        <v>13</v>
      </c>
      <c r="V11">
        <v>15</v>
      </c>
      <c r="W11">
        <v>5</v>
      </c>
      <c r="X11">
        <v>6</v>
      </c>
      <c r="Y11">
        <v>8</v>
      </c>
      <c r="Z11">
        <v>12</v>
      </c>
      <c r="AA11">
        <v>5</v>
      </c>
      <c r="AB11">
        <v>3</v>
      </c>
      <c r="AC11">
        <v>16</v>
      </c>
      <c r="AD11">
        <v>9</v>
      </c>
      <c r="AE11">
        <v>6</v>
      </c>
      <c r="AF11">
        <v>8</v>
      </c>
      <c r="AG11">
        <v>1</v>
      </c>
      <c r="AH11">
        <v>5</v>
      </c>
      <c r="AI11">
        <v>39</v>
      </c>
      <c r="AJ11">
        <v>61</v>
      </c>
      <c r="AK11">
        <v>1</v>
      </c>
      <c r="AL11">
        <v>2</v>
      </c>
      <c r="AM11">
        <v>0</v>
      </c>
      <c r="AN11">
        <v>0</v>
      </c>
      <c r="AO11">
        <v>1</v>
      </c>
      <c r="AP11">
        <v>4</v>
      </c>
      <c r="AQ11">
        <v>273</v>
      </c>
      <c r="AR11">
        <v>442</v>
      </c>
      <c r="AS11">
        <v>196</v>
      </c>
      <c r="AT11">
        <v>372</v>
      </c>
      <c r="AU11">
        <v>72</v>
      </c>
      <c r="AV11">
        <v>84</v>
      </c>
      <c r="AW11">
        <v>1.65</v>
      </c>
      <c r="AX11">
        <v>2.96</v>
      </c>
      <c r="AY11">
        <v>0</v>
      </c>
      <c r="AZ1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A3EC-C410-43DB-B274-FC9F56CC6561}">
  <sheetPr codeName="Sheet9"/>
  <dimension ref="A1:AZ2"/>
  <sheetViews>
    <sheetView workbookViewId="0">
      <selection activeCell="F48" sqref="F48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15.42578125" bestFit="1" customWidth="1"/>
    <col min="5" max="5" width="49.28515625" bestFit="1" customWidth="1"/>
    <col min="6" max="6" width="15.28515625" bestFit="1" customWidth="1"/>
    <col min="7" max="7" width="47.28515625" bestFit="1" customWidth="1"/>
    <col min="8" max="8" width="12" bestFit="1" customWidth="1"/>
    <col min="9" max="9" width="48.7109375" bestFit="1" customWidth="1"/>
    <col min="10" max="10" width="41.57031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123</v>
      </c>
      <c r="C1" t="s">
        <v>12</v>
      </c>
      <c r="D1" t="s">
        <v>13</v>
      </c>
      <c r="E1" t="s">
        <v>124</v>
      </c>
      <c r="F1" t="s">
        <v>14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164</v>
      </c>
      <c r="AU1" t="s">
        <v>165</v>
      </c>
      <c r="AV1" t="s">
        <v>166</v>
      </c>
      <c r="AW1" t="s">
        <v>167</v>
      </c>
      <c r="AX1" t="s">
        <v>168</v>
      </c>
      <c r="AY1" t="s">
        <v>169</v>
      </c>
      <c r="AZ1" t="s">
        <v>170</v>
      </c>
    </row>
    <row r="2" spans="1:52" x14ac:dyDescent="0.25">
      <c r="A2">
        <v>1523412</v>
      </c>
      <c r="B2" t="s">
        <v>712</v>
      </c>
      <c r="C2" t="s">
        <v>66</v>
      </c>
      <c r="D2" t="s">
        <v>94</v>
      </c>
      <c r="E2" t="s">
        <v>4326</v>
      </c>
      <c r="F2" t="s">
        <v>629</v>
      </c>
      <c r="G2" t="s">
        <v>4327</v>
      </c>
      <c r="H2" t="s">
        <v>713</v>
      </c>
      <c r="I2" t="s">
        <v>4328</v>
      </c>
      <c r="J2" t="s">
        <v>4329</v>
      </c>
      <c r="K2">
        <v>1</v>
      </c>
      <c r="L2">
        <v>2</v>
      </c>
      <c r="M2">
        <v>0</v>
      </c>
      <c r="N2">
        <v>1</v>
      </c>
      <c r="O2">
        <v>1</v>
      </c>
      <c r="P2">
        <v>2</v>
      </c>
      <c r="Q2">
        <v>5</v>
      </c>
      <c r="R2">
        <v>8</v>
      </c>
      <c r="S2">
        <v>9</v>
      </c>
      <c r="T2">
        <v>6</v>
      </c>
      <c r="U2">
        <v>18</v>
      </c>
      <c r="V2">
        <v>19</v>
      </c>
      <c r="W2">
        <v>4</v>
      </c>
      <c r="X2">
        <v>5</v>
      </c>
      <c r="Y2">
        <v>11</v>
      </c>
      <c r="Z2">
        <v>17</v>
      </c>
      <c r="AA2">
        <v>7</v>
      </c>
      <c r="AB2">
        <v>2</v>
      </c>
      <c r="AC2">
        <v>16</v>
      </c>
      <c r="AD2">
        <v>6</v>
      </c>
      <c r="AE2">
        <v>4</v>
      </c>
      <c r="AF2">
        <v>8</v>
      </c>
      <c r="AG2">
        <v>1</v>
      </c>
      <c r="AH2">
        <v>1</v>
      </c>
      <c r="AI2">
        <v>33</v>
      </c>
      <c r="AJ2">
        <v>67</v>
      </c>
      <c r="AK2">
        <v>4</v>
      </c>
      <c r="AL2">
        <v>2</v>
      </c>
      <c r="AM2">
        <v>0</v>
      </c>
      <c r="AN2">
        <v>0</v>
      </c>
      <c r="AO2">
        <v>5</v>
      </c>
      <c r="AP2">
        <v>4</v>
      </c>
      <c r="AQ2">
        <v>260</v>
      </c>
      <c r="AR2">
        <v>544</v>
      </c>
      <c r="AS2">
        <v>191</v>
      </c>
      <c r="AT2">
        <v>459</v>
      </c>
      <c r="AU2">
        <v>73</v>
      </c>
      <c r="AV2">
        <v>84</v>
      </c>
      <c r="AW2">
        <v>0</v>
      </c>
      <c r="AX2">
        <v>0</v>
      </c>
      <c r="AY2">
        <v>0</v>
      </c>
      <c r="AZ2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3BAB3-7EB4-4142-8286-4880377BD543}">
  <sheetPr codeName="Sheet18"/>
  <dimension ref="A1:B2"/>
  <sheetViews>
    <sheetView workbookViewId="0"/>
  </sheetViews>
  <sheetFormatPr defaultRowHeight="15" x14ac:dyDescent="0.25"/>
  <cols>
    <col min="1" max="1" width="45.7109375" customWidth="1"/>
    <col min="2" max="2" width="22.7109375" customWidth="1"/>
  </cols>
  <sheetData>
    <row r="1" spans="1:2" x14ac:dyDescent="0.25">
      <c r="A1" t="s">
        <v>641</v>
      </c>
      <c r="B1" t="s">
        <v>642</v>
      </c>
    </row>
    <row r="2" spans="1:2" x14ac:dyDescent="0.25">
      <c r="A2" t="s">
        <v>643</v>
      </c>
      <c r="B2" s="26">
        <v>46085.893854166665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B741E-EC50-4275-9902-36EDE77746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Prematch</vt:lpstr>
      <vt:lpstr>Slip Generator</vt:lpstr>
      <vt:lpstr>Fixtures_Prematch_Today</vt:lpstr>
      <vt:lpstr>Fixtures_Prematch_Tomorrow</vt:lpstr>
      <vt:lpstr>Fixtures_Prematch_DayAfter</vt:lpstr>
      <vt:lpstr>Game_Standings_ByFixtureID</vt:lpstr>
      <vt:lpstr>Last10Home_Stats_All</vt:lpstr>
      <vt:lpstr>Last10Away_Stats_All</vt:lpstr>
      <vt:lpstr>H2H_Last5_Stats_All</vt:lpstr>
      <vt:lpstr>ApiKey</vt:lpstr>
      <vt:lpstr>FixtureID</vt:lpstr>
      <vt:lpstr>ListBox</vt:lpstr>
      <vt:lpstr>LIVE_ENABLED</vt:lpstr>
      <vt:lpstr>SelectedDate</vt:lpstr>
      <vt:lpstr>TG_CHATID</vt:lpstr>
      <vt:lpstr>TG_ENABLED</vt:lpstr>
      <vt:lpstr>TG_TOKEN</vt:lpstr>
      <vt:lpstr>TZ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Nicolae Vlad Moraru</dc:creator>
  <cp:lastModifiedBy>Nicolae Vlad Moraru</cp:lastModifiedBy>
  <dcterms:created xsi:type="dcterms:W3CDTF">2015-06-05T18:17:20Z</dcterms:created>
  <dcterms:modified xsi:type="dcterms:W3CDTF">2026-03-17T20:39:57Z</dcterms:modified>
</cp:coreProperties>
</file>